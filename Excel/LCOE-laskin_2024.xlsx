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211aaa9a49964d4/Sorsa-jutut/OMS2025 (Omalla koneella)/"/>
    </mc:Choice>
  </mc:AlternateContent>
  <xr:revisionPtr revIDLastSave="0" documentId="8_{60BA7F6C-9846-481A-8D9E-EAE1FEA77030}" xr6:coauthVersionLast="47" xr6:coauthVersionMax="47" xr10:uidLastSave="{00000000-0000-0000-0000-000000000000}"/>
  <bookViews>
    <workbookView xWindow="0" yWindow="500" windowWidth="38400" windowHeight="19700" firstSheet="2" activeTab="2" xr2:uid="{00000000-000D-0000-FFFF-FFFF00000000}"/>
    <workbookView xWindow="0" yWindow="600" windowWidth="50040" windowHeight="26900" firstSheet="2" activeTab="2" xr2:uid="{7B4D6CE5-3F2C-BA4F-AC22-ECFFD2CDEA1E}"/>
  </bookViews>
  <sheets>
    <sheet name="Kuvaus ja ohje" sheetId="33" r:id="rId1"/>
    <sheet name="Muuttujien kuvaus" sheetId="20" r:id="rId2"/>
    <sheet name="LCOE EUR" sheetId="24" r:id="rId3"/>
    <sheet name="Laitokset" sheetId="27" r:id="rId4"/>
    <sheet name="Polttoainekustannukset" sheetId="28" r:id="rId5"/>
    <sheet name="Päästötase" sheetId="31" r:id="rId6"/>
    <sheet name="Päästömaksut" sheetId="29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</externalReferences>
  <definedNames>
    <definedName name="__123Graph_A" hidden="1">'[1]Model inputs'!#REF!</definedName>
    <definedName name="__123Graph_ACFSINDIV" hidden="1">[2]Data!#REF!</definedName>
    <definedName name="__123Graph_ACHGSPD1" hidden="1">'[3]CHGSPD19.FIN'!$B$10:$B$20</definedName>
    <definedName name="__123Graph_ACHGSPD2" hidden="1">'[3]CHGSPD19.FIN'!$E$11:$E$20</definedName>
    <definedName name="__123Graph_AEFF" hidden="1">'[4]T3 Page 1'!#REF!</definedName>
    <definedName name="__123Graph_AGR14PBF1" hidden="1">'[5]HIS19FIN(A)'!$AF$70:$AF$81</definedName>
    <definedName name="__123Graph_ALBFFIN" hidden="1">'[4]FC Page 1'!#REF!</definedName>
    <definedName name="__123Graph_ALBFFIN2" hidden="1">'[5]HIS19FIN(A)'!$K$59:$Q$59</definedName>
    <definedName name="__123Graph_ALBFHIC2" hidden="1">'[5]HIS19FIN(A)'!$D$59:$J$59</definedName>
    <definedName name="__123Graph_ALCB" hidden="1">'[5]HIS19FIN(A)'!$D$83:$I$83</definedName>
    <definedName name="__123Graph_ANACFIN" hidden="1">'[5]HIS19FIN(A)'!$K$97:$Q$97</definedName>
    <definedName name="__123Graph_ANACHIC" hidden="1">'[5]HIS19FIN(A)'!$D$97:$J$97</definedName>
    <definedName name="__123Graph_APIC" hidden="1">'[4]T3 Page 1'!#REF!</definedName>
    <definedName name="__123Graph_B" hidden="1">'[1]Model inputs'!#REF!</definedName>
    <definedName name="__123Graph_BCFSINDIV" hidden="1">[2]Data!#REF!</definedName>
    <definedName name="__123Graph_BCFSUK" hidden="1">[2]Data!#REF!</definedName>
    <definedName name="__123Graph_BCHGSPD1" hidden="1">'[3]CHGSPD19.FIN'!$H$10:$H$25</definedName>
    <definedName name="__123Graph_BCHGSPD2" hidden="1">'[3]CHGSPD19.FIN'!$I$11:$I$25</definedName>
    <definedName name="__123Graph_BEFF" hidden="1">'[4]T3 Page 1'!#REF!</definedName>
    <definedName name="__123Graph_BLBF" hidden="1">'[4]T3 Page 1'!#REF!</definedName>
    <definedName name="__123Graph_BLBFFIN" hidden="1">'[4]FC Page 1'!#REF!</definedName>
    <definedName name="__123Graph_BLCB" hidden="1">'[5]HIS19FIN(A)'!$D$79:$I$79</definedName>
    <definedName name="__123Graph_BPIC" hidden="1">'[4]T3 Page 1'!#REF!</definedName>
    <definedName name="__123Graph_CACT13BUD" hidden="1">'[4]FC Page 1'!#REF!</definedName>
    <definedName name="__123Graph_CCFSINDIV" hidden="1">[2]Data!#REF!</definedName>
    <definedName name="__123Graph_CCFSUK" hidden="1">[2]Data!#REF!</definedName>
    <definedName name="__123Graph_CEFF" hidden="1">'[4]T3 Page 1'!#REF!</definedName>
    <definedName name="__123Graph_CGR14PBF1" hidden="1">'[5]HIS19FIN(A)'!$AK$70:$AK$81</definedName>
    <definedName name="__123Graph_CLBF" hidden="1">'[4]T3 Page 1'!#REF!</definedName>
    <definedName name="__123Graph_CPIC" hidden="1">'[4]T3 Page 1'!#REF!</definedName>
    <definedName name="__123Graph_DACT13BUD" hidden="1">'[4]FC Page 1'!#REF!</definedName>
    <definedName name="__123Graph_DCFSINDIV" hidden="1">[2]Data!#REF!</definedName>
    <definedName name="__123Graph_DCFSUK" hidden="1">[2]Data!#REF!</definedName>
    <definedName name="__123Graph_DEFF" hidden="1">'[4]T3 Page 1'!#REF!</definedName>
    <definedName name="__123Graph_DGR14PBF1" hidden="1">'[5]HIS19FIN(A)'!$AH$70:$AH$81</definedName>
    <definedName name="__123Graph_DLBF" hidden="1">'[4]T3 Page 1'!#REF!</definedName>
    <definedName name="__123Graph_DPIC" hidden="1">'[4]T3 Page 1'!#REF!</definedName>
    <definedName name="__123Graph_EACT13BUD" hidden="1">'[4]FC Page 1'!#REF!</definedName>
    <definedName name="__123Graph_ECFSINDIV" hidden="1">[2]Data!#REF!</definedName>
    <definedName name="__123Graph_ECFSUK" hidden="1">[2]Data!#REF!</definedName>
    <definedName name="__123Graph_EEFF" hidden="1">'[4]T3 Page 1'!#REF!</definedName>
    <definedName name="__123Graph_EEFFHIC" hidden="1">'[4]FC Page 1'!#REF!</definedName>
    <definedName name="__123Graph_EGR14PBF1" hidden="1">'[5]HIS19FIN(A)'!$AG$67:$AG$67</definedName>
    <definedName name="__123Graph_ELBF" hidden="1">'[4]T3 Page 1'!#REF!</definedName>
    <definedName name="__123Graph_EPIC" hidden="1">'[4]T3 Page 1'!#REF!</definedName>
    <definedName name="__123Graph_FACT13BUD" hidden="1">'[4]FC Page 1'!#REF!</definedName>
    <definedName name="__123Graph_FCFSUK" hidden="1">[2]Data!#REF!</definedName>
    <definedName name="__123Graph_FEFF" hidden="1">'[4]T3 Page 1'!#REF!</definedName>
    <definedName name="__123Graph_FEFFHIC" hidden="1">'[4]FC Page 1'!#REF!</definedName>
    <definedName name="__123Graph_FGR14PBF1" hidden="1">'[5]HIS19FIN(A)'!$AH$67:$AH$67</definedName>
    <definedName name="__123Graph_FLBF" hidden="1">'[4]T3 Page 1'!#REF!</definedName>
    <definedName name="__123Graph_FPIC" hidden="1">'[4]T3 Page 1'!#REF!</definedName>
    <definedName name="__123Graph_LBL_ARESID" hidden="1">'[5]HIS19FIN(A)'!$R$3:$W$3</definedName>
    <definedName name="__123Graph_LBL_BRESID" hidden="1">'[5]HIS19FIN(A)'!$R$3:$W$3</definedName>
    <definedName name="__123Graph_XACTHIC" hidden="1">'[4]FC Page 1'!#REF!</definedName>
    <definedName name="__123Graph_XCHGSPD1" hidden="1">'[3]CHGSPD19.FIN'!$A$10:$A$25</definedName>
    <definedName name="__123Graph_XCHGSPD2" hidden="1">'[3]CHGSPD19.FIN'!$A$11:$A$25</definedName>
    <definedName name="__123Graph_XEFF" hidden="1">'[4]T3 Page 1'!#REF!</definedName>
    <definedName name="__123Graph_XGR14PBF1" hidden="1">'[5]HIS19FIN(A)'!$AL$70:$AL$81</definedName>
    <definedName name="__123Graph_XLBF" hidden="1">'[4]T3 Page 1'!#REF!</definedName>
    <definedName name="__123Graph_XLBFFIN2" hidden="1">'[5]HIS19FIN(A)'!$K$61:$Q$61</definedName>
    <definedName name="__123Graph_XLBFHIC" hidden="1">'[5]HIS19FIN(A)'!$D$61:$J$61</definedName>
    <definedName name="__123Graph_XLBFHIC2" hidden="1">'[5]HIS19FIN(A)'!$D$61:$J$61</definedName>
    <definedName name="__123Graph_XLCB" hidden="1">'[5]HIS19FIN(A)'!$D$79:$I$79</definedName>
    <definedName name="__123Graph_XNACFIN" hidden="1">'[5]HIS19FIN(A)'!$K$95:$Q$95</definedName>
    <definedName name="__123Graph_XNACHIC" hidden="1">'[5]HIS19FIN(A)'!$D$95:$J$95</definedName>
    <definedName name="__123Graph_XPIC" hidden="1">'[4]T3 Page 1'!#REF!</definedName>
    <definedName name="_1__123Graph_ACHART_15" hidden="1">[6]USGC!$B$34:$B$53</definedName>
    <definedName name="_10__123Graph_XCHART_15" hidden="1">[6]USGC!$A$34:$A$53</definedName>
    <definedName name="_2__123Graph_BCHART_10" hidden="1">[6]USGC!$L$34:$L$53</definedName>
    <definedName name="_3__123Graph_BCHART_13" hidden="1">[6]USGC!$R$34:$R$53</definedName>
    <definedName name="_4__123Graph_BCHART_15" hidden="1">[6]USGC!$C$34:$C$53</definedName>
    <definedName name="_5__123Graph_CCHART_10" hidden="1">[6]USGC!$F$34:$F$53</definedName>
    <definedName name="_6__123Graph_CCHART_13" hidden="1">[6]USGC!$O$34:$O$53</definedName>
    <definedName name="_7__123Graph_CCHART_15" hidden="1">[6]USGC!$D$34:$D$53</definedName>
    <definedName name="_8__123Graph_XCHART_10" hidden="1">[6]USGC!$A$34:$A$53</definedName>
    <definedName name="_9__123Graph_XCHART_13" hidden="1">[6]USGC!$A$34:$A$53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xlnm._FilterDatabase" localSheetId="5" hidden="1">Päästötase!$A$1:$DF$76</definedName>
    <definedName name="_xlnm._FilterDatabase" localSheetId="4" hidden="1">Polttoainekustannukset!$A$3:$DF$3</definedName>
    <definedName name="_Key1" hidden="1">#REF!</definedName>
    <definedName name="_Order1" hidden="1">255</definedName>
    <definedName name="_Order2" hidden="1">255</definedName>
    <definedName name="_Regression_Out" hidden="1">#REF!</definedName>
    <definedName name="_Regression_X" hidden="1">#REF!</definedName>
    <definedName name="_Regression_Y" hidden="1">#REF!</definedName>
    <definedName name="Alt_Chk_1_Hdg" hidden="1">[7]BS_Hist_TA!$B$1</definedName>
    <definedName name="Alt_Chk_14_Hdg" hidden="1">[7]BS_Fcast_TO!$B$1</definedName>
    <definedName name="Alt_Chk_15_Hdg" hidden="1">[7]Fcast_OP_TO!$C$117</definedName>
    <definedName name="Alt_Chk_2_Hdg" hidden="1">[7]BS_Hist_TO!$B$1</definedName>
    <definedName name="asdas" hidden="1">{#N/A,#N/A,FALSE,"TMCOMP96";#N/A,#N/A,FALSE,"MAT96";#N/A,#N/A,FALSE,"FANDA96";#N/A,#N/A,FALSE,"INTRAN96";#N/A,#N/A,FALSE,"NAA9697";#N/A,#N/A,FALSE,"ECWEBB";#N/A,#N/A,FALSE,"MFT96";#N/A,#N/A,FALSE,"CTrecon"}</definedName>
    <definedName name="ASDASFD" hidden="1">{#N/A,#N/A,FALSE,"TMCOMP96";#N/A,#N/A,FALSE,"MAT96";#N/A,#N/A,FALSE,"FANDA96";#N/A,#N/A,FALSE,"INTRAN96";#N/A,#N/A,FALSE,"NAA9697";#N/A,#N/A,FALSE,"ECWEBB";#N/A,#N/A,FALSE,"MFT96";#N/A,#N/A,FALSE,"CTrecon"}</definedName>
    <definedName name="ASDF" hidden="1">{#N/A,#N/A,FALSE,"TMCOMP96";#N/A,#N/A,FALSE,"MAT96";#N/A,#N/A,FALSE,"FANDA96";#N/A,#N/A,FALSE,"INTRAN96";#N/A,#N/A,FALSE,"NAA9697";#N/A,#N/A,FALSE,"ECWEBB";#N/A,#N/A,FALSE,"MFT96";#N/A,#N/A,FALSE,"CTrecon"}</definedName>
    <definedName name="ASDFA" hidden="1">{#N/A,#N/A,FALSE,"TMCOMP96";#N/A,#N/A,FALSE,"MAT96";#N/A,#N/A,FALSE,"FANDA96";#N/A,#N/A,FALSE,"INTRAN96";#N/A,#N/A,FALSE,"NAA9697";#N/A,#N/A,FALSE,"ECWEBB";#N/A,#N/A,FALSE,"MFT96";#N/A,#N/A,FALSE,"CTrecon"}</definedName>
    <definedName name="ASFD" hidden="1">{#N/A,#N/A,FALSE,"TMCOMP96";#N/A,#N/A,FALSE,"MAT96";#N/A,#N/A,FALSE,"FANDA96";#N/A,#N/A,FALSE,"INTRAN96";#N/A,#N/A,FALSE,"NAA9697";#N/A,#N/A,FALSE,"ECWEBB";#N/A,#N/A,FALSE,"MFT96";#N/A,#N/A,FALSE,"CTrecon"}</definedName>
    <definedName name="BLPH1" hidden="1">'[8]4.6 ten year bonds'!$A$4</definedName>
    <definedName name="BLPH2" hidden="1">'[8]4.6 ten year bonds'!$D$4</definedName>
    <definedName name="BLPH3" hidden="1">'[8]4.6 ten year bonds'!$G$4</definedName>
    <definedName name="BLPH4" hidden="1">'[8]4.6 ten year bonds'!$J$4</definedName>
    <definedName name="BLPH5" hidden="1">'[8]4.6 ten year bonds'!$M$4</definedName>
    <definedName name="BMGHIndex" hidden="1">"O"</definedName>
    <definedName name="Deflator_2010">#REF!</definedName>
    <definedName name="Deflator_2011">#REF!</definedName>
    <definedName name="Deflator_2012">#REF!</definedName>
    <definedName name="Deflator_2013">#REF!</definedName>
    <definedName name="Deflator_2014">#REF!</definedName>
    <definedName name="Deflator_2015">#REF!</definedName>
    <definedName name="Deflator_2016">#REF!</definedName>
    <definedName name="Deflator_2017">#REF!</definedName>
    <definedName name="Deflator_2018">#REF!</definedName>
    <definedName name="dgsgf" hidden="1">{#N/A,#N/A,FALSE,"TMCOMP96";#N/A,#N/A,FALSE,"MAT96";#N/A,#N/A,FALSE,"FANDA96";#N/A,#N/A,FALSE,"INTRAN96";#N/A,#N/A,FALSE,"NAA9697";#N/A,#N/A,FALSE,"ECWEBB";#N/A,#N/A,FALSE,"MFT96";#N/A,#N/A,FALSE,"CTrecon"}</definedName>
    <definedName name="Distribution" hidden="1">#REF!</definedName>
    <definedName name="DME_LocalFile" hidden="1">"True"</definedName>
    <definedName name="Err_Chk_1_Hdg" hidden="1">[7]Fcast_OP_TO!$C$27</definedName>
    <definedName name="Err_Chk_11_Hdg" hidden="1">[7]IS_Fcast_TO!$B$1</definedName>
    <definedName name="Err_Chk_13_Hdg" hidden="1">[7]BS_Fcast_TO!$B$1</definedName>
    <definedName name="Err_Chk_14_Hdg" hidden="1">[7]CFS_Fcast_TO!$B$1</definedName>
    <definedName name="Err_Chk_15_Hdg" hidden="1">[7]Fcast_OP_TO!$C$117</definedName>
    <definedName name="Err_Chk_2_Hdg" hidden="1">[7]Fcast_OP_TO!$C$44</definedName>
    <definedName name="Err_Chk_3_Hdg" hidden="1">[7]Fcast_OP_TO!$C$64</definedName>
    <definedName name="Err_Chk_4_Hdg" hidden="1">[7]Fcast_OP_TO!$C$76</definedName>
    <definedName name="ExtraProfiles" hidden="1">#REF!</definedName>
    <definedName name="FDDD" hidden="1">{#N/A,#N/A,FALSE,"TMCOMP96";#N/A,#N/A,FALSE,"MAT96";#N/A,#N/A,FALSE,"FANDA96";#N/A,#N/A,FALSE,"INTRAN96";#N/A,#N/A,FALSE,"NAA9697";#N/A,#N/A,FALSE,"ECWEBB";#N/A,#N/A,FALSE,"MFT96";#N/A,#N/A,FALSE,"CTrecon"}</definedName>
    <definedName name="fg" hidden="1">{#N/A,#N/A,FALSE,"TMCOMP96";#N/A,#N/A,FALSE,"MAT96";#N/A,#N/A,FALSE,"FANDA96";#N/A,#N/A,FALSE,"INTRAN96";#N/A,#N/A,FALSE,"NAA9697";#N/A,#N/A,FALSE,"ECWEBB";#N/A,#N/A,FALSE,"MFT96";#N/A,#N/A,FALSE,"CTrecon"}</definedName>
    <definedName name="fgfd" hidden="1">{#N/A,#N/A,FALSE,"TMCOMP96";#N/A,#N/A,FALSE,"MAT96";#N/A,#N/A,FALSE,"FANDA96";#N/A,#N/A,FALSE,"INTRAN96";#N/A,#N/A,FALSE,"NAA9697";#N/A,#N/A,FALSE,"ECWEBB";#N/A,#N/A,FALSE,"MFT96";#N/A,#N/A,FALSE,"CTrecon"}</definedName>
    <definedName name="ghj" hidden="1">{#N/A,#N/A,FALSE,"TMCOMP96";#N/A,#N/A,FALSE,"MAT96";#N/A,#N/A,FALSE,"FANDA96";#N/A,#N/A,FALSE,"INTRAN96";#N/A,#N/A,FALSE,"NAA9697";#N/A,#N/A,FALSE,"ECWEBB";#N/A,#N/A,FALSE,"MFT96";#N/A,#N/A,FALSE,"CTrecon"}</definedName>
    <definedName name="Graph1" hidden="1">'[1]Model inputs'!#REF!</definedName>
    <definedName name="Graph2" hidden="1">[2]Data!#REF!</definedName>
    <definedName name="Graph3" hidden="1">'[4]T3 Page 1'!#REF!</definedName>
    <definedName name="Graph4" hidden="1">'[4]FC Page 1'!#REF!</definedName>
    <definedName name="Graph5" hidden="1">'[4]T3 Page 1'!#REF!</definedName>
    <definedName name="Graph6" hidden="1">'[1]Model inputs'!#REF!</definedName>
    <definedName name="Graph7" hidden="1">[2]Data!#REF!</definedName>
    <definedName name="Graph8" hidden="1">[2]Data!#REF!</definedName>
    <definedName name="Header1" hidden="1">IF(COUNTA(#REF!)=0,0,INDEX(#REF!,MATCH(ROW(#REF!),#REF!,TRUE)))+1</definedName>
    <definedName name="Header2" hidden="1">#N/A</definedName>
    <definedName name="Header3Find" hidden="1">#N/A</definedName>
    <definedName name="HL_Alt_Chk_1" hidden="1">[7]BS_Hist_TA!$H$73</definedName>
    <definedName name="HL_Alt_Chk_14" hidden="1">[7]BS_Fcast_TO!$I$72</definedName>
    <definedName name="HL_Alt_Chk_15" hidden="1">[7]Fcast_OP_TO!$I$138</definedName>
    <definedName name="HL_Alt_Chk_2" hidden="1">[7]BS_Hist_TO!$H$74</definedName>
    <definedName name="HL_Err_Chk_1" hidden="1">[7]Fcast_OP_TO!$I$42</definedName>
    <definedName name="HL_Err_Chk_11" hidden="1">[7]IS_Fcast_TO!$I$41</definedName>
    <definedName name="HL_Err_Chk_13" hidden="1">[7]BS_Fcast_TO!$I$70</definedName>
    <definedName name="HL_Err_Chk_14" hidden="1">[7]CFS_Fcast_TO!$I$114</definedName>
    <definedName name="HL_Err_Chk_15" hidden="1">[7]Fcast_OP_TO!$I$136</definedName>
    <definedName name="HL_Err_Chk_2" hidden="1">[7]Fcast_OP_TO!$I$59</definedName>
    <definedName name="HL_Err_Chk_3" hidden="1">[7]Fcast_OP_TO!$I$74</definedName>
    <definedName name="HL_Err_Chk_4" hidden="1">[7]Fcast_OP_TO!$I$86</definedName>
    <definedName name="jhkgh" hidden="1">{#N/A,#N/A,FALSE,"TMCOMP96";#N/A,#N/A,FALSE,"MAT96";#N/A,#N/A,FALSE,"FANDA96";#N/A,#N/A,FALSE,"INTRAN96";#N/A,#N/A,FALSE,"NAA9697";#N/A,#N/A,FALSE,"ECWEBB";#N/A,#N/A,FALSE,"MFT96";#N/A,#N/A,FALSE,"CTrecon"}</definedName>
    <definedName name="jhkgh2" hidden="1">{#N/A,#N/A,FALSE,"TMCOMP96";#N/A,#N/A,FALSE,"MAT96";#N/A,#N/A,FALSE,"FANDA96";#N/A,#N/A,FALSE,"INTRAN96";#N/A,#N/A,FALSE,"NAA9697";#N/A,#N/A,FALSE,"ECWEBB";#N/A,#N/A,FALSE,"MFT96";#N/A,#N/A,FALSE,"CTrecon"}</definedName>
    <definedName name="NOCONFLICT" hidden="1">{#N/A,#N/A,FALSE,"TMCOMP96";#N/A,#N/A,FALSE,"MAT96";#N/A,#N/A,FALSE,"FANDA96";#N/A,#N/A,FALSE,"INTRAN96";#N/A,#N/A,FALSE,"NAA9697";#N/A,#N/A,FALSE,"ECWEBB";#N/A,#N/A,FALSE,"MFT96";#N/A,#N/A,FALSE,"CTrecon"}</definedName>
    <definedName name="Option2" hidden="1">{#N/A,#N/A,FALSE,"TMCOMP96";#N/A,#N/A,FALSE,"MAT96";#N/A,#N/A,FALSE,"FANDA96";#N/A,#N/A,FALSE,"INTRAN96";#N/A,#N/A,FALSE,"NAA9697";#N/A,#N/A,FALSE,"ECWEBB";#N/A,#N/A,FALSE,"MFT96";#N/A,#N/A,FALSE,"CTrecon"}</definedName>
    <definedName name="Pal_Workbook_GUID" hidden="1">"1LMS2U6TLKFBVGQISFA5FIYM"</definedName>
    <definedName name="Pop" hidden="1">[9]Population!#REF!</definedName>
    <definedName name="Population" hidden="1">#REF!</definedName>
    <definedName name="Profiles" hidden="1">#REF!</definedName>
    <definedName name="Projections" hidden="1">#REF!</definedName>
    <definedName name="Results" hidden="1">[10]UK99!$A$1:$A$1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3000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sdf" hidden="1">{#N/A,#N/A,FALSE,"TMCOMP96";#N/A,#N/A,FALSE,"MAT96";#N/A,#N/A,FALSE,"FANDA96";#N/A,#N/A,FALSE,"INTRAN96";#N/A,#N/A,FALSE,"NAA9697";#N/A,#N/A,FALSE,"ECWEBB";#N/A,#N/A,FALSE,"MFT96";#N/A,#N/A,FALSE,"CTrecon"}</definedName>
    <definedName name="sdff" hidden="1">{#N/A,#N/A,FALSE,"TMCOMP96";#N/A,#N/A,FALSE,"MAT96";#N/A,#N/A,FALSE,"FANDA96";#N/A,#N/A,FALSE,"INTRAN96";#N/A,#N/A,FALSE,"NAA9697";#N/A,#N/A,FALSE,"ECWEBB";#N/A,#N/A,FALSE,"MFT96";#N/A,#N/A,FALSE,"CTrecon"}</definedName>
    <definedName name="sfad" hidden="1">{#N/A,#N/A,FALSE,"TMCOMP96";#N/A,#N/A,FALSE,"MAT96";#N/A,#N/A,FALSE,"FANDA96";#N/A,#N/A,FALSE,"INTRAN96";#N/A,#N/A,FALSE,"NAA9697";#N/A,#N/A,FALSE,"ECWEBB";#N/A,#N/A,FALSE,"MFT96";#N/A,#N/A,FALSE,"CTrecon"}</definedName>
    <definedName name="trggh" hidden="1">{#N/A,#N/A,FALSE,"TMCOMP96";#N/A,#N/A,FALSE,"MAT96";#N/A,#N/A,FALSE,"FANDA96";#N/A,#N/A,FALSE,"INTRAN96";#N/A,#N/A,FALSE,"NAA9697";#N/A,#N/A,FALSE,"ECWEBB";#N/A,#N/A,FALSE,"MFT96";#N/A,#N/A,FALSE,"CTrecon"}</definedName>
    <definedName name="wrn.TMCOMP." hidden="1">{#N/A,#N/A,FALSE,"TMCOMP96";#N/A,#N/A,FALSE,"MAT96";#N/A,#N/A,FALSE,"FANDA96";#N/A,#N/A,FALSE,"INTRAN96";#N/A,#N/A,FALSE,"NAA9697";#N/A,#N/A,FALSE,"ECWEBB";#N/A,#N/A,FALSE,"MFT96";#N/A,#N/A,FALSE,"CTrecon"}</definedName>
  </definedNames>
  <calcPr calcId="191028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2" i="24" l="1"/>
  <c r="I40" i="24" s="1"/>
  <c r="FO44" i="27"/>
  <c r="FO45" i="27"/>
  <c r="FO46" i="27"/>
  <c r="FO47" i="27"/>
  <c r="FO48" i="27"/>
  <c r="FO49" i="27"/>
  <c r="FO43" i="27"/>
  <c r="E7" i="24"/>
  <c r="Q8" i="24" l="1"/>
  <c r="D89" i="24"/>
  <c r="CP39" i="27"/>
  <c r="CP38" i="27"/>
  <c r="CP37" i="27"/>
  <c r="CN39" i="27"/>
  <c r="CO39" i="27"/>
  <c r="CO37" i="27"/>
  <c r="CO38" i="27"/>
  <c r="CN38" i="27"/>
  <c r="E85" i="27"/>
  <c r="K17" i="24" l="1"/>
  <c r="J17" i="24"/>
  <c r="C28" i="24" s="1"/>
  <c r="H17" i="24"/>
  <c r="B28" i="24" s="1"/>
  <c r="C33" i="24"/>
  <c r="C31" i="24"/>
  <c r="C32" i="24" s="1"/>
  <c r="C27" i="24"/>
  <c r="K90" i="24" s="1"/>
  <c r="C26" i="24"/>
  <c r="J19" i="24"/>
  <c r="H19" i="24"/>
  <c r="K19" i="24"/>
  <c r="J18" i="24"/>
  <c r="H120" i="24" s="1"/>
  <c r="J120" i="24" s="1"/>
  <c r="H18" i="24"/>
  <c r="B31" i="24" s="1"/>
  <c r="K18" i="24"/>
  <c r="J46" i="24"/>
  <c r="J39" i="24"/>
  <c r="P13" i="24"/>
  <c r="O13" i="24"/>
  <c r="L13" i="24"/>
  <c r="H14" i="24"/>
  <c r="B26" i="24" s="1"/>
  <c r="P11" i="24"/>
  <c r="O11" i="24"/>
  <c r="L11" i="24"/>
  <c r="B20" i="24"/>
  <c r="J10" i="24"/>
  <c r="H10" i="24"/>
  <c r="P17" i="24"/>
  <c r="P18" i="24"/>
  <c r="O17" i="24"/>
  <c r="O18" i="24"/>
  <c r="N17" i="24"/>
  <c r="N18" i="24"/>
  <c r="N16" i="24"/>
  <c r="K21" i="24"/>
  <c r="J21" i="24"/>
  <c r="H60" i="24" s="1"/>
  <c r="H21" i="24"/>
  <c r="B60" i="24" s="1"/>
  <c r="L14" i="24"/>
  <c r="O14" i="24"/>
  <c r="H105" i="24" s="1"/>
  <c r="P14" i="24"/>
  <c r="H96" i="24"/>
  <c r="O19" i="24"/>
  <c r="L19" i="24"/>
  <c r="P19" i="24"/>
  <c r="P16" i="24"/>
  <c r="O16" i="24"/>
  <c r="L16" i="24"/>
  <c r="B14" i="24" s="1"/>
  <c r="H131" i="24"/>
  <c r="Q131" i="24" s="1"/>
  <c r="J11" i="24"/>
  <c r="E26" i="28"/>
  <c r="E27" i="28"/>
  <c r="E28" i="28"/>
  <c r="E29" i="28"/>
  <c r="E30" i="28"/>
  <c r="E31" i="28"/>
  <c r="E32" i="28"/>
  <c r="E33" i="28"/>
  <c r="E34" i="28"/>
  <c r="E35" i="28"/>
  <c r="E36" i="28"/>
  <c r="E37" i="28"/>
  <c r="E38" i="28"/>
  <c r="E39" i="28"/>
  <c r="E40" i="28"/>
  <c r="E41" i="28"/>
  <c r="E42" i="28"/>
  <c r="E43" i="28"/>
  <c r="E44" i="28"/>
  <c r="E45" i="28"/>
  <c r="E46" i="28"/>
  <c r="E47" i="28"/>
  <c r="E48" i="28"/>
  <c r="E49" i="28"/>
  <c r="E50" i="28"/>
  <c r="E15" i="28"/>
  <c r="E51" i="28"/>
  <c r="E52" i="28"/>
  <c r="E53" i="28"/>
  <c r="E4" i="28"/>
  <c r="E54" i="28"/>
  <c r="E55" i="28"/>
  <c r="E56" i="28"/>
  <c r="E57" i="28"/>
  <c r="E58" i="28"/>
  <c r="E59" i="28"/>
  <c r="E60" i="28"/>
  <c r="E61" i="28"/>
  <c r="E62" i="28"/>
  <c r="E63" i="28"/>
  <c r="E64" i="28"/>
  <c r="E65" i="28"/>
  <c r="E66" i="28"/>
  <c r="E67" i="28"/>
  <c r="E68" i="28"/>
  <c r="E69" i="28"/>
  <c r="E70" i="28"/>
  <c r="E71" i="28"/>
  <c r="E72" i="28"/>
  <c r="E16" i="28"/>
  <c r="E73" i="28"/>
  <c r="E74" i="28"/>
  <c r="E75" i="28"/>
  <c r="E76" i="28"/>
  <c r="E77" i="28"/>
  <c r="E78" i="28"/>
  <c r="E79" i="28"/>
  <c r="E17" i="28"/>
  <c r="E80" i="28"/>
  <c r="E81" i="28"/>
  <c r="E82" i="28"/>
  <c r="E83" i="28"/>
  <c r="E84" i="28"/>
  <c r="E18" i="28"/>
  <c r="E85" i="28"/>
  <c r="E86" i="28"/>
  <c r="E87" i="28"/>
  <c r="E88" i="28"/>
  <c r="E89" i="28"/>
  <c r="E90" i="28"/>
  <c r="E91" i="28"/>
  <c r="E92" i="28"/>
  <c r="E93" i="28"/>
  <c r="E94" i="28"/>
  <c r="E95" i="28"/>
  <c r="E96" i="28"/>
  <c r="E97" i="28"/>
  <c r="E98" i="28"/>
  <c r="E99" i="28"/>
  <c r="E100" i="28"/>
  <c r="E101" i="28"/>
  <c r="E102" i="28"/>
  <c r="E103" i="28"/>
  <c r="E104" i="28"/>
  <c r="E105" i="28"/>
  <c r="E106" i="28"/>
  <c r="E107" i="28"/>
  <c r="E108" i="28"/>
  <c r="E109" i="28"/>
  <c r="E110" i="28"/>
  <c r="E111" i="28"/>
  <c r="E112" i="28"/>
  <c r="E113" i="28"/>
  <c r="E114" i="28"/>
  <c r="E115" i="28"/>
  <c r="E116" i="28"/>
  <c r="E117" i="28"/>
  <c r="E118" i="28"/>
  <c r="E119" i="28"/>
  <c r="E120" i="28"/>
  <c r="E121" i="28"/>
  <c r="E122" i="28"/>
  <c r="E123" i="28"/>
  <c r="E124" i="28"/>
  <c r="E125" i="28"/>
  <c r="E19" i="28"/>
  <c r="E126" i="28"/>
  <c r="E127" i="28"/>
  <c r="E128" i="28"/>
  <c r="E129" i="28"/>
  <c r="E130" i="28"/>
  <c r="E131" i="28"/>
  <c r="E132" i="28"/>
  <c r="E133" i="28"/>
  <c r="E134" i="28"/>
  <c r="E135" i="28"/>
  <c r="E136" i="28"/>
  <c r="E137" i="28"/>
  <c r="E138" i="28"/>
  <c r="E139" i="28"/>
  <c r="E140" i="28"/>
  <c r="E141" i="28"/>
  <c r="E142" i="28"/>
  <c r="E143" i="28"/>
  <c r="E144" i="28"/>
  <c r="E145" i="28"/>
  <c r="E146" i="28"/>
  <c r="E147" i="28"/>
  <c r="E20" i="28"/>
  <c r="E13" i="28"/>
  <c r="E21" i="28"/>
  <c r="E22" i="28"/>
  <c r="E23" i="28"/>
  <c r="E24" i="28"/>
  <c r="E25" i="28"/>
  <c r="K39" i="24" l="1"/>
  <c r="H129" i="24"/>
  <c r="C8" i="24"/>
  <c r="H119" i="24"/>
  <c r="J119" i="24" s="1"/>
  <c r="K119" i="24" s="1"/>
  <c r="L119" i="24" s="1"/>
  <c r="M119" i="24" s="1"/>
  <c r="N119" i="24" s="1"/>
  <c r="O119" i="24" s="1"/>
  <c r="P119" i="24" s="1"/>
  <c r="Q119" i="24" s="1"/>
  <c r="R119" i="24" s="1"/>
  <c r="S119" i="24" s="1"/>
  <c r="T119" i="24" s="1"/>
  <c r="U119" i="24" s="1"/>
  <c r="V119" i="24" s="1"/>
  <c r="W119" i="24" s="1"/>
  <c r="X119" i="24" s="1"/>
  <c r="Y119" i="24" s="1"/>
  <c r="Z119" i="24" s="1"/>
  <c r="AA119" i="24" s="1"/>
  <c r="AB119" i="24" s="1"/>
  <c r="AC119" i="24" s="1"/>
  <c r="AD119" i="24" s="1"/>
  <c r="AE119" i="24" s="1"/>
  <c r="AF119" i="24" s="1"/>
  <c r="AG119" i="24" s="1"/>
  <c r="AH119" i="24" s="1"/>
  <c r="AI119" i="24" s="1"/>
  <c r="AJ119" i="24" s="1"/>
  <c r="AK119" i="24" s="1"/>
  <c r="AL119" i="24" s="1"/>
  <c r="AM119" i="24" s="1"/>
  <c r="AN119" i="24" s="1"/>
  <c r="AO119" i="24" s="1"/>
  <c r="AP119" i="24" s="1"/>
  <c r="AQ119" i="24" s="1"/>
  <c r="AR119" i="24" s="1"/>
  <c r="AS119" i="24" s="1"/>
  <c r="AT119" i="24" s="1"/>
  <c r="AU119" i="24" s="1"/>
  <c r="AV119" i="24" s="1"/>
  <c r="AW119" i="24" s="1"/>
  <c r="AX119" i="24" s="1"/>
  <c r="AY119" i="24" s="1"/>
  <c r="AZ119" i="24" s="1"/>
  <c r="BA119" i="24" s="1"/>
  <c r="BB119" i="24" s="1"/>
  <c r="BC119" i="24" s="1"/>
  <c r="BD119" i="24" s="1"/>
  <c r="BE119" i="24" s="1"/>
  <c r="BF119" i="24" s="1"/>
  <c r="BG119" i="24" s="1"/>
  <c r="BH119" i="24" s="1"/>
  <c r="BI119" i="24" s="1"/>
  <c r="BJ119" i="24" s="1"/>
  <c r="BK119" i="24" s="1"/>
  <c r="BL119" i="24" s="1"/>
  <c r="BM119" i="24" s="1"/>
  <c r="BN119" i="24" s="1"/>
  <c r="BO119" i="24" s="1"/>
  <c r="BP119" i="24" s="1"/>
  <c r="BQ119" i="24" s="1"/>
  <c r="BR119" i="24" s="1"/>
  <c r="BS119" i="24" s="1"/>
  <c r="K120" i="24"/>
  <c r="D79" i="24"/>
  <c r="D77" i="24"/>
  <c r="D75" i="24"/>
  <c r="D104" i="24"/>
  <c r="H98" i="24"/>
  <c r="D99" i="24" s="1"/>
  <c r="AX90" i="24"/>
  <c r="BN90" i="24"/>
  <c r="AP90" i="24"/>
  <c r="BF90" i="24"/>
  <c r="AH90" i="24"/>
  <c r="Z90" i="24"/>
  <c r="R90" i="24"/>
  <c r="H90" i="24"/>
  <c r="BM90" i="24"/>
  <c r="BE90" i="24"/>
  <c r="AW90" i="24"/>
  <c r="AO90" i="24"/>
  <c r="AG90" i="24"/>
  <c r="Y90" i="24"/>
  <c r="Q90" i="24"/>
  <c r="J90" i="24"/>
  <c r="BL90" i="24"/>
  <c r="BD90" i="24"/>
  <c r="AV90" i="24"/>
  <c r="AN90" i="24"/>
  <c r="AF90" i="24"/>
  <c r="X90" i="24"/>
  <c r="P90" i="24"/>
  <c r="BS90" i="24"/>
  <c r="BK90" i="24"/>
  <c r="BC90" i="24"/>
  <c r="AU90" i="24"/>
  <c r="AM90" i="24"/>
  <c r="AE90" i="24"/>
  <c r="W90" i="24"/>
  <c r="O90" i="24"/>
  <c r="BR90" i="24"/>
  <c r="BJ90" i="24"/>
  <c r="BB90" i="24"/>
  <c r="AT90" i="24"/>
  <c r="AL90" i="24"/>
  <c r="AD90" i="24"/>
  <c r="V90" i="24"/>
  <c r="N90" i="24"/>
  <c r="BQ90" i="24"/>
  <c r="BI90" i="24"/>
  <c r="BA90" i="24"/>
  <c r="AS90" i="24"/>
  <c r="AK90" i="24"/>
  <c r="AC90" i="24"/>
  <c r="U90" i="24"/>
  <c r="M90" i="24"/>
  <c r="BP90" i="24"/>
  <c r="BH90" i="24"/>
  <c r="AZ90" i="24"/>
  <c r="AR90" i="24"/>
  <c r="AJ90" i="24"/>
  <c r="AB90" i="24"/>
  <c r="T90" i="24"/>
  <c r="L90" i="24"/>
  <c r="BO90" i="24"/>
  <c r="BG90" i="24"/>
  <c r="AY90" i="24"/>
  <c r="AQ90" i="24"/>
  <c r="AI90" i="24"/>
  <c r="AA90" i="24"/>
  <c r="S90" i="24"/>
  <c r="K105" i="24"/>
  <c r="S105" i="24"/>
  <c r="AA105" i="24"/>
  <c r="AI105" i="24"/>
  <c r="AQ105" i="24"/>
  <c r="AY105" i="24"/>
  <c r="BG105" i="24"/>
  <c r="BO105" i="24"/>
  <c r="L105" i="24"/>
  <c r="M105" i="24"/>
  <c r="N105" i="24"/>
  <c r="BJ105" i="24"/>
  <c r="AF105" i="24"/>
  <c r="J105" i="24"/>
  <c r="O105" i="24"/>
  <c r="Q105" i="24"/>
  <c r="Y105" i="24"/>
  <c r="AG105" i="24"/>
  <c r="AO105" i="24"/>
  <c r="AW105" i="24"/>
  <c r="BE105" i="24"/>
  <c r="BM105" i="24"/>
  <c r="R105" i="24"/>
  <c r="Z105" i="24"/>
  <c r="AH105" i="24"/>
  <c r="AP105" i="24"/>
  <c r="AX105" i="24"/>
  <c r="BF105" i="24"/>
  <c r="BN105" i="24"/>
  <c r="T105" i="24"/>
  <c r="AB105" i="24"/>
  <c r="AJ105" i="24"/>
  <c r="AR105" i="24"/>
  <c r="AZ105" i="24"/>
  <c r="BH105" i="24"/>
  <c r="BP105" i="24"/>
  <c r="U105" i="24"/>
  <c r="AC105" i="24"/>
  <c r="AK105" i="24"/>
  <c r="AS105" i="24"/>
  <c r="BA105" i="24"/>
  <c r="BI105" i="24"/>
  <c r="BQ105" i="24"/>
  <c r="V105" i="24"/>
  <c r="AD105" i="24"/>
  <c r="AL105" i="24"/>
  <c r="AT105" i="24"/>
  <c r="BB105" i="24"/>
  <c r="BR105" i="24"/>
  <c r="W105" i="24"/>
  <c r="AE105" i="24"/>
  <c r="AM105" i="24"/>
  <c r="AU105" i="24"/>
  <c r="BC105" i="24"/>
  <c r="BK105" i="24"/>
  <c r="BS105" i="24"/>
  <c r="P105" i="24"/>
  <c r="X105" i="24"/>
  <c r="AN105" i="24"/>
  <c r="AV105" i="24"/>
  <c r="BD105" i="24"/>
  <c r="BL105" i="24"/>
  <c r="H130" i="24"/>
  <c r="DA131" i="24"/>
  <c r="CX131" i="24"/>
  <c r="CZ131" i="24"/>
  <c r="CU131" i="24"/>
  <c r="CM131" i="24"/>
  <c r="CS131" i="24"/>
  <c r="CR131" i="24"/>
  <c r="CT131" i="24"/>
  <c r="DD131" i="24"/>
  <c r="DC131" i="24"/>
  <c r="DB131" i="24"/>
  <c r="CY131" i="24"/>
  <c r="CQ131" i="24"/>
  <c r="CP131" i="24"/>
  <c r="CW131" i="24"/>
  <c r="CO131" i="24"/>
  <c r="DF131" i="24"/>
  <c r="CV131" i="24"/>
  <c r="CN131" i="24"/>
  <c r="DE131" i="24"/>
  <c r="BD131" i="24"/>
  <c r="BC131" i="24"/>
  <c r="AL131" i="24"/>
  <c r="AE131" i="24"/>
  <c r="W131" i="24"/>
  <c r="H40" i="24"/>
  <c r="AF131" i="24"/>
  <c r="BJ131" i="24"/>
  <c r="CI131" i="24"/>
  <c r="CH131" i="24"/>
  <c r="CB131" i="24"/>
  <c r="CA131" i="24"/>
  <c r="BK131" i="24"/>
  <c r="V131" i="24"/>
  <c r="BZ131" i="24"/>
  <c r="BB131" i="24"/>
  <c r="BT131" i="24"/>
  <c r="AT131" i="24"/>
  <c r="P131" i="24"/>
  <c r="BR131" i="24"/>
  <c r="AN131" i="24"/>
  <c r="O131" i="24"/>
  <c r="CJ131" i="24"/>
  <c r="BL131" i="24"/>
  <c r="AM131" i="24"/>
  <c r="N131" i="24"/>
  <c r="BS131" i="24"/>
  <c r="AV131" i="24"/>
  <c r="AD131" i="24"/>
  <c r="AU131" i="24"/>
  <c r="X131" i="24"/>
  <c r="I131" i="24"/>
  <c r="I42" i="24" s="1"/>
  <c r="CG131" i="24"/>
  <c r="BY131" i="24"/>
  <c r="BQ131" i="24"/>
  <c r="BI131" i="24"/>
  <c r="BA131" i="24"/>
  <c r="AS131" i="24"/>
  <c r="AK131" i="24"/>
  <c r="AC131" i="24"/>
  <c r="U131" i="24"/>
  <c r="M131" i="24"/>
  <c r="BX131" i="24"/>
  <c r="BH131" i="24"/>
  <c r="AR131" i="24"/>
  <c r="AB131" i="24"/>
  <c r="L131" i="24"/>
  <c r="J131" i="24"/>
  <c r="BW131" i="24"/>
  <c r="BG131" i="24"/>
  <c r="AQ131" i="24"/>
  <c r="AA131" i="24"/>
  <c r="K131" i="24"/>
  <c r="CL131" i="24"/>
  <c r="CD131" i="24"/>
  <c r="BV131" i="24"/>
  <c r="BN131" i="24"/>
  <c r="BF131" i="24"/>
  <c r="AX131" i="24"/>
  <c r="AP131" i="24"/>
  <c r="AH131" i="24"/>
  <c r="Z131" i="24"/>
  <c r="R131" i="24"/>
  <c r="CF131" i="24"/>
  <c r="BP131" i="24"/>
  <c r="AZ131" i="24"/>
  <c r="AJ131" i="24"/>
  <c r="T131" i="24"/>
  <c r="CE131" i="24"/>
  <c r="BO131" i="24"/>
  <c r="AY131" i="24"/>
  <c r="AI131" i="24"/>
  <c r="S131" i="24"/>
  <c r="CK131" i="24"/>
  <c r="CC131" i="24"/>
  <c r="BU131" i="24"/>
  <c r="BM131" i="24"/>
  <c r="BE131" i="24"/>
  <c r="AW131" i="24"/>
  <c r="AO131" i="24"/>
  <c r="AG131" i="24"/>
  <c r="Y131" i="24"/>
  <c r="E14" i="28"/>
  <c r="L39" i="24" l="1"/>
  <c r="AN129" i="24"/>
  <c r="AF129" i="24"/>
  <c r="AU129" i="24"/>
  <c r="BQ129" i="24"/>
  <c r="P129" i="24"/>
  <c r="AD129" i="24"/>
  <c r="AY129" i="24"/>
  <c r="AX129" i="24"/>
  <c r="AZ129" i="24"/>
  <c r="S129" i="24"/>
  <c r="K40" i="24" s="1"/>
  <c r="AG129" i="24"/>
  <c r="DF129" i="24"/>
  <c r="CV129" i="24"/>
  <c r="AL129" i="24"/>
  <c r="BH129" i="24"/>
  <c r="CX129" i="24"/>
  <c r="AV129" i="24"/>
  <c r="CH129" i="24"/>
  <c r="AP129" i="24"/>
  <c r="CK129" i="24"/>
  <c r="DC129" i="24"/>
  <c r="X129" i="24"/>
  <c r="BZ129" i="24"/>
  <c r="AH129" i="24"/>
  <c r="Q129" i="24"/>
  <c r="CQ129" i="24"/>
  <c r="CS129" i="24"/>
  <c r="BC129" i="24"/>
  <c r="BY129" i="24"/>
  <c r="M129" i="24"/>
  <c r="BO129" i="24"/>
  <c r="BF129" i="24"/>
  <c r="AI129" i="24"/>
  <c r="AO129" i="24"/>
  <c r="CM129" i="24"/>
  <c r="BI129" i="24"/>
  <c r="AA129" i="24"/>
  <c r="Y129" i="24"/>
  <c r="DA129" i="24"/>
  <c r="AE129" i="24"/>
  <c r="N129" i="24"/>
  <c r="T129" i="24"/>
  <c r="CB129" i="24"/>
  <c r="CO129" i="24"/>
  <c r="W129" i="24"/>
  <c r="AS129" i="24"/>
  <c r="BR129" i="24"/>
  <c r="BP129" i="24"/>
  <c r="CL129" i="24"/>
  <c r="Z129" i="24"/>
  <c r="CE129" i="24"/>
  <c r="BU129" i="24"/>
  <c r="CT129" i="24"/>
  <c r="AM129" i="24"/>
  <c r="V129" i="24"/>
  <c r="AJ129" i="24"/>
  <c r="CN129" i="24"/>
  <c r="BA129" i="24"/>
  <c r="K129" i="24"/>
  <c r="CC129" i="24"/>
  <c r="CZ129" i="24"/>
  <c r="CI129" i="24"/>
  <c r="I129" i="24"/>
  <c r="CW129" i="24"/>
  <c r="CY129" i="24"/>
  <c r="CA129" i="24"/>
  <c r="O129" i="24"/>
  <c r="AK129" i="24"/>
  <c r="BJ129" i="24"/>
  <c r="AR129" i="24"/>
  <c r="CD129" i="24"/>
  <c r="R129" i="24"/>
  <c r="J40" i="24" s="1"/>
  <c r="BW129" i="24"/>
  <c r="BM129" i="24"/>
  <c r="BL129" i="24"/>
  <c r="DE129" i="24"/>
  <c r="DD129" i="24"/>
  <c r="BS129" i="24"/>
  <c r="J129" i="24"/>
  <c r="AC129" i="24"/>
  <c r="BB129" i="24"/>
  <c r="AB129" i="24"/>
  <c r="BV129" i="24"/>
  <c r="CF129" i="24"/>
  <c r="BG129" i="24"/>
  <c r="BE129" i="24"/>
  <c r="BD129" i="24"/>
  <c r="DB129" i="24"/>
  <c r="CR129" i="24"/>
  <c r="BK129" i="24"/>
  <c r="CG129" i="24"/>
  <c r="U129" i="24"/>
  <c r="AT129" i="24"/>
  <c r="L129" i="24"/>
  <c r="BN129" i="24"/>
  <c r="BX129" i="24"/>
  <c r="AQ129" i="24"/>
  <c r="AW129" i="24"/>
  <c r="BT129" i="24"/>
  <c r="CJ129" i="24"/>
  <c r="CP129" i="24"/>
  <c r="CU129" i="24"/>
  <c r="L120" i="24"/>
  <c r="J98" i="24"/>
  <c r="K98" i="24" s="1"/>
  <c r="L98" i="24" s="1"/>
  <c r="M98" i="24" s="1"/>
  <c r="N98" i="24" s="1"/>
  <c r="O98" i="24" s="1"/>
  <c r="P98" i="24" s="1"/>
  <c r="Q98" i="24" s="1"/>
  <c r="R98" i="24" s="1"/>
  <c r="S98" i="24" s="1"/>
  <c r="T98" i="24" s="1"/>
  <c r="U98" i="24" s="1"/>
  <c r="V98" i="24" s="1"/>
  <c r="W98" i="24" s="1"/>
  <c r="X98" i="24" s="1"/>
  <c r="Y98" i="24" s="1"/>
  <c r="Z98" i="24" s="1"/>
  <c r="AA98" i="24" s="1"/>
  <c r="AB98" i="24" s="1"/>
  <c r="AC98" i="24" s="1"/>
  <c r="AD98" i="24" s="1"/>
  <c r="AE98" i="24" s="1"/>
  <c r="AF98" i="24" s="1"/>
  <c r="AG98" i="24" s="1"/>
  <c r="AH98" i="24" s="1"/>
  <c r="AI98" i="24" s="1"/>
  <c r="AJ98" i="24" s="1"/>
  <c r="AK98" i="24" s="1"/>
  <c r="AL98" i="24" s="1"/>
  <c r="AM98" i="24" s="1"/>
  <c r="AN98" i="24" s="1"/>
  <c r="AO98" i="24" s="1"/>
  <c r="AP98" i="24" s="1"/>
  <c r="AQ98" i="24" s="1"/>
  <c r="AR98" i="24" s="1"/>
  <c r="AS98" i="24" s="1"/>
  <c r="AT98" i="24" s="1"/>
  <c r="AU98" i="24" s="1"/>
  <c r="AV98" i="24" s="1"/>
  <c r="AW98" i="24" s="1"/>
  <c r="AX98" i="24" s="1"/>
  <c r="AY98" i="24" s="1"/>
  <c r="AZ98" i="24" s="1"/>
  <c r="BA98" i="24" s="1"/>
  <c r="BB98" i="24" s="1"/>
  <c r="BC98" i="24" s="1"/>
  <c r="BD98" i="24" s="1"/>
  <c r="BE98" i="24" s="1"/>
  <c r="BF98" i="24" s="1"/>
  <c r="BG98" i="24" s="1"/>
  <c r="BH98" i="24" s="1"/>
  <c r="BI98" i="24" s="1"/>
  <c r="BJ98" i="24" s="1"/>
  <c r="BK98" i="24" s="1"/>
  <c r="BL98" i="24" s="1"/>
  <c r="BM98" i="24" s="1"/>
  <c r="BN98" i="24" s="1"/>
  <c r="BO98" i="24" s="1"/>
  <c r="BP98" i="24" s="1"/>
  <c r="BQ98" i="24" s="1"/>
  <c r="BR98" i="24" s="1"/>
  <c r="BS98" i="24" s="1"/>
  <c r="K42" i="24"/>
  <c r="K104" i="24" s="1"/>
  <c r="J42" i="24"/>
  <c r="J104" i="24" s="1"/>
  <c r="L42" i="24"/>
  <c r="M39" i="24" l="1"/>
  <c r="L40" i="24"/>
  <c r="L89" i="24" s="1"/>
  <c r="J89" i="24"/>
  <c r="K89" i="24"/>
  <c r="M120" i="24"/>
  <c r="L104" i="24"/>
  <c r="C153" i="28"/>
  <c r="C154" i="28"/>
  <c r="C149" i="28"/>
  <c r="C150" i="28"/>
  <c r="C151" i="28"/>
  <c r="C152" i="28"/>
  <c r="B148" i="28"/>
  <c r="C148" i="28"/>
  <c r="C77" i="31"/>
  <c r="B18" i="31"/>
  <c r="B19" i="31" s="1"/>
  <c r="B20" i="31" s="1"/>
  <c r="B21" i="31" s="1"/>
  <c r="B22" i="31"/>
  <c r="B23" i="31" s="1"/>
  <c r="B24" i="31" s="1"/>
  <c r="B25" i="31" s="1"/>
  <c r="B26" i="31"/>
  <c r="B27" i="31" s="1"/>
  <c r="B28" i="31" s="1"/>
  <c r="B29" i="31" s="1"/>
  <c r="B30" i="31"/>
  <c r="B31" i="31" s="1"/>
  <c r="B32" i="31" s="1"/>
  <c r="B33" i="31" s="1"/>
  <c r="B34" i="31"/>
  <c r="B35" i="31" s="1"/>
  <c r="B36" i="31" s="1"/>
  <c r="B37" i="31" s="1"/>
  <c r="B38" i="31"/>
  <c r="B39" i="31" s="1"/>
  <c r="B40" i="31" s="1"/>
  <c r="B41" i="31" s="1"/>
  <c r="B42" i="31"/>
  <c r="B43" i="31"/>
  <c r="B44" i="31" s="1"/>
  <c r="B45" i="31" s="1"/>
  <c r="B46" i="31"/>
  <c r="B47" i="31" s="1"/>
  <c r="B48" i="31" s="1"/>
  <c r="B49" i="31" s="1"/>
  <c r="B50" i="31"/>
  <c r="B51" i="31" s="1"/>
  <c r="B52" i="31" s="1"/>
  <c r="B53" i="31" s="1"/>
  <c r="B54" i="31"/>
  <c r="B55" i="31" s="1"/>
  <c r="B56" i="31" s="1"/>
  <c r="B57" i="31" s="1"/>
  <c r="B58" i="31"/>
  <c r="B59" i="31" s="1"/>
  <c r="B60" i="31" s="1"/>
  <c r="B61" i="31" s="1"/>
  <c r="B62" i="31"/>
  <c r="B63" i="31" s="1"/>
  <c r="B64" i="31" s="1"/>
  <c r="B65" i="31" s="1"/>
  <c r="B66" i="31"/>
  <c r="B67" i="31" s="1"/>
  <c r="B68" i="31" s="1"/>
  <c r="B69" i="31" s="1"/>
  <c r="B70" i="31"/>
  <c r="B71" i="31" s="1"/>
  <c r="B72" i="31" s="1"/>
  <c r="B73" i="31" s="1"/>
  <c r="B74" i="31"/>
  <c r="B75" i="31" s="1"/>
  <c r="B76" i="31" s="1"/>
  <c r="B77" i="31" s="1"/>
  <c r="B6" i="31"/>
  <c r="B7" i="31"/>
  <c r="B8" i="31" s="1"/>
  <c r="B9" i="31" s="1"/>
  <c r="B10" i="31"/>
  <c r="B11" i="31" s="1"/>
  <c r="B12" i="31" s="1"/>
  <c r="B13" i="31" s="1"/>
  <c r="B14" i="31"/>
  <c r="B15" i="31" s="1"/>
  <c r="B16" i="31" s="1"/>
  <c r="B17" i="31" s="1"/>
  <c r="C7" i="31"/>
  <c r="C11" i="31" s="1"/>
  <c r="C15" i="31" s="1"/>
  <c r="C19" i="31" s="1"/>
  <c r="C23" i="31" s="1"/>
  <c r="C27" i="31" s="1"/>
  <c r="C31" i="31" s="1"/>
  <c r="C35" i="31" s="1"/>
  <c r="C39" i="31" s="1"/>
  <c r="C43" i="31" s="1"/>
  <c r="C47" i="31" s="1"/>
  <c r="C51" i="31" s="1"/>
  <c r="C55" i="31" s="1"/>
  <c r="C59" i="31" s="1"/>
  <c r="C63" i="31" s="1"/>
  <c r="C67" i="31" s="1"/>
  <c r="C71" i="31" s="1"/>
  <c r="C8" i="31"/>
  <c r="C12" i="31" s="1"/>
  <c r="C16" i="31" s="1"/>
  <c r="C20" i="31" s="1"/>
  <c r="C24" i="31" s="1"/>
  <c r="C28" i="31" s="1"/>
  <c r="C32" i="31" s="1"/>
  <c r="C36" i="31" s="1"/>
  <c r="C40" i="31" s="1"/>
  <c r="C44" i="31" s="1"/>
  <c r="C48" i="31" s="1"/>
  <c r="C52" i="31" s="1"/>
  <c r="C56" i="31" s="1"/>
  <c r="C60" i="31" s="1"/>
  <c r="C64" i="31" s="1"/>
  <c r="C68" i="31" s="1"/>
  <c r="C72" i="31" s="1"/>
  <c r="C76" i="31" s="1"/>
  <c r="C9" i="31"/>
  <c r="C13" i="31" s="1"/>
  <c r="C17" i="31" s="1"/>
  <c r="C21" i="31" s="1"/>
  <c r="C25" i="31" s="1"/>
  <c r="C29" i="31" s="1"/>
  <c r="C33" i="31" s="1"/>
  <c r="C37" i="31" s="1"/>
  <c r="C41" i="31" s="1"/>
  <c r="C45" i="31" s="1"/>
  <c r="C49" i="31" s="1"/>
  <c r="C53" i="31" s="1"/>
  <c r="C57" i="31" s="1"/>
  <c r="C61" i="31" s="1"/>
  <c r="C65" i="31" s="1"/>
  <c r="C69" i="31" s="1"/>
  <c r="C73" i="31" s="1"/>
  <c r="C6" i="31"/>
  <c r="C10" i="31" s="1"/>
  <c r="C14" i="31" s="1"/>
  <c r="C18" i="31" s="1"/>
  <c r="C22" i="31" s="1"/>
  <c r="C26" i="31" s="1"/>
  <c r="C30" i="31" s="1"/>
  <c r="C34" i="31" s="1"/>
  <c r="C38" i="31" s="1"/>
  <c r="C42" i="31" s="1"/>
  <c r="C46" i="31" s="1"/>
  <c r="C50" i="31" s="1"/>
  <c r="C54" i="31" s="1"/>
  <c r="C58" i="31" s="1"/>
  <c r="C62" i="31" s="1"/>
  <c r="B2" i="31"/>
  <c r="B3" i="31" s="1"/>
  <c r="E3" i="31" s="1"/>
  <c r="J13" i="24"/>
  <c r="C20" i="24" s="1"/>
  <c r="O12" i="24"/>
  <c r="O8" i="24"/>
  <c r="H84" i="24" s="1"/>
  <c r="O9" i="24"/>
  <c r="H76" i="24" s="1"/>
  <c r="O10" i="24"/>
  <c r="H78" i="24" s="1"/>
  <c r="O15" i="24"/>
  <c r="H113" i="24" s="1"/>
  <c r="O7" i="24"/>
  <c r="H74" i="24" s="1"/>
  <c r="P8" i="24"/>
  <c r="P9" i="24"/>
  <c r="P10" i="24"/>
  <c r="P12" i="24"/>
  <c r="P15" i="24"/>
  <c r="P7" i="24"/>
  <c r="L8" i="24"/>
  <c r="L9" i="24"/>
  <c r="L10" i="24"/>
  <c r="L12" i="24"/>
  <c r="B33" i="24" s="1"/>
  <c r="L15" i="24"/>
  <c r="L7" i="24"/>
  <c r="X8" i="24"/>
  <c r="X9" i="24"/>
  <c r="X10" i="24"/>
  <c r="X11" i="24"/>
  <c r="X12" i="24"/>
  <c r="X13" i="24"/>
  <c r="X14" i="24"/>
  <c r="X15" i="24"/>
  <c r="X16" i="24"/>
  <c r="X17" i="24"/>
  <c r="X18" i="24"/>
  <c r="X19" i="24"/>
  <c r="X20" i="24"/>
  <c r="X21" i="24"/>
  <c r="X7" i="24"/>
  <c r="U8" i="24"/>
  <c r="K57" i="24" s="1"/>
  <c r="U9" i="24"/>
  <c r="L57" i="24" s="1"/>
  <c r="U10" i="24"/>
  <c r="M57" i="24" s="1"/>
  <c r="U11" i="24"/>
  <c r="N57" i="24" s="1"/>
  <c r="U12" i="24"/>
  <c r="O57" i="24" s="1"/>
  <c r="U13" i="24"/>
  <c r="P57" i="24" s="1"/>
  <c r="U14" i="24"/>
  <c r="Q57" i="24" s="1"/>
  <c r="U15" i="24"/>
  <c r="R57" i="24" s="1"/>
  <c r="U16" i="24"/>
  <c r="S57" i="24" s="1"/>
  <c r="U7" i="24"/>
  <c r="J57" i="24" s="1"/>
  <c r="V8" i="24"/>
  <c r="V7" i="24"/>
  <c r="R8" i="24"/>
  <c r="R7" i="24"/>
  <c r="N39" i="24" l="1"/>
  <c r="M40" i="24"/>
  <c r="M89" i="24" s="1"/>
  <c r="E148" i="28"/>
  <c r="N120" i="24"/>
  <c r="Q113" i="24"/>
  <c r="Y113" i="24"/>
  <c r="AG113" i="24"/>
  <c r="AO113" i="24"/>
  <c r="AW113" i="24"/>
  <c r="BE113" i="24"/>
  <c r="BM113" i="24"/>
  <c r="K113" i="24"/>
  <c r="S113" i="24"/>
  <c r="AA113" i="24"/>
  <c r="AI113" i="24"/>
  <c r="AQ113" i="24"/>
  <c r="AY113" i="24"/>
  <c r="BG113" i="24"/>
  <c r="BO113" i="24"/>
  <c r="L113" i="24"/>
  <c r="T113" i="24"/>
  <c r="AB113" i="24"/>
  <c r="AJ113" i="24"/>
  <c r="AR113" i="24"/>
  <c r="AZ113" i="24"/>
  <c r="BH113" i="24"/>
  <c r="BP113" i="24"/>
  <c r="M113" i="24"/>
  <c r="U113" i="24"/>
  <c r="AC113" i="24"/>
  <c r="AK113" i="24"/>
  <c r="AS113" i="24"/>
  <c r="BA113" i="24"/>
  <c r="BI113" i="24"/>
  <c r="BQ113" i="24"/>
  <c r="V113" i="24"/>
  <c r="AD113" i="24"/>
  <c r="AT113" i="24"/>
  <c r="BB113" i="24"/>
  <c r="BJ113" i="24"/>
  <c r="BR113" i="24"/>
  <c r="W113" i="24"/>
  <c r="AE113" i="24"/>
  <c r="AM113" i="24"/>
  <c r="BC113" i="24"/>
  <c r="BK113" i="24"/>
  <c r="R113" i="24"/>
  <c r="AH113" i="24"/>
  <c r="AX113" i="24"/>
  <c r="BN113" i="24"/>
  <c r="N113" i="24"/>
  <c r="AL113" i="24"/>
  <c r="AU113" i="24"/>
  <c r="BS113" i="24"/>
  <c r="Z113" i="24"/>
  <c r="AP113" i="24"/>
  <c r="BF113" i="24"/>
  <c r="O113" i="24"/>
  <c r="P113" i="24"/>
  <c r="X113" i="24"/>
  <c r="AF113" i="24"/>
  <c r="AN113" i="24"/>
  <c r="AV113" i="24"/>
  <c r="BD113" i="24"/>
  <c r="BL113" i="24"/>
  <c r="J113" i="24"/>
  <c r="M42" i="24"/>
  <c r="M104" i="24" s="1"/>
  <c r="E77" i="31"/>
  <c r="B149" i="28"/>
  <c r="E149" i="28" s="1"/>
  <c r="C75" i="31"/>
  <c r="E75" i="31" s="1"/>
  <c r="E62" i="31"/>
  <c r="C66" i="31"/>
  <c r="E67" i="31"/>
  <c r="E63" i="31"/>
  <c r="E64" i="31"/>
  <c r="E2" i="31"/>
  <c r="E43" i="31"/>
  <c r="E23" i="31"/>
  <c r="B4" i="31"/>
  <c r="B5" i="31" s="1"/>
  <c r="J32" i="24"/>
  <c r="K32" i="24"/>
  <c r="J33" i="24"/>
  <c r="K33" i="24"/>
  <c r="K31" i="24"/>
  <c r="J31" i="24"/>
  <c r="I32" i="24"/>
  <c r="I33" i="24"/>
  <c r="I31" i="24"/>
  <c r="H31" i="24"/>
  <c r="B12" i="24" s="1"/>
  <c r="K35" i="24"/>
  <c r="K36" i="24"/>
  <c r="K34" i="24"/>
  <c r="J35" i="24"/>
  <c r="J36" i="24"/>
  <c r="J34" i="24"/>
  <c r="I35" i="24"/>
  <c r="I36" i="24"/>
  <c r="I34" i="24"/>
  <c r="H34" i="24"/>
  <c r="B13" i="24" s="1"/>
  <c r="K48" i="24"/>
  <c r="L48" i="24" s="1"/>
  <c r="M48" i="24" s="1"/>
  <c r="N48" i="24" s="1"/>
  <c r="O48" i="24" s="1"/>
  <c r="P48" i="24" s="1"/>
  <c r="H118" i="24"/>
  <c r="J29" i="24"/>
  <c r="J30" i="24"/>
  <c r="J28" i="24"/>
  <c r="J26" i="24"/>
  <c r="J27" i="24"/>
  <c r="J25" i="24"/>
  <c r="J23" i="24"/>
  <c r="J24" i="24"/>
  <c r="J22" i="24"/>
  <c r="J20" i="24"/>
  <c r="J16" i="24"/>
  <c r="J15" i="24"/>
  <c r="C29" i="24" s="1"/>
  <c r="K29" i="24"/>
  <c r="K30" i="24"/>
  <c r="K28" i="24"/>
  <c r="K23" i="24"/>
  <c r="K24" i="24"/>
  <c r="K25" i="24"/>
  <c r="K26" i="24"/>
  <c r="K27" i="24"/>
  <c r="K22" i="24"/>
  <c r="K20" i="24"/>
  <c r="K16" i="24"/>
  <c r="K15" i="24"/>
  <c r="K14" i="24"/>
  <c r="D26" i="24" s="1"/>
  <c r="J14" i="24"/>
  <c r="J9" i="24"/>
  <c r="C37" i="24" s="1"/>
  <c r="J8" i="24"/>
  <c r="J7" i="24"/>
  <c r="I26" i="24"/>
  <c r="I27" i="24"/>
  <c r="I25" i="24"/>
  <c r="H25" i="24"/>
  <c r="B10" i="24" s="1"/>
  <c r="I29" i="24"/>
  <c r="I30" i="24"/>
  <c r="I28" i="24"/>
  <c r="H28" i="24"/>
  <c r="B11" i="24" s="1"/>
  <c r="I23" i="24"/>
  <c r="I24" i="24"/>
  <c r="I22" i="24"/>
  <c r="H15" i="24"/>
  <c r="B29" i="24" s="1"/>
  <c r="H16" i="24"/>
  <c r="B27" i="24" s="1"/>
  <c r="H20" i="24"/>
  <c r="H22" i="24"/>
  <c r="B9" i="24" s="1"/>
  <c r="O39" i="24" l="1"/>
  <c r="N40" i="24"/>
  <c r="N89" i="24" s="1"/>
  <c r="O120" i="24"/>
  <c r="D59" i="24"/>
  <c r="D68" i="24"/>
  <c r="D61" i="24"/>
  <c r="H52" i="24"/>
  <c r="J52" i="24"/>
  <c r="K52" i="24" s="1"/>
  <c r="L52" i="24" s="1"/>
  <c r="M52" i="24" s="1"/>
  <c r="N52" i="24" s="1"/>
  <c r="O52" i="24" s="1"/>
  <c r="P52" i="24" s="1"/>
  <c r="Q52" i="24" s="1"/>
  <c r="R52" i="24" s="1"/>
  <c r="S52" i="24" s="1"/>
  <c r="T52" i="24" s="1"/>
  <c r="U52" i="24" s="1"/>
  <c r="V52" i="24" s="1"/>
  <c r="W52" i="24" s="1"/>
  <c r="X52" i="24" s="1"/>
  <c r="Y52" i="24" s="1"/>
  <c r="Z52" i="24" s="1"/>
  <c r="AA52" i="24" s="1"/>
  <c r="AB52" i="24" s="1"/>
  <c r="AC52" i="24" s="1"/>
  <c r="AD52" i="24" s="1"/>
  <c r="AE52" i="24" s="1"/>
  <c r="AF52" i="24" s="1"/>
  <c r="AG52" i="24" s="1"/>
  <c r="AH52" i="24" s="1"/>
  <c r="AI52" i="24" s="1"/>
  <c r="AJ52" i="24" s="1"/>
  <c r="AK52" i="24" s="1"/>
  <c r="AL52" i="24" s="1"/>
  <c r="AM52" i="24" s="1"/>
  <c r="AN52" i="24" s="1"/>
  <c r="AO52" i="24" s="1"/>
  <c r="AP52" i="24" s="1"/>
  <c r="AQ52" i="24" s="1"/>
  <c r="AR52" i="24" s="1"/>
  <c r="AS52" i="24" s="1"/>
  <c r="AT52" i="24" s="1"/>
  <c r="AU52" i="24" s="1"/>
  <c r="AV52" i="24" s="1"/>
  <c r="AW52" i="24" s="1"/>
  <c r="AX52" i="24" s="1"/>
  <c r="AY52" i="24" s="1"/>
  <c r="AZ52" i="24" s="1"/>
  <c r="BA52" i="24" s="1"/>
  <c r="BB52" i="24" s="1"/>
  <c r="BC52" i="24" s="1"/>
  <c r="BD52" i="24" s="1"/>
  <c r="BE52" i="24" s="1"/>
  <c r="BF52" i="24" s="1"/>
  <c r="BG52" i="24" s="1"/>
  <c r="BH52" i="24" s="1"/>
  <c r="BI52" i="24" s="1"/>
  <c r="BJ52" i="24" s="1"/>
  <c r="BK52" i="24" s="1"/>
  <c r="BL52" i="24" s="1"/>
  <c r="BM52" i="24" s="1"/>
  <c r="BN52" i="24" s="1"/>
  <c r="BO52" i="24" s="1"/>
  <c r="BP52" i="24" s="1"/>
  <c r="BQ52" i="24" s="1"/>
  <c r="BR52" i="24" s="1"/>
  <c r="BS52" i="24" s="1"/>
  <c r="C30" i="24"/>
  <c r="N42" i="24"/>
  <c r="N104" i="24" s="1"/>
  <c r="H58" i="24"/>
  <c r="H59" i="24" s="1"/>
  <c r="H69" i="24"/>
  <c r="H67" i="24"/>
  <c r="H68" i="24" s="1"/>
  <c r="B150" i="28"/>
  <c r="E150" i="28" s="1"/>
  <c r="E66" i="31"/>
  <c r="C70" i="31"/>
  <c r="E68" i="31"/>
  <c r="E76" i="31"/>
  <c r="E71" i="31"/>
  <c r="E46" i="31"/>
  <c r="E50" i="31"/>
  <c r="E10" i="31"/>
  <c r="E44" i="31"/>
  <c r="E30" i="31"/>
  <c r="E24" i="31"/>
  <c r="E6" i="31"/>
  <c r="E14" i="31"/>
  <c r="E4" i="31"/>
  <c r="H61" i="24"/>
  <c r="K61" i="24" s="1"/>
  <c r="J45" i="24"/>
  <c r="K46" i="24"/>
  <c r="C21" i="24"/>
  <c r="Q48" i="24"/>
  <c r="P39" i="24" l="1"/>
  <c r="O40" i="24"/>
  <c r="O89" i="24" s="1"/>
  <c r="C22" i="24"/>
  <c r="C24" i="24" s="1"/>
  <c r="K66" i="24"/>
  <c r="K69" i="24" s="1"/>
  <c r="J66" i="24"/>
  <c r="J69" i="24" s="1"/>
  <c r="P120" i="24"/>
  <c r="O42" i="24"/>
  <c r="O104" i="24" s="1"/>
  <c r="B151" i="28"/>
  <c r="E151" i="28" s="1"/>
  <c r="E15" i="31"/>
  <c r="E38" i="31"/>
  <c r="E69" i="31"/>
  <c r="E70" i="31"/>
  <c r="E72" i="31"/>
  <c r="E65" i="31"/>
  <c r="E7" i="31"/>
  <c r="E31" i="31"/>
  <c r="E51" i="31"/>
  <c r="E34" i="31"/>
  <c r="E11" i="31"/>
  <c r="E47" i="31"/>
  <c r="M61" i="24"/>
  <c r="O61" i="24"/>
  <c r="R61" i="24"/>
  <c r="Q61" i="24"/>
  <c r="L61" i="24"/>
  <c r="P61" i="24"/>
  <c r="N61" i="24"/>
  <c r="S61" i="24"/>
  <c r="L46" i="24"/>
  <c r="L66" i="24" s="1"/>
  <c r="J59" i="24"/>
  <c r="N59" i="24"/>
  <c r="Q59" i="24"/>
  <c r="P59" i="24"/>
  <c r="R59" i="24"/>
  <c r="S59" i="24"/>
  <c r="L59" i="24"/>
  <c r="M59" i="24"/>
  <c r="O59" i="24"/>
  <c r="K59" i="24"/>
  <c r="K62" i="24" s="1"/>
  <c r="K63" i="24" s="1"/>
  <c r="J61" i="24"/>
  <c r="R48" i="24"/>
  <c r="Q39" i="24" l="1"/>
  <c r="P40" i="24"/>
  <c r="P89" i="24" s="1"/>
  <c r="C23" i="24"/>
  <c r="K99" i="24" s="1"/>
  <c r="Q120" i="24"/>
  <c r="P42" i="24"/>
  <c r="P104" i="24" s="1"/>
  <c r="J68" i="24"/>
  <c r="J70" i="24" s="1"/>
  <c r="B152" i="28"/>
  <c r="E152" i="28" s="1"/>
  <c r="E16" i="31"/>
  <c r="E12" i="31"/>
  <c r="E52" i="31"/>
  <c r="E18" i="31"/>
  <c r="E5" i="31"/>
  <c r="C74" i="31"/>
  <c r="E74" i="31" s="1"/>
  <c r="E40" i="31"/>
  <c r="E58" i="31"/>
  <c r="E35" i="31"/>
  <c r="E32" i="31"/>
  <c r="E54" i="31"/>
  <c r="E8" i="31"/>
  <c r="E48" i="31"/>
  <c r="P62" i="24"/>
  <c r="P63" i="24" s="1"/>
  <c r="O62" i="24"/>
  <c r="O63" i="24" s="1"/>
  <c r="M62" i="24"/>
  <c r="M63" i="24" s="1"/>
  <c r="L62" i="24"/>
  <c r="L63" i="24" s="1"/>
  <c r="S62" i="24"/>
  <c r="M46" i="24"/>
  <c r="M66" i="24" s="1"/>
  <c r="L69" i="24"/>
  <c r="R62" i="24"/>
  <c r="R63" i="24" s="1"/>
  <c r="J62" i="24"/>
  <c r="Q62" i="24"/>
  <c r="Q63" i="24" s="1"/>
  <c r="N62" i="24"/>
  <c r="N63" i="24" s="1"/>
  <c r="K68" i="24"/>
  <c r="K70" i="24" s="1"/>
  <c r="K71" i="24" s="1"/>
  <c r="S48" i="24"/>
  <c r="R39" i="24" l="1"/>
  <c r="Q40" i="24"/>
  <c r="Q89" i="24" s="1"/>
  <c r="L84" i="24"/>
  <c r="K78" i="24"/>
  <c r="K79" i="24" s="1"/>
  <c r="K74" i="24"/>
  <c r="K75" i="24" s="1"/>
  <c r="J84" i="24"/>
  <c r="K45" i="24"/>
  <c r="K84" i="24"/>
  <c r="L76" i="24"/>
  <c r="L77" i="24" s="1"/>
  <c r="J76" i="24"/>
  <c r="J77" i="24" s="1"/>
  <c r="L45" i="24"/>
  <c r="J99" i="24"/>
  <c r="L74" i="24"/>
  <c r="L75" i="24" s="1"/>
  <c r="J74" i="24"/>
  <c r="J75" i="24" s="1"/>
  <c r="K76" i="24"/>
  <c r="K77" i="24" s="1"/>
  <c r="L78" i="24"/>
  <c r="L79" i="24" s="1"/>
  <c r="L99" i="24"/>
  <c r="J78" i="24"/>
  <c r="J79" i="24" s="1"/>
  <c r="J51" i="24"/>
  <c r="K51" i="24" s="1"/>
  <c r="M99" i="24"/>
  <c r="R120" i="24"/>
  <c r="Q42" i="24"/>
  <c r="Q104" i="24" s="1"/>
  <c r="M84" i="24"/>
  <c r="J71" i="24"/>
  <c r="M45" i="24"/>
  <c r="B153" i="28"/>
  <c r="E153" i="28" s="1"/>
  <c r="E26" i="31"/>
  <c r="E53" i="31"/>
  <c r="E20" i="31"/>
  <c r="E19" i="31"/>
  <c r="E49" i="31"/>
  <c r="E17" i="31"/>
  <c r="E55" i="31"/>
  <c r="E73" i="31"/>
  <c r="E33" i="31"/>
  <c r="E60" i="31"/>
  <c r="E22" i="31"/>
  <c r="J63" i="24"/>
  <c r="H62" i="24"/>
  <c r="M69" i="24"/>
  <c r="M78" i="24"/>
  <c r="M79" i="24" s="1"/>
  <c r="M76" i="24"/>
  <c r="M77" i="24" s="1"/>
  <c r="M74" i="24"/>
  <c r="M75" i="24" s="1"/>
  <c r="N46" i="24"/>
  <c r="N66" i="24" s="1"/>
  <c r="L68" i="24"/>
  <c r="S63" i="24"/>
  <c r="T48" i="24"/>
  <c r="S39" i="24" l="1"/>
  <c r="R40" i="24"/>
  <c r="L80" i="24"/>
  <c r="L81" i="24" s="1"/>
  <c r="J80" i="24"/>
  <c r="J81" i="24" s="1"/>
  <c r="K80" i="24"/>
  <c r="K81" i="24" s="1"/>
  <c r="J118" i="24"/>
  <c r="J121" i="24" s="1"/>
  <c r="J123" i="24" s="1"/>
  <c r="J124" i="24" s="1"/>
  <c r="J53" i="24"/>
  <c r="J91" i="24" s="1"/>
  <c r="J92" i="24" s="1"/>
  <c r="J93" i="24" s="1"/>
  <c r="L51" i="24"/>
  <c r="K118" i="24"/>
  <c r="K121" i="24" s="1"/>
  <c r="K123" i="24" s="1"/>
  <c r="K124" i="24" s="1"/>
  <c r="K53" i="24"/>
  <c r="K54" i="24" s="1"/>
  <c r="N99" i="24"/>
  <c r="S120" i="24"/>
  <c r="R42" i="24"/>
  <c r="R104" i="24" s="1"/>
  <c r="R89" i="24"/>
  <c r="N84" i="24"/>
  <c r="L70" i="24"/>
  <c r="H63" i="24"/>
  <c r="B154" i="28"/>
  <c r="E154" i="28" s="1"/>
  <c r="E9" i="31"/>
  <c r="E13" i="31"/>
  <c r="E41" i="31"/>
  <c r="E27" i="31"/>
  <c r="E37" i="31"/>
  <c r="E25" i="31"/>
  <c r="M80" i="24"/>
  <c r="M81" i="24" s="1"/>
  <c r="N74" i="24"/>
  <c r="N75" i="24" s="1"/>
  <c r="N76" i="24"/>
  <c r="N77" i="24" s="1"/>
  <c r="N78" i="24"/>
  <c r="N79" i="24" s="1"/>
  <c r="N69" i="24"/>
  <c r="O46" i="24"/>
  <c r="O66" i="24" s="1"/>
  <c r="N45" i="24"/>
  <c r="M68" i="24"/>
  <c r="U48" i="24"/>
  <c r="T39" i="24" l="1"/>
  <c r="S40" i="24"/>
  <c r="J97" i="24"/>
  <c r="J100" i="24" s="1"/>
  <c r="J101" i="24" s="1"/>
  <c r="J85" i="24"/>
  <c r="J86" i="24" s="1"/>
  <c r="J54" i="24"/>
  <c r="K97" i="24"/>
  <c r="K100" i="24" s="1"/>
  <c r="K101" i="24" s="1"/>
  <c r="M51" i="24"/>
  <c r="L53" i="24"/>
  <c r="L118" i="24"/>
  <c r="L121" i="24" s="1"/>
  <c r="L123" i="24" s="1"/>
  <c r="L124" i="24" s="1"/>
  <c r="K91" i="24"/>
  <c r="K92" i="24" s="1"/>
  <c r="K93" i="24" s="1"/>
  <c r="K85" i="24"/>
  <c r="K86" i="24" s="1"/>
  <c r="O99" i="24"/>
  <c r="T120" i="24"/>
  <c r="O84" i="24"/>
  <c r="S42" i="24"/>
  <c r="S104" i="24" s="1"/>
  <c r="S89" i="24"/>
  <c r="L71" i="24"/>
  <c r="B155" i="28"/>
  <c r="E155" i="28" s="1"/>
  <c r="E21" i="31"/>
  <c r="E57" i="31"/>
  <c r="E28" i="31"/>
  <c r="E61" i="31"/>
  <c r="M70" i="24"/>
  <c r="M71" i="24" s="1"/>
  <c r="O78" i="24"/>
  <c r="O79" i="24" s="1"/>
  <c r="O74" i="24"/>
  <c r="O75" i="24" s="1"/>
  <c r="O69" i="24"/>
  <c r="O76" i="24"/>
  <c r="O77" i="24" s="1"/>
  <c r="P46" i="24"/>
  <c r="P66" i="24" s="1"/>
  <c r="O45" i="24"/>
  <c r="N68" i="24"/>
  <c r="N80" i="24"/>
  <c r="V48" i="24"/>
  <c r="U39" i="24" l="1"/>
  <c r="T40" i="24"/>
  <c r="L54" i="24"/>
  <c r="L85" i="24"/>
  <c r="L86" i="24" s="1"/>
  <c r="L91" i="24"/>
  <c r="L92" i="24" s="1"/>
  <c r="L93" i="24" s="1"/>
  <c r="L97" i="24"/>
  <c r="L100" i="24" s="1"/>
  <c r="L101" i="24" s="1"/>
  <c r="N51" i="24"/>
  <c r="M118" i="24"/>
  <c r="M121" i="24" s="1"/>
  <c r="M123" i="24" s="1"/>
  <c r="M124" i="24" s="1"/>
  <c r="M53" i="24"/>
  <c r="P99" i="24"/>
  <c r="U120" i="24"/>
  <c r="P84" i="24"/>
  <c r="T42" i="24"/>
  <c r="T104" i="24" s="1"/>
  <c r="T89" i="24"/>
  <c r="P76" i="24"/>
  <c r="P77" i="24" s="1"/>
  <c r="P74" i="24"/>
  <c r="P75" i="24" s="1"/>
  <c r="P78" i="24"/>
  <c r="P79" i="24" s="1"/>
  <c r="P69" i="24"/>
  <c r="Q46" i="24"/>
  <c r="Q66" i="24" s="1"/>
  <c r="P45" i="24"/>
  <c r="O68" i="24"/>
  <c r="N81" i="24"/>
  <c r="O80" i="24"/>
  <c r="O81" i="24" s="1"/>
  <c r="N70" i="24"/>
  <c r="N71" i="24" s="1"/>
  <c r="W48" i="24"/>
  <c r="V39" i="24" l="1"/>
  <c r="U40" i="24"/>
  <c r="U89" i="24" s="1"/>
  <c r="O51" i="24"/>
  <c r="N118" i="24"/>
  <c r="N121" i="24" s="1"/>
  <c r="N123" i="24" s="1"/>
  <c r="N124" i="24" s="1"/>
  <c r="N53" i="24"/>
  <c r="M97" i="24"/>
  <c r="M100" i="24" s="1"/>
  <c r="M101" i="24" s="1"/>
  <c r="M54" i="24"/>
  <c r="M85" i="24"/>
  <c r="M86" i="24" s="1"/>
  <c r="M91" i="24"/>
  <c r="M92" i="24" s="1"/>
  <c r="M93" i="24" s="1"/>
  <c r="Q99" i="24"/>
  <c r="V120" i="24"/>
  <c r="U42" i="24"/>
  <c r="U104" i="24" s="1"/>
  <c r="Q84" i="24"/>
  <c r="O70" i="24"/>
  <c r="O71" i="24" s="1"/>
  <c r="E29" i="31"/>
  <c r="E36" i="31"/>
  <c r="Q74" i="24"/>
  <c r="Q75" i="24" s="1"/>
  <c r="Q78" i="24"/>
  <c r="Q79" i="24" s="1"/>
  <c r="Q69" i="24"/>
  <c r="Q76" i="24"/>
  <c r="Q77" i="24" s="1"/>
  <c r="R46" i="24"/>
  <c r="R66" i="24" s="1"/>
  <c r="Q45" i="24"/>
  <c r="P80" i="24"/>
  <c r="P68" i="24"/>
  <c r="X48" i="24"/>
  <c r="W39" i="24" l="1"/>
  <c r="V40" i="24"/>
  <c r="V89" i="24" s="1"/>
  <c r="N54" i="24"/>
  <c r="N91" i="24"/>
  <c r="N92" i="24" s="1"/>
  <c r="N93" i="24" s="1"/>
  <c r="N97" i="24"/>
  <c r="N100" i="24" s="1"/>
  <c r="N101" i="24" s="1"/>
  <c r="N85" i="24"/>
  <c r="N86" i="24" s="1"/>
  <c r="P51" i="24"/>
  <c r="O118" i="24"/>
  <c r="O121" i="24" s="1"/>
  <c r="O123" i="24" s="1"/>
  <c r="O124" i="24" s="1"/>
  <c r="O53" i="24"/>
  <c r="R99" i="24"/>
  <c r="W120" i="24"/>
  <c r="V42" i="24"/>
  <c r="V104" i="24" s="1"/>
  <c r="R84" i="24"/>
  <c r="E39" i="31"/>
  <c r="P70" i="24"/>
  <c r="P71" i="24" s="1"/>
  <c r="R76" i="24"/>
  <c r="R77" i="24" s="1"/>
  <c r="R74" i="24"/>
  <c r="R75" i="24" s="1"/>
  <c r="R78" i="24"/>
  <c r="R79" i="24" s="1"/>
  <c r="R69" i="24"/>
  <c r="S46" i="24"/>
  <c r="S66" i="24" s="1"/>
  <c r="R45" i="24"/>
  <c r="Q27" i="24"/>
  <c r="P81" i="24"/>
  <c r="Q68" i="24"/>
  <c r="Q80" i="24"/>
  <c r="Q81" i="24" s="1"/>
  <c r="Y48" i="24"/>
  <c r="X39" i="24" l="1"/>
  <c r="W40" i="24"/>
  <c r="W89" i="24" s="1"/>
  <c r="O85" i="24"/>
  <c r="O86" i="24" s="1"/>
  <c r="O91" i="24"/>
  <c r="O92" i="24" s="1"/>
  <c r="O93" i="24" s="1"/>
  <c r="O54" i="24"/>
  <c r="O97" i="24"/>
  <c r="O100" i="24" s="1"/>
  <c r="O101" i="24" s="1"/>
  <c r="Q51" i="24"/>
  <c r="P118" i="24"/>
  <c r="P121" i="24" s="1"/>
  <c r="P123" i="24" s="1"/>
  <c r="P124" i="24" s="1"/>
  <c r="P53" i="24"/>
  <c r="S99" i="24"/>
  <c r="X120" i="24"/>
  <c r="W42" i="24"/>
  <c r="W104" i="24" s="1"/>
  <c r="S84" i="24"/>
  <c r="Q70" i="24"/>
  <c r="Q71" i="24" s="1"/>
  <c r="E42" i="31"/>
  <c r="S69" i="24"/>
  <c r="S78" i="24"/>
  <c r="S79" i="24" s="1"/>
  <c r="S76" i="24"/>
  <c r="S77" i="24" s="1"/>
  <c r="S74" i="24"/>
  <c r="S75" i="24" s="1"/>
  <c r="S45" i="24"/>
  <c r="T46" i="24"/>
  <c r="T66" i="24" s="1"/>
  <c r="R27" i="24"/>
  <c r="R68" i="24"/>
  <c r="R80" i="24"/>
  <c r="R81" i="24" s="1"/>
  <c r="Z48" i="24"/>
  <c r="Y39" i="24" l="1"/>
  <c r="X40" i="24"/>
  <c r="X89" i="24" s="1"/>
  <c r="R51" i="24"/>
  <c r="Q118" i="24"/>
  <c r="Q121" i="24" s="1"/>
  <c r="Q123" i="24" s="1"/>
  <c r="Q124" i="24" s="1"/>
  <c r="Q53" i="24"/>
  <c r="P85" i="24"/>
  <c r="P86" i="24" s="1"/>
  <c r="P91" i="24"/>
  <c r="P92" i="24" s="1"/>
  <c r="P93" i="24" s="1"/>
  <c r="P54" i="24"/>
  <c r="P97" i="24"/>
  <c r="P100" i="24" s="1"/>
  <c r="P101" i="24" s="1"/>
  <c r="T99" i="24"/>
  <c r="Y120" i="24"/>
  <c r="X42" i="24"/>
  <c r="X104" i="24" s="1"/>
  <c r="T84" i="24"/>
  <c r="R70" i="24"/>
  <c r="R71" i="24" s="1"/>
  <c r="E45" i="31"/>
  <c r="S80" i="24"/>
  <c r="S81" i="24" s="1"/>
  <c r="S68" i="24"/>
  <c r="T78" i="24"/>
  <c r="T79" i="24" s="1"/>
  <c r="T74" i="24"/>
  <c r="T75" i="24" s="1"/>
  <c r="T69" i="24"/>
  <c r="T76" i="24"/>
  <c r="T77" i="24" s="1"/>
  <c r="T45" i="24"/>
  <c r="U46" i="24"/>
  <c r="U66" i="24" s="1"/>
  <c r="U26" i="24"/>
  <c r="AA48" i="24"/>
  <c r="Z39" i="24" l="1"/>
  <c r="Y40" i="24"/>
  <c r="Q85" i="24"/>
  <c r="Q86" i="24" s="1"/>
  <c r="Q54" i="24"/>
  <c r="Q91" i="24"/>
  <c r="Q92" i="24" s="1"/>
  <c r="Q93" i="24" s="1"/>
  <c r="Q97" i="24"/>
  <c r="Q100" i="24" s="1"/>
  <c r="Q101" i="24" s="1"/>
  <c r="S51" i="24"/>
  <c r="R118" i="24"/>
  <c r="R121" i="24" s="1"/>
  <c r="R123" i="24" s="1"/>
  <c r="R124" i="24" s="1"/>
  <c r="R53" i="24"/>
  <c r="U99" i="24"/>
  <c r="Z120" i="24"/>
  <c r="U84" i="24"/>
  <c r="Y42" i="24"/>
  <c r="Y104" i="24" s="1"/>
  <c r="Y89" i="24"/>
  <c r="S70" i="24"/>
  <c r="S71" i="24" s="1"/>
  <c r="U69" i="24"/>
  <c r="U78" i="24"/>
  <c r="U79" i="24" s="1"/>
  <c r="U76" i="24"/>
  <c r="U77" i="24" s="1"/>
  <c r="U74" i="24"/>
  <c r="U75" i="24" s="1"/>
  <c r="V46" i="24"/>
  <c r="V66" i="24" s="1"/>
  <c r="U45" i="24"/>
  <c r="V26" i="24"/>
  <c r="T80" i="24"/>
  <c r="T81" i="24" s="1"/>
  <c r="T68" i="24"/>
  <c r="AB48" i="24"/>
  <c r="AA39" i="24" l="1"/>
  <c r="Z40" i="24"/>
  <c r="Z89" i="24" s="1"/>
  <c r="R85" i="24"/>
  <c r="R86" i="24" s="1"/>
  <c r="R91" i="24"/>
  <c r="R92" i="24" s="1"/>
  <c r="R93" i="24" s="1"/>
  <c r="R54" i="24"/>
  <c r="R97" i="24"/>
  <c r="R100" i="24" s="1"/>
  <c r="R101" i="24" s="1"/>
  <c r="T51" i="24"/>
  <c r="S118" i="24"/>
  <c r="S121" i="24" s="1"/>
  <c r="S123" i="24" s="1"/>
  <c r="S124" i="24" s="1"/>
  <c r="S53" i="24"/>
  <c r="V99" i="24"/>
  <c r="AA120" i="24"/>
  <c r="V84" i="24"/>
  <c r="Z42" i="24"/>
  <c r="Z104" i="24" s="1"/>
  <c r="T70" i="24"/>
  <c r="T71" i="24" s="1"/>
  <c r="U80" i="24"/>
  <c r="U81" i="24" s="1"/>
  <c r="V78" i="24"/>
  <c r="V79" i="24" s="1"/>
  <c r="V76" i="24"/>
  <c r="V77" i="24" s="1"/>
  <c r="V69" i="24"/>
  <c r="V74" i="24"/>
  <c r="V75" i="24" s="1"/>
  <c r="W46" i="24"/>
  <c r="W66" i="24" s="1"/>
  <c r="V45" i="24"/>
  <c r="W26" i="24"/>
  <c r="U68" i="24"/>
  <c r="AC48" i="24"/>
  <c r="AB39" i="24" l="1"/>
  <c r="AA40" i="24"/>
  <c r="AA89" i="24" s="1"/>
  <c r="U51" i="24"/>
  <c r="T118" i="24"/>
  <c r="T121" i="24" s="1"/>
  <c r="T123" i="24" s="1"/>
  <c r="T124" i="24" s="1"/>
  <c r="T53" i="24"/>
  <c r="S97" i="24"/>
  <c r="S100" i="24" s="1"/>
  <c r="S101" i="24" s="1"/>
  <c r="S91" i="24"/>
  <c r="S92" i="24" s="1"/>
  <c r="S93" i="24" s="1"/>
  <c r="S54" i="24"/>
  <c r="S85" i="24"/>
  <c r="S86" i="24" s="1"/>
  <c r="W99" i="24"/>
  <c r="AB120" i="24"/>
  <c r="AA42" i="24"/>
  <c r="AA104" i="24" s="1"/>
  <c r="W84" i="24"/>
  <c r="V80" i="24"/>
  <c r="V81" i="24" s="1"/>
  <c r="E59" i="31"/>
  <c r="E56" i="31"/>
  <c r="U70" i="24"/>
  <c r="U71" i="24" s="1"/>
  <c r="W78" i="24"/>
  <c r="W79" i="24" s="1"/>
  <c r="W76" i="24"/>
  <c r="W77" i="24" s="1"/>
  <c r="W69" i="24"/>
  <c r="W74" i="24"/>
  <c r="W75" i="24" s="1"/>
  <c r="W45" i="24"/>
  <c r="X26" i="24"/>
  <c r="X46" i="24"/>
  <c r="X66" i="24" s="1"/>
  <c r="V68" i="24"/>
  <c r="AD48" i="24"/>
  <c r="AC39" i="24" l="1"/>
  <c r="AB40" i="24"/>
  <c r="AB89" i="24" s="1"/>
  <c r="T91" i="24"/>
  <c r="T92" i="24" s="1"/>
  <c r="T93" i="24" s="1"/>
  <c r="T97" i="24"/>
  <c r="T100" i="24" s="1"/>
  <c r="T101" i="24" s="1"/>
  <c r="T85" i="24"/>
  <c r="T86" i="24" s="1"/>
  <c r="T54" i="24"/>
  <c r="V51" i="24"/>
  <c r="U118" i="24"/>
  <c r="U121" i="24" s="1"/>
  <c r="U123" i="24" s="1"/>
  <c r="U124" i="24" s="1"/>
  <c r="U53" i="24"/>
  <c r="X99" i="24"/>
  <c r="AC120" i="24"/>
  <c r="P130" i="24"/>
  <c r="O130" i="24"/>
  <c r="CJ130" i="24"/>
  <c r="DC130" i="24"/>
  <c r="AL130" i="24"/>
  <c r="CP130" i="24"/>
  <c r="BV130" i="24"/>
  <c r="M130" i="24"/>
  <c r="AU130" i="24"/>
  <c r="BL130" i="24"/>
  <c r="S130" i="24"/>
  <c r="U130" i="24"/>
  <c r="BE130" i="24"/>
  <c r="CL130" i="24"/>
  <c r="BZ130" i="24"/>
  <c r="BS130" i="24"/>
  <c r="AK130" i="24"/>
  <c r="DB130" i="24"/>
  <c r="BA130" i="24"/>
  <c r="CX130" i="24"/>
  <c r="X130" i="24"/>
  <c r="V130" i="24"/>
  <c r="AX130" i="24"/>
  <c r="BC130" i="24"/>
  <c r="BT130" i="24"/>
  <c r="CU130" i="24"/>
  <c r="BW130" i="24"/>
  <c r="CR130" i="24"/>
  <c r="CH130" i="24"/>
  <c r="CB130" i="24"/>
  <c r="CG130" i="24"/>
  <c r="AH130" i="24"/>
  <c r="Q130" i="24"/>
  <c r="CT130" i="24"/>
  <c r="AF130" i="24"/>
  <c r="AV130" i="24"/>
  <c r="K130" i="24"/>
  <c r="CC130" i="24"/>
  <c r="BD130" i="24"/>
  <c r="I130" i="24"/>
  <c r="AM130" i="24"/>
  <c r="DE130" i="24"/>
  <c r="CI130" i="24"/>
  <c r="N130" i="24"/>
  <c r="K41" i="24" s="1"/>
  <c r="K106" i="24" s="1"/>
  <c r="K107" i="24" s="1"/>
  <c r="AP130" i="24"/>
  <c r="BX130" i="24"/>
  <c r="Y130" i="24"/>
  <c r="AS130" i="24"/>
  <c r="AZ130" i="24"/>
  <c r="CN130" i="24"/>
  <c r="AC130" i="24"/>
  <c r="CW130" i="24"/>
  <c r="DF130" i="24"/>
  <c r="BY130" i="24"/>
  <c r="BK130" i="24"/>
  <c r="AB130" i="24"/>
  <c r="CM130" i="24"/>
  <c r="AD130" i="24"/>
  <c r="J130" i="24"/>
  <c r="CQ130" i="24"/>
  <c r="T130" i="24"/>
  <c r="AA130" i="24"/>
  <c r="BQ130" i="24"/>
  <c r="BB130" i="24"/>
  <c r="BU130" i="24"/>
  <c r="AT130" i="24"/>
  <c r="CZ130" i="24"/>
  <c r="CD130" i="24"/>
  <c r="CO130" i="24"/>
  <c r="AQ130" i="24"/>
  <c r="AN130" i="24"/>
  <c r="AE130" i="24"/>
  <c r="BN130" i="24"/>
  <c r="AG130" i="24"/>
  <c r="DD130" i="24"/>
  <c r="AR130" i="24"/>
  <c r="Z130" i="24"/>
  <c r="BF130" i="24"/>
  <c r="CY130" i="24"/>
  <c r="AJ130" i="24"/>
  <c r="BO130" i="24"/>
  <c r="CA130" i="24"/>
  <c r="CS130" i="24"/>
  <c r="CF130" i="24"/>
  <c r="BJ130" i="24"/>
  <c r="AW130" i="24"/>
  <c r="BM130" i="24"/>
  <c r="W130" i="24"/>
  <c r="T41" i="24" s="1"/>
  <c r="T106" i="24" s="1"/>
  <c r="T107" i="24" s="1"/>
  <c r="DA130" i="24"/>
  <c r="CE130" i="24"/>
  <c r="CV130" i="24"/>
  <c r="R130" i="24"/>
  <c r="BR130" i="24"/>
  <c r="BP130" i="24"/>
  <c r="CK130" i="24"/>
  <c r="AI130" i="24"/>
  <c r="BH130" i="24"/>
  <c r="AY130" i="24"/>
  <c r="BG130" i="24"/>
  <c r="AO130" i="24"/>
  <c r="L130" i="24"/>
  <c r="BI130" i="24"/>
  <c r="X84" i="24"/>
  <c r="AB42" i="24"/>
  <c r="AB104" i="24" s="1"/>
  <c r="V70" i="24"/>
  <c r="V71" i="24" s="1"/>
  <c r="W80" i="24"/>
  <c r="W81" i="24" s="1"/>
  <c r="X74" i="24"/>
  <c r="X75" i="24" s="1"/>
  <c r="X78" i="24"/>
  <c r="X79" i="24" s="1"/>
  <c r="X76" i="24"/>
  <c r="X77" i="24" s="1"/>
  <c r="X69" i="24"/>
  <c r="Y46" i="24"/>
  <c r="Y66" i="24" s="1"/>
  <c r="Z27" i="24"/>
  <c r="X45" i="24"/>
  <c r="W68" i="24"/>
  <c r="AE48" i="24"/>
  <c r="AD39" i="24" l="1"/>
  <c r="AC40" i="24"/>
  <c r="AC89" i="24" s="1"/>
  <c r="W41" i="24"/>
  <c r="W106" i="24" s="1"/>
  <c r="O41" i="24"/>
  <c r="O106" i="24" s="1"/>
  <c r="O107" i="24" s="1"/>
  <c r="O108" i="24" s="1"/>
  <c r="O114" i="24" s="1"/>
  <c r="O115" i="24" s="1"/>
  <c r="Z41" i="24"/>
  <c r="Z106" i="24" s="1"/>
  <c r="X41" i="24"/>
  <c r="X106" i="24" s="1"/>
  <c r="Q41" i="24"/>
  <c r="Q106" i="24" s="1"/>
  <c r="Q107" i="24" s="1"/>
  <c r="Q108" i="24" s="1"/>
  <c r="Q114" i="24" s="1"/>
  <c r="Q115" i="24" s="1"/>
  <c r="N41" i="24"/>
  <c r="N106" i="24" s="1"/>
  <c r="N107" i="24" s="1"/>
  <c r="N108" i="24" s="1"/>
  <c r="N109" i="24" s="1"/>
  <c r="N110" i="24" s="1"/>
  <c r="V41" i="24"/>
  <c r="V106" i="24" s="1"/>
  <c r="S41" i="24"/>
  <c r="S106" i="24" s="1"/>
  <c r="S107" i="24" s="1"/>
  <c r="S108" i="24" s="1"/>
  <c r="S114" i="24" s="1"/>
  <c r="S115" i="24" s="1"/>
  <c r="U41" i="24"/>
  <c r="U106" i="24" s="1"/>
  <c r="R41" i="24"/>
  <c r="R106" i="24" s="1"/>
  <c r="R107" i="24" s="1"/>
  <c r="R108" i="24" s="1"/>
  <c r="R114" i="24" s="1"/>
  <c r="R115" i="24" s="1"/>
  <c r="P41" i="24"/>
  <c r="P106" i="24" s="1"/>
  <c r="P107" i="24" s="1"/>
  <c r="P108" i="24" s="1"/>
  <c r="P114" i="24" s="1"/>
  <c r="P115" i="24" s="1"/>
  <c r="AA41" i="24"/>
  <c r="AA106" i="24" s="1"/>
  <c r="L41" i="24"/>
  <c r="L106" i="24" s="1"/>
  <c r="L107" i="24" s="1"/>
  <c r="L108" i="24" s="1"/>
  <c r="L114" i="24" s="1"/>
  <c r="L115" i="24" s="1"/>
  <c r="M41" i="24"/>
  <c r="M106" i="24" s="1"/>
  <c r="M107" i="24" s="1"/>
  <c r="M108" i="24" s="1"/>
  <c r="M114" i="24" s="1"/>
  <c r="M115" i="24" s="1"/>
  <c r="AB41" i="24"/>
  <c r="AB106" i="24" s="1"/>
  <c r="Y41" i="24"/>
  <c r="Y106" i="24" s="1"/>
  <c r="J41" i="24"/>
  <c r="J106" i="24" s="1"/>
  <c r="J107" i="24" s="1"/>
  <c r="J108" i="24" s="1"/>
  <c r="J114" i="24" s="1"/>
  <c r="U97" i="24"/>
  <c r="U100" i="24" s="1"/>
  <c r="U101" i="24" s="1"/>
  <c r="U91" i="24"/>
  <c r="U92" i="24" s="1"/>
  <c r="U93" i="24" s="1"/>
  <c r="U54" i="24"/>
  <c r="U85" i="24"/>
  <c r="U86" i="24" s="1"/>
  <c r="W51" i="24"/>
  <c r="V118" i="24"/>
  <c r="V121" i="24" s="1"/>
  <c r="V123" i="24" s="1"/>
  <c r="V124" i="24" s="1"/>
  <c r="V53" i="24"/>
  <c r="Y99" i="24"/>
  <c r="AD120" i="24"/>
  <c r="T108" i="24"/>
  <c r="T114" i="24" s="1"/>
  <c r="T115" i="24" s="1"/>
  <c r="K108" i="24"/>
  <c r="K114" i="24" s="1"/>
  <c r="K115" i="24" s="1"/>
  <c r="AC42" i="24"/>
  <c r="AC104" i="24" s="1"/>
  <c r="AC41" i="24"/>
  <c r="AC106" i="24" s="1"/>
  <c r="Y84" i="24"/>
  <c r="W70" i="24"/>
  <c r="W71" i="24" s="1"/>
  <c r="X68" i="24"/>
  <c r="Y74" i="24"/>
  <c r="Y75" i="24" s="1"/>
  <c r="Y76" i="24"/>
  <c r="Y77" i="24" s="1"/>
  <c r="Y69" i="24"/>
  <c r="Y78" i="24"/>
  <c r="Y79" i="24" s="1"/>
  <c r="Z46" i="24"/>
  <c r="Z66" i="24" s="1"/>
  <c r="Y45" i="24"/>
  <c r="AA27" i="24"/>
  <c r="X80" i="24"/>
  <c r="X81" i="24" s="1"/>
  <c r="AF48" i="24"/>
  <c r="AE39" i="24" l="1"/>
  <c r="AD40" i="24"/>
  <c r="AD89" i="24" s="1"/>
  <c r="N114" i="24"/>
  <c r="N115" i="24" s="1"/>
  <c r="J109" i="24"/>
  <c r="J110" i="24" s="1"/>
  <c r="R109" i="24"/>
  <c r="R110" i="24" s="1"/>
  <c r="U107" i="24"/>
  <c r="U108" i="24" s="1"/>
  <c r="U114" i="24" s="1"/>
  <c r="U115" i="24" s="1"/>
  <c r="V91" i="24"/>
  <c r="V85" i="24"/>
  <c r="V86" i="24" s="1"/>
  <c r="V54" i="24"/>
  <c r="V97" i="24"/>
  <c r="V100" i="24" s="1"/>
  <c r="V101" i="24" s="1"/>
  <c r="X51" i="24"/>
  <c r="W118" i="24"/>
  <c r="W121" i="24" s="1"/>
  <c r="W123" i="24" s="1"/>
  <c r="W124" i="24" s="1"/>
  <c r="W53" i="24"/>
  <c r="J115" i="24"/>
  <c r="Z99" i="24"/>
  <c r="AE120" i="24"/>
  <c r="L109" i="24"/>
  <c r="L110" i="24" s="1"/>
  <c r="K109" i="24"/>
  <c r="K110" i="24" s="1"/>
  <c r="M109" i="24"/>
  <c r="M110" i="24" s="1"/>
  <c r="T109" i="24"/>
  <c r="T110" i="24" s="1"/>
  <c r="O109" i="24"/>
  <c r="O110" i="24" s="1"/>
  <c r="S109" i="24"/>
  <c r="S110" i="24" s="1"/>
  <c r="P109" i="24"/>
  <c r="P110" i="24" s="1"/>
  <c r="Q109" i="24"/>
  <c r="Q110" i="24" s="1"/>
  <c r="Z84" i="24"/>
  <c r="AD42" i="24"/>
  <c r="AD104" i="24" s="1"/>
  <c r="AD41" i="24"/>
  <c r="AD106" i="24" s="1"/>
  <c r="X70" i="24"/>
  <c r="X71" i="24" s="1"/>
  <c r="Y68" i="24"/>
  <c r="Z76" i="24"/>
  <c r="Z77" i="24" s="1"/>
  <c r="Z69" i="24"/>
  <c r="Z74" i="24"/>
  <c r="Z75" i="24" s="1"/>
  <c r="Z78" i="24"/>
  <c r="Z79" i="24" s="1"/>
  <c r="AA46" i="24"/>
  <c r="AA66" i="24" s="1"/>
  <c r="AB27" i="24"/>
  <c r="Z45" i="24"/>
  <c r="Y80" i="24"/>
  <c r="Y81" i="24" s="1"/>
  <c r="AG48" i="24"/>
  <c r="AF39" i="24" l="1"/>
  <c r="AE40" i="24"/>
  <c r="AE89" i="24" s="1"/>
  <c r="U109" i="24"/>
  <c r="U110" i="24" s="1"/>
  <c r="W91" i="24"/>
  <c r="W54" i="24"/>
  <c r="W85" i="24"/>
  <c r="W86" i="24" s="1"/>
  <c r="W97" i="24"/>
  <c r="W100" i="24" s="1"/>
  <c r="W101" i="24" s="1"/>
  <c r="Y51" i="24"/>
  <c r="X118" i="24"/>
  <c r="X121" i="24" s="1"/>
  <c r="X123" i="24" s="1"/>
  <c r="X124" i="24" s="1"/>
  <c r="X53" i="24"/>
  <c r="V107" i="24"/>
  <c r="V92" i="24"/>
  <c r="V93" i="24" s="1"/>
  <c r="AA99" i="24"/>
  <c r="AF120" i="24"/>
  <c r="AE42" i="24"/>
  <c r="AE104" i="24" s="1"/>
  <c r="AE41" i="24"/>
  <c r="AE106" i="24" s="1"/>
  <c r="AA84" i="24"/>
  <c r="Y70" i="24"/>
  <c r="Y71" i="24" s="1"/>
  <c r="Z80" i="24"/>
  <c r="Z81" i="24" s="1"/>
  <c r="Z68" i="24"/>
  <c r="AA76" i="24"/>
  <c r="AA77" i="24" s="1"/>
  <c r="AA69" i="24"/>
  <c r="AA74" i="24"/>
  <c r="AA75" i="24" s="1"/>
  <c r="AA78" i="24"/>
  <c r="AA79" i="24" s="1"/>
  <c r="AA45" i="24"/>
  <c r="AC27" i="24"/>
  <c r="AB46" i="24"/>
  <c r="AB66" i="24" s="1"/>
  <c r="AH48" i="24"/>
  <c r="AG39" i="24" l="1"/>
  <c r="AF40" i="24"/>
  <c r="AF89" i="24" s="1"/>
  <c r="X54" i="24"/>
  <c r="X91" i="24"/>
  <c r="X97" i="24"/>
  <c r="X100" i="24" s="1"/>
  <c r="X101" i="24" s="1"/>
  <c r="X85" i="24"/>
  <c r="X86" i="24" s="1"/>
  <c r="V108" i="24"/>
  <c r="V114" i="24" s="1"/>
  <c r="V115" i="24" s="1"/>
  <c r="Z51" i="24"/>
  <c r="Y118" i="24"/>
  <c r="Y121" i="24" s="1"/>
  <c r="Y123" i="24" s="1"/>
  <c r="Y124" i="24" s="1"/>
  <c r="Y53" i="24"/>
  <c r="W107" i="24"/>
  <c r="W92" i="24"/>
  <c r="W93" i="24" s="1"/>
  <c r="AB99" i="24"/>
  <c r="AG120" i="24"/>
  <c r="AB84" i="24"/>
  <c r="AF42" i="24"/>
  <c r="AF104" i="24" s="1"/>
  <c r="AF41" i="24"/>
  <c r="AF106" i="24" s="1"/>
  <c r="Z70" i="24"/>
  <c r="Z71" i="24" s="1"/>
  <c r="AB78" i="24"/>
  <c r="AB79" i="24" s="1"/>
  <c r="AB74" i="24"/>
  <c r="AB75" i="24" s="1"/>
  <c r="AB69" i="24"/>
  <c r="AB76" i="24"/>
  <c r="AB77" i="24" s="1"/>
  <c r="AC46" i="24"/>
  <c r="AC66" i="24" s="1"/>
  <c r="AB45" i="24"/>
  <c r="AD27" i="24"/>
  <c r="AA80" i="24"/>
  <c r="AA81" i="24" s="1"/>
  <c r="AA68" i="24"/>
  <c r="AI48" i="24"/>
  <c r="AH39" i="24" l="1"/>
  <c r="AG40" i="24"/>
  <c r="AG89" i="24" s="1"/>
  <c r="V109" i="24"/>
  <c r="V110" i="24" s="1"/>
  <c r="AA51" i="24"/>
  <c r="Z118" i="24"/>
  <c r="Z121" i="24" s="1"/>
  <c r="Z123" i="24" s="1"/>
  <c r="Z124" i="24" s="1"/>
  <c r="Z53" i="24"/>
  <c r="W108" i="24"/>
  <c r="W114" i="24" s="1"/>
  <c r="W115" i="24" s="1"/>
  <c r="X107" i="24"/>
  <c r="X92" i="24"/>
  <c r="X93" i="24" s="1"/>
  <c r="Y97" i="24"/>
  <c r="Y100" i="24" s="1"/>
  <c r="Y101" i="24" s="1"/>
  <c r="Y91" i="24"/>
  <c r="Y54" i="24"/>
  <c r="Y85" i="24"/>
  <c r="Y86" i="24" s="1"/>
  <c r="AC99" i="24"/>
  <c r="AH120" i="24"/>
  <c r="AC84" i="24"/>
  <c r="AG42" i="24"/>
  <c r="AG104" i="24" s="1"/>
  <c r="AG41" i="24"/>
  <c r="AG106" i="24" s="1"/>
  <c r="AA70" i="24"/>
  <c r="AA71" i="24" s="1"/>
  <c r="AB80" i="24"/>
  <c r="AB81" i="24" s="1"/>
  <c r="AC69" i="24"/>
  <c r="AC78" i="24"/>
  <c r="AC79" i="24" s="1"/>
  <c r="AC76" i="24"/>
  <c r="AC77" i="24" s="1"/>
  <c r="AC74" i="24"/>
  <c r="AC75" i="24" s="1"/>
  <c r="AC45" i="24"/>
  <c r="AD46" i="24"/>
  <c r="AD66" i="24" s="1"/>
  <c r="AE27" i="24"/>
  <c r="AB68" i="24"/>
  <c r="AJ48" i="24"/>
  <c r="AI39" i="24" l="1"/>
  <c r="AH40" i="24"/>
  <c r="AH89" i="24" s="1"/>
  <c r="W109" i="24"/>
  <c r="W110" i="24" s="1"/>
  <c r="Z97" i="24"/>
  <c r="Z100" i="24" s="1"/>
  <c r="Z101" i="24" s="1"/>
  <c r="Z54" i="24"/>
  <c r="Z91" i="24"/>
  <c r="Z85" i="24"/>
  <c r="Z86" i="24" s="1"/>
  <c r="X108" i="24"/>
  <c r="X114" i="24" s="1"/>
  <c r="X115" i="24" s="1"/>
  <c r="Y107" i="24"/>
  <c r="Y92" i="24"/>
  <c r="Y93" i="24" s="1"/>
  <c r="AB51" i="24"/>
  <c r="AA118" i="24"/>
  <c r="AA121" i="24" s="1"/>
  <c r="AA123" i="24" s="1"/>
  <c r="AA124" i="24" s="1"/>
  <c r="AA53" i="24"/>
  <c r="AD99" i="24"/>
  <c r="AI120" i="24"/>
  <c r="AH42" i="24"/>
  <c r="AH104" i="24" s="1"/>
  <c r="AH41" i="24"/>
  <c r="AH106" i="24" s="1"/>
  <c r="AD84" i="24"/>
  <c r="AC80" i="24"/>
  <c r="AC81" i="24" s="1"/>
  <c r="AB70" i="24"/>
  <c r="AB71" i="24" s="1"/>
  <c r="AC68" i="24"/>
  <c r="AD78" i="24"/>
  <c r="AD79" i="24" s="1"/>
  <c r="AD76" i="24"/>
  <c r="AD77" i="24" s="1"/>
  <c r="AD69" i="24"/>
  <c r="AD74" i="24"/>
  <c r="AD75" i="24" s="1"/>
  <c r="AE46" i="24"/>
  <c r="AE66" i="24" s="1"/>
  <c r="AD45" i="24"/>
  <c r="AF27" i="24"/>
  <c r="AK48" i="24"/>
  <c r="AJ39" i="24" l="1"/>
  <c r="AI40" i="24"/>
  <c r="AI89" i="24" s="1"/>
  <c r="X109" i="24"/>
  <c r="X110" i="24" s="1"/>
  <c r="Y108" i="24"/>
  <c r="Y114" i="24" s="1"/>
  <c r="Y115" i="24" s="1"/>
  <c r="AA85" i="24"/>
  <c r="AA86" i="24" s="1"/>
  <c r="AA54" i="24"/>
  <c r="AA91" i="24"/>
  <c r="AA97" i="24"/>
  <c r="AA100" i="24" s="1"/>
  <c r="AA101" i="24" s="1"/>
  <c r="Z107" i="24"/>
  <c r="Z92" i="24"/>
  <c r="Z93" i="24" s="1"/>
  <c r="AC51" i="24"/>
  <c r="AB118" i="24"/>
  <c r="AB121" i="24" s="1"/>
  <c r="AB123" i="24" s="1"/>
  <c r="AB124" i="24" s="1"/>
  <c r="AB53" i="24"/>
  <c r="AE99" i="24"/>
  <c r="AJ120" i="24"/>
  <c r="AI42" i="24"/>
  <c r="AI104" i="24" s="1"/>
  <c r="AI41" i="24"/>
  <c r="AI106" i="24" s="1"/>
  <c r="AE84" i="24"/>
  <c r="AC70" i="24"/>
  <c r="AC71" i="24" s="1"/>
  <c r="AD68" i="24"/>
  <c r="AD70" i="24" s="1"/>
  <c r="AD71" i="24" s="1"/>
  <c r="AE78" i="24"/>
  <c r="AE79" i="24" s="1"/>
  <c r="AE76" i="24"/>
  <c r="AE77" i="24" s="1"/>
  <c r="AE74" i="24"/>
  <c r="AE75" i="24" s="1"/>
  <c r="AE69" i="24"/>
  <c r="AE45" i="24"/>
  <c r="AF46" i="24"/>
  <c r="AF66" i="24" s="1"/>
  <c r="AG27" i="24"/>
  <c r="AD80" i="24"/>
  <c r="AD81" i="24" s="1"/>
  <c r="AL48" i="24"/>
  <c r="AK39" i="24" l="1"/>
  <c r="AJ40" i="24"/>
  <c r="AJ89" i="24" s="1"/>
  <c r="Y109" i="24"/>
  <c r="Y110" i="24" s="1"/>
  <c r="Z108" i="24"/>
  <c r="Z114" i="24" s="1"/>
  <c r="Z115" i="24" s="1"/>
  <c r="AA107" i="24"/>
  <c r="AA92" i="24"/>
  <c r="AA93" i="24" s="1"/>
  <c r="AB97" i="24"/>
  <c r="AB100" i="24" s="1"/>
  <c r="AB101" i="24" s="1"/>
  <c r="AB85" i="24"/>
  <c r="AB86" i="24" s="1"/>
  <c r="AB91" i="24"/>
  <c r="AB54" i="24"/>
  <c r="AD51" i="24"/>
  <c r="AC118" i="24"/>
  <c r="AC121" i="24" s="1"/>
  <c r="AC123" i="24" s="1"/>
  <c r="AC124" i="24" s="1"/>
  <c r="AC53" i="24"/>
  <c r="AF99" i="24"/>
  <c r="AK120" i="24"/>
  <c r="AJ42" i="24"/>
  <c r="AJ104" i="24" s="1"/>
  <c r="AJ41" i="24"/>
  <c r="AJ106" i="24" s="1"/>
  <c r="AF84" i="24"/>
  <c r="AE80" i="24"/>
  <c r="AE81" i="24" s="1"/>
  <c r="AF78" i="24"/>
  <c r="AF79" i="24" s="1"/>
  <c r="AF76" i="24"/>
  <c r="AF77" i="24" s="1"/>
  <c r="AF69" i="24"/>
  <c r="AF74" i="24"/>
  <c r="AF75" i="24" s="1"/>
  <c r="AG46" i="24"/>
  <c r="AG66" i="24" s="1"/>
  <c r="AF45" i="24"/>
  <c r="AH27" i="24"/>
  <c r="AE68" i="24"/>
  <c r="AM48" i="24"/>
  <c r="AL39" i="24" l="1"/>
  <c r="AK40" i="24"/>
  <c r="AK89" i="24" s="1"/>
  <c r="Z109" i="24"/>
  <c r="Z110" i="24" s="1"/>
  <c r="AB107" i="24"/>
  <c r="AB92" i="24"/>
  <c r="AB93" i="24" s="1"/>
  <c r="AC97" i="24"/>
  <c r="AC100" i="24" s="1"/>
  <c r="AC101" i="24" s="1"/>
  <c r="AC85" i="24"/>
  <c r="AC86" i="24" s="1"/>
  <c r="AC91" i="24"/>
  <c r="AC54" i="24"/>
  <c r="AA108" i="24"/>
  <c r="AA114" i="24" s="1"/>
  <c r="AA115" i="24" s="1"/>
  <c r="AE51" i="24"/>
  <c r="AD118" i="24"/>
  <c r="AD121" i="24" s="1"/>
  <c r="AD123" i="24" s="1"/>
  <c r="AD124" i="24" s="1"/>
  <c r="AD53" i="24"/>
  <c r="AG99" i="24"/>
  <c r="AL120" i="24"/>
  <c r="AG84" i="24"/>
  <c r="AK42" i="24"/>
  <c r="AK104" i="24" s="1"/>
  <c r="AK41" i="24"/>
  <c r="AK106" i="24" s="1"/>
  <c r="AE70" i="24"/>
  <c r="AE71" i="24" s="1"/>
  <c r="AF80" i="24"/>
  <c r="AF81" i="24" s="1"/>
  <c r="AG74" i="24"/>
  <c r="AG75" i="24" s="1"/>
  <c r="AG78" i="24"/>
  <c r="AG79" i="24" s="1"/>
  <c r="AG76" i="24"/>
  <c r="AG77" i="24" s="1"/>
  <c r="AG69" i="24"/>
  <c r="AI27" i="24"/>
  <c r="AH46" i="24"/>
  <c r="AH66" i="24" s="1"/>
  <c r="AG45" i="24"/>
  <c r="AF68" i="24"/>
  <c r="AN48" i="24"/>
  <c r="AM39" i="24" l="1"/>
  <c r="AL40" i="24"/>
  <c r="AL89" i="24" s="1"/>
  <c r="AA109" i="24"/>
  <c r="AA110" i="24" s="1"/>
  <c r="AC107" i="24"/>
  <c r="AC92" i="24"/>
  <c r="AC93" i="24" s="1"/>
  <c r="AD91" i="24"/>
  <c r="AD85" i="24"/>
  <c r="AD86" i="24" s="1"/>
  <c r="AD54" i="24"/>
  <c r="AD97" i="24"/>
  <c r="AD100" i="24" s="1"/>
  <c r="AD101" i="24" s="1"/>
  <c r="AF51" i="24"/>
  <c r="AE118" i="24"/>
  <c r="AE121" i="24" s="1"/>
  <c r="AE123" i="24" s="1"/>
  <c r="AE124" i="24" s="1"/>
  <c r="AE53" i="24"/>
  <c r="AB108" i="24"/>
  <c r="AB114" i="24" s="1"/>
  <c r="AB115" i="24" s="1"/>
  <c r="AH99" i="24"/>
  <c r="AM120" i="24"/>
  <c r="AL42" i="24"/>
  <c r="AL104" i="24" s="1"/>
  <c r="AL41" i="24"/>
  <c r="AL106" i="24" s="1"/>
  <c r="AH84" i="24"/>
  <c r="AF70" i="24"/>
  <c r="AF71" i="24" s="1"/>
  <c r="AH76" i="24"/>
  <c r="AH77" i="24" s="1"/>
  <c r="AH78" i="24"/>
  <c r="AH79" i="24" s="1"/>
  <c r="AH74" i="24"/>
  <c r="AH75" i="24" s="1"/>
  <c r="AH69" i="24"/>
  <c r="AI46" i="24"/>
  <c r="AI66" i="24" s="1"/>
  <c r="AJ27" i="24"/>
  <c r="AH45" i="24"/>
  <c r="AG68" i="24"/>
  <c r="AG80" i="24"/>
  <c r="AG81" i="24" s="1"/>
  <c r="AO48" i="24"/>
  <c r="AN39" i="24" l="1"/>
  <c r="AM40" i="24"/>
  <c r="AM89" i="24" s="1"/>
  <c r="AB109" i="24"/>
  <c r="AB110" i="24" s="1"/>
  <c r="AG51" i="24"/>
  <c r="AF118" i="24"/>
  <c r="AF121" i="24" s="1"/>
  <c r="AF123" i="24" s="1"/>
  <c r="AF124" i="24" s="1"/>
  <c r="AF53" i="24"/>
  <c r="AD107" i="24"/>
  <c r="AD92" i="24"/>
  <c r="AD93" i="24" s="1"/>
  <c r="AE97" i="24"/>
  <c r="AE100" i="24" s="1"/>
  <c r="AE101" i="24" s="1"/>
  <c r="AE85" i="24"/>
  <c r="AE86" i="24" s="1"/>
  <c r="AE91" i="24"/>
  <c r="AE54" i="24"/>
  <c r="AC108" i="24"/>
  <c r="AC114" i="24" s="1"/>
  <c r="AC115" i="24" s="1"/>
  <c r="AI99" i="24"/>
  <c r="AI123" i="24"/>
  <c r="AI124" i="24" s="1"/>
  <c r="AN120" i="24"/>
  <c r="AI84" i="24"/>
  <c r="AM42" i="24"/>
  <c r="AM104" i="24" s="1"/>
  <c r="AM41" i="24"/>
  <c r="AM106" i="24" s="1"/>
  <c r="AH80" i="24"/>
  <c r="AH81" i="24" s="1"/>
  <c r="AG70" i="24"/>
  <c r="AG71" i="24" s="1"/>
  <c r="AI74" i="24"/>
  <c r="AI75" i="24" s="1"/>
  <c r="AI69" i="24"/>
  <c r="AI78" i="24"/>
  <c r="AI79" i="24" s="1"/>
  <c r="AI76" i="24"/>
  <c r="AI77" i="24" s="1"/>
  <c r="AI45" i="24"/>
  <c r="AJ46" i="24"/>
  <c r="AJ66" i="24" s="1"/>
  <c r="AH68" i="24"/>
  <c r="AP48" i="24"/>
  <c r="AO39" i="24" l="1"/>
  <c r="AN40" i="24"/>
  <c r="AN89" i="24" s="1"/>
  <c r="AC109" i="24"/>
  <c r="AC110" i="24" s="1"/>
  <c r="AE107" i="24"/>
  <c r="AE92" i="24"/>
  <c r="AE93" i="24" s="1"/>
  <c r="AD108" i="24"/>
  <c r="AD114" i="24" s="1"/>
  <c r="AD115" i="24" s="1"/>
  <c r="AF91" i="24"/>
  <c r="AF85" i="24"/>
  <c r="AF86" i="24" s="1"/>
  <c r="AF97" i="24"/>
  <c r="AF100" i="24" s="1"/>
  <c r="AF101" i="24" s="1"/>
  <c r="AF54" i="24"/>
  <c r="AH51" i="24"/>
  <c r="AG118" i="24"/>
  <c r="AG121" i="24" s="1"/>
  <c r="AG123" i="24" s="1"/>
  <c r="AG124" i="24" s="1"/>
  <c r="AG53" i="24"/>
  <c r="AJ99" i="24"/>
  <c r="AJ123" i="24"/>
  <c r="AJ124" i="24" s="1"/>
  <c r="AO120" i="24"/>
  <c r="AN42" i="24"/>
  <c r="AN104" i="24" s="1"/>
  <c r="AN41" i="24"/>
  <c r="AN106" i="24" s="1"/>
  <c r="AJ84" i="24"/>
  <c r="AH70" i="24"/>
  <c r="AH71" i="24" s="1"/>
  <c r="AI68" i="24"/>
  <c r="AJ78" i="24"/>
  <c r="AJ79" i="24" s="1"/>
  <c r="AJ74" i="24"/>
  <c r="AJ75" i="24" s="1"/>
  <c r="AJ69" i="24"/>
  <c r="AJ76" i="24"/>
  <c r="AJ77" i="24" s="1"/>
  <c r="AK46" i="24"/>
  <c r="AK66" i="24" s="1"/>
  <c r="AJ45" i="24"/>
  <c r="AL27" i="24"/>
  <c r="AI80" i="24"/>
  <c r="AI81" i="24" s="1"/>
  <c r="AQ48" i="24"/>
  <c r="AP39" i="24" l="1"/>
  <c r="AO40" i="24"/>
  <c r="AO89" i="24" s="1"/>
  <c r="AD109" i="24"/>
  <c r="AD110" i="24" s="1"/>
  <c r="AF107" i="24"/>
  <c r="AF92" i="24"/>
  <c r="AF93" i="24" s="1"/>
  <c r="AG54" i="24"/>
  <c r="AG97" i="24"/>
  <c r="AG100" i="24" s="1"/>
  <c r="AG101" i="24" s="1"/>
  <c r="AG91" i="24"/>
  <c r="AG85" i="24"/>
  <c r="AG86" i="24" s="1"/>
  <c r="AI51" i="24"/>
  <c r="AH118" i="24"/>
  <c r="AH121" i="24" s="1"/>
  <c r="AH123" i="24" s="1"/>
  <c r="AH124" i="24" s="1"/>
  <c r="AH53" i="24"/>
  <c r="AE108" i="24"/>
  <c r="AE114" i="24" s="1"/>
  <c r="AE115" i="24" s="1"/>
  <c r="AK99" i="24"/>
  <c r="AK123" i="24"/>
  <c r="AK124" i="24" s="1"/>
  <c r="AP120" i="24"/>
  <c r="AO42" i="24"/>
  <c r="AO104" i="24" s="1"/>
  <c r="AO41" i="24"/>
  <c r="AO106" i="24" s="1"/>
  <c r="AK84" i="24"/>
  <c r="AI70" i="24"/>
  <c r="AI71" i="24" s="1"/>
  <c r="AJ68" i="24"/>
  <c r="AK78" i="24"/>
  <c r="AK79" i="24" s="1"/>
  <c r="AK76" i="24"/>
  <c r="AK77" i="24" s="1"/>
  <c r="AK74" i="24"/>
  <c r="AK75" i="24" s="1"/>
  <c r="AK69" i="24"/>
  <c r="AL46" i="24"/>
  <c r="AL66" i="24" s="1"/>
  <c r="AK45" i="24"/>
  <c r="AM27" i="24"/>
  <c r="AJ80" i="24"/>
  <c r="AJ81" i="24" s="1"/>
  <c r="AR48" i="24"/>
  <c r="AQ39" i="24" l="1"/>
  <c r="AP40" i="24"/>
  <c r="AP89" i="24" s="1"/>
  <c r="AE109" i="24"/>
  <c r="AE110" i="24" s="1"/>
  <c r="AG107" i="24"/>
  <c r="AG92" i="24"/>
  <c r="AG93" i="24" s="1"/>
  <c r="AJ51" i="24"/>
  <c r="AI118" i="24"/>
  <c r="AI121" i="24" s="1"/>
  <c r="AI53" i="24"/>
  <c r="AH85" i="24"/>
  <c r="AH86" i="24" s="1"/>
  <c r="AH97" i="24"/>
  <c r="AH100" i="24" s="1"/>
  <c r="AH101" i="24" s="1"/>
  <c r="AH91" i="24"/>
  <c r="AH54" i="24"/>
  <c r="AF108" i="24"/>
  <c r="AF114" i="24" s="1"/>
  <c r="AF115" i="24" s="1"/>
  <c r="AL99" i="24"/>
  <c r="AL123" i="24"/>
  <c r="AL124" i="24" s="1"/>
  <c r="AQ120" i="24"/>
  <c r="AP42" i="24"/>
  <c r="AP104" i="24" s="1"/>
  <c r="AP41" i="24"/>
  <c r="AP106" i="24" s="1"/>
  <c r="AL84" i="24"/>
  <c r="AJ70" i="24"/>
  <c r="AJ71" i="24" s="1"/>
  <c r="AK80" i="24"/>
  <c r="AK81" i="24" s="1"/>
  <c r="AK68" i="24"/>
  <c r="AL76" i="24"/>
  <c r="AL77" i="24" s="1"/>
  <c r="AL69" i="24"/>
  <c r="AL74" i="24"/>
  <c r="AL75" i="24" s="1"/>
  <c r="AL78" i="24"/>
  <c r="AL79" i="24" s="1"/>
  <c r="AL45" i="24"/>
  <c r="AN27" i="24"/>
  <c r="AM46" i="24"/>
  <c r="AM66" i="24" s="1"/>
  <c r="AS48" i="24"/>
  <c r="AR39" i="24" l="1"/>
  <c r="AQ40" i="24"/>
  <c r="AQ89" i="24" s="1"/>
  <c r="AF109" i="24"/>
  <c r="AF110" i="24" s="1"/>
  <c r="AH107" i="24"/>
  <c r="AH92" i="24"/>
  <c r="AH93" i="24" s="1"/>
  <c r="AI85" i="24"/>
  <c r="AI86" i="24" s="1"/>
  <c r="AI54" i="24"/>
  <c r="AI91" i="24"/>
  <c r="AI97" i="24"/>
  <c r="AI100" i="24" s="1"/>
  <c r="AI101" i="24" s="1"/>
  <c r="AK51" i="24"/>
  <c r="AJ118" i="24"/>
  <c r="AJ121" i="24" s="1"/>
  <c r="AJ53" i="24"/>
  <c r="AG108" i="24"/>
  <c r="AG114" i="24" s="1"/>
  <c r="AG115" i="24" s="1"/>
  <c r="AM99" i="24"/>
  <c r="AM123" i="24"/>
  <c r="AM124" i="24" s="1"/>
  <c r="AR120" i="24"/>
  <c r="AM84" i="24"/>
  <c r="AQ42" i="24"/>
  <c r="AQ104" i="24" s="1"/>
  <c r="AQ41" i="24"/>
  <c r="AQ106" i="24" s="1"/>
  <c r="AK70" i="24"/>
  <c r="AK71" i="24" s="1"/>
  <c r="AL80" i="24"/>
  <c r="AL81" i="24" s="1"/>
  <c r="AM78" i="24"/>
  <c r="AM79" i="24" s="1"/>
  <c r="AM76" i="24"/>
  <c r="AM77" i="24" s="1"/>
  <c r="AM74" i="24"/>
  <c r="AM75" i="24" s="1"/>
  <c r="AM69" i="24"/>
  <c r="AM45" i="24"/>
  <c r="AN46" i="24"/>
  <c r="AN66" i="24" s="1"/>
  <c r="AL68" i="24"/>
  <c r="AT48" i="24"/>
  <c r="AS39" i="24" l="1"/>
  <c r="AR40" i="24"/>
  <c r="AR89" i="24" s="1"/>
  <c r="AG109" i="24"/>
  <c r="AG110" i="24" s="1"/>
  <c r="AL51" i="24"/>
  <c r="AK118" i="24"/>
  <c r="AK121" i="24" s="1"/>
  <c r="AK53" i="24"/>
  <c r="AI107" i="24"/>
  <c r="AI92" i="24"/>
  <c r="AI93" i="24" s="1"/>
  <c r="AJ54" i="24"/>
  <c r="AJ91" i="24"/>
  <c r="AJ97" i="24"/>
  <c r="AJ100" i="24" s="1"/>
  <c r="AJ101" i="24" s="1"/>
  <c r="AJ85" i="24"/>
  <c r="AJ86" i="24" s="1"/>
  <c r="AH108" i="24"/>
  <c r="AH114" i="24" s="1"/>
  <c r="AH115" i="24" s="1"/>
  <c r="AN99" i="24"/>
  <c r="AN123" i="24"/>
  <c r="AN124" i="24" s="1"/>
  <c r="AS120" i="24"/>
  <c r="AR42" i="24"/>
  <c r="AR104" i="24" s="1"/>
  <c r="AR41" i="24"/>
  <c r="AR106" i="24" s="1"/>
  <c r="AN84" i="24"/>
  <c r="AM80" i="24"/>
  <c r="AM81" i="24" s="1"/>
  <c r="AL70" i="24"/>
  <c r="AL71" i="24" s="1"/>
  <c r="AN76" i="24"/>
  <c r="AN77" i="24" s="1"/>
  <c r="AN74" i="24"/>
  <c r="AN75" i="24" s="1"/>
  <c r="AN69" i="24"/>
  <c r="AN78" i="24"/>
  <c r="AN79" i="24" s="1"/>
  <c r="AO46" i="24"/>
  <c r="AO66" i="24" s="1"/>
  <c r="AN45" i="24"/>
  <c r="AP27" i="24"/>
  <c r="AM68" i="24"/>
  <c r="AU48" i="24"/>
  <c r="AT39" i="24" l="1"/>
  <c r="AS40" i="24"/>
  <c r="AI108" i="24"/>
  <c r="AI114" i="24" s="1"/>
  <c r="AI115" i="24" s="1"/>
  <c r="AJ107" i="24"/>
  <c r="AJ92" i="24"/>
  <c r="AJ93" i="24" s="1"/>
  <c r="AH109" i="24"/>
  <c r="AH110" i="24" s="1"/>
  <c r="AK54" i="24"/>
  <c r="AK91" i="24"/>
  <c r="AK85" i="24"/>
  <c r="AK86" i="24" s="1"/>
  <c r="AK97" i="24"/>
  <c r="AK100" i="24" s="1"/>
  <c r="AK101" i="24" s="1"/>
  <c r="AM51" i="24"/>
  <c r="AL118" i="24"/>
  <c r="AL121" i="24" s="1"/>
  <c r="AL53" i="24"/>
  <c r="AO99" i="24"/>
  <c r="AO123" i="24"/>
  <c r="AO124" i="24" s="1"/>
  <c r="AV48" i="24"/>
  <c r="AT120" i="24"/>
  <c r="AS42" i="24"/>
  <c r="AS104" i="24" s="1"/>
  <c r="AS89" i="24"/>
  <c r="AS41" i="24"/>
  <c r="AS106" i="24" s="1"/>
  <c r="AO84" i="24"/>
  <c r="AM70" i="24"/>
  <c r="AM71" i="24" s="1"/>
  <c r="AN68" i="24"/>
  <c r="AN80" i="24"/>
  <c r="AN81" i="24" s="1"/>
  <c r="AO74" i="24"/>
  <c r="AO75" i="24" s="1"/>
  <c r="AO76" i="24"/>
  <c r="AO77" i="24" s="1"/>
  <c r="AO69" i="24"/>
  <c r="AO78" i="24"/>
  <c r="AO79" i="24" s="1"/>
  <c r="AQ27" i="24"/>
  <c r="AP46" i="24"/>
  <c r="AP66" i="24" s="1"/>
  <c r="AO45" i="24"/>
  <c r="AU39" i="24" l="1"/>
  <c r="AT40" i="24"/>
  <c r="AT89" i="24" s="1"/>
  <c r="AI109" i="24"/>
  <c r="AI110" i="24" s="1"/>
  <c r="AL54" i="24"/>
  <c r="AL85" i="24"/>
  <c r="AL86" i="24" s="1"/>
  <c r="AL91" i="24"/>
  <c r="AL97" i="24"/>
  <c r="AL100" i="24" s="1"/>
  <c r="AL101" i="24" s="1"/>
  <c r="AJ108" i="24"/>
  <c r="AJ114" i="24" s="1"/>
  <c r="AJ115" i="24" s="1"/>
  <c r="AK107" i="24"/>
  <c r="AK92" i="24"/>
  <c r="AK93" i="24" s="1"/>
  <c r="AN51" i="24"/>
  <c r="AM118" i="24"/>
  <c r="AM121" i="24" s="1"/>
  <c r="AM53" i="24"/>
  <c r="AP99" i="24"/>
  <c r="AP123" i="24"/>
  <c r="AP124" i="24" s="1"/>
  <c r="AW48" i="24"/>
  <c r="AU120" i="24"/>
  <c r="AT42" i="24"/>
  <c r="AT104" i="24" s="1"/>
  <c r="AT41" i="24"/>
  <c r="AT106" i="24" s="1"/>
  <c r="AP84" i="24"/>
  <c r="AN70" i="24"/>
  <c r="AN71" i="24" s="1"/>
  <c r="AO80" i="24"/>
  <c r="AO81" i="24" s="1"/>
  <c r="AP76" i="24"/>
  <c r="AP77" i="24" s="1"/>
  <c r="AP78" i="24"/>
  <c r="AP79" i="24" s="1"/>
  <c r="AP74" i="24"/>
  <c r="AP75" i="24" s="1"/>
  <c r="AP69" i="24"/>
  <c r="AQ46" i="24"/>
  <c r="AQ66" i="24" s="1"/>
  <c r="AP45" i="24"/>
  <c r="AR27" i="24"/>
  <c r="AO68" i="24"/>
  <c r="AV39" i="24" l="1"/>
  <c r="AU40" i="24"/>
  <c r="AU89" i="24" s="1"/>
  <c r="AJ109" i="24"/>
  <c r="AJ110" i="24" s="1"/>
  <c r="AK108" i="24"/>
  <c r="AK114" i="24" s="1"/>
  <c r="AK115" i="24" s="1"/>
  <c r="AM91" i="24"/>
  <c r="AM85" i="24"/>
  <c r="AM86" i="24" s="1"/>
  <c r="AM97" i="24"/>
  <c r="AM100" i="24" s="1"/>
  <c r="AM101" i="24" s="1"/>
  <c r="AM54" i="24"/>
  <c r="AL107" i="24"/>
  <c r="AL92" i="24"/>
  <c r="AL93" i="24" s="1"/>
  <c r="AO51" i="24"/>
  <c r="AN118" i="24"/>
  <c r="AN121" i="24" s="1"/>
  <c r="AN53" i="24"/>
  <c r="AQ99" i="24"/>
  <c r="AQ123" i="24"/>
  <c r="AQ124" i="24" s="1"/>
  <c r="AX48" i="24"/>
  <c r="AV120" i="24"/>
  <c r="AU42" i="24"/>
  <c r="AU104" i="24" s="1"/>
  <c r="AU41" i="24"/>
  <c r="AU106" i="24" s="1"/>
  <c r="AQ84" i="24"/>
  <c r="AO70" i="24"/>
  <c r="AO71" i="24" s="1"/>
  <c r="AP80" i="24"/>
  <c r="AP81" i="24" s="1"/>
  <c r="AQ69" i="24"/>
  <c r="AQ78" i="24"/>
  <c r="AQ79" i="24" s="1"/>
  <c r="AQ76" i="24"/>
  <c r="AQ77" i="24" s="1"/>
  <c r="AQ74" i="24"/>
  <c r="AQ75" i="24" s="1"/>
  <c r="AR46" i="24"/>
  <c r="AR66" i="24" s="1"/>
  <c r="AS27" i="24"/>
  <c r="AQ45" i="24"/>
  <c r="AP68" i="24"/>
  <c r="AW39" i="24" l="1"/>
  <c r="AV40" i="24"/>
  <c r="AV89" i="24" s="1"/>
  <c r="AK109" i="24"/>
  <c r="AK110" i="24" s="1"/>
  <c r="AL108" i="24"/>
  <c r="AL114" i="24" s="1"/>
  <c r="AL115" i="24" s="1"/>
  <c r="AM107" i="24"/>
  <c r="AM92" i="24"/>
  <c r="AN97" i="24"/>
  <c r="AN100" i="24" s="1"/>
  <c r="AN101" i="24" s="1"/>
  <c r="AN54" i="24"/>
  <c r="AN85" i="24"/>
  <c r="AN86" i="24" s="1"/>
  <c r="AN91" i="24"/>
  <c r="AP51" i="24"/>
  <c r="AO118" i="24"/>
  <c r="AO121" i="24" s="1"/>
  <c r="AO53" i="24"/>
  <c r="AR99" i="24"/>
  <c r="AR123" i="24"/>
  <c r="AR124" i="24" s="1"/>
  <c r="AY48" i="24"/>
  <c r="AW120" i="24"/>
  <c r="AV42" i="24"/>
  <c r="AV104" i="24" s="1"/>
  <c r="AV41" i="24"/>
  <c r="AV106" i="24" s="1"/>
  <c r="AR84" i="24"/>
  <c r="AQ80" i="24"/>
  <c r="AQ81" i="24" s="1"/>
  <c r="AP70" i="24"/>
  <c r="AP71" i="24" s="1"/>
  <c r="AR78" i="24"/>
  <c r="AR79" i="24" s="1"/>
  <c r="AR74" i="24"/>
  <c r="AR75" i="24" s="1"/>
  <c r="AR69" i="24"/>
  <c r="AR76" i="24"/>
  <c r="AR77" i="24" s="1"/>
  <c r="AS46" i="24"/>
  <c r="AS66" i="24" s="1"/>
  <c r="AR45" i="24"/>
  <c r="AT27" i="24"/>
  <c r="AQ68" i="24"/>
  <c r="AX39" i="24" l="1"/>
  <c r="AW40" i="24"/>
  <c r="AW89" i="24" s="1"/>
  <c r="AL109" i="24"/>
  <c r="AL110" i="24" s="1"/>
  <c r="AO97" i="24"/>
  <c r="AO100" i="24" s="1"/>
  <c r="AO101" i="24" s="1"/>
  <c r="AO54" i="24"/>
  <c r="AO91" i="24"/>
  <c r="AO85" i="24"/>
  <c r="AO86" i="24" s="1"/>
  <c r="AM108" i="24"/>
  <c r="AM114" i="24" s="1"/>
  <c r="AM115" i="24" s="1"/>
  <c r="AN107" i="24"/>
  <c r="AN92" i="24"/>
  <c r="AN93" i="24" s="1"/>
  <c r="AM93" i="24"/>
  <c r="H93" i="24" s="1"/>
  <c r="H92" i="24"/>
  <c r="AQ51" i="24"/>
  <c r="AP118" i="24"/>
  <c r="AP121" i="24" s="1"/>
  <c r="AP53" i="24"/>
  <c r="AS99" i="24"/>
  <c r="AS123" i="24"/>
  <c r="AS124" i="24" s="1"/>
  <c r="AZ48" i="24"/>
  <c r="AX120" i="24"/>
  <c r="AS84" i="24"/>
  <c r="AW42" i="24"/>
  <c r="AW104" i="24" s="1"/>
  <c r="AW41" i="24"/>
  <c r="AW106" i="24" s="1"/>
  <c r="AQ70" i="24"/>
  <c r="AQ71" i="24" s="1"/>
  <c r="AR80" i="24"/>
  <c r="AR81" i="24" s="1"/>
  <c r="AS76" i="24"/>
  <c r="AS77" i="24" s="1"/>
  <c r="AS78" i="24"/>
  <c r="AS79" i="24" s="1"/>
  <c r="AS69" i="24"/>
  <c r="AS74" i="24"/>
  <c r="AS75" i="24" s="1"/>
  <c r="AS45" i="24"/>
  <c r="AT46" i="24"/>
  <c r="AT66" i="24" s="1"/>
  <c r="AR68" i="24"/>
  <c r="AY39" i="24" l="1"/>
  <c r="AX40" i="24"/>
  <c r="AX89" i="24" s="1"/>
  <c r="AN108" i="24"/>
  <c r="AN114" i="24" s="1"/>
  <c r="AN115" i="24" s="1"/>
  <c r="AM109" i="24"/>
  <c r="AM110" i="24" s="1"/>
  <c r="AP97" i="24"/>
  <c r="AP100" i="24" s="1"/>
  <c r="AP101" i="24" s="1"/>
  <c r="AP54" i="24"/>
  <c r="AP85" i="24"/>
  <c r="AP86" i="24" s="1"/>
  <c r="AP91" i="24"/>
  <c r="AR51" i="24"/>
  <c r="AQ118" i="24"/>
  <c r="AQ121" i="24" s="1"/>
  <c r="AQ53" i="24"/>
  <c r="AO107" i="24"/>
  <c r="AO92" i="24"/>
  <c r="AO93" i="24" s="1"/>
  <c r="AT99" i="24"/>
  <c r="AT123" i="24"/>
  <c r="AT124" i="24" s="1"/>
  <c r="BA48" i="24"/>
  <c r="AY120" i="24"/>
  <c r="AX42" i="24"/>
  <c r="AX104" i="24" s="1"/>
  <c r="AX41" i="24"/>
  <c r="AX106" i="24" s="1"/>
  <c r="AT84" i="24"/>
  <c r="AR70" i="24"/>
  <c r="AR71" i="24" s="1"/>
  <c r="AS80" i="24"/>
  <c r="AS81" i="24" s="1"/>
  <c r="AS68" i="24"/>
  <c r="AT74" i="24"/>
  <c r="AT75" i="24" s="1"/>
  <c r="AT78" i="24"/>
  <c r="AT79" i="24" s="1"/>
  <c r="AT69" i="24"/>
  <c r="AT76" i="24"/>
  <c r="AT77" i="24" s="1"/>
  <c r="AV27" i="24"/>
  <c r="AU46" i="24"/>
  <c r="AU66" i="24" s="1"/>
  <c r="AT45" i="24"/>
  <c r="AZ39" i="24" l="1"/>
  <c r="AY40" i="24"/>
  <c r="AY89" i="24" s="1"/>
  <c r="AN109" i="24"/>
  <c r="AN110" i="24" s="1"/>
  <c r="AP107" i="24"/>
  <c r="AP92" i="24"/>
  <c r="AP93" i="24" s="1"/>
  <c r="AO108" i="24"/>
  <c r="AO114" i="24" s="1"/>
  <c r="AO115" i="24" s="1"/>
  <c r="AS51" i="24"/>
  <c r="AR118" i="24"/>
  <c r="AR121" i="24" s="1"/>
  <c r="AR53" i="24"/>
  <c r="AQ91" i="24"/>
  <c r="AQ97" i="24"/>
  <c r="AQ100" i="24" s="1"/>
  <c r="AQ101" i="24" s="1"/>
  <c r="AQ85" i="24"/>
  <c r="AQ86" i="24" s="1"/>
  <c r="AQ54" i="24"/>
  <c r="AU99" i="24"/>
  <c r="AU123" i="24"/>
  <c r="AU124" i="24" s="1"/>
  <c r="BB48" i="24"/>
  <c r="AZ120" i="24"/>
  <c r="AY42" i="24"/>
  <c r="AY104" i="24" s="1"/>
  <c r="AY41" i="24"/>
  <c r="AY106" i="24" s="1"/>
  <c r="AU84" i="24"/>
  <c r="AS70" i="24"/>
  <c r="AS71" i="24" s="1"/>
  <c r="AT68" i="24"/>
  <c r="AT80" i="24"/>
  <c r="AT81" i="24" s="1"/>
  <c r="AU78" i="24"/>
  <c r="AU79" i="24" s="1"/>
  <c r="AU74" i="24"/>
  <c r="AU75" i="24" s="1"/>
  <c r="AU76" i="24"/>
  <c r="AU77" i="24" s="1"/>
  <c r="AU69" i="24"/>
  <c r="AV46" i="24"/>
  <c r="AV66" i="24" s="1"/>
  <c r="AU45" i="24"/>
  <c r="AW27" i="24"/>
  <c r="BA39" i="24" l="1"/>
  <c r="AZ40" i="24"/>
  <c r="AZ89" i="24" s="1"/>
  <c r="AR91" i="24"/>
  <c r="AR97" i="24"/>
  <c r="AR100" i="24" s="1"/>
  <c r="AR101" i="24" s="1"/>
  <c r="AR54" i="24"/>
  <c r="AR85" i="24"/>
  <c r="AR86" i="24" s="1"/>
  <c r="AQ107" i="24"/>
  <c r="AQ92" i="24"/>
  <c r="AQ93" i="24" s="1"/>
  <c r="AT51" i="24"/>
  <c r="AS118" i="24"/>
  <c r="AS121" i="24" s="1"/>
  <c r="AS53" i="24"/>
  <c r="AO109" i="24"/>
  <c r="AO110" i="24" s="1"/>
  <c r="AP108" i="24"/>
  <c r="AP114" i="24" s="1"/>
  <c r="AP115" i="24" s="1"/>
  <c r="AV99" i="24"/>
  <c r="AV123" i="24"/>
  <c r="AV124" i="24" s="1"/>
  <c r="BC48" i="24"/>
  <c r="BA120" i="24"/>
  <c r="AV84" i="24"/>
  <c r="AZ42" i="24"/>
  <c r="AZ104" i="24" s="1"/>
  <c r="AZ41" i="24"/>
  <c r="AZ106" i="24" s="1"/>
  <c r="AT70" i="24"/>
  <c r="AT71" i="24" s="1"/>
  <c r="AU80" i="24"/>
  <c r="AU81" i="24" s="1"/>
  <c r="AU68" i="24"/>
  <c r="AV76" i="24"/>
  <c r="AV77" i="24" s="1"/>
  <c r="AV78" i="24"/>
  <c r="AV79" i="24" s="1"/>
  <c r="AV74" i="24"/>
  <c r="AV75" i="24" s="1"/>
  <c r="AV69" i="24"/>
  <c r="AV45" i="24"/>
  <c r="AW46" i="24"/>
  <c r="AW66" i="24" s="1"/>
  <c r="AX27" i="24"/>
  <c r="BB39" i="24" l="1"/>
  <c r="BA40" i="24"/>
  <c r="BA89" i="24" s="1"/>
  <c r="AP109" i="24"/>
  <c r="AP110" i="24" s="1"/>
  <c r="AU51" i="24"/>
  <c r="AT118" i="24"/>
  <c r="AT121" i="24" s="1"/>
  <c r="AT53" i="24"/>
  <c r="AQ108" i="24"/>
  <c r="AQ114" i="24" s="1"/>
  <c r="AQ115" i="24" s="1"/>
  <c r="AS97" i="24"/>
  <c r="AS100" i="24" s="1"/>
  <c r="AS101" i="24" s="1"/>
  <c r="AS54" i="24"/>
  <c r="AS91" i="24"/>
  <c r="AS85" i="24"/>
  <c r="AS86" i="24" s="1"/>
  <c r="AR107" i="24"/>
  <c r="AR92" i="24"/>
  <c r="AR93" i="24" s="1"/>
  <c r="AW99" i="24"/>
  <c r="AW123" i="24"/>
  <c r="AW124" i="24" s="1"/>
  <c r="BD48" i="24"/>
  <c r="BB120" i="24"/>
  <c r="BA42" i="24"/>
  <c r="BA104" i="24" s="1"/>
  <c r="BA41" i="24"/>
  <c r="BA106" i="24" s="1"/>
  <c r="AW84" i="24"/>
  <c r="AU70" i="24"/>
  <c r="AU71" i="24" s="1"/>
  <c r="AV80" i="24"/>
  <c r="AV81" i="24" s="1"/>
  <c r="AW74" i="24"/>
  <c r="AW75" i="24" s="1"/>
  <c r="AW76" i="24"/>
  <c r="AW77" i="24" s="1"/>
  <c r="AW78" i="24"/>
  <c r="AW79" i="24" s="1"/>
  <c r="AW69" i="24"/>
  <c r="AW45" i="24"/>
  <c r="AX46" i="24"/>
  <c r="AX66" i="24" s="1"/>
  <c r="AY27" i="24"/>
  <c r="AV68" i="24"/>
  <c r="BC39" i="24" l="1"/>
  <c r="BB40" i="24"/>
  <c r="BB89" i="24" s="1"/>
  <c r="AQ109" i="24"/>
  <c r="AQ110" i="24" s="1"/>
  <c r="AS107" i="24"/>
  <c r="AS92" i="24"/>
  <c r="AS93" i="24" s="1"/>
  <c r="AT91" i="24"/>
  <c r="AT97" i="24"/>
  <c r="AT100" i="24" s="1"/>
  <c r="AT101" i="24" s="1"/>
  <c r="AT85" i="24"/>
  <c r="AT86" i="24" s="1"/>
  <c r="AT54" i="24"/>
  <c r="AR108" i="24"/>
  <c r="AR114" i="24" s="1"/>
  <c r="AR115" i="24" s="1"/>
  <c r="AV51" i="24"/>
  <c r="AU118" i="24"/>
  <c r="AU121" i="24" s="1"/>
  <c r="AU53" i="24"/>
  <c r="AX99" i="24"/>
  <c r="AX123" i="24"/>
  <c r="AX124" i="24" s="1"/>
  <c r="BE48" i="24"/>
  <c r="BC120" i="24"/>
  <c r="BB42" i="24"/>
  <c r="BB104" i="24" s="1"/>
  <c r="BB41" i="24"/>
  <c r="BB106" i="24" s="1"/>
  <c r="AX84" i="24"/>
  <c r="AV70" i="24"/>
  <c r="AV71" i="24" s="1"/>
  <c r="AX76" i="24"/>
  <c r="AX77" i="24" s="1"/>
  <c r="AX74" i="24"/>
  <c r="AX75" i="24" s="1"/>
  <c r="AX69" i="24"/>
  <c r="AX78" i="24"/>
  <c r="AX79" i="24" s="1"/>
  <c r="AY46" i="24"/>
  <c r="AY66" i="24" s="1"/>
  <c r="AX45" i="24"/>
  <c r="AZ27" i="24"/>
  <c r="AW68" i="24"/>
  <c r="AW80" i="24"/>
  <c r="AW81" i="24" s="1"/>
  <c r="BD39" i="24" l="1"/>
  <c r="BC40" i="24"/>
  <c r="BC89" i="24" s="1"/>
  <c r="AR109" i="24"/>
  <c r="AR110" i="24" s="1"/>
  <c r="AU97" i="24"/>
  <c r="AU100" i="24" s="1"/>
  <c r="AU101" i="24" s="1"/>
  <c r="AU85" i="24"/>
  <c r="AU86" i="24" s="1"/>
  <c r="AU91" i="24"/>
  <c r="AU54" i="24"/>
  <c r="AT107" i="24"/>
  <c r="AT92" i="24"/>
  <c r="AT93" i="24" s="1"/>
  <c r="AW51" i="24"/>
  <c r="AV118" i="24"/>
  <c r="AV121" i="24" s="1"/>
  <c r="AV53" i="24"/>
  <c r="AS108" i="24"/>
  <c r="AS114" i="24" s="1"/>
  <c r="AS115" i="24" s="1"/>
  <c r="AY99" i="24"/>
  <c r="AY123" i="24"/>
  <c r="AY124" i="24" s="1"/>
  <c r="BF48" i="24"/>
  <c r="BD120" i="24"/>
  <c r="BC42" i="24"/>
  <c r="BC104" i="24" s="1"/>
  <c r="BC41" i="24"/>
  <c r="BC106" i="24" s="1"/>
  <c r="AY84" i="24"/>
  <c r="AW70" i="24"/>
  <c r="AW71" i="24" s="1"/>
  <c r="AX68" i="24"/>
  <c r="AY69" i="24"/>
  <c r="AY76" i="24"/>
  <c r="AY77" i="24" s="1"/>
  <c r="AY78" i="24"/>
  <c r="AY79" i="24" s="1"/>
  <c r="AY74" i="24"/>
  <c r="AY75" i="24" s="1"/>
  <c r="AZ46" i="24"/>
  <c r="AZ66" i="24" s="1"/>
  <c r="AY45" i="24"/>
  <c r="BA27" i="24"/>
  <c r="AX80" i="24"/>
  <c r="AX81" i="24" s="1"/>
  <c r="BE39" i="24" l="1"/>
  <c r="BD40" i="24"/>
  <c r="BD89" i="24" s="1"/>
  <c r="AS109" i="24"/>
  <c r="AS110" i="24" s="1"/>
  <c r="AT108" i="24"/>
  <c r="AT114" i="24" s="1"/>
  <c r="AT115" i="24" s="1"/>
  <c r="AU107" i="24"/>
  <c r="AU92" i="24"/>
  <c r="AU93" i="24" s="1"/>
  <c r="AX51" i="24"/>
  <c r="AW118" i="24"/>
  <c r="AW121" i="24" s="1"/>
  <c r="AW53" i="24"/>
  <c r="AV97" i="24"/>
  <c r="AV100" i="24" s="1"/>
  <c r="AV101" i="24" s="1"/>
  <c r="AV54" i="24"/>
  <c r="AV85" i="24"/>
  <c r="AV86" i="24" s="1"/>
  <c r="AV91" i="24"/>
  <c r="AZ99" i="24"/>
  <c r="AZ123" i="24"/>
  <c r="AZ124" i="24" s="1"/>
  <c r="BG48" i="24"/>
  <c r="BE120" i="24"/>
  <c r="BD42" i="24"/>
  <c r="BD104" i="24" s="1"/>
  <c r="BD41" i="24"/>
  <c r="BD106" i="24" s="1"/>
  <c r="AZ84" i="24"/>
  <c r="AX70" i="24"/>
  <c r="AX71" i="24" s="1"/>
  <c r="AY80" i="24"/>
  <c r="AY81" i="24" s="1"/>
  <c r="AZ78" i="24"/>
  <c r="AZ79" i="24" s="1"/>
  <c r="AZ74" i="24"/>
  <c r="AZ75" i="24" s="1"/>
  <c r="AZ69" i="24"/>
  <c r="AZ76" i="24"/>
  <c r="AZ77" i="24" s="1"/>
  <c r="AZ45" i="24"/>
  <c r="BA46" i="24"/>
  <c r="BA66" i="24" s="1"/>
  <c r="BB27" i="24"/>
  <c r="AY68" i="24"/>
  <c r="BF39" i="24" l="1"/>
  <c r="BE40" i="24"/>
  <c r="AT109" i="24"/>
  <c r="AT110" i="24" s="1"/>
  <c r="AW97" i="24"/>
  <c r="AW100" i="24" s="1"/>
  <c r="AW101" i="24" s="1"/>
  <c r="AW54" i="24"/>
  <c r="AW85" i="24"/>
  <c r="AW86" i="24" s="1"/>
  <c r="AW91" i="24"/>
  <c r="AY51" i="24"/>
  <c r="AX118" i="24"/>
  <c r="AX121" i="24" s="1"/>
  <c r="AX53" i="24"/>
  <c r="AV107" i="24"/>
  <c r="AV92" i="24"/>
  <c r="AV93" i="24" s="1"/>
  <c r="AU108" i="24"/>
  <c r="AU114" i="24" s="1"/>
  <c r="AU115" i="24" s="1"/>
  <c r="BA99" i="24"/>
  <c r="BA123" i="24"/>
  <c r="BA124" i="24" s="1"/>
  <c r="BH48" i="24"/>
  <c r="BF120" i="24"/>
  <c r="BE42" i="24"/>
  <c r="BE104" i="24" s="1"/>
  <c r="BE41" i="24"/>
  <c r="BE106" i="24" s="1"/>
  <c r="BE89" i="24"/>
  <c r="BA84" i="24"/>
  <c r="AY70" i="24"/>
  <c r="AY71" i="24" s="1"/>
  <c r="BA76" i="24"/>
  <c r="BA77" i="24" s="1"/>
  <c r="BA78" i="24"/>
  <c r="BA79" i="24" s="1"/>
  <c r="BA69" i="24"/>
  <c r="BA74" i="24"/>
  <c r="BA75" i="24" s="1"/>
  <c r="BB46" i="24"/>
  <c r="BB66" i="24" s="1"/>
  <c r="BA45" i="24"/>
  <c r="BC27" i="24"/>
  <c r="AZ68" i="24"/>
  <c r="AZ80" i="24"/>
  <c r="AZ81" i="24" s="1"/>
  <c r="BG39" i="24" l="1"/>
  <c r="BF40" i="24"/>
  <c r="BF89" i="24" s="1"/>
  <c r="AU109" i="24"/>
  <c r="AU110" i="24" s="1"/>
  <c r="AZ51" i="24"/>
  <c r="AY118" i="24"/>
  <c r="AY121" i="24" s="1"/>
  <c r="AY53" i="24"/>
  <c r="AV108" i="24"/>
  <c r="AV114" i="24" s="1"/>
  <c r="AV115" i="24" s="1"/>
  <c r="AX97" i="24"/>
  <c r="AX100" i="24" s="1"/>
  <c r="AX101" i="24" s="1"/>
  <c r="AX85" i="24"/>
  <c r="AX86" i="24" s="1"/>
  <c r="AX91" i="24"/>
  <c r="AX54" i="24"/>
  <c r="AW107" i="24"/>
  <c r="AW92" i="24"/>
  <c r="AW93" i="24" s="1"/>
  <c r="BB99" i="24"/>
  <c r="BB123" i="24"/>
  <c r="BB124" i="24" s="1"/>
  <c r="BI48" i="24"/>
  <c r="BG120" i="24"/>
  <c r="BB84" i="24"/>
  <c r="BF42" i="24"/>
  <c r="BF104" i="24" s="1"/>
  <c r="BF41" i="24"/>
  <c r="BF106" i="24" s="1"/>
  <c r="AZ70" i="24"/>
  <c r="AZ71" i="24" s="1"/>
  <c r="BA80" i="24"/>
  <c r="BA81" i="24" s="1"/>
  <c r="BB69" i="24"/>
  <c r="BB78" i="24"/>
  <c r="BB79" i="24" s="1"/>
  <c r="BB74" i="24"/>
  <c r="BB75" i="24" s="1"/>
  <c r="BB76" i="24"/>
  <c r="BB77" i="24" s="1"/>
  <c r="BB45" i="24"/>
  <c r="BC46" i="24"/>
  <c r="BC66" i="24" s="1"/>
  <c r="BD27" i="24"/>
  <c r="BA68" i="24"/>
  <c r="BH39" i="24" l="1"/>
  <c r="BG40" i="24"/>
  <c r="BG89" i="24" s="1"/>
  <c r="AV109" i="24"/>
  <c r="AV110" i="24" s="1"/>
  <c r="AX107" i="24"/>
  <c r="AX92" i="24"/>
  <c r="AX93" i="24" s="1"/>
  <c r="AY97" i="24"/>
  <c r="AY100" i="24" s="1"/>
  <c r="AY101" i="24" s="1"/>
  <c r="AY85" i="24"/>
  <c r="AY86" i="24" s="1"/>
  <c r="AY91" i="24"/>
  <c r="AY54" i="24"/>
  <c r="AW108" i="24"/>
  <c r="AW114" i="24" s="1"/>
  <c r="AW115" i="24" s="1"/>
  <c r="BA51" i="24"/>
  <c r="AZ118" i="24"/>
  <c r="AZ121" i="24" s="1"/>
  <c r="AZ53" i="24"/>
  <c r="BC99" i="24"/>
  <c r="BC123" i="24"/>
  <c r="BC124" i="24" s="1"/>
  <c r="BJ48" i="24"/>
  <c r="BH120" i="24"/>
  <c r="BG42" i="24"/>
  <c r="BG104" i="24" s="1"/>
  <c r="BG41" i="24"/>
  <c r="BG106" i="24" s="1"/>
  <c r="BC84" i="24"/>
  <c r="BB80" i="24"/>
  <c r="BB81" i="24" s="1"/>
  <c r="BA70" i="24"/>
  <c r="BA71" i="24" s="1"/>
  <c r="BB68" i="24"/>
  <c r="BC78" i="24"/>
  <c r="BC79" i="24" s="1"/>
  <c r="BC69" i="24"/>
  <c r="BC74" i="24"/>
  <c r="BC75" i="24" s="1"/>
  <c r="BC76" i="24"/>
  <c r="BC77" i="24" s="1"/>
  <c r="BD46" i="24"/>
  <c r="BD66" i="24" s="1"/>
  <c r="BC45" i="24"/>
  <c r="BE27" i="24"/>
  <c r="BI39" i="24" l="1"/>
  <c r="BH40" i="24"/>
  <c r="BH89" i="24" s="1"/>
  <c r="BB51" i="24"/>
  <c r="BA118" i="24"/>
  <c r="BA121" i="24" s="1"/>
  <c r="BA53" i="24"/>
  <c r="AX108" i="24"/>
  <c r="AX114" i="24" s="1"/>
  <c r="AX115" i="24" s="1"/>
  <c r="AW109" i="24"/>
  <c r="AW110" i="24" s="1"/>
  <c r="AY107" i="24"/>
  <c r="AY92" i="24"/>
  <c r="AY93" i="24" s="1"/>
  <c r="AZ97" i="24"/>
  <c r="AZ100" i="24" s="1"/>
  <c r="AZ101" i="24" s="1"/>
  <c r="AZ85" i="24"/>
  <c r="AZ86" i="24" s="1"/>
  <c r="AZ91" i="24"/>
  <c r="AZ54" i="24"/>
  <c r="BD99" i="24"/>
  <c r="BD123" i="24"/>
  <c r="BD124" i="24" s="1"/>
  <c r="BK48" i="24"/>
  <c r="BI120" i="24"/>
  <c r="BH42" i="24"/>
  <c r="BH104" i="24" s="1"/>
  <c r="BH41" i="24"/>
  <c r="BH106" i="24" s="1"/>
  <c r="BD84" i="24"/>
  <c r="BB70" i="24"/>
  <c r="BB71" i="24" s="1"/>
  <c r="BC80" i="24"/>
  <c r="BC81" i="24" s="1"/>
  <c r="BD74" i="24"/>
  <c r="BD75" i="24" s="1"/>
  <c r="BD78" i="24"/>
  <c r="BD79" i="24" s="1"/>
  <c r="BD69" i="24"/>
  <c r="BD76" i="24"/>
  <c r="BD77" i="24" s="1"/>
  <c r="BE46" i="24"/>
  <c r="BE66" i="24" s="1"/>
  <c r="BD45" i="24"/>
  <c r="BF27" i="24"/>
  <c r="BC68" i="24"/>
  <c r="BJ39" i="24" l="1"/>
  <c r="BI40" i="24"/>
  <c r="BI89" i="24" s="1"/>
  <c r="AX109" i="24"/>
  <c r="AX110" i="24" s="1"/>
  <c r="AY108" i="24"/>
  <c r="AY114" i="24" s="1"/>
  <c r="AY115" i="24" s="1"/>
  <c r="AZ107" i="24"/>
  <c r="AZ92" i="24"/>
  <c r="AZ93" i="24" s="1"/>
  <c r="BA85" i="24"/>
  <c r="BA86" i="24" s="1"/>
  <c r="BA91" i="24"/>
  <c r="BA54" i="24"/>
  <c r="BA97" i="24"/>
  <c r="BA100" i="24" s="1"/>
  <c r="BA101" i="24" s="1"/>
  <c r="BC51" i="24"/>
  <c r="BB118" i="24"/>
  <c r="BB121" i="24" s="1"/>
  <c r="BB53" i="24"/>
  <c r="BE99" i="24"/>
  <c r="BE123" i="24"/>
  <c r="BE124" i="24" s="1"/>
  <c r="BL48" i="24"/>
  <c r="BJ120" i="24"/>
  <c r="BI42" i="24"/>
  <c r="BI104" i="24" s="1"/>
  <c r="BI41" i="24"/>
  <c r="BI106" i="24" s="1"/>
  <c r="BE84" i="24"/>
  <c r="BC70" i="24"/>
  <c r="BC71" i="24" s="1"/>
  <c r="BE74" i="24"/>
  <c r="BE75" i="24" s="1"/>
  <c r="BE78" i="24"/>
  <c r="BE79" i="24" s="1"/>
  <c r="BE76" i="24"/>
  <c r="BE77" i="24" s="1"/>
  <c r="BE69" i="24"/>
  <c r="BE45" i="24"/>
  <c r="BF46" i="24"/>
  <c r="BF66" i="24" s="1"/>
  <c r="BG27" i="24"/>
  <c r="BD68" i="24"/>
  <c r="BD80" i="24"/>
  <c r="BD81" i="24" s="1"/>
  <c r="BK39" i="24" l="1"/>
  <c r="BJ40" i="24"/>
  <c r="BJ89" i="24" s="1"/>
  <c r="AY109" i="24"/>
  <c r="AY110" i="24" s="1"/>
  <c r="BA107" i="24"/>
  <c r="BA92" i="24"/>
  <c r="BA93" i="24" s="1"/>
  <c r="BB91" i="24"/>
  <c r="BB54" i="24"/>
  <c r="BB97" i="24"/>
  <c r="BB100" i="24" s="1"/>
  <c r="BB101" i="24" s="1"/>
  <c r="BB85" i="24"/>
  <c r="BB86" i="24" s="1"/>
  <c r="AZ108" i="24"/>
  <c r="AZ114" i="24" s="1"/>
  <c r="AZ115" i="24" s="1"/>
  <c r="BD51" i="24"/>
  <c r="BC118" i="24"/>
  <c r="BC121" i="24" s="1"/>
  <c r="BC53" i="24"/>
  <c r="BF99" i="24"/>
  <c r="BF123" i="24"/>
  <c r="BF124" i="24" s="1"/>
  <c r="BM48" i="24"/>
  <c r="BK120" i="24"/>
  <c r="BJ42" i="24"/>
  <c r="BJ104" i="24" s="1"/>
  <c r="BJ41" i="24"/>
  <c r="BJ106" i="24" s="1"/>
  <c r="BF84" i="24"/>
  <c r="BD70" i="24"/>
  <c r="BD71" i="24" s="1"/>
  <c r="BF76" i="24"/>
  <c r="BF77" i="24" s="1"/>
  <c r="BF74" i="24"/>
  <c r="BF75" i="24" s="1"/>
  <c r="BF78" i="24"/>
  <c r="BF79" i="24" s="1"/>
  <c r="BF69" i="24"/>
  <c r="BG46" i="24"/>
  <c r="BG66" i="24" s="1"/>
  <c r="BF45" i="24"/>
  <c r="BH27" i="24"/>
  <c r="BE68" i="24"/>
  <c r="BE80" i="24"/>
  <c r="BE81" i="24" s="1"/>
  <c r="BL39" i="24" l="1"/>
  <c r="BK40" i="24"/>
  <c r="BK89" i="24" s="1"/>
  <c r="AZ109" i="24"/>
  <c r="AZ110" i="24" s="1"/>
  <c r="BC97" i="24"/>
  <c r="BC100" i="24" s="1"/>
  <c r="BC101" i="24" s="1"/>
  <c r="BC85" i="24"/>
  <c r="BC86" i="24" s="1"/>
  <c r="BC54" i="24"/>
  <c r="BC91" i="24"/>
  <c r="BB107" i="24"/>
  <c r="BB92" i="24"/>
  <c r="BB93" i="24" s="1"/>
  <c r="BE51" i="24"/>
  <c r="BD118" i="24"/>
  <c r="BD121" i="24" s="1"/>
  <c r="BD53" i="24"/>
  <c r="BA108" i="24"/>
  <c r="BA114" i="24" s="1"/>
  <c r="BA115" i="24" s="1"/>
  <c r="BG99" i="24"/>
  <c r="BG123" i="24"/>
  <c r="BG124" i="24" s="1"/>
  <c r="BN48" i="24"/>
  <c r="BL120" i="24"/>
  <c r="BK42" i="24"/>
  <c r="BK104" i="24" s="1"/>
  <c r="BK41" i="24"/>
  <c r="BK106" i="24" s="1"/>
  <c r="BG84" i="24"/>
  <c r="BE70" i="24"/>
  <c r="BE71" i="24" s="1"/>
  <c r="BG76" i="24"/>
  <c r="BG77" i="24" s="1"/>
  <c r="BG69" i="24"/>
  <c r="BG74" i="24"/>
  <c r="BG75" i="24" s="1"/>
  <c r="BG78" i="24"/>
  <c r="BG79" i="24" s="1"/>
  <c r="BH46" i="24"/>
  <c r="BH66" i="24" s="1"/>
  <c r="BI27" i="24"/>
  <c r="BG45" i="24"/>
  <c r="BF80" i="24"/>
  <c r="BF81" i="24" s="1"/>
  <c r="BF68" i="24"/>
  <c r="BM39" i="24" l="1"/>
  <c r="BL40" i="24"/>
  <c r="BA109" i="24"/>
  <c r="BA110" i="24" s="1"/>
  <c r="BF51" i="24"/>
  <c r="BE118" i="24"/>
  <c r="BE121" i="24" s="1"/>
  <c r="BE53" i="24"/>
  <c r="BB108" i="24"/>
  <c r="BB114" i="24" s="1"/>
  <c r="BB115" i="24" s="1"/>
  <c r="BC107" i="24"/>
  <c r="BC92" i="24"/>
  <c r="BC93" i="24" s="1"/>
  <c r="BD91" i="24"/>
  <c r="BD54" i="24"/>
  <c r="BD85" i="24"/>
  <c r="BD86" i="24" s="1"/>
  <c r="BD97" i="24"/>
  <c r="BD100" i="24" s="1"/>
  <c r="BD101" i="24" s="1"/>
  <c r="H101" i="24" s="1"/>
  <c r="BH99" i="24"/>
  <c r="BH123" i="24"/>
  <c r="BH124" i="24" s="1"/>
  <c r="BO48" i="24"/>
  <c r="BM120" i="24"/>
  <c r="BH84" i="24"/>
  <c r="BL42" i="24"/>
  <c r="BL104" i="24" s="1"/>
  <c r="BL41" i="24"/>
  <c r="BL106" i="24" s="1"/>
  <c r="BL89" i="24"/>
  <c r="BF70" i="24"/>
  <c r="BF71" i="24" s="1"/>
  <c r="BH78" i="24"/>
  <c r="BH79" i="24" s="1"/>
  <c r="BH74" i="24"/>
  <c r="BH75" i="24" s="1"/>
  <c r="BH76" i="24"/>
  <c r="BH77" i="24" s="1"/>
  <c r="BH69" i="24"/>
  <c r="BI46" i="24"/>
  <c r="BI66" i="24" s="1"/>
  <c r="BJ27" i="24"/>
  <c r="BH45" i="24"/>
  <c r="BG68" i="24"/>
  <c r="BG80" i="24"/>
  <c r="BG81" i="24" s="1"/>
  <c r="BN39" i="24" l="1"/>
  <c r="BM40" i="24"/>
  <c r="BM89" i="24" s="1"/>
  <c r="BB109" i="24"/>
  <c r="BB110" i="24" s="1"/>
  <c r="BC108" i="24"/>
  <c r="BC114" i="24" s="1"/>
  <c r="BC115" i="24" s="1"/>
  <c r="BD107" i="24"/>
  <c r="BD92" i="24"/>
  <c r="BD93" i="24" s="1"/>
  <c r="BE85" i="24"/>
  <c r="BE86" i="24" s="1"/>
  <c r="BE91" i="24"/>
  <c r="BE54" i="24"/>
  <c r="BE97" i="24"/>
  <c r="BE100" i="24" s="1"/>
  <c r="BE101" i="24" s="1"/>
  <c r="BG51" i="24"/>
  <c r="BF118" i="24"/>
  <c r="BF121" i="24" s="1"/>
  <c r="BF53" i="24"/>
  <c r="BI99" i="24"/>
  <c r="BI123" i="24"/>
  <c r="BI124" i="24" s="1"/>
  <c r="BP48" i="24"/>
  <c r="BN120" i="24"/>
  <c r="BI84" i="24"/>
  <c r="BM42" i="24"/>
  <c r="BM104" i="24" s="1"/>
  <c r="BM41" i="24"/>
  <c r="BM106" i="24" s="1"/>
  <c r="BG70" i="24"/>
  <c r="BG71" i="24" s="1"/>
  <c r="BH68" i="24"/>
  <c r="BI76" i="24"/>
  <c r="BI77" i="24" s="1"/>
  <c r="BI69" i="24"/>
  <c r="BI74" i="24"/>
  <c r="BI75" i="24" s="1"/>
  <c r="BI78" i="24"/>
  <c r="BI79" i="24" s="1"/>
  <c r="BJ46" i="24"/>
  <c r="BJ66" i="24" s="1"/>
  <c r="BI45" i="24"/>
  <c r="BK27" i="24"/>
  <c r="BH80" i="24"/>
  <c r="BH81" i="24" s="1"/>
  <c r="BO39" i="24" l="1"/>
  <c r="BN40" i="24"/>
  <c r="BN89" i="24" s="1"/>
  <c r="BC109" i="24"/>
  <c r="BC110" i="24" s="1"/>
  <c r="BE107" i="24"/>
  <c r="BE92" i="24"/>
  <c r="BE93" i="24" s="1"/>
  <c r="BD108" i="24"/>
  <c r="BD114" i="24" s="1"/>
  <c r="BD115" i="24" s="1"/>
  <c r="BF97" i="24"/>
  <c r="BF100" i="24" s="1"/>
  <c r="BF101" i="24" s="1"/>
  <c r="BF54" i="24"/>
  <c r="BF85" i="24"/>
  <c r="BF86" i="24" s="1"/>
  <c r="BF91" i="24"/>
  <c r="BH51" i="24"/>
  <c r="BG118" i="24"/>
  <c r="BG121" i="24" s="1"/>
  <c r="BG53" i="24"/>
  <c r="BJ99" i="24"/>
  <c r="BJ123" i="24"/>
  <c r="BJ124" i="24" s="1"/>
  <c r="BQ48" i="24"/>
  <c r="BO120" i="24"/>
  <c r="BN42" i="24"/>
  <c r="BN104" i="24" s="1"/>
  <c r="BN41" i="24"/>
  <c r="BN106" i="24" s="1"/>
  <c r="BJ84" i="24"/>
  <c r="BH70" i="24"/>
  <c r="BH71" i="24" s="1"/>
  <c r="BI80" i="24"/>
  <c r="BI81" i="24" s="1"/>
  <c r="BJ69" i="24"/>
  <c r="BJ76" i="24"/>
  <c r="BJ77" i="24" s="1"/>
  <c r="BJ74" i="24"/>
  <c r="BJ75" i="24" s="1"/>
  <c r="BJ78" i="24"/>
  <c r="BJ79" i="24" s="1"/>
  <c r="BK46" i="24"/>
  <c r="BK66" i="24" s="1"/>
  <c r="BJ45" i="24"/>
  <c r="BL27" i="24"/>
  <c r="BI68" i="24"/>
  <c r="BP39" i="24" l="1"/>
  <c r="BO40" i="24"/>
  <c r="BO89" i="24" s="1"/>
  <c r="BD109" i="24"/>
  <c r="BD110" i="24" s="1"/>
  <c r="BF107" i="24"/>
  <c r="BF92" i="24"/>
  <c r="BF93" i="24" s="1"/>
  <c r="BG97" i="24"/>
  <c r="BG100" i="24" s="1"/>
  <c r="BG101" i="24" s="1"/>
  <c r="BG85" i="24"/>
  <c r="BG86" i="24" s="1"/>
  <c r="BG54" i="24"/>
  <c r="BG91" i="24"/>
  <c r="BI51" i="24"/>
  <c r="BH118" i="24"/>
  <c r="BH121" i="24" s="1"/>
  <c r="BH53" i="24"/>
  <c r="BE108" i="24"/>
  <c r="BE114" i="24" s="1"/>
  <c r="BE115" i="24" s="1"/>
  <c r="BK99" i="24"/>
  <c r="BK123" i="24"/>
  <c r="BK124" i="24" s="1"/>
  <c r="BR48" i="24"/>
  <c r="BP120" i="24"/>
  <c r="BO42" i="24"/>
  <c r="BO104" i="24" s="1"/>
  <c r="BO41" i="24"/>
  <c r="BO106" i="24" s="1"/>
  <c r="BK84" i="24"/>
  <c r="BI70" i="24"/>
  <c r="BI71" i="24" s="1"/>
  <c r="BK78" i="24"/>
  <c r="BK79" i="24" s="1"/>
  <c r="BK76" i="24"/>
  <c r="BK77" i="24" s="1"/>
  <c r="BK74" i="24"/>
  <c r="BK75" i="24" s="1"/>
  <c r="BK69" i="24"/>
  <c r="BL46" i="24"/>
  <c r="BL66" i="24" s="1"/>
  <c r="BK45" i="24"/>
  <c r="BM27" i="24"/>
  <c r="BJ80" i="24"/>
  <c r="BJ81" i="24" s="1"/>
  <c r="BJ68" i="24"/>
  <c r="BQ39" i="24" l="1"/>
  <c r="BP40" i="24"/>
  <c r="BP89" i="24" s="1"/>
  <c r="BE109" i="24"/>
  <c r="BE110" i="24" s="1"/>
  <c r="BG107" i="24"/>
  <c r="BG92" i="24"/>
  <c r="BG93" i="24" s="1"/>
  <c r="BJ51" i="24"/>
  <c r="BI118" i="24"/>
  <c r="BI121" i="24" s="1"/>
  <c r="BI53" i="24"/>
  <c r="BH97" i="24"/>
  <c r="BH100" i="24" s="1"/>
  <c r="BH101" i="24" s="1"/>
  <c r="BH54" i="24"/>
  <c r="BH91" i="24"/>
  <c r="BH85" i="24"/>
  <c r="BH86" i="24" s="1"/>
  <c r="BF108" i="24"/>
  <c r="BF114" i="24" s="1"/>
  <c r="BF115" i="24" s="1"/>
  <c r="BL99" i="24"/>
  <c r="BL123" i="24"/>
  <c r="BL124" i="24" s="1"/>
  <c r="BS48" i="24"/>
  <c r="BQ120" i="24"/>
  <c r="BL84" i="24"/>
  <c r="BP42" i="24"/>
  <c r="BP104" i="24" s="1"/>
  <c r="BP41" i="24"/>
  <c r="BP106" i="24" s="1"/>
  <c r="BK80" i="24"/>
  <c r="BK81" i="24" s="1"/>
  <c r="BJ70" i="24"/>
  <c r="BJ71" i="24" s="1"/>
  <c r="BK68" i="24"/>
  <c r="BL78" i="24"/>
  <c r="BL79" i="24" s="1"/>
  <c r="BL76" i="24"/>
  <c r="BL77" i="24" s="1"/>
  <c r="BL74" i="24"/>
  <c r="BL75" i="24" s="1"/>
  <c r="BL69" i="24"/>
  <c r="BM46" i="24"/>
  <c r="BM66" i="24" s="1"/>
  <c r="BL45" i="24"/>
  <c r="BN27" i="24"/>
  <c r="BR39" i="24" l="1"/>
  <c r="BQ40" i="24"/>
  <c r="BQ89" i="24" s="1"/>
  <c r="BH107" i="24"/>
  <c r="BH92" i="24"/>
  <c r="BH93" i="24" s="1"/>
  <c r="BI97" i="24"/>
  <c r="BI100" i="24" s="1"/>
  <c r="BI101" i="24" s="1"/>
  <c r="BI54" i="24"/>
  <c r="BI85" i="24"/>
  <c r="BI86" i="24" s="1"/>
  <c r="BI91" i="24"/>
  <c r="BF109" i="24"/>
  <c r="BF110" i="24" s="1"/>
  <c r="BK51" i="24"/>
  <c r="BJ118" i="24"/>
  <c r="BJ121" i="24" s="1"/>
  <c r="BJ53" i="24"/>
  <c r="BG108" i="24"/>
  <c r="BG114" i="24" s="1"/>
  <c r="BG115" i="24" s="1"/>
  <c r="BM99" i="24"/>
  <c r="BM123" i="24"/>
  <c r="BM124" i="24" s="1"/>
  <c r="BR120" i="24"/>
  <c r="BM84" i="24"/>
  <c r="BQ42" i="24"/>
  <c r="BQ104" i="24" s="1"/>
  <c r="BQ41" i="24"/>
  <c r="BQ106" i="24" s="1"/>
  <c r="BK70" i="24"/>
  <c r="BK71" i="24" s="1"/>
  <c r="BL80" i="24"/>
  <c r="BL81" i="24" s="1"/>
  <c r="BM74" i="24"/>
  <c r="BM75" i="24" s="1"/>
  <c r="BM78" i="24"/>
  <c r="BM79" i="24" s="1"/>
  <c r="BM76" i="24"/>
  <c r="BM77" i="24" s="1"/>
  <c r="BM69" i="24"/>
  <c r="BN46" i="24"/>
  <c r="BN66" i="24" s="1"/>
  <c r="BM45" i="24"/>
  <c r="BO27" i="24"/>
  <c r="BL68" i="24"/>
  <c r="BS39" i="24" l="1"/>
  <c r="BS40" i="24" s="1"/>
  <c r="BR40" i="24"/>
  <c r="BR89" i="24" s="1"/>
  <c r="BL51" i="24"/>
  <c r="BK118" i="24"/>
  <c r="BK121" i="24" s="1"/>
  <c r="BK53" i="24"/>
  <c r="BI107" i="24"/>
  <c r="BI92" i="24"/>
  <c r="BI93" i="24" s="1"/>
  <c r="BG109" i="24"/>
  <c r="BG110" i="24" s="1"/>
  <c r="BJ97" i="24"/>
  <c r="BJ100" i="24" s="1"/>
  <c r="BJ101" i="24" s="1"/>
  <c r="BJ85" i="24"/>
  <c r="BJ86" i="24" s="1"/>
  <c r="BJ91" i="24"/>
  <c r="BJ54" i="24"/>
  <c r="BH108" i="24"/>
  <c r="BH114" i="24" s="1"/>
  <c r="BH115" i="24" s="1"/>
  <c r="BN99" i="24"/>
  <c r="BN123" i="24"/>
  <c r="BN124" i="24" s="1"/>
  <c r="BS120" i="24"/>
  <c r="BR42" i="24"/>
  <c r="BR104" i="24" s="1"/>
  <c r="BR41" i="24"/>
  <c r="BR106" i="24" s="1"/>
  <c r="BN84" i="24"/>
  <c r="BL70" i="24"/>
  <c r="BL71" i="24" s="1"/>
  <c r="BN76" i="24"/>
  <c r="BN77" i="24" s="1"/>
  <c r="BN78" i="24"/>
  <c r="BN79" i="24" s="1"/>
  <c r="BN74" i="24"/>
  <c r="BN75" i="24" s="1"/>
  <c r="BN69" i="24"/>
  <c r="BN45" i="24"/>
  <c r="BP27" i="24"/>
  <c r="BO46" i="24"/>
  <c r="BO66" i="24" s="1"/>
  <c r="BM68" i="24"/>
  <c r="BM70" i="24" s="1"/>
  <c r="BM71" i="24" s="1"/>
  <c r="BM80" i="24"/>
  <c r="BM81" i="24" s="1"/>
  <c r="BH109" i="24" l="1"/>
  <c r="BH110" i="24" s="1"/>
  <c r="BI108" i="24"/>
  <c r="BI114" i="24" s="1"/>
  <c r="BI115" i="24" s="1"/>
  <c r="BK97" i="24"/>
  <c r="BK100" i="24" s="1"/>
  <c r="BK101" i="24" s="1"/>
  <c r="BK85" i="24"/>
  <c r="BK86" i="24" s="1"/>
  <c r="BK54" i="24"/>
  <c r="BK91" i="24"/>
  <c r="BJ107" i="24"/>
  <c r="BJ92" i="24"/>
  <c r="BJ93" i="24" s="1"/>
  <c r="BM51" i="24"/>
  <c r="BL118" i="24"/>
  <c r="BL121" i="24" s="1"/>
  <c r="BL53" i="24"/>
  <c r="BO99" i="24"/>
  <c r="BO123" i="24"/>
  <c r="BO124" i="24" s="1"/>
  <c r="BO84" i="24"/>
  <c r="BS42" i="24"/>
  <c r="BS104" i="24" s="1"/>
  <c r="BS41" i="24"/>
  <c r="BS106" i="24" s="1"/>
  <c r="BS89" i="24"/>
  <c r="BN80" i="24"/>
  <c r="BN81" i="24" s="1"/>
  <c r="BO74" i="24"/>
  <c r="BO75" i="24" s="1"/>
  <c r="BO69" i="24"/>
  <c r="BO78" i="24"/>
  <c r="BO79" i="24" s="1"/>
  <c r="BO76" i="24"/>
  <c r="BO77" i="24" s="1"/>
  <c r="BP46" i="24"/>
  <c r="BP66" i="24" s="1"/>
  <c r="BQ27" i="24"/>
  <c r="BO45" i="24"/>
  <c r="BN68" i="24"/>
  <c r="BI109" i="24" l="1"/>
  <c r="BI110" i="24" s="1"/>
  <c r="BJ108" i="24"/>
  <c r="BJ114" i="24" s="1"/>
  <c r="BJ115" i="24" s="1"/>
  <c r="BK107" i="24"/>
  <c r="BK92" i="24"/>
  <c r="BK93" i="24" s="1"/>
  <c r="BL97" i="24"/>
  <c r="BL100" i="24" s="1"/>
  <c r="BL101" i="24" s="1"/>
  <c r="BL85" i="24"/>
  <c r="BL86" i="24" s="1"/>
  <c r="BL54" i="24"/>
  <c r="BL91" i="24"/>
  <c r="BN51" i="24"/>
  <c r="BM118" i="24"/>
  <c r="BM121" i="24" s="1"/>
  <c r="BM53" i="24"/>
  <c r="BP99" i="24"/>
  <c r="BP123" i="24"/>
  <c r="BP124" i="24" s="1"/>
  <c r="BP84" i="24"/>
  <c r="BN70" i="24"/>
  <c r="BN71" i="24" s="1"/>
  <c r="BP78" i="24"/>
  <c r="BP79" i="24" s="1"/>
  <c r="BP74" i="24"/>
  <c r="BP75" i="24" s="1"/>
  <c r="BP69" i="24"/>
  <c r="BP76" i="24"/>
  <c r="BP77" i="24" s="1"/>
  <c r="BP45" i="24"/>
  <c r="BQ46" i="24"/>
  <c r="BQ66" i="24" s="1"/>
  <c r="BR27" i="24"/>
  <c r="BO68" i="24"/>
  <c r="BO70" i="24" s="1"/>
  <c r="BO71" i="24" s="1"/>
  <c r="BO80" i="24"/>
  <c r="BO81" i="24" s="1"/>
  <c r="BJ109" i="24" l="1"/>
  <c r="BJ110" i="24" s="1"/>
  <c r="BM85" i="24"/>
  <c r="BM86" i="24" s="1"/>
  <c r="BM91" i="24"/>
  <c r="BM97" i="24"/>
  <c r="BM100" i="24" s="1"/>
  <c r="BM101" i="24" s="1"/>
  <c r="BM54" i="24"/>
  <c r="BL107" i="24"/>
  <c r="BL92" i="24"/>
  <c r="BL93" i="24" s="1"/>
  <c r="BK108" i="24"/>
  <c r="BK114" i="24" s="1"/>
  <c r="BK115" i="24" s="1"/>
  <c r="BO51" i="24"/>
  <c r="BN118" i="24"/>
  <c r="BN121" i="24" s="1"/>
  <c r="BN53" i="24"/>
  <c r="BQ99" i="24"/>
  <c r="BQ123" i="24"/>
  <c r="BQ124" i="24" s="1"/>
  <c r="BQ84" i="24"/>
  <c r="BQ76" i="24"/>
  <c r="BQ77" i="24" s="1"/>
  <c r="BQ69" i="24"/>
  <c r="BQ74" i="24"/>
  <c r="BQ75" i="24" s="1"/>
  <c r="BQ78" i="24"/>
  <c r="BQ79" i="24" s="1"/>
  <c r="BR46" i="24"/>
  <c r="BR66" i="24" s="1"/>
  <c r="BQ45" i="24"/>
  <c r="BS27" i="24"/>
  <c r="BP68" i="24"/>
  <c r="BP80" i="24"/>
  <c r="BP81" i="24" s="1"/>
  <c r="BK109" i="24" l="1"/>
  <c r="BK110" i="24" s="1"/>
  <c r="BL108" i="24"/>
  <c r="BL114" i="24" s="1"/>
  <c r="BL115" i="24" s="1"/>
  <c r="BN85" i="24"/>
  <c r="BN86" i="24" s="1"/>
  <c r="BN54" i="24"/>
  <c r="BN97" i="24"/>
  <c r="BN100" i="24" s="1"/>
  <c r="BN101" i="24" s="1"/>
  <c r="BN91" i="24"/>
  <c r="BM107" i="24"/>
  <c r="BM92" i="24"/>
  <c r="BM93" i="24" s="1"/>
  <c r="BP51" i="24"/>
  <c r="BO118" i="24"/>
  <c r="BO121" i="24" s="1"/>
  <c r="BO53" i="24"/>
  <c r="BR99" i="24"/>
  <c r="BR123" i="24"/>
  <c r="BR124" i="24" s="1"/>
  <c r="BR84" i="24"/>
  <c r="BP70" i="24"/>
  <c r="BP71" i="24" s="1"/>
  <c r="BR76" i="24"/>
  <c r="BR77" i="24" s="1"/>
  <c r="BR69" i="24"/>
  <c r="BR74" i="24"/>
  <c r="BR75" i="24" s="1"/>
  <c r="BR78" i="24"/>
  <c r="BR79" i="24" s="1"/>
  <c r="BS46" i="24"/>
  <c r="BS66" i="24" s="1"/>
  <c r="BT27" i="24"/>
  <c r="BR45" i="24"/>
  <c r="BQ80" i="24"/>
  <c r="BQ81" i="24" s="1"/>
  <c r="BQ68" i="24"/>
  <c r="BQ70" i="24" s="1"/>
  <c r="BQ71" i="24" s="1"/>
  <c r="BL109" i="24" l="1"/>
  <c r="BL110" i="24" s="1"/>
  <c r="BM108" i="24"/>
  <c r="BM114" i="24" s="1"/>
  <c r="BM115" i="24" s="1"/>
  <c r="BN107" i="24"/>
  <c r="BN92" i="24"/>
  <c r="BN93" i="24" s="1"/>
  <c r="BO54" i="24"/>
  <c r="BO85" i="24"/>
  <c r="BO86" i="24" s="1"/>
  <c r="BO91" i="24"/>
  <c r="BO97" i="24"/>
  <c r="BO100" i="24" s="1"/>
  <c r="BO101" i="24" s="1"/>
  <c r="BQ51" i="24"/>
  <c r="BP118" i="24"/>
  <c r="BP121" i="24" s="1"/>
  <c r="BP53" i="24"/>
  <c r="BS99" i="24"/>
  <c r="BS123" i="24"/>
  <c r="BS84" i="24"/>
  <c r="BS78" i="24"/>
  <c r="BS79" i="24" s="1"/>
  <c r="H79" i="24" s="1"/>
  <c r="BS74" i="24"/>
  <c r="BS75" i="24" s="1"/>
  <c r="H75" i="24" s="1"/>
  <c r="BS76" i="24"/>
  <c r="BS77" i="24" s="1"/>
  <c r="H77" i="24" s="1"/>
  <c r="BS69" i="24"/>
  <c r="BS45" i="24"/>
  <c r="BU27" i="24"/>
  <c r="BR80" i="24"/>
  <c r="BR81" i="24" s="1"/>
  <c r="BR68" i="24"/>
  <c r="BR70" i="24" s="1"/>
  <c r="BR71" i="24" s="1"/>
  <c r="BM109" i="24" l="1"/>
  <c r="BM110" i="24" s="1"/>
  <c r="BR51" i="24"/>
  <c r="BQ118" i="24"/>
  <c r="BQ121" i="24" s="1"/>
  <c r="BQ53" i="24"/>
  <c r="BO107" i="24"/>
  <c r="BO92" i="24"/>
  <c r="BO93" i="24" s="1"/>
  <c r="BP54" i="24"/>
  <c r="BP85" i="24"/>
  <c r="BP86" i="24" s="1"/>
  <c r="BP91" i="24"/>
  <c r="BP97" i="24"/>
  <c r="BP100" i="24" s="1"/>
  <c r="BP101" i="24" s="1"/>
  <c r="BN108" i="24"/>
  <c r="BN114" i="24" s="1"/>
  <c r="BN115" i="24" s="1"/>
  <c r="H123" i="24"/>
  <c r="BS124" i="24"/>
  <c r="H124" i="24" s="1"/>
  <c r="H99" i="24"/>
  <c r="BS68" i="24"/>
  <c r="BS80" i="24"/>
  <c r="BN109" i="24" l="1"/>
  <c r="BN110" i="24" s="1"/>
  <c r="BP107" i="24"/>
  <c r="BP92" i="24"/>
  <c r="BP93" i="24" s="1"/>
  <c r="BO108" i="24"/>
  <c r="BO114" i="24" s="1"/>
  <c r="BO115" i="24" s="1"/>
  <c r="BQ54" i="24"/>
  <c r="BQ85" i="24"/>
  <c r="BQ86" i="24" s="1"/>
  <c r="BQ91" i="24"/>
  <c r="BQ97" i="24"/>
  <c r="BQ100" i="24" s="1"/>
  <c r="BQ101" i="24" s="1"/>
  <c r="BS51" i="24"/>
  <c r="BR118" i="24"/>
  <c r="BR121" i="24" s="1"/>
  <c r="BR53" i="24"/>
  <c r="BS70" i="24"/>
  <c r="BS81" i="24"/>
  <c r="H81" i="24" s="1"/>
  <c r="H80" i="24"/>
  <c r="BO109" i="24" l="1"/>
  <c r="BO110" i="24" s="1"/>
  <c r="BP108" i="24"/>
  <c r="BP114" i="24" s="1"/>
  <c r="BP115" i="24" s="1"/>
  <c r="BS118" i="24"/>
  <c r="BS121" i="24" s="1"/>
  <c r="BS53" i="24"/>
  <c r="BQ107" i="24"/>
  <c r="BQ92" i="24"/>
  <c r="BQ93" i="24" s="1"/>
  <c r="BR54" i="24"/>
  <c r="BR85" i="24"/>
  <c r="BR86" i="24" s="1"/>
  <c r="BR91" i="24"/>
  <c r="BR97" i="24"/>
  <c r="BR100" i="24" s="1"/>
  <c r="BR101" i="24" s="1"/>
  <c r="BS71" i="24"/>
  <c r="H71" i="24" s="1"/>
  <c r="H70" i="24"/>
  <c r="BR107" i="24" l="1"/>
  <c r="BR92" i="24"/>
  <c r="BR93" i="24" s="1"/>
  <c r="BS54" i="24"/>
  <c r="H54" i="24" s="1"/>
  <c r="BS91" i="24"/>
  <c r="BS97" i="24"/>
  <c r="BS85" i="24"/>
  <c r="BS86" i="24" s="1"/>
  <c r="H86" i="24" s="1"/>
  <c r="H53" i="24"/>
  <c r="BQ108" i="24"/>
  <c r="BQ114" i="24" s="1"/>
  <c r="BQ115" i="24" s="1"/>
  <c r="BP109" i="24"/>
  <c r="BP110" i="24" s="1"/>
  <c r="H83" i="24" l="1"/>
  <c r="C43" i="24" s="1"/>
  <c r="E43" i="24" s="1"/>
  <c r="BQ109" i="24"/>
  <c r="BQ110" i="24" s="1"/>
  <c r="BR108" i="24"/>
  <c r="BR114" i="24" s="1"/>
  <c r="BR115" i="24" s="1"/>
  <c r="BS92" i="24"/>
  <c r="BS93" i="24" s="1"/>
  <c r="BS107" i="24"/>
  <c r="H73" i="24"/>
  <c r="C42" i="24" s="1"/>
  <c r="E42" i="24" s="1"/>
  <c r="H95" i="24"/>
  <c r="C45" i="24" s="1"/>
  <c r="E45" i="24" s="1"/>
  <c r="H117" i="24"/>
  <c r="C48" i="24" s="1"/>
  <c r="E48" i="24" s="1"/>
  <c r="H56" i="24"/>
  <c r="C40" i="24" s="1"/>
  <c r="E40" i="24" s="1"/>
  <c r="H88" i="24"/>
  <c r="C44" i="24" s="1"/>
  <c r="E44" i="24" s="1"/>
  <c r="H65" i="24"/>
  <c r="C41" i="24" s="1"/>
  <c r="E41" i="24" s="1"/>
  <c r="H85" i="24"/>
  <c r="BS100" i="24"/>
  <c r="H97" i="24"/>
  <c r="H91" i="24"/>
  <c r="BR109" i="24" l="1"/>
  <c r="BR110" i="24" s="1"/>
  <c r="BS101" i="24"/>
  <c r="H100" i="24"/>
  <c r="H107" i="24"/>
  <c r="I43" i="24" s="1"/>
  <c r="BS108" i="24"/>
  <c r="BS109" i="24" l="1"/>
  <c r="BS114" i="24"/>
  <c r="H108" i="24"/>
  <c r="H114" i="24" l="1"/>
  <c r="BS115" i="24"/>
  <c r="H115" i="24" s="1"/>
  <c r="H112" i="24" s="1"/>
  <c r="C47" i="24" s="1"/>
  <c r="E47" i="24" s="1"/>
  <c r="BS110" i="24"/>
  <c r="H110" i="24" s="1"/>
  <c r="H103" i="24" s="1"/>
  <c r="C46" i="24" s="1"/>
  <c r="E46" i="24" s="1"/>
  <c r="H109" i="24"/>
  <c r="C38" i="24" l="1"/>
  <c r="E38" i="24" s="1"/>
</calcChain>
</file>

<file path=xl/sharedStrings.xml><?xml version="1.0" encoding="utf-8"?>
<sst xmlns="http://schemas.openxmlformats.org/spreadsheetml/2006/main" count="2194" uniqueCount="741">
  <si>
    <t>Kuvaus ja ohje: LCOE-laskin, päivitetty 26.9.2023</t>
  </si>
  <si>
    <t>Tällä laskurilla voidaan laskea erilaisten sähköä ja lämpöä tuottavien voimaloiden niin sanottu tasoitettu tuotantokustannus LCOE (Levelized Cost Of Electricity).</t>
  </si>
  <si>
    <t>LCOE tarkoittaa hintaa, jonka laitoksen on keskimäärin saatava myymästään sähköstä, jotta se olisi kannattava, kun kaikki kustannukset huomioidaan.</t>
  </si>
  <si>
    <t>Laskuri huomioi rakentamis- ja käyttökustannusten lisäksi myös päästömaksut ja mahdolliset erityisesti laitokseen kohdistuvat verot ja maksut.</t>
  </si>
  <si>
    <t>Laskuri perustuu Ison-Britannian energiaministeriön (Department of Energy Security and Net Zero) 2023 julkaisemaan LCOE-laskuriin (https://www.gov.uk/government/publications/electricity-generation-costs-2023).</t>
  </si>
  <si>
    <t>Alkuperäinen laskuri on julkaistu Open Government v3.0-lisenssillä (http://nationalarchives.gov.uk/doc/open-government-licence/version/3/).</t>
  </si>
  <si>
    <t>Laskuri on lokalisoitu Suomeen muuttamalla rahayksiköt vuosien 2022 tai 2023 euroiksi (riippuen datan saatavuudesta). Siihen on myös lisätty uusia laitoksia ja toiminnallisuuksia.</t>
  </si>
  <si>
    <t>Lokalisoinnin ja lisäykset on toteuttanut Janne M. Korhonen, Kalevi Sorsa-säätiö (janne.korhonen@sorsafoundation.fi).</t>
  </si>
  <si>
    <t>Huomaa, että laskuri on vielä osin kesken, ja esimerkiksi kaikkia polttoaine- tai päästöskenaarioita ei ole vielä sisällytetty.</t>
  </si>
  <si>
    <t>Laskurilla voi kuitenkin laskea Sorsa-säätiön raportissa Muuttuva energiapalapeli: onko edessä vihreä humahdus?-käsiteltyjen voimaloiden LCOE:n.</t>
  </si>
  <si>
    <t>Miten laskuri toimii?</t>
  </si>
  <si>
    <t xml:space="preserve">Varsinainen laskuri löytyy välilehdeltä "LCOE EUR". Välilehdellä "Muuttujien kuvaus" on tarkempaa tietoa muuttujista. </t>
  </si>
  <si>
    <t>.</t>
  </si>
  <si>
    <t>Vaaleanpunainen väri kertoo käyttäjältä vaaditusta syötteestä:</t>
  </si>
  <si>
    <t>Muuttele näitä soluja!</t>
  </si>
  <si>
    <t xml:space="preserve">Useimmissa muutettavissa soluissa on alasvetovalikko, josta voi valita esimerkiksi eri laitoksen tai skenaariovaihtoehdon. Sen saa esiin klikkaamalla ensin solua, ja sitten alaspäin osoittavaa kolmiota. </t>
  </si>
  <si>
    <t>(Muutos ei välttämättä päivity automaattisesti; päivitä taulukko käsin tai tallenna se, jolloin se päivittyy.)</t>
  </si>
  <si>
    <t>Kohdassa "Muutokset" oleviin soluihin voi kokeilla skenaarioiden variaatioita. Kyseisiin soluihin syötetyt luvut lisätään (tai negatiivisten lukujen tapauksessa vähennetään) vastaavasta muuttujasta.</t>
  </si>
  <si>
    <t xml:space="preserve">Laskurin käyttämä data haetaan välilehdiltä "Laitokset," "Polttoainekustannukset," "Päästötase" ja "Päästömaksut." </t>
  </si>
  <si>
    <t>Muuttujien kuvaus</t>
  </si>
  <si>
    <t>Muuttuja</t>
  </si>
  <si>
    <t>Kuvaus</t>
  </si>
  <si>
    <t>Suunnittelukustannukset</t>
  </si>
  <si>
    <t>Suunnittelun, luvituksen ynnä muut kulut, jotka aiheutuvat ennen kuin laitosta ryhdytään rakentamaan. Ilmoitettu euroina nimellistehon kilowattia kohden. Kolme skenaariota: matala, keski, korkea.</t>
  </si>
  <si>
    <t>Suunnittelun kesto</t>
  </si>
  <si>
    <t>Suunnitteluvaiheen kesto vuosina. Kolme skenaariota: matala, keski, korkea.</t>
  </si>
  <si>
    <t>Rakentamiskustannukset</t>
  </si>
  <si>
    <t>Laitoksen rakentamiskustannukset. Ilmoitettu euroina nimellistehon kilowattia kohden. Kolme skenaariota: matala, keski, korkea.</t>
  </si>
  <si>
    <t>Rakentamisaikataulu</t>
  </si>
  <si>
    <t>Rakennusvaiheen kesto vuosina. Kolme skenaariota: matala, keski, korkea.</t>
  </si>
  <si>
    <t>Polttoaineen hintaskenaario</t>
  </si>
  <si>
    <t>Laskelmassa käytettävä polttoaineen hintaskenaario (välilehti Polttoainekustannukset). Useita skenaarioita.</t>
  </si>
  <si>
    <t>Polttoaineen päästötase</t>
  </si>
  <si>
    <t>Laskelmassa käytettävä arvio laitoksen käytön päästötaseesta (välilehti Päästötase). Useita skenaarioita.</t>
  </si>
  <si>
    <t>Päästöoikeuden hintaskenaario</t>
  </si>
  <si>
    <t xml:space="preserve">Laskelmassa käytettävä skenaario päästöoikeuden hinnan kehittymisestä (välilehti Päästömaksut). Useita skenaarioita.
</t>
  </si>
  <si>
    <t>Projektin aloitusvuosi</t>
  </si>
  <si>
    <t>Vuosi, jolloin projektin suunnittelu aloitetaan; minimi 2020. Vaikuttaa polttoaineen ja päästöoikeuden hintaan valitun skenaarion mukaisesti.</t>
  </si>
  <si>
    <t>Tekniikka vuodelta</t>
  </si>
  <si>
    <t>Vuosi, jolloin laitoksen tekniikan uskotaan olevan valmiina kaupalliseen käyttöön, tai vuosi, jolta tiedot ovat peräisin.</t>
  </si>
  <si>
    <t>Rakentamisen aloitusvuosi</t>
  </si>
  <si>
    <t>Vuosi, jolloin laitoksen rakentaminen päästään aloittamaan. Määräytyy projektin aloitusvuoden ja suunnittelun keston perusteella.</t>
  </si>
  <si>
    <t>Käyttöönottovuosi</t>
  </si>
  <si>
    <t>Vuosi, jolloin laitos otetaan käyttöön. Määräytyy rakentamisen aloitusvuoden ja rakentamisaikataulun perusteella.</t>
  </si>
  <si>
    <t>Käytöstä poistovuosi</t>
  </si>
  <si>
    <t>Vuosi, jolloin laitos poistetaan käytöstä. Määräytyy käyttöönottovuoden ja käyttöiän perusteella.</t>
  </si>
  <si>
    <t>Lämmön myyntisopimus päättyy</t>
  </si>
  <si>
    <t>Vuosi, jolloin lämmön myyntisopimus (mikäli sellaista on) päättyy.</t>
  </si>
  <si>
    <t xml:space="preserve">Sähköntuotannon nimellisteho
</t>
  </si>
  <si>
    <t>Suurin teoreettinen teho, jolla laitos voi tuottaa sähköä verkkoon.</t>
  </si>
  <si>
    <t xml:space="preserve">Sähköntuotannon hyötysuhde
</t>
  </si>
  <si>
    <t>Hyötysuhde, jolla laitos muuttaa polttoainetta sähköksi.</t>
  </si>
  <si>
    <t>Nimellistehon muutos</t>
  </si>
  <si>
    <t>Nimellistehon muutos vuodessa, prosentteina sen hetkisestä nimellistehosta. Käytetään lähinnä aurinkopaneeleiden ikääntymisen vaikutusten huomiointiin.</t>
  </si>
  <si>
    <t xml:space="preserve">Sähköntuotannon kapasiteettikerroin
</t>
  </si>
  <si>
    <t>Kuinka suuren osan vuodesta laitos tuottaa sähköä laskennallisesti täydellä nimellistehollaan.</t>
  </si>
  <si>
    <t xml:space="preserve">Sähköntuotantoa vuodessa
</t>
  </si>
  <si>
    <t>Kuinka monta tuntia vuodesta laitos tuottaa sähköä laskennallisesti täydellä tehollaan (kapasiteettikerroin x 8760).</t>
  </si>
  <si>
    <t>Lämmöntuotannon kapasiteettikerroin</t>
  </si>
  <si>
    <t>Kuinka suuren osan vuodesta laitos tuottaa lämpöä laskennallisesti täydellä lämpötehollaan.</t>
  </si>
  <si>
    <t>Lämmöntuotantoa vuodessa</t>
  </si>
  <si>
    <t>Kuinka monta tuntia vuodesta laitos tuottaa lämpöä laskennallisesti täydellä tehollaan (kapasiteettikerroin x 8760).</t>
  </si>
  <si>
    <t>Pääoman kustannus (WACC)</t>
  </si>
  <si>
    <t>Laskelmassa käytettävä diskonttokorko, Weighted Average Cost of Capital tai "hurdle rate." Kuinka suuren tuoton sijoittajat odottavat saavansa?</t>
  </si>
  <si>
    <t>Sähkön tasoitettu tuotantokustannus (LCOE)</t>
  </si>
  <si>
    <t>Hinta, jonka laitoksen on saatava keskimäärin myymästään sähköstä, jotta se olisi kannattava sijoitus, kun kaikki kulut ja pääoman kustannus huomioidaan.</t>
  </si>
  <si>
    <t>LCOE-laskin, päivitetty 19.8.2024</t>
  </si>
  <si>
    <t>Pohjautuu Annex B LCOE-laskuriin</t>
  </si>
  <si>
    <t>Muutokset: Janne M. Korhonen, Kalevi Sorsa-säätiö</t>
  </si>
  <si>
    <t>(Energiaministeriö, Iso-Britannia, 2023)</t>
  </si>
  <si>
    <t>Jaettu Open Government v3.0-lisenssillä</t>
  </si>
  <si>
    <t>&lt;- Syötteet</t>
  </si>
  <si>
    <t>Skenaario</t>
  </si>
  <si>
    <t>Huom:</t>
  </si>
  <si>
    <t>Skenaarion tiedot (haettu välilehdeltä Laitokset)</t>
  </si>
  <si>
    <t>Laitos</t>
  </si>
  <si>
    <t>Ydinreaktori, 1 250 MW, Ruotsi 2024 referenssilaskelma</t>
  </si>
  <si>
    <t>Tiedot vuodelta</t>
  </si>
  <si>
    <t>Polttoaine</t>
  </si>
  <si>
    <t>Sijainti</t>
  </si>
  <si>
    <t>Keski</t>
  </si>
  <si>
    <t>Rahayksikkö</t>
  </si>
  <si>
    <t>Pitkä</t>
  </si>
  <si>
    <t>Sisältyvätkö polttoainekustannukset OPEXiin?</t>
  </si>
  <si>
    <t>Keski (IPCC)</t>
  </si>
  <si>
    <t>Suomi, Ilmasto- ja energiastrategia (2021)</t>
  </si>
  <si>
    <t>Muutokset</t>
  </si>
  <si>
    <t>Lisätään nimellistehoon</t>
  </si>
  <si>
    <t>Lisätään hyötysuhteeseen</t>
  </si>
  <si>
    <t>/vuosi</t>
  </si>
  <si>
    <t>Lisätään muutosnopeuteen</t>
  </si>
  <si>
    <t>Lisätään käyttöasteeseen</t>
  </si>
  <si>
    <t>Sähköntuotantoa vuodessa</t>
  </si>
  <si>
    <t>h</t>
  </si>
  <si>
    <t>Lisätään pääoman kustannukseen</t>
  </si>
  <si>
    <t>Tulokset: LCOE</t>
  </si>
  <si>
    <t>2023 EUR</t>
  </si>
  <si>
    <t>Sähkön tasoitettu tuotantokustannus</t>
  </si>
  <si>
    <t>/MWhe</t>
  </si>
  <si>
    <t>Polttoaine- ja päästömaksut</t>
  </si>
  <si>
    <t>josta</t>
  </si>
  <si>
    <t>Pääomakustannukset (rakennuskustannukset)</t>
  </si>
  <si>
    <t>kgCO2e/MWh</t>
  </si>
  <si>
    <t>Kiinteät käyttö- ja huoltokustannukset</t>
  </si>
  <si>
    <t>Päästömaksu</t>
  </si>
  <si>
    <t>Muuttuvat käyttö- ja huoltokustannukset</t>
  </si>
  <si>
    <t>Keskimääräinen päästötase</t>
  </si>
  <si>
    <t>gCO2e/kWh</t>
  </si>
  <si>
    <t>Polttoainekustannukset</t>
  </si>
  <si>
    <t>Jäte- ja purkukustannukset</t>
  </si>
  <si>
    <t>Päästömaksut</t>
  </si>
  <si>
    <t>Diskonttokerroin</t>
  </si>
  <si>
    <t>Hiilidioksidin talteenoton ja varastoinnin kustannukset</t>
  </si>
  <si>
    <t>Lämmön myynti</t>
  </si>
  <si>
    <t>Sähkön tuotanto</t>
  </si>
  <si>
    <t>Yhteensä</t>
  </si>
  <si>
    <t>Yksikkö</t>
  </si>
  <si>
    <t>Nimellistehosta käytössä</t>
  </si>
  <si>
    <t>100 % x (100 % + Sähköntuotannon muutos) käyttöiän ajan</t>
  </si>
  <si>
    <t>%</t>
  </si>
  <si>
    <t>Käyttöaste</t>
  </si>
  <si>
    <t>Sähkön tuotanto yhteensä</t>
  </si>
  <si>
    <t>Nimellisteho x nimellistehosta käytössä x käyttöaste x 8760 h</t>
  </si>
  <si>
    <t>MWhe</t>
  </si>
  <si>
    <t>Sähköntuotannon nykyarvo</t>
  </si>
  <si>
    <t>Sähkön tuotanto yhteensä x diskonttokerroin</t>
  </si>
  <si>
    <t>EUR/MWhe</t>
  </si>
  <si>
    <t>Suunnittelukustannusten aikataulu</t>
  </si>
  <si>
    <t>Ensimmäinen vuosi tarkoittaa suunnittelun aloittamisvuotta</t>
  </si>
  <si>
    <t>EUR/kWe</t>
  </si>
  <si>
    <t>EUR</t>
  </si>
  <si>
    <t>Suunnittelukustannukset yhteensä</t>
  </si>
  <si>
    <t>Suunnittelu + regulaatiokustannukset</t>
  </si>
  <si>
    <t>Suunnittelukustannusten nykyarvo</t>
  </si>
  <si>
    <t>Suunnittelukustannukset x diskonttokerroin</t>
  </si>
  <si>
    <t>Pääomakustannukset (rakentamis- ja infrastruktuurikustannukset, CAPEX)</t>
  </si>
  <si>
    <t>Rakennuskustannusten aikataulu</t>
  </si>
  <si>
    <t>Ensimmäinen vuosi tarkoittaa rakentamisen aloittamisvuotta</t>
  </si>
  <si>
    <t>Pääomakustannus (CAPEX)</t>
  </si>
  <si>
    <t>Pääomakustannukset per kW nimellistehoa</t>
  </si>
  <si>
    <t>CAPEX yhteensä</t>
  </si>
  <si>
    <t>Infrastruktuurikustannus</t>
  </si>
  <si>
    <t>Infrastruktuurikustannukset yhteensä</t>
  </si>
  <si>
    <t>Pääomakustannukset yhteensä</t>
  </si>
  <si>
    <t>CAPEX + infrastruktuurikustannus</t>
  </si>
  <si>
    <t>Pääomakustannusten nykyarvo</t>
  </si>
  <si>
    <t>Pääomakustannukset yhteensä x diskonttokerroin</t>
  </si>
  <si>
    <t>Kiinteät käyttö- ja huoltokustannukset (OPEX tai O&amp;M)</t>
  </si>
  <si>
    <t>Ensimmäinen vuosi tarkoittaa käytön aloittamisvuotta</t>
  </si>
  <si>
    <t>EUR/MWe</t>
  </si>
  <si>
    <t>Kiinteät käyttö- ja huoltokustannukset yhteensä</t>
  </si>
  <si>
    <t>Vakuutus</t>
  </si>
  <si>
    <t>Vakuutus yhteensä</t>
  </si>
  <si>
    <t>Liittymis- ym kustannukset</t>
  </si>
  <si>
    <t>Liittymis- ym kustannukset yhteensä</t>
  </si>
  <si>
    <t>Kiinteät kustannukset yhteensä</t>
  </si>
  <si>
    <t>Kiinteät kustannukset + vakuutus + liittyminen</t>
  </si>
  <si>
    <t>Kiinteiden kustannusten nykyarvo</t>
  </si>
  <si>
    <t>Kiinteät kustannukset yhteensä x diskonttokerroin</t>
  </si>
  <si>
    <t>Muuttuvat käyttö- ja huoltokustannukset (OPEX tai O&amp;M)</t>
  </si>
  <si>
    <t>Muuttuvat käyttö- ja huoltokustannukset (OPEX)</t>
  </si>
  <si>
    <t>Muuttuvat käyttö- ja huoltokustannukset yhteensä</t>
  </si>
  <si>
    <t>EUR/MWh x tuotanto</t>
  </si>
  <si>
    <t>Muuttuvien käyttö- ja huoltokustannusten nykyarvo</t>
  </si>
  <si>
    <t>Muuttuvat käyttö- ja huoltokustannukset x diskonttokerroin</t>
  </si>
  <si>
    <t>Polttoaineen hinta</t>
  </si>
  <si>
    <t>EUR/MWh</t>
  </si>
  <si>
    <t>Hyötysuhde</t>
  </si>
  <si>
    <t>Hyötysuhde (alempi lämpöarvo, LHV)</t>
  </si>
  <si>
    <t>Polttoaineen kulutus yhteensä</t>
  </si>
  <si>
    <t>Tuotanto / hyötysuhde (LHV)</t>
  </si>
  <si>
    <t>MWh</t>
  </si>
  <si>
    <t>Polttoainekustannukset yhteensä</t>
  </si>
  <si>
    <t>Polttoaineen hinta x polttoaineen kulutus</t>
  </si>
  <si>
    <t>Polttoainekustannusten nykyarvo</t>
  </si>
  <si>
    <t>Polttoainekustannukset x diskonttokerroin</t>
  </si>
  <si>
    <t>Jätemaksu</t>
  </si>
  <si>
    <t>Jätekustannukset</t>
  </si>
  <si>
    <t>Jätemaksu x tuotanto</t>
  </si>
  <si>
    <t>Purkukustannusten osuus rakentamisen ja infrastruktuurin kustannuksista</t>
  </si>
  <si>
    <t>Purkukustannukset</t>
  </si>
  <si>
    <t>Purkamis- ja jätekustannukset yhteensä</t>
  </si>
  <si>
    <t>Jätekustannukset + purkukustannukset</t>
  </si>
  <si>
    <t>Purkamis- ja jätekustannusten nykyarvo</t>
  </si>
  <si>
    <t>Purkamis- ja jätekustannukset.x diskonttokerroin</t>
  </si>
  <si>
    <t>Kasvihuonekaasupäästöjen hinta</t>
  </si>
  <si>
    <t>EUR/tCO2e</t>
  </si>
  <si>
    <t>Hiilidioksidin talteenotto</t>
  </si>
  <si>
    <t>Talteenotettujen päästöjen osuus</t>
  </si>
  <si>
    <t>Polttoaineen ominaispäästöt</t>
  </si>
  <si>
    <t>Polttoaineen ominaispäästöt per MWh(t)</t>
  </si>
  <si>
    <t>Kasvihuonekaasupäästöt yhteensä</t>
  </si>
  <si>
    <t>Polttoaineenkulutus x ominaispäästöt</t>
  </si>
  <si>
    <t>tCO2e</t>
  </si>
  <si>
    <t>Hiilen talteenotto yhteensä</t>
  </si>
  <si>
    <t>Päästöt yhteensä x talteenotettujen päästöjen osuus</t>
  </si>
  <si>
    <t>Päästöjen kustannus yhteensä</t>
  </si>
  <si>
    <t>(Päästöt yhteensä - hiilen talteenotto) x khk-päästöjen hinta</t>
  </si>
  <si>
    <t>Päästökustannusten nykyarvo</t>
  </si>
  <si>
    <t>Päästöjen kustannus x diskonttokerroin</t>
  </si>
  <si>
    <t>Talteenoton ja varastoinnin kustannukset</t>
  </si>
  <si>
    <t>Kustannus per kg talteenottoa</t>
  </si>
  <si>
    <t>EUR/tCO2</t>
  </si>
  <si>
    <t>Talteenoton kustannukset yhteensä</t>
  </si>
  <si>
    <t>Hiilen talteenotto yhteensä x talteenoton kustannukset</t>
  </si>
  <si>
    <t>Talteenoton kustannusten nykyarvo</t>
  </si>
  <si>
    <t>Talteenoton kustannukset x diskonttokerroin</t>
  </si>
  <si>
    <t>Lämmön tuotanto</t>
  </si>
  <si>
    <t>Lämpöteho yhteensä</t>
  </si>
  <si>
    <t>Sähköteho / sähköntuotannon hyötysuhde</t>
  </si>
  <si>
    <t>MWt</t>
  </si>
  <si>
    <t>Lämmöntuotannon hyötysuhde</t>
  </si>
  <si>
    <t>Yhteistuotannon hyötysuhde - sähköntuotannon hyötysuhde</t>
  </si>
  <si>
    <t>Lämmöntuotannon käyttöaste</t>
  </si>
  <si>
    <t>Lämpöteho x lämmöntuotannon hyötysuhde x lämmöntuotannon käyttöaste</t>
  </si>
  <si>
    <t>MWht</t>
  </si>
  <si>
    <t>Lämmön hinta</t>
  </si>
  <si>
    <t>EUR/MWht</t>
  </si>
  <si>
    <t>Lämmön myyntitulo yhteensä</t>
  </si>
  <si>
    <t>Lämmön tuotanto x lämmön hinta (lämmönmyyntisopimuksen keston ajan)</t>
  </si>
  <si>
    <t>Lämmön myyntitulon nykyarvo</t>
  </si>
  <si>
    <t>Lämmön myyntitulo x diskonttokerroin</t>
  </si>
  <si>
    <t>Polttoaineen hintaskenaario ja hinta</t>
  </si>
  <si>
    <t>Päästötaseen skenaario ja yksikkö</t>
  </si>
  <si>
    <t>Päästöoikeuden hintaskenaario ja hinta</t>
  </si>
  <si>
    <t>Vuodelta 2023. Hinnat 2022 EUR.</t>
  </si>
  <si>
    <t>Lähde</t>
  </si>
  <si>
    <t>https://www.gov.uk/government/publications/electricity-generation-costs-2023</t>
  </si>
  <si>
    <t>https://www.gov.uk/government/publications/electricity-generation-costs-2024</t>
  </si>
  <si>
    <t>https://www.gov.uk/government/publications/electricity-generation-costs-2025</t>
  </si>
  <si>
    <t>https://www.gov.uk/government/publications/electricity-generation-costs-2026</t>
  </si>
  <si>
    <t>https://www.gov.uk/government/publications/electricity-generation-costs-2027</t>
  </si>
  <si>
    <t>https://www.gov.uk/government/publications/electricity-generation-costs-2028</t>
  </si>
  <si>
    <t>https://www.gov.uk/government/publications/electricity-generation-costs-2029</t>
  </si>
  <si>
    <t>https://www.gov.uk/government/publications/electricity-generation-costs-2030</t>
  </si>
  <si>
    <t>https://www.gov.uk/government/publications/electricity-generation-costs-2031</t>
  </si>
  <si>
    <t>https://www.gov.uk/government/publications/electricity-generation-costs-2032</t>
  </si>
  <si>
    <t>https://www.gov.uk/government/publications/electricity-generation-costs-2033</t>
  </si>
  <si>
    <t>https://www.gov.uk/government/publications/electricity-generation-costs-2034</t>
  </si>
  <si>
    <t>https://www.gov.uk/government/publications/electricity-generation-costs-2035</t>
  </si>
  <si>
    <t>https://www.gov.uk/government/publications/electricity-generation-costs-2036</t>
  </si>
  <si>
    <t>https://www.gov.uk/government/publications/electricity-generation-costs-2037</t>
  </si>
  <si>
    <t>https://www.gov.uk/government/publications/electricity-generation-costs-2038</t>
  </si>
  <si>
    <t>https://www.gov.uk/government/publications/electricity-generation-costs-2039</t>
  </si>
  <si>
    <t>https://www.gov.uk/government/publications/electricity-generation-costs-2040</t>
  </si>
  <si>
    <t>https://www.gov.uk/government/publications/electricity-generation-costs-2041</t>
  </si>
  <si>
    <t>https://www.gov.uk/government/publications/electricity-generation-costs-2042</t>
  </si>
  <si>
    <t>https://www.gov.uk/government/publications/electricity-generation-costs-2043</t>
  </si>
  <si>
    <t>https://www.gov.uk/government/publications/electricity-generation-costs-2044</t>
  </si>
  <si>
    <t>https://www.gov.uk/government/publications/electricity-generation-costs-2045</t>
  </si>
  <si>
    <t>https://www.gov.uk/government/publications/electricity-generation-costs-2046</t>
  </si>
  <si>
    <t>https://www.gov.uk/government/publications/electricity-generation-costs-2047</t>
  </si>
  <si>
    <t>https://www.gov.uk/government/publications/electricity-generation-costs-2048</t>
  </si>
  <si>
    <t>https://www.gov.uk/government/publications/electricity-generation-costs-2049</t>
  </si>
  <si>
    <t>https://www.gov.uk/government/publications/electricity-generation-costs-2050</t>
  </si>
  <si>
    <t>https://www.gov.uk/government/publications/electricity-generation-costs-2051</t>
  </si>
  <si>
    <t>https://www.gov.uk/government/publications/electricity-generation-costs-2052</t>
  </si>
  <si>
    <t>https://www.gov.uk/government/publications/electricity-generation-costs-2053</t>
  </si>
  <si>
    <t>https://www.gov.uk/government/publications/electricity-generation-costs-2054</t>
  </si>
  <si>
    <t>https://www.gov.uk/government/publications/electricity-generation-costs-2055</t>
  </si>
  <si>
    <t>https://www.gov.uk/government/publications/electricity-generation-costs-2056</t>
  </si>
  <si>
    <t>https://www.gov.uk/government/publications/electricity-generation-costs-2057</t>
  </si>
  <si>
    <t>https://www.gov.uk/government/publications/electricity-generation-costs-2058</t>
  </si>
  <si>
    <t>https://www.gov.uk/government/publications/electricity-generation-costs-2059</t>
  </si>
  <si>
    <t>https://www.gov.uk/government/publications/electricity-generation-costs-2060</t>
  </si>
  <si>
    <t>https://www.gov.uk/government/publications/electricity-generation-costs-2061</t>
  </si>
  <si>
    <t>https://www.gov.uk/government/publications/electricity-generation-costs-2062</t>
  </si>
  <si>
    <t>https://www.gov.uk/government/publications/electricity-generation-costs-2063</t>
  </si>
  <si>
    <t>https://www.gov.uk/government/publications/electricity-generation-costs-2064</t>
  </si>
  <si>
    <t>https://www.gov.uk/government/publications/electricity-generation-costs-2065</t>
  </si>
  <si>
    <t>https://www.gov.uk/government/publications/electricity-generation-costs-2066</t>
  </si>
  <si>
    <t>https://www.gov.uk/government/publications/electricity-generation-costs-2067</t>
  </si>
  <si>
    <t>https://www.gov.uk/government/publications/electricity-generation-costs-2068</t>
  </si>
  <si>
    <t>https://www.gov.uk/government/publications/electricity-generation-costs-2069</t>
  </si>
  <si>
    <t>https://www.gov.uk/government/publications/electricity-generation-costs-2070</t>
  </si>
  <si>
    <t>https://www.gov.uk/government/publications/electricity-generation-costs-2071</t>
  </si>
  <si>
    <t>https://www.gov.uk/government/publications/electricity-generation-costs-2072</t>
  </si>
  <si>
    <t>https://www.gov.uk/government/publications/electricity-generation-costs-2073</t>
  </si>
  <si>
    <t>https://www.gov.uk/government/publications/electricity-generation-costs-2074</t>
  </si>
  <si>
    <t>https://www.gov.uk/government/publications/electricity-generation-costs-2075</t>
  </si>
  <si>
    <t>https://www.gov.uk/government/publications/electricity-generation-costs-2076</t>
  </si>
  <si>
    <t>https://www.gov.uk/government/publications/electricity-generation-costs-2077</t>
  </si>
  <si>
    <t>https://www.gov.uk/government/publications/electricity-generation-costs-2078</t>
  </si>
  <si>
    <t>https://www.gov.uk/government/publications/electricity-generation-costs-2079</t>
  </si>
  <si>
    <t>https://www.gov.uk/government/publications/electricity-generation-costs-2080</t>
  </si>
  <si>
    <t>https://www.gov.uk/government/publications/electricity-generation-costs-2081</t>
  </si>
  <si>
    <t>https://www.gov.uk/government/publications/electricity-generation-costs-2082</t>
  </si>
  <si>
    <t>https://www.gov.uk/government/publications/electricity-generation-costs-2083</t>
  </si>
  <si>
    <t>https://www.gov.uk/government/publications/electricity-generation-costs-2084</t>
  </si>
  <si>
    <t>https://www.gov.uk/government/publications/electricity-generation-costs-2085</t>
  </si>
  <si>
    <t>https://www.gov.uk/government/publications/electricity-generation-costs-2086</t>
  </si>
  <si>
    <t>https://www.gov.uk/government/publications/electricity-generation-costs-2087</t>
  </si>
  <si>
    <t>https://www.gov.uk/government/publications/electricity-generation-costs-2088</t>
  </si>
  <si>
    <t>https://www.gov.uk/government/publications/electricity-generation-costs-2089</t>
  </si>
  <si>
    <t>https://www.gov.uk/government/publications/electricity-generation-costs-2090</t>
  </si>
  <si>
    <t>https://www.gov.uk/government/publications/electricity-generation-costs-2091</t>
  </si>
  <si>
    <t>https://www.gov.uk/government/publications/electricity-generation-costs-2092</t>
  </si>
  <si>
    <t>https://www.gov.uk/government/publications/electricity-generation-costs-2093</t>
  </si>
  <si>
    <t>https://www.gov.uk/government/publications/electricity-generation-costs-2094</t>
  </si>
  <si>
    <t>https://www.gov.uk/government/publications/electricity-generation-costs-2095</t>
  </si>
  <si>
    <t>https://www.gov.uk/government/publications/electricity-generation-costs-2096</t>
  </si>
  <si>
    <t>https://www.gov.uk/government/publications/electricity-generation-costs-2097</t>
  </si>
  <si>
    <t>https://www.gov.uk/government/publications/electricity-generation-costs-2098</t>
  </si>
  <si>
    <t>https://www.gov.uk/government/publications/electricity-generation-costs-2099</t>
  </si>
  <si>
    <t>https://www.gov.uk/government/publications/electricity-generation-costs-2100</t>
  </si>
  <si>
    <t>https://www.gov.uk/government/publications/electricity-generation-costs-2101</t>
  </si>
  <si>
    <t>https://www.gov.uk/government/publications/electricity-generation-costs-2102</t>
  </si>
  <si>
    <t>https://www.gov.uk/government/publications/electricity-generation-costs-2103</t>
  </si>
  <si>
    <t>https://www.gov.uk/government/publications/electricity-generation-costs-2104</t>
  </si>
  <si>
    <t>https://www.gov.uk/government/publications/electricity-generation-costs-2105</t>
  </si>
  <si>
    <t>https://www.gov.uk/government/publications/electricity-generation-costs-2106</t>
  </si>
  <si>
    <t>https://www.gov.uk/government/publications/electricity-generation-costs-2107</t>
  </si>
  <si>
    <t>https://www.gov.uk/government/publications/electricity-generation-costs-2108</t>
  </si>
  <si>
    <t>https://www.gov.uk/government/publications/electricity-generation-costs-2109</t>
  </si>
  <si>
    <t>https://www.gov.uk/government/publications/electricity-generation-costs-2110</t>
  </si>
  <si>
    <t>Way, R., Ives, M. C., Mealy, P., &amp; Farmer, J. D. (2022). Empirically grounded technology forecasts and the energy transition: Supplementary material. Joule, 6(9), 2057–2082. https://doi.org/10.1016/j.joule.2022.08.009</t>
  </si>
  <si>
    <t>https://www.gov.uk/government/publications/electricity-generation-costs-2111</t>
  </si>
  <si>
    <t>https://www.gov.uk/government/publications/electricity-generation-costs-2112</t>
  </si>
  <si>
    <t>https://www.gov.uk/government/publications/electricity-generation-costs-2113</t>
  </si>
  <si>
    <t>https://www.gov.uk/government/publications/electricity-generation-costs-2114</t>
  </si>
  <si>
    <t>https://www.gov.uk/government/publications/electricity-generation-costs-2115</t>
  </si>
  <si>
    <t>https://www.gov.uk/government/publications/electricity-generation-costs-2116</t>
  </si>
  <si>
    <t>https://www.gov.uk/government/publications/electricity-generation-costs-2117</t>
  </si>
  <si>
    <t>https://www.gov.uk/government/publications/electricity-generation-costs-2118</t>
  </si>
  <si>
    <t>https://www.gov.uk/government/publications/electricity-generation-costs-2119</t>
  </si>
  <si>
    <t>https://www.gov.uk/government/publications/electricity-generation-costs-2120</t>
  </si>
  <si>
    <t>https://www.gov.uk/government/publications/electricity-generation-costs-2121</t>
  </si>
  <si>
    <t>https://www.gov.uk/government/publications/electricity-generation-costs-2122</t>
  </si>
  <si>
    <t>https://www.gov.uk/government/publications/electricity-generation-costs-2123</t>
  </si>
  <si>
    <t>https://www.gov.uk/government/publications/electricity-generation-costs-2124</t>
  </si>
  <si>
    <t>https://www.gov.uk/government/publications/electricity-generation-costs-2125</t>
  </si>
  <si>
    <t>https://www.gov.uk/government/publications/electricity-generation-costs-2126</t>
  </si>
  <si>
    <t>https://www.gov.uk/government/publications/electricity-generation-costs-2127</t>
  </si>
  <si>
    <t>https://www.gov.uk/government/publications/electricity-generation-costs-2128</t>
  </si>
  <si>
    <t>https://www.gov.uk/government/publications/electricity-generation-costs-2129</t>
  </si>
  <si>
    <t>https://www.gov.uk/government/publications/electricity-generation-costs-2130</t>
  </si>
  <si>
    <t>https://www.gov.uk/government/publications/electricity-generation-costs-2131</t>
  </si>
  <si>
    <t>https://www.gov.uk/government/publications/electricity-generation-costs-2132</t>
  </si>
  <si>
    <t>https://www.gov.uk/government/publications/electricity-generation-costs-2133</t>
  </si>
  <si>
    <t>https://www.gov.uk/government/publications/electricity-generation-costs-2134</t>
  </si>
  <si>
    <t>https://www.gov.uk/government/publications/electricity-generation-costs-2135</t>
  </si>
  <si>
    <t>https://www.gov.uk/government/publications/electricity-generation-costs-2136</t>
  </si>
  <si>
    <t>https://www.gov.uk/government/publications/electricity-generation-costs-2137</t>
  </si>
  <si>
    <t>https://www.gov.uk/government/publications/electricity-generation-costs-2138</t>
  </si>
  <si>
    <t>https://www.gov.uk/government/publications/electricity-generation-costs-2139</t>
  </si>
  <si>
    <t>https://www.gov.uk/government/publications/electricity-generation-costs-2140</t>
  </si>
  <si>
    <t>https://www.gov.uk/government/publications/electricity-generation-costs-2141</t>
  </si>
  <si>
    <t>https://www.gov.uk/government/publications/electricity-generation-costs-2142</t>
  </si>
  <si>
    <t>https://www.gov.uk/government/publications/electricity-generation-costs-2143</t>
  </si>
  <si>
    <t>https://www.gov.uk/government/publications/electricity-generation-costs-2144</t>
  </si>
  <si>
    <t>https://www.gov.uk/government/publications/electricity-generation-costs-2145</t>
  </si>
  <si>
    <t>https://www.gov.uk/government/publications/electricity-generation-costs-2146</t>
  </si>
  <si>
    <t>https://www.gov.uk/government/publications/electricity-generation-costs-2147</t>
  </si>
  <si>
    <t>https://www.gov.uk/government/publications/electricity-generation-costs-2148</t>
  </si>
  <si>
    <t>https://www.gov.uk/government/publications/electricity-generation-costs-2149</t>
  </si>
  <si>
    <t>https://www.gov.uk/government/publications/electricity-generation-costs-2150</t>
  </si>
  <si>
    <t>https://www.gov.uk/government/publications/electricity-generation-costs-2151</t>
  </si>
  <si>
    <t>https://www.gov.uk/government/publications/electricity-generation-costs-2152</t>
  </si>
  <si>
    <t>https://www.gov.uk/government/publications/electricity-generation-costs-2153</t>
  </si>
  <si>
    <t>https://www.gov.uk/government/publications/electricity-generation-costs-2154</t>
  </si>
  <si>
    <t>https://www.gov.uk/government/publications/electricity-generation-costs-2155</t>
  </si>
  <si>
    <t>https://www.gov.uk/government/publications/electricity-generation-costs-2156</t>
  </si>
  <si>
    <t>https://www.gov.uk/government/publications/electricity-generation-costs-2157</t>
  </si>
  <si>
    <t>https://www.gov.uk/government/publications/electricity-generation-costs-2158</t>
  </si>
  <si>
    <t>https://www.gov.uk/government/publications/electricity-generation-costs-2159</t>
  </si>
  <si>
    <t>https://www.gov.uk/government/publications/electricity-generation-costs-2160</t>
  </si>
  <si>
    <t>https://www.gov.uk/government/publications/electricity-generation-costs-2161</t>
  </si>
  <si>
    <t>https://www.gov.uk/government/publications/electricity-generation-costs-2162</t>
  </si>
  <si>
    <t>https://www.gov.uk/government/publications/electricity-generation-costs-2163</t>
  </si>
  <si>
    <t>https://www.gov.uk/government/publications/electricity-generation-costs-2164</t>
  </si>
  <si>
    <t>https://www.gov.uk/government/publications/electricity-generation-costs-2165</t>
  </si>
  <si>
    <t>https://www.gov.uk/government/publications/electricity-generation-costs-2166</t>
  </si>
  <si>
    <t>https://www.gov.uk/government/publications/electricity-generation-costs-2167</t>
  </si>
  <si>
    <t>https://www.gov.uk/government/publications/electricity-generation-costs-2168</t>
  </si>
  <si>
    <t>https://www.gov.uk/government/publications/electricity-generation-costs-2169</t>
  </si>
  <si>
    <t>https://www.gov.uk/government/publications/electricity-generation-costs-2170</t>
  </si>
  <si>
    <t>https://www.gov.uk/government/publications/electricity-generation-costs-2171</t>
  </si>
  <si>
    <t>https://www.gov.uk/government/publications/electricity-generation-costs-2172</t>
  </si>
  <si>
    <t>https://www.gov.uk/government/publications/electricity-generation-costs-2173</t>
  </si>
  <si>
    <t>https://www.gov.uk/government/publications/electricity-generation-costs-2174</t>
  </si>
  <si>
    <t>https://www.gov.uk/government/publications/electricity-generation-costs-2175</t>
  </si>
  <si>
    <t>https://www.gov.uk/government/publications/electricity-generation-costs-2176</t>
  </si>
  <si>
    <t>https://www.gov.uk/government/publications/electricity-generation-costs-2177</t>
  </si>
  <si>
    <t>https://www.gov.uk/government/publications/electricity-generation-costs-2178</t>
  </si>
  <si>
    <t>https://www.gov.uk/government/publications/electricity-generation-costs-2179</t>
  </si>
  <si>
    <t>https://www.gov.uk/government/publications/electricity-generation-costs-2180</t>
  </si>
  <si>
    <t>https://www.gov.uk/government/publications/electricity-generation-costs-2181</t>
  </si>
  <si>
    <t>https://www.gov.uk/government/publications/electricity-generation-costs-2182</t>
  </si>
  <si>
    <t xml:space="preserve">Construction costs from Deutsche Welle via Helsingin Sanomat, 1.2.2023. </t>
  </si>
  <si>
    <t>Vakkilainen2017</t>
  </si>
  <si>
    <t>Iso-Britannia</t>
  </si>
  <si>
    <t>Maailma</t>
  </si>
  <si>
    <t>Puola</t>
  </si>
  <si>
    <t>Suomi</t>
  </si>
  <si>
    <t>Ruotsi</t>
  </si>
  <si>
    <t>Tekniikka</t>
  </si>
  <si>
    <t>CCGT H Class</t>
  </si>
  <si>
    <t>CCGT CHP mode</t>
  </si>
  <si>
    <t>OCGT 600MW 500 hr</t>
  </si>
  <si>
    <t>OCGT 400MW 500 hr</t>
  </si>
  <si>
    <t>OCGT 300MW 500 hr</t>
  </si>
  <si>
    <t>OCGT 299MW 500 hr</t>
  </si>
  <si>
    <t>OCGT 100MW 500 hr</t>
  </si>
  <si>
    <t>OCGT 600MW 2000 hr</t>
  </si>
  <si>
    <t>OCGT 400MW 2000 hr</t>
  </si>
  <si>
    <t>OCGT 300MW 2000 hr</t>
  </si>
  <si>
    <t>OCGT 299MW 2000 hr</t>
  </si>
  <si>
    <t>OCGT 100MW 2000 hr</t>
  </si>
  <si>
    <t>Recip Diesel 2000 hr</t>
  </si>
  <si>
    <t>Recip Diesel 500 hrs</t>
  </si>
  <si>
    <t>Recip Diesel 90 hrs</t>
  </si>
  <si>
    <t>Recip Gas 2000 hr</t>
  </si>
  <si>
    <t>Recip Gas 500 hrs</t>
  </si>
  <si>
    <t>Dedicated Biomass</t>
  </si>
  <si>
    <t>Biomass CHP</t>
  </si>
  <si>
    <t>Onshore Wind</t>
  </si>
  <si>
    <t>Offshore Wind</t>
  </si>
  <si>
    <t>Large-scale Solar</t>
  </si>
  <si>
    <t>Teollinen aurinkosähkö, lattiahinta 2000 (Way2022b)</t>
  </si>
  <si>
    <t>Teollinen aurinkosähkö, lattiahinta 2005 (Way2022b)</t>
  </si>
  <si>
    <t>Teollinen aurinkosähkö, lattiahinta 2015 (Way2022b)</t>
  </si>
  <si>
    <t>Solar PV 10-50kW</t>
  </si>
  <si>
    <t>Solar PV 4-10kW</t>
  </si>
  <si>
    <t>Solar PV &lt;4kW</t>
  </si>
  <si>
    <t>EfW</t>
  </si>
  <si>
    <t>EfW CHP</t>
  </si>
  <si>
    <t>AD</t>
  </si>
  <si>
    <t>AD CHP</t>
  </si>
  <si>
    <t>ACT Standard</t>
  </si>
  <si>
    <t>ACT Advanced</t>
  </si>
  <si>
    <t>ACT CHP</t>
  </si>
  <si>
    <t>Landfill gas</t>
  </si>
  <si>
    <t>Sewage gas</t>
  </si>
  <si>
    <t>Geothermal CHP</t>
  </si>
  <si>
    <t>Hydro Large Storage</t>
  </si>
  <si>
    <t>Hydro 516MW</t>
  </si>
  <si>
    <t>Wave</t>
  </si>
  <si>
    <t>Hydrogen CCGT (FOAK)</t>
  </si>
  <si>
    <t>Hydrogen CCGT (NOAK)</t>
  </si>
  <si>
    <t>AP1000 Nuclear</t>
  </si>
  <si>
    <t>EPR-reaktori</t>
  </si>
  <si>
    <t>Tuulivoima</t>
  </si>
  <si>
    <t>Kaasu</t>
  </si>
  <si>
    <t>Ydinreaktori, 1 250 MW</t>
  </si>
  <si>
    <t>Koodi</t>
  </si>
  <si>
    <t>CCGT H Class, 2025, UK</t>
  </si>
  <si>
    <t>CCGT H Class, 2030, UK</t>
  </si>
  <si>
    <t>CCGT H Class, 2035, UK</t>
  </si>
  <si>
    <t>CCGT H Class, 2040, UK</t>
  </si>
  <si>
    <t>CCGT CHP mode, 2025, UK</t>
  </si>
  <si>
    <t>CCGT CHP mode, 2030, UK</t>
  </si>
  <si>
    <t>CCGT CHP mode, 2035, UK</t>
  </si>
  <si>
    <t>CCGT CHP mode, 2040, UK</t>
  </si>
  <si>
    <t>OCGT 600MW 500 hr, 2025, UK</t>
  </si>
  <si>
    <t>OCGT 600MW 500 hr, 2030, UK</t>
  </si>
  <si>
    <t>OCGT 600MW 500 hr, 2035, UK</t>
  </si>
  <si>
    <t>OCGT 600MW 500 hr, 2040, UK</t>
  </si>
  <si>
    <t>OCGT 400MW 500 hr, 2025, UK</t>
  </si>
  <si>
    <t>OCGT 400MW 500 hr, 2030, UK</t>
  </si>
  <si>
    <t>OCGT 400MW 500 hr, 2035, UK</t>
  </si>
  <si>
    <t>OCGT 400MW 500 hr, 2040, UK</t>
  </si>
  <si>
    <t>OCGT 300MW 500 hr, 2025, UK</t>
  </si>
  <si>
    <t>OCGT 300MW 500 hr, 2030, UK</t>
  </si>
  <si>
    <t>OCGT 300MW 500 hr, 2035, UK</t>
  </si>
  <si>
    <t>OCGT 300MW 500 hr, 2040, UK</t>
  </si>
  <si>
    <t>OCGT 299MW 500 hr, 2025, UK</t>
  </si>
  <si>
    <t>OCGT 299MW 500 hr, 2030, UK</t>
  </si>
  <si>
    <t>OCGT 299MW 500 hr, 2035, UK</t>
  </si>
  <si>
    <t>OCGT 299MW 500 hr, 2040, UK</t>
  </si>
  <si>
    <t>OCGT 100MW 500 hr, 2025, UK</t>
  </si>
  <si>
    <t>OCGT 100MW 500 hr, 2030, UK</t>
  </si>
  <si>
    <t>OCGT 100MW 500 hr, 2035, UK</t>
  </si>
  <si>
    <t>OCGT 100MW 500 hr, 2040, UK</t>
  </si>
  <si>
    <t>OCGT 600MW 2000 hr, 2025, UK</t>
  </si>
  <si>
    <t>OCGT 600MW 2000 hr, 2030, UK</t>
  </si>
  <si>
    <t>OCGT 600MW 2000 hr, 2035, UK</t>
  </si>
  <si>
    <t>OCGT 600MW 2000 hr, 2040, UK</t>
  </si>
  <si>
    <t>OCGT 400MW 2000 hr, 2025, UK</t>
  </si>
  <si>
    <t>OCGT 400MW 2000 hr, 2030, UK</t>
  </si>
  <si>
    <t>OCGT 400MW 2000 hr, 2035, UK</t>
  </si>
  <si>
    <t>OCGT 400MW 2000 hr, 2040, UK</t>
  </si>
  <si>
    <t>OCGT 300MW 2000 hr, 2025, UK</t>
  </si>
  <si>
    <t>OCGT 300MW 2000 hr, 2030, UK</t>
  </si>
  <si>
    <t>OCGT 300MW 2000 hr, 2035, UK</t>
  </si>
  <si>
    <t>OCGT 300MW 2000 hr, 2040, UK</t>
  </si>
  <si>
    <t>OCGT 299MW 2000 hr, 2025, UK</t>
  </si>
  <si>
    <t>OCGT 299MW 2000 hr, 2030, UK</t>
  </si>
  <si>
    <t>OCGT 299MW 2000 hr, 2035, UK</t>
  </si>
  <si>
    <t>OCGT 299MW 2000 hr, 2040, UK</t>
  </si>
  <si>
    <t>OCGT 100MW 2000 hr, 2025, UK</t>
  </si>
  <si>
    <t>OCGT 100MW 2000 hr, 2030, UK</t>
  </si>
  <si>
    <t>OCGT 100MW 2000 hr, 2035, UK</t>
  </si>
  <si>
    <t>OCGT 100MW 2000 hr, 2040, UK</t>
  </si>
  <si>
    <t>Recip Diesel 2000 hr, 2025, UK</t>
  </si>
  <si>
    <t>Recip Diesel 2000 hr, 2030, UK</t>
  </si>
  <si>
    <t>Recip Diesel 2000 hr, 2035, UK</t>
  </si>
  <si>
    <t>Recip Diesel 2000 hr, 2040, UK</t>
  </si>
  <si>
    <t>Recip Diesel 500 hrs, 2025, UK</t>
  </si>
  <si>
    <t>Recip Diesel 500 hrs, 2030, UK</t>
  </si>
  <si>
    <t>Recip Diesel 500 hrs, 2035, UK</t>
  </si>
  <si>
    <t>Recip Diesel 500 hrs, 2040, UK</t>
  </si>
  <si>
    <t>Recip Diesel 90 hrs, 2025, UK</t>
  </si>
  <si>
    <t>Recip Diesel 90 hrs, 2030, UK</t>
  </si>
  <si>
    <t>Recip Diesel 90 hrs, 2035, UK</t>
  </si>
  <si>
    <t>Recip Diesel 90 hrs, 2040, UK</t>
  </si>
  <si>
    <t>Recip Gas 2000 hr, 2025, UK</t>
  </si>
  <si>
    <t>Recip Gas 2000 hr, 2030, UK</t>
  </si>
  <si>
    <t>Recip Gas 2000 hr, 2035, UK</t>
  </si>
  <si>
    <t>Recip Gas 2000 hr, 2040, UK</t>
  </si>
  <si>
    <t>Recip Gas 500 hrs, 2025, UK</t>
  </si>
  <si>
    <t>Recip Gas 500 hrs, 2030, UK</t>
  </si>
  <si>
    <t>Recip Gas 500 hrs, 2035, UK</t>
  </si>
  <si>
    <t>Recip Gas 500 hrs, 2040, UK</t>
  </si>
  <si>
    <t>Dedicated Biomass, 2025, UK</t>
  </si>
  <si>
    <t>Dedicated Biomass, 2030, UK</t>
  </si>
  <si>
    <t>Dedicated Biomass, 2035, UK</t>
  </si>
  <si>
    <t>Dedicated Biomass, 2040, UK</t>
  </si>
  <si>
    <t>Biomass CHP, 2025, UK</t>
  </si>
  <si>
    <t>Biomass CHP, 2030, UK</t>
  </si>
  <si>
    <t>Biomass CHP, 2035, UK</t>
  </si>
  <si>
    <t>Biomass CHP, 2040, UK</t>
  </si>
  <si>
    <t>Onshore Wind, 2025, UK</t>
  </si>
  <si>
    <t>Onshore Wind, 2030, UK</t>
  </si>
  <si>
    <t>Onshore Wind, 2035, UK</t>
  </si>
  <si>
    <t>Onshore Wind, 2040, UK</t>
  </si>
  <si>
    <t>Offshore Wind, 2025, UK</t>
  </si>
  <si>
    <t>Offshore Wind, 2030, UK</t>
  </si>
  <si>
    <t>Offshore Wind, 2035, UK</t>
  </si>
  <si>
    <t>Offshore Wind, 2040, UK</t>
  </si>
  <si>
    <t>Large-scale Solar, 2025, UK</t>
  </si>
  <si>
    <t>Large-scale Solar, 2030, UK</t>
  </si>
  <si>
    <t>Large-scale Solar, 2035, UK</t>
  </si>
  <si>
    <t>Large-scale Solar, 2040, UK</t>
  </si>
  <si>
    <t>Teollinen aurinkosähkö, lattiahinta 1998 ja 2000 (Way2022b)</t>
  </si>
  <si>
    <t>Solar PV 10-50kW, 2025, UK</t>
  </si>
  <si>
    <t>Solar PV 10-50kW, 2030, UK</t>
  </si>
  <si>
    <t>Solar PV 10-50kW, 2035, UK</t>
  </si>
  <si>
    <t>Solar PV 10-50kW, 2040, UK</t>
  </si>
  <si>
    <t>Solar PV 4-10kW, 2025, UK</t>
  </si>
  <si>
    <t>Solar PV 4-10kW, 2030, UK</t>
  </si>
  <si>
    <t>Solar PV 4-10kW, 2035, UK</t>
  </si>
  <si>
    <t>Solar PV 4-10kW, 2040, UK</t>
  </si>
  <si>
    <t>Solar PV &lt;4kW, 2025, UK</t>
  </si>
  <si>
    <t>Solar PV &lt;4kW, 2030, UK</t>
  </si>
  <si>
    <t>Solar PV &lt;4kW, 2035, UK</t>
  </si>
  <si>
    <t>Solar PV &lt;4kW, 2040, UK</t>
  </si>
  <si>
    <t>EfW, 2025, UK</t>
  </si>
  <si>
    <t>EfW, 2030, UK</t>
  </si>
  <si>
    <t>EfW, 2035, UK</t>
  </si>
  <si>
    <t>EfW, 2040, UK</t>
  </si>
  <si>
    <t>EfW CHP, 2025, UK</t>
  </si>
  <si>
    <t>EfW CHP, 2030, UK</t>
  </si>
  <si>
    <t>EfW CHP, 2035, UK</t>
  </si>
  <si>
    <t>EfW CHP, 2040, UK</t>
  </si>
  <si>
    <t>AD, 2025, UK</t>
  </si>
  <si>
    <t>AD, 2030, UK</t>
  </si>
  <si>
    <t>AD, 2035, UK</t>
  </si>
  <si>
    <t>AD, 2040, UK</t>
  </si>
  <si>
    <t>AD CHP, 2025, UK</t>
  </si>
  <si>
    <t>AD CHP, 2030, UK</t>
  </si>
  <si>
    <t>AD CHP, 2035, UK</t>
  </si>
  <si>
    <t>AD CHP, 2040, UK</t>
  </si>
  <si>
    <t>ACT Standard, 2025, UK</t>
  </si>
  <si>
    <t>ACT Standard, 2030, UK</t>
  </si>
  <si>
    <t>ACT Standard, 2035, UK</t>
  </si>
  <si>
    <t>ACT Standard, 2040, UK</t>
  </si>
  <si>
    <t>ACT Advanced, 2025, UK</t>
  </si>
  <si>
    <t>ACT Advanced, 2030, UK</t>
  </si>
  <si>
    <t>ACT Advanced, 2035, UK</t>
  </si>
  <si>
    <t>ACT Advanced, 2040, UK</t>
  </si>
  <si>
    <t>ACT CHP, 2025, UK</t>
  </si>
  <si>
    <t>ACT CHP, 2030, UK</t>
  </si>
  <si>
    <t>ACT CHP, 2035, UK</t>
  </si>
  <si>
    <t>ACT CHP, 2040, UK</t>
  </si>
  <si>
    <t>Landfill gas, 2025, UK</t>
  </si>
  <si>
    <t>Landfill gas, 2030, UK</t>
  </si>
  <si>
    <t>Landfill gas, 2035, UK</t>
  </si>
  <si>
    <t>Landfill gas, 2040, UK</t>
  </si>
  <si>
    <t>Sewage gas, 2025, UK</t>
  </si>
  <si>
    <t>Sewage gas, 2030, UK</t>
  </si>
  <si>
    <t>Sewage gas, 2035, UK</t>
  </si>
  <si>
    <t>Sewage gas, 2040, UK</t>
  </si>
  <si>
    <t>Geothermal CHP, 2025, UK</t>
  </si>
  <si>
    <t>Geothermal CHP, 2030, UK</t>
  </si>
  <si>
    <t>Geothermal CHP, 2035, UK</t>
  </si>
  <si>
    <t>Geothermal CHP, 2040, UK</t>
  </si>
  <si>
    <t>Hydro Large Storage, 2025, UK</t>
  </si>
  <si>
    <t>Hydro Large Storage, 2030, UK</t>
  </si>
  <si>
    <t>Hydro Large Storage, 2035, UK</t>
  </si>
  <si>
    <t>Hydro Large Storage, 2040, UK</t>
  </si>
  <si>
    <t>Hydro 516MW, 2025, UK</t>
  </si>
  <si>
    <t>Hydro 516MW, 2030, UK</t>
  </si>
  <si>
    <t>Hydro 516MW, 2035, UK</t>
  </si>
  <si>
    <t>Hydro 516MW, 2040, UK</t>
  </si>
  <si>
    <t>Wave, 2025, UK</t>
  </si>
  <si>
    <t>Wave, 2030, UK</t>
  </si>
  <si>
    <t>Wave, 2035, UK</t>
  </si>
  <si>
    <t>Wave, 2040, UK</t>
  </si>
  <si>
    <t>Hydrogen CCGT (FOAK), 2025, UK</t>
  </si>
  <si>
    <t>Hydrogen CCGT (FOAK), 2030, UK</t>
  </si>
  <si>
    <t>Hydrogen CCGT (FOAK), 2035, UK</t>
  </si>
  <si>
    <t>Hydrogen CCGT (FOAK), 2040, UK</t>
  </si>
  <si>
    <t>Hydrogen CCGT (NOAK), 2025, UK</t>
  </si>
  <si>
    <t>Hydrogen CCGT (NOAK), 2030, UK</t>
  </si>
  <si>
    <t>Hydrogen CCGT (NOAK), 2035, UK</t>
  </si>
  <si>
    <t>Hydrogen CCGT (NOAK), 2040, UK</t>
  </si>
  <si>
    <t>AP1000-reaktori, Puola</t>
  </si>
  <si>
    <t>EPR-reaktori, Suomi</t>
  </si>
  <si>
    <t>Tuulivoima, Suomi, 2017</t>
  </si>
  <si>
    <t>Kaasuvoima, Suomi, 2017</t>
  </si>
  <si>
    <t>Case</t>
  </si>
  <si>
    <t>Maakaasu</t>
  </si>
  <si>
    <t>Diesel</t>
  </si>
  <si>
    <t>Biomassa</t>
  </si>
  <si>
    <t>Tuuli</t>
  </si>
  <si>
    <t>Aurinko</t>
  </si>
  <si>
    <t>Jäte</t>
  </si>
  <si>
    <t>Geoterminen</t>
  </si>
  <si>
    <t>Vesi</t>
  </si>
  <si>
    <t>Vety</t>
  </si>
  <si>
    <t>Uraani</t>
  </si>
  <si>
    <t>Kyllä</t>
  </si>
  <si>
    <t>Huom1</t>
  </si>
  <si>
    <t>N/A</t>
  </si>
  <si>
    <t>Lattiahinta lähteen Way2022b:99 perusteella ERIS (1998), MERGE-ETL ja TIMES-G5 malleista, muut tiedot Iso-Britannian Large-scale solar 2025</t>
  </si>
  <si>
    <t>Lattiahinta 2005 lähteen Way2022b:99 perusteella ReMIND-R, POLES, ja WITCH-malleista, muut tiedot Iso-Britannian Large-scale solar 2025</t>
  </si>
  <si>
    <t>Lattiahinta 2015 lähteen Way2022b:99 perusteella REMIND- ja POLES-malleista, muut tiedot Iso-Britannian Large-scale solar 2025</t>
  </si>
  <si>
    <t>Westinghouse winning bid for 3+3 reactors in Poland, 2022</t>
  </si>
  <si>
    <t>Lähteestä Vakkilainen2017</t>
  </si>
  <si>
    <t>Ruotsin hallituksen selvityksestä</t>
  </si>
  <si>
    <t>Valuutta</t>
  </si>
  <si>
    <t>2022 real EUR</t>
  </si>
  <si>
    <t>Sähköntuotannon nimellisteho</t>
  </si>
  <si>
    <t>MWe</t>
  </si>
  <si>
    <t>Sähköntuotannon kapasiteettikerroin</t>
  </si>
  <si>
    <t>Sähköntuotannon hyötysuhde</t>
  </si>
  <si>
    <t>%/vvuosi</t>
  </si>
  <si>
    <t>Yhteistuotannon hyötysuhde</t>
  </si>
  <si>
    <t>Käyttöikä</t>
  </si>
  <si>
    <t>vuotta</t>
  </si>
  <si>
    <t>Regulaatio, luvitus, julkiset kuulemiset</t>
  </si>
  <si>
    <t>EUR/kW</t>
  </si>
  <si>
    <t>Matala</t>
  </si>
  <si>
    <t>Korkea</t>
  </si>
  <si>
    <t>Lyhyt</t>
  </si>
  <si>
    <t>Suunnittelun aikataulu</t>
  </si>
  <si>
    <t>Vuosi 1</t>
  </si>
  <si>
    <t>(% käytetty vuodessa)</t>
  </si>
  <si>
    <t>Vuosi 2</t>
  </si>
  <si>
    <t>Vuosi 3</t>
  </si>
  <si>
    <t>Vuosi 4</t>
  </si>
  <si>
    <t>Vuosi 5</t>
  </si>
  <si>
    <t>Vuosi 6</t>
  </si>
  <si>
    <t>Vuosi 7</t>
  </si>
  <si>
    <t>Vuosi 8</t>
  </si>
  <si>
    <t>Vuosi 9</t>
  </si>
  <si>
    <t>Vuosi 10</t>
  </si>
  <si>
    <t>Rakentamisaikataulutus</t>
  </si>
  <si>
    <t>-</t>
  </si>
  <si>
    <t>Vuosi 11</t>
  </si>
  <si>
    <t>Vuosi 12</t>
  </si>
  <si>
    <t>Vuosi 13</t>
  </si>
  <si>
    <t>Vuosi 14</t>
  </si>
  <si>
    <t>Vuosi 15</t>
  </si>
  <si>
    <t>Infrastruktuurin hinta</t>
  </si>
  <si>
    <t>Kiinteä OPEX</t>
  </si>
  <si>
    <t>EUR/MW/vuosi</t>
  </si>
  <si>
    <t>Muuttuva OPEX</t>
  </si>
  <si>
    <t>Liittymis- ja muut kustannukset</t>
  </si>
  <si>
    <t>Lämmönmyyntisopimuksen kesto</t>
  </si>
  <si>
    <t>Hiilen talteenotto</t>
  </si>
  <si>
    <t>Talteenoton hinta</t>
  </si>
  <si>
    <t>Purkamisen viive</t>
  </si>
  <si>
    <t>Rakentaminen per kW kapasiteettia</t>
  </si>
  <si>
    <t>Low</t>
  </si>
  <si>
    <t>sis. Infrastruktuuri</t>
  </si>
  <si>
    <t>Medium</t>
  </si>
  <si>
    <t>High</t>
  </si>
  <si>
    <t>Kiinteät kulut per kW</t>
  </si>
  <si>
    <t>Kulut per käyttövuosi</t>
  </si>
  <si>
    <t>Input</t>
  </si>
  <si>
    <t>Case_ID</t>
  </si>
  <si>
    <t>ID</t>
  </si>
  <si>
    <t>Data vuodelta</t>
  </si>
  <si>
    <t>Huom</t>
  </si>
  <si>
    <t>Suomi, 2010 hinnat</t>
  </si>
  <si>
    <t>2022 EUR/MWh</t>
  </si>
  <si>
    <t>Maakaasu, Matala</t>
  </si>
  <si>
    <t>Kost2021</t>
  </si>
  <si>
    <t>Oletukset Fraunhofer ISE (Kost2021)</t>
  </si>
  <si>
    <t>Maakaasu, Keski</t>
  </si>
  <si>
    <t>https://www.investing.com/commodities/dutch-ttf-gas-c1-futures-historical-data , https://www.ice.com/products/27996665/Dutch-TTF-Natural-Gas-Futures/data?marketId=6277412 , https://www.gov.uk/government/publications/electricity-generation-costs-2023</t>
  </si>
  <si>
    <t>Dutch TTF. 2020-2022 vuoden keskiarvo, muutettu 2023 EUR/MWh. 2023 toteutuneen ja futuurin keskiarvo. 2024-26 futuurit; 2027 alkaen brittien oletukset 2023 (DESNZ 2023)</t>
  </si>
  <si>
    <t>Maakaasu, Korkea</t>
  </si>
  <si>
    <t>https://www.investing.com/commodities/dutch-ttf-gas-c1-futures-historical-data , https://www.ice.com/products/27996665/Dutch-TTF-Natural-Gas-Futures/data?marketId=6277412 , Kost2021</t>
  </si>
  <si>
    <t>1,5 kertaa keskicase</t>
  </si>
  <si>
    <t>Viimeisin (2023)</t>
  </si>
  <si>
    <t>Maakaasu, Viimeisin (2023)</t>
  </si>
  <si>
    <t>https://www.investing.com/commodities/dutch-ttf-gas-c1-futures-historical-data</t>
  </si>
  <si>
    <t>Dutch TTF, heinäkuu 2023 keskiarvo</t>
  </si>
  <si>
    <t>Vuoden 2010 hinnat</t>
  </si>
  <si>
    <t>Maakaasu, Vuoden 2010 hinnat</t>
  </si>
  <si>
    <t>World Bank</t>
  </si>
  <si>
    <t>Dutch TTF, keskiarvo 2010. Muutettu 2023 EUR/MWh.</t>
  </si>
  <si>
    <t>Maakaasu, Suomi, 2010 hinnat</t>
  </si>
  <si>
    <t>https://aurisenergia.fi/suomen-kaasuenergian-toiminta-kaasutoimitusten-mahdollisissa-hairioissa/</t>
  </si>
  <si>
    <t>Syksylle 2023 ennustettu hintataso, EUR/MWh</t>
  </si>
  <si>
    <t>Suomi, viimeisin (2023)</t>
  </si>
  <si>
    <t>Maakaasu, Suomi, viimeisin (2023)</t>
  </si>
  <si>
    <t>https://energiavirasto.fi/maakaasun-hintatilastot</t>
  </si>
  <si>
    <t>Suomi, Energiavirasto. Teollisuusasiakkaiden 2010 keskiarvo siirtohintoineen 23,88 EUR/MWh (lhv), veroton. Muutettu 2022 euroiksi Tilastokeskuksen kertoimella 1,2339.</t>
  </si>
  <si>
    <t>Maakaasu, Suomi, Ilmasto- ja energiastrategia (2021)</t>
  </si>
  <si>
    <t>Forsman, J., Närhi, J., Uimonen, H., Semkin, N., Miettinen, V., &amp; Toivola, S. (2021). Hiilineutraalisuustavoitteen vaikutukset sähköjärjestelmään (2021:4; Valtioneuvosto selvitys- ja tutkimustoiminnan julkaisusarja). Valtioneuvoston kanslia. http://urn.fi/URN:ISBN:978-952-383-029-5</t>
  </si>
  <si>
    <t>Suomen ilmasto- ja energiastrategiassa 2021 käytetty oletus</t>
  </si>
  <si>
    <t>Kivihiili</t>
  </si>
  <si>
    <t>Saksa, Fraunhofer ISE</t>
  </si>
  <si>
    <t>OECD 2015</t>
  </si>
  <si>
    <t>Biokaasu</t>
  </si>
  <si>
    <t>Ruskohiili</t>
  </si>
  <si>
    <t>Hake</t>
  </si>
  <si>
    <t>Sähkö</t>
  </si>
  <si>
    <t>Aalto</t>
  </si>
  <si>
    <t>Turve</t>
  </si>
  <si>
    <t>Raskas polttoöljy</t>
  </si>
  <si>
    <t>Puu 80 %/turve 20 %, Suomi</t>
  </si>
  <si>
    <t>Testi</t>
  </si>
  <si>
    <t>IPCC</t>
  </si>
  <si>
    <t>IPCC, https://ourworldindata.org/grapher/carbon-dioxide-emissions-factor</t>
  </si>
  <si>
    <t>IPCC, antrasiitti, https://ourworldindata.org/grapher/carbon-dioxide-emissions-factor</t>
  </si>
  <si>
    <t>Crude oil, IPCC, https://ourworldindata.org/grapher/carbon-dioxide-emissions-factor</t>
  </si>
  <si>
    <t>Puu 80 %/turve 20 %</t>
  </si>
  <si>
    <t>2022 EUR/tCO2e</t>
  </si>
  <si>
    <t>Keski (tyhjä)</t>
  </si>
  <si>
    <t>Viimeisin (2023) (tyhjä)</t>
  </si>
  <si>
    <t>Vuosi 2010 /kesken</t>
  </si>
  <si>
    <t>Ei päästömaksua</t>
  </si>
  <si>
    <t>Sitra CO2 shadow price low</t>
  </si>
  <si>
    <t>Roques2021</t>
  </si>
  <si>
    <t>Käytetty varjohinta skenaariossa Direct Electrification</t>
  </si>
  <si>
    <t>Sitra CO2 shadow price high</t>
  </si>
  <si>
    <t>Käytetty varjohinta skenaariossa Increased PtX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</si>
</sst>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#,##0.00\ &quot;€&quot;;[Red]\-#,##0.00\ &quot;€&quot;"/>
    <numFmt numFmtId="165" formatCode="_-* #,##0.00\ &quot;€&quot;_-;\-* #,##0.00\ &quot;€&quot;_-;_-* &quot;-&quot;??\ &quot;€&quot;_-;_-@_-"/>
    <numFmt numFmtId="166" formatCode="_-* #,##0.00_-;\-* #,##0.00_-;_-* &quot;-&quot;??_-;_-@_-"/>
    <numFmt numFmtId="167" formatCode="0.0%"/>
    <numFmt numFmtId="168" formatCode="_-* #,##0_-;\-* #,##0_-;_-* &quot;-&quot;??_-;_-@_-"/>
    <numFmt numFmtId="169" formatCode="_-* #,##0.0_-;\-* #,##0.0_-;_-* &quot;-&quot;??_-;_-@_-"/>
    <numFmt numFmtId="170" formatCode="0%;;&quot;-&quot;"/>
    <numFmt numFmtId="171" formatCode="0;;&quot;-&quot;"/>
    <numFmt numFmtId="172" formatCode="0.0"/>
    <numFmt numFmtId="173" formatCode="#,##0.00\ &quot;€&quot;"/>
    <numFmt numFmtId="174" formatCode="#,##0\ &quot;€&quot;"/>
    <numFmt numFmtId="175" formatCode="0.000"/>
    <numFmt numFmtId="176" formatCode="0.0\ %"/>
    <numFmt numFmtId="177" formatCode="_-* #,##0\ &quot;€&quot;_-;\-* #,##0\ &quot;€&quot;_-;_-* &quot;-&quot;??\ &quot;€&quot;_-;_-@_-"/>
    <numFmt numFmtId="178" formatCode="#,##0.0"/>
    <numFmt numFmtId="179" formatCode="#,##0_ ;\-#,##0\ "/>
  </numFmts>
  <fonts count="24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theme="0"/>
      <name val="Raleway"/>
    </font>
    <font>
      <b/>
      <sz val="11"/>
      <color rgb="FFFF0000"/>
      <name val="Raleway"/>
    </font>
    <font>
      <sz val="11"/>
      <color theme="1"/>
      <name val="Raleway"/>
    </font>
    <font>
      <sz val="11"/>
      <color rgb="FF3F3F76"/>
      <name val="Raleway"/>
    </font>
    <font>
      <sz val="11"/>
      <name val="Raleway"/>
    </font>
    <font>
      <sz val="11"/>
      <color rgb="FFFF0000"/>
      <name val="Raleway"/>
    </font>
    <font>
      <b/>
      <sz val="11"/>
      <color theme="1"/>
      <name val="Raleway"/>
    </font>
    <font>
      <b/>
      <sz val="11"/>
      <color theme="0"/>
      <name val="Raleway"/>
    </font>
    <font>
      <sz val="10"/>
      <color theme="1"/>
      <name val="Raleway"/>
    </font>
    <font>
      <b/>
      <sz val="10"/>
      <color theme="1"/>
      <name val="Raleway"/>
    </font>
    <font>
      <i/>
      <sz val="11"/>
      <color theme="1"/>
      <name val="Raleway"/>
    </font>
    <font>
      <b/>
      <sz val="13"/>
      <color theme="0"/>
      <name val="Raleway"/>
    </font>
    <font>
      <b/>
      <i/>
      <sz val="11"/>
      <color theme="1"/>
      <name val="Raleway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D0CECE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C4003C"/>
        <bgColor indexed="64"/>
      </patternFill>
    </fill>
    <fill>
      <patternFill patternType="solid">
        <fgColor rgb="FFE27F9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indexed="64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0" borderId="1" applyNumberFormat="0" applyFill="0" applyAlignment="0" applyProtection="0"/>
    <xf numFmtId="0" fontId="2" fillId="2" borderId="2" applyNumberFormat="0" applyAlignment="0" applyProtection="0"/>
    <xf numFmtId="14" fontId="4" fillId="0" borderId="0" applyBorder="0"/>
    <xf numFmtId="9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165" fontId="5" fillId="0" borderId="0" applyFont="0" applyFill="0" applyBorder="0" applyAlignment="0" applyProtection="0"/>
  </cellStyleXfs>
  <cellXfs count="158">
    <xf numFmtId="0" fontId="0" fillId="0" borderId="0" xfId="0"/>
    <xf numFmtId="9" fontId="0" fillId="0" borderId="0" xfId="4" applyFont="1"/>
    <xf numFmtId="0" fontId="8" fillId="0" borderId="0" xfId="6"/>
    <xf numFmtId="0" fontId="3" fillId="0" borderId="0" xfId="0" applyFont="1"/>
    <xf numFmtId="0" fontId="9" fillId="0" borderId="0" xfId="0" applyFont="1"/>
    <xf numFmtId="0" fontId="9" fillId="0" borderId="6" xfId="0" applyFont="1" applyBorder="1" applyAlignment="1">
      <alignment horizontal="center"/>
    </xf>
    <xf numFmtId="0" fontId="10" fillId="0" borderId="0" xfId="0" applyFont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/>
    <xf numFmtId="0" fontId="10" fillId="3" borderId="0" xfId="0" applyFont="1" applyFill="1"/>
    <xf numFmtId="1" fontId="10" fillId="3" borderId="6" xfId="0" applyNumberFormat="1" applyFont="1" applyFill="1" applyBorder="1"/>
    <xf numFmtId="1" fontId="10" fillId="3" borderId="0" xfId="0" applyNumberFormat="1" applyFont="1" applyFill="1"/>
    <xf numFmtId="1" fontId="10" fillId="3" borderId="7" xfId="0" applyNumberFormat="1" applyFont="1" applyFill="1" applyBorder="1"/>
    <xf numFmtId="9" fontId="10" fillId="0" borderId="6" xfId="0" applyNumberFormat="1" applyFont="1" applyBorder="1"/>
    <xf numFmtId="9" fontId="10" fillId="0" borderId="0" xfId="0" applyNumberFormat="1" applyFont="1"/>
    <xf numFmtId="9" fontId="10" fillId="0" borderId="7" xfId="0" applyNumberFormat="1" applyFont="1" applyBorder="1"/>
    <xf numFmtId="9" fontId="10" fillId="3" borderId="6" xfId="0" applyNumberFormat="1" applyFont="1" applyFill="1" applyBorder="1"/>
    <xf numFmtId="9" fontId="10" fillId="3" borderId="0" xfId="0" applyNumberFormat="1" applyFont="1" applyFill="1"/>
    <xf numFmtId="9" fontId="10" fillId="3" borderId="7" xfId="0" applyNumberFormat="1" applyFont="1" applyFill="1" applyBorder="1"/>
    <xf numFmtId="1" fontId="10" fillId="0" borderId="6" xfId="0" applyNumberFormat="1" applyFont="1" applyBorder="1"/>
    <xf numFmtId="1" fontId="10" fillId="0" borderId="0" xfId="0" applyNumberFormat="1" applyFont="1"/>
    <xf numFmtId="1" fontId="10" fillId="0" borderId="7" xfId="0" applyNumberFormat="1" applyFont="1" applyBorder="1"/>
    <xf numFmtId="170" fontId="10" fillId="3" borderId="0" xfId="0" applyNumberFormat="1" applyFont="1" applyFill="1"/>
    <xf numFmtId="170" fontId="10" fillId="3" borderId="6" xfId="0" applyNumberFormat="1" applyFont="1" applyFill="1" applyBorder="1"/>
    <xf numFmtId="170" fontId="10" fillId="3" borderId="7" xfId="0" applyNumberFormat="1" applyFont="1" applyFill="1" applyBorder="1"/>
    <xf numFmtId="0" fontId="10" fillId="0" borderId="6" xfId="0" applyFont="1" applyBorder="1"/>
    <xf numFmtId="170" fontId="10" fillId="0" borderId="0" xfId="0" applyNumberFormat="1" applyFont="1"/>
    <xf numFmtId="170" fontId="10" fillId="0" borderId="6" xfId="0" applyNumberFormat="1" applyFont="1" applyBorder="1"/>
    <xf numFmtId="170" fontId="10" fillId="0" borderId="7" xfId="0" applyNumberFormat="1" applyFont="1" applyBorder="1"/>
    <xf numFmtId="0" fontId="10" fillId="3" borderId="7" xfId="0" applyFont="1" applyFill="1" applyBorder="1"/>
    <xf numFmtId="167" fontId="10" fillId="0" borderId="6" xfId="0" applyNumberFormat="1" applyFont="1" applyBorder="1"/>
    <xf numFmtId="167" fontId="10" fillId="0" borderId="0" xfId="0" applyNumberFormat="1" applyFont="1"/>
    <xf numFmtId="167" fontId="10" fillId="0" borderId="7" xfId="0" applyNumberFormat="1" applyFont="1" applyBorder="1"/>
    <xf numFmtId="172" fontId="0" fillId="0" borderId="0" xfId="0" applyNumberFormat="1"/>
    <xf numFmtId="0" fontId="9" fillId="0" borderId="6" xfId="0" applyFont="1" applyBorder="1"/>
    <xf numFmtId="173" fontId="10" fillId="3" borderId="0" xfId="0" applyNumberFormat="1" applyFont="1" applyFill="1"/>
    <xf numFmtId="174" fontId="10" fillId="3" borderId="0" xfId="0" applyNumberFormat="1" applyFont="1" applyFill="1"/>
    <xf numFmtId="174" fontId="10" fillId="0" borderId="0" xfId="0" applyNumberFormat="1" applyFont="1"/>
    <xf numFmtId="172" fontId="10" fillId="3" borderId="0" xfId="0" applyNumberFormat="1" applyFont="1" applyFill="1"/>
    <xf numFmtId="172" fontId="10" fillId="3" borderId="6" xfId="0" applyNumberFormat="1" applyFont="1" applyFill="1" applyBorder="1"/>
    <xf numFmtId="172" fontId="10" fillId="3" borderId="7" xfId="0" applyNumberFormat="1" applyFont="1" applyFill="1" applyBorder="1"/>
    <xf numFmtId="172" fontId="10" fillId="0" borderId="0" xfId="0" applyNumberFormat="1" applyFont="1"/>
    <xf numFmtId="2" fontId="0" fillId="0" borderId="0" xfId="0" applyNumberFormat="1"/>
    <xf numFmtId="175" fontId="10" fillId="3" borderId="6" xfId="0" applyNumberFormat="1" applyFont="1" applyFill="1" applyBorder="1"/>
    <xf numFmtId="9" fontId="0" fillId="0" borderId="0" xfId="0" applyNumberFormat="1"/>
    <xf numFmtId="2" fontId="7" fillId="0" borderId="0" xfId="0" applyNumberFormat="1" applyFont="1"/>
    <xf numFmtId="0" fontId="3" fillId="0" borderId="0" xfId="0" applyFont="1" applyAlignment="1">
      <alignment horizontal="left"/>
    </xf>
    <xf numFmtId="0" fontId="13" fillId="0" borderId="0" xfId="0" applyFont="1"/>
    <xf numFmtId="0" fontId="13" fillId="0" borderId="0" xfId="0" applyFont="1" applyAlignment="1">
      <alignment wrapText="1"/>
    </xf>
    <xf numFmtId="0" fontId="11" fillId="5" borderId="0" xfId="0" applyFont="1" applyFill="1"/>
    <xf numFmtId="171" fontId="10" fillId="0" borderId="0" xfId="0" applyNumberFormat="1" applyFont="1"/>
    <xf numFmtId="173" fontId="10" fillId="0" borderId="6" xfId="0" applyNumberFormat="1" applyFont="1" applyBorder="1"/>
    <xf numFmtId="165" fontId="10" fillId="0" borderId="6" xfId="7" applyFont="1" applyBorder="1"/>
    <xf numFmtId="0" fontId="9" fillId="0" borderId="0" xfId="0" applyFont="1" applyAlignment="1">
      <alignment horizontal="center"/>
    </xf>
    <xf numFmtId="176" fontId="10" fillId="0" borderId="0" xfId="0" applyNumberFormat="1" applyFont="1"/>
    <xf numFmtId="9" fontId="10" fillId="0" borderId="0" xfId="4" applyFont="1"/>
    <xf numFmtId="10" fontId="10" fillId="0" borderId="0" xfId="0" applyNumberFormat="1" applyFont="1"/>
    <xf numFmtId="173" fontId="10" fillId="0" borderId="0" xfId="0" applyNumberFormat="1" applyFont="1"/>
    <xf numFmtId="10" fontId="0" fillId="0" borderId="0" xfId="0" applyNumberFormat="1"/>
    <xf numFmtId="2" fontId="10" fillId="3" borderId="0" xfId="0" applyNumberFormat="1" applyFont="1" applyFill="1"/>
    <xf numFmtId="176" fontId="10" fillId="3" borderId="0" xfId="0" applyNumberFormat="1" applyFont="1" applyFill="1"/>
    <xf numFmtId="0" fontId="22" fillId="5" borderId="0" xfId="1" applyFont="1" applyFill="1" applyBorder="1" applyAlignment="1">
      <alignment wrapText="1"/>
    </xf>
    <xf numFmtId="0" fontId="13" fillId="0" borderId="3" xfId="0" applyFont="1" applyBorder="1" applyAlignment="1">
      <alignment vertical="top" wrapText="1"/>
    </xf>
    <xf numFmtId="0" fontId="13" fillId="4" borderId="0" xfId="0" applyFont="1" applyFill="1" applyAlignment="1">
      <alignment wrapText="1"/>
    </xf>
    <xf numFmtId="0" fontId="13" fillId="4" borderId="0" xfId="0" applyFont="1" applyFill="1"/>
    <xf numFmtId="0" fontId="17" fillId="4" borderId="0" xfId="0" applyFont="1" applyFill="1"/>
    <xf numFmtId="0" fontId="13" fillId="6" borderId="0" xfId="0" applyFont="1" applyFill="1"/>
    <xf numFmtId="0" fontId="9" fillId="0" borderId="0" xfId="0" applyFont="1" applyFill="1" applyBorder="1" applyAlignment="1">
      <alignment horizontal="center"/>
    </xf>
    <xf numFmtId="0" fontId="9" fillId="0" borderId="0" xfId="0" applyFont="1" applyFill="1" applyBorder="1"/>
    <xf numFmtId="0" fontId="10" fillId="0" borderId="0" xfId="0" applyFont="1" applyFill="1" applyBorder="1"/>
    <xf numFmtId="176" fontId="0" fillId="0" borderId="0" xfId="4" applyNumberFormat="1" applyFont="1"/>
    <xf numFmtId="164" fontId="0" fillId="0" borderId="0" xfId="0" applyNumberFormat="1"/>
    <xf numFmtId="0" fontId="11" fillId="5" borderId="0" xfId="0" applyFont="1" applyFill="1" applyProtection="1"/>
    <xf numFmtId="0" fontId="11" fillId="4" borderId="0" xfId="0" applyFont="1" applyFill="1" applyProtection="1"/>
    <xf numFmtId="0" fontId="13" fillId="4" borderId="0" xfId="0" applyFont="1" applyFill="1" applyProtection="1"/>
    <xf numFmtId="0" fontId="11" fillId="0" borderId="0" xfId="0" applyFont="1" applyProtection="1"/>
    <xf numFmtId="0" fontId="12" fillId="4" borderId="0" xfId="0" applyFont="1" applyFill="1" applyProtection="1"/>
    <xf numFmtId="0" fontId="8" fillId="4" borderId="0" xfId="6" applyFill="1" applyProtection="1"/>
    <xf numFmtId="0" fontId="0" fillId="4" borderId="0" xfId="0" applyFill="1" applyProtection="1"/>
    <xf numFmtId="0" fontId="13" fillId="0" borderId="0" xfId="0" applyFont="1" applyProtection="1"/>
    <xf numFmtId="0" fontId="14" fillId="6" borderId="2" xfId="2" applyFont="1" applyFill="1" applyProtection="1"/>
    <xf numFmtId="0" fontId="17" fillId="4" borderId="5" xfId="0" applyFont="1" applyFill="1" applyBorder="1" applyProtection="1"/>
    <xf numFmtId="0" fontId="13" fillId="4" borderId="5" xfId="0" applyFont="1" applyFill="1" applyBorder="1" applyProtection="1"/>
    <xf numFmtId="0" fontId="17" fillId="4" borderId="0" xfId="0" applyFont="1" applyFill="1" applyBorder="1" applyProtection="1"/>
    <xf numFmtId="2" fontId="13" fillId="4" borderId="0" xfId="0" applyNumberFormat="1" applyFont="1" applyFill="1" applyProtection="1"/>
    <xf numFmtId="9" fontId="13" fillId="4" borderId="0" xfId="4" applyFont="1" applyFill="1" applyProtection="1"/>
    <xf numFmtId="9" fontId="13" fillId="4" borderId="0" xfId="0" applyNumberFormat="1" applyFont="1" applyFill="1" applyProtection="1"/>
    <xf numFmtId="0" fontId="13" fillId="4" borderId="0" xfId="0" applyFont="1" applyFill="1" applyAlignment="1" applyProtection="1">
      <alignment horizontal="right"/>
    </xf>
    <xf numFmtId="1" fontId="13" fillId="4" borderId="0" xfId="0" applyNumberFormat="1" applyFont="1" applyFill="1" applyProtection="1"/>
    <xf numFmtId="172" fontId="13" fillId="4" borderId="0" xfId="0" applyNumberFormat="1" applyFont="1" applyFill="1" applyProtection="1"/>
    <xf numFmtId="0" fontId="13" fillId="4" borderId="0" xfId="0" applyFont="1" applyFill="1" applyAlignment="1" applyProtection="1">
      <alignment wrapText="1"/>
    </xf>
    <xf numFmtId="0" fontId="13" fillId="4" borderId="0" xfId="2" applyFont="1" applyFill="1" applyBorder="1" applyProtection="1"/>
    <xf numFmtId="0" fontId="21" fillId="4" borderId="0" xfId="0" applyFont="1" applyFill="1" applyProtection="1"/>
    <xf numFmtId="176" fontId="13" fillId="4" borderId="0" xfId="4" applyNumberFormat="1" applyFont="1" applyFill="1" applyBorder="1" applyProtection="1"/>
    <xf numFmtId="0" fontId="21" fillId="4" borderId="0" xfId="0" applyFont="1" applyFill="1" applyAlignment="1" applyProtection="1">
      <alignment wrapText="1"/>
    </xf>
    <xf numFmtId="0" fontId="16" fillId="4" borderId="0" xfId="0" applyFont="1" applyFill="1" applyAlignment="1" applyProtection="1">
      <alignment wrapText="1"/>
    </xf>
    <xf numFmtId="0" fontId="13" fillId="0" borderId="0" xfId="0" applyFont="1" applyAlignment="1" applyProtection="1">
      <alignment wrapText="1"/>
    </xf>
    <xf numFmtId="9" fontId="13" fillId="4" borderId="0" xfId="4" applyFont="1" applyFill="1" applyAlignment="1" applyProtection="1">
      <alignment wrapText="1"/>
    </xf>
    <xf numFmtId="176" fontId="13" fillId="4" borderId="0" xfId="4" applyNumberFormat="1" applyFont="1" applyFill="1" applyProtection="1"/>
    <xf numFmtId="172" fontId="13" fillId="4" borderId="0" xfId="4" applyNumberFormat="1" applyFont="1" applyFill="1" applyBorder="1" applyProtection="1"/>
    <xf numFmtId="3" fontId="13" fillId="4" borderId="0" xfId="0" applyNumberFormat="1" applyFont="1" applyFill="1" applyProtection="1"/>
    <xf numFmtId="10" fontId="13" fillId="4" borderId="0" xfId="4" applyNumberFormat="1" applyFont="1" applyFill="1" applyBorder="1" applyProtection="1"/>
    <xf numFmtId="0" fontId="17" fillId="4" borderId="0" xfId="0" applyFont="1" applyFill="1" applyAlignment="1" applyProtection="1">
      <alignment wrapText="1"/>
    </xf>
    <xf numFmtId="0" fontId="17" fillId="4" borderId="5" xfId="0" applyFont="1" applyFill="1" applyBorder="1" applyAlignment="1" applyProtection="1">
      <alignment wrapText="1"/>
    </xf>
    <xf numFmtId="0" fontId="17" fillId="4" borderId="5" xfId="0" applyFont="1" applyFill="1" applyBorder="1" applyAlignment="1" applyProtection="1">
      <alignment horizontal="right" wrapText="1"/>
    </xf>
    <xf numFmtId="0" fontId="13" fillId="4" borderId="5" xfId="0" applyFont="1" applyFill="1" applyBorder="1" applyAlignment="1" applyProtection="1">
      <alignment horizontal="right" wrapText="1"/>
    </xf>
    <xf numFmtId="0" fontId="23" fillId="4" borderId="5" xfId="0" applyFont="1" applyFill="1" applyBorder="1" applyAlignment="1" applyProtection="1">
      <alignment horizontal="right" wrapText="1"/>
    </xf>
    <xf numFmtId="173" fontId="18" fillId="5" borderId="13" xfId="0" applyNumberFormat="1" applyFont="1" applyFill="1" applyBorder="1" applyProtection="1"/>
    <xf numFmtId="0" fontId="17" fillId="4" borderId="0" xfId="0" applyFont="1" applyFill="1" applyProtection="1"/>
    <xf numFmtId="173" fontId="21" fillId="4" borderId="0" xfId="0" applyNumberFormat="1" applyFont="1" applyFill="1" applyAlignment="1" applyProtection="1">
      <alignment wrapText="1"/>
    </xf>
    <xf numFmtId="0" fontId="13" fillId="4" borderId="5" xfId="0" applyFont="1" applyFill="1" applyBorder="1" applyAlignment="1" applyProtection="1">
      <alignment wrapText="1"/>
    </xf>
    <xf numFmtId="0" fontId="21" fillId="4" borderId="0" xfId="0" applyFont="1" applyFill="1" applyAlignment="1" applyProtection="1">
      <alignment horizontal="left" wrapText="1"/>
    </xf>
    <xf numFmtId="165" fontId="13" fillId="4" borderId="0" xfId="7" applyFont="1" applyFill="1" applyAlignment="1" applyProtection="1">
      <alignment wrapText="1"/>
    </xf>
    <xf numFmtId="165" fontId="21" fillId="4" borderId="0" xfId="7" applyFont="1" applyFill="1" applyAlignment="1" applyProtection="1">
      <alignment wrapText="1"/>
    </xf>
    <xf numFmtId="165" fontId="13" fillId="4" borderId="0" xfId="7" applyFont="1" applyFill="1" applyProtection="1"/>
    <xf numFmtId="2" fontId="13" fillId="4" borderId="0" xfId="7" applyNumberFormat="1" applyFont="1" applyFill="1" applyProtection="1"/>
    <xf numFmtId="4" fontId="13" fillId="4" borderId="0" xfId="0" applyNumberFormat="1" applyFont="1" applyFill="1" applyProtection="1"/>
    <xf numFmtId="9" fontId="13" fillId="4" borderId="0" xfId="4" applyFont="1" applyFill="1" applyAlignment="1" applyProtection="1"/>
    <xf numFmtId="0" fontId="0" fillId="4" borderId="5" xfId="0" applyFill="1" applyBorder="1" applyProtection="1"/>
    <xf numFmtId="167" fontId="13" fillId="4" borderId="0" xfId="0" applyNumberFormat="1" applyFont="1" applyFill="1" applyProtection="1"/>
    <xf numFmtId="0" fontId="15" fillId="4" borderId="0" xfId="0" applyFont="1" applyFill="1" applyProtection="1"/>
    <xf numFmtId="167" fontId="13" fillId="4" borderId="0" xfId="2" applyNumberFormat="1" applyFont="1" applyFill="1" applyBorder="1" applyProtection="1"/>
    <xf numFmtId="168" fontId="17" fillId="4" borderId="0" xfId="5" applyNumberFormat="1" applyFont="1" applyFill="1" applyProtection="1"/>
    <xf numFmtId="4" fontId="18" fillId="5" borderId="4" xfId="0" applyNumberFormat="1" applyFont="1" applyFill="1" applyBorder="1" applyProtection="1"/>
    <xf numFmtId="4" fontId="13" fillId="4" borderId="0" xfId="2" applyNumberFormat="1" applyFont="1" applyFill="1" applyBorder="1" applyProtection="1"/>
    <xf numFmtId="3" fontId="13" fillId="4" borderId="0" xfId="5" applyNumberFormat="1" applyFont="1" applyFill="1" applyProtection="1"/>
    <xf numFmtId="174" fontId="13" fillId="4" borderId="0" xfId="5" applyNumberFormat="1" applyFont="1" applyFill="1" applyProtection="1"/>
    <xf numFmtId="174" fontId="13" fillId="4" borderId="0" xfId="0" applyNumberFormat="1" applyFont="1" applyFill="1" applyProtection="1"/>
    <xf numFmtId="3" fontId="17" fillId="4" borderId="0" xfId="0" applyNumberFormat="1" applyFont="1" applyFill="1" applyProtection="1"/>
    <xf numFmtId="177" fontId="19" fillId="4" borderId="0" xfId="7" applyNumberFormat="1" applyFont="1" applyFill="1" applyProtection="1"/>
    <xf numFmtId="3" fontId="13" fillId="4" borderId="0" xfId="5" applyNumberFormat="1" applyFont="1" applyFill="1" applyBorder="1" applyProtection="1"/>
    <xf numFmtId="3" fontId="13" fillId="4" borderId="0" xfId="7" applyNumberFormat="1" applyFont="1" applyFill="1" applyProtection="1"/>
    <xf numFmtId="0" fontId="19" fillId="4" borderId="0" xfId="0" applyFont="1" applyFill="1" applyProtection="1"/>
    <xf numFmtId="0" fontId="20" fillId="4" borderId="5" xfId="0" applyFont="1" applyFill="1" applyBorder="1" applyProtection="1"/>
    <xf numFmtId="174" fontId="19" fillId="4" borderId="0" xfId="4" applyNumberFormat="1" applyFont="1" applyFill="1" applyProtection="1"/>
    <xf numFmtId="174" fontId="19" fillId="4" borderId="0" xfId="0" applyNumberFormat="1" applyFont="1" applyFill="1" applyProtection="1"/>
    <xf numFmtId="165" fontId="13" fillId="4" borderId="0" xfId="0" applyNumberFormat="1" applyFont="1" applyFill="1" applyProtection="1"/>
    <xf numFmtId="177" fontId="13" fillId="4" borderId="0" xfId="7" applyNumberFormat="1" applyFont="1" applyFill="1" applyProtection="1"/>
    <xf numFmtId="3" fontId="17" fillId="4" borderId="0" xfId="7" applyNumberFormat="1" applyFont="1" applyFill="1" applyProtection="1"/>
    <xf numFmtId="0" fontId="13" fillId="4" borderId="0" xfId="0" applyFont="1" applyFill="1" applyBorder="1" applyProtection="1"/>
    <xf numFmtId="4" fontId="18" fillId="5" borderId="15" xfId="7" applyNumberFormat="1" applyFont="1" applyFill="1" applyBorder="1" applyProtection="1"/>
    <xf numFmtId="178" fontId="13" fillId="4" borderId="0" xfId="7" applyNumberFormat="1" applyFont="1" applyFill="1" applyProtection="1"/>
    <xf numFmtId="4" fontId="18" fillId="5" borderId="4" xfId="7" applyNumberFormat="1" applyFont="1" applyFill="1" applyBorder="1" applyProtection="1"/>
    <xf numFmtId="169" fontId="13" fillId="4" borderId="0" xfId="0" applyNumberFormat="1" applyFont="1" applyFill="1" applyProtection="1"/>
    <xf numFmtId="166" fontId="13" fillId="4" borderId="0" xfId="0" applyNumberFormat="1" applyFont="1" applyFill="1" applyProtection="1"/>
    <xf numFmtId="166" fontId="13" fillId="4" borderId="0" xfId="5" applyFont="1" applyFill="1" applyProtection="1"/>
    <xf numFmtId="9" fontId="13" fillId="4" borderId="0" xfId="5" applyNumberFormat="1" applyFont="1" applyFill="1" applyProtection="1"/>
    <xf numFmtId="179" fontId="13" fillId="4" borderId="0" xfId="0" applyNumberFormat="1" applyFont="1" applyFill="1" applyProtection="1"/>
    <xf numFmtId="0" fontId="18" fillId="6" borderId="14" xfId="2" applyFont="1" applyFill="1" applyBorder="1" applyProtection="1">
      <protection locked="0"/>
    </xf>
    <xf numFmtId="0" fontId="18" fillId="6" borderId="3" xfId="2" applyFont="1" applyFill="1" applyBorder="1" applyProtection="1">
      <protection locked="0"/>
    </xf>
    <xf numFmtId="0" fontId="18" fillId="6" borderId="11" xfId="2" applyFont="1" applyFill="1" applyBorder="1" applyProtection="1">
      <protection locked="0"/>
    </xf>
    <xf numFmtId="0" fontId="18" fillId="6" borderId="12" xfId="2" applyFont="1" applyFill="1" applyBorder="1" applyProtection="1">
      <protection locked="0"/>
    </xf>
    <xf numFmtId="10" fontId="18" fillId="6" borderId="10" xfId="4" applyNumberFormat="1" applyFont="1" applyFill="1" applyBorder="1" applyProtection="1">
      <protection locked="0"/>
    </xf>
    <xf numFmtId="10" fontId="18" fillId="6" borderId="2" xfId="4" applyNumberFormat="1" applyFont="1" applyFill="1" applyBorder="1" applyProtection="1">
      <protection locked="0"/>
    </xf>
    <xf numFmtId="0" fontId="13" fillId="4" borderId="0" xfId="0" applyFont="1" applyFill="1" applyProtection="1">
      <protection hidden="1"/>
    </xf>
    <xf numFmtId="0" fontId="13" fillId="0" borderId="0" xfId="0" applyFont="1" applyProtection="1">
      <protection hidden="1"/>
    </xf>
    <xf numFmtId="0" fontId="13" fillId="5" borderId="0" xfId="0" applyFont="1" applyFill="1" applyProtection="1">
      <protection hidden="1"/>
    </xf>
  </cellXfs>
  <cellStyles count="8">
    <cellStyle name="Comma" xfId="5" builtinId="3"/>
    <cellStyle name="Currency" xfId="7" builtinId="4"/>
    <cellStyle name="documentation" xfId="3" xr:uid="{00000000-0005-0000-0000-00000E000000}"/>
    <cellStyle name="Heading 2" xfId="1" builtinId="17"/>
    <cellStyle name="Hyperlink" xfId="6" builtinId="8"/>
    <cellStyle name="Input" xfId="2" builtinId="20"/>
    <cellStyle name="Normal" xfId="0" builtinId="0"/>
    <cellStyle name="Percent" xfId="4" builtinId="5"/>
  </cellStyles>
  <dxfs count="0"/>
  <tableStyles count="0" defaultTableStyle="TableStyleMedium2" defaultPivotStyle="PivotStyleLight16"/>
  <colors>
    <mruColors>
      <color rgb="FFC4003C"/>
      <color rgb="FFE27F9F"/>
      <color rgb="FFEBF4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externalLink" Target="externalLinks/externalLink6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5.xml"/><Relationship Id="rId17" Type="http://schemas.openxmlformats.org/officeDocument/2006/relationships/externalLink" Target="externalLinks/externalLink10.xml"/><Relationship Id="rId25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9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8.xml"/><Relationship Id="rId23" Type="http://schemas.openxmlformats.org/officeDocument/2006/relationships/customXml" Target="../customXml/item2.xml"/><Relationship Id="rId10" Type="http://schemas.openxmlformats.org/officeDocument/2006/relationships/externalLink" Target="externalLinks/externalLink3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externalLink" Target="externalLinks/externalLink7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406400</xdr:colOff>
      <xdr:row>26</xdr:row>
      <xdr:rowOff>151468</xdr:rowOff>
    </xdr:from>
    <xdr:to>
      <xdr:col>2</xdr:col>
      <xdr:colOff>647700</xdr:colOff>
      <xdr:row>35</xdr:row>
      <xdr:rowOff>160019</xdr:rowOff>
    </xdr:to>
    <xdr:pic>
      <xdr:nvPicPr>
        <xdr:cNvPr id="2" name="Sisällön paikkamerkki 4">
          <a:extLst>
            <a:ext uri="{FF2B5EF4-FFF2-40B4-BE49-F238E27FC236}">
              <a16:creationId xmlns:a16="http://schemas.microsoft.com/office/drawing/2014/main" id="{125D2F87-204B-FA9C-A3C9-2AC9B6477916}"/>
            </a:ext>
          </a:extLst>
        </xdr:cNvPr>
        <xdr:cNvPicPr>
          <a:picLocks noGrp="1"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6400" y="5180668"/>
          <a:ext cx="2984500" cy="17230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orsafoundation-my.sharepoint.com/WHPUSR03/msharma$/COMMON/99I2K/Group3/forecast/Pre%20Budget%20Reports/PBR%202006/Summer%20changes/CTPBR06L_original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eisgov.sharepoint.com/Documents%20and%20Settings/senevij/Local%20Settings/Temporary%20Internet%20Files/OLK6D/FertAssChart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udgetresponsibility.independent.gov.uk/forecast/hist20/CHSPD1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orsafoundation-my.sharepoint.com/WHPUSR03/msharma$/BM/Forecast/Bud05/PostBudget05_reconciled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budgetresponsibility.independent.gov.uk/forecast/hist20/HIS19FI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orsafoundation-my.sharepoint.com/Research-camb/mresearch/RPW/Winter%2004-05/Margins/MRGWinter04-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3.%20Business%20Planning%20Model%20Toolbox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orsafoundation-my.sharepoint.com/oasisdata7/homedirs/Program%20Files/FileNET/IDM/Cache/2003012410152300001/all%20the%20chart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eisgov.sharepoint.com/rkyv/CheckOut/Long-term%20model%202009%7bdb5-doc3966101-ma1-mi14%7d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UK99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del inputs"/>
      <sheetName val="Determinant analysis"/>
      <sheetName val="Model output"/>
      <sheetName val="CTA output"/>
      <sheetName val="Model growth rates"/>
      <sheetName val="HIC Total"/>
      <sheetName val="FIN Total"/>
      <sheetName val="Main calcs"/>
      <sheetName val="Summary"/>
      <sheetName val="Diagnostics"/>
      <sheetName val="CT on gains"/>
      <sheetName val="A9 summary"/>
      <sheetName val="GR regressions"/>
      <sheetName val="L-P regressions"/>
      <sheetName val="CTPBR06L_origin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EngChart"/>
      <sheetName val="WalChart"/>
      <sheetName val="ScoChart"/>
      <sheetName val="NIChart"/>
      <sheetName val="UKChart"/>
      <sheetName val="FertAssChar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GSPD19.FIN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s"/>
      <sheetName val="External Inputs"/>
      <sheetName val="FAS Page 1"/>
      <sheetName val="FIN L-P regression"/>
      <sheetName val="HIC L-P regression"/>
      <sheetName val="FIN Rates"/>
      <sheetName val="Building Societies"/>
      <sheetName val="Rest of FIN"/>
      <sheetName val="FIN Total"/>
      <sheetName val="HIC Rates"/>
      <sheetName val="HIC Total"/>
      <sheetName val="FC Page 1"/>
      <sheetName val="T3 Page 1"/>
      <sheetName val="diff with last"/>
      <sheetName val="Repayments"/>
      <sheetName val="Budget 2005 measures"/>
      <sheetName val="PBR 2004 measures"/>
      <sheetName val="Previous Measures"/>
      <sheetName val="quarterly"/>
      <sheetName val="NG DATA"/>
      <sheetName val="NG HIC R7.3"/>
      <sheetName val="NG HIC R9.3"/>
      <sheetName val="NG FIN RA.3"/>
      <sheetName val="NG FIN RC.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IS19FIN(A)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XXXX"/>
      <sheetName val="Differences"/>
      <sheetName val="margus"/>
      <sheetName val="margasia"/>
      <sheetName val="margeur"/>
      <sheetName val="Graphics"/>
      <sheetName val="RPW Graphics"/>
      <sheetName val="USGC Chart 2"/>
      <sheetName val="USGC Chart 3"/>
      <sheetName val="USGC Chart"/>
      <sheetName val="Singapore Chart"/>
      <sheetName val="Rott - ARA Chart"/>
      <sheetName val="NYHB Resid vs Gas"/>
      <sheetName val="USGC Resid vs Gas"/>
      <sheetName val="Notional Cracking Margins Chart"/>
      <sheetName val="Comparison Graphs"/>
      <sheetName val="RPW Annual"/>
      <sheetName val="Chart3"/>
      <sheetName val="USGC"/>
      <sheetName val="NYHB"/>
      <sheetName val="Singapore"/>
      <sheetName val="Rotterdam - ARA Barges"/>
      <sheetName val="Prices in 3 Markets "/>
      <sheetName val="Price Comparison Charts"/>
      <sheetName val="Inter-Product in 3 Markets"/>
      <sheetName val="Crude Forecast"/>
      <sheetName val="FOB Med"/>
      <sheetName val="Chart1"/>
      <sheetName val="Y-T-D"/>
      <sheetName val="Y-T-D Daily"/>
      <sheetName val="Prices"/>
      <sheetName val="Mogas-Dist Margins"/>
      <sheetName val="NGLs"/>
      <sheetName val="Maya2"/>
      <sheetName val="Q5"/>
      <sheetName val="RPW_Graphics"/>
      <sheetName val="USGC_Chart_2"/>
      <sheetName val="USGC_Chart_3"/>
      <sheetName val="USGC_Chart"/>
      <sheetName val="Singapore_Chart"/>
      <sheetName val="Rott_-_ARA_Chart"/>
      <sheetName val="NYHB_Resid_vs_Gas"/>
      <sheetName val="USGC_Resid_vs_Gas"/>
      <sheetName val="Notional_Cracking_Margins_Chart"/>
      <sheetName val="Comparison_Graphs"/>
      <sheetName val="RPW_Annual"/>
      <sheetName val="Rotterdam_-_ARA_Barges"/>
      <sheetName val="Prices_in_3_Markets_"/>
      <sheetName val="Price_Comparison_Charts"/>
      <sheetName val="Inter-Product_in_3_Markets"/>
      <sheetName val="Crude_Forecast"/>
      <sheetName val="FOB_Med"/>
      <sheetName val="Y-T-D_Daily"/>
      <sheetName val="Mogas-Dist_Margins"/>
      <sheetName val="RPW_Graphics1"/>
      <sheetName val="USGC_Chart_21"/>
      <sheetName val="USGC_Chart_31"/>
      <sheetName val="USGC_Chart1"/>
      <sheetName val="Singapore_Chart1"/>
      <sheetName val="Rott_-_ARA_Chart1"/>
      <sheetName val="NYHB_Resid_vs_Gas1"/>
      <sheetName val="USGC_Resid_vs_Gas1"/>
      <sheetName val="Notional_Cracking_Margins_Char1"/>
      <sheetName val="Comparison_Graphs1"/>
      <sheetName val="RPW_Annual1"/>
      <sheetName val="Rotterdam_-_ARA_Barges1"/>
      <sheetName val="Prices_in_3_Markets_1"/>
      <sheetName val="Price_Comparison_Charts1"/>
      <sheetName val="Inter-Product_in_3_Markets1"/>
      <sheetName val="Crude_Forecast1"/>
      <sheetName val="FOB_Med1"/>
      <sheetName val="Y-T-D_Daily1"/>
      <sheetName val="Mogas-Dist_Margins1"/>
      <sheetName val="SUMMARY TABLE"/>
      <sheetName val="RPW_Graphics2"/>
      <sheetName val="USGC_Chart_22"/>
      <sheetName val="USGC_Chart_32"/>
      <sheetName val="USGC_Chart2"/>
      <sheetName val="Singapore_Chart2"/>
      <sheetName val="Rott_-_ARA_Chart2"/>
      <sheetName val="NYHB_Resid_vs_Gas2"/>
      <sheetName val="USGC_Resid_vs_Gas2"/>
      <sheetName val="Notional_Cracking_Margins_Char2"/>
      <sheetName val="Comparison_Graphs2"/>
      <sheetName val="RPW_Annual2"/>
      <sheetName val="Rotterdam_-_ARA_Barges2"/>
      <sheetName val="Prices_in_3_Markets_2"/>
      <sheetName val="Price_Comparison_Charts2"/>
      <sheetName val="Inter-Product_in_3_Markets2"/>
      <sheetName val="Crude_Forecast2"/>
      <sheetName val="FOB_Med2"/>
      <sheetName val="Y-T-D_Daily2"/>
      <sheetName val="Mogas-Dist_Margins2"/>
      <sheetName val="RPW_Graphics3"/>
      <sheetName val="USGC_Chart_23"/>
      <sheetName val="USGC_Chart_33"/>
      <sheetName val="USGC_Chart3"/>
      <sheetName val="Singapore_Chart3"/>
      <sheetName val="Rott_-_ARA_Chart3"/>
      <sheetName val="NYHB_Resid_vs_Gas3"/>
      <sheetName val="USGC_Resid_vs_Gas3"/>
      <sheetName val="Notional_Cracking_Margins_Char3"/>
      <sheetName val="Comparison_Graphs3"/>
      <sheetName val="RPW_Annual3"/>
      <sheetName val="Rotterdam_-_ARA_Barges3"/>
      <sheetName val="Prices_in_3_Markets_3"/>
      <sheetName val="Price_Comparison_Charts3"/>
      <sheetName val="Inter-Product_in_3_Markets3"/>
      <sheetName val="Crude_Forecast3"/>
      <sheetName val="FOB_Med3"/>
      <sheetName val="Y-T-D_Daily3"/>
      <sheetName val="Mogas-Dist_Margins3"/>
      <sheetName val="RPW_Graphics4"/>
      <sheetName val="USGC_Chart_24"/>
      <sheetName val="USGC_Chart_34"/>
      <sheetName val="USGC_Chart4"/>
      <sheetName val="Singapore_Chart4"/>
      <sheetName val="Rott_-_ARA_Chart4"/>
      <sheetName val="NYHB_Resid_vs_Gas4"/>
      <sheetName val="USGC_Resid_vs_Gas4"/>
      <sheetName val="Notional_Cracking_Margins_Char4"/>
      <sheetName val="Comparison_Graphs4"/>
      <sheetName val="RPW_Annual4"/>
      <sheetName val="Rotterdam_-_ARA_Barges4"/>
      <sheetName val="Prices_in_3_Markets_4"/>
      <sheetName val="Price_Comparison_Charts4"/>
      <sheetName val="Inter-Product_in_3_Markets4"/>
      <sheetName val="Crude_Forecast4"/>
      <sheetName val="FOB_Med4"/>
      <sheetName val="Y-T-D_Daily4"/>
      <sheetName val="Mogas-Dist_Margins4"/>
      <sheetName val="SUMMARY_TABLE"/>
      <sheetName val="Accuracy Calc"/>
      <sheetName val="Accuracy_Calc"/>
      <sheetName val="LKP_INDEX"/>
      <sheetName val="Data for lists"/>
      <sheetName val="Data_for_lists"/>
      <sheetName val="RPW_Graphics5"/>
      <sheetName val="USGC_Chart_25"/>
      <sheetName val="USGC_Chart_35"/>
      <sheetName val="USGC_Chart5"/>
      <sheetName val="Singapore_Chart5"/>
      <sheetName val="Rott_-_ARA_Chart5"/>
      <sheetName val="NYHB_Resid_vs_Gas5"/>
      <sheetName val="USGC_Resid_vs_Gas5"/>
      <sheetName val="Notional_Cracking_Margins_Char5"/>
      <sheetName val="Comparison_Graphs5"/>
      <sheetName val="RPW_Annual5"/>
      <sheetName val="Rotterdam_-_ARA_Barges5"/>
      <sheetName val="Prices_in_3_Markets_5"/>
      <sheetName val="Price_Comparison_Charts5"/>
      <sheetName val="Inter-Product_in_3_Markets5"/>
      <sheetName val="Crude_Forecast5"/>
      <sheetName val="FOB_Med5"/>
      <sheetName val="Y-T-D_Daily5"/>
      <sheetName val="Mogas-Dist_Margins5"/>
      <sheetName val="SUMMARY_TABLE1"/>
      <sheetName val="Accuracy_Calc1"/>
      <sheetName val="RPW_Graphics6"/>
      <sheetName val="USGC_Chart_26"/>
      <sheetName val="USGC_Chart_36"/>
      <sheetName val="USGC_Chart6"/>
      <sheetName val="Singapore_Chart6"/>
      <sheetName val="Rott_-_ARA_Chart6"/>
      <sheetName val="NYHB_Resid_vs_Gas6"/>
      <sheetName val="USGC_Resid_vs_Gas6"/>
      <sheetName val="Notional_Cracking_Margins_Char6"/>
      <sheetName val="Comparison_Graphs6"/>
      <sheetName val="RPW_Annual6"/>
      <sheetName val="Rotterdam_-_ARA_Barges6"/>
      <sheetName val="Prices_in_3_Markets_6"/>
      <sheetName val="Price_Comparison_Charts6"/>
      <sheetName val="Inter-Product_in_3_Markets6"/>
      <sheetName val="Crude_Forecast6"/>
      <sheetName val="FOB_Med6"/>
      <sheetName val="Y-T-D_Daily6"/>
      <sheetName val="Mogas-Dist_Margins6"/>
      <sheetName val="SUMMARY_TABLE2"/>
      <sheetName val="Accuracy_Calc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/>
      <sheetData sheetId="134" refreshError="1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Contents"/>
      <sheetName val="Overview_SC"/>
      <sheetName val="Notes_SSC"/>
      <sheetName val="Notes_BO"/>
      <sheetName val="Standards_MS"/>
      <sheetName val="Keys_SSC"/>
      <sheetName val="Keys_BO"/>
      <sheetName val="Assumptions_SC"/>
      <sheetName val="TS_Ass_SSC"/>
      <sheetName val="TS_BA"/>
      <sheetName val="Hist_Ass_SSC"/>
      <sheetName val="IS_Hist_TA"/>
      <sheetName val="BS_Hist_TA"/>
      <sheetName val="CFS_Hist_TA"/>
      <sheetName val="Fcast_Ass_SSC"/>
      <sheetName val="Fcast_TA"/>
      <sheetName val="Outputs_SC"/>
      <sheetName val="Hist_OP_SSC"/>
      <sheetName val="IS_Hist_TO"/>
      <sheetName val="BS_Hist_TO"/>
      <sheetName val="CFS_Hist_TO"/>
      <sheetName val="Fcast_OP_SSC"/>
      <sheetName val="Fcast_OP_TO"/>
      <sheetName val="IS_Fcast_TO"/>
      <sheetName val="BS_Fcast_TO"/>
      <sheetName val="CFS_Fcast_TO"/>
      <sheetName val="All_Pers_OP_SSC"/>
      <sheetName val="IS_All_TO"/>
      <sheetName val="BS_All_TO"/>
      <sheetName val="CFS_All_TO"/>
      <sheetName val="Dashboards_SSC"/>
      <sheetName val="BS_Sum_P_MS"/>
      <sheetName val="Appendices_SC"/>
      <sheetName val="Checks_SSC"/>
      <sheetName val="Checks_BO"/>
      <sheetName val="LU_SSC"/>
      <sheetName val="TS_LU"/>
      <sheetName val="Capital_LU"/>
      <sheetName val="Dashboards_LU"/>
      <sheetName val="Sector Model"/>
      <sheetName val="Lookups"/>
      <sheetName val="Central MACC data"/>
      <sheetName val="IAG2014_Table20"/>
      <sheetName val="Constants"/>
      <sheetName val="Historic surplus"/>
      <sheetName val="Unallocated Allowances"/>
      <sheetName val="Hedging"/>
      <sheetName val="Air pollutants"/>
      <sheetName val="3"/>
      <sheetName val="DECC Summary"/>
      <sheetName val="Baseline results"/>
      <sheetName val="Lists"/>
      <sheetName val="Sector_Model"/>
      <sheetName val="Central_MACC_data"/>
      <sheetName val="Air_pollutants"/>
      <sheetName val="Historic_surplus"/>
      <sheetName val="Unallocated_Allowances"/>
      <sheetName val="Biofuels"/>
      <sheetName val="DECC_Summary"/>
      <sheetName val="Baseline_results"/>
      <sheetName val="working- waterfalls"/>
      <sheetName val="CASHFLOW Gen Income"/>
      <sheetName val="Lookups (2)"/>
      <sheetName val="GHG &amp; C02 chart"/>
      <sheetName val="HPvsBoiler"/>
      <sheetName val="CHP"/>
      <sheetName val="4.6 ten year bonds"/>
      <sheetName val="Units"/>
      <sheetName val="Output"/>
      <sheetName val="Run_lst"/>
      <sheetName val="DetailedT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gure 1.1"/>
      <sheetName val="Frameworks comparison 2.1 2.2"/>
      <sheetName val="Figures 3.1 3.2"/>
      <sheetName val="Table 3.1"/>
      <sheetName val="3.1 Inflation expectations"/>
      <sheetName val="3.2 Taylor rules"/>
      <sheetName val="3.3 UK Taylor rule"/>
      <sheetName val="Chart 3.4"/>
      <sheetName val="3.5 10 years ahead"/>
      <sheetName val="3.6 M3 growth"/>
      <sheetName val="Box D Red triangle"/>
      <sheetName val="Figure 4.1 UK fiscal fwork"/>
      <sheetName val="Table 4.1"/>
      <sheetName val="Box D table"/>
      <sheetName val="4.1 UK"/>
      <sheetName val="4.3.and 4.4"/>
      <sheetName val="4.5 deficit and interest rate"/>
      <sheetName val="4.6 ten year bonds"/>
      <sheetName val="5.1 share of gdp"/>
      <sheetName val="Sheet1"/>
      <sheetName val="Figure 6.1"/>
      <sheetName val="Table 6.1 Bank Supervisors"/>
      <sheetName val="Carbon Price Floor"/>
      <sheetName val="Baseline results"/>
      <sheetName val="DECC Summary"/>
      <sheetName val="Figure_1_1"/>
      <sheetName val="Frameworks_comparison_2_1_2_2"/>
      <sheetName val="Figures_3_1_3_2"/>
      <sheetName val="Table_3_1"/>
      <sheetName val="3_1_Inflation_expectations"/>
      <sheetName val="3_2_Taylor_rules"/>
      <sheetName val="3_3_UK_Taylor_rule"/>
      <sheetName val="Chart_3_4"/>
      <sheetName val="3_5_10_years_ahead"/>
      <sheetName val="3_6_M3_growth"/>
      <sheetName val="Box_D_Red_triangle"/>
      <sheetName val="Figure_4_1_UK_fiscal_fwork"/>
      <sheetName val="Table_4_1"/>
      <sheetName val="Box_D_table"/>
      <sheetName val="4_1_UK"/>
      <sheetName val="4_3_and_4_4"/>
      <sheetName val="4_5_deficit_and_interest_rate"/>
      <sheetName val="4_6_ten_year_bonds"/>
      <sheetName val="5_1_share_of_gdp"/>
      <sheetName val="Figure_6_1"/>
      <sheetName val="Table_6_1_Bank_Supervisors"/>
      <sheetName val="Figure_1_11"/>
      <sheetName val="Frameworks_comparison_2_1_2_21"/>
      <sheetName val="Figures_3_1_3_21"/>
      <sheetName val="Table_3_11"/>
      <sheetName val="3_1_Inflation_expectations1"/>
      <sheetName val="3_2_Taylor_rules1"/>
      <sheetName val="3_3_UK_Taylor_rule1"/>
      <sheetName val="Chart_3_41"/>
      <sheetName val="3_5_10_years_ahead1"/>
      <sheetName val="3_6_M3_growth1"/>
      <sheetName val="Box_D_Red_triangle1"/>
      <sheetName val="Figure_4_1_UK_fiscal_fwork1"/>
      <sheetName val="Table_4_11"/>
      <sheetName val="Box_D_table1"/>
      <sheetName val="4_1_UK1"/>
      <sheetName val="4_3_and_4_41"/>
      <sheetName val="4_5_deficit_and_interest_rate1"/>
      <sheetName val="4_6_ten_year_bonds1"/>
      <sheetName val="5_1_share_of_gdp1"/>
      <sheetName val="Figure_6_11"/>
      <sheetName val="Table_6_1_Bank_Supervisors1"/>
      <sheetName val="Figure_1_12"/>
      <sheetName val="Frameworks_comparison_2_1_2_22"/>
      <sheetName val="Figures_3_1_3_22"/>
      <sheetName val="Table_3_12"/>
      <sheetName val="3_1_Inflation_expectations2"/>
      <sheetName val="3_2_Taylor_rules2"/>
      <sheetName val="3_3_UK_Taylor_rule2"/>
      <sheetName val="Chart_3_42"/>
      <sheetName val="3_5_10_years_ahead2"/>
      <sheetName val="3_6_M3_growth2"/>
      <sheetName val="Box_D_Red_triangle2"/>
      <sheetName val="Figure_4_1_UK_fiscal_fwork2"/>
      <sheetName val="Table_4_12"/>
      <sheetName val="Box_D_table2"/>
      <sheetName val="4_1_UK2"/>
      <sheetName val="4_3_and_4_42"/>
      <sheetName val="4_5_deficit_and_interest_rate2"/>
      <sheetName val="4_6_ten_year_bonds2"/>
      <sheetName val="5_1_share_of_gdp2"/>
      <sheetName val="Figure_6_12"/>
      <sheetName val="Table_6_1_Bank_Supervisors2"/>
      <sheetName val="CASHFLOW Gen Income"/>
      <sheetName val="USGC"/>
      <sheetName val="Figure_1_13"/>
      <sheetName val="Frameworks_comparison_2_1_2_23"/>
      <sheetName val="Figures_3_1_3_23"/>
      <sheetName val="Table_3_13"/>
      <sheetName val="3_1_Inflation_expectations3"/>
      <sheetName val="3_2_Taylor_rules3"/>
      <sheetName val="3_3_UK_Taylor_rule3"/>
      <sheetName val="Chart_3_43"/>
      <sheetName val="3_5_10_years_ahead3"/>
      <sheetName val="3_6_M3_growth3"/>
      <sheetName val="Box_D_Red_triangle3"/>
      <sheetName val="Figure_4_1_UK_fiscal_fwork3"/>
      <sheetName val="Table_4_13"/>
      <sheetName val="Box_D_table3"/>
      <sheetName val="4_1_UK3"/>
      <sheetName val="4_3_and_4_43"/>
      <sheetName val="4_5_deficit_and_interest_rate3"/>
      <sheetName val="4_6_ten_year_bonds3"/>
      <sheetName val="5_1_share_of_gdp3"/>
      <sheetName val="Figure_6_13"/>
      <sheetName val="Table_6_1_Bank_Supervisors3"/>
      <sheetName val="Carbon_Price_Floor"/>
      <sheetName val="Baseline_results"/>
      <sheetName val="DECC_Summary"/>
      <sheetName val="Figure_1_14"/>
      <sheetName val="Frameworks_comparison_2_1_2_24"/>
      <sheetName val="Figures_3_1_3_24"/>
      <sheetName val="Table_3_14"/>
      <sheetName val="3_1_Inflation_expectations4"/>
      <sheetName val="3_2_Taylor_rules4"/>
      <sheetName val="3_3_UK_Taylor_rule4"/>
      <sheetName val="Chart_3_44"/>
      <sheetName val="3_5_10_years_ahead4"/>
      <sheetName val="3_6_M3_growth4"/>
      <sheetName val="Box_D_Red_triangle4"/>
      <sheetName val="Figure_4_1_UK_fiscal_fwork4"/>
      <sheetName val="Table_4_14"/>
      <sheetName val="Box_D_table4"/>
      <sheetName val="4_1_UK4"/>
      <sheetName val="4_3_and_4_44"/>
      <sheetName val="4_5_deficit_and_interest_rate4"/>
      <sheetName val="4_6_ten_year_bonds4"/>
      <sheetName val="5_1_share_of_gdp4"/>
      <sheetName val="Figure_6_14"/>
      <sheetName val="Table_6_1_Bank_Supervisors4"/>
      <sheetName val="Carbon_Price_Floor1"/>
      <sheetName val="Baseline_results1"/>
      <sheetName val="DECC_Summary1"/>
      <sheetName val="model inputs"/>
      <sheetName val="Figure_1_15"/>
      <sheetName val="Frameworks_comparison_2_1_2_25"/>
      <sheetName val="Figures_3_1_3_25"/>
      <sheetName val="Table_3_15"/>
      <sheetName val="3_1_Inflation_expectations5"/>
      <sheetName val="3_2_Taylor_rules5"/>
      <sheetName val="3_3_UK_Taylor_rule5"/>
      <sheetName val="Chart_3_45"/>
      <sheetName val="3_5_10_years_ahead5"/>
      <sheetName val="3_6_M3_growth5"/>
      <sheetName val="Box_D_Red_triangle5"/>
      <sheetName val="Figure_4_1_UK_fiscal_fwork5"/>
      <sheetName val="Table_4_15"/>
      <sheetName val="Box_D_table5"/>
      <sheetName val="4_1_UK5"/>
      <sheetName val="4_3_and_4_45"/>
      <sheetName val="4_5_deficit_and_interest_rate5"/>
      <sheetName val="4_6_ten_year_bonds5"/>
      <sheetName val="5_1_share_of_gdp5"/>
      <sheetName val="Figure_6_15"/>
      <sheetName val="Table_6_1_Bank_Supervisors5"/>
      <sheetName val="Carbon_Price_Floor2"/>
      <sheetName val="Baseline_results2"/>
      <sheetName val="DECC_Summary2"/>
      <sheetName val="CASHFLOW_Gen_Income"/>
      <sheetName val="model_inputs"/>
      <sheetName val="Figure_1_16"/>
      <sheetName val="Frameworks_comparison_2_1_2_26"/>
      <sheetName val="Figures_3_1_3_26"/>
      <sheetName val="Table_3_16"/>
      <sheetName val="3_1_Inflation_expectations6"/>
      <sheetName val="3_2_Taylor_rules6"/>
      <sheetName val="3_3_UK_Taylor_rule6"/>
      <sheetName val="Chart_3_46"/>
      <sheetName val="3_5_10_years_ahead6"/>
      <sheetName val="3_6_M3_growth6"/>
      <sheetName val="Box_D_Red_triangle6"/>
      <sheetName val="Figure_4_1_UK_fiscal_fwork6"/>
      <sheetName val="Table_4_16"/>
      <sheetName val="Box_D_table6"/>
      <sheetName val="4_1_UK6"/>
      <sheetName val="4_3_and_4_46"/>
      <sheetName val="4_5_deficit_and_interest_rate6"/>
      <sheetName val="4_6_ten_year_bonds6"/>
      <sheetName val="5_1_share_of_gdp6"/>
      <sheetName val="Figure_6_16"/>
      <sheetName val="Table_6_1_Bank_Supervisors6"/>
      <sheetName val="Carbon_Price_Floor3"/>
      <sheetName val="Baseline_results3"/>
      <sheetName val="DECC_Summary3"/>
      <sheetName val="CASHFLOW_Gen_Income1"/>
      <sheetName val="model_inputs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 09"/>
      <sheetName val="Charts"/>
      <sheetName val="Scenarios"/>
      <sheetName val="Projections"/>
      <sheetName val="Calculation"/>
      <sheetName val="Latest"/>
      <sheetName val="Latest check"/>
      <sheetName val="PSF"/>
      <sheetName val="Nom. Input"/>
      <sheetName val="Profiles"/>
      <sheetName val="Population"/>
      <sheetName val="Social sec &amp; TC"/>
      <sheetName val="Pub.sec.pensions"/>
      <sheetName val="Health"/>
      <sheetName val="Death"/>
      <sheetName val="Education"/>
      <sheetName val="TREND"/>
      <sheetName val="RESULT 1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K99"/>
      <sheetName val="PSF"/>
      <sheetName val="QsYs"/>
      <sheetName val="Dis master"/>
      <sheetName val="Ranges"/>
      <sheetName val="Dis_master1"/>
      <sheetName val="Population"/>
      <sheetName val="A2_Log"/>
      <sheetName val="headroom"/>
      <sheetName val="Price x Volume Calcs"/>
      <sheetName val="C_TOC Capex"/>
      <sheetName val="C_Working Cap"/>
      <sheetName val="C_Funding"/>
      <sheetName val="I_Calcs"/>
      <sheetName val="Financial Calcs"/>
      <sheetName val="Indices &amp; Rates"/>
      <sheetName val="D8_Lockup_calc"/>
      <sheetName val="A5_User Manual &amp; Ass"/>
      <sheetName val="Template Control"/>
      <sheetName val="B3 _Ass Yr-Yr"/>
      <sheetName val="Price &amp; Volume Tables"/>
      <sheetName val="CASHFLOW Gen Income"/>
      <sheetName val="Dis_master"/>
      <sheetName val="Price_x_Volume_Calcs"/>
      <sheetName val="C_TOC_Capex"/>
      <sheetName val="C_Working_Cap"/>
      <sheetName val="Financial_Calcs"/>
      <sheetName val="Indices_&amp;_Rates"/>
      <sheetName val="A5_User_Manual_&amp;_Ass"/>
      <sheetName val="Template_Control"/>
      <sheetName val="B3__Ass_Yr-Yr"/>
      <sheetName val="Price_&amp;_Volume_Tab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://nationalarchives.gov.uk/doc/open-government-licence/version/3/" TargetMode="External"/><Relationship Id="rId1" Type="http://schemas.openxmlformats.org/officeDocument/2006/relationships/hyperlink" Target="https://www.gov.uk/government/publications/electricity-generation-costs-2023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joule.2022.08.009" TargetMode="External"/><Relationship Id="rId2" Type="http://schemas.openxmlformats.org/officeDocument/2006/relationships/hyperlink" Target="https://doi.org/10.1016/j.joule.2022.08.009" TargetMode="External"/><Relationship Id="rId1" Type="http://schemas.openxmlformats.org/officeDocument/2006/relationships/hyperlink" Target="https://www.gov.uk/government/publications/electricity-generation-costs-2023" TargetMode="External"/><Relationship Id="rId4" Type="http://schemas.openxmlformats.org/officeDocument/2006/relationships/hyperlink" Target="https://doi.org/10.1016/j.joule.2022.08.009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aurisenergia.fi/suomen-kaasuenergian-toiminta-kaasutoimitusten-mahdollisissa-hairioissa/" TargetMode="External"/><Relationship Id="rId2" Type="http://schemas.openxmlformats.org/officeDocument/2006/relationships/hyperlink" Target="https://energiavirasto.fi/maakaasun-hintatilastot" TargetMode="External"/><Relationship Id="rId1" Type="http://schemas.openxmlformats.org/officeDocument/2006/relationships/hyperlink" Target="https://www.gov.uk/government/publications/electricity-generation-costs-2023" TargetMode="External"/><Relationship Id="rId6" Type="http://schemas.openxmlformats.org/officeDocument/2006/relationships/hyperlink" Target="http://urn.fi/URN:ISBN:978-952-383-029-5" TargetMode="External"/><Relationship Id="rId5" Type="http://schemas.openxmlformats.org/officeDocument/2006/relationships/hyperlink" Target="http://urn.fi/URN:ISBN:978-952-383-029-5" TargetMode="External"/><Relationship Id="rId4" Type="http://schemas.openxmlformats.org/officeDocument/2006/relationships/hyperlink" Target="http://urn.fi/URN:ISBN:978-952-383-029-5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urn.fi/URN:ISBN:978-952-383-029-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4A693-9A41-0F4E-90D4-B2065CF730B7}">
  <sheetPr>
    <tabColor rgb="FFC4003C"/>
  </sheetPr>
  <dimension ref="A1:D38"/>
  <sheetViews>
    <sheetView showGridLines="0" topLeftCell="A4" zoomScale="143" zoomScaleNormal="143" workbookViewId="0">
      <selection activeCell="C6" sqref="C6"/>
    </sheetView>
    <sheetView workbookViewId="1"/>
  </sheetViews>
  <sheetFormatPr defaultColWidth="9" defaultRowHeight="15"/>
  <cols>
    <col min="1" max="1" width="9" style="49"/>
    <col min="2" max="2" width="27" style="49" customWidth="1"/>
    <col min="3" max="3" width="144.28515625" style="49" customWidth="1"/>
    <col min="4" max="4" width="41" style="49" customWidth="1"/>
    <col min="5" max="16384" width="9" style="49"/>
  </cols>
  <sheetData>
    <row r="1" spans="1:4" s="50" customFormat="1" ht="21">
      <c r="A1" s="50" t="s">
        <v>0</v>
      </c>
    </row>
    <row r="2" spans="1:4">
      <c r="A2" s="65"/>
      <c r="B2" s="65"/>
      <c r="C2" s="65"/>
      <c r="D2" s="65"/>
    </row>
    <row r="3" spans="1:4">
      <c r="A3" s="65"/>
      <c r="B3" s="65" t="s">
        <v>1</v>
      </c>
      <c r="C3" s="65"/>
      <c r="D3" s="65"/>
    </row>
    <row r="4" spans="1:4">
      <c r="A4" s="65"/>
      <c r="B4" s="65" t="s">
        <v>2</v>
      </c>
      <c r="C4" s="65"/>
      <c r="D4" s="65"/>
    </row>
    <row r="5" spans="1:4">
      <c r="A5" s="65"/>
      <c r="B5" s="65" t="s">
        <v>3</v>
      </c>
      <c r="C5" s="65"/>
      <c r="D5" s="65"/>
    </row>
    <row r="6" spans="1:4">
      <c r="A6" s="65"/>
      <c r="B6" s="65"/>
      <c r="C6" s="65"/>
      <c r="D6" s="65"/>
    </row>
    <row r="7" spans="1:4">
      <c r="A7" s="65"/>
      <c r="B7" s="65" t="s">
        <v>4</v>
      </c>
      <c r="C7" s="65"/>
      <c r="D7" s="65"/>
    </row>
    <row r="8" spans="1:4">
      <c r="A8" s="65"/>
      <c r="B8" s="65" t="s">
        <v>5</v>
      </c>
      <c r="C8" s="65"/>
      <c r="D8" s="65"/>
    </row>
    <row r="9" spans="1:4">
      <c r="A9" s="65"/>
      <c r="B9" s="65" t="s">
        <v>6</v>
      </c>
      <c r="C9" s="65"/>
      <c r="D9" s="65"/>
    </row>
    <row r="10" spans="1:4">
      <c r="A10" s="65"/>
      <c r="B10" s="65" t="s">
        <v>7</v>
      </c>
      <c r="C10" s="65"/>
      <c r="D10" s="65"/>
    </row>
    <row r="11" spans="1:4">
      <c r="A11" s="65"/>
      <c r="B11" s="65" t="s">
        <v>8</v>
      </c>
      <c r="C11" s="65"/>
      <c r="D11" s="65"/>
    </row>
    <row r="12" spans="1:4">
      <c r="A12" s="65"/>
      <c r="B12" s="65" t="s">
        <v>9</v>
      </c>
      <c r="C12" s="65"/>
      <c r="D12" s="65"/>
    </row>
    <row r="13" spans="1:4">
      <c r="A13" s="65"/>
      <c r="B13" s="65"/>
      <c r="C13" s="65"/>
      <c r="D13" s="65"/>
    </row>
    <row r="14" spans="1:4">
      <c r="A14" s="65"/>
      <c r="B14" s="66" t="s">
        <v>10</v>
      </c>
      <c r="C14" s="65"/>
      <c r="D14" s="65"/>
    </row>
    <row r="15" spans="1:4">
      <c r="A15" s="65"/>
      <c r="B15" s="65" t="s">
        <v>11</v>
      </c>
      <c r="C15" s="65"/>
      <c r="D15" s="65"/>
    </row>
    <row r="16" spans="1:4">
      <c r="A16" s="65" t="s">
        <v>12</v>
      </c>
      <c r="B16" s="65" t="s">
        <v>13</v>
      </c>
      <c r="C16" s="65"/>
      <c r="D16" s="65"/>
    </row>
    <row r="17" spans="1:4">
      <c r="A17" s="65"/>
      <c r="C17" s="65"/>
      <c r="D17" s="65"/>
    </row>
    <row r="18" spans="1:4">
      <c r="A18" s="65"/>
      <c r="B18" s="67" t="s">
        <v>14</v>
      </c>
      <c r="C18" s="65"/>
      <c r="D18" s="65"/>
    </row>
    <row r="19" spans="1:4">
      <c r="A19" s="65"/>
      <c r="C19" s="65"/>
      <c r="D19" s="65"/>
    </row>
    <row r="20" spans="1:4">
      <c r="A20" s="65"/>
      <c r="B20" s="65" t="s">
        <v>15</v>
      </c>
      <c r="C20" s="65"/>
      <c r="D20" s="65"/>
    </row>
    <row r="21" spans="1:4">
      <c r="A21" s="65"/>
      <c r="B21" s="65" t="s">
        <v>16</v>
      </c>
      <c r="C21" s="65"/>
      <c r="D21" s="65"/>
    </row>
    <row r="22" spans="1:4">
      <c r="A22" s="65"/>
      <c r="C22" s="65"/>
      <c r="D22" s="65"/>
    </row>
    <row r="23" spans="1:4">
      <c r="A23" s="65"/>
      <c r="B23" s="65" t="s">
        <v>17</v>
      </c>
      <c r="C23" s="65"/>
      <c r="D23" s="65"/>
    </row>
    <row r="24" spans="1:4">
      <c r="A24" s="65"/>
      <c r="B24" s="65"/>
      <c r="C24" s="65"/>
      <c r="D24" s="65"/>
    </row>
    <row r="25" spans="1:4">
      <c r="A25" s="65"/>
      <c r="B25" s="65" t="s">
        <v>18</v>
      </c>
      <c r="C25" s="65"/>
      <c r="D25" s="65"/>
    </row>
    <row r="26" spans="1:4">
      <c r="A26" s="65"/>
      <c r="B26" s="65"/>
      <c r="C26" s="65"/>
      <c r="D26" s="65"/>
    </row>
    <row r="27" spans="1:4">
      <c r="A27" s="65"/>
      <c r="B27" s="65"/>
      <c r="C27" s="65"/>
      <c r="D27" s="65"/>
    </row>
    <row r="28" spans="1:4">
      <c r="A28" s="65"/>
      <c r="B28" s="65"/>
      <c r="C28" s="65"/>
      <c r="D28" s="65"/>
    </row>
    <row r="29" spans="1:4">
      <c r="A29" s="65"/>
      <c r="B29" s="65"/>
      <c r="C29" s="65"/>
      <c r="D29" s="65"/>
    </row>
    <row r="30" spans="1:4">
      <c r="A30" s="65"/>
      <c r="B30" s="65"/>
      <c r="C30" s="65"/>
      <c r="D30" s="65"/>
    </row>
    <row r="31" spans="1:4">
      <c r="A31" s="64"/>
      <c r="B31" s="64"/>
      <c r="C31" s="64"/>
      <c r="D31" s="64"/>
    </row>
    <row r="32" spans="1:4">
      <c r="A32" s="64"/>
      <c r="B32" s="64"/>
      <c r="C32" s="64"/>
      <c r="D32" s="64"/>
    </row>
    <row r="33" spans="1:4">
      <c r="A33" s="64"/>
      <c r="B33" s="64"/>
      <c r="C33" s="64"/>
      <c r="D33" s="64"/>
    </row>
    <row r="34" spans="1:4">
      <c r="A34" s="64"/>
      <c r="B34" s="64"/>
      <c r="C34" s="64"/>
      <c r="D34" s="64"/>
    </row>
    <row r="35" spans="1:4">
      <c r="A35" s="64"/>
      <c r="B35" s="64"/>
      <c r="C35" s="64"/>
      <c r="D35" s="64"/>
    </row>
    <row r="36" spans="1:4">
      <c r="A36" s="64"/>
      <c r="B36" s="64"/>
      <c r="C36" s="64"/>
      <c r="D36" s="64"/>
    </row>
    <row r="37" spans="1:4">
      <c r="A37" s="64"/>
      <c r="B37" s="64"/>
      <c r="C37" s="64"/>
      <c r="D37" s="64"/>
    </row>
    <row r="38" spans="1:4">
      <c r="A38" s="64"/>
      <c r="B38" s="64"/>
      <c r="C38" s="64"/>
      <c r="D38" s="64"/>
    </row>
  </sheetData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5324E-D763-42EE-B211-4894E77E77F6}">
  <sheetPr codeName="Sheet1">
    <tabColor rgb="FFC4003C"/>
  </sheetPr>
  <dimension ref="A1:F26"/>
  <sheetViews>
    <sheetView showGridLines="0" zoomScale="143" zoomScaleNormal="143" workbookViewId="0">
      <selection activeCell="C6" sqref="C6"/>
    </sheetView>
    <sheetView workbookViewId="1"/>
  </sheetViews>
  <sheetFormatPr defaultColWidth="9" defaultRowHeight="15"/>
  <cols>
    <col min="1" max="1" width="9" style="49"/>
    <col min="2" max="2" width="27" style="49" customWidth="1"/>
    <col min="3" max="3" width="144.28515625" style="49" customWidth="1"/>
    <col min="4" max="4" width="41" style="49" customWidth="1"/>
    <col min="5" max="16384" width="9" style="49"/>
  </cols>
  <sheetData>
    <row r="1" spans="1:6" s="50" customFormat="1" ht="21">
      <c r="A1" s="50" t="s">
        <v>19</v>
      </c>
    </row>
    <row r="2" spans="1:6">
      <c r="A2" s="64"/>
      <c r="B2" s="64"/>
      <c r="C2" s="64"/>
      <c r="D2" s="64"/>
      <c r="E2" s="64"/>
      <c r="F2" s="64"/>
    </row>
    <row r="3" spans="1:6" ht="18">
      <c r="A3" s="64"/>
      <c r="B3" s="62" t="s">
        <v>20</v>
      </c>
      <c r="C3" s="62" t="s">
        <v>21</v>
      </c>
      <c r="D3" s="65"/>
      <c r="E3" s="64"/>
      <c r="F3" s="64"/>
    </row>
    <row r="4" spans="1:6" ht="32.1">
      <c r="A4" s="64"/>
      <c r="B4" s="63" t="s">
        <v>22</v>
      </c>
      <c r="C4" s="63" t="s">
        <v>23</v>
      </c>
      <c r="D4" s="65"/>
      <c r="E4" s="64"/>
      <c r="F4" s="64"/>
    </row>
    <row r="5" spans="1:6" ht="15.95">
      <c r="A5" s="64"/>
      <c r="B5" s="63" t="s">
        <v>24</v>
      </c>
      <c r="C5" s="63" t="s">
        <v>25</v>
      </c>
      <c r="D5" s="65"/>
      <c r="E5" s="64"/>
      <c r="F5" s="64"/>
    </row>
    <row r="6" spans="1:6" ht="15.95">
      <c r="A6" s="64"/>
      <c r="B6" s="63" t="s">
        <v>26</v>
      </c>
      <c r="C6" s="63" t="s">
        <v>27</v>
      </c>
      <c r="D6" s="65"/>
      <c r="E6" s="64"/>
      <c r="F6" s="64"/>
    </row>
    <row r="7" spans="1:6" ht="40.5" customHeight="1">
      <c r="A7" s="64"/>
      <c r="B7" s="63" t="s">
        <v>28</v>
      </c>
      <c r="C7" s="63" t="s">
        <v>29</v>
      </c>
      <c r="D7" s="65"/>
      <c r="E7" s="64"/>
      <c r="F7" s="64"/>
    </row>
    <row r="8" spans="1:6" ht="15.95">
      <c r="A8" s="64"/>
      <c r="B8" s="63" t="s">
        <v>30</v>
      </c>
      <c r="C8" s="63" t="s">
        <v>31</v>
      </c>
      <c r="D8" s="65"/>
      <c r="E8" s="64"/>
      <c r="F8" s="64"/>
    </row>
    <row r="9" spans="1:6" ht="15.95">
      <c r="A9" s="64"/>
      <c r="B9" s="63" t="s">
        <v>32</v>
      </c>
      <c r="C9" s="63" t="s">
        <v>33</v>
      </c>
      <c r="D9" s="65"/>
      <c r="E9" s="64"/>
      <c r="F9" s="64"/>
    </row>
    <row r="10" spans="1:6" ht="32.1">
      <c r="A10" s="64"/>
      <c r="B10" s="63" t="s">
        <v>34</v>
      </c>
      <c r="C10" s="63" t="s">
        <v>35</v>
      </c>
      <c r="D10" s="65"/>
      <c r="E10" s="64"/>
      <c r="F10" s="64"/>
    </row>
    <row r="11" spans="1:6" ht="15.95">
      <c r="A11" s="64"/>
      <c r="B11" s="63" t="s">
        <v>36</v>
      </c>
      <c r="C11" s="63" t="s">
        <v>37</v>
      </c>
      <c r="D11" s="65"/>
      <c r="E11" s="64"/>
      <c r="F11" s="64"/>
    </row>
    <row r="12" spans="1:6" ht="15.95">
      <c r="A12" s="64"/>
      <c r="B12" s="63" t="s">
        <v>38</v>
      </c>
      <c r="C12" s="63" t="s">
        <v>39</v>
      </c>
      <c r="D12" s="65"/>
      <c r="E12" s="64"/>
      <c r="F12" s="64"/>
    </row>
    <row r="13" spans="1:6" ht="15.95">
      <c r="A13" s="64"/>
      <c r="B13" s="63" t="s">
        <v>40</v>
      </c>
      <c r="C13" s="63" t="s">
        <v>41</v>
      </c>
      <c r="D13" s="65"/>
      <c r="E13" s="64"/>
      <c r="F13" s="64"/>
    </row>
    <row r="14" spans="1:6" ht="15.95">
      <c r="A14" s="64"/>
      <c r="B14" s="63" t="s">
        <v>42</v>
      </c>
      <c r="C14" s="63" t="s">
        <v>43</v>
      </c>
      <c r="D14" s="65"/>
      <c r="E14" s="64"/>
      <c r="F14" s="64"/>
    </row>
    <row r="15" spans="1:6" ht="15.95">
      <c r="A15" s="64"/>
      <c r="B15" s="63" t="s">
        <v>44</v>
      </c>
      <c r="C15" s="63" t="s">
        <v>45</v>
      </c>
      <c r="D15" s="65"/>
      <c r="E15" s="64"/>
      <c r="F15" s="64"/>
    </row>
    <row r="16" spans="1:6" ht="32.1">
      <c r="A16" s="64"/>
      <c r="B16" s="63" t="s">
        <v>46</v>
      </c>
      <c r="C16" s="63" t="s">
        <v>47</v>
      </c>
      <c r="D16" s="65"/>
      <c r="E16" s="64"/>
      <c r="F16" s="64"/>
    </row>
    <row r="17" spans="1:6" ht="32.1">
      <c r="A17" s="64"/>
      <c r="B17" s="63" t="s">
        <v>48</v>
      </c>
      <c r="C17" s="63" t="s">
        <v>49</v>
      </c>
      <c r="D17" s="65"/>
      <c r="E17" s="64"/>
      <c r="F17" s="64"/>
    </row>
    <row r="18" spans="1:6" ht="32.1">
      <c r="A18" s="64"/>
      <c r="B18" s="63" t="s">
        <v>50</v>
      </c>
      <c r="C18" s="63" t="s">
        <v>51</v>
      </c>
      <c r="D18" s="65"/>
      <c r="E18" s="64"/>
      <c r="F18" s="64"/>
    </row>
    <row r="19" spans="1:6" ht="63.75" customHeight="1">
      <c r="A19" s="64"/>
      <c r="B19" s="63" t="s">
        <v>52</v>
      </c>
      <c r="C19" s="63" t="s">
        <v>53</v>
      </c>
      <c r="D19" s="65"/>
      <c r="E19" s="64"/>
      <c r="F19" s="64"/>
    </row>
    <row r="20" spans="1:6" ht="48">
      <c r="A20" s="64"/>
      <c r="B20" s="63" t="s">
        <v>54</v>
      </c>
      <c r="C20" s="63" t="s">
        <v>55</v>
      </c>
      <c r="D20" s="65"/>
      <c r="E20" s="64"/>
      <c r="F20" s="64"/>
    </row>
    <row r="21" spans="1:6" ht="32.1">
      <c r="A21" s="64"/>
      <c r="B21" s="63" t="s">
        <v>56</v>
      </c>
      <c r="C21" s="63" t="s">
        <v>57</v>
      </c>
      <c r="D21" s="65"/>
      <c r="E21" s="64"/>
      <c r="F21" s="64"/>
    </row>
    <row r="22" spans="1:6" ht="32.1">
      <c r="A22" s="64"/>
      <c r="B22" s="63" t="s">
        <v>58</v>
      </c>
      <c r="C22" s="63" t="s">
        <v>59</v>
      </c>
      <c r="D22" s="65"/>
      <c r="E22" s="64"/>
      <c r="F22" s="64"/>
    </row>
    <row r="23" spans="1:6" ht="15.95">
      <c r="A23" s="64"/>
      <c r="B23" s="63" t="s">
        <v>60</v>
      </c>
      <c r="C23" s="63" t="s">
        <v>61</v>
      </c>
      <c r="D23" s="65"/>
      <c r="E23" s="64"/>
      <c r="F23" s="64"/>
    </row>
    <row r="24" spans="1:6" ht="15.95">
      <c r="A24" s="64"/>
      <c r="B24" s="63" t="s">
        <v>62</v>
      </c>
      <c r="C24" s="63" t="s">
        <v>63</v>
      </c>
      <c r="D24" s="65"/>
      <c r="E24" s="64"/>
      <c r="F24" s="64"/>
    </row>
    <row r="25" spans="1:6" ht="32.1">
      <c r="A25" s="64"/>
      <c r="B25" s="63" t="s">
        <v>64</v>
      </c>
      <c r="C25" s="63" t="s">
        <v>65</v>
      </c>
      <c r="D25" s="65"/>
      <c r="E25" s="64"/>
      <c r="F25" s="64"/>
    </row>
    <row r="26" spans="1:6">
      <c r="A26" s="64"/>
      <c r="B26" s="63"/>
      <c r="C26" s="63"/>
      <c r="D26" s="65"/>
      <c r="E26" s="64"/>
      <c r="F26" s="6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8D6CB-1BA0-284D-B723-4DF558BDFC4B}">
  <sheetPr>
    <tabColor rgb="FFE27F9F"/>
  </sheetPr>
  <dimension ref="A1:DF134"/>
  <sheetViews>
    <sheetView showGridLines="0" tabSelected="1" topLeftCell="A22" zoomScale="90" zoomScaleNormal="90" workbookViewId="0">
      <selection activeCell="B42" sqref="B42"/>
    </sheetView>
    <sheetView tabSelected="1" workbookViewId="1">
      <selection activeCell="E34" sqref="E34"/>
    </sheetView>
  </sheetViews>
  <sheetFormatPr defaultColWidth="8.85546875" defaultRowHeight="15"/>
  <cols>
    <col min="1" max="1" width="2.7109375" style="80" customWidth="1"/>
    <col min="2" max="2" width="48" style="80" customWidth="1"/>
    <col min="3" max="3" width="39.28515625" style="80" customWidth="1"/>
    <col min="4" max="4" width="12.7109375" style="80" customWidth="1"/>
    <col min="5" max="5" width="11.42578125" style="80" customWidth="1"/>
    <col min="6" max="6" width="33" style="80" customWidth="1"/>
    <col min="7" max="7" width="4.28515625" style="80" customWidth="1"/>
    <col min="8" max="8" width="26.140625" style="80" customWidth="1"/>
    <col min="9" max="9" width="23.85546875" style="80" customWidth="1"/>
    <col min="10" max="10" width="22.85546875" style="80" customWidth="1"/>
    <col min="11" max="11" width="24" style="80" customWidth="1"/>
    <col min="12" max="12" width="12" style="80" customWidth="1"/>
    <col min="13" max="13" width="17.140625" style="80" customWidth="1"/>
    <col min="14" max="14" width="16.28515625" style="80" bestFit="1" customWidth="1"/>
    <col min="15" max="15" width="16.42578125" style="80" customWidth="1"/>
    <col min="16" max="17" width="15.42578125" style="80" bestFit="1" customWidth="1"/>
    <col min="18" max="18" width="21.85546875" style="80" customWidth="1"/>
    <col min="19" max="19" width="15.42578125" style="80" customWidth="1"/>
    <col min="20" max="20" width="16.28515625" style="80" customWidth="1"/>
    <col min="21" max="21" width="16.7109375" style="80" customWidth="1"/>
    <col min="22" max="22" width="17.7109375" style="80" customWidth="1"/>
    <col min="23" max="23" width="17.140625" style="80" customWidth="1"/>
    <col min="24" max="24" width="16.42578125" style="80" customWidth="1"/>
    <col min="25" max="25" width="17.140625" style="80" customWidth="1"/>
    <col min="26" max="26" width="17.7109375" style="80" customWidth="1"/>
    <col min="27" max="27" width="16.42578125" style="80" customWidth="1"/>
    <col min="28" max="28" width="17.140625" style="80" customWidth="1"/>
    <col min="29" max="29" width="16.85546875" style="80" customWidth="1"/>
    <col min="30" max="30" width="17.140625" style="80" customWidth="1"/>
    <col min="31" max="31" width="16.42578125" style="80" customWidth="1"/>
    <col min="32" max="32" width="17.140625" style="80" customWidth="1"/>
    <col min="33" max="33" width="15.42578125" style="80" bestFit="1" customWidth="1"/>
    <col min="34" max="34" width="15.85546875" style="80" bestFit="1" customWidth="1"/>
    <col min="35" max="36" width="15.42578125" style="80" bestFit="1" customWidth="1"/>
    <col min="37" max="37" width="11.85546875" style="80" customWidth="1"/>
    <col min="38" max="41" width="15.42578125" style="80" bestFit="1" customWidth="1"/>
    <col min="42" max="42" width="13" style="80" customWidth="1"/>
    <col min="43" max="71" width="11.42578125" style="80" bestFit="1" customWidth="1"/>
    <col min="72" max="73" width="9.42578125" style="80" bestFit="1" customWidth="1"/>
    <col min="74" max="112" width="9" style="80" bestFit="1" customWidth="1"/>
    <col min="113" max="16384" width="8.85546875" style="80"/>
  </cols>
  <sheetData>
    <row r="1" spans="1:74" s="73" customFormat="1" ht="20.25" customHeight="1">
      <c r="B1" s="73" t="s">
        <v>66</v>
      </c>
    </row>
    <row r="2" spans="1:74" s="76" customFormat="1" ht="20.25" customHeight="1">
      <c r="A2" s="74"/>
      <c r="B2" s="75" t="s">
        <v>67</v>
      </c>
      <c r="C2" s="75" t="s">
        <v>68</v>
      </c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  <c r="AI2" s="74"/>
      <c r="AJ2" s="74"/>
      <c r="AK2" s="74"/>
      <c r="AL2" s="74"/>
      <c r="AM2" s="74"/>
      <c r="AN2" s="74"/>
      <c r="AO2" s="74"/>
      <c r="AP2" s="74"/>
      <c r="AQ2" s="74"/>
      <c r="AR2" s="74"/>
      <c r="AS2" s="74"/>
      <c r="AT2" s="74"/>
      <c r="AU2" s="74"/>
      <c r="AV2" s="74"/>
      <c r="AW2" s="74"/>
      <c r="AX2" s="74"/>
      <c r="AY2" s="74"/>
      <c r="AZ2" s="74"/>
      <c r="BA2" s="74"/>
      <c r="BB2" s="74"/>
      <c r="BC2" s="74"/>
      <c r="BD2" s="74"/>
      <c r="BE2" s="74"/>
      <c r="BF2" s="74"/>
      <c r="BG2" s="74"/>
      <c r="BH2" s="74"/>
      <c r="BI2" s="74"/>
      <c r="BJ2" s="74"/>
      <c r="BK2" s="74"/>
      <c r="BL2" s="74"/>
      <c r="BM2" s="74"/>
      <c r="BN2" s="74"/>
      <c r="BO2" s="74"/>
      <c r="BP2" s="74"/>
      <c r="BQ2" s="74"/>
      <c r="BR2" s="74"/>
      <c r="BS2" s="74"/>
      <c r="BT2" s="74"/>
      <c r="BU2" s="74"/>
      <c r="BV2" s="74"/>
    </row>
    <row r="3" spans="1:74">
      <c r="A3" s="77"/>
      <c r="B3" s="78" t="s">
        <v>69</v>
      </c>
      <c r="C3" s="79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  <c r="AA3" s="75"/>
      <c r="AB3" s="75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75"/>
      <c r="BN3" s="75"/>
      <c r="BO3" s="75"/>
      <c r="BP3" s="75"/>
      <c r="BQ3" s="75"/>
      <c r="BR3" s="75"/>
      <c r="BS3" s="75"/>
      <c r="BT3" s="75"/>
      <c r="BU3" s="75"/>
      <c r="BV3" s="75"/>
    </row>
    <row r="4" spans="1:74">
      <c r="A4" s="77"/>
      <c r="B4" s="78" t="s">
        <v>70</v>
      </c>
      <c r="C4" s="81"/>
      <c r="D4" s="75" t="s">
        <v>71</v>
      </c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5"/>
      <c r="BF4" s="75"/>
      <c r="BG4" s="75"/>
      <c r="BH4" s="75"/>
      <c r="BI4" s="75"/>
      <c r="BJ4" s="75"/>
      <c r="BK4" s="75"/>
      <c r="BL4" s="75"/>
      <c r="BM4" s="75"/>
      <c r="BN4" s="75"/>
      <c r="BO4" s="75"/>
      <c r="BP4" s="75"/>
      <c r="BQ4" s="75"/>
      <c r="BR4" s="75"/>
      <c r="BS4" s="75"/>
      <c r="BT4" s="75"/>
      <c r="BU4" s="75"/>
      <c r="BV4" s="75"/>
    </row>
    <row r="5" spans="1:74">
      <c r="A5" s="77"/>
      <c r="B5" s="75"/>
      <c r="C5" s="79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D5" s="75"/>
      <c r="AE5" s="75"/>
      <c r="AF5" s="75"/>
      <c r="AG5" s="75"/>
      <c r="AH5" s="75"/>
      <c r="AI5" s="75"/>
      <c r="AJ5" s="75"/>
      <c r="AK5" s="75"/>
      <c r="AL5" s="75"/>
      <c r="AM5" s="75"/>
      <c r="AN5" s="75"/>
      <c r="AO5" s="75"/>
      <c r="AP5" s="75"/>
      <c r="AQ5" s="75"/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5"/>
      <c r="BF5" s="75"/>
      <c r="BG5" s="75"/>
      <c r="BH5" s="75"/>
      <c r="BI5" s="75"/>
      <c r="BJ5" s="75"/>
      <c r="BK5" s="75"/>
      <c r="BL5" s="75"/>
      <c r="BM5" s="75"/>
      <c r="BN5" s="75"/>
      <c r="BO5" s="75"/>
      <c r="BP5" s="75"/>
      <c r="BQ5" s="75"/>
      <c r="BR5" s="75"/>
      <c r="BS5" s="75"/>
      <c r="BT5" s="75"/>
      <c r="BU5" s="75"/>
      <c r="BV5" s="75"/>
    </row>
    <row r="6" spans="1:74" ht="15.95" thickBot="1">
      <c r="A6" s="77"/>
      <c r="B6" s="82" t="s">
        <v>72</v>
      </c>
      <c r="C6" s="83"/>
      <c r="D6" s="83"/>
      <c r="E6" s="82" t="s">
        <v>73</v>
      </c>
      <c r="F6" s="82"/>
      <c r="G6" s="75"/>
      <c r="H6" s="82" t="s">
        <v>74</v>
      </c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3"/>
      <c r="X6" s="83"/>
      <c r="Y6" s="75"/>
      <c r="Z6" s="75"/>
      <c r="AA6" s="75"/>
      <c r="AB6" s="75"/>
      <c r="AC6" s="75"/>
      <c r="AD6" s="75"/>
      <c r="AE6" s="75"/>
      <c r="AF6" s="75"/>
      <c r="AG6" s="75"/>
      <c r="AH6" s="75"/>
      <c r="AI6" s="75"/>
      <c r="AJ6" s="75"/>
      <c r="AK6" s="75"/>
      <c r="AL6" s="75"/>
      <c r="AM6" s="75"/>
      <c r="AN6" s="75"/>
      <c r="AO6" s="75"/>
      <c r="AP6" s="75"/>
      <c r="AQ6" s="75"/>
      <c r="AR6" s="75"/>
      <c r="AS6" s="75"/>
      <c r="AT6" s="75"/>
      <c r="AU6" s="75"/>
      <c r="AV6" s="75"/>
      <c r="AW6" s="75"/>
      <c r="AX6" s="75"/>
      <c r="AY6" s="75"/>
      <c r="AZ6" s="75"/>
      <c r="BA6" s="75"/>
      <c r="BB6" s="75"/>
      <c r="BC6" s="75"/>
      <c r="BD6" s="75"/>
      <c r="BE6" s="75"/>
      <c r="BF6" s="75"/>
      <c r="BG6" s="75"/>
      <c r="BH6" s="75"/>
      <c r="BI6" s="75"/>
      <c r="BJ6" s="75"/>
      <c r="BK6" s="75"/>
      <c r="BL6" s="75"/>
      <c r="BM6" s="75"/>
      <c r="BN6" s="75"/>
      <c r="BO6" s="75"/>
      <c r="BP6" s="75"/>
      <c r="BQ6" s="75"/>
      <c r="BR6" s="75"/>
      <c r="BS6" s="75"/>
      <c r="BT6" s="75"/>
      <c r="BU6" s="75"/>
      <c r="BV6" s="75"/>
    </row>
    <row r="7" spans="1:74">
      <c r="A7" s="75"/>
      <c r="B7" s="75" t="s">
        <v>75</v>
      </c>
      <c r="C7" s="149" t="s">
        <v>76</v>
      </c>
      <c r="D7" s="75"/>
      <c r="E7" s="75" t="str">
        <f>_xlfn.XLOOKUP(C7,Laitokset!7:7,Laitokset!11:11)</f>
        <v>Ruotsin hallituksen selvityksestä</v>
      </c>
      <c r="F7" s="75"/>
      <c r="G7" s="84"/>
      <c r="H7" s="75" t="s">
        <v>77</v>
      </c>
      <c r="I7" s="75"/>
      <c r="J7" s="75">
        <f>_xlfn.XLOOKUP(C7,Laitokset!7:7,Laitokset!3:3)</f>
        <v>2024</v>
      </c>
      <c r="K7" s="75"/>
      <c r="L7" s="75" t="str">
        <f>Laitokset!A61</f>
        <v>Kiinteä OPEX</v>
      </c>
      <c r="M7" s="75"/>
      <c r="N7" s="75"/>
      <c r="O7" s="85">
        <f>_xlfn.XLOOKUP(C$7,Laitokset!$7:$7,Laitokset!61:61)</f>
        <v>0</v>
      </c>
      <c r="P7" s="75" t="str">
        <f>Laitokset!C61</f>
        <v>EUR/MW/vuosi</v>
      </c>
      <c r="Q7" s="75"/>
      <c r="R7" s="75" t="str">
        <f>Laitokset!A27</f>
        <v>Suunnittelun aikataulu</v>
      </c>
      <c r="S7" s="75"/>
      <c r="T7" s="75">
        <v>1</v>
      </c>
      <c r="U7" s="86">
        <f>_xlfn.XLOOKUP($C$7,Laitokset!$7:$7,Laitokset!27:27)</f>
        <v>0</v>
      </c>
      <c r="V7" s="75" t="str">
        <f>Laitokset!A43</f>
        <v>Rakentamisaikataulutus</v>
      </c>
      <c r="W7" s="75">
        <v>1</v>
      </c>
      <c r="X7" s="86">
        <f>_xlfn.XLOOKUP($C$7,Laitokset!$7:$7,Laitokset!43:43)</f>
        <v>0.14285714285714285</v>
      </c>
      <c r="Y7" s="75"/>
      <c r="Z7" s="87"/>
      <c r="AA7" s="87"/>
      <c r="AB7" s="87"/>
      <c r="AC7" s="87"/>
      <c r="AD7" s="87"/>
      <c r="AE7" s="87"/>
      <c r="AF7" s="87"/>
      <c r="AG7" s="87"/>
      <c r="AH7" s="75"/>
      <c r="AI7" s="75"/>
      <c r="AJ7" s="75"/>
      <c r="AK7" s="75"/>
      <c r="AL7" s="75"/>
      <c r="AM7" s="75"/>
      <c r="AN7" s="75"/>
      <c r="AO7" s="75"/>
      <c r="AP7" s="75"/>
      <c r="AQ7" s="75"/>
      <c r="AR7" s="75"/>
      <c r="AS7" s="75"/>
      <c r="AT7" s="75"/>
      <c r="AU7" s="75"/>
      <c r="AV7" s="75"/>
      <c r="AW7" s="75"/>
      <c r="AX7" s="75"/>
      <c r="AY7" s="75"/>
      <c r="AZ7" s="75"/>
      <c r="BA7" s="75"/>
      <c r="BB7" s="75"/>
      <c r="BC7" s="75"/>
      <c r="BD7" s="75"/>
      <c r="BE7" s="75"/>
      <c r="BF7" s="75"/>
      <c r="BG7" s="75"/>
      <c r="BH7" s="75"/>
      <c r="BI7" s="75"/>
      <c r="BJ7" s="75"/>
      <c r="BK7" s="75"/>
      <c r="BL7" s="75"/>
      <c r="BM7" s="75"/>
      <c r="BN7" s="75"/>
      <c r="BO7" s="75"/>
      <c r="BP7" s="75"/>
      <c r="BQ7" s="75"/>
      <c r="BR7" s="75"/>
      <c r="BS7" s="75"/>
      <c r="BT7" s="75"/>
      <c r="BU7" s="75"/>
      <c r="BV7" s="75"/>
    </row>
    <row r="8" spans="1:74">
      <c r="A8" s="75"/>
      <c r="B8" s="75" t="s">
        <v>78</v>
      </c>
      <c r="C8" s="80" t="str">
        <f>J11</f>
        <v>Uraani</v>
      </c>
      <c r="D8" s="75"/>
      <c r="E8" s="75"/>
      <c r="F8" s="75"/>
      <c r="G8" s="75"/>
      <c r="H8" s="75" t="s">
        <v>79</v>
      </c>
      <c r="I8" s="75"/>
      <c r="J8" s="88" t="str">
        <f>_xlfn.XLOOKUP(C7,Laitokset!7:7,Laitokset!4:4)</f>
        <v>Ruotsi</v>
      </c>
      <c r="K8" s="75"/>
      <c r="L8" s="75" t="str">
        <f>Laitokset!A62</f>
        <v>Muuttuva OPEX</v>
      </c>
      <c r="M8" s="75"/>
      <c r="N8" s="75"/>
      <c r="O8" s="85">
        <f>_xlfn.XLOOKUP(C$7,Laitokset!$7:$7,Laitokset!62:62)</f>
        <v>16.52</v>
      </c>
      <c r="P8" s="75" t="str">
        <f>Laitokset!C62</f>
        <v>EUR/MWh</v>
      </c>
      <c r="Q8" s="75" t="str">
        <f>IF(J12="Kyllä","Sis. pa-kustannukset!","")</f>
        <v>Sis. pa-kustannukset!</v>
      </c>
      <c r="R8" s="75" t="str">
        <f>Laitokset!A28</f>
        <v>(% käytetty vuodessa)</v>
      </c>
      <c r="S8" s="75"/>
      <c r="T8" s="75">
        <v>2</v>
      </c>
      <c r="U8" s="86">
        <f>_xlfn.XLOOKUP($C$7,Laitokset!$7:$7,Laitokset!28:28)</f>
        <v>0</v>
      </c>
      <c r="V8" s="75" t="str">
        <f>Laitokset!A44</f>
        <v>(% käytetty vuodessa)</v>
      </c>
      <c r="W8" s="75">
        <v>2</v>
      </c>
      <c r="X8" s="86">
        <f>_xlfn.XLOOKUP($C$7,Laitokset!$7:$7,Laitokset!44:44)</f>
        <v>0.14285714285714285</v>
      </c>
      <c r="Y8" s="75"/>
      <c r="Z8" s="75"/>
      <c r="AA8" s="75"/>
      <c r="AB8" s="75"/>
      <c r="AC8" s="75"/>
      <c r="AD8" s="75"/>
      <c r="AE8" s="75"/>
      <c r="AF8" s="75"/>
      <c r="AG8" s="75"/>
      <c r="AH8" s="75"/>
      <c r="AI8" s="75"/>
      <c r="AJ8" s="75"/>
      <c r="AK8" s="75"/>
      <c r="AL8" s="75"/>
      <c r="AM8" s="75"/>
      <c r="AN8" s="75"/>
      <c r="AO8" s="75"/>
      <c r="AP8" s="75"/>
      <c r="AQ8" s="75"/>
      <c r="AR8" s="75"/>
      <c r="AS8" s="75"/>
      <c r="AT8" s="75"/>
      <c r="AU8" s="75"/>
      <c r="AV8" s="75"/>
      <c r="AW8" s="75"/>
      <c r="AX8" s="75"/>
      <c r="AY8" s="75"/>
      <c r="AZ8" s="75"/>
      <c r="BA8" s="75"/>
      <c r="BB8" s="75"/>
      <c r="BC8" s="75"/>
      <c r="BD8" s="75"/>
      <c r="BE8" s="75"/>
      <c r="BF8" s="75"/>
      <c r="BG8" s="75"/>
      <c r="BH8" s="75"/>
      <c r="BI8" s="75"/>
      <c r="BJ8" s="75"/>
      <c r="BK8" s="75"/>
      <c r="BL8" s="75"/>
      <c r="BM8" s="75"/>
      <c r="BN8" s="75"/>
      <c r="BO8" s="75"/>
      <c r="BP8" s="75"/>
      <c r="BQ8" s="75"/>
      <c r="BR8" s="75"/>
      <c r="BS8" s="75"/>
      <c r="BT8" s="75"/>
      <c r="BU8" s="75"/>
      <c r="BV8" s="75"/>
    </row>
    <row r="9" spans="1:74">
      <c r="A9" s="75"/>
      <c r="B9" s="75" t="str">
        <f>H22</f>
        <v>Suunnittelukustannukset</v>
      </c>
      <c r="C9" s="150" t="s">
        <v>80</v>
      </c>
      <c r="D9" s="75"/>
      <c r="E9" s="75"/>
      <c r="F9" s="75"/>
      <c r="G9" s="75"/>
      <c r="H9" s="75" t="s">
        <v>81</v>
      </c>
      <c r="I9" s="75"/>
      <c r="J9" s="88" t="str">
        <f>_xlfn.XLOOKUP(C7,Laitokset!7:7,Laitokset!12:12)</f>
        <v>2022 real EUR</v>
      </c>
      <c r="K9" s="75"/>
      <c r="L9" s="75" t="str">
        <f>Laitokset!A63</f>
        <v>Vakuutus</v>
      </c>
      <c r="M9" s="75"/>
      <c r="N9" s="75"/>
      <c r="O9" s="85">
        <f>_xlfn.XLOOKUP(C$7,Laitokset!$7:$7,Laitokset!63:63)</f>
        <v>0</v>
      </c>
      <c r="P9" s="75" t="str">
        <f>Laitokset!C63</f>
        <v>EUR/MW/vuosi</v>
      </c>
      <c r="Q9" s="75"/>
      <c r="R9" s="75"/>
      <c r="S9" s="75"/>
      <c r="T9" s="75">
        <v>3</v>
      </c>
      <c r="U9" s="86">
        <f>_xlfn.XLOOKUP($C$7,Laitokset!$7:$7,Laitokset!29:29)</f>
        <v>0</v>
      </c>
      <c r="V9" s="75"/>
      <c r="W9" s="75">
        <v>3</v>
      </c>
      <c r="X9" s="86">
        <f>_xlfn.XLOOKUP($C$7,Laitokset!$7:$7,Laitokset!45:45)</f>
        <v>0.14285714285714285</v>
      </c>
      <c r="Y9" s="75"/>
      <c r="Z9" s="75"/>
      <c r="AA9" s="75"/>
      <c r="AB9" s="75"/>
      <c r="AC9" s="75"/>
      <c r="AD9" s="75"/>
      <c r="AE9" s="75"/>
      <c r="AF9" s="75"/>
      <c r="AG9" s="75"/>
      <c r="AH9" s="75"/>
      <c r="AI9" s="75"/>
      <c r="AJ9" s="75"/>
      <c r="AK9" s="75"/>
      <c r="AL9" s="75"/>
      <c r="AM9" s="75"/>
      <c r="AN9" s="75"/>
      <c r="AO9" s="75"/>
      <c r="AP9" s="75"/>
      <c r="AQ9" s="75"/>
      <c r="AR9" s="75"/>
      <c r="AS9" s="75"/>
      <c r="AT9" s="75"/>
      <c r="AU9" s="75"/>
      <c r="AV9" s="75"/>
      <c r="AW9" s="75"/>
      <c r="AX9" s="75"/>
      <c r="AY9" s="75"/>
      <c r="AZ9" s="75"/>
      <c r="BA9" s="75"/>
      <c r="BB9" s="75"/>
      <c r="BC9" s="75"/>
      <c r="BD9" s="75"/>
      <c r="BE9" s="75"/>
      <c r="BF9" s="75"/>
      <c r="BG9" s="75"/>
      <c r="BH9" s="75"/>
      <c r="BI9" s="75"/>
      <c r="BJ9" s="75"/>
      <c r="BK9" s="75"/>
      <c r="BL9" s="75"/>
      <c r="BM9" s="75"/>
      <c r="BN9" s="75"/>
      <c r="BO9" s="75"/>
      <c r="BP9" s="75"/>
      <c r="BQ9" s="75"/>
      <c r="BR9" s="75"/>
      <c r="BS9" s="75"/>
      <c r="BT9" s="75"/>
      <c r="BU9" s="75"/>
      <c r="BV9" s="75"/>
    </row>
    <row r="10" spans="1:74">
      <c r="A10" s="75"/>
      <c r="B10" s="75" t="str">
        <f>H25</f>
        <v>Suunnittelun kesto</v>
      </c>
      <c r="C10" s="150" t="s">
        <v>80</v>
      </c>
      <c r="D10" s="75"/>
      <c r="E10" s="75"/>
      <c r="F10" s="75"/>
      <c r="G10" s="75"/>
      <c r="H10" s="75" t="str">
        <f>Laitokset!A5</f>
        <v>Tekniikka</v>
      </c>
      <c r="I10" s="75"/>
      <c r="J10" s="88" t="str">
        <f>_xlfn.XLOOKUP(C7,Laitokset!7:7,Laitokset!5:5)</f>
        <v>Ydinreaktori, 1 250 MW</v>
      </c>
      <c r="K10" s="75"/>
      <c r="L10" s="75" t="str">
        <f>Laitokset!A64</f>
        <v>Liittymis- ja muut kustannukset</v>
      </c>
      <c r="M10" s="75"/>
      <c r="N10" s="75"/>
      <c r="O10" s="85">
        <f>_xlfn.XLOOKUP(C$7,Laitokset!$7:$7,Laitokset!64:64)</f>
        <v>0</v>
      </c>
      <c r="P10" s="75" t="str">
        <f>Laitokset!C64</f>
        <v>EUR/MW/vuosi</v>
      </c>
      <c r="Q10" s="75"/>
      <c r="R10" s="75"/>
      <c r="S10" s="75"/>
      <c r="T10" s="75">
        <v>4</v>
      </c>
      <c r="U10" s="86">
        <f>_xlfn.XLOOKUP($C$7,Laitokset!$7:$7,Laitokset!30:30)</f>
        <v>0</v>
      </c>
      <c r="V10" s="75"/>
      <c r="W10" s="75">
        <v>4</v>
      </c>
      <c r="X10" s="86">
        <f>_xlfn.XLOOKUP($C$7,Laitokset!$7:$7,Laitokset!46:46)</f>
        <v>0.14285714285714285</v>
      </c>
      <c r="Y10" s="75"/>
      <c r="Z10" s="75"/>
      <c r="AA10" s="75"/>
      <c r="AB10" s="75"/>
      <c r="AC10" s="75"/>
      <c r="AD10" s="75"/>
      <c r="AE10" s="75"/>
      <c r="AF10" s="75"/>
      <c r="AG10" s="75"/>
      <c r="AH10" s="75"/>
      <c r="AI10" s="75"/>
      <c r="AJ10" s="75"/>
      <c r="AK10" s="75"/>
      <c r="AL10" s="75"/>
      <c r="AM10" s="75"/>
      <c r="AN10" s="75"/>
      <c r="AO10" s="75"/>
      <c r="AP10" s="75"/>
      <c r="AQ10" s="75"/>
      <c r="AR10" s="75"/>
      <c r="AS10" s="75"/>
      <c r="AT10" s="75"/>
      <c r="AU10" s="75"/>
      <c r="AV10" s="75"/>
      <c r="AW10" s="75"/>
      <c r="AX10" s="75"/>
      <c r="AY10" s="75"/>
      <c r="AZ10" s="75"/>
      <c r="BA10" s="75"/>
      <c r="BB10" s="75"/>
      <c r="BC10" s="75"/>
      <c r="BD10" s="75"/>
      <c r="BE10" s="75"/>
      <c r="BF10" s="75"/>
      <c r="BG10" s="75"/>
      <c r="BH10" s="75"/>
      <c r="BI10" s="75"/>
      <c r="BJ10" s="75"/>
      <c r="BK10" s="75"/>
      <c r="BL10" s="75"/>
      <c r="BM10" s="75"/>
      <c r="BN10" s="75"/>
      <c r="BO10" s="75"/>
      <c r="BP10" s="75"/>
      <c r="BQ10" s="75"/>
      <c r="BR10" s="75"/>
      <c r="BS10" s="75"/>
      <c r="BT10" s="75"/>
      <c r="BU10" s="75"/>
      <c r="BV10" s="75"/>
    </row>
    <row r="11" spans="1:74">
      <c r="A11" s="75"/>
      <c r="B11" s="75" t="str">
        <f>H28</f>
        <v>Rakentamiskustannukset</v>
      </c>
      <c r="C11" s="150" t="s">
        <v>80</v>
      </c>
      <c r="D11" s="75"/>
      <c r="E11" s="75"/>
      <c r="F11" s="75"/>
      <c r="G11" s="75"/>
      <c r="H11" s="75" t="s">
        <v>78</v>
      </c>
      <c r="I11" s="75"/>
      <c r="J11" s="88" t="str">
        <f>_xlfn.XLOOKUP(C7,Laitokset!7:7,Laitokset!9:9)</f>
        <v>Uraani</v>
      </c>
      <c r="K11" s="75"/>
      <c r="L11" s="75" t="str">
        <f>Laitokset!A65</f>
        <v>Lämmönmyyntisopimuksen kesto</v>
      </c>
      <c r="M11" s="75"/>
      <c r="N11" s="75"/>
      <c r="O11" s="89">
        <f>_xlfn.XLOOKUP(C$7,Laitokset!$7:$7,Laitokset!65:65)</f>
        <v>0</v>
      </c>
      <c r="P11" s="75" t="str">
        <f>Laitokset!C65</f>
        <v>vuotta</v>
      </c>
      <c r="Q11" s="75"/>
      <c r="R11" s="75"/>
      <c r="S11" s="75"/>
      <c r="T11" s="75">
        <v>5</v>
      </c>
      <c r="U11" s="86">
        <f>_xlfn.XLOOKUP($C$7,Laitokset!$7:$7,Laitokset!31:31)</f>
        <v>0</v>
      </c>
      <c r="V11" s="75"/>
      <c r="W11" s="75">
        <v>5</v>
      </c>
      <c r="X11" s="86">
        <f>_xlfn.XLOOKUP($C$7,Laitokset!$7:$7,Laitokset!47:47)</f>
        <v>0.14285714285714285</v>
      </c>
      <c r="Y11" s="75"/>
      <c r="Z11" s="75"/>
      <c r="AA11" s="75"/>
      <c r="AB11" s="75"/>
      <c r="AC11" s="75"/>
      <c r="AD11" s="75"/>
      <c r="AE11" s="75"/>
      <c r="AF11" s="75"/>
      <c r="AG11" s="75"/>
      <c r="AH11" s="75"/>
      <c r="AI11" s="75"/>
      <c r="AJ11" s="75"/>
      <c r="AK11" s="75"/>
      <c r="AL11" s="75"/>
      <c r="AM11" s="75"/>
      <c r="AN11" s="75"/>
      <c r="AO11" s="75"/>
      <c r="AP11" s="75"/>
      <c r="AQ11" s="75"/>
      <c r="AR11" s="75"/>
      <c r="AS11" s="75"/>
      <c r="AT11" s="75"/>
      <c r="AU11" s="75"/>
      <c r="AV11" s="75"/>
      <c r="AW11" s="75"/>
      <c r="AX11" s="75"/>
      <c r="AY11" s="75"/>
      <c r="AZ11" s="75"/>
      <c r="BA11" s="75"/>
      <c r="BB11" s="75"/>
      <c r="BC11" s="75"/>
      <c r="BD11" s="75"/>
      <c r="BE11" s="75"/>
      <c r="BF11" s="75"/>
      <c r="BG11" s="75"/>
      <c r="BH11" s="75"/>
      <c r="BI11" s="75"/>
      <c r="BJ11" s="75"/>
      <c r="BK11" s="75"/>
      <c r="BL11" s="75"/>
      <c r="BM11" s="75"/>
      <c r="BN11" s="75"/>
      <c r="BO11" s="75"/>
      <c r="BP11" s="75"/>
      <c r="BQ11" s="75"/>
      <c r="BR11" s="75"/>
      <c r="BS11" s="75"/>
      <c r="BT11" s="75"/>
      <c r="BU11" s="75"/>
      <c r="BV11" s="75"/>
    </row>
    <row r="12" spans="1:74">
      <c r="A12" s="75"/>
      <c r="B12" s="87" t="str">
        <f>H31</f>
        <v>Rakentamisaikataulu</v>
      </c>
      <c r="C12" s="150" t="s">
        <v>82</v>
      </c>
      <c r="D12" s="75"/>
      <c r="E12" s="75"/>
      <c r="F12" s="75"/>
      <c r="G12" s="75"/>
      <c r="H12" s="75" t="s">
        <v>83</v>
      </c>
      <c r="I12" s="75"/>
      <c r="J12" s="88" t="str">
        <f>_xlfn.XLOOKUP(C7,Laitokset!7:7,Laitokset!10:10,"")</f>
        <v>Kyllä</v>
      </c>
      <c r="K12" s="75"/>
      <c r="L12" s="75" t="str">
        <f>Laitokset!A66</f>
        <v>Pääoman kustannus (WACC)</v>
      </c>
      <c r="M12" s="75"/>
      <c r="N12" s="75"/>
      <c r="O12" s="75">
        <f>_xlfn.XLOOKUP(C$7,Laitokset!$7:$7,Laitokset!66:66)*100</f>
        <v>4</v>
      </c>
      <c r="P12" s="75" t="str">
        <f>Laitokset!C66</f>
        <v>%</v>
      </c>
      <c r="Q12" s="75"/>
      <c r="R12" s="75"/>
      <c r="S12" s="75"/>
      <c r="T12" s="75">
        <v>6</v>
      </c>
      <c r="U12" s="86">
        <f>_xlfn.XLOOKUP($C$7,Laitokset!$7:$7,Laitokset!32:32)</f>
        <v>0</v>
      </c>
      <c r="V12" s="75"/>
      <c r="W12" s="75">
        <v>6</v>
      </c>
      <c r="X12" s="86">
        <f>_xlfn.XLOOKUP($C$7,Laitokset!$7:$7,Laitokset!48:48)</f>
        <v>0.14285714285714285</v>
      </c>
      <c r="Y12" s="75"/>
      <c r="Z12" s="75"/>
      <c r="AA12" s="75"/>
      <c r="AB12" s="75"/>
      <c r="AC12" s="75"/>
      <c r="AD12" s="75"/>
      <c r="AE12" s="75"/>
      <c r="AF12" s="75"/>
      <c r="AG12" s="75"/>
      <c r="AH12" s="75"/>
      <c r="AI12" s="75"/>
      <c r="AJ12" s="75"/>
      <c r="AK12" s="75"/>
      <c r="AL12" s="75"/>
      <c r="AM12" s="75"/>
      <c r="AN12" s="75"/>
      <c r="AO12" s="75"/>
      <c r="AP12" s="75"/>
      <c r="AQ12" s="75"/>
      <c r="AR12" s="75"/>
      <c r="AS12" s="75"/>
      <c r="AT12" s="75"/>
      <c r="AU12" s="75"/>
      <c r="AV12" s="75"/>
      <c r="AW12" s="75"/>
      <c r="AX12" s="75"/>
      <c r="AY12" s="75"/>
      <c r="AZ12" s="75"/>
      <c r="BA12" s="75"/>
      <c r="BB12" s="75"/>
      <c r="BC12" s="75"/>
      <c r="BD12" s="75"/>
      <c r="BE12" s="75"/>
      <c r="BF12" s="75"/>
      <c r="BG12" s="75"/>
      <c r="BH12" s="75"/>
      <c r="BI12" s="75"/>
      <c r="BJ12" s="75"/>
      <c r="BK12" s="75"/>
      <c r="BL12" s="75"/>
      <c r="BM12" s="75"/>
      <c r="BN12" s="75"/>
      <c r="BO12" s="75"/>
      <c r="BP12" s="75"/>
      <c r="BQ12" s="75"/>
      <c r="BR12" s="75"/>
      <c r="BS12" s="75"/>
      <c r="BT12" s="75"/>
      <c r="BU12" s="75"/>
      <c r="BV12" s="75"/>
    </row>
    <row r="13" spans="1:74">
      <c r="A13" s="75"/>
      <c r="B13" s="87" t="str">
        <f>H34</f>
        <v>Infrastruktuurin hinta</v>
      </c>
      <c r="C13" s="150" t="s">
        <v>80</v>
      </c>
      <c r="D13" s="75"/>
      <c r="E13" s="75"/>
      <c r="F13" s="75"/>
      <c r="G13" s="75"/>
      <c r="H13" s="75" t="s">
        <v>38</v>
      </c>
      <c r="I13" s="75"/>
      <c r="J13" s="75">
        <f>_xlfn.XLOOKUP(C7,Laitokset!7:7,Laitokset!6:6)</f>
        <v>2035</v>
      </c>
      <c r="K13" s="75"/>
      <c r="L13" s="75" t="str">
        <f>Laitokset!A67</f>
        <v>Jätemaksu</v>
      </c>
      <c r="M13" s="75"/>
      <c r="N13" s="75"/>
      <c r="O13" s="75">
        <f>_xlfn.XLOOKUP(C$7,Laitokset!$7:$7,Laitokset!67:67)*100</f>
        <v>0</v>
      </c>
      <c r="P13" s="75" t="str">
        <f>Laitokset!C67</f>
        <v>EUR/MWh</v>
      </c>
      <c r="Q13" s="75"/>
      <c r="R13" s="75"/>
      <c r="S13" s="75"/>
      <c r="T13" s="75">
        <v>7</v>
      </c>
      <c r="U13" s="86">
        <f>_xlfn.XLOOKUP($C$7,Laitokset!$7:$7,Laitokset!33:33)</f>
        <v>0</v>
      </c>
      <c r="V13" s="75"/>
      <c r="W13" s="75">
        <v>7</v>
      </c>
      <c r="X13" s="86">
        <f>_xlfn.XLOOKUP($C$7,Laitokset!$7:$7,Laitokset!49:49)</f>
        <v>0.14285714285714285</v>
      </c>
      <c r="Y13" s="75"/>
      <c r="Z13" s="75"/>
      <c r="AA13" s="75"/>
      <c r="AB13" s="75"/>
      <c r="AC13" s="75"/>
      <c r="AD13" s="75"/>
      <c r="AE13" s="75"/>
      <c r="AF13" s="75"/>
      <c r="AG13" s="75"/>
      <c r="AH13" s="75"/>
      <c r="AI13" s="75"/>
      <c r="AJ13" s="75"/>
      <c r="AK13" s="75"/>
      <c r="AL13" s="75"/>
      <c r="AM13" s="75"/>
      <c r="AN13" s="75"/>
      <c r="AO13" s="75"/>
      <c r="AP13" s="75"/>
      <c r="AQ13" s="75"/>
      <c r="AR13" s="75"/>
      <c r="AS13" s="75"/>
      <c r="AT13" s="75"/>
      <c r="AU13" s="75"/>
      <c r="AV13" s="75"/>
      <c r="AW13" s="75"/>
      <c r="AX13" s="75"/>
      <c r="AY13" s="75"/>
      <c r="AZ13" s="75"/>
      <c r="BA13" s="75"/>
      <c r="BB13" s="75"/>
      <c r="BC13" s="75"/>
      <c r="BD13" s="75"/>
      <c r="BE13" s="75"/>
      <c r="BF13" s="75"/>
      <c r="BG13" s="75"/>
      <c r="BH13" s="75"/>
      <c r="BI13" s="75"/>
      <c r="BJ13" s="75"/>
      <c r="BK13" s="75"/>
      <c r="BL13" s="75"/>
      <c r="BM13" s="75"/>
      <c r="BN13" s="75"/>
      <c r="BO13" s="75"/>
      <c r="BP13" s="75"/>
      <c r="BQ13" s="75"/>
      <c r="BR13" s="75"/>
      <c r="BS13" s="75"/>
      <c r="BT13" s="75"/>
      <c r="BU13" s="75"/>
      <c r="BV13" s="75"/>
    </row>
    <row r="14" spans="1:74">
      <c r="A14" s="75"/>
      <c r="B14" s="75" t="str">
        <f>L16</f>
        <v>Purkukustannukset</v>
      </c>
      <c r="C14" s="150" t="s">
        <v>80</v>
      </c>
      <c r="D14" s="75"/>
      <c r="E14" s="75"/>
      <c r="F14" s="75"/>
      <c r="G14" s="75"/>
      <c r="H14" s="75" t="str">
        <f>Laitokset!A13</f>
        <v>Sähköntuotannon nimellisteho</v>
      </c>
      <c r="I14" s="75"/>
      <c r="J14" s="75">
        <f>_xlfn.XLOOKUP(C7,Laitokset!7:7,Laitokset!13:13)</f>
        <v>1250</v>
      </c>
      <c r="K14" s="75" t="str">
        <f>Laitokset!C13</f>
        <v>MWe</v>
      </c>
      <c r="L14" s="75" t="str">
        <f>Laitokset!A68</f>
        <v>Hiilen talteenotto</v>
      </c>
      <c r="M14" s="75"/>
      <c r="N14" s="75"/>
      <c r="O14" s="75">
        <f>_xlfn.XLOOKUP(C$7,Laitokset!$7:$7,Laitokset!68:68)*100</f>
        <v>0</v>
      </c>
      <c r="P14" s="75" t="str">
        <f>Laitokset!C68</f>
        <v>%</v>
      </c>
      <c r="Q14" s="75"/>
      <c r="R14" s="75"/>
      <c r="S14" s="75"/>
      <c r="T14" s="75">
        <v>8</v>
      </c>
      <c r="U14" s="86">
        <f>_xlfn.XLOOKUP($C$7,Laitokset!$7:$7,Laitokset!34:34)</f>
        <v>0</v>
      </c>
      <c r="V14" s="75"/>
      <c r="W14" s="75">
        <v>8</v>
      </c>
      <c r="X14" s="86">
        <f>_xlfn.XLOOKUP($C$7,Laitokset!$7:$7,Laitokset!50:50)</f>
        <v>0</v>
      </c>
      <c r="Y14" s="75"/>
      <c r="Z14" s="75"/>
      <c r="AA14" s="75"/>
      <c r="AB14" s="75"/>
      <c r="AC14" s="75"/>
      <c r="AD14" s="75"/>
      <c r="AE14" s="75"/>
      <c r="AF14" s="75"/>
      <c r="AG14" s="75"/>
      <c r="AH14" s="75"/>
      <c r="AI14" s="75"/>
      <c r="AJ14" s="75"/>
      <c r="AK14" s="75"/>
      <c r="AL14" s="75"/>
      <c r="AM14" s="75"/>
      <c r="AN14" s="75"/>
      <c r="AO14" s="75"/>
      <c r="AP14" s="75"/>
      <c r="AQ14" s="75"/>
      <c r="AR14" s="75"/>
      <c r="AS14" s="75"/>
      <c r="AT14" s="75"/>
      <c r="AU14" s="75"/>
      <c r="AV14" s="75"/>
      <c r="AW14" s="75"/>
      <c r="AX14" s="75"/>
      <c r="AY14" s="75"/>
      <c r="AZ14" s="75"/>
      <c r="BA14" s="75"/>
      <c r="BB14" s="75"/>
      <c r="BC14" s="75"/>
      <c r="BD14" s="75"/>
      <c r="BE14" s="75"/>
      <c r="BF14" s="75"/>
      <c r="BG14" s="75"/>
      <c r="BH14" s="75"/>
      <c r="BI14" s="75"/>
      <c r="BJ14" s="75"/>
      <c r="BK14" s="75"/>
      <c r="BL14" s="75"/>
      <c r="BM14" s="75"/>
      <c r="BN14" s="75"/>
      <c r="BO14" s="75"/>
      <c r="BP14" s="75"/>
      <c r="BQ14" s="75"/>
      <c r="BR14" s="75"/>
      <c r="BS14" s="75"/>
      <c r="BT14" s="75"/>
      <c r="BU14" s="75"/>
      <c r="BV14" s="75"/>
    </row>
    <row r="15" spans="1:74">
      <c r="A15" s="75"/>
      <c r="B15" s="75" t="s">
        <v>30</v>
      </c>
      <c r="C15" s="150" t="s">
        <v>80</v>
      </c>
      <c r="D15" s="75"/>
      <c r="E15" s="75"/>
      <c r="F15" s="75"/>
      <c r="G15" s="75"/>
      <c r="H15" s="75" t="str">
        <f>Laitokset!A14</f>
        <v>Sähköntuotannon kapasiteettikerroin</v>
      </c>
      <c r="I15" s="75"/>
      <c r="J15" s="75">
        <f>_xlfn.XLOOKUP(C7,Laitokset!7:7,Laitokset!14:14)*100</f>
        <v>89</v>
      </c>
      <c r="K15" s="75" t="str">
        <f>Laitokset!C14</f>
        <v>%</v>
      </c>
      <c r="L15" s="75" t="str">
        <f>Laitokset!A69</f>
        <v>Talteenoton hinta</v>
      </c>
      <c r="M15" s="75"/>
      <c r="N15" s="75"/>
      <c r="O15" s="85">
        <f>_xlfn.XLOOKUP(C$7,Laitokset!$7:$7,Laitokset!69:69)</f>
        <v>0</v>
      </c>
      <c r="P15" s="75" t="str">
        <f>Laitokset!C69</f>
        <v>EUR/tCO2</v>
      </c>
      <c r="Q15" s="75"/>
      <c r="R15" s="75"/>
      <c r="S15" s="75"/>
      <c r="T15" s="75">
        <v>9</v>
      </c>
      <c r="U15" s="86">
        <f>_xlfn.XLOOKUP($C$7,Laitokset!$7:$7,Laitokset!35:35)</f>
        <v>0</v>
      </c>
      <c r="V15" s="75"/>
      <c r="W15" s="75">
        <v>9</v>
      </c>
      <c r="X15" s="86">
        <f>_xlfn.XLOOKUP($C$7,Laitokset!$7:$7,Laitokset!51:51)</f>
        <v>0</v>
      </c>
      <c r="Y15" s="75"/>
      <c r="Z15" s="75"/>
      <c r="AA15" s="75"/>
      <c r="AB15" s="75"/>
      <c r="AC15" s="75"/>
      <c r="AD15" s="75"/>
      <c r="AE15" s="75"/>
      <c r="AF15" s="75"/>
      <c r="AG15" s="75"/>
      <c r="AH15" s="75"/>
      <c r="AI15" s="75"/>
      <c r="AJ15" s="75"/>
      <c r="AK15" s="75"/>
      <c r="AL15" s="75"/>
      <c r="AM15" s="75"/>
      <c r="AN15" s="75"/>
      <c r="AO15" s="75"/>
      <c r="AP15" s="75"/>
      <c r="AQ15" s="75"/>
      <c r="AR15" s="75"/>
      <c r="AS15" s="75"/>
      <c r="AT15" s="75"/>
      <c r="AU15" s="75"/>
      <c r="AV15" s="75"/>
      <c r="AW15" s="75"/>
      <c r="AX15" s="75"/>
      <c r="AY15" s="75"/>
      <c r="AZ15" s="75"/>
      <c r="BA15" s="75"/>
      <c r="BB15" s="75"/>
      <c r="BC15" s="75"/>
      <c r="BD15" s="75"/>
      <c r="BE15" s="75"/>
      <c r="BF15" s="75"/>
      <c r="BG15" s="75"/>
      <c r="BH15" s="75"/>
      <c r="BI15" s="75"/>
      <c r="BJ15" s="75"/>
      <c r="BK15" s="75"/>
      <c r="BL15" s="75"/>
      <c r="BM15" s="75"/>
      <c r="BN15" s="75"/>
      <c r="BO15" s="75"/>
      <c r="BP15" s="75"/>
      <c r="BQ15" s="75"/>
      <c r="BR15" s="75"/>
      <c r="BS15" s="75"/>
      <c r="BT15" s="75"/>
      <c r="BU15" s="75"/>
      <c r="BV15" s="75"/>
    </row>
    <row r="16" spans="1:74">
      <c r="A16" s="75"/>
      <c r="B16" s="75" t="s">
        <v>32</v>
      </c>
      <c r="C16" s="150" t="s">
        <v>84</v>
      </c>
      <c r="D16" s="75"/>
      <c r="E16" s="75"/>
      <c r="F16" s="75"/>
      <c r="G16" s="75"/>
      <c r="H16" s="75" t="str">
        <f>Laitokset!A15</f>
        <v>Sähköntuotannon hyötysuhde</v>
      </c>
      <c r="I16" s="75"/>
      <c r="J16" s="75">
        <f>_xlfn.XLOOKUP(C7,Laitokset!7:7,Laitokset!15:15)*100</f>
        <v>37</v>
      </c>
      <c r="K16" s="75" t="str">
        <f>Laitokset!C15</f>
        <v>%</v>
      </c>
      <c r="L16" s="75" t="str">
        <f>Laitokset!A70</f>
        <v>Purkukustannukset</v>
      </c>
      <c r="M16" s="75"/>
      <c r="N16" s="90" t="str">
        <f>Laitokset!B70</f>
        <v>Matala</v>
      </c>
      <c r="O16" s="90">
        <f>_xlfn.XLOOKUP(C$7,Laitokset!$7:$7,Laitokset!70:70)*100</f>
        <v>0</v>
      </c>
      <c r="P16" s="75" t="str">
        <f>Laitokset!C70</f>
        <v>%</v>
      </c>
      <c r="Q16" s="75"/>
      <c r="R16" s="75"/>
      <c r="S16" s="75"/>
      <c r="T16" s="75">
        <v>10</v>
      </c>
      <c r="U16" s="86">
        <f>_xlfn.XLOOKUP($C$7,Laitokset!$7:$7,Laitokset!36:36)</f>
        <v>0</v>
      </c>
      <c r="V16" s="75"/>
      <c r="W16" s="91">
        <v>10</v>
      </c>
      <c r="X16" s="86">
        <f>_xlfn.XLOOKUP($C$7,Laitokset!$7:$7,Laitokset!52:52)</f>
        <v>0</v>
      </c>
      <c r="Y16" s="75"/>
      <c r="Z16" s="75"/>
      <c r="AA16" s="75"/>
      <c r="AB16" s="75"/>
      <c r="AC16" s="75"/>
      <c r="AD16" s="75"/>
      <c r="AE16" s="75"/>
      <c r="AF16" s="75"/>
      <c r="AG16" s="75"/>
      <c r="AH16" s="75"/>
      <c r="AI16" s="75"/>
      <c r="AJ16" s="75"/>
      <c r="AK16" s="75"/>
      <c r="AL16" s="75"/>
      <c r="AM16" s="75"/>
      <c r="AN16" s="75"/>
      <c r="AO16" s="75"/>
      <c r="AP16" s="75"/>
      <c r="AQ16" s="75"/>
      <c r="AR16" s="75"/>
      <c r="AS16" s="75"/>
      <c r="AT16" s="75"/>
      <c r="AU16" s="75"/>
      <c r="AV16" s="75"/>
      <c r="AW16" s="75"/>
      <c r="AX16" s="75"/>
      <c r="AY16" s="75"/>
      <c r="AZ16" s="75"/>
      <c r="BA16" s="75"/>
      <c r="BB16" s="75"/>
      <c r="BC16" s="75"/>
      <c r="BD16" s="75"/>
      <c r="BE16" s="75"/>
      <c r="BF16" s="75"/>
      <c r="BG16" s="75"/>
      <c r="BH16" s="75"/>
      <c r="BI16" s="75"/>
      <c r="BJ16" s="75"/>
      <c r="BK16" s="75"/>
      <c r="BL16" s="75"/>
      <c r="BM16" s="75"/>
      <c r="BN16" s="75"/>
      <c r="BO16" s="75"/>
      <c r="BP16" s="75"/>
      <c r="BQ16" s="75"/>
      <c r="BR16" s="75"/>
      <c r="BS16" s="75"/>
      <c r="BT16" s="75"/>
      <c r="BU16" s="75"/>
      <c r="BV16" s="75"/>
    </row>
    <row r="17" spans="1:74">
      <c r="A17" s="75"/>
      <c r="B17" s="75" t="s">
        <v>34</v>
      </c>
      <c r="C17" s="150" t="s">
        <v>85</v>
      </c>
      <c r="D17" s="75"/>
      <c r="E17" s="75"/>
      <c r="F17" s="75"/>
      <c r="G17" s="75"/>
      <c r="H17" s="75" t="str">
        <f>Laitokset!A16</f>
        <v>Nimellistehon muutos</v>
      </c>
      <c r="I17" s="75"/>
      <c r="J17" s="75">
        <f>_xlfn.XLOOKUP(C7,Laitokset!7:7,Laitokset!16:16)*100</f>
        <v>0</v>
      </c>
      <c r="K17" s="75" t="str">
        <f>Laitokset!C16</f>
        <v>%/vvuosi</v>
      </c>
      <c r="L17" s="91"/>
      <c r="M17" s="91"/>
      <c r="N17" s="90" t="str">
        <f>Laitokset!B71</f>
        <v>Keski</v>
      </c>
      <c r="O17" s="90">
        <f>_xlfn.XLOOKUP(C$7,Laitokset!$7:$7,Laitokset!71:71)*100</f>
        <v>0</v>
      </c>
      <c r="P17" s="75" t="str">
        <f>Laitokset!C71</f>
        <v>%</v>
      </c>
      <c r="Q17" s="75"/>
      <c r="R17" s="75"/>
      <c r="S17" s="75"/>
      <c r="T17" s="75"/>
      <c r="U17" s="75"/>
      <c r="V17" s="75"/>
      <c r="W17" s="75">
        <v>11</v>
      </c>
      <c r="X17" s="86">
        <f>_xlfn.XLOOKUP($C$7,Laitokset!$7:$7,Laitokset!53:53)</f>
        <v>0</v>
      </c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75"/>
      <c r="BQ17" s="75"/>
      <c r="BR17" s="75"/>
      <c r="BS17" s="75"/>
      <c r="BT17" s="75"/>
      <c r="BU17" s="75"/>
      <c r="BV17" s="75"/>
    </row>
    <row r="18" spans="1:74">
      <c r="A18" s="75"/>
      <c r="B18" s="75"/>
      <c r="D18" s="75"/>
      <c r="E18" s="75"/>
      <c r="F18" s="75"/>
      <c r="G18" s="75"/>
      <c r="H18" s="75" t="str">
        <f>Laitokset!A17</f>
        <v>Lämmöntuotannon kapasiteettikerroin</v>
      </c>
      <c r="I18" s="75"/>
      <c r="J18" s="75">
        <f>_xlfn.XLOOKUP(C7,Laitokset!7:7,Laitokset!17:17)*100</f>
        <v>0</v>
      </c>
      <c r="K18" s="75" t="str">
        <f>Laitokset!C17</f>
        <v>%</v>
      </c>
      <c r="L18" s="91"/>
      <c r="M18" s="91"/>
      <c r="N18" s="90" t="str">
        <f>Laitokset!B72</f>
        <v>Korkea</v>
      </c>
      <c r="O18" s="90">
        <f>_xlfn.XLOOKUP(C$7,Laitokset!$7:$7,Laitokset!72:72)*100</f>
        <v>0</v>
      </c>
      <c r="P18" s="75" t="str">
        <f>Laitokset!C72</f>
        <v>%</v>
      </c>
      <c r="Q18" s="75"/>
      <c r="R18" s="75"/>
      <c r="S18" s="75"/>
      <c r="T18" s="75"/>
      <c r="U18" s="75"/>
      <c r="V18" s="75"/>
      <c r="W18" s="75">
        <v>12</v>
      </c>
      <c r="X18" s="86">
        <f>_xlfn.XLOOKUP($C$7,Laitokset!$7:$7,Laitokset!54:54)</f>
        <v>0</v>
      </c>
      <c r="Y18" s="75"/>
      <c r="Z18" s="75"/>
      <c r="AA18" s="75"/>
      <c r="AB18" s="75"/>
      <c r="AC18" s="75"/>
      <c r="AD18" s="75"/>
      <c r="AE18" s="75"/>
      <c r="AF18" s="75"/>
      <c r="AG18" s="75"/>
      <c r="AH18" s="75"/>
      <c r="AI18" s="75"/>
      <c r="AJ18" s="75"/>
      <c r="AK18" s="75"/>
      <c r="AL18" s="75"/>
      <c r="AM18" s="75"/>
      <c r="AN18" s="75"/>
      <c r="AO18" s="75"/>
      <c r="AP18" s="75"/>
      <c r="AQ18" s="75"/>
      <c r="AR18" s="75"/>
      <c r="AS18" s="75"/>
      <c r="AT18" s="75"/>
      <c r="AU18" s="75"/>
      <c r="AV18" s="75"/>
      <c r="AW18" s="75"/>
      <c r="AX18" s="75"/>
      <c r="AY18" s="75"/>
      <c r="AZ18" s="75"/>
      <c r="BA18" s="75"/>
      <c r="BB18" s="75"/>
      <c r="BC18" s="75"/>
      <c r="BD18" s="75"/>
      <c r="BE18" s="75"/>
      <c r="BF18" s="75"/>
      <c r="BG18" s="75"/>
      <c r="BH18" s="75"/>
      <c r="BI18" s="75"/>
      <c r="BJ18" s="75"/>
      <c r="BK18" s="75"/>
      <c r="BL18" s="75"/>
      <c r="BM18" s="75"/>
      <c r="BN18" s="75"/>
      <c r="BO18" s="75"/>
      <c r="BP18" s="75"/>
      <c r="BQ18" s="75"/>
      <c r="BR18" s="75"/>
      <c r="BS18" s="75"/>
      <c r="BT18" s="75"/>
      <c r="BU18" s="75"/>
      <c r="BV18" s="75"/>
    </row>
    <row r="19" spans="1:74">
      <c r="A19" s="75"/>
      <c r="B19" s="75" t="s">
        <v>36</v>
      </c>
      <c r="C19" s="151">
        <v>2028</v>
      </c>
      <c r="D19" s="75"/>
      <c r="E19" s="75"/>
      <c r="F19" s="75"/>
      <c r="G19" s="75"/>
      <c r="H19" s="75" t="str">
        <f>Laitokset!A18</f>
        <v>Yhteistuotannon hyötysuhde</v>
      </c>
      <c r="I19" s="75"/>
      <c r="J19" s="75">
        <f>_xlfn.XLOOKUP(C7,Laitokset!7:7,Laitokset!18:18)*100</f>
        <v>0</v>
      </c>
      <c r="K19" s="75" t="str">
        <f>Laitokset!C18</f>
        <v>%</v>
      </c>
      <c r="L19" s="75" t="str">
        <f>Laitokset!A73</f>
        <v>Purkamisen viive</v>
      </c>
      <c r="M19" s="75"/>
      <c r="N19" s="75"/>
      <c r="O19" s="90">
        <f>_xlfn.XLOOKUP(C$7,Laitokset!$7:$7,Laitokset!73:73)</f>
        <v>0</v>
      </c>
      <c r="P19" s="75" t="str">
        <f>Laitokset!C73</f>
        <v>vuotta</v>
      </c>
      <c r="Q19" s="75"/>
      <c r="R19" s="75"/>
      <c r="S19" s="75"/>
      <c r="T19" s="75"/>
      <c r="U19" s="75"/>
      <c r="V19" s="75"/>
      <c r="W19" s="75">
        <v>13</v>
      </c>
      <c r="X19" s="86">
        <f>_xlfn.XLOOKUP($C$7,Laitokset!$7:$7,Laitokset!55:55)</f>
        <v>0</v>
      </c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5"/>
      <c r="BK19" s="75"/>
      <c r="BL19" s="75"/>
      <c r="BM19" s="75"/>
      <c r="BN19" s="75"/>
      <c r="BO19" s="75"/>
      <c r="BP19" s="75"/>
      <c r="BQ19" s="75"/>
      <c r="BR19" s="75"/>
      <c r="BS19" s="75"/>
      <c r="BT19" s="75"/>
      <c r="BU19" s="75"/>
      <c r="BV19" s="75"/>
    </row>
    <row r="20" spans="1:74">
      <c r="A20" s="75"/>
      <c r="B20" s="75" t="str">
        <f>H13</f>
        <v>Tekniikka vuodelta</v>
      </c>
      <c r="C20" s="92">
        <f>J13</f>
        <v>2035</v>
      </c>
      <c r="D20" s="75"/>
      <c r="E20" s="75"/>
      <c r="F20" s="75"/>
      <c r="G20" s="75"/>
      <c r="H20" s="75" t="str">
        <f>Laitokset!A19</f>
        <v>Käyttöikä</v>
      </c>
      <c r="I20" s="75"/>
      <c r="J20" s="75">
        <f>_xlfn.XLOOKUP(C7,Laitokset!7:7,Laitokset!19:19)</f>
        <v>60</v>
      </c>
      <c r="K20" s="75" t="str">
        <f>Laitokset!C19</f>
        <v>vuotta</v>
      </c>
      <c r="L20" s="75"/>
      <c r="M20" s="75"/>
      <c r="N20" s="75"/>
      <c r="O20" s="75"/>
      <c r="P20" s="75"/>
      <c r="Q20" s="75"/>
      <c r="R20" s="75"/>
      <c r="S20" s="75"/>
      <c r="T20" s="75"/>
      <c r="U20" s="75"/>
      <c r="V20" s="75"/>
      <c r="W20" s="75">
        <v>14</v>
      </c>
      <c r="X20" s="86">
        <f>_xlfn.XLOOKUP($C$7,Laitokset!$7:$7,Laitokset!56:56)</f>
        <v>0</v>
      </c>
      <c r="Y20" s="75"/>
      <c r="Z20" s="75"/>
      <c r="AA20" s="75"/>
      <c r="AB20" s="75"/>
      <c r="AC20" s="75"/>
      <c r="AD20" s="75"/>
      <c r="AE20" s="75"/>
      <c r="AF20" s="75"/>
      <c r="AG20" s="75"/>
      <c r="AH20" s="75"/>
      <c r="AI20" s="75"/>
      <c r="AJ20" s="75"/>
      <c r="AK20" s="75"/>
      <c r="AL20" s="75"/>
      <c r="AM20" s="75"/>
      <c r="AN20" s="75"/>
      <c r="AO20" s="75"/>
      <c r="AP20" s="75"/>
      <c r="AQ20" s="75"/>
      <c r="AR20" s="75"/>
      <c r="AS20" s="75"/>
      <c r="AT20" s="75"/>
      <c r="AU20" s="75"/>
      <c r="AV20" s="75"/>
      <c r="AW20" s="75"/>
      <c r="AX20" s="75"/>
      <c r="AY20" s="75"/>
      <c r="AZ20" s="75"/>
      <c r="BA20" s="75"/>
      <c r="BB20" s="75"/>
      <c r="BC20" s="75"/>
      <c r="BD20" s="75"/>
      <c r="BE20" s="75"/>
      <c r="BF20" s="75"/>
      <c r="BG20" s="75"/>
      <c r="BH20" s="75"/>
      <c r="BI20" s="75"/>
      <c r="BJ20" s="75"/>
      <c r="BK20" s="75"/>
      <c r="BL20" s="75"/>
      <c r="BM20" s="75"/>
      <c r="BN20" s="75"/>
      <c r="BO20" s="75"/>
      <c r="BP20" s="75"/>
      <c r="BQ20" s="75"/>
      <c r="BR20" s="75"/>
      <c r="BS20" s="75"/>
      <c r="BT20" s="75"/>
      <c r="BU20" s="75"/>
      <c r="BV20" s="75"/>
    </row>
    <row r="21" spans="1:74">
      <c r="A21" s="75"/>
      <c r="B21" s="75" t="s">
        <v>40</v>
      </c>
      <c r="C21" s="75">
        <f>C19+_xlfn.XLOOKUP(C10,I25:I27,J25:J27)</f>
        <v>2028</v>
      </c>
      <c r="D21" s="75"/>
      <c r="E21" s="75"/>
      <c r="F21" s="75"/>
      <c r="G21" s="75"/>
      <c r="H21" s="75" t="str">
        <f>Laitokset!A20</f>
        <v>Regulaatio, luvitus, julkiset kuulemiset</v>
      </c>
      <c r="I21" s="75"/>
      <c r="J21" s="85">
        <f>_xlfn.XLOOKUP(C7,Laitokset!7:7,Laitokset!20:20)</f>
        <v>0</v>
      </c>
      <c r="K21" s="75" t="str">
        <f>Laitokset!C20</f>
        <v>EUR/kW</v>
      </c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>
        <v>15</v>
      </c>
      <c r="X21" s="86">
        <f>_xlfn.XLOOKUP($C$7,Laitokset!$7:$7,Laitokset!57:57)</f>
        <v>0</v>
      </c>
      <c r="Y21" s="75"/>
      <c r="Z21" s="75"/>
      <c r="AA21" s="75"/>
      <c r="AB21" s="75"/>
      <c r="AC21" s="75"/>
      <c r="AD21" s="75"/>
      <c r="AE21" s="75"/>
      <c r="AF21" s="75"/>
      <c r="AG21" s="75"/>
      <c r="AH21" s="75"/>
      <c r="AI21" s="75"/>
      <c r="AJ21" s="75"/>
      <c r="AK21" s="75"/>
      <c r="AL21" s="75"/>
      <c r="AM21" s="75"/>
      <c r="AN21" s="75"/>
      <c r="AO21" s="75"/>
      <c r="AP21" s="75"/>
      <c r="AQ21" s="75"/>
      <c r="AR21" s="75"/>
      <c r="AS21" s="75"/>
      <c r="AT21" s="75"/>
      <c r="AU21" s="75"/>
      <c r="AV21" s="75"/>
      <c r="AW21" s="75"/>
      <c r="AX21" s="75"/>
      <c r="AY21" s="75"/>
      <c r="AZ21" s="75"/>
      <c r="BA21" s="75"/>
      <c r="BB21" s="75"/>
      <c r="BC21" s="75"/>
      <c r="BD21" s="75"/>
      <c r="BE21" s="75"/>
      <c r="BF21" s="75"/>
      <c r="BG21" s="75"/>
      <c r="BH21" s="75"/>
      <c r="BI21" s="75"/>
      <c r="BJ21" s="75"/>
      <c r="BK21" s="75"/>
      <c r="BL21" s="75"/>
      <c r="BM21" s="75"/>
      <c r="BN21" s="75"/>
      <c r="BO21" s="75"/>
      <c r="BP21" s="75"/>
      <c r="BQ21" s="75"/>
      <c r="BR21" s="75"/>
      <c r="BS21" s="75"/>
      <c r="BT21" s="75"/>
      <c r="BU21" s="75"/>
      <c r="BV21" s="75"/>
    </row>
    <row r="22" spans="1:74">
      <c r="A22" s="75"/>
      <c r="B22" s="75" t="s">
        <v>42</v>
      </c>
      <c r="C22" s="75">
        <f>C21+_xlfn.XLOOKUP(C12,I31:I33,J31:J33)</f>
        <v>2036</v>
      </c>
      <c r="D22" s="75"/>
      <c r="E22" s="75"/>
      <c r="F22" s="75"/>
      <c r="G22" s="75"/>
      <c r="H22" s="75" t="str">
        <f>Laitokset!A21</f>
        <v>Suunnittelukustannukset</v>
      </c>
      <c r="I22" s="75" t="str">
        <f>Laitokset!B21</f>
        <v>Matala</v>
      </c>
      <c r="J22" s="85">
        <f>_xlfn.XLOOKUP(C$7,Laitokset!$7:$7,Laitokset!21:21)</f>
        <v>0</v>
      </c>
      <c r="K22" s="75" t="str">
        <f>Laitokset!C21</f>
        <v>EUR/kW</v>
      </c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5"/>
      <c r="BE22" s="75"/>
      <c r="BF22" s="75"/>
      <c r="BG22" s="75"/>
      <c r="BH22" s="75"/>
      <c r="BI22" s="75"/>
      <c r="BJ22" s="75"/>
      <c r="BK22" s="75"/>
      <c r="BL22" s="75"/>
      <c r="BM22" s="75"/>
      <c r="BN22" s="75"/>
      <c r="BO22" s="75"/>
      <c r="BP22" s="75"/>
      <c r="BQ22" s="75"/>
      <c r="BR22" s="75"/>
      <c r="BS22" s="75"/>
      <c r="BT22" s="75"/>
      <c r="BU22" s="75"/>
      <c r="BV22" s="75"/>
    </row>
    <row r="23" spans="1:74">
      <c r="A23" s="75"/>
      <c r="B23" s="75" t="s">
        <v>44</v>
      </c>
      <c r="C23" s="75">
        <f>C22+J20</f>
        <v>2096</v>
      </c>
      <c r="D23" s="75"/>
      <c r="E23" s="75"/>
      <c r="F23" s="75"/>
      <c r="G23" s="75"/>
      <c r="H23" s="75"/>
      <c r="I23" s="75" t="str">
        <f>Laitokset!B22</f>
        <v>Keski</v>
      </c>
      <c r="J23" s="85">
        <f>_xlfn.XLOOKUP(C$7,Laitokset!$7:$7,Laitokset!22:22)</f>
        <v>0</v>
      </c>
      <c r="K23" s="75" t="str">
        <f>Laitokset!C22</f>
        <v>EUR/kW</v>
      </c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  <c r="AD23" s="75"/>
      <c r="AE23" s="75"/>
      <c r="AF23" s="75"/>
      <c r="AG23" s="75"/>
      <c r="AH23" s="75"/>
      <c r="AI23" s="75"/>
      <c r="AJ23" s="75"/>
      <c r="AK23" s="75"/>
      <c r="AL23" s="75"/>
      <c r="AM23" s="75"/>
      <c r="AN23" s="75"/>
      <c r="AO23" s="75"/>
      <c r="AP23" s="75"/>
      <c r="AQ23" s="75"/>
      <c r="AR23" s="75"/>
      <c r="AS23" s="75"/>
      <c r="AT23" s="75"/>
      <c r="AU23" s="75"/>
      <c r="AV23" s="75"/>
      <c r="AW23" s="75"/>
      <c r="AX23" s="75"/>
      <c r="AY23" s="75"/>
      <c r="AZ23" s="75"/>
      <c r="BA23" s="75"/>
      <c r="BB23" s="75"/>
      <c r="BC23" s="75"/>
      <c r="BD23" s="75"/>
      <c r="BE23" s="75"/>
      <c r="BF23" s="75"/>
      <c r="BG23" s="75"/>
      <c r="BH23" s="75"/>
      <c r="BI23" s="75"/>
      <c r="BJ23" s="75"/>
      <c r="BK23" s="75"/>
      <c r="BL23" s="75"/>
      <c r="BM23" s="75"/>
      <c r="BN23" s="75"/>
      <c r="BO23" s="75"/>
      <c r="BP23" s="75"/>
      <c r="BQ23" s="75"/>
      <c r="BR23" s="75"/>
      <c r="BS23" s="75"/>
      <c r="BT23" s="75"/>
      <c r="BU23" s="75"/>
      <c r="BV23" s="75"/>
    </row>
    <row r="24" spans="1:74">
      <c r="A24" s="75"/>
      <c r="B24" s="75" t="s">
        <v>46</v>
      </c>
      <c r="C24" s="89">
        <f>C22+O11</f>
        <v>2036</v>
      </c>
      <c r="D24" s="75"/>
      <c r="E24" s="75"/>
      <c r="F24" s="75"/>
      <c r="G24" s="75"/>
      <c r="H24" s="75"/>
      <c r="I24" s="75" t="str">
        <f>Laitokset!B23</f>
        <v>Korkea</v>
      </c>
      <c r="J24" s="85">
        <f>_xlfn.XLOOKUP(C$7,Laitokset!$7:$7,Laitokset!23:23)</f>
        <v>0</v>
      </c>
      <c r="K24" s="75" t="str">
        <f>Laitokset!C23</f>
        <v>EUR/kW</v>
      </c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  <c r="AC24" s="75"/>
      <c r="AD24" s="75"/>
      <c r="AE24" s="75"/>
      <c r="AF24" s="75"/>
      <c r="AG24" s="75"/>
      <c r="AH24" s="75"/>
      <c r="AI24" s="75"/>
      <c r="AJ24" s="75"/>
      <c r="AK24" s="75"/>
      <c r="AL24" s="75"/>
      <c r="AM24" s="75"/>
      <c r="AN24" s="75"/>
      <c r="AO24" s="75"/>
      <c r="AP24" s="75"/>
      <c r="AQ24" s="75"/>
      <c r="AR24" s="75"/>
      <c r="AS24" s="75"/>
      <c r="AT24" s="75"/>
      <c r="AU24" s="75"/>
      <c r="AV24" s="75"/>
      <c r="AW24" s="75"/>
      <c r="AX24" s="75"/>
      <c r="AY24" s="75"/>
      <c r="AZ24" s="75"/>
      <c r="BA24" s="75"/>
      <c r="BB24" s="75"/>
      <c r="BC24" s="75"/>
      <c r="BD24" s="75"/>
      <c r="BE24" s="75"/>
      <c r="BF24" s="75"/>
      <c r="BG24" s="75"/>
      <c r="BH24" s="75"/>
      <c r="BI24" s="75"/>
      <c r="BJ24" s="75"/>
      <c r="BK24" s="75"/>
      <c r="BL24" s="75"/>
      <c r="BM24" s="75"/>
      <c r="BN24" s="75"/>
      <c r="BO24" s="75"/>
      <c r="BP24" s="75"/>
      <c r="BQ24" s="75"/>
      <c r="BR24" s="75"/>
      <c r="BS24" s="75"/>
      <c r="BT24" s="75"/>
      <c r="BU24" s="75"/>
      <c r="BV24" s="75"/>
    </row>
    <row r="25" spans="1:74" ht="15.95" thickBot="1">
      <c r="A25" s="75"/>
      <c r="B25" s="75"/>
      <c r="C25" s="75"/>
      <c r="D25" s="75"/>
      <c r="E25" s="82" t="s">
        <v>86</v>
      </c>
      <c r="F25" s="82"/>
      <c r="G25" s="75"/>
      <c r="H25" s="75" t="str">
        <f>Laitokset!A24</f>
        <v>Suunnittelun kesto</v>
      </c>
      <c r="I25" s="75" t="str">
        <f>Laitokset!B24</f>
        <v>Lyhyt</v>
      </c>
      <c r="J25" s="75">
        <f>_xlfn.XLOOKUP(C$7,Laitokset!$7:$7,Laitokset!24:24)</f>
        <v>0</v>
      </c>
      <c r="K25" s="75" t="str">
        <f>Laitokset!C24</f>
        <v>vuotta</v>
      </c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/>
      <c r="AN25" s="75"/>
      <c r="AO25" s="75"/>
      <c r="AP25" s="75"/>
      <c r="AQ25" s="75"/>
      <c r="AR25" s="75"/>
      <c r="AS25" s="75"/>
      <c r="AT25" s="75"/>
      <c r="AU25" s="75"/>
      <c r="AV25" s="75"/>
      <c r="AW25" s="75"/>
      <c r="AX25" s="75"/>
      <c r="AY25" s="75"/>
      <c r="AZ25" s="75"/>
      <c r="BA25" s="75"/>
      <c r="BB25" s="75"/>
      <c r="BC25" s="75"/>
      <c r="BD25" s="75"/>
      <c r="BE25" s="75"/>
      <c r="BF25" s="75"/>
      <c r="BG25" s="75"/>
      <c r="BH25" s="75"/>
      <c r="BI25" s="75"/>
      <c r="BJ25" s="75"/>
      <c r="BK25" s="75"/>
      <c r="BL25" s="75"/>
      <c r="BM25" s="75"/>
      <c r="BN25" s="75"/>
      <c r="BO25" s="75"/>
      <c r="BP25" s="75"/>
      <c r="BQ25" s="75"/>
      <c r="BR25" s="75"/>
      <c r="BS25" s="75"/>
      <c r="BT25" s="75"/>
      <c r="BU25" s="75"/>
      <c r="BV25" s="75"/>
    </row>
    <row r="26" spans="1:74">
      <c r="A26" s="75"/>
      <c r="B26" s="75" t="str">
        <f>H14</f>
        <v>Sähköntuotannon nimellisteho</v>
      </c>
      <c r="C26" s="92">
        <f>_xlfn.XLOOKUP(C$7,Laitokset!$7:$7,Laitokset!13:13)+E26</f>
        <v>1250</v>
      </c>
      <c r="D26" s="75" t="str">
        <f>K14</f>
        <v>MWe</v>
      </c>
      <c r="E26" s="152">
        <v>0</v>
      </c>
      <c r="F26" s="93" t="s">
        <v>87</v>
      </c>
      <c r="G26" s="84"/>
      <c r="H26" s="75"/>
      <c r="I26" s="75" t="str">
        <f>Laitokset!B25</f>
        <v>Keski</v>
      </c>
      <c r="J26" s="75">
        <f>_xlfn.XLOOKUP(C$7,Laitokset!$7:$7,Laitokset!25:25)</f>
        <v>0</v>
      </c>
      <c r="K26" s="75" t="str">
        <f>Laitokset!C25</f>
        <v>vuotta</v>
      </c>
      <c r="L26" s="91"/>
      <c r="M26" s="91"/>
      <c r="N26" s="91"/>
      <c r="O26" s="91"/>
      <c r="P26" s="91"/>
      <c r="Q26" s="75"/>
      <c r="R26" s="75"/>
      <c r="S26" s="91"/>
      <c r="T26" s="91"/>
      <c r="U26" s="91" t="str">
        <f>IF(T46=$C$19,$B$19,IF(T46=$C$21,$B$21,IF(T46=$C$22,$B$22,IF(T46=$C$23,$B$23,IF(T46=$C$24,$B$24,"")))))</f>
        <v/>
      </c>
      <c r="V26" s="91" t="str">
        <f>IF(U46=$C$19,$B$19,IF(U46=$C$21,$B$21,IF(U46=$C$22,$B$22,IF(U46=$C$23,$B$23,IF(U46=$C$24,$B$24,"")))))</f>
        <v/>
      </c>
      <c r="W26" s="91" t="str">
        <f>IF(V46=$C$19,$B$19,IF(V46=$C$21,$B$21,IF(V46=$C$22,$B$22,IF(V46=$C$23,$B$23,IF(V46=$C$24,$B$24,"")))))</f>
        <v/>
      </c>
      <c r="X26" s="91" t="str">
        <f>IF(W46=$C$19,$B$19,IF(W46=$C$21,$B$21,IF(W46=$C$22,$B$22,IF(W46=$C$23,$B$23,IF(W46=$C$24,$B$24,"")))))</f>
        <v/>
      </c>
      <c r="Y26" s="75"/>
      <c r="Z26" s="75"/>
      <c r="AA26" s="75"/>
      <c r="AB26" s="75"/>
      <c r="AC26" s="75"/>
      <c r="AD26" s="75"/>
      <c r="AE26" s="75"/>
      <c r="AF26" s="75"/>
      <c r="AG26" s="75"/>
      <c r="AH26" s="75"/>
      <c r="AI26" s="75"/>
      <c r="AJ26" s="75"/>
      <c r="AK26" s="75"/>
      <c r="AL26" s="75"/>
      <c r="AM26" s="75"/>
      <c r="AN26" s="75"/>
      <c r="AO26" s="75"/>
      <c r="AP26" s="75"/>
      <c r="AQ26" s="75"/>
      <c r="AR26" s="75"/>
      <c r="AS26" s="75"/>
      <c r="AT26" s="75"/>
      <c r="AU26" s="75"/>
      <c r="AV26" s="75"/>
      <c r="AW26" s="75"/>
      <c r="AX26" s="75"/>
      <c r="AY26" s="75"/>
      <c r="AZ26" s="75"/>
      <c r="BA26" s="75"/>
      <c r="BB26" s="75"/>
      <c r="BC26" s="75"/>
      <c r="BD26" s="75"/>
      <c r="BE26" s="75"/>
      <c r="BF26" s="75"/>
      <c r="BG26" s="75"/>
      <c r="BH26" s="75"/>
      <c r="BI26" s="75"/>
      <c r="BJ26" s="75"/>
      <c r="BK26" s="75"/>
      <c r="BL26" s="75"/>
      <c r="BM26" s="75"/>
      <c r="BN26" s="75"/>
      <c r="BO26" s="75"/>
      <c r="BP26" s="75"/>
      <c r="BQ26" s="75"/>
      <c r="BR26" s="75"/>
      <c r="BS26" s="75"/>
      <c r="BT26" s="75"/>
      <c r="BU26" s="75"/>
      <c r="BV26" s="75"/>
    </row>
    <row r="27" spans="1:74" s="97" customFormat="1" ht="18" customHeight="1">
      <c r="A27" s="91"/>
      <c r="B27" s="75" t="str">
        <f>H16</f>
        <v>Sähköntuotannon hyötysuhde</v>
      </c>
      <c r="C27" s="94">
        <f>_xlfn.XLOOKUP(C$7,Laitokset!$7:$7,Laitokset!15:15)+E27</f>
        <v>0.37</v>
      </c>
      <c r="D27" s="75"/>
      <c r="E27" s="153">
        <v>0</v>
      </c>
      <c r="F27" s="95" t="s">
        <v>88</v>
      </c>
      <c r="G27" s="93"/>
      <c r="H27" s="75"/>
      <c r="I27" s="75" t="str">
        <f>Laitokset!B26</f>
        <v>Pitkä</v>
      </c>
      <c r="J27" s="75">
        <f>_xlfn.XLOOKUP(C$7,Laitokset!$7:$7,Laitokset!26:26)</f>
        <v>0</v>
      </c>
      <c r="K27" s="75" t="str">
        <f>Laitokset!C26</f>
        <v>vuotta</v>
      </c>
      <c r="L27" s="91"/>
      <c r="M27" s="91"/>
      <c r="N27" s="91"/>
      <c r="O27" s="91"/>
      <c r="P27" s="91"/>
      <c r="Q27" s="91" t="str">
        <f>IF(R46=$C$19,$B$19,IF(R46=$C$21,$B$21,IF(R46=$C$22,$B$22,IF(R46=$C$23,$B$23,IF(R46=$C$24,$B$24,"")))))</f>
        <v>Käyttöönottovuosi</v>
      </c>
      <c r="R27" s="91" t="str">
        <f>IF(S46=$C$19,$B$19,IF(S46=$C$21,$B$21,IF(S46=$C$22,$B$22,IF(S46=$C$23,$B$23,IF(S46=$C$24,$B$24,"")))))</f>
        <v/>
      </c>
      <c r="S27" s="91"/>
      <c r="T27" s="91"/>
      <c r="U27" s="91"/>
      <c r="V27" s="91"/>
      <c r="W27" s="91"/>
      <c r="X27" s="91"/>
      <c r="Y27" s="91"/>
      <c r="Z27" s="91" t="str">
        <f>IF(X46=$C$19,$B$19,IF(X46=$C$21,$B$21,IF(X46=$C$22,$B$22,IF(X46=$C$23,$B$23,IF(X46=$C$24,$B$24,"")))))</f>
        <v/>
      </c>
      <c r="AA27" s="91" t="str">
        <f>IF(Y46=$C$19,$B$19,IF(Y46=$C$21,$B$21,IF(Y46=$C$22,$B$22,IF(Y46=$C$23,$B$23,IF(Y46=$C$24,$B$24,"")))))</f>
        <v/>
      </c>
      <c r="AB27" s="91" t="str">
        <f>IF(Z46=$C$19,$B$19,IF(Z46=$C$21,$B$21,IF(Z46=$C$22,$B$22,IF(Z46=$C$23,$B$23,IF(Z46=$C$24,$B$24,"")))))</f>
        <v/>
      </c>
      <c r="AC27" s="91" t="str">
        <f>IF(AA46=$C$19,$B$19,IF(AA46=$C$21,$B$21,IF(AA46=$C$22,$B$22,IF(AA46=$C$23,$B$23,IF(AA46=$C$24,$B$24,"")))))</f>
        <v/>
      </c>
      <c r="AD27" s="91" t="str">
        <f>IF(AB46=$C$19,$B$19,IF(AB46=$C$21,$B$21,IF(AB46=$C$22,$B$22,IF(AB46=$C$23,$B$23,IF(AB46=$C$24,$B$24,"")))))</f>
        <v/>
      </c>
      <c r="AE27" s="91" t="str">
        <f>IF(AC46=$C$19,$B$19,IF(AC46=$C$21,$B$21,IF(AC46=$C$22,$B$22,IF(AC46=$C$23,$B$23,IF(AC46=$C$24,$B$24,"")))))</f>
        <v/>
      </c>
      <c r="AF27" s="91" t="str">
        <f>IF(AD46=$C$19,$B$19,IF(AD46=$C$21,$B$21,IF(AD46=$C$22,$B$22,IF(AD46=$C$23,$B$23,IF(AD46=$C$24,$B$24,"")))))</f>
        <v/>
      </c>
      <c r="AG27" s="91" t="str">
        <f>IF(AE46=$C$19,$B$19,IF(AE46=$C$21,$B$21,IF(AE46=$C$22,$B$22,IF(AE46=$C$23,$B$23,IF(AE46=$C$24,$B$24,"")))))</f>
        <v/>
      </c>
      <c r="AH27" s="91" t="str">
        <f>IF(AF46=$C$19,$B$19,IF(AF46=$C$21,$B$21,IF(AF46=$C$22,$B$22,IF(AF46=$C$23,$B$23,IF(AF46=$C$24,$B$24,"")))))</f>
        <v/>
      </c>
      <c r="AI27" s="91" t="str">
        <f>IF(AG46=$C$19,$B$19,IF(AG46=$C$21,$B$21,IF(AG46=$C$22,$B$22,IF(AG46=$C$23,$B$23,IF(AG46=$C$24,$B$24,"")))))</f>
        <v/>
      </c>
      <c r="AJ27" s="91" t="str">
        <f>IF(AH46=$C$19,$B$19,IF(AH46=$C$21,$B$21,IF(AH46=$C$22,$B$22,IF(AH46=$C$23,$B$23,IF(AH46=$C$24,$B$24,"")))))</f>
        <v/>
      </c>
      <c r="AK27" s="96"/>
      <c r="AL27" s="91" t="str">
        <f>IF(AJ46=$C$19,$B$19,IF(AJ46=$C$21,$B$21,IF(AJ46=$C$22,$B$22,IF(AJ46=$C$23,$B$23,IF(AJ46=$C$24,$B$24,"")))))</f>
        <v/>
      </c>
      <c r="AM27" s="91" t="str">
        <f>IF(AK46=$C$19,$B$19,IF(AK46=$C$21,$B$21,IF(AK46=$C$22,$B$22,IF(AK46=$C$23,$B$23,IF(AK46=$C$24,$B$24,"")))))</f>
        <v/>
      </c>
      <c r="AN27" s="91" t="str">
        <f>IF(AL46=$C$19,$B$19,IF(AL46=$C$21,$B$21,IF(AL46=$C$22,$B$22,IF(AL46=$C$23,$B$23,IF(AL46=$C$24,$B$24,"")))))</f>
        <v/>
      </c>
      <c r="AO27" s="91"/>
      <c r="AP27" s="91" t="str">
        <f>IF(AN46=$C$19,$B$19,IF(AN46=$C$21,$B$21,IF(AN46=$C$22,$B$22,IF(AN46=$C$23,$B$23,IF(AN46=$C$24,$B$24,"")))))</f>
        <v/>
      </c>
      <c r="AQ27" s="91" t="str">
        <f>IF(AO46=$C$19,$B$19,IF(AO46=$C$21,$B$21,IF(AO46=$C$22,$B$22,IF(AO46=$C$23,$B$23,IF(AO46=$C$24,$B$24,"")))))</f>
        <v/>
      </c>
      <c r="AR27" s="91" t="str">
        <f>IF(AP46=$C$19,$B$19,IF(AP46=$C$21,$B$21,IF(AP46=$C$22,$B$22,IF(AP46=$C$23,$B$23,IF(AP46=$C$24,$B$24,"")))))</f>
        <v/>
      </c>
      <c r="AS27" s="91" t="str">
        <f>IF(AQ46=$C$19,$B$19,IF(AQ46=$C$21,$B$21,IF(AQ46=$C$22,$B$22,IF(AQ46=$C$23,$B$23,IF(AQ46=$C$24,$B$24,"")))))</f>
        <v/>
      </c>
      <c r="AT27" s="91" t="str">
        <f>IF(AR46=$C$19,$B$19,IF(AR46=$C$21,$B$21,IF(AR46=$C$22,$B$22,IF(AR46=$C$23,$B$23,IF(AR46=$C$24,$B$24,"")))))</f>
        <v/>
      </c>
      <c r="AU27" s="91"/>
      <c r="AV27" s="91" t="str">
        <f>IF(AT46=$C$19,$B$19,IF(AT46=$C$21,$B$21,IF(AT46=$C$22,$B$22,IF(AT46=$C$23,$B$23,IF(AT46=$C$24,$B$24,"")))))</f>
        <v/>
      </c>
      <c r="AW27" s="91" t="str">
        <f>IF(AU46=$C$19,$B$19,IF(AU46=$C$21,$B$21,IF(AU46=$C$22,$B$22,IF(AU46=$C$23,$B$23,IF(AU46=$C$24,$B$24,"")))))</f>
        <v/>
      </c>
      <c r="AX27" s="91" t="str">
        <f>IF(AV46=$C$19,$B$19,IF(AV46=$C$21,$B$21,IF(AV46=$C$22,$B$22,IF(AV46=$C$23,$B$23,IF(AV46=$C$24,$B$24,"")))))</f>
        <v/>
      </c>
      <c r="AY27" s="91" t="str">
        <f>IF(AW46=$C$19,$B$19,IF(AW46=$C$21,$B$21,IF(AW46=$C$22,$B$22,IF(AW46=$C$23,$B$23,IF(AW46=$C$24,$B$24,"")))))</f>
        <v/>
      </c>
      <c r="AZ27" s="91" t="str">
        <f>IF(AX46=$C$19,$B$19,IF(AX46=$C$21,$B$21,IF(AX46=$C$22,$B$22,IF(AX46=$C$23,$B$23,IF(AX46=$C$24,$B$24,"")))))</f>
        <v/>
      </c>
      <c r="BA27" s="91" t="str">
        <f>IF(AY46=$C$19,$B$19,IF(AY46=$C$21,$B$21,IF(AY46=$C$22,$B$22,IF(AY46=$C$23,$B$23,IF(AY46=$C$24,$B$24,"")))))</f>
        <v/>
      </c>
      <c r="BB27" s="91" t="str">
        <f>IF(AZ46=$C$19,$B$19,IF(AZ46=$C$21,$B$21,IF(AZ46=$C$22,$B$22,IF(AZ46=$C$23,$B$23,IF(AZ46=$C$24,$B$24,"")))))</f>
        <v/>
      </c>
      <c r="BC27" s="91" t="str">
        <f>IF(BA46=$C$19,$B$19,IF(BA46=$C$21,$B$21,IF(BA46=$C$22,$B$22,IF(BA46=$C$23,$B$23,IF(BA46=$C$24,$B$24,"")))))</f>
        <v/>
      </c>
      <c r="BD27" s="91" t="str">
        <f>IF(BB46=$C$19,$B$19,IF(BB46=$C$21,$B$21,IF(BB46=$C$22,$B$22,IF(BB46=$C$23,$B$23,IF(BB46=$C$24,$B$24,"")))))</f>
        <v/>
      </c>
      <c r="BE27" s="91" t="str">
        <f>IF(BC46=$C$19,$B$19,IF(BC46=$C$21,$B$21,IF(BC46=$C$22,$B$22,IF(BC46=$C$23,$B$23,IF(BC46=$C$24,$B$24,"")))))</f>
        <v/>
      </c>
      <c r="BF27" s="91" t="str">
        <f>IF(BD46=$C$19,$B$19,IF(BD46=$C$21,$B$21,IF(BD46=$C$22,$B$22,IF(BD46=$C$23,$B$23,IF(BD46=$C$24,$B$24,"")))))</f>
        <v/>
      </c>
      <c r="BG27" s="91" t="str">
        <f>IF(BE46=$C$19,$B$19,IF(BE46=$C$21,$B$21,IF(BE46=$C$22,$B$22,IF(BE46=$C$23,$B$23,IF(BE46=$C$24,$B$24,"")))))</f>
        <v/>
      </c>
      <c r="BH27" s="91" t="str">
        <f>IF(BF46=$C$19,$B$19,IF(BF46=$C$21,$B$21,IF(BF46=$C$22,$B$22,IF(BF46=$C$23,$B$23,IF(BF46=$C$24,$B$24,"")))))</f>
        <v/>
      </c>
      <c r="BI27" s="91" t="str">
        <f>IF(BG46=$C$19,$B$19,IF(BG46=$C$21,$B$21,IF(BG46=$C$22,$B$22,IF(BG46=$C$23,$B$23,IF(BG46=$C$24,$B$24,"")))))</f>
        <v/>
      </c>
      <c r="BJ27" s="91" t="str">
        <f>IF(BH46=$C$19,$B$19,IF(BH46=$C$21,$B$21,IF(BH46=$C$22,$B$22,IF(BH46=$C$23,$B$23,IF(BH46=$C$24,$B$24,"")))))</f>
        <v/>
      </c>
      <c r="BK27" s="91" t="str">
        <f>IF(BI46=$C$19,$B$19,IF(BI46=$C$21,$B$21,IF(BI46=$C$22,$B$22,IF(BI46=$C$23,$B$23,IF(BI46=$C$24,$B$24,"")))))</f>
        <v/>
      </c>
      <c r="BL27" s="91" t="str">
        <f>IF(BJ46=$C$19,$B$19,IF(BJ46=$C$21,$B$21,IF(BJ46=$C$22,$B$22,IF(BJ46=$C$23,$B$23,IF(BJ46=$C$24,$B$24,"")))))</f>
        <v/>
      </c>
      <c r="BM27" s="91" t="str">
        <f>IF(BK46=$C$19,$B$19,IF(BK46=$C$21,$B$21,IF(BK46=$C$22,$B$22,IF(BK46=$C$23,$B$23,IF(BK46=$C$24,$B$24,"")))))</f>
        <v/>
      </c>
      <c r="BN27" s="91" t="str">
        <f>IF(BL46=$C$19,$B$19,IF(BL46=$C$21,$B$21,IF(BL46=$C$22,$B$22,IF(BL46=$C$23,$B$23,IF(BL46=$C$24,$B$24,"")))))</f>
        <v/>
      </c>
      <c r="BO27" s="91" t="str">
        <f>IF(BM46=$C$19,$B$19,IF(BM46=$C$21,$B$21,IF(BM46=$C$22,$B$22,IF(BM46=$C$23,$B$23,IF(BM46=$C$24,$B$24,"")))))</f>
        <v/>
      </c>
      <c r="BP27" s="91" t="str">
        <f>IF(BN46=$C$19,$B$19,IF(BN46=$C$21,$B$21,IF(BN46=$C$22,$B$22,IF(BN46=$C$23,$B$23,IF(BN46=$C$24,$B$24,"")))))</f>
        <v/>
      </c>
      <c r="BQ27" s="91" t="str">
        <f>IF(BO46=$C$19,$B$19,IF(BO46=$C$21,$B$21,IF(BO46=$C$22,$B$22,IF(BO46=$C$23,$B$23,IF(BO46=$C$24,$B$24,"")))))</f>
        <v/>
      </c>
      <c r="BR27" s="91" t="str">
        <f>IF(BP46=$C$19,$B$19,IF(BP46=$C$21,$B$21,IF(BP46=$C$22,$B$22,IF(BP46=$C$23,$B$23,IF(BP46=$C$24,$B$24,"")))))</f>
        <v/>
      </c>
      <c r="BS27" s="91" t="str">
        <f>IF(BQ46=$C$19,$B$19,IF(BQ46=$C$21,$B$21,IF(BQ46=$C$22,$B$22,IF(BQ46=$C$23,$B$23,IF(BQ46=$C$24,$B$24,"")))))</f>
        <v/>
      </c>
      <c r="BT27" s="91" t="str">
        <f>IF(BR46=$C$19,$B$19,IF(BR46=$C$21,$B$21,IF(BR46=$C$22,$B$22,IF(BR46=$C$23,$B$23,IF(BR46=$C$24,$B$24,"")))))</f>
        <v/>
      </c>
      <c r="BU27" s="91" t="str">
        <f>IF(BS46=$C$19,$B$19,IF(BS46=$C$21,$B$21,IF(BS46=$C$22,$B$22,IF(BS46=$C$23,$B$23,IF(BS46=$C$24,$B$24,"")))))</f>
        <v/>
      </c>
      <c r="BV27" s="91"/>
    </row>
    <row r="28" spans="1:74" s="97" customFormat="1" ht="15.95" customHeight="1">
      <c r="A28" s="91"/>
      <c r="B28" s="91" t="str">
        <f>H17</f>
        <v>Nimellistehon muutos</v>
      </c>
      <c r="C28" s="98">
        <f>J17/100+E28</f>
        <v>0</v>
      </c>
      <c r="D28" s="91" t="s">
        <v>89</v>
      </c>
      <c r="E28" s="154">
        <v>0</v>
      </c>
      <c r="F28" s="95" t="s">
        <v>90</v>
      </c>
      <c r="G28" s="95"/>
      <c r="H28" s="75" t="str">
        <f>Laitokset!A37</f>
        <v>Rakentamiskustannukset</v>
      </c>
      <c r="I28" s="75" t="str">
        <f>Laitokset!B37</f>
        <v>Matala</v>
      </c>
      <c r="J28" s="89">
        <f>_xlfn.XLOOKUP(C$7,Laitokset!$7:$7,Laitokset!37:37)</f>
        <v>3272</v>
      </c>
      <c r="K28" s="75" t="str">
        <f>Laitokset!C37</f>
        <v>EUR/kW</v>
      </c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  <c r="AC28" s="91"/>
      <c r="AD28" s="91"/>
      <c r="AE28" s="91"/>
      <c r="AF28" s="91"/>
      <c r="AG28" s="91"/>
      <c r="AH28" s="91"/>
      <c r="AI28" s="91"/>
      <c r="AJ28" s="91"/>
      <c r="AK28" s="96"/>
      <c r="AL28" s="91"/>
      <c r="AM28" s="91"/>
      <c r="AN28" s="91"/>
      <c r="AO28" s="91"/>
      <c r="AP28" s="91"/>
      <c r="AQ28" s="91"/>
      <c r="AR28" s="91"/>
      <c r="AS28" s="91"/>
      <c r="AT28" s="91"/>
      <c r="AU28" s="91"/>
      <c r="AV28" s="91"/>
      <c r="AW28" s="91"/>
      <c r="AX28" s="91"/>
      <c r="AY28" s="91"/>
      <c r="AZ28" s="91"/>
      <c r="BA28" s="91"/>
      <c r="BB28" s="91"/>
      <c r="BC28" s="91"/>
      <c r="BD28" s="91"/>
      <c r="BE28" s="91"/>
      <c r="BF28" s="91"/>
      <c r="BG28" s="91"/>
      <c r="BH28" s="91"/>
      <c r="BI28" s="91"/>
      <c r="BJ28" s="91"/>
      <c r="BK28" s="91"/>
      <c r="BL28" s="91"/>
      <c r="BM28" s="91"/>
      <c r="BN28" s="91"/>
      <c r="BO28" s="91"/>
      <c r="BP28" s="91"/>
      <c r="BQ28" s="91"/>
      <c r="BR28" s="91"/>
      <c r="BS28" s="91"/>
      <c r="BT28" s="91"/>
      <c r="BU28" s="91"/>
      <c r="BV28" s="91"/>
    </row>
    <row r="29" spans="1:74" s="97" customFormat="1" ht="15.95" customHeight="1">
      <c r="A29" s="91"/>
      <c r="B29" s="75" t="str">
        <f>H15</f>
        <v>Sähköntuotannon kapasiteettikerroin</v>
      </c>
      <c r="C29" s="99">
        <f>J15/100+E29</f>
        <v>0.89</v>
      </c>
      <c r="D29" s="75"/>
      <c r="E29" s="153">
        <v>0</v>
      </c>
      <c r="F29" s="95" t="s">
        <v>91</v>
      </c>
      <c r="G29" s="95"/>
      <c r="H29" s="75"/>
      <c r="I29" s="75" t="str">
        <f>Laitokset!B38</f>
        <v>Keski</v>
      </c>
      <c r="J29" s="89">
        <f>_xlfn.XLOOKUP(C$7,Laitokset!$7:$7,Laitokset!38:38)</f>
        <v>6544</v>
      </c>
      <c r="K29" s="75" t="str">
        <f>Laitokset!C38</f>
        <v>EUR/kW</v>
      </c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  <c r="AC29" s="91"/>
      <c r="AD29" s="91"/>
      <c r="AE29" s="91"/>
      <c r="AF29" s="91"/>
      <c r="AG29" s="91"/>
      <c r="AH29" s="91"/>
      <c r="AI29" s="91"/>
      <c r="AJ29" s="91"/>
      <c r="AK29" s="96"/>
      <c r="AL29" s="91"/>
      <c r="AM29" s="91"/>
      <c r="AN29" s="91"/>
      <c r="AO29" s="91"/>
      <c r="AP29" s="91"/>
      <c r="AQ29" s="91"/>
      <c r="AR29" s="91"/>
      <c r="AS29" s="91"/>
      <c r="AT29" s="91"/>
      <c r="AU29" s="91"/>
      <c r="AV29" s="91"/>
      <c r="AW29" s="91"/>
      <c r="AX29" s="91"/>
      <c r="AY29" s="91"/>
      <c r="AZ29" s="91"/>
      <c r="BA29" s="91"/>
      <c r="BB29" s="91"/>
      <c r="BC29" s="91"/>
      <c r="BD29" s="91"/>
      <c r="BE29" s="91"/>
      <c r="BF29" s="91"/>
      <c r="BG29" s="91"/>
      <c r="BH29" s="91"/>
      <c r="BI29" s="91"/>
      <c r="BJ29" s="91"/>
      <c r="BK29" s="91"/>
      <c r="BL29" s="91"/>
      <c r="BM29" s="91"/>
      <c r="BN29" s="91"/>
      <c r="BO29" s="91"/>
      <c r="BP29" s="91"/>
      <c r="BQ29" s="91"/>
      <c r="BR29" s="91"/>
      <c r="BS29" s="91"/>
      <c r="BT29" s="91"/>
      <c r="BU29" s="91"/>
      <c r="BV29" s="91"/>
    </row>
    <row r="30" spans="1:74" s="97" customFormat="1" ht="15.95" customHeight="1">
      <c r="A30" s="91"/>
      <c r="B30" s="75" t="s">
        <v>92</v>
      </c>
      <c r="C30" s="100">
        <f>8760*C29</f>
        <v>7796.4000000000005</v>
      </c>
      <c r="D30" s="75" t="s">
        <v>93</v>
      </c>
      <c r="F30" s="95"/>
      <c r="G30" s="95"/>
      <c r="H30" s="75"/>
      <c r="I30" s="75" t="str">
        <f>Laitokset!B39</f>
        <v>Korkea</v>
      </c>
      <c r="J30" s="89">
        <f>_xlfn.XLOOKUP(C$7,Laitokset!$7:$7,Laitokset!39:39)</f>
        <v>9816</v>
      </c>
      <c r="K30" s="75" t="str">
        <f>Laitokset!C39</f>
        <v>EUR/kW</v>
      </c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  <c r="AC30" s="91"/>
      <c r="AD30" s="91"/>
      <c r="AE30" s="91"/>
      <c r="AF30" s="91"/>
      <c r="AG30" s="91"/>
      <c r="AH30" s="91"/>
      <c r="AI30" s="91"/>
      <c r="AJ30" s="91"/>
      <c r="AK30" s="96"/>
      <c r="AL30" s="91"/>
      <c r="AM30" s="91"/>
      <c r="AN30" s="91"/>
      <c r="AO30" s="91"/>
      <c r="AP30" s="91"/>
      <c r="AQ30" s="91"/>
      <c r="AR30" s="91"/>
      <c r="AS30" s="91"/>
      <c r="AT30" s="91"/>
      <c r="AU30" s="91"/>
      <c r="AV30" s="91"/>
      <c r="AW30" s="91"/>
      <c r="AX30" s="91"/>
      <c r="AY30" s="91"/>
      <c r="AZ30" s="91"/>
      <c r="BA30" s="91"/>
      <c r="BB30" s="91"/>
      <c r="BC30" s="91"/>
      <c r="BD30" s="91"/>
      <c r="BE30" s="91"/>
      <c r="BF30" s="91"/>
      <c r="BG30" s="91"/>
      <c r="BH30" s="91"/>
      <c r="BI30" s="91"/>
      <c r="BJ30" s="91"/>
      <c r="BK30" s="91"/>
      <c r="BL30" s="91"/>
      <c r="BM30" s="91"/>
      <c r="BN30" s="91"/>
      <c r="BO30" s="91"/>
      <c r="BP30" s="91"/>
      <c r="BQ30" s="91"/>
      <c r="BR30" s="91"/>
      <c r="BS30" s="91"/>
      <c r="BT30" s="91"/>
      <c r="BU30" s="91"/>
      <c r="BV30" s="91"/>
    </row>
    <row r="31" spans="1:74" s="97" customFormat="1" ht="15.95" customHeight="1">
      <c r="A31" s="91"/>
      <c r="B31" s="91" t="str">
        <f>H18</f>
        <v>Lämmöntuotannon kapasiteettikerroin</v>
      </c>
      <c r="C31" s="94">
        <f>_xlfn.XLOOKUP(C$7,Laitokset!$7:$7,Laitokset!17:17)+E31</f>
        <v>0</v>
      </c>
      <c r="D31" s="91"/>
      <c r="E31" s="153">
        <v>0</v>
      </c>
      <c r="F31" s="95" t="s">
        <v>91</v>
      </c>
      <c r="G31" s="95"/>
      <c r="H31" s="86" t="str">
        <f>Laitokset!A40</f>
        <v>Rakentamisaikataulu</v>
      </c>
      <c r="I31" s="86" t="str">
        <f>Laitokset!B40</f>
        <v>Lyhyt</v>
      </c>
      <c r="J31" s="101">
        <f>_xlfn.XLOOKUP(C$7,Laitokset!$7:$7,Laitokset!40:40)</f>
        <v>5</v>
      </c>
      <c r="K31" s="75" t="str">
        <f>Laitokset!C40</f>
        <v>vuotta</v>
      </c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  <c r="AC31" s="91"/>
      <c r="AD31" s="91"/>
      <c r="AE31" s="91"/>
      <c r="AF31" s="91"/>
      <c r="AG31" s="91"/>
      <c r="AH31" s="91"/>
      <c r="AI31" s="91"/>
      <c r="AJ31" s="91"/>
      <c r="AK31" s="96"/>
      <c r="AL31" s="91"/>
      <c r="AM31" s="91"/>
      <c r="AN31" s="91"/>
      <c r="AO31" s="91"/>
      <c r="AP31" s="91"/>
      <c r="AQ31" s="91"/>
      <c r="AR31" s="91"/>
      <c r="AS31" s="91"/>
      <c r="AT31" s="91"/>
      <c r="AU31" s="91"/>
      <c r="AV31" s="91"/>
      <c r="AW31" s="91"/>
      <c r="AX31" s="91"/>
      <c r="AY31" s="91"/>
      <c r="AZ31" s="91"/>
      <c r="BA31" s="91"/>
      <c r="BB31" s="91"/>
      <c r="BC31" s="91"/>
      <c r="BD31" s="91"/>
      <c r="BE31" s="91"/>
      <c r="BF31" s="91"/>
      <c r="BG31" s="91"/>
      <c r="BH31" s="91"/>
      <c r="BI31" s="91"/>
      <c r="BJ31" s="91"/>
      <c r="BK31" s="91"/>
      <c r="BL31" s="91"/>
      <c r="BM31" s="91"/>
      <c r="BN31" s="91"/>
      <c r="BO31" s="91"/>
      <c r="BP31" s="91"/>
      <c r="BQ31" s="91"/>
      <c r="BR31" s="91"/>
      <c r="BS31" s="91"/>
      <c r="BT31" s="91"/>
      <c r="BU31" s="91"/>
      <c r="BV31" s="91"/>
    </row>
    <row r="32" spans="1:74" s="97" customFormat="1" ht="15.95" customHeight="1">
      <c r="A32" s="91"/>
      <c r="B32" s="91" t="s">
        <v>60</v>
      </c>
      <c r="C32" s="91">
        <f>8760*C31</f>
        <v>0</v>
      </c>
      <c r="D32" s="91" t="s">
        <v>93</v>
      </c>
      <c r="F32" s="91"/>
      <c r="G32" s="95"/>
      <c r="H32" s="75"/>
      <c r="I32" s="86" t="str">
        <f>Laitokset!B41</f>
        <v>Keski</v>
      </c>
      <c r="J32" s="101">
        <f>_xlfn.XLOOKUP(C$7,Laitokset!$7:$7,Laitokset!41:41)</f>
        <v>7</v>
      </c>
      <c r="K32" s="75" t="str">
        <f>Laitokset!C41</f>
        <v>vuotta</v>
      </c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  <c r="AC32" s="91"/>
      <c r="AD32" s="91"/>
      <c r="AE32" s="91"/>
      <c r="AF32" s="91"/>
      <c r="AG32" s="91"/>
      <c r="AH32" s="91"/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1"/>
      <c r="BF32" s="91"/>
      <c r="BG32" s="91"/>
      <c r="BH32" s="91"/>
      <c r="BI32" s="91"/>
      <c r="BJ32" s="91"/>
      <c r="BK32" s="91"/>
      <c r="BL32" s="91"/>
      <c r="BM32" s="91"/>
      <c r="BN32" s="91"/>
      <c r="BO32" s="91"/>
      <c r="BP32" s="91"/>
      <c r="BQ32" s="91"/>
      <c r="BR32" s="91"/>
      <c r="BS32" s="91"/>
      <c r="BT32" s="91"/>
      <c r="BU32" s="91"/>
      <c r="BV32" s="91"/>
    </row>
    <row r="33" spans="1:110" s="97" customFormat="1" ht="15.95" customHeight="1">
      <c r="A33" s="91"/>
      <c r="B33" s="75" t="str">
        <f>L12</f>
        <v>Pääoman kustannus (WACC)</v>
      </c>
      <c r="C33" s="102">
        <f>_xlfn.XLOOKUP(C$7,Laitokset!$7:$7,Laitokset!66:66)+E33</f>
        <v>0.05</v>
      </c>
      <c r="D33" s="75"/>
      <c r="E33" s="153">
        <v>0.01</v>
      </c>
      <c r="F33" s="95" t="s">
        <v>94</v>
      </c>
      <c r="G33" s="91"/>
      <c r="H33" s="75"/>
      <c r="I33" s="86" t="str">
        <f>Laitokset!B42</f>
        <v>Pitkä</v>
      </c>
      <c r="J33" s="101">
        <f>_xlfn.XLOOKUP(C$7,Laitokset!$7:$7,Laitokset!42:42)</f>
        <v>8</v>
      </c>
      <c r="K33" s="75" t="str">
        <f>Laitokset!C42</f>
        <v>vuotta</v>
      </c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91"/>
      <c r="AL33" s="91"/>
      <c r="AM33" s="91"/>
      <c r="AN33" s="91"/>
      <c r="AO33" s="91"/>
      <c r="AP33" s="91"/>
      <c r="AQ33" s="91"/>
      <c r="AR33" s="91"/>
      <c r="AS33" s="91"/>
      <c r="AT33" s="91"/>
      <c r="AU33" s="91"/>
      <c r="AV33" s="91"/>
      <c r="AW33" s="91"/>
      <c r="AX33" s="91"/>
      <c r="AY33" s="91"/>
      <c r="AZ33" s="91"/>
      <c r="BA33" s="91"/>
      <c r="BB33" s="91"/>
      <c r="BC33" s="91"/>
      <c r="BD33" s="91"/>
      <c r="BE33" s="91"/>
      <c r="BF33" s="91"/>
      <c r="BG33" s="91"/>
      <c r="BH33" s="91"/>
      <c r="BI33" s="91"/>
      <c r="BJ33" s="91"/>
      <c r="BK33" s="91"/>
      <c r="BL33" s="91"/>
      <c r="BM33" s="91"/>
      <c r="BN33" s="91"/>
      <c r="BO33" s="91"/>
      <c r="BP33" s="91"/>
      <c r="BQ33" s="91"/>
      <c r="BR33" s="91"/>
      <c r="BS33" s="91"/>
      <c r="BT33" s="91"/>
      <c r="BU33" s="91"/>
      <c r="BV33" s="91"/>
    </row>
    <row r="34" spans="1:110" s="97" customFormat="1" ht="15.95" customHeight="1">
      <c r="A34" s="91"/>
      <c r="B34" s="91"/>
      <c r="C34" s="91"/>
      <c r="D34" s="91"/>
      <c r="E34" s="91"/>
      <c r="F34" s="91"/>
      <c r="G34" s="95"/>
      <c r="H34" s="86" t="str">
        <f>Laitokset!A58</f>
        <v>Infrastruktuurin hinta</v>
      </c>
      <c r="I34" s="86" t="str">
        <f>Laitokset!B58</f>
        <v>Matala</v>
      </c>
      <c r="J34" s="101">
        <f>_xlfn.XLOOKUP(C$7,Laitokset!$7:$7,Laitokset!58:58)</f>
        <v>0</v>
      </c>
      <c r="K34" s="75" t="str">
        <f>Laitokset!C58</f>
        <v>EUR</v>
      </c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  <c r="AC34" s="91"/>
      <c r="AD34" s="91"/>
      <c r="AE34" s="91"/>
      <c r="AF34" s="91"/>
      <c r="AG34" s="91"/>
      <c r="AH34" s="91"/>
      <c r="AI34" s="91"/>
      <c r="AJ34" s="91"/>
      <c r="AK34" s="91"/>
      <c r="AL34" s="91"/>
      <c r="AM34" s="91"/>
      <c r="AN34" s="91"/>
      <c r="AO34" s="91"/>
      <c r="AP34" s="91"/>
      <c r="AQ34" s="91"/>
      <c r="AR34" s="91"/>
      <c r="AS34" s="91"/>
      <c r="AT34" s="91"/>
      <c r="AU34" s="91"/>
      <c r="AV34" s="91"/>
      <c r="AW34" s="91"/>
      <c r="AX34" s="91"/>
      <c r="AY34" s="91"/>
      <c r="AZ34" s="91"/>
      <c r="BA34" s="91"/>
      <c r="BB34" s="91"/>
      <c r="BC34" s="91"/>
      <c r="BD34" s="91"/>
      <c r="BE34" s="91"/>
      <c r="BF34" s="91"/>
      <c r="BG34" s="91"/>
      <c r="BH34" s="91"/>
      <c r="BI34" s="91"/>
      <c r="BJ34" s="91"/>
      <c r="BK34" s="91"/>
      <c r="BL34" s="91"/>
      <c r="BM34" s="91"/>
      <c r="BN34" s="91"/>
      <c r="BO34" s="91"/>
      <c r="BP34" s="91"/>
      <c r="BQ34" s="91"/>
      <c r="BR34" s="91"/>
      <c r="BS34" s="91"/>
      <c r="BT34" s="91"/>
      <c r="BU34" s="91"/>
      <c r="BV34" s="91"/>
    </row>
    <row r="35" spans="1:110" s="97" customFormat="1" ht="15.95" customHeight="1">
      <c r="A35" s="91"/>
      <c r="B35" s="91"/>
      <c r="C35" s="91"/>
      <c r="D35" s="91"/>
      <c r="E35" s="91"/>
      <c r="F35" s="91"/>
      <c r="G35" s="91"/>
      <c r="H35" s="75"/>
      <c r="I35" s="86" t="str">
        <f>Laitokset!B59</f>
        <v>Keski</v>
      </c>
      <c r="J35" s="101">
        <f>_xlfn.XLOOKUP(C$7,Laitokset!$7:$7,Laitokset!59:59)</f>
        <v>0</v>
      </c>
      <c r="K35" s="75" t="str">
        <f>Laitokset!C59</f>
        <v>EUR</v>
      </c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  <c r="AC35" s="91"/>
      <c r="AD35" s="91"/>
      <c r="AE35" s="91"/>
      <c r="AF35" s="91"/>
      <c r="AG35" s="91"/>
      <c r="AH35" s="91"/>
      <c r="AI35" s="91"/>
      <c r="AJ35" s="91"/>
      <c r="AK35" s="91"/>
      <c r="AL35" s="91"/>
      <c r="AM35" s="91"/>
      <c r="AN35" s="91"/>
      <c r="AO35" s="91"/>
      <c r="AP35" s="91"/>
      <c r="AQ35" s="91"/>
      <c r="AR35" s="91"/>
      <c r="AS35" s="91"/>
      <c r="AT35" s="91"/>
      <c r="AU35" s="91"/>
      <c r="AV35" s="91"/>
      <c r="AW35" s="91"/>
      <c r="AX35" s="91"/>
      <c r="AY35" s="91"/>
      <c r="AZ35" s="91"/>
      <c r="BA35" s="91"/>
      <c r="BB35" s="91"/>
      <c r="BC35" s="91"/>
      <c r="BD35" s="91"/>
      <c r="BE35" s="91"/>
      <c r="BF35" s="91"/>
      <c r="BG35" s="91"/>
      <c r="BH35" s="91"/>
      <c r="BI35" s="91"/>
      <c r="BJ35" s="91"/>
      <c r="BK35" s="91"/>
      <c r="BL35" s="91"/>
      <c r="BM35" s="91"/>
      <c r="BN35" s="91"/>
      <c r="BO35" s="91"/>
      <c r="BP35" s="91"/>
      <c r="BQ35" s="91"/>
      <c r="BR35" s="91"/>
      <c r="BS35" s="91"/>
      <c r="BT35" s="91"/>
      <c r="BU35" s="91"/>
      <c r="BV35" s="91"/>
    </row>
    <row r="36" spans="1:110" s="97" customFormat="1" ht="15.95" customHeight="1">
      <c r="A36" s="91"/>
      <c r="B36" s="103"/>
      <c r="C36" s="91"/>
      <c r="D36" s="91"/>
      <c r="E36" s="91"/>
      <c r="F36" s="91"/>
      <c r="G36" s="91"/>
      <c r="H36" s="75"/>
      <c r="I36" s="86" t="str">
        <f>Laitokset!B60</f>
        <v>Korkea</v>
      </c>
      <c r="J36" s="101">
        <f>_xlfn.XLOOKUP(C$7,Laitokset!$7:$7,Laitokset!60:60)</f>
        <v>0</v>
      </c>
      <c r="K36" s="75" t="str">
        <f>Laitokset!C60</f>
        <v>EUR</v>
      </c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  <c r="AC36" s="91"/>
      <c r="AD36" s="91"/>
      <c r="AE36" s="91"/>
      <c r="AF36" s="91"/>
      <c r="AG36" s="91"/>
      <c r="AH36" s="91"/>
      <c r="AI36" s="91"/>
      <c r="AJ36" s="91"/>
      <c r="AK36" s="91"/>
      <c r="AL36" s="91"/>
      <c r="AM36" s="91"/>
      <c r="AN36" s="91"/>
      <c r="AO36" s="91"/>
      <c r="AP36" s="91"/>
      <c r="AQ36" s="91"/>
      <c r="AR36" s="91"/>
      <c r="AS36" s="91"/>
      <c r="AT36" s="91"/>
      <c r="AU36" s="91"/>
      <c r="AV36" s="91"/>
      <c r="AW36" s="91"/>
      <c r="AX36" s="91"/>
      <c r="AY36" s="91"/>
      <c r="AZ36" s="91"/>
      <c r="BA36" s="91"/>
      <c r="BB36" s="91"/>
      <c r="BC36" s="91"/>
      <c r="BD36" s="91"/>
      <c r="BE36" s="91"/>
      <c r="BF36" s="91"/>
      <c r="BG36" s="91"/>
      <c r="BH36" s="91"/>
      <c r="BI36" s="91"/>
      <c r="BJ36" s="91"/>
      <c r="BK36" s="91"/>
      <c r="BL36" s="91"/>
      <c r="BM36" s="91"/>
      <c r="BN36" s="91"/>
      <c r="BO36" s="91"/>
      <c r="BP36" s="91"/>
      <c r="BQ36" s="91"/>
      <c r="BR36" s="91"/>
      <c r="BS36" s="91"/>
      <c r="BT36" s="91"/>
      <c r="BU36" s="91"/>
      <c r="BV36" s="91"/>
    </row>
    <row r="37" spans="1:110" s="97" customFormat="1" ht="15.95" customHeight="1" thickBot="1">
      <c r="A37" s="91"/>
      <c r="B37" s="104" t="s">
        <v>95</v>
      </c>
      <c r="C37" s="105" t="str">
        <f>_xlfn.CONCAT(LEFT(J9,4)," EUR")</f>
        <v>2022 EUR</v>
      </c>
      <c r="D37" s="106"/>
      <c r="E37" s="107" t="s">
        <v>96</v>
      </c>
      <c r="F37" s="91"/>
      <c r="G37" s="91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  <c r="AC37" s="91"/>
      <c r="AD37" s="91"/>
      <c r="AE37" s="91"/>
      <c r="AF37" s="91"/>
      <c r="AG37" s="91"/>
      <c r="AH37" s="91"/>
      <c r="AI37" s="91"/>
      <c r="AJ37" s="91"/>
      <c r="AK37" s="91"/>
      <c r="AL37" s="91"/>
      <c r="AM37" s="91"/>
      <c r="AN37" s="91"/>
      <c r="AO37" s="91"/>
      <c r="AP37" s="91"/>
      <c r="AQ37" s="91"/>
      <c r="AR37" s="91"/>
      <c r="AS37" s="91"/>
      <c r="AT37" s="91"/>
      <c r="AU37" s="91"/>
      <c r="AV37" s="91"/>
      <c r="AW37" s="91"/>
      <c r="AX37" s="91"/>
      <c r="AY37" s="91"/>
      <c r="AZ37" s="91"/>
      <c r="BA37" s="91"/>
      <c r="BB37" s="91"/>
      <c r="BC37" s="91"/>
      <c r="BD37" s="91"/>
      <c r="BE37" s="91"/>
      <c r="BF37" s="91"/>
      <c r="BG37" s="91"/>
      <c r="BH37" s="91"/>
      <c r="BI37" s="91"/>
      <c r="BJ37" s="91"/>
      <c r="BK37" s="91"/>
      <c r="BL37" s="91"/>
      <c r="BM37" s="91"/>
      <c r="BN37" s="91"/>
      <c r="BO37" s="91"/>
      <c r="BP37" s="91"/>
      <c r="BQ37" s="91"/>
      <c r="BR37" s="91"/>
      <c r="BS37" s="91"/>
      <c r="BT37" s="91"/>
      <c r="BU37" s="91"/>
      <c r="BV37" s="91"/>
    </row>
    <row r="38" spans="1:110" s="97" customFormat="1" ht="15.95" customHeight="1" thickBot="1">
      <c r="A38" s="91"/>
      <c r="B38" s="75" t="s">
        <v>97</v>
      </c>
      <c r="C38" s="108">
        <f>SUM(C40:C48)</f>
        <v>71.737104246748132</v>
      </c>
      <c r="D38" s="109" t="s">
        <v>98</v>
      </c>
      <c r="E38" s="110">
        <f>C38*1.062</f>
        <v>76.184804710046521</v>
      </c>
      <c r="F38" s="91"/>
      <c r="G38" s="91"/>
      <c r="H38" s="82" t="s">
        <v>99</v>
      </c>
      <c r="I38" s="111"/>
      <c r="J38" s="111"/>
      <c r="K38" s="111"/>
      <c r="L38" s="111"/>
      <c r="M38" s="111"/>
      <c r="N38" s="111"/>
      <c r="O38" s="111"/>
      <c r="P38" s="111"/>
      <c r="Q38" s="111"/>
      <c r="R38" s="111"/>
      <c r="S38" s="111"/>
      <c r="T38" s="111"/>
      <c r="U38" s="111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1"/>
      <c r="AJ38" s="111"/>
      <c r="AK38" s="111"/>
      <c r="AL38" s="111"/>
      <c r="AM38" s="111"/>
      <c r="AN38" s="111"/>
      <c r="AO38" s="111"/>
      <c r="AP38" s="111"/>
      <c r="AQ38" s="111"/>
      <c r="AR38" s="111"/>
      <c r="AS38" s="111"/>
      <c r="AT38" s="111"/>
      <c r="AU38" s="111"/>
      <c r="AV38" s="111"/>
      <c r="AW38" s="111"/>
      <c r="AX38" s="111"/>
      <c r="AY38" s="111"/>
      <c r="AZ38" s="111"/>
      <c r="BA38" s="111"/>
      <c r="BB38" s="111"/>
      <c r="BC38" s="111"/>
      <c r="BD38" s="111"/>
      <c r="BE38" s="111"/>
      <c r="BF38" s="111"/>
      <c r="BG38" s="111"/>
      <c r="BH38" s="111"/>
      <c r="BI38" s="111"/>
      <c r="BJ38" s="111"/>
      <c r="BK38" s="111"/>
      <c r="BL38" s="111"/>
      <c r="BM38" s="111"/>
      <c r="BN38" s="111"/>
      <c r="BO38" s="111"/>
      <c r="BP38" s="111"/>
      <c r="BQ38" s="111"/>
      <c r="BR38" s="111"/>
      <c r="BS38" s="111"/>
      <c r="BT38" s="91"/>
      <c r="BU38" s="91"/>
      <c r="BV38" s="91"/>
    </row>
    <row r="39" spans="1:110" s="97" customFormat="1" ht="15.95" customHeight="1">
      <c r="A39" s="91"/>
      <c r="B39" s="112" t="s">
        <v>100</v>
      </c>
      <c r="C39" s="91"/>
      <c r="D39" s="91"/>
      <c r="E39" s="110"/>
      <c r="F39" s="91"/>
      <c r="G39" s="91"/>
      <c r="H39" s="75"/>
      <c r="I39" s="86"/>
      <c r="J39" s="89">
        <f>C19</f>
        <v>2028</v>
      </c>
      <c r="K39" s="89">
        <f>J39+1</f>
        <v>2029</v>
      </c>
      <c r="L39" s="89">
        <f t="shared" ref="L39:BS39" si="0">K39+1</f>
        <v>2030</v>
      </c>
      <c r="M39" s="89">
        <f t="shared" si="0"/>
        <v>2031</v>
      </c>
      <c r="N39" s="89">
        <f t="shared" si="0"/>
        <v>2032</v>
      </c>
      <c r="O39" s="89">
        <f t="shared" si="0"/>
        <v>2033</v>
      </c>
      <c r="P39" s="89">
        <f t="shared" si="0"/>
        <v>2034</v>
      </c>
      <c r="Q39" s="89">
        <f t="shared" si="0"/>
        <v>2035</v>
      </c>
      <c r="R39" s="89">
        <f t="shared" si="0"/>
        <v>2036</v>
      </c>
      <c r="S39" s="89">
        <f t="shared" si="0"/>
        <v>2037</v>
      </c>
      <c r="T39" s="89">
        <f t="shared" si="0"/>
        <v>2038</v>
      </c>
      <c r="U39" s="89">
        <f t="shared" si="0"/>
        <v>2039</v>
      </c>
      <c r="V39" s="89">
        <f t="shared" si="0"/>
        <v>2040</v>
      </c>
      <c r="W39" s="89">
        <f t="shared" si="0"/>
        <v>2041</v>
      </c>
      <c r="X39" s="89">
        <f t="shared" si="0"/>
        <v>2042</v>
      </c>
      <c r="Y39" s="89">
        <f t="shared" si="0"/>
        <v>2043</v>
      </c>
      <c r="Z39" s="89">
        <f t="shared" si="0"/>
        <v>2044</v>
      </c>
      <c r="AA39" s="89">
        <f t="shared" si="0"/>
        <v>2045</v>
      </c>
      <c r="AB39" s="89">
        <f t="shared" si="0"/>
        <v>2046</v>
      </c>
      <c r="AC39" s="89">
        <f t="shared" si="0"/>
        <v>2047</v>
      </c>
      <c r="AD39" s="89">
        <f t="shared" si="0"/>
        <v>2048</v>
      </c>
      <c r="AE39" s="89">
        <f t="shared" si="0"/>
        <v>2049</v>
      </c>
      <c r="AF39" s="89">
        <f t="shared" si="0"/>
        <v>2050</v>
      </c>
      <c r="AG39" s="89">
        <f t="shared" si="0"/>
        <v>2051</v>
      </c>
      <c r="AH39" s="89">
        <f t="shared" si="0"/>
        <v>2052</v>
      </c>
      <c r="AI39" s="89">
        <f t="shared" si="0"/>
        <v>2053</v>
      </c>
      <c r="AJ39" s="89">
        <f t="shared" si="0"/>
        <v>2054</v>
      </c>
      <c r="AK39" s="89">
        <f t="shared" si="0"/>
        <v>2055</v>
      </c>
      <c r="AL39" s="89">
        <f t="shared" si="0"/>
        <v>2056</v>
      </c>
      <c r="AM39" s="89">
        <f t="shared" si="0"/>
        <v>2057</v>
      </c>
      <c r="AN39" s="89">
        <f t="shared" si="0"/>
        <v>2058</v>
      </c>
      <c r="AO39" s="89">
        <f t="shared" si="0"/>
        <v>2059</v>
      </c>
      <c r="AP39" s="89">
        <f t="shared" si="0"/>
        <v>2060</v>
      </c>
      <c r="AQ39" s="89">
        <f t="shared" si="0"/>
        <v>2061</v>
      </c>
      <c r="AR39" s="89">
        <f t="shared" si="0"/>
        <v>2062</v>
      </c>
      <c r="AS39" s="89">
        <f t="shared" si="0"/>
        <v>2063</v>
      </c>
      <c r="AT39" s="89">
        <f t="shared" si="0"/>
        <v>2064</v>
      </c>
      <c r="AU39" s="89">
        <f t="shared" si="0"/>
        <v>2065</v>
      </c>
      <c r="AV39" s="89">
        <f t="shared" si="0"/>
        <v>2066</v>
      </c>
      <c r="AW39" s="89">
        <f t="shared" si="0"/>
        <v>2067</v>
      </c>
      <c r="AX39" s="89">
        <f t="shared" si="0"/>
        <v>2068</v>
      </c>
      <c r="AY39" s="89">
        <f t="shared" si="0"/>
        <v>2069</v>
      </c>
      <c r="AZ39" s="89">
        <f t="shared" si="0"/>
        <v>2070</v>
      </c>
      <c r="BA39" s="89">
        <f t="shared" si="0"/>
        <v>2071</v>
      </c>
      <c r="BB39" s="89">
        <f t="shared" si="0"/>
        <v>2072</v>
      </c>
      <c r="BC39" s="89">
        <f t="shared" si="0"/>
        <v>2073</v>
      </c>
      <c r="BD39" s="89">
        <f t="shared" si="0"/>
        <v>2074</v>
      </c>
      <c r="BE39" s="89">
        <f t="shared" si="0"/>
        <v>2075</v>
      </c>
      <c r="BF39" s="89">
        <f t="shared" si="0"/>
        <v>2076</v>
      </c>
      <c r="BG39" s="89">
        <f t="shared" si="0"/>
        <v>2077</v>
      </c>
      <c r="BH39" s="89">
        <f t="shared" si="0"/>
        <v>2078</v>
      </c>
      <c r="BI39" s="89">
        <f t="shared" si="0"/>
        <v>2079</v>
      </c>
      <c r="BJ39" s="89">
        <f t="shared" si="0"/>
        <v>2080</v>
      </c>
      <c r="BK39" s="89">
        <f t="shared" si="0"/>
        <v>2081</v>
      </c>
      <c r="BL39" s="89">
        <f t="shared" si="0"/>
        <v>2082</v>
      </c>
      <c r="BM39" s="89">
        <f t="shared" si="0"/>
        <v>2083</v>
      </c>
      <c r="BN39" s="89">
        <f t="shared" si="0"/>
        <v>2084</v>
      </c>
      <c r="BO39" s="89">
        <f t="shared" si="0"/>
        <v>2085</v>
      </c>
      <c r="BP39" s="89">
        <f t="shared" si="0"/>
        <v>2086</v>
      </c>
      <c r="BQ39" s="89">
        <f t="shared" si="0"/>
        <v>2087</v>
      </c>
      <c r="BR39" s="89">
        <f t="shared" si="0"/>
        <v>2088</v>
      </c>
      <c r="BS39" s="89">
        <f t="shared" si="0"/>
        <v>2089</v>
      </c>
      <c r="BT39" s="91"/>
      <c r="BU39" s="91"/>
      <c r="BV39" s="91"/>
    </row>
    <row r="40" spans="1:110" ht="15.95">
      <c r="A40" s="91"/>
      <c r="B40" s="91" t="s">
        <v>22</v>
      </c>
      <c r="C40" s="113">
        <f>H56</f>
        <v>0</v>
      </c>
      <c r="D40" s="75" t="s">
        <v>98</v>
      </c>
      <c r="E40" s="114">
        <f t="shared" ref="E40:E48" si="1">C40*1.062</f>
        <v>0</v>
      </c>
      <c r="F40" s="91"/>
      <c r="G40" s="91"/>
      <c r="H40" s="75" t="str">
        <f>_xlfn.CONCAT("Polttoaine: ",J11)</f>
        <v>Polttoaine: Uraani</v>
      </c>
      <c r="I40" s="86" t="str">
        <f>IF(J12="Kyllä","Kustannukset sis. OPEXiin",I129)</f>
        <v>Kustannukset sis. OPEXiin</v>
      </c>
      <c r="J40" s="115">
        <f>_xlfn.XLOOKUP(J$39,$J$128:$DF$128,$J129:$DF129)*IF($J$12="Kyllä",0,1)</f>
        <v>0</v>
      </c>
      <c r="K40" s="115">
        <f>_xlfn.XLOOKUP(K$39,$J$128:$DF$128,$J129:$DF129)*IF($J$12="Kyllä",0,1)</f>
        <v>0</v>
      </c>
      <c r="L40" s="115">
        <f>_xlfn.XLOOKUP(L$39,$J$128:$DF$128,$J129:$DF129)*IF($J$12="Kyllä",0,1)</f>
        <v>0</v>
      </c>
      <c r="M40" s="115">
        <f>_xlfn.XLOOKUP(M$39,$J$128:$DF$128,$J129:$DF129)*IF($J$12="Kyllä",0,1)</f>
        <v>0</v>
      </c>
      <c r="N40" s="115">
        <f>_xlfn.XLOOKUP(N$39,$J$128:$DF$128,$J129:$DF129)*IF($J$12="Kyllä",0,1)</f>
        <v>0</v>
      </c>
      <c r="O40" s="115">
        <f>_xlfn.XLOOKUP(O$39,$J$128:$DF$128,$J129:$DF129)*IF($J$12="Kyllä",0,1)</f>
        <v>0</v>
      </c>
      <c r="P40" s="115">
        <f>_xlfn.XLOOKUP(P$39,$J$128:$DF$128,$J129:$DF129)*IF($J$12="Kyllä",0,1)</f>
        <v>0</v>
      </c>
      <c r="Q40" s="115">
        <f>_xlfn.XLOOKUP(Q$39,$J$128:$DF$128,$J129:$DF129)*IF($J$12="Kyllä",0,1)</f>
        <v>0</v>
      </c>
      <c r="R40" s="115">
        <f>_xlfn.XLOOKUP(R$39,$J$128:$DF$128,$J129:$DF129)*IF($J$12="Kyllä",0,1)</f>
        <v>0</v>
      </c>
      <c r="S40" s="115">
        <f>_xlfn.XLOOKUP(S$39,$J$128:$DF$128,$J129:$DF129)*IF($J$12="Kyllä",0,1)</f>
        <v>0</v>
      </c>
      <c r="T40" s="115">
        <f>_xlfn.XLOOKUP(T$39,$J$128:$DF$128,$J129:$DF129)*IF($J$12="Kyllä",0,1)</f>
        <v>0</v>
      </c>
      <c r="U40" s="115">
        <f>_xlfn.XLOOKUP(U$39,$J$128:$DF$128,$J129:$DF129)*IF($J$12="Kyllä",0,1)</f>
        <v>0</v>
      </c>
      <c r="V40" s="115">
        <f>_xlfn.XLOOKUP(V$39,$J$128:$DF$128,$J129:$DF129)*IF($J$12="Kyllä",0,1)</f>
        <v>0</v>
      </c>
      <c r="W40" s="115">
        <f>_xlfn.XLOOKUP(W$39,$J$128:$DF$128,$J129:$DF129)*IF($J$12="Kyllä",0,1)</f>
        <v>0</v>
      </c>
      <c r="X40" s="115">
        <f>_xlfn.XLOOKUP(X$39,$J$128:$DF$128,$J129:$DF129)*IF($J$12="Kyllä",0,1)</f>
        <v>0</v>
      </c>
      <c r="Y40" s="115">
        <f>_xlfn.XLOOKUP(Y$39,$J$128:$DF$128,$J129:$DF129)*IF($J$12="Kyllä",0,1)</f>
        <v>0</v>
      </c>
      <c r="Z40" s="115">
        <f>_xlfn.XLOOKUP(Z$39,$J$128:$DF$128,$J129:$DF129)*IF($J$12="Kyllä",0,1)</f>
        <v>0</v>
      </c>
      <c r="AA40" s="115">
        <f>_xlfn.XLOOKUP(AA$39,$J$128:$DF$128,$J129:$DF129)*IF($J$12="Kyllä",0,1)</f>
        <v>0</v>
      </c>
      <c r="AB40" s="115">
        <f>_xlfn.XLOOKUP(AB$39,$J$128:$DF$128,$J129:$DF129)*IF($J$12="Kyllä",0,1)</f>
        <v>0</v>
      </c>
      <c r="AC40" s="115">
        <f>_xlfn.XLOOKUP(AC$39,$J$128:$DF$128,$J129:$DF129)*IF($J$12="Kyllä",0,1)</f>
        <v>0</v>
      </c>
      <c r="AD40" s="115">
        <f>_xlfn.XLOOKUP(AD$39,$J$128:$DF$128,$J129:$DF129)*IF($J$12="Kyllä",0,1)</f>
        <v>0</v>
      </c>
      <c r="AE40" s="115">
        <f>_xlfn.XLOOKUP(AE$39,$J$128:$DF$128,$J129:$DF129)*IF($J$12="Kyllä",0,1)</f>
        <v>0</v>
      </c>
      <c r="AF40" s="115">
        <f>_xlfn.XLOOKUP(AF$39,$J$128:$DF$128,$J129:$DF129)*IF($J$12="Kyllä",0,1)</f>
        <v>0</v>
      </c>
      <c r="AG40" s="115">
        <f>_xlfn.XLOOKUP(AG$39,$J$128:$DF$128,$J129:$DF129)*IF($J$12="Kyllä",0,1)</f>
        <v>0</v>
      </c>
      <c r="AH40" s="115">
        <f>_xlfn.XLOOKUP(AH$39,$J$128:$DF$128,$J129:$DF129)*IF($J$12="Kyllä",0,1)</f>
        <v>0</v>
      </c>
      <c r="AI40" s="115">
        <f>_xlfn.XLOOKUP(AI$39,$J$128:$DF$128,$J129:$DF129)*IF($J$12="Kyllä",0,1)</f>
        <v>0</v>
      </c>
      <c r="AJ40" s="115">
        <f>_xlfn.XLOOKUP(AJ$39,$J$128:$DF$128,$J129:$DF129)*IF($J$12="Kyllä",0,1)</f>
        <v>0</v>
      </c>
      <c r="AK40" s="115">
        <f>_xlfn.XLOOKUP(AK$39,$J$128:$DF$128,$J129:$DF129)*IF($J$12="Kyllä",0,1)</f>
        <v>0</v>
      </c>
      <c r="AL40" s="115">
        <f>_xlfn.XLOOKUP(AL$39,$J$128:$DF$128,$J129:$DF129)*IF($J$12="Kyllä",0,1)</f>
        <v>0</v>
      </c>
      <c r="AM40" s="115">
        <f>_xlfn.XLOOKUP(AM$39,$J$128:$DF$128,$J129:$DF129)*IF($J$12="Kyllä",0,1)</f>
        <v>0</v>
      </c>
      <c r="AN40" s="115">
        <f>_xlfn.XLOOKUP(AN$39,$J$128:$DF$128,$J129:$DF129)*IF($J$12="Kyllä",0,1)</f>
        <v>0</v>
      </c>
      <c r="AO40" s="115">
        <f>_xlfn.XLOOKUP(AO$39,$J$128:$DF$128,$J129:$DF129)*IF($J$12="Kyllä",0,1)</f>
        <v>0</v>
      </c>
      <c r="AP40" s="115">
        <f>_xlfn.XLOOKUP(AP$39,$J$128:$DF$128,$J129:$DF129)*IF($J$12="Kyllä",0,1)</f>
        <v>0</v>
      </c>
      <c r="AQ40" s="115">
        <f>_xlfn.XLOOKUP(AQ$39,$J$128:$DF$128,$J129:$DF129)*IF($J$12="Kyllä",0,1)</f>
        <v>0</v>
      </c>
      <c r="AR40" s="115">
        <f>_xlfn.XLOOKUP(AR$39,$J$128:$DF$128,$J129:$DF129)*IF($J$12="Kyllä",0,1)</f>
        <v>0</v>
      </c>
      <c r="AS40" s="115">
        <f>_xlfn.XLOOKUP(AS$39,$J$128:$DF$128,$J129:$DF129)*IF($J$12="Kyllä",0,1)</f>
        <v>0</v>
      </c>
      <c r="AT40" s="115">
        <f>_xlfn.XLOOKUP(AT$39,$J$128:$DF$128,$J129:$DF129)*IF($J$12="Kyllä",0,1)</f>
        <v>0</v>
      </c>
      <c r="AU40" s="115">
        <f>_xlfn.XLOOKUP(AU$39,$J$128:$DF$128,$J129:$DF129)*IF($J$12="Kyllä",0,1)</f>
        <v>0</v>
      </c>
      <c r="AV40" s="115">
        <f>_xlfn.XLOOKUP(AV$39,$J$128:$DF$128,$J129:$DF129)*IF($J$12="Kyllä",0,1)</f>
        <v>0</v>
      </c>
      <c r="AW40" s="115">
        <f>_xlfn.XLOOKUP(AW$39,$J$128:$DF$128,$J129:$DF129)*IF($J$12="Kyllä",0,1)</f>
        <v>0</v>
      </c>
      <c r="AX40" s="115">
        <f>_xlfn.XLOOKUP(AX$39,$J$128:$DF$128,$J129:$DF129)*IF($J$12="Kyllä",0,1)</f>
        <v>0</v>
      </c>
      <c r="AY40" s="115">
        <f>_xlfn.XLOOKUP(AY$39,$J$128:$DF$128,$J129:$DF129)*IF($J$12="Kyllä",0,1)</f>
        <v>0</v>
      </c>
      <c r="AZ40" s="115">
        <f>_xlfn.XLOOKUP(AZ$39,$J$128:$DF$128,$J129:$DF129)*IF($J$12="Kyllä",0,1)</f>
        <v>0</v>
      </c>
      <c r="BA40" s="115">
        <f>_xlfn.XLOOKUP(BA$39,$J$128:$DF$128,$J129:$DF129)*IF($J$12="Kyllä",0,1)</f>
        <v>0</v>
      </c>
      <c r="BB40" s="115">
        <f>_xlfn.XLOOKUP(BB$39,$J$128:$DF$128,$J129:$DF129)*IF($J$12="Kyllä",0,1)</f>
        <v>0</v>
      </c>
      <c r="BC40" s="115">
        <f>_xlfn.XLOOKUP(BC$39,$J$128:$DF$128,$J129:$DF129)*IF($J$12="Kyllä",0,1)</f>
        <v>0</v>
      </c>
      <c r="BD40" s="115">
        <f>_xlfn.XLOOKUP(BD$39,$J$128:$DF$128,$J129:$DF129)*IF($J$12="Kyllä",0,1)</f>
        <v>0</v>
      </c>
      <c r="BE40" s="115">
        <f>_xlfn.XLOOKUP(BE$39,$J$128:$DF$128,$J129:$DF129)*IF($J$12="Kyllä",0,1)</f>
        <v>0</v>
      </c>
      <c r="BF40" s="115">
        <f>_xlfn.XLOOKUP(BF$39,$J$128:$DF$128,$J129:$DF129)*IF($J$12="Kyllä",0,1)</f>
        <v>0</v>
      </c>
      <c r="BG40" s="115">
        <f>_xlfn.XLOOKUP(BG$39,$J$128:$DF$128,$J129:$DF129)*IF($J$12="Kyllä",0,1)</f>
        <v>0</v>
      </c>
      <c r="BH40" s="115">
        <f>_xlfn.XLOOKUP(BH$39,$J$128:$DF$128,$J129:$DF129)*IF($J$12="Kyllä",0,1)</f>
        <v>0</v>
      </c>
      <c r="BI40" s="115">
        <f>_xlfn.XLOOKUP(BI$39,$J$128:$DF$128,$J129:$DF129)*IF($J$12="Kyllä",0,1)</f>
        <v>0</v>
      </c>
      <c r="BJ40" s="115">
        <f>_xlfn.XLOOKUP(BJ$39,$J$128:$DF$128,$J129:$DF129)*IF($J$12="Kyllä",0,1)</f>
        <v>0</v>
      </c>
      <c r="BK40" s="115">
        <f>_xlfn.XLOOKUP(BK$39,$J$128:$DF$128,$J129:$DF129)*IF($J$12="Kyllä",0,1)</f>
        <v>0</v>
      </c>
      <c r="BL40" s="115">
        <f>_xlfn.XLOOKUP(BL$39,$J$128:$DF$128,$J129:$DF129)*IF($J$12="Kyllä",0,1)</f>
        <v>0</v>
      </c>
      <c r="BM40" s="115">
        <f>_xlfn.XLOOKUP(BM$39,$J$128:$DF$128,$J129:$DF129)*IF($J$12="Kyllä",0,1)</f>
        <v>0</v>
      </c>
      <c r="BN40" s="115">
        <f>_xlfn.XLOOKUP(BN$39,$J$128:$DF$128,$J129:$DF129)*IF($J$12="Kyllä",0,1)</f>
        <v>0</v>
      </c>
      <c r="BO40" s="115">
        <f>_xlfn.XLOOKUP(BO$39,$J$128:$DF$128,$J129:$DF129)*IF($J$12="Kyllä",0,1)</f>
        <v>0</v>
      </c>
      <c r="BP40" s="115">
        <f>_xlfn.XLOOKUP(BP$39,$J$128:$DF$128,$J129:$DF129)*IF($J$12="Kyllä",0,1)</f>
        <v>0</v>
      </c>
      <c r="BQ40" s="115">
        <f>_xlfn.XLOOKUP(BQ$39,$J$128:$DF$128,$J129:$DF129)*IF($J$12="Kyllä",0,1)</f>
        <v>0</v>
      </c>
      <c r="BR40" s="115">
        <f>_xlfn.XLOOKUP(BR$39,$J$128:$DF$128,$J129:$DF129)*IF($J$12="Kyllä",0,1)</f>
        <v>0</v>
      </c>
      <c r="BS40" s="115">
        <f>_xlfn.XLOOKUP(BS$39,$J$128:$DF$128,$J129:$DF129)*IF($J$12="Kyllä",0,1)</f>
        <v>0</v>
      </c>
      <c r="BT40" s="91"/>
      <c r="BU40" s="91"/>
      <c r="BV40" s="91"/>
      <c r="BW40" s="97"/>
      <c r="BX40" s="97"/>
      <c r="BY40" s="97"/>
      <c r="BZ40" s="97"/>
      <c r="CA40" s="97"/>
      <c r="CB40" s="97"/>
      <c r="CC40" s="97"/>
      <c r="CD40" s="97"/>
      <c r="CE40" s="97"/>
      <c r="CF40" s="97"/>
      <c r="CG40" s="97"/>
      <c r="CH40" s="97"/>
      <c r="CI40" s="97"/>
      <c r="CJ40" s="97"/>
      <c r="CK40" s="97"/>
      <c r="CL40" s="97"/>
      <c r="CM40" s="97"/>
      <c r="CN40" s="97"/>
      <c r="CO40" s="97"/>
      <c r="CP40" s="97"/>
      <c r="CQ40" s="97"/>
      <c r="CR40" s="97"/>
      <c r="CS40" s="97"/>
      <c r="CT40" s="97"/>
      <c r="CU40" s="97"/>
      <c r="CV40" s="97"/>
      <c r="CW40" s="97"/>
      <c r="CX40" s="97"/>
      <c r="CY40" s="97"/>
      <c r="CZ40" s="97"/>
      <c r="DA40" s="97"/>
      <c r="DB40" s="97"/>
      <c r="DC40" s="97"/>
      <c r="DD40" s="97"/>
      <c r="DE40" s="97"/>
      <c r="DF40" s="97"/>
    </row>
    <row r="41" spans="1:110" ht="15.95">
      <c r="A41" s="75"/>
      <c r="B41" s="91" t="s">
        <v>101</v>
      </c>
      <c r="C41" s="115">
        <f>H65</f>
        <v>55.217104246748129</v>
      </c>
      <c r="D41" s="75" t="s">
        <v>98</v>
      </c>
      <c r="E41" s="114">
        <f t="shared" si="1"/>
        <v>58.640564710046519</v>
      </c>
      <c r="F41" s="75"/>
      <c r="G41" s="75"/>
      <c r="H41" s="75" t="s">
        <v>32</v>
      </c>
      <c r="I41" s="86" t="s">
        <v>102</v>
      </c>
      <c r="J41" s="116">
        <f>_xlfn.XLOOKUP(J$39,$J$128:$DF$128,$J130:$DF130)</f>
        <v>0</v>
      </c>
      <c r="K41" s="116">
        <f>_xlfn.XLOOKUP(K$39,$J$128:$DF$128,$J130:$DF130)</f>
        <v>0</v>
      </c>
      <c r="L41" s="116">
        <f>_xlfn.XLOOKUP(L$39,$J$128:$DF$128,$J130:$DF130)</f>
        <v>0</v>
      </c>
      <c r="M41" s="116">
        <f>_xlfn.XLOOKUP(M$39,$J$128:$DF$128,$J130:$DF130)</f>
        <v>0</v>
      </c>
      <c r="N41" s="116">
        <f>_xlfn.XLOOKUP(N$39,$J$128:$DF$128,$J130:$DF130)</f>
        <v>0</v>
      </c>
      <c r="O41" s="116">
        <f>_xlfn.XLOOKUP(O$39,$J$128:$DF$128,$J130:$DF130)</f>
        <v>0</v>
      </c>
      <c r="P41" s="116">
        <f>_xlfn.XLOOKUP(P$39,$J$128:$DF$128,$J130:$DF130)</f>
        <v>0</v>
      </c>
      <c r="Q41" s="116">
        <f>_xlfn.XLOOKUP(Q$39,$J$128:$DF$128,$J130:$DF130)</f>
        <v>0</v>
      </c>
      <c r="R41" s="116">
        <f>_xlfn.XLOOKUP(R$39,$J$128:$DF$128,$J130:$DF130)</f>
        <v>0</v>
      </c>
      <c r="S41" s="116">
        <f>_xlfn.XLOOKUP(S$39,$J$128:$DF$128,$J130:$DF130)</f>
        <v>0</v>
      </c>
      <c r="T41" s="116">
        <f>_xlfn.XLOOKUP(T$39,$J$128:$DF$128,$J130:$DF130)</f>
        <v>0</v>
      </c>
      <c r="U41" s="116">
        <f>_xlfn.XLOOKUP(U$39,$J$128:$DF$128,$J130:$DF130)</f>
        <v>0</v>
      </c>
      <c r="V41" s="116">
        <f>_xlfn.XLOOKUP(V$39,$J$128:$DF$128,$J130:$DF130)</f>
        <v>0</v>
      </c>
      <c r="W41" s="116">
        <f>_xlfn.XLOOKUP(W$39,$J$128:$DF$128,$J130:$DF130)</f>
        <v>0</v>
      </c>
      <c r="X41" s="116">
        <f>_xlfn.XLOOKUP(X$39,$J$128:$DF$128,$J130:$DF130)</f>
        <v>0</v>
      </c>
      <c r="Y41" s="116">
        <f>_xlfn.XLOOKUP(Y$39,$J$128:$DF$128,$J130:$DF130)</f>
        <v>0</v>
      </c>
      <c r="Z41" s="116">
        <f>_xlfn.XLOOKUP(Z$39,$J$128:$DF$128,$J130:$DF130)</f>
        <v>0</v>
      </c>
      <c r="AA41" s="116">
        <f>_xlfn.XLOOKUP(AA$39,$J$128:$DF$128,$J130:$DF130)</f>
        <v>0</v>
      </c>
      <c r="AB41" s="116">
        <f>_xlfn.XLOOKUP(AB$39,$J$128:$DF$128,$J130:$DF130)</f>
        <v>0</v>
      </c>
      <c r="AC41" s="116">
        <f>_xlfn.XLOOKUP(AC$39,$J$128:$DF$128,$J130:$DF130)</f>
        <v>0</v>
      </c>
      <c r="AD41" s="116">
        <f>_xlfn.XLOOKUP(AD$39,$J$128:$DF$128,$J130:$DF130)</f>
        <v>0</v>
      </c>
      <c r="AE41" s="116">
        <f>_xlfn.XLOOKUP(AE$39,$J$128:$DF$128,$J130:$DF130)</f>
        <v>0</v>
      </c>
      <c r="AF41" s="116">
        <f>_xlfn.XLOOKUP(AF$39,$J$128:$DF$128,$J130:$DF130)</f>
        <v>0</v>
      </c>
      <c r="AG41" s="116">
        <f>_xlfn.XLOOKUP(AG$39,$J$128:$DF$128,$J130:$DF130)</f>
        <v>0</v>
      </c>
      <c r="AH41" s="116">
        <f>_xlfn.XLOOKUP(AH$39,$J$128:$DF$128,$J130:$DF130)</f>
        <v>0</v>
      </c>
      <c r="AI41" s="116">
        <f>_xlfn.XLOOKUP(AI$39,$J$128:$DF$128,$J130:$DF130)</f>
        <v>0</v>
      </c>
      <c r="AJ41" s="116">
        <f>_xlfn.XLOOKUP(AJ$39,$J$128:$DF$128,$J130:$DF130)</f>
        <v>0</v>
      </c>
      <c r="AK41" s="116">
        <f>_xlfn.XLOOKUP(AK$39,$J$128:$DF$128,$J130:$DF130)</f>
        <v>0</v>
      </c>
      <c r="AL41" s="116">
        <f>_xlfn.XLOOKUP(AL$39,$J$128:$DF$128,$J130:$DF130)</f>
        <v>0</v>
      </c>
      <c r="AM41" s="116">
        <f>_xlfn.XLOOKUP(AM$39,$J$128:$DF$128,$J130:$DF130)</f>
        <v>0</v>
      </c>
      <c r="AN41" s="116">
        <f>_xlfn.XLOOKUP(AN$39,$J$128:$DF$128,$J130:$DF130)</f>
        <v>0</v>
      </c>
      <c r="AO41" s="116">
        <f>_xlfn.XLOOKUP(AO$39,$J$128:$DF$128,$J130:$DF130)</f>
        <v>0</v>
      </c>
      <c r="AP41" s="116">
        <f>_xlfn.XLOOKUP(AP$39,$J$128:$DF$128,$J130:$DF130)</f>
        <v>0</v>
      </c>
      <c r="AQ41" s="116">
        <f>_xlfn.XLOOKUP(AQ$39,$J$128:$DF$128,$J130:$DF130)</f>
        <v>0</v>
      </c>
      <c r="AR41" s="116">
        <f>_xlfn.XLOOKUP(AR$39,$J$128:$DF$128,$J130:$DF130)</f>
        <v>0</v>
      </c>
      <c r="AS41" s="116">
        <f>_xlfn.XLOOKUP(AS$39,$J$128:$DF$128,$J130:$DF130)</f>
        <v>0</v>
      </c>
      <c r="AT41" s="116">
        <f>_xlfn.XLOOKUP(AT$39,$J$128:$DF$128,$J130:$DF130)</f>
        <v>0</v>
      </c>
      <c r="AU41" s="116">
        <f>_xlfn.XLOOKUP(AU$39,$J$128:$DF$128,$J130:$DF130)</f>
        <v>0</v>
      </c>
      <c r="AV41" s="116">
        <f>_xlfn.XLOOKUP(AV$39,$J$128:$DF$128,$J130:$DF130)</f>
        <v>0</v>
      </c>
      <c r="AW41" s="116">
        <f>_xlfn.XLOOKUP(AW$39,$J$128:$DF$128,$J130:$DF130)</f>
        <v>0</v>
      </c>
      <c r="AX41" s="116">
        <f>_xlfn.XLOOKUP(AX$39,$J$128:$DF$128,$J130:$DF130)</f>
        <v>0</v>
      </c>
      <c r="AY41" s="116">
        <f>_xlfn.XLOOKUP(AY$39,$J$128:$DF$128,$J130:$DF130)</f>
        <v>0</v>
      </c>
      <c r="AZ41" s="116">
        <f>_xlfn.XLOOKUP(AZ$39,$J$128:$DF$128,$J130:$DF130)</f>
        <v>0</v>
      </c>
      <c r="BA41" s="116">
        <f>_xlfn.XLOOKUP(BA$39,$J$128:$DF$128,$J130:$DF130)</f>
        <v>0</v>
      </c>
      <c r="BB41" s="116">
        <f>_xlfn.XLOOKUP(BB$39,$J$128:$DF$128,$J130:$DF130)</f>
        <v>0</v>
      </c>
      <c r="BC41" s="116">
        <f>_xlfn.XLOOKUP(BC$39,$J$128:$DF$128,$J130:$DF130)</f>
        <v>0</v>
      </c>
      <c r="BD41" s="116">
        <f>_xlfn.XLOOKUP(BD$39,$J$128:$DF$128,$J130:$DF130)</f>
        <v>0</v>
      </c>
      <c r="BE41" s="116">
        <f>_xlfn.XLOOKUP(BE$39,$J$128:$DF$128,$J130:$DF130)</f>
        <v>0</v>
      </c>
      <c r="BF41" s="116">
        <f>_xlfn.XLOOKUP(BF$39,$J$128:$DF$128,$J130:$DF130)</f>
        <v>0</v>
      </c>
      <c r="BG41" s="116">
        <f>_xlfn.XLOOKUP(BG$39,$J$128:$DF$128,$J130:$DF130)</f>
        <v>0</v>
      </c>
      <c r="BH41" s="116">
        <f>_xlfn.XLOOKUP(BH$39,$J$128:$DF$128,$J130:$DF130)</f>
        <v>0</v>
      </c>
      <c r="BI41" s="116">
        <f>_xlfn.XLOOKUP(BI$39,$J$128:$DF$128,$J130:$DF130)</f>
        <v>0</v>
      </c>
      <c r="BJ41" s="116">
        <f>_xlfn.XLOOKUP(BJ$39,$J$128:$DF$128,$J130:$DF130)</f>
        <v>0</v>
      </c>
      <c r="BK41" s="116">
        <f>_xlfn.XLOOKUP(BK$39,$J$128:$DF$128,$J130:$DF130)</f>
        <v>0</v>
      </c>
      <c r="BL41" s="116">
        <f>_xlfn.XLOOKUP(BL$39,$J$128:$DF$128,$J130:$DF130)</f>
        <v>0</v>
      </c>
      <c r="BM41" s="116">
        <f>_xlfn.XLOOKUP(BM$39,$J$128:$DF$128,$J130:$DF130)</f>
        <v>0</v>
      </c>
      <c r="BN41" s="116">
        <f>_xlfn.XLOOKUP(BN$39,$J$128:$DF$128,$J130:$DF130)</f>
        <v>0</v>
      </c>
      <c r="BO41" s="116">
        <f>_xlfn.XLOOKUP(BO$39,$J$128:$DF$128,$J130:$DF130)</f>
        <v>0</v>
      </c>
      <c r="BP41" s="116">
        <f>_xlfn.XLOOKUP(BP$39,$J$128:$DF$128,$J130:$DF130)</f>
        <v>0</v>
      </c>
      <c r="BQ41" s="116">
        <f>_xlfn.XLOOKUP(BQ$39,$J$128:$DF$128,$J130:$DF130)</f>
        <v>0</v>
      </c>
      <c r="BR41" s="116">
        <f>_xlfn.XLOOKUP(BR$39,$J$128:$DF$128,$J130:$DF130)</f>
        <v>0</v>
      </c>
      <c r="BS41" s="116">
        <f>_xlfn.XLOOKUP(BS$39,$J$128:$DF$128,$J130:$DF130)</f>
        <v>0</v>
      </c>
      <c r="BT41" s="91"/>
      <c r="BU41" s="91"/>
      <c r="BV41" s="91"/>
      <c r="BW41" s="97"/>
      <c r="BX41" s="97"/>
      <c r="BY41" s="97"/>
      <c r="BZ41" s="97"/>
      <c r="CA41" s="97"/>
      <c r="CB41" s="97"/>
      <c r="CC41" s="97"/>
      <c r="CD41" s="97"/>
      <c r="CE41" s="97"/>
      <c r="CF41" s="97"/>
      <c r="CG41" s="97"/>
      <c r="CH41" s="97"/>
      <c r="CI41" s="97"/>
      <c r="CJ41" s="97"/>
      <c r="CK41" s="97"/>
      <c r="CL41" s="97"/>
      <c r="CM41" s="97"/>
      <c r="CN41" s="97"/>
      <c r="CO41" s="97"/>
      <c r="CP41" s="97"/>
      <c r="CQ41" s="97"/>
      <c r="CR41" s="97"/>
      <c r="CS41" s="97"/>
      <c r="CT41" s="97"/>
      <c r="CU41" s="97"/>
      <c r="CV41" s="97"/>
      <c r="CW41" s="97"/>
      <c r="CX41" s="97"/>
      <c r="CY41" s="97"/>
      <c r="CZ41" s="97"/>
      <c r="DA41" s="97"/>
      <c r="DB41" s="97"/>
      <c r="DC41" s="97"/>
      <c r="DD41" s="97"/>
      <c r="DE41" s="97"/>
      <c r="DF41" s="97"/>
    </row>
    <row r="42" spans="1:110" ht="15.95">
      <c r="A42" s="75"/>
      <c r="B42" s="91" t="s">
        <v>103</v>
      </c>
      <c r="C42" s="115">
        <f>H73</f>
        <v>0</v>
      </c>
      <c r="D42" s="75" t="s">
        <v>98</v>
      </c>
      <c r="E42" s="114">
        <f t="shared" si="1"/>
        <v>0</v>
      </c>
      <c r="F42" s="91"/>
      <c r="G42" s="91"/>
      <c r="H42" s="75" t="s">
        <v>104</v>
      </c>
      <c r="I42" s="86" t="str">
        <f>I131</f>
        <v>2022 EUR/tCO2e</v>
      </c>
      <c r="J42" s="115">
        <f>_xlfn.XLOOKUP(J$39,$J$128:$DF$128,$J131:$DF131)</f>
        <v>34.872684</v>
      </c>
      <c r="K42" s="115">
        <f>_xlfn.XLOOKUP(K$39,$J$128:$DF$128,$J131:$DF131)</f>
        <v>35.350392000000006</v>
      </c>
      <c r="L42" s="115">
        <f>_xlfn.XLOOKUP(L$39,$J$128:$DF$128,$J131:$DF131)</f>
        <v>35.828099999999999</v>
      </c>
      <c r="M42" s="115">
        <f>_xlfn.XLOOKUP(M$39,$J$128:$DF$128,$J131:$DF131)</f>
        <v>38.216639999999998</v>
      </c>
      <c r="N42" s="115">
        <f>_xlfn.XLOOKUP(N$39,$J$128:$DF$128,$J131:$DF131)</f>
        <v>40.605179999999997</v>
      </c>
      <c r="O42" s="115">
        <f>_xlfn.XLOOKUP(O$39,$J$128:$DF$128,$J131:$DF131)</f>
        <v>42.993720000000003</v>
      </c>
      <c r="P42" s="115">
        <f>_xlfn.XLOOKUP(P$39,$J$128:$DF$128,$J131:$DF131)</f>
        <v>45.382260000000002</v>
      </c>
      <c r="Q42" s="115">
        <f>_xlfn.XLOOKUP(Q$39,$J$128:$DF$128,$J131:$DF131)</f>
        <v>47.770799999999994</v>
      </c>
      <c r="R42" s="115">
        <f>_xlfn.XLOOKUP(R$39,$J$128:$DF$128,$J131:$DF131)</f>
        <v>50.864527999999993</v>
      </c>
      <c r="S42" s="115">
        <f>_xlfn.XLOOKUP(S$39,$J$128:$DF$128,$J131:$DF131)</f>
        <v>53.958255999999992</v>
      </c>
      <c r="T42" s="115">
        <f>_xlfn.XLOOKUP(T$39,$J$128:$DF$128,$J131:$DF131)</f>
        <v>57.05198399999999</v>
      </c>
      <c r="U42" s="115">
        <f>_xlfn.XLOOKUP(U$39,$J$128:$DF$128,$J131:$DF131)</f>
        <v>60.145711999999989</v>
      </c>
      <c r="V42" s="115">
        <f>_xlfn.XLOOKUP(V$39,$J$128:$DF$128,$J131:$DF131)</f>
        <v>63.239439999999995</v>
      </c>
      <c r="W42" s="115">
        <f>_xlfn.XLOOKUP(W$39,$J$128:$DF$128,$J131:$DF131)</f>
        <v>63.239439999999995</v>
      </c>
      <c r="X42" s="115">
        <f>_xlfn.XLOOKUP(X$39,$J$128:$DF$128,$J131:$DF131)</f>
        <v>63.239439999999995</v>
      </c>
      <c r="Y42" s="115">
        <f>_xlfn.XLOOKUP(Y$39,$J$128:$DF$128,$J131:$DF131)</f>
        <v>63.239439999999995</v>
      </c>
      <c r="Z42" s="115">
        <f>_xlfn.XLOOKUP(Z$39,$J$128:$DF$128,$J131:$DF131)</f>
        <v>63.239439999999995</v>
      </c>
      <c r="AA42" s="115">
        <f>_xlfn.XLOOKUP(AA$39,$J$128:$DF$128,$J131:$DF131)</f>
        <v>63.239439999999995</v>
      </c>
      <c r="AB42" s="115">
        <f>_xlfn.XLOOKUP(AB$39,$J$128:$DF$128,$J131:$DF131)</f>
        <v>63.239439999999995</v>
      </c>
      <c r="AC42" s="115">
        <f>_xlfn.XLOOKUP(AC$39,$J$128:$DF$128,$J131:$DF131)</f>
        <v>63.239439999999995</v>
      </c>
      <c r="AD42" s="115">
        <f>_xlfn.XLOOKUP(AD$39,$J$128:$DF$128,$J131:$DF131)</f>
        <v>63.239439999999995</v>
      </c>
      <c r="AE42" s="115">
        <f>_xlfn.XLOOKUP(AE$39,$J$128:$DF$128,$J131:$DF131)</f>
        <v>63.239439999999995</v>
      </c>
      <c r="AF42" s="115">
        <f>_xlfn.XLOOKUP(AF$39,$J$128:$DF$128,$J131:$DF131)</f>
        <v>63.239439999999995</v>
      </c>
      <c r="AG42" s="115">
        <f>_xlfn.XLOOKUP(AG$39,$J$128:$DF$128,$J131:$DF131)</f>
        <v>63.239439999999995</v>
      </c>
      <c r="AH42" s="115">
        <f>_xlfn.XLOOKUP(AH$39,$J$128:$DF$128,$J131:$DF131)</f>
        <v>63.239439999999995</v>
      </c>
      <c r="AI42" s="115">
        <f>_xlfn.XLOOKUP(AI$39,$J$128:$DF$128,$J131:$DF131)</f>
        <v>63.239439999999995</v>
      </c>
      <c r="AJ42" s="115">
        <f>_xlfn.XLOOKUP(AJ$39,$J$128:$DF$128,$J131:$DF131)</f>
        <v>63.239439999999995</v>
      </c>
      <c r="AK42" s="115">
        <f>_xlfn.XLOOKUP(AK$39,$J$128:$DF$128,$J131:$DF131)</f>
        <v>63.239439999999995</v>
      </c>
      <c r="AL42" s="115">
        <f>_xlfn.XLOOKUP(AL$39,$J$128:$DF$128,$J131:$DF131)</f>
        <v>63.239439999999995</v>
      </c>
      <c r="AM42" s="115">
        <f>_xlfn.XLOOKUP(AM$39,$J$128:$DF$128,$J131:$DF131)</f>
        <v>63.239439999999995</v>
      </c>
      <c r="AN42" s="115">
        <f>_xlfn.XLOOKUP(AN$39,$J$128:$DF$128,$J131:$DF131)</f>
        <v>63.239439999999995</v>
      </c>
      <c r="AO42" s="115">
        <f>_xlfn.XLOOKUP(AO$39,$J$128:$DF$128,$J131:$DF131)</f>
        <v>63.239439999999995</v>
      </c>
      <c r="AP42" s="115">
        <f>_xlfn.XLOOKUP(AP$39,$J$128:$DF$128,$J131:$DF131)</f>
        <v>63.239439999999995</v>
      </c>
      <c r="AQ42" s="115">
        <f>_xlfn.XLOOKUP(AQ$39,$J$128:$DF$128,$J131:$DF131)</f>
        <v>63.239439999999995</v>
      </c>
      <c r="AR42" s="115">
        <f>_xlfn.XLOOKUP(AR$39,$J$128:$DF$128,$J131:$DF131)</f>
        <v>63.239439999999995</v>
      </c>
      <c r="AS42" s="115">
        <f>_xlfn.XLOOKUP(AS$39,$J$128:$DF$128,$J131:$DF131)</f>
        <v>63.239439999999995</v>
      </c>
      <c r="AT42" s="115">
        <f>_xlfn.XLOOKUP(AT$39,$J$128:$DF$128,$J131:$DF131)</f>
        <v>63.239439999999995</v>
      </c>
      <c r="AU42" s="115">
        <f>_xlfn.XLOOKUP(AU$39,$J$128:$DF$128,$J131:$DF131)</f>
        <v>63.239439999999995</v>
      </c>
      <c r="AV42" s="115">
        <f>_xlfn.XLOOKUP(AV$39,$J$128:$DF$128,$J131:$DF131)</f>
        <v>63.239439999999995</v>
      </c>
      <c r="AW42" s="115">
        <f>_xlfn.XLOOKUP(AW$39,$J$128:$DF$128,$J131:$DF131)</f>
        <v>63.239439999999995</v>
      </c>
      <c r="AX42" s="115">
        <f>_xlfn.XLOOKUP(AX$39,$J$128:$DF$128,$J131:$DF131)</f>
        <v>63.239439999999995</v>
      </c>
      <c r="AY42" s="115">
        <f>_xlfn.XLOOKUP(AY$39,$J$128:$DF$128,$J131:$DF131)</f>
        <v>63.239439999999995</v>
      </c>
      <c r="AZ42" s="115">
        <f>_xlfn.XLOOKUP(AZ$39,$J$128:$DF$128,$J131:$DF131)</f>
        <v>63.239439999999995</v>
      </c>
      <c r="BA42" s="115">
        <f>_xlfn.XLOOKUP(BA$39,$J$128:$DF$128,$J131:$DF131)</f>
        <v>63.239439999999995</v>
      </c>
      <c r="BB42" s="115">
        <f>_xlfn.XLOOKUP(BB$39,$J$128:$DF$128,$J131:$DF131)</f>
        <v>63.239439999999995</v>
      </c>
      <c r="BC42" s="115">
        <f>_xlfn.XLOOKUP(BC$39,$J$128:$DF$128,$J131:$DF131)</f>
        <v>63.239439999999995</v>
      </c>
      <c r="BD42" s="115">
        <f>_xlfn.XLOOKUP(BD$39,$J$128:$DF$128,$J131:$DF131)</f>
        <v>63.239439999999995</v>
      </c>
      <c r="BE42" s="115">
        <f>_xlfn.XLOOKUP(BE$39,$J$128:$DF$128,$J131:$DF131)</f>
        <v>63.239439999999995</v>
      </c>
      <c r="BF42" s="115">
        <f>_xlfn.XLOOKUP(BF$39,$J$128:$DF$128,$J131:$DF131)</f>
        <v>63.239439999999995</v>
      </c>
      <c r="BG42" s="115">
        <f>_xlfn.XLOOKUP(BG$39,$J$128:$DF$128,$J131:$DF131)</f>
        <v>63.239439999999995</v>
      </c>
      <c r="BH42" s="115">
        <f>_xlfn.XLOOKUP(BH$39,$J$128:$DF$128,$J131:$DF131)</f>
        <v>63.239439999999995</v>
      </c>
      <c r="BI42" s="115">
        <f>_xlfn.XLOOKUP(BI$39,$J$128:$DF$128,$J131:$DF131)</f>
        <v>63.239439999999995</v>
      </c>
      <c r="BJ42" s="115">
        <f>_xlfn.XLOOKUP(BJ$39,$J$128:$DF$128,$J131:$DF131)</f>
        <v>63.239439999999995</v>
      </c>
      <c r="BK42" s="115">
        <f>_xlfn.XLOOKUP(BK$39,$J$128:$DF$128,$J131:$DF131)</f>
        <v>63.239439999999995</v>
      </c>
      <c r="BL42" s="115">
        <f>_xlfn.XLOOKUP(BL$39,$J$128:$DF$128,$J131:$DF131)</f>
        <v>63.239439999999995</v>
      </c>
      <c r="BM42" s="115">
        <f>_xlfn.XLOOKUP(BM$39,$J$128:$DF$128,$J131:$DF131)</f>
        <v>63.239439999999995</v>
      </c>
      <c r="BN42" s="115">
        <f>_xlfn.XLOOKUP(BN$39,$J$128:$DF$128,$J131:$DF131)</f>
        <v>63.239439999999995</v>
      </c>
      <c r="BO42" s="115">
        <f>_xlfn.XLOOKUP(BO$39,$J$128:$DF$128,$J131:$DF131)</f>
        <v>63.239439999999995</v>
      </c>
      <c r="BP42" s="115">
        <f>_xlfn.XLOOKUP(BP$39,$J$128:$DF$128,$J131:$DF131)</f>
        <v>63.239439999999995</v>
      </c>
      <c r="BQ42" s="115">
        <f>_xlfn.XLOOKUP(BQ$39,$J$128:$DF$128,$J131:$DF131)</f>
        <v>63.239439999999995</v>
      </c>
      <c r="BR42" s="115">
        <f>_xlfn.XLOOKUP(BR$39,$J$128:$DF$128,$J131:$DF131)</f>
        <v>63.239439999999995</v>
      </c>
      <c r="BS42" s="115">
        <f>_xlfn.XLOOKUP(BS$39,$J$128:$DF$128,$J131:$DF131)</f>
        <v>63.239439999999995</v>
      </c>
      <c r="BT42" s="91"/>
      <c r="BU42" s="91"/>
      <c r="BV42" s="91"/>
      <c r="BW42" s="97"/>
      <c r="BX42" s="97"/>
      <c r="BY42" s="97"/>
      <c r="BZ42" s="97"/>
      <c r="CA42" s="97"/>
      <c r="CB42" s="97"/>
      <c r="CC42" s="97"/>
      <c r="CD42" s="97"/>
      <c r="CE42" s="97"/>
      <c r="CF42" s="97"/>
      <c r="CG42" s="97"/>
      <c r="CH42" s="97"/>
      <c r="CI42" s="97"/>
      <c r="CJ42" s="97"/>
      <c r="CK42" s="97"/>
      <c r="CL42" s="97"/>
      <c r="CM42" s="97"/>
      <c r="CN42" s="97"/>
      <c r="CO42" s="97"/>
      <c r="CP42" s="97"/>
      <c r="CQ42" s="97"/>
      <c r="CR42" s="97"/>
      <c r="CS42" s="97"/>
      <c r="CT42" s="97"/>
      <c r="CU42" s="97"/>
      <c r="CV42" s="97"/>
      <c r="CW42" s="97"/>
      <c r="CX42" s="97"/>
      <c r="CY42" s="97"/>
      <c r="CZ42" s="97"/>
      <c r="DA42" s="97"/>
      <c r="DB42" s="97"/>
      <c r="DC42" s="97"/>
      <c r="DD42" s="97"/>
      <c r="DE42" s="97"/>
      <c r="DF42" s="97"/>
    </row>
    <row r="43" spans="1:110">
      <c r="A43" s="75"/>
      <c r="B43" s="75" t="s">
        <v>105</v>
      </c>
      <c r="C43" s="115">
        <f>H83</f>
        <v>16.520000000000003</v>
      </c>
      <c r="D43" s="75" t="s">
        <v>98</v>
      </c>
      <c r="E43" s="114">
        <f t="shared" si="1"/>
        <v>17.544240000000006</v>
      </c>
      <c r="F43" s="91"/>
      <c r="G43" s="91"/>
      <c r="H43" s="75" t="s">
        <v>106</v>
      </c>
      <c r="I43" s="117">
        <f>(H107*1000*1000)/(H53*1000)</f>
        <v>0</v>
      </c>
      <c r="J43" s="75" t="s">
        <v>107</v>
      </c>
      <c r="K43" s="75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  <c r="AC43" s="91"/>
      <c r="AD43" s="91"/>
      <c r="AE43" s="91"/>
      <c r="AF43" s="91"/>
      <c r="AG43" s="91"/>
      <c r="AH43" s="91"/>
      <c r="AI43" s="96"/>
      <c r="AJ43" s="91"/>
      <c r="AK43" s="91"/>
      <c r="AL43" s="91"/>
      <c r="AM43" s="91"/>
      <c r="AN43" s="91"/>
      <c r="AO43" s="91"/>
      <c r="AP43" s="91"/>
      <c r="AQ43" s="91"/>
      <c r="AR43" s="91"/>
      <c r="AS43" s="91"/>
      <c r="AT43" s="91"/>
      <c r="AU43" s="91"/>
      <c r="AV43" s="91"/>
      <c r="AW43" s="91"/>
      <c r="AX43" s="91"/>
      <c r="AY43" s="91"/>
      <c r="AZ43" s="91"/>
      <c r="BA43" s="91"/>
      <c r="BB43" s="91"/>
      <c r="BC43" s="91"/>
      <c r="BD43" s="91"/>
      <c r="BE43" s="91"/>
      <c r="BF43" s="91"/>
      <c r="BG43" s="91"/>
      <c r="BH43" s="91"/>
      <c r="BI43" s="91"/>
      <c r="BJ43" s="91"/>
      <c r="BK43" s="91"/>
      <c r="BL43" s="91"/>
      <c r="BM43" s="91"/>
      <c r="BN43" s="91"/>
      <c r="BO43" s="91"/>
      <c r="BP43" s="91"/>
      <c r="BQ43" s="91"/>
      <c r="BR43" s="91"/>
      <c r="BS43" s="91"/>
      <c r="BT43" s="91"/>
      <c r="BU43" s="91"/>
      <c r="BV43" s="91"/>
      <c r="BW43" s="97"/>
      <c r="BX43" s="97"/>
      <c r="BY43" s="97"/>
      <c r="BZ43" s="97"/>
      <c r="CA43" s="97"/>
      <c r="CB43" s="97"/>
      <c r="CC43" s="97"/>
      <c r="CD43" s="97"/>
      <c r="CE43" s="97"/>
      <c r="CF43" s="97"/>
      <c r="CG43" s="97"/>
      <c r="CH43" s="97"/>
      <c r="CI43" s="97"/>
      <c r="CJ43" s="97"/>
      <c r="CK43" s="97"/>
      <c r="CL43" s="97"/>
      <c r="CM43" s="97"/>
      <c r="CN43" s="97"/>
      <c r="CO43" s="97"/>
      <c r="CP43" s="97"/>
      <c r="CQ43" s="97"/>
      <c r="CR43" s="97"/>
      <c r="CS43" s="97"/>
      <c r="CT43" s="97"/>
      <c r="CU43" s="97"/>
      <c r="CV43" s="97"/>
      <c r="CW43" s="97"/>
      <c r="CX43" s="97"/>
      <c r="CY43" s="97"/>
      <c r="CZ43" s="97"/>
      <c r="DA43" s="97"/>
      <c r="DB43" s="97"/>
      <c r="DC43" s="97"/>
      <c r="DD43" s="97"/>
      <c r="DE43" s="97"/>
      <c r="DF43" s="97"/>
    </row>
    <row r="44" spans="1:110" ht="15.95">
      <c r="A44" s="75"/>
      <c r="B44" s="91" t="s">
        <v>108</v>
      </c>
      <c r="C44" s="113">
        <f>H88</f>
        <v>0</v>
      </c>
      <c r="D44" s="75" t="s">
        <v>98</v>
      </c>
      <c r="E44" s="114">
        <f t="shared" si="1"/>
        <v>0</v>
      </c>
      <c r="F44" s="91"/>
      <c r="G44" s="91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75"/>
      <c r="AH44" s="75"/>
      <c r="AI44" s="75"/>
      <c r="AJ44" s="75"/>
      <c r="AK44" s="75"/>
      <c r="AL44" s="75"/>
      <c r="AM44" s="75"/>
      <c r="AN44" s="75"/>
      <c r="AO44" s="75"/>
      <c r="AP44" s="75"/>
      <c r="AQ44" s="75"/>
      <c r="AR44" s="75"/>
      <c r="AS44" s="75"/>
      <c r="AT44" s="75"/>
      <c r="AU44" s="75"/>
      <c r="AV44" s="75"/>
      <c r="AW44" s="75"/>
      <c r="AX44" s="75"/>
      <c r="AY44" s="75"/>
      <c r="AZ44" s="75"/>
      <c r="BA44" s="75"/>
      <c r="BB44" s="75"/>
      <c r="BC44" s="75"/>
      <c r="BD44" s="75"/>
      <c r="BE44" s="75"/>
      <c r="BF44" s="75"/>
      <c r="BG44" s="75"/>
      <c r="BH44" s="75"/>
      <c r="BI44" s="75"/>
      <c r="BJ44" s="75"/>
      <c r="BK44" s="75"/>
      <c r="BL44" s="75"/>
      <c r="BM44" s="75"/>
      <c r="BN44" s="75"/>
      <c r="BO44" s="75"/>
      <c r="BP44" s="75"/>
      <c r="BQ44" s="75"/>
      <c r="BR44" s="75"/>
      <c r="BS44" s="75"/>
      <c r="BT44" s="91"/>
      <c r="BU44" s="91"/>
      <c r="BV44" s="91"/>
      <c r="BW44" s="97"/>
      <c r="BX44" s="97"/>
      <c r="BY44" s="97"/>
      <c r="BZ44" s="97"/>
      <c r="CA44" s="97"/>
      <c r="CB44" s="97"/>
      <c r="CC44" s="97"/>
      <c r="CD44" s="97"/>
      <c r="CE44" s="97"/>
      <c r="CF44" s="97"/>
      <c r="CG44" s="97"/>
      <c r="CH44" s="97"/>
      <c r="CI44" s="97"/>
      <c r="CJ44" s="97"/>
      <c r="CK44" s="97"/>
      <c r="CL44" s="97"/>
      <c r="CM44" s="97"/>
      <c r="CN44" s="97"/>
      <c r="CO44" s="97"/>
      <c r="CP44" s="97"/>
      <c r="CQ44" s="97"/>
      <c r="CR44" s="97"/>
      <c r="CS44" s="97"/>
      <c r="CT44" s="97"/>
      <c r="CU44" s="97"/>
      <c r="CV44" s="97"/>
      <c r="CW44" s="97"/>
      <c r="CX44" s="97"/>
      <c r="CY44" s="97"/>
      <c r="CZ44" s="97"/>
      <c r="DA44" s="97"/>
      <c r="DB44" s="97"/>
      <c r="DC44" s="97"/>
      <c r="DD44" s="97"/>
      <c r="DE44" s="97"/>
      <c r="DF44" s="97"/>
    </row>
    <row r="45" spans="1:110">
      <c r="A45" s="75"/>
      <c r="B45" s="75" t="s">
        <v>109</v>
      </c>
      <c r="C45" s="115">
        <f>H95</f>
        <v>0</v>
      </c>
      <c r="D45" s="75" t="s">
        <v>98</v>
      </c>
      <c r="E45" s="114">
        <f t="shared" si="1"/>
        <v>0</v>
      </c>
      <c r="F45" s="75"/>
      <c r="G45" s="75"/>
      <c r="H45" s="75"/>
      <c r="I45" s="118"/>
      <c r="J45" s="75" t="str">
        <f>IF(J46=$C$19,$B$19,IF(J46=$C$21,$B$21,IF(J46=$C$22,$B$22,IF(J46=$C$23,$B$23,IF(J46=$C$24,$B$24,"")))))</f>
        <v>Projektin aloitusvuosi</v>
      </c>
      <c r="K45" s="75" t="str">
        <f>IF(K46=$C$19,$B$19,IF(K46=$C$21,$B$21,IF(K46=$C$22,$B$22,IF(K46=$C$23,$B$23,IF(K46=$C$24,$B$24,"")))))</f>
        <v/>
      </c>
      <c r="L45" s="75" t="str">
        <f>IF(L46=$C$19,$B$19,IF(L46=$C$21,$B$21,IF(L46=$C$22,$B$22,IF(L46=$C$23,$B$23,IF(L46=$C$24,$B$24,"")))))</f>
        <v/>
      </c>
      <c r="M45" s="75" t="str">
        <f>IF(M46=$C$19,$B$19,IF(M46=$C$21,$B$21,IF(M46=$C$22,$B$22,IF(M46=$C$23,$B$23,IF(M46=$C$24,$B$24,"")))))</f>
        <v/>
      </c>
      <c r="N45" s="75" t="str">
        <f>IF(N46=$C$19,$B$19,IF(N46=$C$21,$B$21,IF(N46=$C$22,$B$22,IF(N46=$C$23,$B$23,IF(N46=$C$24,$B$24,"")))))</f>
        <v/>
      </c>
      <c r="O45" s="75" t="str">
        <f>IF(O46=$C$19,$B$19,IF(O46=$C$21,$B$21,IF(O46=$C$22,$B$22,IF(O46=$C$23,$B$23,IF(O46=$C$24,$B$24,"")))))</f>
        <v/>
      </c>
      <c r="P45" s="75" t="str">
        <f>IF(P46=$C$19,$B$19,IF(P46=$C$21,$B$21,IF(P46=$C$22,$B$22,IF(P46=$C$23,$B$23,IF(P46=$C$24,$B$24,"")))))</f>
        <v/>
      </c>
      <c r="Q45" s="75" t="str">
        <f>IF(Q46=$C$19,$B$19,IF(Q46=$C$21,$B$21,IF(Q46=$C$22,$B$22,IF(Q46=$C$23,$B$23,IF(Q46=$C$24,$B$24,"")))))</f>
        <v/>
      </c>
      <c r="R45" s="75" t="str">
        <f>IF(R46=$C$19,$B$19,IF(R46=$C$21,$B$21,IF(R46=$C$22,$B$22,IF(R46=$C$23,$B$23,IF(R46=$C$24,$B$24,"")))))</f>
        <v>Käyttöönottovuosi</v>
      </c>
      <c r="S45" s="75" t="str">
        <f>IF(S46=$C$19,$B$19,IF(S46=$C$21,$B$21,IF(S46=$C$22,$B$22,IF(S46=$C$23,$B$23,IF(S46=$C$24,$B$24,"")))))</f>
        <v/>
      </c>
      <c r="T45" s="75" t="str">
        <f>IF(T46=$C$19,$B$19,IF(T46=$C$21,$B$21,IF(T46=$C$22,$B$22,IF(T46=$C$23,$B$23,IF(T46=$C$24,$B$24,"")))))</f>
        <v/>
      </c>
      <c r="U45" s="75" t="str">
        <f>IF(U46=$C$19,$B$19,IF(U46=$C$21,$B$21,IF(U46=$C$22,$B$22,IF(U46=$C$23,$B$23,IF(U46=$C$24,$B$24,"")))))</f>
        <v/>
      </c>
      <c r="V45" s="75" t="str">
        <f>IF(V46=$C$19,$B$19,IF(V46=$C$21,$B$21,IF(V46=$C$22,$B$22,IF(V46=$C$23,$B$23,IF(V46=$C$24,$B$24,"")))))</f>
        <v/>
      </c>
      <c r="W45" s="75" t="str">
        <f>IF(W46=$C$19,$B$19,IF(W46=$C$21,$B$21,IF(W46=$C$22,$B$22,IF(W46=$C$23,$B$23,IF(W46=$C$24,$B$24,"")))))</f>
        <v/>
      </c>
      <c r="X45" s="75" t="str">
        <f>IF(X46=$C$19,$B$19,IF(X46=$C$21,$B$21,IF(X46=$C$22,$B$22,IF(X46=$C$23,$B$23,IF(X46=$C$24,$B$24,"")))))</f>
        <v/>
      </c>
      <c r="Y45" s="75" t="str">
        <f>IF(Y46=$C$19,$B$19,IF(Y46=$C$21,$B$21,IF(Y46=$C$22,$B$22,IF(Y46=$C$23,$B$23,IF(Y46=$C$24,$B$24,"")))))</f>
        <v/>
      </c>
      <c r="Z45" s="75" t="str">
        <f>IF(Z46=$C$19,$B$19,IF(Z46=$C$21,$B$21,IF(Z46=$C$22,$B$22,IF(Z46=$C$23,$B$23,IF(Z46=$C$24,$B$24,"")))))</f>
        <v/>
      </c>
      <c r="AA45" s="75" t="str">
        <f>IF(AA46=$C$19,$B$19,IF(AA46=$C$21,$B$21,IF(AA46=$C$22,$B$22,IF(AA46=$C$23,$B$23,IF(AA46=$C$24,$B$24,"")))))</f>
        <v/>
      </c>
      <c r="AB45" s="75" t="str">
        <f>IF(AB46=$C$19,$B$19,IF(AB46=$C$21,$B$21,IF(AB46=$C$22,$B$22,IF(AB46=$C$23,$B$23,IF(AB46=$C$24,$B$24,"")))))</f>
        <v/>
      </c>
      <c r="AC45" s="75" t="str">
        <f>IF(AC46=$C$19,$B$19,IF(AC46=$C$21,$B$21,IF(AC46=$C$22,$B$22,IF(AC46=$C$23,$B$23,IF(AC46=$C$24,$B$24,"")))))</f>
        <v/>
      </c>
      <c r="AD45" s="75" t="str">
        <f>IF(AD46=$C$19,$B$19,IF(AD46=$C$21,$B$21,IF(AD46=$C$22,$B$22,IF(AD46=$C$23,$B$23,IF(AD46=$C$24,$B$24,"")))))</f>
        <v/>
      </c>
      <c r="AE45" s="75" t="str">
        <f>IF(AE46=$C$19,$B$19,IF(AE46=$C$21,$B$21,IF(AE46=$C$22,$B$22,IF(AE46=$C$23,$B$23,IF(AE46=$C$24,$B$24,"")))))</f>
        <v/>
      </c>
      <c r="AF45" s="75" t="str">
        <f>IF(AF46=$C$19,$B$19,IF(AF46=$C$21,$B$21,IF(AF46=$C$22,$B$22,IF(AF46=$C$23,$B$23,IF(AF46=$C$24,$B$24,"")))))</f>
        <v/>
      </c>
      <c r="AG45" s="75" t="str">
        <f>IF(AG46=$C$19,$B$19,IF(AG46=$C$21,$B$21,IF(AG46=$C$22,$B$22,IF(AG46=$C$23,$B$23,IF(AG46=$C$24,$B$24,"")))))</f>
        <v/>
      </c>
      <c r="AH45" s="75" t="str">
        <f>IF(AH46=$C$19,$B$19,IF(AH46=$C$21,$B$21,IF(AH46=$C$22,$B$22,IF(AH46=$C$23,$B$23,IF(AH46=$C$24,$B$24,"")))))</f>
        <v/>
      </c>
      <c r="AI45" s="75" t="str">
        <f>IF(AI46=$C$19,$B$19,IF(AI46=$C$21,$B$21,IF(AI46=$C$22,$B$22,IF(AI46=$C$23,$B$23,IF(AI46=$C$24,$B$24,"")))))</f>
        <v/>
      </c>
      <c r="AJ45" s="75" t="str">
        <f>IF(AJ46=$C$19,$B$19,IF(AJ46=$C$21,$B$21,IF(AJ46=$C$22,$B$22,IF(AJ46=$C$23,$B$23,IF(AJ46=$C$24,$B$24,"")))))</f>
        <v/>
      </c>
      <c r="AK45" s="75" t="str">
        <f>IF(AK46=$C$19,$B$19,IF(AK46=$C$21,$B$21,IF(AK46=$C$22,$B$22,IF(AK46=$C$23,$B$23,IF(AK46=$C$24,$B$24,"")))))</f>
        <v/>
      </c>
      <c r="AL45" s="75" t="str">
        <f>IF(AL46=$C$19,$B$19,IF(AL46=$C$21,$B$21,IF(AL46=$C$22,$B$22,IF(AL46=$C$23,$B$23,IF(AL46=$C$24,$B$24,"")))))</f>
        <v/>
      </c>
      <c r="AM45" s="75" t="str">
        <f>IF(AM46=$C$19,$B$19,IF(AM46=$C$21,$B$21,IF(AM46=$C$22,$B$22,IF(AM46=$C$23,$B$23,IF(AM46=$C$24,$B$24,"")))))</f>
        <v/>
      </c>
      <c r="AN45" s="75" t="str">
        <f>IF(AN46=$C$19,$B$19,IF(AN46=$C$21,$B$21,IF(AN46=$C$22,$B$22,IF(AN46=$C$23,$B$23,IF(AN46=$C$24,$B$24,"")))))</f>
        <v/>
      </c>
      <c r="AO45" s="75" t="str">
        <f>IF(AO46=$C$19,$B$19,IF(AO46=$C$21,$B$21,IF(AO46=$C$22,$B$22,IF(AO46=$C$23,$B$23,IF(AO46=$C$24,$B$24,"")))))</f>
        <v/>
      </c>
      <c r="AP45" s="75" t="str">
        <f>IF(AP46=$C$19,$B$19,IF(AP46=$C$21,$B$21,IF(AP46=$C$22,$B$22,IF(AP46=$C$23,$B$23,IF(AP46=$C$24,$B$24,"")))))</f>
        <v/>
      </c>
      <c r="AQ45" s="75" t="str">
        <f>IF(AQ46=$C$19,$B$19,IF(AQ46=$C$21,$B$21,IF(AQ46=$C$22,$B$22,IF(AQ46=$C$23,$B$23,IF(AQ46=$C$24,$B$24,"")))))</f>
        <v/>
      </c>
      <c r="AR45" s="75" t="str">
        <f>IF(AR46=$C$19,$B$19,IF(AR46=$C$21,$B$21,IF(AR46=$C$22,$B$22,IF(AR46=$C$23,$B$23,IF(AR46=$C$24,$B$24,"")))))</f>
        <v/>
      </c>
      <c r="AS45" s="75" t="str">
        <f>IF(AS46=$C$19,$B$19,IF(AS46=$C$21,$B$21,IF(AS46=$C$22,$B$22,IF(AS46=$C$23,$B$23,IF(AS46=$C$24,$B$24,"")))))</f>
        <v/>
      </c>
      <c r="AT45" s="75" t="str">
        <f>IF(AT46=$C$19,$B$19,IF(AT46=$C$21,$B$21,IF(AT46=$C$22,$B$22,IF(AT46=$C$23,$B$23,IF(AT46=$C$24,$B$24,"")))))</f>
        <v/>
      </c>
      <c r="AU45" s="75" t="str">
        <f>IF(AU46=$C$19,$B$19,IF(AU46=$C$21,$B$21,IF(AU46=$C$22,$B$22,IF(AU46=$C$23,$B$23,IF(AU46=$C$24,$B$24,"")))))</f>
        <v/>
      </c>
      <c r="AV45" s="75" t="str">
        <f>IF(AV46=$C$19,$B$19,IF(AV46=$C$21,$B$21,IF(AV46=$C$22,$B$22,IF(AV46=$C$23,$B$23,IF(AV46=$C$24,$B$24,"")))))</f>
        <v/>
      </c>
      <c r="AW45" s="75" t="str">
        <f>IF(AW46=$C$19,$B$19,IF(AW46=$C$21,$B$21,IF(AW46=$C$22,$B$22,IF(AW46=$C$23,$B$23,IF(AW46=$C$24,$B$24,"")))))</f>
        <v/>
      </c>
      <c r="AX45" s="75" t="str">
        <f>IF(AX46=$C$19,$B$19,IF(AX46=$C$21,$B$21,IF(AX46=$C$22,$B$22,IF(AX46=$C$23,$B$23,IF(AX46=$C$24,$B$24,"")))))</f>
        <v/>
      </c>
      <c r="AY45" s="75" t="str">
        <f>IF(AY46=$C$19,$B$19,IF(AY46=$C$21,$B$21,IF(AY46=$C$22,$B$22,IF(AY46=$C$23,$B$23,IF(AY46=$C$24,$B$24,"")))))</f>
        <v/>
      </c>
      <c r="AZ45" s="75" t="str">
        <f>IF(AZ46=$C$19,$B$19,IF(AZ46=$C$21,$B$21,IF(AZ46=$C$22,$B$22,IF(AZ46=$C$23,$B$23,IF(AZ46=$C$24,$B$24,"")))))</f>
        <v/>
      </c>
      <c r="BA45" s="75" t="str">
        <f>IF(BA46=$C$19,$B$19,IF(BA46=$C$21,$B$21,IF(BA46=$C$22,$B$22,IF(BA46=$C$23,$B$23,IF(BA46=$C$24,$B$24,"")))))</f>
        <v/>
      </c>
      <c r="BB45" s="75" t="str">
        <f>IF(BB46=$C$19,$B$19,IF(BB46=$C$21,$B$21,IF(BB46=$C$22,$B$22,IF(BB46=$C$23,$B$23,IF(BB46=$C$24,$B$24,"")))))</f>
        <v/>
      </c>
      <c r="BC45" s="75" t="str">
        <f>IF(BC46=$C$19,$B$19,IF(BC46=$C$21,$B$21,IF(BC46=$C$22,$B$22,IF(BC46=$C$23,$B$23,IF(BC46=$C$24,$B$24,"")))))</f>
        <v/>
      </c>
      <c r="BD45" s="75" t="str">
        <f>IF(BD46=$C$19,$B$19,IF(BD46=$C$21,$B$21,IF(BD46=$C$22,$B$22,IF(BD46=$C$23,$B$23,IF(BD46=$C$24,$B$24,"")))))</f>
        <v/>
      </c>
      <c r="BE45" s="75" t="str">
        <f>IF(BE46=$C$19,$B$19,IF(BE46=$C$21,$B$21,IF(BE46=$C$22,$B$22,IF(BE46=$C$23,$B$23,IF(BE46=$C$24,$B$24,"")))))</f>
        <v/>
      </c>
      <c r="BF45" s="75" t="str">
        <f>IF(BF46=$C$19,$B$19,IF(BF46=$C$21,$B$21,IF(BF46=$C$22,$B$22,IF(BF46=$C$23,$B$23,IF(BF46=$C$24,$B$24,"")))))</f>
        <v/>
      </c>
      <c r="BG45" s="75" t="str">
        <f>IF(BG46=$C$19,$B$19,IF(BG46=$C$21,$B$21,IF(BG46=$C$22,$B$22,IF(BG46=$C$23,$B$23,IF(BG46=$C$24,$B$24,"")))))</f>
        <v/>
      </c>
      <c r="BH45" s="75" t="str">
        <f>IF(BH46=$C$19,$B$19,IF(BH46=$C$21,$B$21,IF(BH46=$C$22,$B$22,IF(BH46=$C$23,$B$23,IF(BH46=$C$24,$B$24,"")))))</f>
        <v/>
      </c>
      <c r="BI45" s="75" t="str">
        <f>IF(BI46=$C$19,$B$19,IF(BI46=$C$21,$B$21,IF(BI46=$C$22,$B$22,IF(BI46=$C$23,$B$23,IF(BI46=$C$24,$B$24,"")))))</f>
        <v/>
      </c>
      <c r="BJ45" s="75" t="str">
        <f>IF(BJ46=$C$19,$B$19,IF(BJ46=$C$21,$B$21,IF(BJ46=$C$22,$B$22,IF(BJ46=$C$23,$B$23,IF(BJ46=$C$24,$B$24,"")))))</f>
        <v/>
      </c>
      <c r="BK45" s="75" t="str">
        <f>IF(BK46=$C$19,$B$19,IF(BK46=$C$21,$B$21,IF(BK46=$C$22,$B$22,IF(BK46=$C$23,$B$23,IF(BK46=$C$24,$B$24,"")))))</f>
        <v/>
      </c>
      <c r="BL45" s="75" t="str">
        <f>IF(BL46=$C$19,$B$19,IF(BL46=$C$21,$B$21,IF(BL46=$C$22,$B$22,IF(BL46=$C$23,$B$23,IF(BL46=$C$24,$B$24,"")))))</f>
        <v/>
      </c>
      <c r="BM45" s="75" t="str">
        <f>IF(BM46=$C$19,$B$19,IF(BM46=$C$21,$B$21,IF(BM46=$C$22,$B$22,IF(BM46=$C$23,$B$23,IF(BM46=$C$24,$B$24,"")))))</f>
        <v/>
      </c>
      <c r="BN45" s="75" t="str">
        <f>IF(BN46=$C$19,$B$19,IF(BN46=$C$21,$B$21,IF(BN46=$C$22,$B$22,IF(BN46=$C$23,$B$23,IF(BN46=$C$24,$B$24,"")))))</f>
        <v/>
      </c>
      <c r="BO45" s="75" t="str">
        <f>IF(BO46=$C$19,$B$19,IF(BO46=$C$21,$B$21,IF(BO46=$C$22,$B$22,IF(BO46=$C$23,$B$23,IF(BO46=$C$24,$B$24,"")))))</f>
        <v/>
      </c>
      <c r="BP45" s="75" t="str">
        <f>IF(BP46=$C$19,$B$19,IF(BP46=$C$21,$B$21,IF(BP46=$C$22,$B$22,IF(BP46=$C$23,$B$23,IF(BP46=$C$24,$B$24,"")))))</f>
        <v/>
      </c>
      <c r="BQ45" s="75" t="str">
        <f>IF(BQ46=$C$19,$B$19,IF(BQ46=$C$21,$B$21,IF(BQ46=$C$22,$B$22,IF(BQ46=$C$23,$B$23,IF(BQ46=$C$24,$B$24,"")))))</f>
        <v/>
      </c>
      <c r="BR45" s="75" t="str">
        <f>IF(BR46=$C$19,$B$19,IF(BR46=$C$21,$B$21,IF(BR46=$C$22,$B$22,IF(BR46=$C$23,$B$23,IF(BR46=$C$24,$B$24,"")))))</f>
        <v/>
      </c>
      <c r="BS45" s="75" t="str">
        <f>IF(BS46=$C$19,$B$19,IF(BS46=$C$21,$B$21,IF(BS46=$C$22,$B$22,IF(BS46=$C$23,$B$23,IF(BS46=$C$24,$B$24,"")))))</f>
        <v/>
      </c>
      <c r="BT45" s="75"/>
      <c r="BU45" s="75"/>
      <c r="BV45" s="75"/>
    </row>
    <row r="46" spans="1:110" ht="15.95" thickBot="1">
      <c r="A46" s="75"/>
      <c r="B46" s="75" t="s">
        <v>110</v>
      </c>
      <c r="C46" s="115">
        <f>H103</f>
        <v>0</v>
      </c>
      <c r="D46" s="75" t="s">
        <v>98</v>
      </c>
      <c r="E46" s="114">
        <f t="shared" si="1"/>
        <v>0</v>
      </c>
      <c r="F46" s="75"/>
      <c r="G46" s="75"/>
      <c r="H46" s="82" t="s">
        <v>111</v>
      </c>
      <c r="I46" s="119"/>
      <c r="J46" s="82">
        <f>C$19</f>
        <v>2028</v>
      </c>
      <c r="K46" s="82">
        <f>J46+1</f>
        <v>2029</v>
      </c>
      <c r="L46" s="82">
        <f t="shared" ref="L46:BS46" si="2">K46+1</f>
        <v>2030</v>
      </c>
      <c r="M46" s="82">
        <f t="shared" si="2"/>
        <v>2031</v>
      </c>
      <c r="N46" s="82">
        <f t="shared" si="2"/>
        <v>2032</v>
      </c>
      <c r="O46" s="82">
        <f t="shared" si="2"/>
        <v>2033</v>
      </c>
      <c r="P46" s="82">
        <f t="shared" si="2"/>
        <v>2034</v>
      </c>
      <c r="Q46" s="82">
        <f t="shared" si="2"/>
        <v>2035</v>
      </c>
      <c r="R46" s="82">
        <f t="shared" si="2"/>
        <v>2036</v>
      </c>
      <c r="S46" s="82">
        <f t="shared" si="2"/>
        <v>2037</v>
      </c>
      <c r="T46" s="82">
        <f t="shared" si="2"/>
        <v>2038</v>
      </c>
      <c r="U46" s="82">
        <f t="shared" si="2"/>
        <v>2039</v>
      </c>
      <c r="V46" s="82">
        <f t="shared" si="2"/>
        <v>2040</v>
      </c>
      <c r="W46" s="82">
        <f t="shared" si="2"/>
        <v>2041</v>
      </c>
      <c r="X46" s="82">
        <f t="shared" si="2"/>
        <v>2042</v>
      </c>
      <c r="Y46" s="82">
        <f t="shared" si="2"/>
        <v>2043</v>
      </c>
      <c r="Z46" s="82">
        <f t="shared" si="2"/>
        <v>2044</v>
      </c>
      <c r="AA46" s="82">
        <f t="shared" si="2"/>
        <v>2045</v>
      </c>
      <c r="AB46" s="82">
        <f t="shared" si="2"/>
        <v>2046</v>
      </c>
      <c r="AC46" s="82">
        <f t="shared" si="2"/>
        <v>2047</v>
      </c>
      <c r="AD46" s="82">
        <f t="shared" si="2"/>
        <v>2048</v>
      </c>
      <c r="AE46" s="82">
        <f t="shared" si="2"/>
        <v>2049</v>
      </c>
      <c r="AF46" s="82">
        <f t="shared" si="2"/>
        <v>2050</v>
      </c>
      <c r="AG46" s="82">
        <f t="shared" si="2"/>
        <v>2051</v>
      </c>
      <c r="AH46" s="82">
        <f t="shared" si="2"/>
        <v>2052</v>
      </c>
      <c r="AI46" s="82">
        <f t="shared" si="2"/>
        <v>2053</v>
      </c>
      <c r="AJ46" s="82">
        <f t="shared" si="2"/>
        <v>2054</v>
      </c>
      <c r="AK46" s="82">
        <f t="shared" si="2"/>
        <v>2055</v>
      </c>
      <c r="AL46" s="82">
        <f t="shared" si="2"/>
        <v>2056</v>
      </c>
      <c r="AM46" s="82">
        <f t="shared" si="2"/>
        <v>2057</v>
      </c>
      <c r="AN46" s="82">
        <f t="shared" si="2"/>
        <v>2058</v>
      </c>
      <c r="AO46" s="82">
        <f t="shared" si="2"/>
        <v>2059</v>
      </c>
      <c r="AP46" s="82">
        <f t="shared" si="2"/>
        <v>2060</v>
      </c>
      <c r="AQ46" s="82">
        <f t="shared" si="2"/>
        <v>2061</v>
      </c>
      <c r="AR46" s="82">
        <f t="shared" si="2"/>
        <v>2062</v>
      </c>
      <c r="AS46" s="82">
        <f t="shared" si="2"/>
        <v>2063</v>
      </c>
      <c r="AT46" s="82">
        <f t="shared" si="2"/>
        <v>2064</v>
      </c>
      <c r="AU46" s="82">
        <f t="shared" si="2"/>
        <v>2065</v>
      </c>
      <c r="AV46" s="82">
        <f t="shared" si="2"/>
        <v>2066</v>
      </c>
      <c r="AW46" s="82">
        <f t="shared" si="2"/>
        <v>2067</v>
      </c>
      <c r="AX46" s="82">
        <f t="shared" si="2"/>
        <v>2068</v>
      </c>
      <c r="AY46" s="82">
        <f t="shared" si="2"/>
        <v>2069</v>
      </c>
      <c r="AZ46" s="82">
        <f t="shared" si="2"/>
        <v>2070</v>
      </c>
      <c r="BA46" s="82">
        <f t="shared" si="2"/>
        <v>2071</v>
      </c>
      <c r="BB46" s="82">
        <f t="shared" si="2"/>
        <v>2072</v>
      </c>
      <c r="BC46" s="82">
        <f t="shared" si="2"/>
        <v>2073</v>
      </c>
      <c r="BD46" s="82">
        <f t="shared" si="2"/>
        <v>2074</v>
      </c>
      <c r="BE46" s="82">
        <f t="shared" si="2"/>
        <v>2075</v>
      </c>
      <c r="BF46" s="82">
        <f t="shared" si="2"/>
        <v>2076</v>
      </c>
      <c r="BG46" s="82">
        <f t="shared" si="2"/>
        <v>2077</v>
      </c>
      <c r="BH46" s="82">
        <f t="shared" si="2"/>
        <v>2078</v>
      </c>
      <c r="BI46" s="82">
        <f t="shared" si="2"/>
        <v>2079</v>
      </c>
      <c r="BJ46" s="82">
        <f t="shared" si="2"/>
        <v>2080</v>
      </c>
      <c r="BK46" s="82">
        <f t="shared" si="2"/>
        <v>2081</v>
      </c>
      <c r="BL46" s="82">
        <f t="shared" si="2"/>
        <v>2082</v>
      </c>
      <c r="BM46" s="82">
        <f t="shared" si="2"/>
        <v>2083</v>
      </c>
      <c r="BN46" s="82">
        <f t="shared" si="2"/>
        <v>2084</v>
      </c>
      <c r="BO46" s="82">
        <f t="shared" si="2"/>
        <v>2085</v>
      </c>
      <c r="BP46" s="82">
        <f t="shared" si="2"/>
        <v>2086</v>
      </c>
      <c r="BQ46" s="82">
        <f t="shared" si="2"/>
        <v>2087</v>
      </c>
      <c r="BR46" s="82">
        <f t="shared" si="2"/>
        <v>2088</v>
      </c>
      <c r="BS46" s="82">
        <f t="shared" si="2"/>
        <v>2089</v>
      </c>
      <c r="BT46" s="75"/>
      <c r="BU46" s="75"/>
      <c r="BV46" s="75"/>
    </row>
    <row r="47" spans="1:110">
      <c r="A47" s="75"/>
      <c r="B47" s="75" t="s">
        <v>112</v>
      </c>
      <c r="C47" s="115">
        <f>H112</f>
        <v>0</v>
      </c>
      <c r="D47" s="75" t="s">
        <v>98</v>
      </c>
      <c r="E47" s="114">
        <f t="shared" si="1"/>
        <v>0</v>
      </c>
      <c r="F47" s="79"/>
      <c r="G47" s="79"/>
      <c r="H47" s="79"/>
      <c r="I47" s="79"/>
      <c r="J47" s="75"/>
      <c r="K47" s="75"/>
      <c r="L47" s="75"/>
      <c r="M47" s="75"/>
      <c r="N47" s="75"/>
      <c r="O47" s="75"/>
      <c r="P47" s="75"/>
      <c r="Q47" s="75"/>
      <c r="R47" s="75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75"/>
      <c r="AI47" s="75"/>
      <c r="AJ47" s="75"/>
      <c r="AK47" s="75"/>
      <c r="AL47" s="75"/>
      <c r="AM47" s="75"/>
      <c r="AN47" s="75"/>
      <c r="AO47" s="75"/>
      <c r="AP47" s="75"/>
      <c r="AQ47" s="75"/>
      <c r="AR47" s="75"/>
      <c r="AS47" s="75"/>
      <c r="AT47" s="75"/>
      <c r="AU47" s="75"/>
      <c r="AV47" s="75"/>
      <c r="AW47" s="75"/>
      <c r="AX47" s="75"/>
      <c r="AY47" s="75"/>
      <c r="AZ47" s="75"/>
      <c r="BA47" s="75"/>
      <c r="BB47" s="75"/>
      <c r="BC47" s="75"/>
      <c r="BD47" s="75"/>
      <c r="BE47" s="75"/>
      <c r="BF47" s="75"/>
      <c r="BG47" s="75"/>
      <c r="BH47" s="75"/>
      <c r="BI47" s="75"/>
      <c r="BJ47" s="75"/>
      <c r="BK47" s="75"/>
      <c r="BL47" s="75"/>
      <c r="BM47" s="75"/>
      <c r="BN47" s="75"/>
      <c r="BO47" s="75"/>
      <c r="BP47" s="75"/>
      <c r="BQ47" s="75"/>
      <c r="BR47" s="75"/>
      <c r="BS47" s="75"/>
      <c r="BT47" s="75"/>
      <c r="BU47" s="75"/>
      <c r="BV47" s="75"/>
    </row>
    <row r="48" spans="1:110">
      <c r="A48" s="75"/>
      <c r="B48" s="75" t="s">
        <v>113</v>
      </c>
      <c r="C48" s="115">
        <f>H117</f>
        <v>0</v>
      </c>
      <c r="D48" s="75" t="s">
        <v>98</v>
      </c>
      <c r="E48" s="114">
        <f t="shared" si="1"/>
        <v>0</v>
      </c>
      <c r="F48" s="79"/>
      <c r="G48" s="79"/>
      <c r="H48" s="75"/>
      <c r="I48" s="75" t="s">
        <v>111</v>
      </c>
      <c r="J48" s="120">
        <v>1</v>
      </c>
      <c r="K48" s="120">
        <f>J48/(1+$C$33)</f>
        <v>0.95238095238095233</v>
      </c>
      <c r="L48" s="120">
        <f>K48/(1+$C$33)</f>
        <v>0.90702947845804982</v>
      </c>
      <c r="M48" s="120">
        <f>L48/(1+$C$33)</f>
        <v>0.86383759853147601</v>
      </c>
      <c r="N48" s="120">
        <f>M48/(1+$C$33)</f>
        <v>0.82270247479188185</v>
      </c>
      <c r="O48" s="120">
        <f>N48/(1+$C$33)</f>
        <v>0.78352616646845885</v>
      </c>
      <c r="P48" s="120">
        <f>O48/(1+$C$33)</f>
        <v>0.74621539663662739</v>
      </c>
      <c r="Q48" s="120">
        <f>P48/(1+$C$33)</f>
        <v>0.71068133013012125</v>
      </c>
      <c r="R48" s="120">
        <f>Q48/(1+$C$33)</f>
        <v>0.67683936202868689</v>
      </c>
      <c r="S48" s="120">
        <f>R48/(1+$C$33)</f>
        <v>0.64460891621779703</v>
      </c>
      <c r="T48" s="120">
        <f>S48/(1+$C$33)</f>
        <v>0.6139132535407591</v>
      </c>
      <c r="U48" s="120">
        <f>T48/(1+$C$33)</f>
        <v>0.58467928908643718</v>
      </c>
      <c r="V48" s="120">
        <f>U48/(1+$C$33)</f>
        <v>0.55683741817755916</v>
      </c>
      <c r="W48" s="120">
        <f>V48/(1+$C$33)</f>
        <v>0.5303213506452944</v>
      </c>
      <c r="X48" s="120">
        <f>W48/(1+$C$33)</f>
        <v>0.50506795299551843</v>
      </c>
      <c r="Y48" s="120">
        <f>X48/(1+$C$33)</f>
        <v>0.48101709809096993</v>
      </c>
      <c r="Z48" s="120">
        <f>Y48/(1+$C$33)</f>
        <v>0.45811152199139993</v>
      </c>
      <c r="AA48" s="120">
        <f>Z48/(1+$C$33)</f>
        <v>0.43629668761085705</v>
      </c>
      <c r="AB48" s="120">
        <f>AA48/(1+$C$33)</f>
        <v>0.41552065486748291</v>
      </c>
      <c r="AC48" s="120">
        <f>AB48/(1+$C$33)</f>
        <v>0.39573395701665037</v>
      </c>
      <c r="AD48" s="120">
        <f>AC48/(1+$C$33)</f>
        <v>0.37688948287300034</v>
      </c>
      <c r="AE48" s="120">
        <f>AD48/(1+$C$33)</f>
        <v>0.35894236464095269</v>
      </c>
      <c r="AF48" s="120">
        <f>AE48/(1+$C$33)</f>
        <v>0.34184987108662163</v>
      </c>
      <c r="AG48" s="120">
        <f>AF48/(1+$C$33)</f>
        <v>0.32557130579678251</v>
      </c>
      <c r="AH48" s="120">
        <f>AG48/(1+$C$33)</f>
        <v>0.31006791028265002</v>
      </c>
      <c r="AI48" s="120">
        <f>AH48/(1+$C$33)</f>
        <v>0.29530277169776192</v>
      </c>
      <c r="AJ48" s="120">
        <f>AI48/(1+$C$33)</f>
        <v>0.28124073495024943</v>
      </c>
      <c r="AK48" s="120">
        <f>AJ48/(1+$C$33)</f>
        <v>0.26784831900023753</v>
      </c>
      <c r="AL48" s="120">
        <f>AK48/(1+$C$33)</f>
        <v>0.25509363714308336</v>
      </c>
      <c r="AM48" s="120">
        <f>AL48/(1+$C$33)</f>
        <v>0.2429463210886508</v>
      </c>
      <c r="AN48" s="120">
        <f>AM48/(1+$C$33)</f>
        <v>0.23137744865585791</v>
      </c>
      <c r="AO48" s="120">
        <f>AN48/(1+$C$33)</f>
        <v>0.22035947491034086</v>
      </c>
      <c r="AP48" s="120">
        <f>AO48/(1+$C$33)</f>
        <v>0.20986616658127699</v>
      </c>
      <c r="AQ48" s="120">
        <f>AP48/(1+$C$33)</f>
        <v>0.19987253960121618</v>
      </c>
      <c r="AR48" s="120">
        <f>AQ48/(1+$C$33)</f>
        <v>0.19035479962020588</v>
      </c>
      <c r="AS48" s="120">
        <f>AR48/(1+$C$33)</f>
        <v>0.18129028535257702</v>
      </c>
      <c r="AT48" s="120">
        <f>AS48/(1+$C$33)</f>
        <v>0.17265741462150191</v>
      </c>
      <c r="AU48" s="120">
        <f>AT48/(1+$C$33)</f>
        <v>0.16443563297285896</v>
      </c>
      <c r="AV48" s="120">
        <f>AU48/(1+$C$33)</f>
        <v>0.15660536473605616</v>
      </c>
      <c r="AW48" s="120">
        <f>AV48/(1+$C$33)</f>
        <v>0.14914796641529157</v>
      </c>
      <c r="AX48" s="120">
        <f>AW48/(1+$C$33)</f>
        <v>0.14204568230027767</v>
      </c>
      <c r="AY48" s="120">
        <f>AX48/(1+$C$33)</f>
        <v>0.13528160219074065</v>
      </c>
      <c r="AZ48" s="120">
        <f>AY48/(1+$C$33)</f>
        <v>0.12883962113403871</v>
      </c>
      <c r="BA48" s="120">
        <f>AZ48/(1+$C$33)</f>
        <v>0.12270440108003686</v>
      </c>
      <c r="BB48" s="120">
        <f>BA48/(1+$C$33)</f>
        <v>0.11686133436193986</v>
      </c>
      <c r="BC48" s="120">
        <f>BB48/(1+$C$33)</f>
        <v>0.1112965089161332</v>
      </c>
      <c r="BD48" s="120">
        <f>BC48/(1+$C$33)</f>
        <v>0.10599667515822209</v>
      </c>
      <c r="BE48" s="120">
        <f>BD48/(1+$C$33)</f>
        <v>0.10094921443640198</v>
      </c>
      <c r="BF48" s="120">
        <f>BE48/(1+$C$33)</f>
        <v>9.6142108987049502E-2</v>
      </c>
      <c r="BG48" s="120">
        <f>BF48/(1+$C$33)</f>
        <v>9.1563913320999515E-2</v>
      </c>
      <c r="BH48" s="120">
        <f>BG48/(1+$C$33)</f>
        <v>8.7203726972380491E-2</v>
      </c>
      <c r="BI48" s="120">
        <f>BH48/(1+$C$33)</f>
        <v>8.3051168545124274E-2</v>
      </c>
      <c r="BJ48" s="120">
        <f>BI48/(1+$C$33)</f>
        <v>7.9096350995356446E-2</v>
      </c>
      <c r="BK48" s="120">
        <f>BJ48/(1+$C$33)</f>
        <v>7.532985809081566E-2</v>
      </c>
      <c r="BL48" s="120">
        <f>BK48/(1+$C$33)</f>
        <v>7.1742721991253006E-2</v>
      </c>
      <c r="BM48" s="120">
        <f>BL48/(1+$C$33)</f>
        <v>6.8326401896431438E-2</v>
      </c>
      <c r="BN48" s="120">
        <f>BM48/(1+$C$33)</f>
        <v>6.5072763710887077E-2</v>
      </c>
      <c r="BO48" s="120">
        <f>BN48/(1+$C$33)</f>
        <v>6.1974060677035307E-2</v>
      </c>
      <c r="BP48" s="120">
        <f>BO48/(1+$C$33)</f>
        <v>5.9022914930509811E-2</v>
      </c>
      <c r="BQ48" s="120">
        <f>BP48/(1+$C$33)</f>
        <v>5.6212299933818863E-2</v>
      </c>
      <c r="BR48" s="120">
        <f>BQ48/(1+$C$33)</f>
        <v>5.3535523746494153E-2</v>
      </c>
      <c r="BS48" s="120">
        <f>BR48/(1+$C$33)</f>
        <v>5.0986213091899192E-2</v>
      </c>
      <c r="BT48" s="75"/>
      <c r="BU48" s="75"/>
      <c r="BV48" s="75"/>
    </row>
    <row r="49" spans="1:74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/>
      <c r="AN49" s="75"/>
      <c r="AO49" s="75"/>
      <c r="AP49" s="75"/>
      <c r="AQ49" s="75"/>
      <c r="AR49" s="75"/>
      <c r="AS49" s="75"/>
      <c r="AT49" s="75"/>
      <c r="AU49" s="75"/>
      <c r="AV49" s="75"/>
      <c r="AW49" s="75"/>
      <c r="AX49" s="75"/>
      <c r="AY49" s="75"/>
      <c r="AZ49" s="75"/>
      <c r="BA49" s="75"/>
      <c r="BB49" s="75"/>
      <c r="BC49" s="75"/>
      <c r="BD49" s="75"/>
      <c r="BE49" s="75"/>
      <c r="BF49" s="75"/>
      <c r="BG49" s="75"/>
      <c r="BH49" s="75"/>
      <c r="BI49" s="75"/>
      <c r="BJ49" s="75"/>
      <c r="BK49" s="75"/>
      <c r="BL49" s="75"/>
      <c r="BM49" s="75"/>
      <c r="BN49" s="75"/>
      <c r="BO49" s="75"/>
      <c r="BP49" s="75"/>
      <c r="BQ49" s="75"/>
      <c r="BR49" s="75"/>
      <c r="BS49" s="75"/>
      <c r="BT49" s="75"/>
      <c r="BU49" s="75"/>
      <c r="BV49" s="75"/>
    </row>
    <row r="50" spans="1:74" ht="15.95" thickBot="1">
      <c r="A50" s="75"/>
      <c r="B50" s="82" t="s">
        <v>114</v>
      </c>
      <c r="C50" s="82"/>
      <c r="D50" s="82"/>
      <c r="E50" s="82"/>
      <c r="F50" s="82"/>
      <c r="G50" s="82"/>
      <c r="H50" s="82" t="s">
        <v>115</v>
      </c>
      <c r="I50" s="82" t="s">
        <v>116</v>
      </c>
      <c r="J50" s="82"/>
      <c r="K50" s="82"/>
      <c r="L50" s="82"/>
      <c r="M50" s="82"/>
      <c r="N50" s="82"/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  <c r="AL50" s="82"/>
      <c r="AM50" s="82"/>
      <c r="AN50" s="82"/>
      <c r="AO50" s="82"/>
      <c r="AP50" s="82"/>
      <c r="AQ50" s="82"/>
      <c r="AR50" s="82"/>
      <c r="AS50" s="82"/>
      <c r="AT50" s="82"/>
      <c r="AU50" s="82"/>
      <c r="AV50" s="82"/>
      <c r="AW50" s="82"/>
      <c r="AX50" s="82"/>
      <c r="AY50" s="82"/>
      <c r="AZ50" s="82"/>
      <c r="BA50" s="82"/>
      <c r="BB50" s="82"/>
      <c r="BC50" s="82"/>
      <c r="BD50" s="82"/>
      <c r="BE50" s="82"/>
      <c r="BF50" s="82"/>
      <c r="BG50" s="82"/>
      <c r="BH50" s="82"/>
      <c r="BI50" s="82"/>
      <c r="BJ50" s="82"/>
      <c r="BK50" s="82"/>
      <c r="BL50" s="82"/>
      <c r="BM50" s="82"/>
      <c r="BN50" s="82"/>
      <c r="BO50" s="82"/>
      <c r="BP50" s="82"/>
      <c r="BQ50" s="82"/>
      <c r="BR50" s="82"/>
      <c r="BS50" s="82"/>
      <c r="BT50" s="75"/>
      <c r="BU50" s="75"/>
      <c r="BV50" s="75"/>
    </row>
    <row r="51" spans="1:74">
      <c r="A51" s="75"/>
      <c r="B51" s="121" t="s">
        <v>117</v>
      </c>
      <c r="C51" s="75"/>
      <c r="D51" s="75" t="s">
        <v>118</v>
      </c>
      <c r="E51" s="75"/>
      <c r="F51" s="75"/>
      <c r="G51" s="75"/>
      <c r="H51" s="75"/>
      <c r="I51" s="75" t="s">
        <v>119</v>
      </c>
      <c r="J51" s="86">
        <f>IF(AND(J46&gt;=$C$22,J46&lt;$C$23),100%,0%)</f>
        <v>0</v>
      </c>
      <c r="K51" s="86">
        <f>(J51*(100%+$C28)+IF(K46=$C$22,100%,0%))*IF(K46&gt;=$C23,0,1)</f>
        <v>0</v>
      </c>
      <c r="L51" s="86">
        <f>(K51*(100%+$C28)+IF(L46=$C$22,100%,0%))*IF(L46&gt;=$C23,0,1)</f>
        <v>0</v>
      </c>
      <c r="M51" s="86">
        <f>(L51*(100%+$C28)+IF(M46=$C$22,100%,0%))*IF(M46&gt;=$C23,0,1)</f>
        <v>0</v>
      </c>
      <c r="N51" s="86">
        <f>(M51*(100%+$C28)+IF(N46=$C$22,100%,0%))*IF(N46&gt;=$C23,0,1)</f>
        <v>0</v>
      </c>
      <c r="O51" s="86">
        <f>(N51*(100%+$C28)+IF(O46=$C$22,100%,0%))*IF(O46&gt;=$C23,0,1)</f>
        <v>0</v>
      </c>
      <c r="P51" s="86">
        <f>(O51*(100%+$C28)+IF(P46=$C$22,100%,0%))*IF(P46&gt;=$C23,0,1)</f>
        <v>0</v>
      </c>
      <c r="Q51" s="86">
        <f>(P51*(100%+$C28)+IF(Q46=$C$22,100%,0%))*IF(Q46&gt;=$C23,0,1)</f>
        <v>0</v>
      </c>
      <c r="R51" s="86">
        <f>(Q51*(100%+$C28)+IF(R46=$C$22,100%,0%))*IF(R46&gt;=$C23,0,1)</f>
        <v>1</v>
      </c>
      <c r="S51" s="86">
        <f>(R51*(100%+$C28)+IF(S46=$C$22,100%,0%))*IF(S46&gt;=$C23,0,1)</f>
        <v>1</v>
      </c>
      <c r="T51" s="86">
        <f>(S51*(100%+$C28)+IF(T46=$C$22,100%,0%))*IF(T46&gt;=$C23,0,1)</f>
        <v>1</v>
      </c>
      <c r="U51" s="86">
        <f>(T51*(100%+$C28)+IF(U46=$C$22,100%,0%))*IF(U46&gt;=$C23,0,1)</f>
        <v>1</v>
      </c>
      <c r="V51" s="86">
        <f>(U51*(100%+$C28)+IF(V46=$C$22,100%,0%))*IF(V46&gt;=$C23,0,1)</f>
        <v>1</v>
      </c>
      <c r="W51" s="86">
        <f>(V51*(100%+$C28)+IF(W46=$C$22,100%,0%))*IF(W46&gt;=$C23,0,1)</f>
        <v>1</v>
      </c>
      <c r="X51" s="86">
        <f>(W51*(100%+$C28)+IF(X46=$C$22,100%,0%))*IF(X46&gt;=$C23,0,1)</f>
        <v>1</v>
      </c>
      <c r="Y51" s="86">
        <f>(X51*(100%+$C28)+IF(Y46=$C$22,100%,0%))*IF(Y46&gt;=$C23,0,1)</f>
        <v>1</v>
      </c>
      <c r="Z51" s="86">
        <f>(Y51*(100%+$C28)+IF(Z46=$C$22,100%,0%))*IF(Z46&gt;=$C23,0,1)</f>
        <v>1</v>
      </c>
      <c r="AA51" s="86">
        <f>(Z51*(100%+$C28)+IF(AA46=$C$22,100%,0%))*IF(AA46&gt;=$C23,0,1)</f>
        <v>1</v>
      </c>
      <c r="AB51" s="86">
        <f>(AA51*(100%+$C28)+IF(AB46=$C$22,100%,0%))*IF(AB46&gt;=$C23,0,1)</f>
        <v>1</v>
      </c>
      <c r="AC51" s="86">
        <f>(AB51*(100%+$C28)+IF(AC46=$C$22,100%,0%))*IF(AC46&gt;=$C23,0,1)</f>
        <v>1</v>
      </c>
      <c r="AD51" s="86">
        <f>(AC51*(100%+$C28)+IF(AD46=$C$22,100%,0%))*IF(AD46&gt;=$C23,0,1)</f>
        <v>1</v>
      </c>
      <c r="AE51" s="86">
        <f>(AD51*(100%+$C28)+IF(AE46=$C$22,100%,0%))*IF(AE46&gt;=$C23,0,1)</f>
        <v>1</v>
      </c>
      <c r="AF51" s="86">
        <f>(AE51*(100%+$C28)+IF(AF46=$C$22,100%,0%))*IF(AF46&gt;=$C23,0,1)</f>
        <v>1</v>
      </c>
      <c r="AG51" s="86">
        <f>(AF51*(100%+$C28)+IF(AG46=$C$22,100%,0%))*IF(AG46&gt;=$C23,0,1)</f>
        <v>1</v>
      </c>
      <c r="AH51" s="86">
        <f>(AG51*(100%+$C28)+IF(AH46=$C$22,100%,0%))*IF(AH46&gt;=$C23,0,1)</f>
        <v>1</v>
      </c>
      <c r="AI51" s="86">
        <f>(AH51*(100%+$C28)+IF(AI46=$C$22,100%,0%))*IF(AI46&gt;=$C23,0,1)</f>
        <v>1</v>
      </c>
      <c r="AJ51" s="86">
        <f>(AI51*(100%+$C28)+IF(AJ46=$C$22,100%,0%))*IF(AJ46&gt;=$C23,0,1)</f>
        <v>1</v>
      </c>
      <c r="AK51" s="86">
        <f>(AJ51*(100%+$C28)+IF(AK46=$C$22,100%,0%))*IF(AK46&gt;=$C23,0,1)</f>
        <v>1</v>
      </c>
      <c r="AL51" s="86">
        <f>(AK51*(100%+$C28)+IF(AL46=$C$22,100%,0%))*IF(AL46&gt;=$C23,0,1)</f>
        <v>1</v>
      </c>
      <c r="AM51" s="86">
        <f>(AL51*(100%+$C28)+IF(AM46=$C$22,100%,0%))*IF(AM46&gt;=$C23,0,1)</f>
        <v>1</v>
      </c>
      <c r="AN51" s="86">
        <f>(AM51*(100%+$C28)+IF(AN46=$C$22,100%,0%))*IF(AN46&gt;=$C23,0,1)</f>
        <v>1</v>
      </c>
      <c r="AO51" s="86">
        <f>(AN51*(100%+$C28)+IF(AO46=$C$22,100%,0%))*IF(AO46&gt;=$C23,0,1)</f>
        <v>1</v>
      </c>
      <c r="AP51" s="86">
        <f>(AO51*(100%+$C28)+IF(AP46=$C$22,100%,0%))*IF(AP46&gt;=$C23,0,1)</f>
        <v>1</v>
      </c>
      <c r="AQ51" s="86">
        <f>(AP51*(100%+$C28)+IF(AQ46=$C$22,100%,0%))*IF(AQ46&gt;=$C23,0,1)</f>
        <v>1</v>
      </c>
      <c r="AR51" s="86">
        <f>(AQ51*(100%+$C28)+IF(AR46=$C$22,100%,0%))*IF(AR46&gt;=$C23,0,1)</f>
        <v>1</v>
      </c>
      <c r="AS51" s="86">
        <f>(AR51*(100%+$C28)+IF(AS46=$C$22,100%,0%))*IF(AS46&gt;=$C23,0,1)</f>
        <v>1</v>
      </c>
      <c r="AT51" s="86">
        <f>(AS51*(100%+$C28)+IF(AT46=$C$22,100%,0%))*IF(AT46&gt;=$C23,0,1)</f>
        <v>1</v>
      </c>
      <c r="AU51" s="86">
        <f>(AT51*(100%+$C28)+IF(AU46=$C$22,100%,0%))*IF(AU46&gt;=$C23,0,1)</f>
        <v>1</v>
      </c>
      <c r="AV51" s="86">
        <f>(AU51*(100%+$C28)+IF(AV46=$C$22,100%,0%))*IF(AV46&gt;=$C23,0,1)</f>
        <v>1</v>
      </c>
      <c r="AW51" s="86">
        <f>(AV51*(100%+$C28)+IF(AW46=$C$22,100%,0%))*IF(AW46&gt;=$C23,0,1)</f>
        <v>1</v>
      </c>
      <c r="AX51" s="86">
        <f>(AW51*(100%+$C28)+IF(AX46=$C$22,100%,0%))*IF(AX46&gt;=$C23,0,1)</f>
        <v>1</v>
      </c>
      <c r="AY51" s="86">
        <f>(AX51*(100%+$C28)+IF(AY46=$C$22,100%,0%))*IF(AY46&gt;=$C23,0,1)</f>
        <v>1</v>
      </c>
      <c r="AZ51" s="86">
        <f>(AY51*(100%+$C28)+IF(AZ46=$C$22,100%,0%))*IF(AZ46&gt;=$C23,0,1)</f>
        <v>1</v>
      </c>
      <c r="BA51" s="86">
        <f>(AZ51*(100%+$C28)+IF(BA46=$C$22,100%,0%))*IF(BA46&gt;=$C23,0,1)</f>
        <v>1</v>
      </c>
      <c r="BB51" s="86">
        <f>(BA51*(100%+$C28)+IF(BB46=$C$22,100%,0%))*IF(BB46&gt;=$C23,0,1)</f>
        <v>1</v>
      </c>
      <c r="BC51" s="86">
        <f>(BB51*(100%+$C28)+IF(BC46=$C$22,100%,0%))*IF(BC46&gt;=$C23,0,1)</f>
        <v>1</v>
      </c>
      <c r="BD51" s="86">
        <f>(BC51*(100%+$C28)+IF(BD46=$C$22,100%,0%))*IF(BD46&gt;=$C23,0,1)</f>
        <v>1</v>
      </c>
      <c r="BE51" s="86">
        <f>(BD51*(100%+$C28)+IF(BE46=$C$22,100%,0%))*IF(BE46&gt;=$C23,0,1)</f>
        <v>1</v>
      </c>
      <c r="BF51" s="86">
        <f>(BE51*(100%+$C28)+IF(BF46=$C$22,100%,0%))*IF(BF46&gt;=$C23,0,1)</f>
        <v>1</v>
      </c>
      <c r="BG51" s="86">
        <f>(BF51*(100%+$C28)+IF(BG46=$C$22,100%,0%))*IF(BG46&gt;=$C23,0,1)</f>
        <v>1</v>
      </c>
      <c r="BH51" s="86">
        <f>(BG51*(100%+$C28)+IF(BH46=$C$22,100%,0%))*IF(BH46&gt;=$C23,0,1)</f>
        <v>1</v>
      </c>
      <c r="BI51" s="86">
        <f>(BH51*(100%+$C28)+IF(BI46=$C$22,100%,0%))*IF(BI46&gt;=$C23,0,1)</f>
        <v>1</v>
      </c>
      <c r="BJ51" s="86">
        <f>(BI51*(100%+$C28)+IF(BJ46=$C$22,100%,0%))*IF(BJ46&gt;=$C23,0,1)</f>
        <v>1</v>
      </c>
      <c r="BK51" s="86">
        <f>(BJ51*(100%+$C28)+IF(BK46=$C$22,100%,0%))*IF(BK46&gt;=$C23,0,1)</f>
        <v>1</v>
      </c>
      <c r="BL51" s="86">
        <f>(BK51*(100%+$C28)+IF(BL46=$C$22,100%,0%))*IF(BL46&gt;=$C23,0,1)</f>
        <v>1</v>
      </c>
      <c r="BM51" s="86">
        <f>(BL51*(100%+$C28)+IF(BM46=$C$22,100%,0%))*IF(BM46&gt;=$C23,0,1)</f>
        <v>1</v>
      </c>
      <c r="BN51" s="86">
        <f>(BM51*(100%+$C28)+IF(BN46=$C$22,100%,0%))*IF(BN46&gt;=$C23,0,1)</f>
        <v>1</v>
      </c>
      <c r="BO51" s="86">
        <f>(BN51*(100%+$C28)+IF(BO46=$C$22,100%,0%))*IF(BO46&gt;=$C23,0,1)</f>
        <v>1</v>
      </c>
      <c r="BP51" s="86">
        <f>(BO51*(100%+$C28)+IF(BP46=$C$22,100%,0%))*IF(BP46&gt;=$C23,0,1)</f>
        <v>1</v>
      </c>
      <c r="BQ51" s="86">
        <f>(BP51*(100%+$C28)+IF(BQ46=$C$22,100%,0%))*IF(BQ46&gt;=$C23,0,1)</f>
        <v>1</v>
      </c>
      <c r="BR51" s="86">
        <f>(BQ51*(100%+$C28)+IF(BR46=$C$22,100%,0%))*IF(BR46&gt;=$C23,0,1)</f>
        <v>1</v>
      </c>
      <c r="BS51" s="86">
        <f>(BR51*(100%+$C28)+IF(BS46=$C$22,100%,0%))*IF(BS46&gt;=$C23,0,1)</f>
        <v>1</v>
      </c>
      <c r="BT51" s="75"/>
      <c r="BU51" s="75"/>
      <c r="BV51" s="75"/>
    </row>
    <row r="52" spans="1:74">
      <c r="A52" s="75"/>
      <c r="B52" s="121" t="s">
        <v>120</v>
      </c>
      <c r="C52" s="75"/>
      <c r="D52" s="75"/>
      <c r="E52" s="75"/>
      <c r="F52" s="75"/>
      <c r="G52" s="75"/>
      <c r="H52" s="90">
        <f>C29*100</f>
        <v>89</v>
      </c>
      <c r="I52" s="75" t="s">
        <v>119</v>
      </c>
      <c r="J52" s="122">
        <f>C29</f>
        <v>0.89</v>
      </c>
      <c r="K52" s="120">
        <f>J52</f>
        <v>0.89</v>
      </c>
      <c r="L52" s="120">
        <f t="shared" ref="L52:BS52" si="3">K52</f>
        <v>0.89</v>
      </c>
      <c r="M52" s="120">
        <f t="shared" si="3"/>
        <v>0.89</v>
      </c>
      <c r="N52" s="120">
        <f t="shared" si="3"/>
        <v>0.89</v>
      </c>
      <c r="O52" s="120">
        <f t="shared" si="3"/>
        <v>0.89</v>
      </c>
      <c r="P52" s="120">
        <f t="shared" si="3"/>
        <v>0.89</v>
      </c>
      <c r="Q52" s="120">
        <f t="shared" si="3"/>
        <v>0.89</v>
      </c>
      <c r="R52" s="120">
        <f t="shared" si="3"/>
        <v>0.89</v>
      </c>
      <c r="S52" s="120">
        <f t="shared" si="3"/>
        <v>0.89</v>
      </c>
      <c r="T52" s="120">
        <f t="shared" si="3"/>
        <v>0.89</v>
      </c>
      <c r="U52" s="120">
        <f t="shared" si="3"/>
        <v>0.89</v>
      </c>
      <c r="V52" s="120">
        <f t="shared" si="3"/>
        <v>0.89</v>
      </c>
      <c r="W52" s="120">
        <f t="shared" si="3"/>
        <v>0.89</v>
      </c>
      <c r="X52" s="120">
        <f t="shared" si="3"/>
        <v>0.89</v>
      </c>
      <c r="Y52" s="120">
        <f t="shared" si="3"/>
        <v>0.89</v>
      </c>
      <c r="Z52" s="120">
        <f t="shared" si="3"/>
        <v>0.89</v>
      </c>
      <c r="AA52" s="120">
        <f t="shared" si="3"/>
        <v>0.89</v>
      </c>
      <c r="AB52" s="120">
        <f t="shared" si="3"/>
        <v>0.89</v>
      </c>
      <c r="AC52" s="120">
        <f t="shared" si="3"/>
        <v>0.89</v>
      </c>
      <c r="AD52" s="120">
        <f t="shared" si="3"/>
        <v>0.89</v>
      </c>
      <c r="AE52" s="120">
        <f t="shared" si="3"/>
        <v>0.89</v>
      </c>
      <c r="AF52" s="120">
        <f t="shared" si="3"/>
        <v>0.89</v>
      </c>
      <c r="AG52" s="120">
        <f t="shared" si="3"/>
        <v>0.89</v>
      </c>
      <c r="AH52" s="120">
        <f t="shared" si="3"/>
        <v>0.89</v>
      </c>
      <c r="AI52" s="120">
        <f t="shared" si="3"/>
        <v>0.89</v>
      </c>
      <c r="AJ52" s="120">
        <f t="shared" si="3"/>
        <v>0.89</v>
      </c>
      <c r="AK52" s="120">
        <f t="shared" si="3"/>
        <v>0.89</v>
      </c>
      <c r="AL52" s="120">
        <f t="shared" si="3"/>
        <v>0.89</v>
      </c>
      <c r="AM52" s="120">
        <f t="shared" si="3"/>
        <v>0.89</v>
      </c>
      <c r="AN52" s="120">
        <f t="shared" si="3"/>
        <v>0.89</v>
      </c>
      <c r="AO52" s="120">
        <f t="shared" si="3"/>
        <v>0.89</v>
      </c>
      <c r="AP52" s="120">
        <f t="shared" si="3"/>
        <v>0.89</v>
      </c>
      <c r="AQ52" s="120">
        <f t="shared" si="3"/>
        <v>0.89</v>
      </c>
      <c r="AR52" s="120">
        <f t="shared" si="3"/>
        <v>0.89</v>
      </c>
      <c r="AS52" s="120">
        <f t="shared" si="3"/>
        <v>0.89</v>
      </c>
      <c r="AT52" s="120">
        <f t="shared" si="3"/>
        <v>0.89</v>
      </c>
      <c r="AU52" s="120">
        <f t="shared" si="3"/>
        <v>0.89</v>
      </c>
      <c r="AV52" s="120">
        <f t="shared" si="3"/>
        <v>0.89</v>
      </c>
      <c r="AW52" s="120">
        <f t="shared" si="3"/>
        <v>0.89</v>
      </c>
      <c r="AX52" s="120">
        <f t="shared" si="3"/>
        <v>0.89</v>
      </c>
      <c r="AY52" s="120">
        <f t="shared" si="3"/>
        <v>0.89</v>
      </c>
      <c r="AZ52" s="120">
        <f t="shared" si="3"/>
        <v>0.89</v>
      </c>
      <c r="BA52" s="120">
        <f t="shared" si="3"/>
        <v>0.89</v>
      </c>
      <c r="BB52" s="120">
        <f t="shared" si="3"/>
        <v>0.89</v>
      </c>
      <c r="BC52" s="120">
        <f t="shared" si="3"/>
        <v>0.89</v>
      </c>
      <c r="BD52" s="120">
        <f t="shared" si="3"/>
        <v>0.89</v>
      </c>
      <c r="BE52" s="120">
        <f t="shared" si="3"/>
        <v>0.89</v>
      </c>
      <c r="BF52" s="120">
        <f t="shared" si="3"/>
        <v>0.89</v>
      </c>
      <c r="BG52" s="120">
        <f t="shared" si="3"/>
        <v>0.89</v>
      </c>
      <c r="BH52" s="120">
        <f t="shared" si="3"/>
        <v>0.89</v>
      </c>
      <c r="BI52" s="120">
        <f t="shared" si="3"/>
        <v>0.89</v>
      </c>
      <c r="BJ52" s="120">
        <f t="shared" si="3"/>
        <v>0.89</v>
      </c>
      <c r="BK52" s="120">
        <f t="shared" si="3"/>
        <v>0.89</v>
      </c>
      <c r="BL52" s="120">
        <f t="shared" si="3"/>
        <v>0.89</v>
      </c>
      <c r="BM52" s="120">
        <f t="shared" si="3"/>
        <v>0.89</v>
      </c>
      <c r="BN52" s="120">
        <f t="shared" si="3"/>
        <v>0.89</v>
      </c>
      <c r="BO52" s="120">
        <f t="shared" si="3"/>
        <v>0.89</v>
      </c>
      <c r="BP52" s="120">
        <f t="shared" si="3"/>
        <v>0.89</v>
      </c>
      <c r="BQ52" s="120">
        <f t="shared" si="3"/>
        <v>0.89</v>
      </c>
      <c r="BR52" s="120">
        <f t="shared" si="3"/>
        <v>0.89</v>
      </c>
      <c r="BS52" s="120">
        <f t="shared" si="3"/>
        <v>0.89</v>
      </c>
      <c r="BT52" s="75"/>
      <c r="BU52" s="75"/>
      <c r="BV52" s="75"/>
    </row>
    <row r="53" spans="1:74">
      <c r="A53" s="75"/>
      <c r="B53" s="121" t="s">
        <v>121</v>
      </c>
      <c r="C53" s="75"/>
      <c r="D53" s="75" t="s">
        <v>122</v>
      </c>
      <c r="E53" s="75"/>
      <c r="F53" s="75"/>
      <c r="G53" s="75"/>
      <c r="H53" s="101">
        <f>SUM(J53:BS53)</f>
        <v>526257000</v>
      </c>
      <c r="I53" s="75" t="s">
        <v>123</v>
      </c>
      <c r="J53" s="101">
        <f>$C$26*J51*J52*8760</f>
        <v>0</v>
      </c>
      <c r="K53" s="101">
        <f>$C$26*K51*K52*8760</f>
        <v>0</v>
      </c>
      <c r="L53" s="101">
        <f>$C$26*L51*L52*8760</f>
        <v>0</v>
      </c>
      <c r="M53" s="101">
        <f>$C$26*M51*M52*8760</f>
        <v>0</v>
      </c>
      <c r="N53" s="101">
        <f>$C$26*N51*N52*8760</f>
        <v>0</v>
      </c>
      <c r="O53" s="101">
        <f>$C$26*O51*O52*8760</f>
        <v>0</v>
      </c>
      <c r="P53" s="101">
        <f>$C$26*P51*P52*8760</f>
        <v>0</v>
      </c>
      <c r="Q53" s="101">
        <f>$C$26*Q51*Q52*8760</f>
        <v>0</v>
      </c>
      <c r="R53" s="101">
        <f>$C$26*R51*R52*8760</f>
        <v>9745500</v>
      </c>
      <c r="S53" s="101">
        <f>$C$26*S51*S52*8760</f>
        <v>9745500</v>
      </c>
      <c r="T53" s="101">
        <f>$C$26*T51*T52*8760</f>
        <v>9745500</v>
      </c>
      <c r="U53" s="101">
        <f>$C$26*U51*U52*8760</f>
        <v>9745500</v>
      </c>
      <c r="V53" s="101">
        <f>$C$26*V51*V52*8760</f>
        <v>9745500</v>
      </c>
      <c r="W53" s="101">
        <f>$C$26*W51*W52*8760</f>
        <v>9745500</v>
      </c>
      <c r="X53" s="101">
        <f>$C$26*X51*X52*8760</f>
        <v>9745500</v>
      </c>
      <c r="Y53" s="101">
        <f>$C$26*Y51*Y52*8760</f>
        <v>9745500</v>
      </c>
      <c r="Z53" s="101">
        <f>$C$26*Z51*Z52*8760</f>
        <v>9745500</v>
      </c>
      <c r="AA53" s="101">
        <f>$C$26*AA51*AA52*8760</f>
        <v>9745500</v>
      </c>
      <c r="AB53" s="101">
        <f>$C$26*AB51*AB52*8760</f>
        <v>9745500</v>
      </c>
      <c r="AC53" s="101">
        <f>$C$26*AC51*AC52*8760</f>
        <v>9745500</v>
      </c>
      <c r="AD53" s="101">
        <f>$C$26*AD51*AD52*8760</f>
        <v>9745500</v>
      </c>
      <c r="AE53" s="101">
        <f>$C$26*AE51*AE52*8760</f>
        <v>9745500</v>
      </c>
      <c r="AF53" s="101">
        <f>$C$26*AF51*AF52*8760</f>
        <v>9745500</v>
      </c>
      <c r="AG53" s="101">
        <f>$C$26*AG51*AG52*8760</f>
        <v>9745500</v>
      </c>
      <c r="AH53" s="101">
        <f>$C$26*AH51*AH52*8760</f>
        <v>9745500</v>
      </c>
      <c r="AI53" s="101">
        <f>$C$26*AI51*AI52*8760</f>
        <v>9745500</v>
      </c>
      <c r="AJ53" s="101">
        <f>$C$26*AJ51*AJ52*8760</f>
        <v>9745500</v>
      </c>
      <c r="AK53" s="101">
        <f>$C$26*AK51*AK52*8760</f>
        <v>9745500</v>
      </c>
      <c r="AL53" s="101">
        <f>$C$26*AL51*AL52*8760</f>
        <v>9745500</v>
      </c>
      <c r="AM53" s="101">
        <f>$C$26*AM51*AM52*8760</f>
        <v>9745500</v>
      </c>
      <c r="AN53" s="101">
        <f>$C$26*AN51*AN52*8760</f>
        <v>9745500</v>
      </c>
      <c r="AO53" s="101">
        <f>$C$26*AO51*AO52*8760</f>
        <v>9745500</v>
      </c>
      <c r="AP53" s="101">
        <f>$C$26*AP51*AP52*8760</f>
        <v>9745500</v>
      </c>
      <c r="AQ53" s="101">
        <f>$C$26*AQ51*AQ52*8760</f>
        <v>9745500</v>
      </c>
      <c r="AR53" s="101">
        <f>$C$26*AR51*AR52*8760</f>
        <v>9745500</v>
      </c>
      <c r="AS53" s="101">
        <f>$C$26*AS51*AS52*8760</f>
        <v>9745500</v>
      </c>
      <c r="AT53" s="101">
        <f>$C$26*AT51*AT52*8760</f>
        <v>9745500</v>
      </c>
      <c r="AU53" s="101">
        <f>$C$26*AU51*AU52*8760</f>
        <v>9745500</v>
      </c>
      <c r="AV53" s="101">
        <f>$C$26*AV51*AV52*8760</f>
        <v>9745500</v>
      </c>
      <c r="AW53" s="101">
        <f>$C$26*AW51*AW52*8760</f>
        <v>9745500</v>
      </c>
      <c r="AX53" s="101">
        <f>$C$26*AX51*AX52*8760</f>
        <v>9745500</v>
      </c>
      <c r="AY53" s="101">
        <f>$C$26*AY51*AY52*8760</f>
        <v>9745500</v>
      </c>
      <c r="AZ53" s="101">
        <f>$C$26*AZ51*AZ52*8760</f>
        <v>9745500</v>
      </c>
      <c r="BA53" s="101">
        <f>$C$26*BA51*BA52*8760</f>
        <v>9745500</v>
      </c>
      <c r="BB53" s="101">
        <f>$C$26*BB51*BB52*8760</f>
        <v>9745500</v>
      </c>
      <c r="BC53" s="101">
        <f>$C$26*BC51*BC52*8760</f>
        <v>9745500</v>
      </c>
      <c r="BD53" s="101">
        <f>$C$26*BD51*BD52*8760</f>
        <v>9745500</v>
      </c>
      <c r="BE53" s="101">
        <f>$C$26*BE51*BE52*8760</f>
        <v>9745500</v>
      </c>
      <c r="BF53" s="101">
        <f>$C$26*BF51*BF52*8760</f>
        <v>9745500</v>
      </c>
      <c r="BG53" s="101">
        <f>$C$26*BG51*BG52*8760</f>
        <v>9745500</v>
      </c>
      <c r="BH53" s="101">
        <f>$C$26*BH51*BH52*8760</f>
        <v>9745500</v>
      </c>
      <c r="BI53" s="101">
        <f>$C$26*BI51*BI52*8760</f>
        <v>9745500</v>
      </c>
      <c r="BJ53" s="101">
        <f>$C$26*BJ51*BJ52*8760</f>
        <v>9745500</v>
      </c>
      <c r="BK53" s="101">
        <f>$C$26*BK51*BK52*8760</f>
        <v>9745500</v>
      </c>
      <c r="BL53" s="101">
        <f>$C$26*BL51*BL52*8760</f>
        <v>9745500</v>
      </c>
      <c r="BM53" s="101">
        <f>$C$26*BM51*BM52*8760</f>
        <v>9745500</v>
      </c>
      <c r="BN53" s="101">
        <f>$C$26*BN51*BN52*8760</f>
        <v>9745500</v>
      </c>
      <c r="BO53" s="101">
        <f>$C$26*BO51*BO52*8760</f>
        <v>9745500</v>
      </c>
      <c r="BP53" s="101">
        <f>$C$26*BP51*BP52*8760</f>
        <v>9745500</v>
      </c>
      <c r="BQ53" s="101">
        <f>$C$26*BQ51*BQ52*8760</f>
        <v>9745500</v>
      </c>
      <c r="BR53" s="101">
        <f>$C$26*BR51*BR52*8760</f>
        <v>9745500</v>
      </c>
      <c r="BS53" s="101">
        <f>$C$26*BS51*BS52*8760</f>
        <v>9745500</v>
      </c>
      <c r="BT53" s="75"/>
      <c r="BU53" s="75"/>
      <c r="BV53" s="75"/>
    </row>
    <row r="54" spans="1:74">
      <c r="A54" s="75"/>
      <c r="B54" s="121" t="s">
        <v>124</v>
      </c>
      <c r="C54" s="75"/>
      <c r="D54" s="75" t="s">
        <v>125</v>
      </c>
      <c r="E54" s="75"/>
      <c r="F54" s="75"/>
      <c r="G54" s="75"/>
      <c r="H54" s="123">
        <f>SUM(J54:BS54)</f>
        <v>128581175.26191977</v>
      </c>
      <c r="I54" s="109" t="s">
        <v>123</v>
      </c>
      <c r="J54" s="101">
        <f t="shared" ref="J54:N54" si="4">J53*J48</f>
        <v>0</v>
      </c>
      <c r="K54" s="101">
        <f t="shared" si="4"/>
        <v>0</v>
      </c>
      <c r="L54" s="101">
        <f t="shared" si="4"/>
        <v>0</v>
      </c>
      <c r="M54" s="101">
        <f t="shared" si="4"/>
        <v>0</v>
      </c>
      <c r="N54" s="101">
        <f t="shared" si="4"/>
        <v>0</v>
      </c>
      <c r="O54" s="101">
        <f t="shared" ref="O54" si="5">O53*O48</f>
        <v>0</v>
      </c>
      <c r="P54" s="101">
        <f t="shared" ref="P54:BS54" si="6">P53*P48</f>
        <v>0</v>
      </c>
      <c r="Q54" s="101">
        <f t="shared" si="6"/>
        <v>0</v>
      </c>
      <c r="R54" s="101">
        <f t="shared" si="6"/>
        <v>6596138.0026505683</v>
      </c>
      <c r="S54" s="101">
        <f t="shared" si="6"/>
        <v>6282036.1930005411</v>
      </c>
      <c r="T54" s="101">
        <f t="shared" si="6"/>
        <v>5982891.6123814676</v>
      </c>
      <c r="U54" s="101">
        <f t="shared" si="6"/>
        <v>5697992.0117918737</v>
      </c>
      <c r="V54" s="101">
        <f t="shared" si="6"/>
        <v>5426659.0588494027</v>
      </c>
      <c r="W54" s="101">
        <f t="shared" si="6"/>
        <v>5168246.7227137163</v>
      </c>
      <c r="X54" s="101">
        <f t="shared" si="6"/>
        <v>4922139.7359178253</v>
      </c>
      <c r="Y54" s="101">
        <f t="shared" si="6"/>
        <v>4687752.1294455472</v>
      </c>
      <c r="Z54" s="101">
        <f t="shared" si="6"/>
        <v>4464525.8375671878</v>
      </c>
      <c r="AA54" s="101">
        <f t="shared" si="6"/>
        <v>4251929.3691116078</v>
      </c>
      <c r="AB54" s="101">
        <f t="shared" si="6"/>
        <v>4049456.5420110547</v>
      </c>
      <c r="AC54" s="101">
        <f t="shared" si="6"/>
        <v>3856625.278105766</v>
      </c>
      <c r="AD54" s="101">
        <f t="shared" si="6"/>
        <v>3672976.455338825</v>
      </c>
      <c r="AE54" s="101">
        <f t="shared" si="6"/>
        <v>3498072.8146084044</v>
      </c>
      <c r="AF54" s="101">
        <f t="shared" si="6"/>
        <v>3331497.9186746711</v>
      </c>
      <c r="AG54" s="101">
        <f t="shared" si="6"/>
        <v>3172855.1606425438</v>
      </c>
      <c r="AH54" s="101">
        <f t="shared" si="6"/>
        <v>3021766.8196595656</v>
      </c>
      <c r="AI54" s="101">
        <f t="shared" si="6"/>
        <v>2877873.1615805388</v>
      </c>
      <c r="AJ54" s="101">
        <f t="shared" si="6"/>
        <v>2740831.5824576556</v>
      </c>
      <c r="AK54" s="101">
        <f t="shared" si="6"/>
        <v>2610315.792816815</v>
      </c>
      <c r="AL54" s="101">
        <f t="shared" si="6"/>
        <v>2486015.0407779189</v>
      </c>
      <c r="AM54" s="101">
        <f t="shared" si="6"/>
        <v>2367633.3721694462</v>
      </c>
      <c r="AN54" s="101">
        <f t="shared" si="6"/>
        <v>2254888.9258756633</v>
      </c>
      <c r="AO54" s="101">
        <f t="shared" si="6"/>
        <v>2147513.262738727</v>
      </c>
      <c r="AP54" s="101">
        <f t="shared" si="6"/>
        <v>2045250.7264178349</v>
      </c>
      <c r="AQ54" s="101">
        <f t="shared" si="6"/>
        <v>1947857.8346836523</v>
      </c>
      <c r="AR54" s="101">
        <f t="shared" si="6"/>
        <v>1855102.6996987164</v>
      </c>
      <c r="AS54" s="101">
        <f t="shared" si="6"/>
        <v>1766764.4759035392</v>
      </c>
      <c r="AT54" s="101">
        <f t="shared" si="6"/>
        <v>1682632.8341938469</v>
      </c>
      <c r="AU54" s="101">
        <f t="shared" si="6"/>
        <v>1602507.461136997</v>
      </c>
      <c r="AV54" s="101">
        <f t="shared" si="6"/>
        <v>1526197.5820352354</v>
      </c>
      <c r="AW54" s="101">
        <f t="shared" si="6"/>
        <v>1453521.506700224</v>
      </c>
      <c r="AX54" s="101">
        <f t="shared" si="6"/>
        <v>1384306.196857356</v>
      </c>
      <c r="AY54" s="101">
        <f t="shared" si="6"/>
        <v>1318386.8541498629</v>
      </c>
      <c r="AZ54" s="101">
        <f t="shared" si="6"/>
        <v>1255606.5277617744</v>
      </c>
      <c r="BA54" s="101">
        <f t="shared" si="6"/>
        <v>1195815.7407254991</v>
      </c>
      <c r="BB54" s="101">
        <f t="shared" si="6"/>
        <v>1138872.134024285</v>
      </c>
      <c r="BC54" s="101">
        <f t="shared" si="6"/>
        <v>1084640.1276421761</v>
      </c>
      <c r="BD54" s="101">
        <f t="shared" si="6"/>
        <v>1032990.5977544533</v>
      </c>
      <c r="BE54" s="101">
        <f t="shared" si="6"/>
        <v>983800.56928995554</v>
      </c>
      <c r="BF54" s="101">
        <f t="shared" si="6"/>
        <v>936952.92313329095</v>
      </c>
      <c r="BG54" s="101">
        <f t="shared" si="6"/>
        <v>892336.11726980074</v>
      </c>
      <c r="BH54" s="101">
        <f t="shared" si="6"/>
        <v>849843.92120933405</v>
      </c>
      <c r="BI54" s="101">
        <f t="shared" si="6"/>
        <v>809375.16305650864</v>
      </c>
      <c r="BJ54" s="101">
        <f t="shared" si="6"/>
        <v>770833.48862524622</v>
      </c>
      <c r="BK54" s="101">
        <f t="shared" si="6"/>
        <v>734127.13202404405</v>
      </c>
      <c r="BL54" s="101">
        <f t="shared" si="6"/>
        <v>699168.69716575614</v>
      </c>
      <c r="BM54" s="101">
        <f t="shared" si="6"/>
        <v>665874.94968167262</v>
      </c>
      <c r="BN54" s="101">
        <f t="shared" si="6"/>
        <v>634166.61874445004</v>
      </c>
      <c r="BO54" s="101">
        <f t="shared" si="6"/>
        <v>603968.20832804753</v>
      </c>
      <c r="BP54" s="101">
        <f t="shared" si="6"/>
        <v>575207.81745528337</v>
      </c>
      <c r="BQ54" s="101">
        <f t="shared" si="6"/>
        <v>547816.96900503174</v>
      </c>
      <c r="BR54" s="101">
        <f t="shared" si="6"/>
        <v>521730.44667145878</v>
      </c>
      <c r="BS54" s="101">
        <f t="shared" si="6"/>
        <v>496886.13968710357</v>
      </c>
      <c r="BT54" s="75"/>
      <c r="BU54" s="75"/>
      <c r="BV54" s="75"/>
    </row>
    <row r="55" spans="1:74" ht="15.95" thickBot="1">
      <c r="A55" s="75"/>
      <c r="B55" s="75"/>
      <c r="C55" s="75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75"/>
      <c r="AI55" s="75"/>
      <c r="AJ55" s="75"/>
      <c r="AK55" s="75"/>
      <c r="AL55" s="75"/>
      <c r="AM55" s="75"/>
      <c r="AN55" s="75"/>
      <c r="AO55" s="75"/>
      <c r="AP55" s="75"/>
      <c r="AQ55" s="75"/>
      <c r="AR55" s="75"/>
      <c r="AS55" s="75"/>
      <c r="AT55" s="75"/>
      <c r="AU55" s="75"/>
      <c r="AV55" s="75"/>
      <c r="AW55" s="75"/>
      <c r="AX55" s="75"/>
      <c r="AY55" s="75"/>
      <c r="AZ55" s="75"/>
      <c r="BA55" s="75"/>
      <c r="BB55" s="75"/>
      <c r="BC55" s="75"/>
      <c r="BD55" s="75"/>
      <c r="BE55" s="75"/>
      <c r="BF55" s="75"/>
      <c r="BG55" s="75"/>
      <c r="BH55" s="75"/>
      <c r="BI55" s="75"/>
      <c r="BJ55" s="75"/>
      <c r="BK55" s="75"/>
      <c r="BL55" s="75"/>
      <c r="BM55" s="75"/>
      <c r="BN55" s="75"/>
      <c r="BO55" s="75"/>
      <c r="BP55" s="75"/>
      <c r="BQ55" s="75"/>
      <c r="BR55" s="75"/>
      <c r="BS55" s="75"/>
      <c r="BT55" s="75"/>
      <c r="BU55" s="75"/>
      <c r="BV55" s="75"/>
    </row>
    <row r="56" spans="1:74" ht="15.95" thickBot="1">
      <c r="A56" s="75"/>
      <c r="B56" s="82" t="s">
        <v>22</v>
      </c>
      <c r="C56" s="82"/>
      <c r="D56" s="82"/>
      <c r="E56" s="82"/>
      <c r="F56" s="82"/>
      <c r="G56" s="82"/>
      <c r="H56" s="124">
        <f>H63/H54</f>
        <v>0</v>
      </c>
      <c r="I56" s="82" t="s">
        <v>126</v>
      </c>
      <c r="J56" s="82"/>
      <c r="K56" s="82"/>
      <c r="L56" s="82"/>
      <c r="M56" s="82"/>
      <c r="N56" s="82"/>
      <c r="O56" s="82"/>
      <c r="P56" s="82"/>
      <c r="Q56" s="82"/>
      <c r="R56" s="82"/>
      <c r="S56" s="82"/>
      <c r="T56" s="75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75"/>
      <c r="AI56" s="75"/>
      <c r="AJ56" s="75"/>
      <c r="AK56" s="75"/>
      <c r="AL56" s="75"/>
      <c r="AM56" s="75"/>
      <c r="AN56" s="75"/>
      <c r="AO56" s="75"/>
      <c r="AP56" s="75"/>
      <c r="AQ56" s="75"/>
      <c r="AR56" s="75"/>
      <c r="AS56" s="75"/>
      <c r="AT56" s="75"/>
      <c r="AU56" s="75"/>
      <c r="AV56" s="75"/>
      <c r="AW56" s="75"/>
      <c r="AX56" s="75"/>
      <c r="AY56" s="75"/>
      <c r="AZ56" s="75"/>
      <c r="BA56" s="75"/>
      <c r="BB56" s="75"/>
      <c r="BC56" s="75"/>
      <c r="BD56" s="75"/>
      <c r="BE56" s="75"/>
      <c r="BF56" s="75"/>
      <c r="BG56" s="75"/>
      <c r="BH56" s="75"/>
      <c r="BI56" s="75"/>
      <c r="BJ56" s="75"/>
      <c r="BK56" s="75"/>
      <c r="BL56" s="75"/>
      <c r="BM56" s="75"/>
      <c r="BN56" s="75"/>
      <c r="BO56" s="75"/>
      <c r="BP56" s="75"/>
      <c r="BQ56" s="75"/>
      <c r="BR56" s="75"/>
      <c r="BS56" s="75"/>
      <c r="BT56" s="75"/>
      <c r="BU56" s="75"/>
      <c r="BV56" s="75"/>
    </row>
    <row r="57" spans="1:74">
      <c r="A57" s="75"/>
      <c r="B57" s="75" t="s">
        <v>127</v>
      </c>
      <c r="C57" s="75"/>
      <c r="D57" s="75" t="s">
        <v>128</v>
      </c>
      <c r="E57" s="75"/>
      <c r="F57" s="75"/>
      <c r="G57" s="75"/>
      <c r="H57" s="75"/>
      <c r="I57" s="75" t="s">
        <v>119</v>
      </c>
      <c r="J57" s="87">
        <f>$U7</f>
        <v>0</v>
      </c>
      <c r="K57" s="87">
        <f>$U8</f>
        <v>0</v>
      </c>
      <c r="L57" s="87">
        <f>$U9</f>
        <v>0</v>
      </c>
      <c r="M57" s="87">
        <f>$U10</f>
        <v>0</v>
      </c>
      <c r="N57" s="87">
        <f>$U11</f>
        <v>0</v>
      </c>
      <c r="O57" s="87">
        <f>$U12</f>
        <v>0</v>
      </c>
      <c r="P57" s="87">
        <f>$U13</f>
        <v>0</v>
      </c>
      <c r="Q57" s="87">
        <f>$U14</f>
        <v>0</v>
      </c>
      <c r="R57" s="87">
        <f>$U15</f>
        <v>0</v>
      </c>
      <c r="S57" s="87">
        <f>$U16</f>
        <v>0</v>
      </c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/>
      <c r="AN57" s="75"/>
      <c r="AO57" s="75"/>
      <c r="AP57" s="75"/>
      <c r="AQ57" s="75"/>
      <c r="AR57" s="75"/>
      <c r="AS57" s="75"/>
      <c r="AT57" s="75"/>
      <c r="AU57" s="75"/>
      <c r="AV57" s="75"/>
      <c r="AW57" s="75"/>
      <c r="AX57" s="75"/>
      <c r="AY57" s="75"/>
      <c r="AZ57" s="75"/>
      <c r="BA57" s="75"/>
      <c r="BB57" s="75"/>
      <c r="BC57" s="75"/>
      <c r="BD57" s="75"/>
      <c r="BE57" s="75"/>
      <c r="BF57" s="75"/>
      <c r="BG57" s="75"/>
      <c r="BH57" s="75"/>
      <c r="BI57" s="75"/>
      <c r="BJ57" s="75"/>
      <c r="BK57" s="75"/>
      <c r="BL57" s="75"/>
      <c r="BM57" s="75"/>
      <c r="BN57" s="75"/>
      <c r="BO57" s="75"/>
      <c r="BP57" s="75"/>
      <c r="BQ57" s="75"/>
      <c r="BR57" s="75"/>
      <c r="BS57" s="75"/>
      <c r="BT57" s="75"/>
      <c r="BU57" s="75"/>
      <c r="BV57" s="75"/>
    </row>
    <row r="58" spans="1:74">
      <c r="A58" s="75"/>
      <c r="B58" s="75" t="s">
        <v>22</v>
      </c>
      <c r="C58" s="75"/>
      <c r="D58" s="75"/>
      <c r="E58" s="75"/>
      <c r="F58" s="75"/>
      <c r="G58" s="75"/>
      <c r="H58" s="125">
        <f>_xlfn.XLOOKUP(C9,I22:I24,J22:J24)</f>
        <v>0</v>
      </c>
      <c r="I58" s="75" t="s">
        <v>129</v>
      </c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75"/>
      <c r="BA58" s="75"/>
      <c r="BB58" s="75"/>
      <c r="BC58" s="75"/>
      <c r="BD58" s="75"/>
      <c r="BE58" s="75"/>
      <c r="BF58" s="75"/>
      <c r="BG58" s="75"/>
      <c r="BH58" s="75"/>
      <c r="BI58" s="75"/>
      <c r="BJ58" s="75"/>
      <c r="BK58" s="75"/>
      <c r="BL58" s="75"/>
      <c r="BM58" s="75"/>
      <c r="BN58" s="75"/>
      <c r="BO58" s="75"/>
      <c r="BP58" s="75"/>
      <c r="BQ58" s="75"/>
      <c r="BR58" s="75"/>
      <c r="BS58" s="75"/>
      <c r="BT58" s="75"/>
      <c r="BU58" s="75"/>
      <c r="BV58" s="75"/>
    </row>
    <row r="59" spans="1:74">
      <c r="A59" s="75"/>
      <c r="B59" s="75"/>
      <c r="C59" s="75"/>
      <c r="D59" s="75" t="str">
        <f>_xlfn.CONCAT("EUR/kW x 1000 x nimellisteho (",C26," MW)")</f>
        <v>EUR/kW x 1000 x nimellisteho (1250 MW)</v>
      </c>
      <c r="E59" s="75"/>
      <c r="F59" s="75"/>
      <c r="G59" s="75"/>
      <c r="H59" s="126">
        <f>H58*C26*1000</f>
        <v>0</v>
      </c>
      <c r="I59" s="75" t="s">
        <v>130</v>
      </c>
      <c r="J59" s="127">
        <f t="shared" ref="J59:S59" si="7">$H$59*J57</f>
        <v>0</v>
      </c>
      <c r="K59" s="127">
        <f t="shared" si="7"/>
        <v>0</v>
      </c>
      <c r="L59" s="127">
        <f t="shared" si="7"/>
        <v>0</v>
      </c>
      <c r="M59" s="127">
        <f t="shared" si="7"/>
        <v>0</v>
      </c>
      <c r="N59" s="127">
        <f t="shared" si="7"/>
        <v>0</v>
      </c>
      <c r="O59" s="127">
        <f t="shared" si="7"/>
        <v>0</v>
      </c>
      <c r="P59" s="127">
        <f t="shared" si="7"/>
        <v>0</v>
      </c>
      <c r="Q59" s="127">
        <f t="shared" si="7"/>
        <v>0</v>
      </c>
      <c r="R59" s="127">
        <f t="shared" si="7"/>
        <v>0</v>
      </c>
      <c r="S59" s="127">
        <f t="shared" si="7"/>
        <v>0</v>
      </c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5"/>
      <c r="AZ59" s="75"/>
      <c r="BA59" s="75"/>
      <c r="BB59" s="75"/>
      <c r="BC59" s="75"/>
      <c r="BD59" s="75"/>
      <c r="BE59" s="75"/>
      <c r="BF59" s="75"/>
      <c r="BG59" s="75"/>
      <c r="BH59" s="75"/>
      <c r="BI59" s="75"/>
      <c r="BJ59" s="75"/>
      <c r="BK59" s="75"/>
      <c r="BL59" s="75"/>
      <c r="BM59" s="75"/>
      <c r="BN59" s="75"/>
      <c r="BO59" s="75"/>
      <c r="BP59" s="75"/>
      <c r="BQ59" s="75"/>
      <c r="BR59" s="75"/>
      <c r="BS59" s="75"/>
      <c r="BT59" s="75"/>
      <c r="BU59" s="75"/>
      <c r="BV59" s="75"/>
    </row>
    <row r="60" spans="1:74">
      <c r="A60" s="75"/>
      <c r="B60" s="75" t="str">
        <f>H21</f>
        <v>Regulaatio, luvitus, julkiset kuulemiset</v>
      </c>
      <c r="C60" s="75"/>
      <c r="D60" s="75"/>
      <c r="E60" s="75"/>
      <c r="F60" s="75"/>
      <c r="G60" s="75"/>
      <c r="H60" s="125">
        <f>J21</f>
        <v>0</v>
      </c>
      <c r="I60" s="75" t="s">
        <v>129</v>
      </c>
      <c r="J60" s="127"/>
      <c r="K60" s="127"/>
      <c r="L60" s="128"/>
      <c r="M60" s="128"/>
      <c r="N60" s="128"/>
      <c r="O60" s="128"/>
      <c r="P60" s="128"/>
      <c r="Q60" s="128"/>
      <c r="R60" s="128"/>
      <c r="S60" s="128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  <c r="AZ60" s="75"/>
      <c r="BA60" s="75"/>
      <c r="BB60" s="75"/>
      <c r="BC60" s="75"/>
      <c r="BD60" s="75"/>
      <c r="BE60" s="75"/>
      <c r="BF60" s="75"/>
      <c r="BG60" s="75"/>
      <c r="BH60" s="75"/>
      <c r="BI60" s="75"/>
      <c r="BJ60" s="75"/>
      <c r="BK60" s="75"/>
      <c r="BL60" s="75"/>
      <c r="BM60" s="75"/>
      <c r="BN60" s="75"/>
      <c r="BO60" s="75"/>
      <c r="BP60" s="75"/>
      <c r="BQ60" s="75"/>
      <c r="BR60" s="75"/>
      <c r="BS60" s="75"/>
      <c r="BT60" s="75"/>
      <c r="BU60" s="75"/>
      <c r="BV60" s="75"/>
    </row>
    <row r="61" spans="1:74">
      <c r="A61" s="75"/>
      <c r="B61" s="75"/>
      <c r="C61" s="75"/>
      <c r="D61" s="75" t="str">
        <f>_xlfn.CONCAT("EUR/kW x 1000 x nimellisteho (",C26," MW)")</f>
        <v>EUR/kW x 1000 x nimellisteho (1250 MW)</v>
      </c>
      <c r="E61" s="75"/>
      <c r="F61" s="75"/>
      <c r="G61" s="75"/>
      <c r="H61" s="126">
        <f>H60*C26*1000</f>
        <v>0</v>
      </c>
      <c r="I61" s="75" t="s">
        <v>130</v>
      </c>
      <c r="J61" s="127">
        <f t="shared" ref="J61:S61" si="8">$H$61*J57</f>
        <v>0</v>
      </c>
      <c r="K61" s="127">
        <f t="shared" si="8"/>
        <v>0</v>
      </c>
      <c r="L61" s="127">
        <f t="shared" si="8"/>
        <v>0</v>
      </c>
      <c r="M61" s="127">
        <f t="shared" si="8"/>
        <v>0</v>
      </c>
      <c r="N61" s="127">
        <f t="shared" si="8"/>
        <v>0</v>
      </c>
      <c r="O61" s="127">
        <f t="shared" si="8"/>
        <v>0</v>
      </c>
      <c r="P61" s="127">
        <f t="shared" si="8"/>
        <v>0</v>
      </c>
      <c r="Q61" s="127">
        <f t="shared" si="8"/>
        <v>0</v>
      </c>
      <c r="R61" s="127">
        <f t="shared" si="8"/>
        <v>0</v>
      </c>
      <c r="S61" s="127">
        <f t="shared" si="8"/>
        <v>0</v>
      </c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75"/>
      <c r="AX61" s="75"/>
      <c r="AY61" s="75"/>
      <c r="AZ61" s="75"/>
      <c r="BA61" s="75"/>
      <c r="BB61" s="75"/>
      <c r="BC61" s="75"/>
      <c r="BD61" s="75"/>
      <c r="BE61" s="75"/>
      <c r="BF61" s="75"/>
      <c r="BG61" s="75"/>
      <c r="BH61" s="75"/>
      <c r="BI61" s="75"/>
      <c r="BJ61" s="75"/>
      <c r="BK61" s="75"/>
      <c r="BL61" s="75"/>
      <c r="BM61" s="75"/>
      <c r="BN61" s="75"/>
      <c r="BO61" s="75"/>
      <c r="BP61" s="75"/>
      <c r="BQ61" s="75"/>
      <c r="BR61" s="75"/>
      <c r="BS61" s="75"/>
      <c r="BT61" s="75"/>
      <c r="BU61" s="75"/>
      <c r="BV61" s="75"/>
    </row>
    <row r="62" spans="1:74">
      <c r="A62" s="75"/>
      <c r="B62" s="75" t="s">
        <v>131</v>
      </c>
      <c r="C62" s="75"/>
      <c r="D62" s="75" t="s">
        <v>132</v>
      </c>
      <c r="E62" s="75"/>
      <c r="F62" s="75"/>
      <c r="G62" s="75"/>
      <c r="H62" s="101">
        <f>SUM(J62:BS62)</f>
        <v>0</v>
      </c>
      <c r="I62" s="75" t="s">
        <v>130</v>
      </c>
      <c r="J62" s="128">
        <f>J59+J61</f>
        <v>0</v>
      </c>
      <c r="K62" s="128">
        <f>K59+K61</f>
        <v>0</v>
      </c>
      <c r="L62" s="128">
        <f t="shared" ref="L62:S62" si="9">L59+L61</f>
        <v>0</v>
      </c>
      <c r="M62" s="128">
        <f t="shared" si="9"/>
        <v>0</v>
      </c>
      <c r="N62" s="128">
        <f t="shared" si="9"/>
        <v>0</v>
      </c>
      <c r="O62" s="128">
        <f t="shared" si="9"/>
        <v>0</v>
      </c>
      <c r="P62" s="128">
        <f t="shared" si="9"/>
        <v>0</v>
      </c>
      <c r="Q62" s="128">
        <f t="shared" si="9"/>
        <v>0</v>
      </c>
      <c r="R62" s="128">
        <f t="shared" si="9"/>
        <v>0</v>
      </c>
      <c r="S62" s="128">
        <f t="shared" si="9"/>
        <v>0</v>
      </c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75"/>
      <c r="AN62" s="75"/>
      <c r="AO62" s="75"/>
      <c r="AP62" s="75"/>
      <c r="AQ62" s="75"/>
      <c r="AR62" s="75"/>
      <c r="AS62" s="75"/>
      <c r="AT62" s="75"/>
      <c r="AU62" s="75"/>
      <c r="AV62" s="75"/>
      <c r="AW62" s="75"/>
      <c r="AX62" s="75"/>
      <c r="AY62" s="75"/>
      <c r="AZ62" s="75"/>
      <c r="BA62" s="75"/>
      <c r="BB62" s="75"/>
      <c r="BC62" s="75"/>
      <c r="BD62" s="75"/>
      <c r="BE62" s="75"/>
      <c r="BF62" s="75"/>
      <c r="BG62" s="75"/>
      <c r="BH62" s="75"/>
      <c r="BI62" s="75"/>
      <c r="BJ62" s="75"/>
      <c r="BK62" s="75"/>
      <c r="BL62" s="75"/>
      <c r="BM62" s="75"/>
      <c r="BN62" s="75"/>
      <c r="BO62" s="75"/>
      <c r="BP62" s="75"/>
      <c r="BQ62" s="75"/>
      <c r="BR62" s="75"/>
      <c r="BS62" s="75"/>
      <c r="BT62" s="75"/>
      <c r="BU62" s="75"/>
      <c r="BV62" s="75"/>
    </row>
    <row r="63" spans="1:74">
      <c r="A63" s="75"/>
      <c r="B63" s="75" t="s">
        <v>133</v>
      </c>
      <c r="C63" s="75"/>
      <c r="D63" s="75" t="s">
        <v>134</v>
      </c>
      <c r="E63" s="75"/>
      <c r="F63" s="75"/>
      <c r="G63" s="75"/>
      <c r="H63" s="129">
        <f>SUM(J63:BS63)</f>
        <v>0</v>
      </c>
      <c r="I63" s="109" t="s">
        <v>130</v>
      </c>
      <c r="J63" s="128">
        <f>J62*J48</f>
        <v>0</v>
      </c>
      <c r="K63" s="128">
        <f>K62*K48</f>
        <v>0</v>
      </c>
      <c r="L63" s="128">
        <f t="shared" ref="L63:S63" si="10">L62*L48</f>
        <v>0</v>
      </c>
      <c r="M63" s="128">
        <f t="shared" si="10"/>
        <v>0</v>
      </c>
      <c r="N63" s="128">
        <f t="shared" si="10"/>
        <v>0</v>
      </c>
      <c r="O63" s="128">
        <f t="shared" si="10"/>
        <v>0</v>
      </c>
      <c r="P63" s="128">
        <f t="shared" si="10"/>
        <v>0</v>
      </c>
      <c r="Q63" s="128">
        <f t="shared" si="10"/>
        <v>0</v>
      </c>
      <c r="R63" s="128">
        <f t="shared" si="10"/>
        <v>0</v>
      </c>
      <c r="S63" s="128">
        <f t="shared" si="10"/>
        <v>0</v>
      </c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  <c r="AL63" s="75"/>
      <c r="AM63" s="75"/>
      <c r="AN63" s="75"/>
      <c r="AO63" s="75"/>
      <c r="AP63" s="75"/>
      <c r="AQ63" s="75"/>
      <c r="AR63" s="75"/>
      <c r="AS63" s="75"/>
      <c r="AT63" s="75"/>
      <c r="AU63" s="75"/>
      <c r="AV63" s="75"/>
      <c r="AW63" s="75"/>
      <c r="AX63" s="75"/>
      <c r="AY63" s="75"/>
      <c r="AZ63" s="75"/>
      <c r="BA63" s="75"/>
      <c r="BB63" s="75"/>
      <c r="BC63" s="75"/>
      <c r="BD63" s="75"/>
      <c r="BE63" s="75"/>
      <c r="BF63" s="75"/>
      <c r="BG63" s="75"/>
      <c r="BH63" s="75"/>
      <c r="BI63" s="75"/>
      <c r="BJ63" s="75"/>
      <c r="BK63" s="75"/>
      <c r="BL63" s="75"/>
      <c r="BM63" s="75"/>
      <c r="BN63" s="75"/>
      <c r="BO63" s="75"/>
      <c r="BP63" s="75"/>
      <c r="BQ63" s="75"/>
      <c r="BR63" s="75"/>
      <c r="BS63" s="75"/>
      <c r="BT63" s="75"/>
      <c r="BU63" s="75"/>
      <c r="BV63" s="75"/>
    </row>
    <row r="64" spans="1:74" ht="15.95" thickBot="1">
      <c r="A64" s="75"/>
      <c r="B64" s="75"/>
      <c r="C64" s="75"/>
      <c r="D64" s="75"/>
      <c r="E64" s="75"/>
      <c r="F64" s="75"/>
      <c r="G64" s="75"/>
      <c r="H64" s="101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75"/>
      <c r="AN64" s="75"/>
      <c r="AO64" s="75"/>
      <c r="AP64" s="75"/>
      <c r="AQ64" s="75"/>
      <c r="AR64" s="75"/>
      <c r="AS64" s="75"/>
      <c r="AT64" s="75"/>
      <c r="AU64" s="75"/>
      <c r="AV64" s="75"/>
      <c r="AW64" s="75"/>
      <c r="AX64" s="75"/>
      <c r="AY64" s="75"/>
      <c r="AZ64" s="75"/>
      <c r="BA64" s="75"/>
      <c r="BB64" s="75"/>
      <c r="BC64" s="75"/>
      <c r="BD64" s="75"/>
      <c r="BE64" s="75"/>
      <c r="BF64" s="75"/>
      <c r="BG64" s="75"/>
      <c r="BH64" s="75"/>
      <c r="BI64" s="75"/>
      <c r="BJ64" s="75"/>
      <c r="BK64" s="75"/>
      <c r="BL64" s="75"/>
      <c r="BM64" s="75"/>
      <c r="BN64" s="75"/>
      <c r="BO64" s="75"/>
      <c r="BP64" s="75"/>
      <c r="BQ64" s="75"/>
      <c r="BR64" s="75"/>
      <c r="BS64" s="75"/>
      <c r="BT64" s="75"/>
      <c r="BU64" s="75"/>
      <c r="BV64" s="75"/>
    </row>
    <row r="65" spans="1:74" ht="15.95" thickBot="1">
      <c r="A65" s="75"/>
      <c r="B65" s="82" t="s">
        <v>135</v>
      </c>
      <c r="C65" s="82"/>
      <c r="D65" s="82"/>
      <c r="E65" s="82"/>
      <c r="F65" s="82"/>
      <c r="G65" s="82"/>
      <c r="H65" s="124">
        <f>H71/H54</f>
        <v>55.217104246748129</v>
      </c>
      <c r="I65" s="82" t="s">
        <v>126</v>
      </c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  <c r="AH65" s="82"/>
      <c r="AI65" s="82"/>
      <c r="AJ65" s="82"/>
      <c r="AK65" s="82"/>
      <c r="AL65" s="82"/>
      <c r="AM65" s="82"/>
      <c r="AN65" s="82"/>
      <c r="AO65" s="82"/>
      <c r="AP65" s="82"/>
      <c r="AQ65" s="82"/>
      <c r="AR65" s="82"/>
      <c r="AS65" s="82"/>
      <c r="AT65" s="82"/>
      <c r="AU65" s="82"/>
      <c r="AV65" s="82"/>
      <c r="AW65" s="82"/>
      <c r="AX65" s="82"/>
      <c r="AY65" s="82"/>
      <c r="AZ65" s="82"/>
      <c r="BA65" s="82"/>
      <c r="BB65" s="82"/>
      <c r="BC65" s="82"/>
      <c r="BD65" s="82"/>
      <c r="BE65" s="82"/>
      <c r="BF65" s="82"/>
      <c r="BG65" s="82"/>
      <c r="BH65" s="82"/>
      <c r="BI65" s="82"/>
      <c r="BJ65" s="82"/>
      <c r="BK65" s="82"/>
      <c r="BL65" s="82"/>
      <c r="BM65" s="82"/>
      <c r="BN65" s="82"/>
      <c r="BO65" s="82"/>
      <c r="BP65" s="82"/>
      <c r="BQ65" s="82"/>
      <c r="BR65" s="82"/>
      <c r="BS65" s="82"/>
      <c r="BT65" s="75"/>
      <c r="BU65" s="75"/>
      <c r="BV65" s="75"/>
    </row>
    <row r="66" spans="1:74">
      <c r="A66" s="75"/>
      <c r="B66" s="75" t="s">
        <v>136</v>
      </c>
      <c r="C66" s="75"/>
      <c r="D66" s="75" t="s">
        <v>137</v>
      </c>
      <c r="E66" s="75"/>
      <c r="F66" s="75"/>
      <c r="G66" s="75"/>
      <c r="I66" s="75" t="s">
        <v>119</v>
      </c>
      <c r="J66" s="86">
        <f>_xlfn.XLOOKUP((J46-$C$21+1),$W$7:$W$21,$X$7:$X$21,0)</f>
        <v>0.14285714285714285</v>
      </c>
      <c r="K66" s="86">
        <f>_xlfn.XLOOKUP((K46-$C$21+1),$W$7:$W$21,$X$7:$X$21,0)</f>
        <v>0.14285714285714285</v>
      </c>
      <c r="L66" s="86">
        <f>_xlfn.XLOOKUP((L46-$C$21+1),$W$7:$W$21,$X$7:$X$21,0)</f>
        <v>0.14285714285714285</v>
      </c>
      <c r="M66" s="86">
        <f>_xlfn.XLOOKUP((M46-$C$21+1),$W$7:$W$21,$X$7:$X$21,0)</f>
        <v>0.14285714285714285</v>
      </c>
      <c r="N66" s="86">
        <f>_xlfn.XLOOKUP((N46-$C$21+1),$W$7:$W$21,$X$7:$X$21,0)</f>
        <v>0.14285714285714285</v>
      </c>
      <c r="O66" s="86">
        <f>_xlfn.XLOOKUP((O46-$C$21+1),$W$7:$W$21,$X$7:$X$21,0)</f>
        <v>0.14285714285714285</v>
      </c>
      <c r="P66" s="86">
        <f>_xlfn.XLOOKUP((P46-$C$21+1),$W$7:$W$21,$X$7:$X$21,0)</f>
        <v>0.14285714285714285</v>
      </c>
      <c r="Q66" s="86">
        <f>_xlfn.XLOOKUP((Q46-$C$21+1),$W$7:$W$21,$X$7:$X$21,0)</f>
        <v>0</v>
      </c>
      <c r="R66" s="86">
        <f>_xlfn.XLOOKUP((R46-$C$21+1),$W$7:$W$21,$X$7:$X$21,0)</f>
        <v>0</v>
      </c>
      <c r="S66" s="86">
        <f>_xlfn.XLOOKUP((S46-$C$21+1),$W$7:$W$21,$X$7:$X$21,0)</f>
        <v>0</v>
      </c>
      <c r="T66" s="86">
        <f>_xlfn.XLOOKUP((T46-$C$21+1),$W$7:$W$21,$X$7:$X$21,0)</f>
        <v>0</v>
      </c>
      <c r="U66" s="86">
        <f>_xlfn.XLOOKUP((U46-$C$21+1),$W$7:$W$21,$X$7:$X$21,0)</f>
        <v>0</v>
      </c>
      <c r="V66" s="86">
        <f>_xlfn.XLOOKUP((V46-$C$21+1),$W$7:$W$21,$X$7:$X$21,0)</f>
        <v>0</v>
      </c>
      <c r="W66" s="86">
        <f>_xlfn.XLOOKUP((W46-$C$21+1),$W$7:$W$21,$X$7:$X$21,0)</f>
        <v>0</v>
      </c>
      <c r="X66" s="86">
        <f>_xlfn.XLOOKUP((X46-$C$21+1),$W$7:$W$21,$X$7:$X$21,0)</f>
        <v>0</v>
      </c>
      <c r="Y66" s="86">
        <f>_xlfn.XLOOKUP((Y46-$C$21+1),$W$7:$W$21,$X$7:$X$21,0)</f>
        <v>0</v>
      </c>
      <c r="Z66" s="86">
        <f>_xlfn.XLOOKUP((Z46-$C$21+1),$W$7:$W$21,$X$7:$X$21,0)</f>
        <v>0</v>
      </c>
      <c r="AA66" s="86">
        <f>_xlfn.XLOOKUP((AA46-$C$21+1),$W$7:$W$21,$X$7:$X$21,0)</f>
        <v>0</v>
      </c>
      <c r="AB66" s="86">
        <f>_xlfn.XLOOKUP((AB46-$C$21+1),$W$7:$W$21,$X$7:$X$21,0)</f>
        <v>0</v>
      </c>
      <c r="AC66" s="86">
        <f>_xlfn.XLOOKUP((AC46-$C$21+1),$W$7:$W$21,$X$7:$X$21,0)</f>
        <v>0</v>
      </c>
      <c r="AD66" s="86">
        <f>_xlfn.XLOOKUP((AD46-$C$21+1),$W$7:$W$21,$X$7:$X$21,0)</f>
        <v>0</v>
      </c>
      <c r="AE66" s="86">
        <f>_xlfn.XLOOKUP((AE46-$C$21+1),$W$7:$W$21,$X$7:$X$21,0)</f>
        <v>0</v>
      </c>
      <c r="AF66" s="86">
        <f>_xlfn.XLOOKUP((AF46-$C$21+1),$W$7:$W$21,$X$7:$X$21,0)</f>
        <v>0</v>
      </c>
      <c r="AG66" s="86">
        <f>_xlfn.XLOOKUP((AG46-$C$21+1),$W$7:$W$21,$X$7:$X$21,0)</f>
        <v>0</v>
      </c>
      <c r="AH66" s="86">
        <f>_xlfn.XLOOKUP((AH46-$C$21+1),$W$7:$W$21,$X$7:$X$21,0)</f>
        <v>0</v>
      </c>
      <c r="AI66" s="86">
        <f>_xlfn.XLOOKUP((AI46-$C$21+1),$W$7:$W$21,$X$7:$X$21,0)</f>
        <v>0</v>
      </c>
      <c r="AJ66" s="86">
        <f>_xlfn.XLOOKUP((AJ46-$C$21+1),$W$7:$W$21,$X$7:$X$21,0)</f>
        <v>0</v>
      </c>
      <c r="AK66" s="86">
        <f>_xlfn.XLOOKUP((AK46-$C$21+1),$W$7:$W$21,$X$7:$X$21,0)</f>
        <v>0</v>
      </c>
      <c r="AL66" s="86">
        <f>_xlfn.XLOOKUP((AL46-$C$21+1),$W$7:$W$21,$X$7:$X$21,0)</f>
        <v>0</v>
      </c>
      <c r="AM66" s="86">
        <f>_xlfn.XLOOKUP((AM46-$C$21+1),$W$7:$W$21,$X$7:$X$21,0)</f>
        <v>0</v>
      </c>
      <c r="AN66" s="86">
        <f>_xlfn.XLOOKUP((AN46-$C$21+1),$W$7:$W$21,$X$7:$X$21,0)</f>
        <v>0</v>
      </c>
      <c r="AO66" s="86">
        <f>_xlfn.XLOOKUP((AO46-$C$21+1),$W$7:$W$21,$X$7:$X$21,0)</f>
        <v>0</v>
      </c>
      <c r="AP66" s="86">
        <f>_xlfn.XLOOKUP((AP46-$C$21+1),$W$7:$W$21,$X$7:$X$21,0)</f>
        <v>0</v>
      </c>
      <c r="AQ66" s="86">
        <f>_xlfn.XLOOKUP((AQ46-$C$21+1),$W$7:$W$21,$X$7:$X$21,0)</f>
        <v>0</v>
      </c>
      <c r="AR66" s="86">
        <f>_xlfn.XLOOKUP((AR46-$C$21+1),$W$7:$W$21,$X$7:$X$21,0)</f>
        <v>0</v>
      </c>
      <c r="AS66" s="86">
        <f>_xlfn.XLOOKUP((AS46-$C$21+1),$W$7:$W$21,$X$7:$X$21,0)</f>
        <v>0</v>
      </c>
      <c r="AT66" s="86">
        <f>_xlfn.XLOOKUP((AT46-$C$21+1),$W$7:$W$21,$X$7:$X$21,0)</f>
        <v>0</v>
      </c>
      <c r="AU66" s="86">
        <f>_xlfn.XLOOKUP((AU46-$C$21+1),$W$7:$W$21,$X$7:$X$21,0)</f>
        <v>0</v>
      </c>
      <c r="AV66" s="86">
        <f>_xlfn.XLOOKUP((AV46-$C$21+1),$W$7:$W$21,$X$7:$X$21,0)</f>
        <v>0</v>
      </c>
      <c r="AW66" s="86">
        <f>_xlfn.XLOOKUP((AW46-$C$21+1),$W$7:$W$21,$X$7:$X$21,0)</f>
        <v>0</v>
      </c>
      <c r="AX66" s="86">
        <f>_xlfn.XLOOKUP((AX46-$C$21+1),$W$7:$W$21,$X$7:$X$21,0)</f>
        <v>0</v>
      </c>
      <c r="AY66" s="86">
        <f>_xlfn.XLOOKUP((AY46-$C$21+1),$W$7:$W$21,$X$7:$X$21,0)</f>
        <v>0</v>
      </c>
      <c r="AZ66" s="86">
        <f>_xlfn.XLOOKUP((AZ46-$C$21+1),$W$7:$W$21,$X$7:$X$21,0)</f>
        <v>0</v>
      </c>
      <c r="BA66" s="86">
        <f>_xlfn.XLOOKUP((BA46-$C$21+1),$W$7:$W$21,$X$7:$X$21,0)</f>
        <v>0</v>
      </c>
      <c r="BB66" s="86">
        <f>_xlfn.XLOOKUP((BB46-$C$21+1),$W$7:$W$21,$X$7:$X$21,0)</f>
        <v>0</v>
      </c>
      <c r="BC66" s="86">
        <f>_xlfn.XLOOKUP((BC46-$C$21+1),$W$7:$W$21,$X$7:$X$21,0)</f>
        <v>0</v>
      </c>
      <c r="BD66" s="86">
        <f>_xlfn.XLOOKUP((BD46-$C$21+1),$W$7:$W$21,$X$7:$X$21,0)</f>
        <v>0</v>
      </c>
      <c r="BE66" s="86">
        <f>_xlfn.XLOOKUP((BE46-$C$21+1),$W$7:$W$21,$X$7:$X$21,0)</f>
        <v>0</v>
      </c>
      <c r="BF66" s="86">
        <f>_xlfn.XLOOKUP((BF46-$C$21+1),$W$7:$W$21,$X$7:$X$21,0)</f>
        <v>0</v>
      </c>
      <c r="BG66" s="86">
        <f>_xlfn.XLOOKUP((BG46-$C$21+1),$W$7:$W$21,$X$7:$X$21,0)</f>
        <v>0</v>
      </c>
      <c r="BH66" s="86">
        <f>_xlfn.XLOOKUP((BH46-$C$21+1),$W$7:$W$21,$X$7:$X$21,0)</f>
        <v>0</v>
      </c>
      <c r="BI66" s="86">
        <f>_xlfn.XLOOKUP((BI46-$C$21+1),$W$7:$W$21,$X$7:$X$21,0)</f>
        <v>0</v>
      </c>
      <c r="BJ66" s="86">
        <f>_xlfn.XLOOKUP((BJ46-$C$21+1),$W$7:$W$21,$X$7:$X$21,0)</f>
        <v>0</v>
      </c>
      <c r="BK66" s="86">
        <f>_xlfn.XLOOKUP((BK46-$C$21+1),$W$7:$W$21,$X$7:$X$21,0)</f>
        <v>0</v>
      </c>
      <c r="BL66" s="86">
        <f>_xlfn.XLOOKUP((BL46-$C$21+1),$W$7:$W$21,$X$7:$X$21,0)</f>
        <v>0</v>
      </c>
      <c r="BM66" s="86">
        <f>_xlfn.XLOOKUP((BM46-$C$21+1),$W$7:$W$21,$X$7:$X$21,0)</f>
        <v>0</v>
      </c>
      <c r="BN66" s="86">
        <f>_xlfn.XLOOKUP((BN46-$C$21+1),$W$7:$W$21,$X$7:$X$21,0)</f>
        <v>0</v>
      </c>
      <c r="BO66" s="86">
        <f>_xlfn.XLOOKUP((BO46-$C$21+1),$W$7:$W$21,$X$7:$X$21,0)</f>
        <v>0</v>
      </c>
      <c r="BP66" s="86">
        <f>_xlfn.XLOOKUP((BP46-$C$21+1),$W$7:$W$21,$X$7:$X$21,0)</f>
        <v>0</v>
      </c>
      <c r="BQ66" s="86">
        <f>_xlfn.XLOOKUP((BQ46-$C$21+1),$W$7:$W$21,$X$7:$X$21,0)</f>
        <v>0</v>
      </c>
      <c r="BR66" s="86">
        <f>_xlfn.XLOOKUP((BR46-$C$21+1),$W$7:$W$21,$X$7:$X$21,0)</f>
        <v>0</v>
      </c>
      <c r="BS66" s="86">
        <f>_xlfn.XLOOKUP((BS46-$C$21+1),$W$7:$W$21,$X$7:$X$21,0)</f>
        <v>0</v>
      </c>
      <c r="BT66" s="75"/>
      <c r="BU66" s="75"/>
      <c r="BV66" s="75"/>
    </row>
    <row r="67" spans="1:74">
      <c r="A67" s="75"/>
      <c r="B67" s="86" t="s">
        <v>138</v>
      </c>
      <c r="C67" s="75"/>
      <c r="D67" s="75" t="s">
        <v>139</v>
      </c>
      <c r="E67" s="75"/>
      <c r="F67" s="75"/>
      <c r="G67" s="75"/>
      <c r="H67" s="125">
        <f>_xlfn.XLOOKUP(C11,I28:I30,J28:J30)</f>
        <v>6544</v>
      </c>
      <c r="I67" s="75" t="s">
        <v>129</v>
      </c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75"/>
      <c r="AN67" s="75"/>
      <c r="AO67" s="75"/>
      <c r="AP67" s="75"/>
      <c r="AQ67" s="75"/>
      <c r="AR67" s="75"/>
      <c r="AS67" s="75"/>
      <c r="AT67" s="75"/>
      <c r="AU67" s="75"/>
      <c r="AV67" s="75"/>
      <c r="AW67" s="75"/>
      <c r="AX67" s="75"/>
      <c r="AY67" s="75"/>
      <c r="AZ67" s="75"/>
      <c r="BA67" s="75"/>
      <c r="BB67" s="75"/>
      <c r="BC67" s="75"/>
      <c r="BD67" s="75"/>
      <c r="BE67" s="75"/>
      <c r="BF67" s="75"/>
      <c r="BG67" s="75"/>
      <c r="BH67" s="75"/>
      <c r="BI67" s="75"/>
      <c r="BJ67" s="75"/>
      <c r="BK67" s="75"/>
      <c r="BL67" s="75"/>
      <c r="BM67" s="75"/>
      <c r="BN67" s="75"/>
      <c r="BO67" s="75"/>
      <c r="BP67" s="75"/>
      <c r="BQ67" s="75"/>
      <c r="BR67" s="75"/>
      <c r="BS67" s="75"/>
      <c r="BT67" s="75"/>
      <c r="BU67" s="75"/>
      <c r="BV67" s="75"/>
    </row>
    <row r="68" spans="1:74">
      <c r="A68" s="75"/>
      <c r="B68" s="75" t="s">
        <v>140</v>
      </c>
      <c r="C68" s="75"/>
      <c r="D68" s="75" t="str">
        <f>_xlfn.CONCAT("EUR/kW x 1000 x nimellisteho (",C26," MW)")</f>
        <v>EUR/kW x 1000 x nimellisteho (1250 MW)</v>
      </c>
      <c r="E68" s="75"/>
      <c r="F68" s="75"/>
      <c r="G68" s="75"/>
      <c r="H68" s="101">
        <f>(H67*C26*1000)</f>
        <v>8180000000</v>
      </c>
      <c r="I68" s="75" t="s">
        <v>130</v>
      </c>
      <c r="J68" s="130">
        <f t="shared" ref="J68:AO68" si="11">$H$68*J66</f>
        <v>1168571428.5714285</v>
      </c>
      <c r="K68" s="130">
        <f t="shared" si="11"/>
        <v>1168571428.5714285</v>
      </c>
      <c r="L68" s="130">
        <f t="shared" si="11"/>
        <v>1168571428.5714285</v>
      </c>
      <c r="M68" s="130">
        <f t="shared" si="11"/>
        <v>1168571428.5714285</v>
      </c>
      <c r="N68" s="130">
        <f t="shared" si="11"/>
        <v>1168571428.5714285</v>
      </c>
      <c r="O68" s="130">
        <f t="shared" si="11"/>
        <v>1168571428.5714285</v>
      </c>
      <c r="P68" s="130">
        <f t="shared" si="11"/>
        <v>1168571428.5714285</v>
      </c>
      <c r="Q68" s="130">
        <f t="shared" si="11"/>
        <v>0</v>
      </c>
      <c r="R68" s="130">
        <f t="shared" si="11"/>
        <v>0</v>
      </c>
      <c r="S68" s="130">
        <f t="shared" si="11"/>
        <v>0</v>
      </c>
      <c r="T68" s="130">
        <f t="shared" si="11"/>
        <v>0</v>
      </c>
      <c r="U68" s="130">
        <f t="shared" si="11"/>
        <v>0</v>
      </c>
      <c r="V68" s="130">
        <f t="shared" si="11"/>
        <v>0</v>
      </c>
      <c r="W68" s="130">
        <f t="shared" si="11"/>
        <v>0</v>
      </c>
      <c r="X68" s="130">
        <f t="shared" si="11"/>
        <v>0</v>
      </c>
      <c r="Y68" s="130">
        <f t="shared" si="11"/>
        <v>0</v>
      </c>
      <c r="Z68" s="130">
        <f t="shared" si="11"/>
        <v>0</v>
      </c>
      <c r="AA68" s="130">
        <f t="shared" si="11"/>
        <v>0</v>
      </c>
      <c r="AB68" s="130">
        <f t="shared" si="11"/>
        <v>0</v>
      </c>
      <c r="AC68" s="130">
        <f t="shared" si="11"/>
        <v>0</v>
      </c>
      <c r="AD68" s="130">
        <f t="shared" si="11"/>
        <v>0</v>
      </c>
      <c r="AE68" s="130">
        <f t="shared" si="11"/>
        <v>0</v>
      </c>
      <c r="AF68" s="130">
        <f t="shared" si="11"/>
        <v>0</v>
      </c>
      <c r="AG68" s="130">
        <f t="shared" si="11"/>
        <v>0</v>
      </c>
      <c r="AH68" s="130">
        <f t="shared" si="11"/>
        <v>0</v>
      </c>
      <c r="AI68" s="130">
        <f t="shared" si="11"/>
        <v>0</v>
      </c>
      <c r="AJ68" s="130">
        <f t="shared" si="11"/>
        <v>0</v>
      </c>
      <c r="AK68" s="130">
        <f t="shared" si="11"/>
        <v>0</v>
      </c>
      <c r="AL68" s="130">
        <f t="shared" si="11"/>
        <v>0</v>
      </c>
      <c r="AM68" s="130">
        <f t="shared" si="11"/>
        <v>0</v>
      </c>
      <c r="AN68" s="130">
        <f t="shared" si="11"/>
        <v>0</v>
      </c>
      <c r="AO68" s="130">
        <f t="shared" si="11"/>
        <v>0</v>
      </c>
      <c r="AP68" s="130">
        <f t="shared" ref="AP68:BS68" si="12">$H$68*AP66</f>
        <v>0</v>
      </c>
      <c r="AQ68" s="130">
        <f t="shared" si="12"/>
        <v>0</v>
      </c>
      <c r="AR68" s="130">
        <f t="shared" si="12"/>
        <v>0</v>
      </c>
      <c r="AS68" s="130">
        <f t="shared" si="12"/>
        <v>0</v>
      </c>
      <c r="AT68" s="130">
        <f t="shared" si="12"/>
        <v>0</v>
      </c>
      <c r="AU68" s="130">
        <f t="shared" si="12"/>
        <v>0</v>
      </c>
      <c r="AV68" s="130">
        <f t="shared" si="12"/>
        <v>0</v>
      </c>
      <c r="AW68" s="130">
        <f t="shared" si="12"/>
        <v>0</v>
      </c>
      <c r="AX68" s="130">
        <f t="shared" si="12"/>
        <v>0</v>
      </c>
      <c r="AY68" s="130">
        <f t="shared" si="12"/>
        <v>0</v>
      </c>
      <c r="AZ68" s="130">
        <f t="shared" si="12"/>
        <v>0</v>
      </c>
      <c r="BA68" s="130">
        <f t="shared" si="12"/>
        <v>0</v>
      </c>
      <c r="BB68" s="130">
        <f t="shared" si="12"/>
        <v>0</v>
      </c>
      <c r="BC68" s="130">
        <f t="shared" si="12"/>
        <v>0</v>
      </c>
      <c r="BD68" s="130">
        <f t="shared" si="12"/>
        <v>0</v>
      </c>
      <c r="BE68" s="130">
        <f t="shared" si="12"/>
        <v>0</v>
      </c>
      <c r="BF68" s="130">
        <f t="shared" si="12"/>
        <v>0</v>
      </c>
      <c r="BG68" s="130">
        <f t="shared" si="12"/>
        <v>0</v>
      </c>
      <c r="BH68" s="130">
        <f t="shared" si="12"/>
        <v>0</v>
      </c>
      <c r="BI68" s="130">
        <f t="shared" si="12"/>
        <v>0</v>
      </c>
      <c r="BJ68" s="130">
        <f t="shared" si="12"/>
        <v>0</v>
      </c>
      <c r="BK68" s="130">
        <f t="shared" si="12"/>
        <v>0</v>
      </c>
      <c r="BL68" s="130">
        <f t="shared" si="12"/>
        <v>0</v>
      </c>
      <c r="BM68" s="130">
        <f t="shared" si="12"/>
        <v>0</v>
      </c>
      <c r="BN68" s="130">
        <f t="shared" si="12"/>
        <v>0</v>
      </c>
      <c r="BO68" s="130">
        <f t="shared" si="12"/>
        <v>0</v>
      </c>
      <c r="BP68" s="130">
        <f t="shared" si="12"/>
        <v>0</v>
      </c>
      <c r="BQ68" s="130">
        <f t="shared" si="12"/>
        <v>0</v>
      </c>
      <c r="BR68" s="130">
        <f t="shared" si="12"/>
        <v>0</v>
      </c>
      <c r="BS68" s="130">
        <f t="shared" si="12"/>
        <v>0</v>
      </c>
      <c r="BT68" s="75"/>
      <c r="BU68" s="75"/>
      <c r="BV68" s="75"/>
    </row>
    <row r="69" spans="1:74">
      <c r="A69" s="75"/>
      <c r="B69" s="75" t="s">
        <v>141</v>
      </c>
      <c r="C69" s="75"/>
      <c r="D69" s="75" t="s">
        <v>142</v>
      </c>
      <c r="E69" s="75"/>
      <c r="F69" s="75"/>
      <c r="G69" s="75"/>
      <c r="H69" s="131">
        <f>_xlfn.XLOOKUP(C13,I34:I36,J34:J36)</f>
        <v>0</v>
      </c>
      <c r="I69" s="75" t="s">
        <v>130</v>
      </c>
      <c r="J69" s="130">
        <f t="shared" ref="J69:AO69" si="13">$H$69*J66</f>
        <v>0</v>
      </c>
      <c r="K69" s="130">
        <f t="shared" si="13"/>
        <v>0</v>
      </c>
      <c r="L69" s="130">
        <f t="shared" si="13"/>
        <v>0</v>
      </c>
      <c r="M69" s="130">
        <f t="shared" si="13"/>
        <v>0</v>
      </c>
      <c r="N69" s="130">
        <f t="shared" si="13"/>
        <v>0</v>
      </c>
      <c r="O69" s="130">
        <f t="shared" si="13"/>
        <v>0</v>
      </c>
      <c r="P69" s="130">
        <f t="shared" si="13"/>
        <v>0</v>
      </c>
      <c r="Q69" s="130">
        <f t="shared" si="13"/>
        <v>0</v>
      </c>
      <c r="R69" s="130">
        <f t="shared" si="13"/>
        <v>0</v>
      </c>
      <c r="S69" s="130">
        <f t="shared" si="13"/>
        <v>0</v>
      </c>
      <c r="T69" s="130">
        <f t="shared" si="13"/>
        <v>0</v>
      </c>
      <c r="U69" s="130">
        <f t="shared" si="13"/>
        <v>0</v>
      </c>
      <c r="V69" s="130">
        <f t="shared" si="13"/>
        <v>0</v>
      </c>
      <c r="W69" s="130">
        <f t="shared" si="13"/>
        <v>0</v>
      </c>
      <c r="X69" s="130">
        <f t="shared" si="13"/>
        <v>0</v>
      </c>
      <c r="Y69" s="130">
        <f t="shared" si="13"/>
        <v>0</v>
      </c>
      <c r="Z69" s="130">
        <f t="shared" si="13"/>
        <v>0</v>
      </c>
      <c r="AA69" s="130">
        <f t="shared" si="13"/>
        <v>0</v>
      </c>
      <c r="AB69" s="130">
        <f t="shared" si="13"/>
        <v>0</v>
      </c>
      <c r="AC69" s="130">
        <f t="shared" si="13"/>
        <v>0</v>
      </c>
      <c r="AD69" s="130">
        <f t="shared" si="13"/>
        <v>0</v>
      </c>
      <c r="AE69" s="130">
        <f t="shared" si="13"/>
        <v>0</v>
      </c>
      <c r="AF69" s="130">
        <f t="shared" si="13"/>
        <v>0</v>
      </c>
      <c r="AG69" s="130">
        <f t="shared" si="13"/>
        <v>0</v>
      </c>
      <c r="AH69" s="130">
        <f t="shared" si="13"/>
        <v>0</v>
      </c>
      <c r="AI69" s="130">
        <f t="shared" si="13"/>
        <v>0</v>
      </c>
      <c r="AJ69" s="130">
        <f t="shared" si="13"/>
        <v>0</v>
      </c>
      <c r="AK69" s="130">
        <f t="shared" si="13"/>
        <v>0</v>
      </c>
      <c r="AL69" s="130">
        <f t="shared" si="13"/>
        <v>0</v>
      </c>
      <c r="AM69" s="130">
        <f t="shared" si="13"/>
        <v>0</v>
      </c>
      <c r="AN69" s="130">
        <f t="shared" si="13"/>
        <v>0</v>
      </c>
      <c r="AO69" s="130">
        <f t="shared" si="13"/>
        <v>0</v>
      </c>
      <c r="AP69" s="130">
        <f t="shared" ref="AP69:BS69" si="14">$H$69*AP66</f>
        <v>0</v>
      </c>
      <c r="AQ69" s="130">
        <f t="shared" si="14"/>
        <v>0</v>
      </c>
      <c r="AR69" s="130">
        <f t="shared" si="14"/>
        <v>0</v>
      </c>
      <c r="AS69" s="130">
        <f t="shared" si="14"/>
        <v>0</v>
      </c>
      <c r="AT69" s="130">
        <f t="shared" si="14"/>
        <v>0</v>
      </c>
      <c r="AU69" s="130">
        <f t="shared" si="14"/>
        <v>0</v>
      </c>
      <c r="AV69" s="130">
        <f t="shared" si="14"/>
        <v>0</v>
      </c>
      <c r="AW69" s="130">
        <f t="shared" si="14"/>
        <v>0</v>
      </c>
      <c r="AX69" s="130">
        <f t="shared" si="14"/>
        <v>0</v>
      </c>
      <c r="AY69" s="130">
        <f t="shared" si="14"/>
        <v>0</v>
      </c>
      <c r="AZ69" s="130">
        <f t="shared" si="14"/>
        <v>0</v>
      </c>
      <c r="BA69" s="130">
        <f t="shared" si="14"/>
        <v>0</v>
      </c>
      <c r="BB69" s="130">
        <f t="shared" si="14"/>
        <v>0</v>
      </c>
      <c r="BC69" s="130">
        <f t="shared" si="14"/>
        <v>0</v>
      </c>
      <c r="BD69" s="130">
        <f t="shared" si="14"/>
        <v>0</v>
      </c>
      <c r="BE69" s="130">
        <f t="shared" si="14"/>
        <v>0</v>
      </c>
      <c r="BF69" s="130">
        <f t="shared" si="14"/>
        <v>0</v>
      </c>
      <c r="BG69" s="130">
        <f t="shared" si="14"/>
        <v>0</v>
      </c>
      <c r="BH69" s="130">
        <f t="shared" si="14"/>
        <v>0</v>
      </c>
      <c r="BI69" s="130">
        <f t="shared" si="14"/>
        <v>0</v>
      </c>
      <c r="BJ69" s="130">
        <f t="shared" si="14"/>
        <v>0</v>
      </c>
      <c r="BK69" s="130">
        <f t="shared" si="14"/>
        <v>0</v>
      </c>
      <c r="BL69" s="130">
        <f t="shared" si="14"/>
        <v>0</v>
      </c>
      <c r="BM69" s="130">
        <f t="shared" si="14"/>
        <v>0</v>
      </c>
      <c r="BN69" s="130">
        <f t="shared" si="14"/>
        <v>0</v>
      </c>
      <c r="BO69" s="130">
        <f t="shared" si="14"/>
        <v>0</v>
      </c>
      <c r="BP69" s="130">
        <f t="shared" si="14"/>
        <v>0</v>
      </c>
      <c r="BQ69" s="130">
        <f t="shared" si="14"/>
        <v>0</v>
      </c>
      <c r="BR69" s="130">
        <f t="shared" si="14"/>
        <v>0</v>
      </c>
      <c r="BS69" s="130">
        <f t="shared" si="14"/>
        <v>0</v>
      </c>
      <c r="BT69" s="75"/>
      <c r="BU69" s="75"/>
      <c r="BV69" s="75"/>
    </row>
    <row r="70" spans="1:74">
      <c r="A70" s="75"/>
      <c r="B70" s="75" t="s">
        <v>143</v>
      </c>
      <c r="C70" s="75"/>
      <c r="D70" s="75" t="s">
        <v>144</v>
      </c>
      <c r="E70" s="75"/>
      <c r="F70" s="75"/>
      <c r="G70" s="75"/>
      <c r="H70" s="132">
        <f>SUM(J70:BS70)</f>
        <v>8179999999.999999</v>
      </c>
      <c r="I70" s="75" t="s">
        <v>130</v>
      </c>
      <c r="J70" s="130">
        <f t="shared" ref="J70:AO70" si="15">J68+J69</f>
        <v>1168571428.5714285</v>
      </c>
      <c r="K70" s="130">
        <f t="shared" si="15"/>
        <v>1168571428.5714285</v>
      </c>
      <c r="L70" s="130">
        <f t="shared" si="15"/>
        <v>1168571428.5714285</v>
      </c>
      <c r="M70" s="130">
        <f t="shared" si="15"/>
        <v>1168571428.5714285</v>
      </c>
      <c r="N70" s="130">
        <f t="shared" si="15"/>
        <v>1168571428.5714285</v>
      </c>
      <c r="O70" s="130">
        <f t="shared" si="15"/>
        <v>1168571428.5714285</v>
      </c>
      <c r="P70" s="130">
        <f t="shared" si="15"/>
        <v>1168571428.5714285</v>
      </c>
      <c r="Q70" s="130">
        <f t="shared" si="15"/>
        <v>0</v>
      </c>
      <c r="R70" s="130">
        <f t="shared" si="15"/>
        <v>0</v>
      </c>
      <c r="S70" s="130">
        <f t="shared" si="15"/>
        <v>0</v>
      </c>
      <c r="T70" s="130">
        <f t="shared" si="15"/>
        <v>0</v>
      </c>
      <c r="U70" s="130">
        <f t="shared" si="15"/>
        <v>0</v>
      </c>
      <c r="V70" s="130">
        <f t="shared" si="15"/>
        <v>0</v>
      </c>
      <c r="W70" s="130">
        <f t="shared" si="15"/>
        <v>0</v>
      </c>
      <c r="X70" s="130">
        <f t="shared" si="15"/>
        <v>0</v>
      </c>
      <c r="Y70" s="130">
        <f t="shared" si="15"/>
        <v>0</v>
      </c>
      <c r="Z70" s="130">
        <f t="shared" si="15"/>
        <v>0</v>
      </c>
      <c r="AA70" s="130">
        <f t="shared" si="15"/>
        <v>0</v>
      </c>
      <c r="AB70" s="130">
        <f t="shared" si="15"/>
        <v>0</v>
      </c>
      <c r="AC70" s="130">
        <f t="shared" si="15"/>
        <v>0</v>
      </c>
      <c r="AD70" s="130">
        <f t="shared" si="15"/>
        <v>0</v>
      </c>
      <c r="AE70" s="130">
        <f t="shared" si="15"/>
        <v>0</v>
      </c>
      <c r="AF70" s="130">
        <f t="shared" si="15"/>
        <v>0</v>
      </c>
      <c r="AG70" s="130">
        <f t="shared" si="15"/>
        <v>0</v>
      </c>
      <c r="AH70" s="130">
        <f t="shared" si="15"/>
        <v>0</v>
      </c>
      <c r="AI70" s="130">
        <f t="shared" si="15"/>
        <v>0</v>
      </c>
      <c r="AJ70" s="130">
        <f t="shared" si="15"/>
        <v>0</v>
      </c>
      <c r="AK70" s="130">
        <f t="shared" si="15"/>
        <v>0</v>
      </c>
      <c r="AL70" s="130">
        <f t="shared" si="15"/>
        <v>0</v>
      </c>
      <c r="AM70" s="130">
        <f t="shared" si="15"/>
        <v>0</v>
      </c>
      <c r="AN70" s="130">
        <f t="shared" si="15"/>
        <v>0</v>
      </c>
      <c r="AO70" s="130">
        <f t="shared" si="15"/>
        <v>0</v>
      </c>
      <c r="AP70" s="130">
        <f t="shared" ref="AP70:BS70" si="16">AP68+AP69</f>
        <v>0</v>
      </c>
      <c r="AQ70" s="130">
        <f t="shared" si="16"/>
        <v>0</v>
      </c>
      <c r="AR70" s="130">
        <f t="shared" si="16"/>
        <v>0</v>
      </c>
      <c r="AS70" s="130">
        <f t="shared" si="16"/>
        <v>0</v>
      </c>
      <c r="AT70" s="130">
        <f t="shared" si="16"/>
        <v>0</v>
      </c>
      <c r="AU70" s="130">
        <f t="shared" si="16"/>
        <v>0</v>
      </c>
      <c r="AV70" s="130">
        <f t="shared" si="16"/>
        <v>0</v>
      </c>
      <c r="AW70" s="130">
        <f t="shared" si="16"/>
        <v>0</v>
      </c>
      <c r="AX70" s="130">
        <f t="shared" si="16"/>
        <v>0</v>
      </c>
      <c r="AY70" s="130">
        <f t="shared" si="16"/>
        <v>0</v>
      </c>
      <c r="AZ70" s="130">
        <f t="shared" si="16"/>
        <v>0</v>
      </c>
      <c r="BA70" s="130">
        <f t="shared" si="16"/>
        <v>0</v>
      </c>
      <c r="BB70" s="130">
        <f t="shared" si="16"/>
        <v>0</v>
      </c>
      <c r="BC70" s="130">
        <f t="shared" si="16"/>
        <v>0</v>
      </c>
      <c r="BD70" s="130">
        <f t="shared" si="16"/>
        <v>0</v>
      </c>
      <c r="BE70" s="130">
        <f t="shared" si="16"/>
        <v>0</v>
      </c>
      <c r="BF70" s="130">
        <f t="shared" si="16"/>
        <v>0</v>
      </c>
      <c r="BG70" s="130">
        <f t="shared" si="16"/>
        <v>0</v>
      </c>
      <c r="BH70" s="130">
        <f t="shared" si="16"/>
        <v>0</v>
      </c>
      <c r="BI70" s="130">
        <f t="shared" si="16"/>
        <v>0</v>
      </c>
      <c r="BJ70" s="130">
        <f t="shared" si="16"/>
        <v>0</v>
      </c>
      <c r="BK70" s="130">
        <f t="shared" si="16"/>
        <v>0</v>
      </c>
      <c r="BL70" s="130">
        <f t="shared" si="16"/>
        <v>0</v>
      </c>
      <c r="BM70" s="130">
        <f t="shared" si="16"/>
        <v>0</v>
      </c>
      <c r="BN70" s="130">
        <f t="shared" si="16"/>
        <v>0</v>
      </c>
      <c r="BO70" s="130">
        <f t="shared" si="16"/>
        <v>0</v>
      </c>
      <c r="BP70" s="130">
        <f t="shared" si="16"/>
        <v>0</v>
      </c>
      <c r="BQ70" s="130">
        <f t="shared" si="16"/>
        <v>0</v>
      </c>
      <c r="BR70" s="130">
        <f t="shared" si="16"/>
        <v>0</v>
      </c>
      <c r="BS70" s="130">
        <f t="shared" si="16"/>
        <v>0</v>
      </c>
      <c r="BT70" s="75"/>
      <c r="BU70" s="75"/>
      <c r="BV70" s="75"/>
    </row>
    <row r="71" spans="1:74">
      <c r="A71" s="75"/>
      <c r="B71" s="75" t="s">
        <v>145</v>
      </c>
      <c r="C71" s="75"/>
      <c r="D71" s="75" t="s">
        <v>146</v>
      </c>
      <c r="E71" s="75"/>
      <c r="F71" s="75"/>
      <c r="G71" s="75"/>
      <c r="H71" s="129">
        <f>SUM(J71:BS71)</f>
        <v>7099880158.6068153</v>
      </c>
      <c r="I71" s="109" t="s">
        <v>130</v>
      </c>
      <c r="J71" s="130">
        <f t="shared" ref="J71:AO71" si="17">J70*J48</f>
        <v>1168571428.5714285</v>
      </c>
      <c r="K71" s="130">
        <f t="shared" si="17"/>
        <v>1112925170.068027</v>
      </c>
      <c r="L71" s="130">
        <f t="shared" si="17"/>
        <v>1059928733.398121</v>
      </c>
      <c r="M71" s="130">
        <f t="shared" si="17"/>
        <v>1009455936.5696391</v>
      </c>
      <c r="N71" s="130">
        <f t="shared" si="17"/>
        <v>961386606.2567991</v>
      </c>
      <c r="O71" s="130">
        <f t="shared" si="17"/>
        <v>915606291.67314184</v>
      </c>
      <c r="P71" s="130">
        <f t="shared" si="17"/>
        <v>872005992.06965888</v>
      </c>
      <c r="Q71" s="130">
        <f t="shared" si="17"/>
        <v>0</v>
      </c>
      <c r="R71" s="130">
        <f t="shared" si="17"/>
        <v>0</v>
      </c>
      <c r="S71" s="130">
        <f t="shared" si="17"/>
        <v>0</v>
      </c>
      <c r="T71" s="130">
        <f t="shared" si="17"/>
        <v>0</v>
      </c>
      <c r="U71" s="130">
        <f t="shared" si="17"/>
        <v>0</v>
      </c>
      <c r="V71" s="130">
        <f t="shared" si="17"/>
        <v>0</v>
      </c>
      <c r="W71" s="130">
        <f t="shared" si="17"/>
        <v>0</v>
      </c>
      <c r="X71" s="130">
        <f t="shared" si="17"/>
        <v>0</v>
      </c>
      <c r="Y71" s="130">
        <f t="shared" si="17"/>
        <v>0</v>
      </c>
      <c r="Z71" s="130">
        <f t="shared" si="17"/>
        <v>0</v>
      </c>
      <c r="AA71" s="130">
        <f t="shared" si="17"/>
        <v>0</v>
      </c>
      <c r="AB71" s="130">
        <f t="shared" si="17"/>
        <v>0</v>
      </c>
      <c r="AC71" s="130">
        <f t="shared" si="17"/>
        <v>0</v>
      </c>
      <c r="AD71" s="130">
        <f t="shared" si="17"/>
        <v>0</v>
      </c>
      <c r="AE71" s="130">
        <f t="shared" si="17"/>
        <v>0</v>
      </c>
      <c r="AF71" s="130">
        <f t="shared" si="17"/>
        <v>0</v>
      </c>
      <c r="AG71" s="130">
        <f t="shared" si="17"/>
        <v>0</v>
      </c>
      <c r="AH71" s="130">
        <f t="shared" si="17"/>
        <v>0</v>
      </c>
      <c r="AI71" s="130">
        <f t="shared" si="17"/>
        <v>0</v>
      </c>
      <c r="AJ71" s="130">
        <f t="shared" si="17"/>
        <v>0</v>
      </c>
      <c r="AK71" s="130">
        <f t="shared" si="17"/>
        <v>0</v>
      </c>
      <c r="AL71" s="130">
        <f t="shared" si="17"/>
        <v>0</v>
      </c>
      <c r="AM71" s="130">
        <f t="shared" si="17"/>
        <v>0</v>
      </c>
      <c r="AN71" s="130">
        <f t="shared" si="17"/>
        <v>0</v>
      </c>
      <c r="AO71" s="130">
        <f t="shared" si="17"/>
        <v>0</v>
      </c>
      <c r="AP71" s="130">
        <f t="shared" ref="AP71:BS71" si="18">AP70*AP48</f>
        <v>0</v>
      </c>
      <c r="AQ71" s="130">
        <f t="shared" si="18"/>
        <v>0</v>
      </c>
      <c r="AR71" s="130">
        <f t="shared" si="18"/>
        <v>0</v>
      </c>
      <c r="AS71" s="130">
        <f t="shared" si="18"/>
        <v>0</v>
      </c>
      <c r="AT71" s="130">
        <f t="shared" si="18"/>
        <v>0</v>
      </c>
      <c r="AU71" s="130">
        <f t="shared" si="18"/>
        <v>0</v>
      </c>
      <c r="AV71" s="130">
        <f t="shared" si="18"/>
        <v>0</v>
      </c>
      <c r="AW71" s="130">
        <f t="shared" si="18"/>
        <v>0</v>
      </c>
      <c r="AX71" s="130">
        <f t="shared" si="18"/>
        <v>0</v>
      </c>
      <c r="AY71" s="130">
        <f t="shared" si="18"/>
        <v>0</v>
      </c>
      <c r="AZ71" s="130">
        <f t="shared" si="18"/>
        <v>0</v>
      </c>
      <c r="BA71" s="130">
        <f t="shared" si="18"/>
        <v>0</v>
      </c>
      <c r="BB71" s="130">
        <f t="shared" si="18"/>
        <v>0</v>
      </c>
      <c r="BC71" s="130">
        <f t="shared" si="18"/>
        <v>0</v>
      </c>
      <c r="BD71" s="130">
        <f t="shared" si="18"/>
        <v>0</v>
      </c>
      <c r="BE71" s="130">
        <f t="shared" si="18"/>
        <v>0</v>
      </c>
      <c r="BF71" s="130">
        <f t="shared" si="18"/>
        <v>0</v>
      </c>
      <c r="BG71" s="130">
        <f t="shared" si="18"/>
        <v>0</v>
      </c>
      <c r="BH71" s="130">
        <f t="shared" si="18"/>
        <v>0</v>
      </c>
      <c r="BI71" s="130">
        <f t="shared" si="18"/>
        <v>0</v>
      </c>
      <c r="BJ71" s="130">
        <f t="shared" si="18"/>
        <v>0</v>
      </c>
      <c r="BK71" s="130">
        <f t="shared" si="18"/>
        <v>0</v>
      </c>
      <c r="BL71" s="130">
        <f t="shared" si="18"/>
        <v>0</v>
      </c>
      <c r="BM71" s="130">
        <f t="shared" si="18"/>
        <v>0</v>
      </c>
      <c r="BN71" s="130">
        <f t="shared" si="18"/>
        <v>0</v>
      </c>
      <c r="BO71" s="130">
        <f t="shared" si="18"/>
        <v>0</v>
      </c>
      <c r="BP71" s="130">
        <f t="shared" si="18"/>
        <v>0</v>
      </c>
      <c r="BQ71" s="130">
        <f t="shared" si="18"/>
        <v>0</v>
      </c>
      <c r="BR71" s="130">
        <f t="shared" si="18"/>
        <v>0</v>
      </c>
      <c r="BS71" s="130">
        <f t="shared" si="18"/>
        <v>0</v>
      </c>
      <c r="BT71" s="75"/>
      <c r="BU71" s="75"/>
      <c r="BV71" s="75"/>
    </row>
    <row r="72" spans="1:74" ht="15.95" thickBot="1">
      <c r="A72" s="75"/>
      <c r="B72" s="75"/>
      <c r="C72" s="75"/>
      <c r="D72" s="75"/>
      <c r="E72" s="75"/>
      <c r="F72" s="75"/>
      <c r="G72" s="75"/>
      <c r="H72" s="101"/>
      <c r="I72" s="75"/>
      <c r="J72" s="133"/>
      <c r="K72" s="133"/>
      <c r="L72" s="133"/>
      <c r="M72" s="133"/>
      <c r="N72" s="133"/>
      <c r="O72" s="133"/>
      <c r="P72" s="133"/>
      <c r="Q72" s="133"/>
      <c r="R72" s="133"/>
      <c r="S72" s="133"/>
      <c r="T72" s="133"/>
      <c r="U72" s="133"/>
      <c r="V72" s="133"/>
      <c r="W72" s="133"/>
      <c r="X72" s="133"/>
      <c r="Y72" s="133"/>
      <c r="Z72" s="133"/>
      <c r="AA72" s="133"/>
      <c r="AB72" s="133"/>
      <c r="AC72" s="133"/>
      <c r="AD72" s="133"/>
      <c r="AE72" s="133"/>
      <c r="AF72" s="133"/>
      <c r="AG72" s="133"/>
      <c r="AH72" s="133"/>
      <c r="AI72" s="133"/>
      <c r="AJ72" s="133"/>
      <c r="AK72" s="133"/>
      <c r="AL72" s="133"/>
      <c r="AM72" s="133"/>
      <c r="AN72" s="133"/>
      <c r="AO72" s="133"/>
      <c r="AP72" s="133"/>
      <c r="AQ72" s="133"/>
      <c r="AR72" s="133"/>
      <c r="AS72" s="133"/>
      <c r="AT72" s="133"/>
      <c r="AU72" s="133"/>
      <c r="AV72" s="133"/>
      <c r="AW72" s="133"/>
      <c r="AX72" s="133"/>
      <c r="AY72" s="133"/>
      <c r="AZ72" s="133"/>
      <c r="BA72" s="133"/>
      <c r="BB72" s="133"/>
      <c r="BC72" s="133"/>
      <c r="BD72" s="133"/>
      <c r="BE72" s="133"/>
      <c r="BF72" s="133"/>
      <c r="BG72" s="133"/>
      <c r="BH72" s="133"/>
      <c r="BI72" s="133"/>
      <c r="BJ72" s="133"/>
      <c r="BK72" s="133"/>
      <c r="BL72" s="133"/>
      <c r="BM72" s="133"/>
      <c r="BN72" s="133"/>
      <c r="BO72" s="133"/>
      <c r="BP72" s="133"/>
      <c r="BQ72" s="133"/>
      <c r="BR72" s="133"/>
      <c r="BS72" s="133"/>
      <c r="BT72" s="75"/>
      <c r="BU72" s="75"/>
      <c r="BV72" s="75"/>
    </row>
    <row r="73" spans="1:74" ht="15.95" thickBot="1">
      <c r="A73" s="75"/>
      <c r="B73" s="82" t="s">
        <v>147</v>
      </c>
      <c r="C73" s="82"/>
      <c r="D73" s="82"/>
      <c r="E73" s="82"/>
      <c r="F73" s="82"/>
      <c r="G73" s="82"/>
      <c r="H73" s="124">
        <f>H81/H54</f>
        <v>0</v>
      </c>
      <c r="I73" s="82" t="s">
        <v>126</v>
      </c>
      <c r="J73" s="134"/>
      <c r="K73" s="134"/>
      <c r="L73" s="134"/>
      <c r="M73" s="134"/>
      <c r="N73" s="134"/>
      <c r="O73" s="134"/>
      <c r="P73" s="134"/>
      <c r="Q73" s="134"/>
      <c r="R73" s="134"/>
      <c r="S73" s="134"/>
      <c r="T73" s="134"/>
      <c r="U73" s="134"/>
      <c r="V73" s="134"/>
      <c r="W73" s="134"/>
      <c r="X73" s="134"/>
      <c r="Y73" s="134"/>
      <c r="Z73" s="134"/>
      <c r="AA73" s="134"/>
      <c r="AB73" s="134"/>
      <c r="AC73" s="134"/>
      <c r="AD73" s="134"/>
      <c r="AE73" s="134"/>
      <c r="AF73" s="134"/>
      <c r="AG73" s="134"/>
      <c r="AH73" s="134"/>
      <c r="AI73" s="134"/>
      <c r="AJ73" s="134"/>
      <c r="AK73" s="134"/>
      <c r="AL73" s="134"/>
      <c r="AM73" s="134"/>
      <c r="AN73" s="134"/>
      <c r="AO73" s="134"/>
      <c r="AP73" s="134"/>
      <c r="AQ73" s="134"/>
      <c r="AR73" s="134"/>
      <c r="AS73" s="134"/>
      <c r="AT73" s="134"/>
      <c r="AU73" s="134"/>
      <c r="AV73" s="134"/>
      <c r="AW73" s="134"/>
      <c r="AX73" s="134"/>
      <c r="AY73" s="134"/>
      <c r="AZ73" s="134"/>
      <c r="BA73" s="134"/>
      <c r="BB73" s="134"/>
      <c r="BC73" s="134"/>
      <c r="BD73" s="134"/>
      <c r="BE73" s="134"/>
      <c r="BF73" s="134"/>
      <c r="BG73" s="134"/>
      <c r="BH73" s="134"/>
      <c r="BI73" s="134"/>
      <c r="BJ73" s="134"/>
      <c r="BK73" s="134"/>
      <c r="BL73" s="134"/>
      <c r="BM73" s="134"/>
      <c r="BN73" s="134"/>
      <c r="BO73" s="134"/>
      <c r="BP73" s="134"/>
      <c r="BQ73" s="134"/>
      <c r="BR73" s="134"/>
      <c r="BS73" s="134"/>
      <c r="BT73" s="75"/>
      <c r="BU73" s="75"/>
      <c r="BV73" s="75"/>
    </row>
    <row r="74" spans="1:74">
      <c r="A74" s="75"/>
      <c r="B74" s="75" t="s">
        <v>103</v>
      </c>
      <c r="C74" s="75"/>
      <c r="D74" s="75" t="s">
        <v>148</v>
      </c>
      <c r="E74" s="75"/>
      <c r="F74" s="75"/>
      <c r="G74" s="75"/>
      <c r="H74" s="101">
        <f>O7</f>
        <v>0</v>
      </c>
      <c r="I74" s="75" t="s">
        <v>149</v>
      </c>
      <c r="J74" s="135">
        <f>IF(AND(J$46&gt;=$C$22,J$46&lt;$C$23),$H74,0%)</f>
        <v>0</v>
      </c>
      <c r="K74" s="135">
        <f>IF(AND(K46&gt;=$C22,K46&lt;$C23),$H74,0%)</f>
        <v>0</v>
      </c>
      <c r="L74" s="135">
        <f>IF(AND(L46&gt;=$C22,L46&lt;$C23),$H74,0%)</f>
        <v>0</v>
      </c>
      <c r="M74" s="135">
        <f>IF(AND(M46&gt;=$C22,M46&lt;$C23),$H74,0%)</f>
        <v>0</v>
      </c>
      <c r="N74" s="135">
        <f>IF(AND(N46&gt;=$C22,N46&lt;$C23),$H74,0%)</f>
        <v>0</v>
      </c>
      <c r="O74" s="135">
        <f>IF(AND(O46&gt;=$C22,O46&lt;$C23),$H74,0%)</f>
        <v>0</v>
      </c>
      <c r="P74" s="135">
        <f>IF(AND(P46&gt;=$C22,P46&lt;$C23),$H74,0%)</f>
        <v>0</v>
      </c>
      <c r="Q74" s="135">
        <f>IF(AND(Q46&gt;=$C22,Q46&lt;$C23),$H74,0%)</f>
        <v>0</v>
      </c>
      <c r="R74" s="135">
        <f>IF(AND(R46&gt;=$C22,R46&lt;$C23),$H74,0%)</f>
        <v>0</v>
      </c>
      <c r="S74" s="135">
        <f>IF(AND(S46&gt;=$C22,S46&lt;$C23),$H74,0%)</f>
        <v>0</v>
      </c>
      <c r="T74" s="135">
        <f>IF(AND(T46&gt;=$C22,T46&lt;$C23),$H74,0%)</f>
        <v>0</v>
      </c>
      <c r="U74" s="135">
        <f>IF(AND(U46&gt;=$C22,U46&lt;$C23),$H74,0%)</f>
        <v>0</v>
      </c>
      <c r="V74" s="135">
        <f>IF(AND(V46&gt;=$C22,V46&lt;$C23),$H74,0%)</f>
        <v>0</v>
      </c>
      <c r="W74" s="135">
        <f>IF(AND(W46&gt;=$C22,W46&lt;$C23),$H74,0%)</f>
        <v>0</v>
      </c>
      <c r="X74" s="135">
        <f>IF(AND(X46&gt;=$C22,X46&lt;$C23),$H74,0%)</f>
        <v>0</v>
      </c>
      <c r="Y74" s="135">
        <f>IF(AND(Y46&gt;=$C22,Y46&lt;$C23),$H74,0%)</f>
        <v>0</v>
      </c>
      <c r="Z74" s="135">
        <f>IF(AND(Z46&gt;=$C22,Z46&lt;$C23),$H74,0%)</f>
        <v>0</v>
      </c>
      <c r="AA74" s="135">
        <f>IF(AND(AA46&gt;=$C22,AA46&lt;$C23),$H74,0%)</f>
        <v>0</v>
      </c>
      <c r="AB74" s="135">
        <f>IF(AND(AB46&gt;=$C22,AB46&lt;$C23),$H74,0%)</f>
        <v>0</v>
      </c>
      <c r="AC74" s="135">
        <f>IF(AND(AC46&gt;=$C22,AC46&lt;$C23),$H74,0%)</f>
        <v>0</v>
      </c>
      <c r="AD74" s="135">
        <f>IF(AND(AD46&gt;=$C22,AD46&lt;$C23),$H74,0%)</f>
        <v>0</v>
      </c>
      <c r="AE74" s="135">
        <f>IF(AND(AE46&gt;=$C22,AE46&lt;$C23),$H74,0%)</f>
        <v>0</v>
      </c>
      <c r="AF74" s="135">
        <f>IF(AND(AF46&gt;=$C22,AF46&lt;$C23),$H74,0%)</f>
        <v>0</v>
      </c>
      <c r="AG74" s="135">
        <f>IF(AND(AG46&gt;=$C22,AG46&lt;$C23),$H74,0%)</f>
        <v>0</v>
      </c>
      <c r="AH74" s="135">
        <f>IF(AND(AH46&gt;=$C22,AH46&lt;$C23),$H74,0%)</f>
        <v>0</v>
      </c>
      <c r="AI74" s="135">
        <f>IF(AND(AI46&gt;=$C22,AI46&lt;$C23),$H74,0%)</f>
        <v>0</v>
      </c>
      <c r="AJ74" s="135">
        <f>IF(AND(AJ46&gt;=$C22,AJ46&lt;$C23),$H74,0%)</f>
        <v>0</v>
      </c>
      <c r="AK74" s="135">
        <f>IF(AND(AK46&gt;=$C22,AK46&lt;$C23),$H74,0%)</f>
        <v>0</v>
      </c>
      <c r="AL74" s="135">
        <f>IF(AND(AL46&gt;=$C22,AL46&lt;$C23),$H74,0%)</f>
        <v>0</v>
      </c>
      <c r="AM74" s="135">
        <f>IF(AND(AM46&gt;=$C22,AM46&lt;$C23),$H74,0%)</f>
        <v>0</v>
      </c>
      <c r="AN74" s="135">
        <f>IF(AND(AN46&gt;=$C22,AN46&lt;$C23),$H74,0%)</f>
        <v>0</v>
      </c>
      <c r="AO74" s="135">
        <f>IF(AND(AO46&gt;=$C22,AO46&lt;$C23),$H74,0%)</f>
        <v>0</v>
      </c>
      <c r="AP74" s="135">
        <f>IF(AND(AP46&gt;=$C22,AP46&lt;$C23),$H74,0%)</f>
        <v>0</v>
      </c>
      <c r="AQ74" s="135">
        <f>IF(AND(AQ46&gt;=$C22,AQ46&lt;$C23),$H74,0%)</f>
        <v>0</v>
      </c>
      <c r="AR74" s="135">
        <f>IF(AND(AR46&gt;=$C22,AR46&lt;$C23),$H74,0%)</f>
        <v>0</v>
      </c>
      <c r="AS74" s="135">
        <f>IF(AND(AS46&gt;=$C22,AS46&lt;$C23),$H74,0%)</f>
        <v>0</v>
      </c>
      <c r="AT74" s="135">
        <f>IF(AND(AT46&gt;=$C22,AT46&lt;$C23),$H74,0%)</f>
        <v>0</v>
      </c>
      <c r="AU74" s="135">
        <f>IF(AND(AU46&gt;=$C22,AU46&lt;$C23),$H74,0%)</f>
        <v>0</v>
      </c>
      <c r="AV74" s="135">
        <f>IF(AND(AV46&gt;=$C22,AV46&lt;$C23),$H74,0%)</f>
        <v>0</v>
      </c>
      <c r="AW74" s="135">
        <f>IF(AND(AW46&gt;=$C22,AW46&lt;$C23),$H74,0%)</f>
        <v>0</v>
      </c>
      <c r="AX74" s="135">
        <f>IF(AND(AX46&gt;=$C22,AX46&lt;$C23),$H74,0%)</f>
        <v>0</v>
      </c>
      <c r="AY74" s="135">
        <f>IF(AND(AY46&gt;=$C22,AY46&lt;$C23),$H74,0%)</f>
        <v>0</v>
      </c>
      <c r="AZ74" s="135">
        <f>IF(AND(AZ46&gt;=$C22,AZ46&lt;$C23),$H74,0%)</f>
        <v>0</v>
      </c>
      <c r="BA74" s="135">
        <f>IF(AND(BA46&gt;=$C22,BA46&lt;$C23),$H74,0%)</f>
        <v>0</v>
      </c>
      <c r="BB74" s="135">
        <f>IF(AND(BB46&gt;=$C22,BB46&lt;$C23),$H74,0%)</f>
        <v>0</v>
      </c>
      <c r="BC74" s="135">
        <f>IF(AND(BC46&gt;=$C22,BC46&lt;$C23),$H74,0%)</f>
        <v>0</v>
      </c>
      <c r="BD74" s="135">
        <f>IF(AND(BD46&gt;=$C22,BD46&lt;$C23),$H74,0%)</f>
        <v>0</v>
      </c>
      <c r="BE74" s="135">
        <f>IF(AND(BE46&gt;=$C22,BE46&lt;$C23),$H74,0%)</f>
        <v>0</v>
      </c>
      <c r="BF74" s="135">
        <f>IF(AND(BF46&gt;=$C22,BF46&lt;$C23),$H74,0%)</f>
        <v>0</v>
      </c>
      <c r="BG74" s="135">
        <f>IF(AND(BG46&gt;=$C22,BG46&lt;$C23),$H74,0%)</f>
        <v>0</v>
      </c>
      <c r="BH74" s="135">
        <f>IF(AND(BH46&gt;=$C22,BH46&lt;$C23),$H74,0%)</f>
        <v>0</v>
      </c>
      <c r="BI74" s="135">
        <f>IF(AND(BI46&gt;=$C22,BI46&lt;$C23),$H74,0%)</f>
        <v>0</v>
      </c>
      <c r="BJ74" s="135">
        <f>IF(AND(BJ46&gt;=$C22,BJ46&lt;$C23),$H74,0%)</f>
        <v>0</v>
      </c>
      <c r="BK74" s="135">
        <f>IF(AND(BK46&gt;=$C22,BK46&lt;$C23),$H74,0%)</f>
        <v>0</v>
      </c>
      <c r="BL74" s="135">
        <f>IF(AND(BL46&gt;=$C22,BL46&lt;$C23),$H74,0%)</f>
        <v>0</v>
      </c>
      <c r="BM74" s="135">
        <f>IF(AND(BM46&gt;=$C22,BM46&lt;$C23),$H74,0%)</f>
        <v>0</v>
      </c>
      <c r="BN74" s="135">
        <f>IF(AND(BN46&gt;=$C22,BN46&lt;$C23),$H74,0%)</f>
        <v>0</v>
      </c>
      <c r="BO74" s="135">
        <f>IF(AND(BO46&gt;=$C22,BO46&lt;$C23),$H74,0%)</f>
        <v>0</v>
      </c>
      <c r="BP74" s="135">
        <f>IF(AND(BP46&gt;=$C22,BP46&lt;$C23),$H74,0%)</f>
        <v>0</v>
      </c>
      <c r="BQ74" s="135">
        <f>IF(AND(BQ46&gt;=$C22,BQ46&lt;$C23),$H74,0%)</f>
        <v>0</v>
      </c>
      <c r="BR74" s="135">
        <f>IF(AND(BR46&gt;=$C22,BR46&lt;$C23),$H74,0%)</f>
        <v>0</v>
      </c>
      <c r="BS74" s="135">
        <f>IF(AND(BS46&gt;=$C22,BS46&lt;$C23),$H74,0%)</f>
        <v>0</v>
      </c>
      <c r="BT74" s="75"/>
      <c r="BU74" s="75"/>
      <c r="BV74" s="75"/>
    </row>
    <row r="75" spans="1:74">
      <c r="A75" s="75"/>
      <c r="B75" s="75" t="s">
        <v>150</v>
      </c>
      <c r="C75" s="75"/>
      <c r="D75" s="75" t="str">
        <f>_xlfn.CONCAT("EUR/MW x nimellisteho (",B26," MW)")</f>
        <v>EUR/MW x nimellisteho (Sähköntuotannon nimellisteho MW)</v>
      </c>
      <c r="E75" s="75"/>
      <c r="F75" s="75"/>
      <c r="G75" s="75"/>
      <c r="H75" s="132">
        <f>SUM(J75:BS75)</f>
        <v>0</v>
      </c>
      <c r="I75" s="75" t="s">
        <v>130</v>
      </c>
      <c r="J75" s="136">
        <f>J74*$C$26</f>
        <v>0</v>
      </c>
      <c r="K75" s="136">
        <f>K74*$C$26</f>
        <v>0</v>
      </c>
      <c r="L75" s="136">
        <f>L74*$C$26</f>
        <v>0</v>
      </c>
      <c r="M75" s="136">
        <f>M74*$C$26</f>
        <v>0</v>
      </c>
      <c r="N75" s="136">
        <f>N74*$C$26</f>
        <v>0</v>
      </c>
      <c r="O75" s="136">
        <f>O74*$C$26</f>
        <v>0</v>
      </c>
      <c r="P75" s="136">
        <f>P74*$C$26</f>
        <v>0</v>
      </c>
      <c r="Q75" s="136">
        <f>Q74*$C$26</f>
        <v>0</v>
      </c>
      <c r="R75" s="136">
        <f>R74*$C$26</f>
        <v>0</v>
      </c>
      <c r="S75" s="136">
        <f>S74*$C$26</f>
        <v>0</v>
      </c>
      <c r="T75" s="136">
        <f>T74*$C$26</f>
        <v>0</v>
      </c>
      <c r="U75" s="136">
        <f>U74*$C$26</f>
        <v>0</v>
      </c>
      <c r="V75" s="136">
        <f>V74*$C$26</f>
        <v>0</v>
      </c>
      <c r="W75" s="136">
        <f>W74*$C$26</f>
        <v>0</v>
      </c>
      <c r="X75" s="136">
        <f>X74*$C$26</f>
        <v>0</v>
      </c>
      <c r="Y75" s="136">
        <f>Y74*$C$26</f>
        <v>0</v>
      </c>
      <c r="Z75" s="136">
        <f>Z74*$C$26</f>
        <v>0</v>
      </c>
      <c r="AA75" s="136">
        <f>AA74*$C$26</f>
        <v>0</v>
      </c>
      <c r="AB75" s="136">
        <f>AB74*$C$26</f>
        <v>0</v>
      </c>
      <c r="AC75" s="136">
        <f>AC74*$C$26</f>
        <v>0</v>
      </c>
      <c r="AD75" s="136">
        <f>AD74*$C$26</f>
        <v>0</v>
      </c>
      <c r="AE75" s="136">
        <f>AE74*$C$26</f>
        <v>0</v>
      </c>
      <c r="AF75" s="136">
        <f>AF74*$C$26</f>
        <v>0</v>
      </c>
      <c r="AG75" s="136">
        <f>AG74*$C$26</f>
        <v>0</v>
      </c>
      <c r="AH75" s="136">
        <f>AH74*$C$26</f>
        <v>0</v>
      </c>
      <c r="AI75" s="136">
        <f>AI74*$C$26</f>
        <v>0</v>
      </c>
      <c r="AJ75" s="136">
        <f>AJ74*$C$26</f>
        <v>0</v>
      </c>
      <c r="AK75" s="136">
        <f>AK74*$C$26</f>
        <v>0</v>
      </c>
      <c r="AL75" s="136">
        <f>AL74*$C$26</f>
        <v>0</v>
      </c>
      <c r="AM75" s="136">
        <f>AM74*$C$26</f>
        <v>0</v>
      </c>
      <c r="AN75" s="136">
        <f>AN74*$C$26</f>
        <v>0</v>
      </c>
      <c r="AO75" s="136">
        <f>AO74*$C$26</f>
        <v>0</v>
      </c>
      <c r="AP75" s="136">
        <f>AP74*$C$26</f>
        <v>0</v>
      </c>
      <c r="AQ75" s="136">
        <f>AQ74*$C$26</f>
        <v>0</v>
      </c>
      <c r="AR75" s="136">
        <f>AR74*$C$26</f>
        <v>0</v>
      </c>
      <c r="AS75" s="136">
        <f>AS74*$C$26</f>
        <v>0</v>
      </c>
      <c r="AT75" s="136">
        <f>AT74*$C$26</f>
        <v>0</v>
      </c>
      <c r="AU75" s="136">
        <f>AU74*$C$26</f>
        <v>0</v>
      </c>
      <c r="AV75" s="136">
        <f>AV74*$C$26</f>
        <v>0</v>
      </c>
      <c r="AW75" s="136">
        <f>AW74*$C$26</f>
        <v>0</v>
      </c>
      <c r="AX75" s="136">
        <f>AX74*$C$26</f>
        <v>0</v>
      </c>
      <c r="AY75" s="136">
        <f>AY74*$C$26</f>
        <v>0</v>
      </c>
      <c r="AZ75" s="136">
        <f>AZ74*$C$26</f>
        <v>0</v>
      </c>
      <c r="BA75" s="136">
        <f>BA74*$C$26</f>
        <v>0</v>
      </c>
      <c r="BB75" s="136">
        <f>BB74*$C$26</f>
        <v>0</v>
      </c>
      <c r="BC75" s="136">
        <f>BC74*$C$26</f>
        <v>0</v>
      </c>
      <c r="BD75" s="136">
        <f>BD74*$C$26</f>
        <v>0</v>
      </c>
      <c r="BE75" s="136">
        <f>BE74*$C$26</f>
        <v>0</v>
      </c>
      <c r="BF75" s="136">
        <f>BF74*$C$26</f>
        <v>0</v>
      </c>
      <c r="BG75" s="136">
        <f>BG74*$C$26</f>
        <v>0</v>
      </c>
      <c r="BH75" s="136">
        <f>BH74*$C$26</f>
        <v>0</v>
      </c>
      <c r="BI75" s="136">
        <f>BI74*$C$26</f>
        <v>0</v>
      </c>
      <c r="BJ75" s="136">
        <f>BJ74*$C$26</f>
        <v>0</v>
      </c>
      <c r="BK75" s="136">
        <f>BK74*$C$26</f>
        <v>0</v>
      </c>
      <c r="BL75" s="136">
        <f>BL74*$C$26</f>
        <v>0</v>
      </c>
      <c r="BM75" s="136">
        <f>BM74*$C$26</f>
        <v>0</v>
      </c>
      <c r="BN75" s="136">
        <f>BN74*$C$26</f>
        <v>0</v>
      </c>
      <c r="BO75" s="136">
        <f>BO74*$C$26</f>
        <v>0</v>
      </c>
      <c r="BP75" s="136">
        <f>BP74*$C$26</f>
        <v>0</v>
      </c>
      <c r="BQ75" s="136">
        <f>BQ74*$C$26</f>
        <v>0</v>
      </c>
      <c r="BR75" s="136">
        <f>BR74*$C$26</f>
        <v>0</v>
      </c>
      <c r="BS75" s="136">
        <f>BS74*$C$26</f>
        <v>0</v>
      </c>
      <c r="BT75" s="75"/>
      <c r="BU75" s="75"/>
      <c r="BV75" s="75"/>
    </row>
    <row r="76" spans="1:74">
      <c r="A76" s="75"/>
      <c r="B76" s="75" t="s">
        <v>151</v>
      </c>
      <c r="C76" s="75"/>
      <c r="D76" s="75"/>
      <c r="E76" s="75"/>
      <c r="F76" s="75"/>
      <c r="G76" s="75"/>
      <c r="H76" s="101">
        <f>O9</f>
        <v>0</v>
      </c>
      <c r="I76" s="75" t="s">
        <v>149</v>
      </c>
      <c r="J76" s="135">
        <f>IF(AND(J$46&gt;=$C$22,J$46&lt;$C$23),$H76,0%)</f>
        <v>0</v>
      </c>
      <c r="K76" s="135">
        <f>IF(AND(K$46&gt;=$C$22,K$46&lt;$C$23),$H76,0%)</f>
        <v>0</v>
      </c>
      <c r="L76" s="135">
        <f>IF(AND(L$46&gt;=$C$22,L$46&lt;$C$23),$H76,0%)</f>
        <v>0</v>
      </c>
      <c r="M76" s="135">
        <f>IF(AND(M$46&gt;=$C$22,M$46&lt;$C$23),$H76,0%)</f>
        <v>0</v>
      </c>
      <c r="N76" s="135">
        <f>IF(AND(N$46&gt;=$C$22,N$46&lt;$C$23),$H76,0%)</f>
        <v>0</v>
      </c>
      <c r="O76" s="135">
        <f>IF(AND(O$46&gt;=$C$22,O$46&lt;$C$23),$H76,0%)</f>
        <v>0</v>
      </c>
      <c r="P76" s="135">
        <f>IF(AND(P$46&gt;=$C$22,P$46&lt;$C$23),$H76,0%)</f>
        <v>0</v>
      </c>
      <c r="Q76" s="135">
        <f>IF(AND(Q$46&gt;=$C$22,Q$46&lt;$C$23),$H76,0%)</f>
        <v>0</v>
      </c>
      <c r="R76" s="135">
        <f>IF(AND(R$46&gt;=$C$22,R$46&lt;$C$23),$H76,0%)</f>
        <v>0</v>
      </c>
      <c r="S76" s="135">
        <f>IF(AND(S$46&gt;=$C$22,S$46&lt;$C$23),$H76,0%)</f>
        <v>0</v>
      </c>
      <c r="T76" s="135">
        <f>IF(AND(T$46&gt;=$C$22,T$46&lt;$C$23),$H76,0%)</f>
        <v>0</v>
      </c>
      <c r="U76" s="135">
        <f>IF(AND(U$46&gt;=$C$22,U$46&lt;$C$23),$H76,0%)</f>
        <v>0</v>
      </c>
      <c r="V76" s="135">
        <f>IF(AND(V$46&gt;=$C$22,V$46&lt;$C$23),$H76,0%)</f>
        <v>0</v>
      </c>
      <c r="W76" s="135">
        <f>IF(AND(W$46&gt;=$C$22,W$46&lt;$C$23),$H76,0%)</f>
        <v>0</v>
      </c>
      <c r="X76" s="135">
        <f>IF(AND(X$46&gt;=$C$22,X$46&lt;$C$23),$H76,0%)</f>
        <v>0</v>
      </c>
      <c r="Y76" s="135">
        <f>IF(AND(Y$46&gt;=$C$22,Y$46&lt;$C$23),$H76,0%)</f>
        <v>0</v>
      </c>
      <c r="Z76" s="135">
        <f>IF(AND(Z$46&gt;=$C$22,Z$46&lt;$C$23),$H76,0%)</f>
        <v>0</v>
      </c>
      <c r="AA76" s="135">
        <f>IF(AND(AA$46&gt;=$C$22,AA$46&lt;$C$23),$H76,0%)</f>
        <v>0</v>
      </c>
      <c r="AB76" s="135">
        <f>IF(AND(AB$46&gt;=$C$22,AB$46&lt;$C$23),$H76,0%)</f>
        <v>0</v>
      </c>
      <c r="AC76" s="135">
        <f>IF(AND(AC$46&gt;=$C$22,AC$46&lt;$C$23),$H76,0%)</f>
        <v>0</v>
      </c>
      <c r="AD76" s="135">
        <f>IF(AND(AD$46&gt;=$C$22,AD$46&lt;$C$23),$H76,0%)</f>
        <v>0</v>
      </c>
      <c r="AE76" s="135">
        <f>IF(AND(AE$46&gt;=$C$22,AE$46&lt;$C$23),$H76,0%)</f>
        <v>0</v>
      </c>
      <c r="AF76" s="135">
        <f>IF(AND(AF$46&gt;=$C$22,AF$46&lt;$C$23),$H76,0%)</f>
        <v>0</v>
      </c>
      <c r="AG76" s="135">
        <f>IF(AND(AG$46&gt;=$C$22,AG$46&lt;$C$23),$H76,0%)</f>
        <v>0</v>
      </c>
      <c r="AH76" s="135">
        <f>IF(AND(AH$46&gt;=$C$22,AH$46&lt;$C$23),$H76,0%)</f>
        <v>0</v>
      </c>
      <c r="AI76" s="135">
        <f>IF(AND(AI$46&gt;=$C$22,AI$46&lt;$C$23),$H76,0%)</f>
        <v>0</v>
      </c>
      <c r="AJ76" s="135">
        <f>IF(AND(AJ$46&gt;=$C$22,AJ$46&lt;$C$23),$H76,0%)</f>
        <v>0</v>
      </c>
      <c r="AK76" s="135">
        <f>IF(AND(AK$46&gt;=$C$22,AK$46&lt;$C$23),$H76,0%)</f>
        <v>0</v>
      </c>
      <c r="AL76" s="135">
        <f>IF(AND(AL$46&gt;=$C$22,AL$46&lt;$C$23),$H76,0%)</f>
        <v>0</v>
      </c>
      <c r="AM76" s="135">
        <f>IF(AND(AM$46&gt;=$C$22,AM$46&lt;$C$23),$H76,0%)</f>
        <v>0</v>
      </c>
      <c r="AN76" s="135">
        <f>IF(AND(AN$46&gt;=$C$22,AN$46&lt;$C$23),$H76,0%)</f>
        <v>0</v>
      </c>
      <c r="AO76" s="135">
        <f>IF(AND(AO$46&gt;=$C$22,AO$46&lt;$C$23),$H76,0%)</f>
        <v>0</v>
      </c>
      <c r="AP76" s="135">
        <f>IF(AND(AP$46&gt;=$C$22,AP$46&lt;$C$23),$H76,0%)</f>
        <v>0</v>
      </c>
      <c r="AQ76" s="135">
        <f>IF(AND(AQ$46&gt;=$C$22,AQ$46&lt;$C$23),$H76,0%)</f>
        <v>0</v>
      </c>
      <c r="AR76" s="135">
        <f>IF(AND(AR$46&gt;=$C$22,AR$46&lt;$C$23),$H76,0%)</f>
        <v>0</v>
      </c>
      <c r="AS76" s="135">
        <f>IF(AND(AS$46&gt;=$C$22,AS$46&lt;$C$23),$H76,0%)</f>
        <v>0</v>
      </c>
      <c r="AT76" s="135">
        <f>IF(AND(AT$46&gt;=$C$22,AT$46&lt;$C$23),$H76,0%)</f>
        <v>0</v>
      </c>
      <c r="AU76" s="135">
        <f>IF(AND(AU$46&gt;=$C$22,AU$46&lt;$C$23),$H76,0%)</f>
        <v>0</v>
      </c>
      <c r="AV76" s="135">
        <f>IF(AND(AV$46&gt;=$C$22,AV$46&lt;$C$23),$H76,0%)</f>
        <v>0</v>
      </c>
      <c r="AW76" s="135">
        <f>IF(AND(AW$46&gt;=$C$22,AW$46&lt;$C$23),$H76,0%)</f>
        <v>0</v>
      </c>
      <c r="AX76" s="135">
        <f>IF(AND(AX$46&gt;=$C$22,AX$46&lt;$C$23),$H76,0%)</f>
        <v>0</v>
      </c>
      <c r="AY76" s="135">
        <f>IF(AND(AY$46&gt;=$C$22,AY$46&lt;$C$23),$H76,0%)</f>
        <v>0</v>
      </c>
      <c r="AZ76" s="135">
        <f>IF(AND(AZ$46&gt;=$C$22,AZ$46&lt;$C$23),$H76,0%)</f>
        <v>0</v>
      </c>
      <c r="BA76" s="135">
        <f>IF(AND(BA$46&gt;=$C$22,BA$46&lt;$C$23),$H76,0%)</f>
        <v>0</v>
      </c>
      <c r="BB76" s="135">
        <f>IF(AND(BB$46&gt;=$C$22,BB$46&lt;$C$23),$H76,0%)</f>
        <v>0</v>
      </c>
      <c r="BC76" s="135">
        <f>IF(AND(BC$46&gt;=$C$22,BC$46&lt;$C$23),$H76,0%)</f>
        <v>0</v>
      </c>
      <c r="BD76" s="135">
        <f>IF(AND(BD$46&gt;=$C$22,BD$46&lt;$C$23),$H76,0%)</f>
        <v>0</v>
      </c>
      <c r="BE76" s="135">
        <f>IF(AND(BE$46&gt;=$C$22,BE$46&lt;$C$23),$H76,0%)</f>
        <v>0</v>
      </c>
      <c r="BF76" s="135">
        <f>IF(AND(BF$46&gt;=$C$22,BF$46&lt;$C$23),$H76,0%)</f>
        <v>0</v>
      </c>
      <c r="BG76" s="135">
        <f>IF(AND(BG$46&gt;=$C$22,BG$46&lt;$C$23),$H76,0%)</f>
        <v>0</v>
      </c>
      <c r="BH76" s="135">
        <f>IF(AND(BH$46&gt;=$C$22,BH$46&lt;$C$23),$H76,0%)</f>
        <v>0</v>
      </c>
      <c r="BI76" s="135">
        <f>IF(AND(BI$46&gt;=$C$22,BI$46&lt;$C$23),$H76,0%)</f>
        <v>0</v>
      </c>
      <c r="BJ76" s="135">
        <f>IF(AND(BJ$46&gt;=$C$22,BJ$46&lt;$C$23),$H76,0%)</f>
        <v>0</v>
      </c>
      <c r="BK76" s="135">
        <f>IF(AND(BK$46&gt;=$C$22,BK$46&lt;$C$23),$H76,0%)</f>
        <v>0</v>
      </c>
      <c r="BL76" s="135">
        <f>IF(AND(BL$46&gt;=$C$22,BL$46&lt;$C$23),$H76,0%)</f>
        <v>0</v>
      </c>
      <c r="BM76" s="135">
        <f>IF(AND(BM$46&gt;=$C$22,BM$46&lt;$C$23),$H76,0%)</f>
        <v>0</v>
      </c>
      <c r="BN76" s="135">
        <f>IF(AND(BN$46&gt;=$C$22,BN$46&lt;$C$23),$H76,0%)</f>
        <v>0</v>
      </c>
      <c r="BO76" s="135">
        <f>IF(AND(BO$46&gt;=$C$22,BO$46&lt;$C$23),$H76,0%)</f>
        <v>0</v>
      </c>
      <c r="BP76" s="135">
        <f>IF(AND(BP$46&gt;=$C$22,BP$46&lt;$C$23),$H76,0%)</f>
        <v>0</v>
      </c>
      <c r="BQ76" s="135">
        <f>IF(AND(BQ$46&gt;=$C$22,BQ$46&lt;$C$23),$H76,0%)</f>
        <v>0</v>
      </c>
      <c r="BR76" s="135">
        <f>IF(AND(BR$46&gt;=$C$22,BR$46&lt;$C$23),$H76,0%)</f>
        <v>0</v>
      </c>
      <c r="BS76" s="135">
        <f>IF(AND(BS$46&gt;=$C$22,BS$46&lt;$C$23),$H76,0%)</f>
        <v>0</v>
      </c>
      <c r="BT76" s="75"/>
      <c r="BU76" s="75"/>
      <c r="BV76" s="75"/>
    </row>
    <row r="77" spans="1:74">
      <c r="A77" s="75"/>
      <c r="B77" s="75" t="s">
        <v>152</v>
      </c>
      <c r="C77" s="75"/>
      <c r="D77" s="75" t="str">
        <f>_xlfn.CONCAT("EUR/MW x nimellisteho (",B26," MW)")</f>
        <v>EUR/MW x nimellisteho (Sähköntuotannon nimellisteho MW)</v>
      </c>
      <c r="E77" s="75"/>
      <c r="F77" s="75"/>
      <c r="G77" s="75"/>
      <c r="H77" s="101">
        <f>SUM(J77:BS77)</f>
        <v>0</v>
      </c>
      <c r="I77" s="75" t="s">
        <v>130</v>
      </c>
      <c r="J77" s="136">
        <f>J76*$C$26</f>
        <v>0</v>
      </c>
      <c r="K77" s="136">
        <f>K76*$C$26</f>
        <v>0</v>
      </c>
      <c r="L77" s="136">
        <f>L76*$C$26</f>
        <v>0</v>
      </c>
      <c r="M77" s="136">
        <f>M76*$C$26</f>
        <v>0</v>
      </c>
      <c r="N77" s="136">
        <f>N76*$C$26</f>
        <v>0</v>
      </c>
      <c r="O77" s="136">
        <f>O76*$C$26</f>
        <v>0</v>
      </c>
      <c r="P77" s="136">
        <f>P76*$C$26</f>
        <v>0</v>
      </c>
      <c r="Q77" s="136">
        <f>Q76*$C$26</f>
        <v>0</v>
      </c>
      <c r="R77" s="136">
        <f>R76*$C$26</f>
        <v>0</v>
      </c>
      <c r="S77" s="136">
        <f>S76*$C$26</f>
        <v>0</v>
      </c>
      <c r="T77" s="136">
        <f>T76*$C$26</f>
        <v>0</v>
      </c>
      <c r="U77" s="136">
        <f>U76*$C$26</f>
        <v>0</v>
      </c>
      <c r="V77" s="136">
        <f>V76*$C$26</f>
        <v>0</v>
      </c>
      <c r="W77" s="136">
        <f>W76*$C$26</f>
        <v>0</v>
      </c>
      <c r="X77" s="136">
        <f>X76*$C$26</f>
        <v>0</v>
      </c>
      <c r="Y77" s="136">
        <f>Y76*$C$26</f>
        <v>0</v>
      </c>
      <c r="Z77" s="136">
        <f>Z76*$C$26</f>
        <v>0</v>
      </c>
      <c r="AA77" s="136">
        <f>AA76*$C$26</f>
        <v>0</v>
      </c>
      <c r="AB77" s="136">
        <f>AB76*$C$26</f>
        <v>0</v>
      </c>
      <c r="AC77" s="136">
        <f>AC76*$C$26</f>
        <v>0</v>
      </c>
      <c r="AD77" s="136">
        <f>AD76*$C$26</f>
        <v>0</v>
      </c>
      <c r="AE77" s="136">
        <f>AE76*$C$26</f>
        <v>0</v>
      </c>
      <c r="AF77" s="136">
        <f>AF76*$C$26</f>
        <v>0</v>
      </c>
      <c r="AG77" s="136">
        <f>AG76*$C$26</f>
        <v>0</v>
      </c>
      <c r="AH77" s="136">
        <f>AH76*$C$26</f>
        <v>0</v>
      </c>
      <c r="AI77" s="136">
        <f>AI76*$C$26</f>
        <v>0</v>
      </c>
      <c r="AJ77" s="136">
        <f>AJ76*$C$26</f>
        <v>0</v>
      </c>
      <c r="AK77" s="136">
        <f>AK76*$C$26</f>
        <v>0</v>
      </c>
      <c r="AL77" s="136">
        <f>AL76*$C$26</f>
        <v>0</v>
      </c>
      <c r="AM77" s="136">
        <f>AM76*$C$26</f>
        <v>0</v>
      </c>
      <c r="AN77" s="136">
        <f>AN76*$C$26</f>
        <v>0</v>
      </c>
      <c r="AO77" s="136">
        <f>AO76*$C$26</f>
        <v>0</v>
      </c>
      <c r="AP77" s="136">
        <f>AP76*$C$26</f>
        <v>0</v>
      </c>
      <c r="AQ77" s="136">
        <f>AQ76*$C$26</f>
        <v>0</v>
      </c>
      <c r="AR77" s="136">
        <f>AR76*$C$26</f>
        <v>0</v>
      </c>
      <c r="AS77" s="136">
        <f>AS76*$C$26</f>
        <v>0</v>
      </c>
      <c r="AT77" s="136">
        <f>AT76*$C$26</f>
        <v>0</v>
      </c>
      <c r="AU77" s="136">
        <f>AU76*$C$26</f>
        <v>0</v>
      </c>
      <c r="AV77" s="136">
        <f>AV76*$C$26</f>
        <v>0</v>
      </c>
      <c r="AW77" s="136">
        <f>AW76*$C$26</f>
        <v>0</v>
      </c>
      <c r="AX77" s="136">
        <f>AX76*$C$26</f>
        <v>0</v>
      </c>
      <c r="AY77" s="136">
        <f>AY76*$C$26</f>
        <v>0</v>
      </c>
      <c r="AZ77" s="136">
        <f>AZ76*$C$26</f>
        <v>0</v>
      </c>
      <c r="BA77" s="136">
        <f>BA76*$C$26</f>
        <v>0</v>
      </c>
      <c r="BB77" s="136">
        <f>BB76*$C$26</f>
        <v>0</v>
      </c>
      <c r="BC77" s="136">
        <f>BC76*$C$26</f>
        <v>0</v>
      </c>
      <c r="BD77" s="136">
        <f>BD76*$C$26</f>
        <v>0</v>
      </c>
      <c r="BE77" s="136">
        <f>BE76*$C$26</f>
        <v>0</v>
      </c>
      <c r="BF77" s="136">
        <f>BF76*$C$26</f>
        <v>0</v>
      </c>
      <c r="BG77" s="136">
        <f>BG76*$C$26</f>
        <v>0</v>
      </c>
      <c r="BH77" s="136">
        <f>BH76*$C$26</f>
        <v>0</v>
      </c>
      <c r="BI77" s="136">
        <f>BI76*$C$26</f>
        <v>0</v>
      </c>
      <c r="BJ77" s="136">
        <f>BJ76*$C$26</f>
        <v>0</v>
      </c>
      <c r="BK77" s="136">
        <f>BK76*$C$26</f>
        <v>0</v>
      </c>
      <c r="BL77" s="136">
        <f>BL76*$C$26</f>
        <v>0</v>
      </c>
      <c r="BM77" s="136">
        <f>BM76*$C$26</f>
        <v>0</v>
      </c>
      <c r="BN77" s="136">
        <f>BN76*$C$26</f>
        <v>0</v>
      </c>
      <c r="BO77" s="136">
        <f>BO76*$C$26</f>
        <v>0</v>
      </c>
      <c r="BP77" s="136">
        <f>BP76*$C$26</f>
        <v>0</v>
      </c>
      <c r="BQ77" s="136">
        <f>BQ76*$C$26</f>
        <v>0</v>
      </c>
      <c r="BR77" s="136">
        <f>BR76*$C$26</f>
        <v>0</v>
      </c>
      <c r="BS77" s="136">
        <f>BS76*$C$26</f>
        <v>0</v>
      </c>
      <c r="BT77" s="75"/>
      <c r="BU77" s="75"/>
      <c r="BV77" s="75"/>
    </row>
    <row r="78" spans="1:74">
      <c r="A78" s="75"/>
      <c r="B78" s="75" t="s">
        <v>153</v>
      </c>
      <c r="C78" s="75"/>
      <c r="D78" s="75"/>
      <c r="E78" s="75"/>
      <c r="F78" s="75"/>
      <c r="G78" s="75"/>
      <c r="H78" s="101">
        <f>O10</f>
        <v>0</v>
      </c>
      <c r="I78" s="75" t="s">
        <v>149</v>
      </c>
      <c r="J78" s="135">
        <f>IF(AND(J$46&gt;=$C$22,J$46&lt;$C$23),$H78,0%)</f>
        <v>0</v>
      </c>
      <c r="K78" s="135">
        <f>IF(AND(K$46&gt;=$C$22,K$46&lt;$C$23),$H78,0%)</f>
        <v>0</v>
      </c>
      <c r="L78" s="135">
        <f>IF(AND(L$46&gt;=$C$22,L$46&lt;$C$23),$H78,0%)</f>
        <v>0</v>
      </c>
      <c r="M78" s="135">
        <f>IF(AND(M$46&gt;=$C$22,M$46&lt;$C$23),$H78,0%)</f>
        <v>0</v>
      </c>
      <c r="N78" s="135">
        <f>IF(AND(N$46&gt;=$C$22,N$46&lt;$C$23),$H78,0%)</f>
        <v>0</v>
      </c>
      <c r="O78" s="135">
        <f>IF(AND(O$46&gt;=$C$22,O$46&lt;$C$23),$H78,0%)</f>
        <v>0</v>
      </c>
      <c r="P78" s="135">
        <f>IF(AND(P$46&gt;=$C$22,P$46&lt;$C$23),$H78,0%)</f>
        <v>0</v>
      </c>
      <c r="Q78" s="135">
        <f>IF(AND(Q$46&gt;=$C$22,Q$46&lt;$C$23),$H78,0%)</f>
        <v>0</v>
      </c>
      <c r="R78" s="135">
        <f>IF(AND(R$46&gt;=$C$22,R$46&lt;$C$23),$H78,0%)</f>
        <v>0</v>
      </c>
      <c r="S78" s="135">
        <f>IF(AND(S$46&gt;=$C$22,S$46&lt;$C$23),$H78,0%)</f>
        <v>0</v>
      </c>
      <c r="T78" s="135">
        <f>IF(AND(T$46&gt;=$C$22,T$46&lt;$C$23),$H78,0%)</f>
        <v>0</v>
      </c>
      <c r="U78" s="135">
        <f>IF(AND(U$46&gt;=$C$22,U$46&lt;$C$23),$H78,0%)</f>
        <v>0</v>
      </c>
      <c r="V78" s="135">
        <f>IF(AND(V$46&gt;=$C$22,V$46&lt;$C$23),$H78,0%)</f>
        <v>0</v>
      </c>
      <c r="W78" s="135">
        <f>IF(AND(W$46&gt;=$C$22,W$46&lt;$C$23),$H78,0%)</f>
        <v>0</v>
      </c>
      <c r="X78" s="135">
        <f>IF(AND(X$46&gt;=$C$22,X$46&lt;$C$23),$H78,0%)</f>
        <v>0</v>
      </c>
      <c r="Y78" s="135">
        <f>IF(AND(Y$46&gt;=$C$22,Y$46&lt;$C$23),$H78,0%)</f>
        <v>0</v>
      </c>
      <c r="Z78" s="135">
        <f>IF(AND(Z$46&gt;=$C$22,Z$46&lt;$C$23),$H78,0%)</f>
        <v>0</v>
      </c>
      <c r="AA78" s="135">
        <f>IF(AND(AA$46&gt;=$C$22,AA$46&lt;$C$23),$H78,0%)</f>
        <v>0</v>
      </c>
      <c r="AB78" s="135">
        <f>IF(AND(AB$46&gt;=$C$22,AB$46&lt;$C$23),$H78,0%)</f>
        <v>0</v>
      </c>
      <c r="AC78" s="135">
        <f>IF(AND(AC$46&gt;=$C$22,AC$46&lt;$C$23),$H78,0%)</f>
        <v>0</v>
      </c>
      <c r="AD78" s="135">
        <f>IF(AND(AD$46&gt;=$C$22,AD$46&lt;$C$23),$H78,0%)</f>
        <v>0</v>
      </c>
      <c r="AE78" s="135">
        <f>IF(AND(AE$46&gt;=$C$22,AE$46&lt;$C$23),$H78,0%)</f>
        <v>0</v>
      </c>
      <c r="AF78" s="135">
        <f>IF(AND(AF$46&gt;=$C$22,AF$46&lt;$C$23),$H78,0%)</f>
        <v>0</v>
      </c>
      <c r="AG78" s="135">
        <f>IF(AND(AG$46&gt;=$C$22,AG$46&lt;$C$23),$H78,0%)</f>
        <v>0</v>
      </c>
      <c r="AH78" s="135">
        <f>IF(AND(AH$46&gt;=$C$22,AH$46&lt;$C$23),$H78,0%)</f>
        <v>0</v>
      </c>
      <c r="AI78" s="135">
        <f>IF(AND(AI$46&gt;=$C$22,AI$46&lt;$C$23),$H78,0%)</f>
        <v>0</v>
      </c>
      <c r="AJ78" s="135">
        <f>IF(AND(AJ$46&gt;=$C$22,AJ$46&lt;$C$23),$H78,0%)</f>
        <v>0</v>
      </c>
      <c r="AK78" s="135">
        <f>IF(AND(AK$46&gt;=$C$22,AK$46&lt;$C$23),$H78,0%)</f>
        <v>0</v>
      </c>
      <c r="AL78" s="135">
        <f>IF(AND(AL$46&gt;=$C$22,AL$46&lt;$C$23),$H78,0%)</f>
        <v>0</v>
      </c>
      <c r="AM78" s="135">
        <f>IF(AND(AM$46&gt;=$C$22,AM$46&lt;$C$23),$H78,0%)</f>
        <v>0</v>
      </c>
      <c r="AN78" s="135">
        <f>IF(AND(AN$46&gt;=$C$22,AN$46&lt;$C$23),$H78,0%)</f>
        <v>0</v>
      </c>
      <c r="AO78" s="135">
        <f>IF(AND(AO$46&gt;=$C$22,AO$46&lt;$C$23),$H78,0%)</f>
        <v>0</v>
      </c>
      <c r="AP78" s="135">
        <f>IF(AND(AP$46&gt;=$C$22,AP$46&lt;$C$23),$H78,0%)</f>
        <v>0</v>
      </c>
      <c r="AQ78" s="135">
        <f>IF(AND(AQ$46&gt;=$C$22,AQ$46&lt;$C$23),$H78,0%)</f>
        <v>0</v>
      </c>
      <c r="AR78" s="135">
        <f>IF(AND(AR$46&gt;=$C$22,AR$46&lt;$C$23),$H78,0%)</f>
        <v>0</v>
      </c>
      <c r="AS78" s="135">
        <f>IF(AND(AS$46&gt;=$C$22,AS$46&lt;$C$23),$H78,0%)</f>
        <v>0</v>
      </c>
      <c r="AT78" s="135">
        <f>IF(AND(AT$46&gt;=$C$22,AT$46&lt;$C$23),$H78,0%)</f>
        <v>0</v>
      </c>
      <c r="AU78" s="135">
        <f>IF(AND(AU$46&gt;=$C$22,AU$46&lt;$C$23),$H78,0%)</f>
        <v>0</v>
      </c>
      <c r="AV78" s="135">
        <f>IF(AND(AV$46&gt;=$C$22,AV$46&lt;$C$23),$H78,0%)</f>
        <v>0</v>
      </c>
      <c r="AW78" s="135">
        <f>IF(AND(AW$46&gt;=$C$22,AW$46&lt;$C$23),$H78,0%)</f>
        <v>0</v>
      </c>
      <c r="AX78" s="135">
        <f>IF(AND(AX$46&gt;=$C$22,AX$46&lt;$C$23),$H78,0%)</f>
        <v>0</v>
      </c>
      <c r="AY78" s="135">
        <f>IF(AND(AY$46&gt;=$C$22,AY$46&lt;$C$23),$H78,0%)</f>
        <v>0</v>
      </c>
      <c r="AZ78" s="135">
        <f>IF(AND(AZ$46&gt;=$C$22,AZ$46&lt;$C$23),$H78,0%)</f>
        <v>0</v>
      </c>
      <c r="BA78" s="135">
        <f>IF(AND(BA$46&gt;=$C$22,BA$46&lt;$C$23),$H78,0%)</f>
        <v>0</v>
      </c>
      <c r="BB78" s="135">
        <f>IF(AND(BB$46&gt;=$C$22,BB$46&lt;$C$23),$H78,0%)</f>
        <v>0</v>
      </c>
      <c r="BC78" s="135">
        <f>IF(AND(BC$46&gt;=$C$22,BC$46&lt;$C$23),$H78,0%)</f>
        <v>0</v>
      </c>
      <c r="BD78" s="135">
        <f>IF(AND(BD$46&gt;=$C$22,BD$46&lt;$C$23),$H78,0%)</f>
        <v>0</v>
      </c>
      <c r="BE78" s="135">
        <f>IF(AND(BE$46&gt;=$C$22,BE$46&lt;$C$23),$H78,0%)</f>
        <v>0</v>
      </c>
      <c r="BF78" s="135">
        <f>IF(AND(BF$46&gt;=$C$22,BF$46&lt;$C$23),$H78,0%)</f>
        <v>0</v>
      </c>
      <c r="BG78" s="135">
        <f>IF(AND(BG$46&gt;=$C$22,BG$46&lt;$C$23),$H78,0%)</f>
        <v>0</v>
      </c>
      <c r="BH78" s="135">
        <f>IF(AND(BH$46&gt;=$C$22,BH$46&lt;$C$23),$H78,0%)</f>
        <v>0</v>
      </c>
      <c r="BI78" s="135">
        <f>IF(AND(BI$46&gt;=$C$22,BI$46&lt;$C$23),$H78,0%)</f>
        <v>0</v>
      </c>
      <c r="BJ78" s="135">
        <f>IF(AND(BJ$46&gt;=$C$22,BJ$46&lt;$C$23),$H78,0%)</f>
        <v>0</v>
      </c>
      <c r="BK78" s="135">
        <f>IF(AND(BK$46&gt;=$C$22,BK$46&lt;$C$23),$H78,0%)</f>
        <v>0</v>
      </c>
      <c r="BL78" s="135">
        <f>IF(AND(BL$46&gt;=$C$22,BL$46&lt;$C$23),$H78,0%)</f>
        <v>0</v>
      </c>
      <c r="BM78" s="135">
        <f>IF(AND(BM$46&gt;=$C$22,BM$46&lt;$C$23),$H78,0%)</f>
        <v>0</v>
      </c>
      <c r="BN78" s="135">
        <f>IF(AND(BN$46&gt;=$C$22,BN$46&lt;$C$23),$H78,0%)</f>
        <v>0</v>
      </c>
      <c r="BO78" s="135">
        <f>IF(AND(BO$46&gt;=$C$22,BO$46&lt;$C$23),$H78,0%)</f>
        <v>0</v>
      </c>
      <c r="BP78" s="135">
        <f>IF(AND(BP$46&gt;=$C$22,BP$46&lt;$C$23),$H78,0%)</f>
        <v>0</v>
      </c>
      <c r="BQ78" s="135">
        <f>IF(AND(BQ$46&gt;=$C$22,BQ$46&lt;$C$23),$H78,0%)</f>
        <v>0</v>
      </c>
      <c r="BR78" s="135">
        <f>IF(AND(BR$46&gt;=$C$22,BR$46&lt;$C$23),$H78,0%)</f>
        <v>0</v>
      </c>
      <c r="BS78" s="135">
        <f>IF(AND(BS$46&gt;=$C$22,BS$46&lt;$C$23),$H78,0%)</f>
        <v>0</v>
      </c>
      <c r="BT78" s="75"/>
      <c r="BU78" s="75"/>
      <c r="BV78" s="75"/>
    </row>
    <row r="79" spans="1:74">
      <c r="A79" s="75"/>
      <c r="B79" s="75" t="s">
        <v>154</v>
      </c>
      <c r="C79" s="75"/>
      <c r="D79" s="75" t="str">
        <f>_xlfn.CONCAT("EUR/MW x nimellisteho (",B26," MW)")</f>
        <v>EUR/MW x nimellisteho (Sähköntuotannon nimellisteho MW)</v>
      </c>
      <c r="E79" s="75"/>
      <c r="F79" s="75"/>
      <c r="G79" s="75"/>
      <c r="H79" s="101">
        <f>SUM(J79:BS79)</f>
        <v>0</v>
      </c>
      <c r="I79" s="75" t="s">
        <v>130</v>
      </c>
      <c r="J79" s="136">
        <f>J78*$C$26</f>
        <v>0</v>
      </c>
      <c r="K79" s="136">
        <f>K78*$C$26</f>
        <v>0</v>
      </c>
      <c r="L79" s="136">
        <f>L78*$C$26</f>
        <v>0</v>
      </c>
      <c r="M79" s="136">
        <f>M78*$C$26</f>
        <v>0</v>
      </c>
      <c r="N79" s="136">
        <f>N78*$C$26</f>
        <v>0</v>
      </c>
      <c r="O79" s="136">
        <f>O78*$C$26</f>
        <v>0</v>
      </c>
      <c r="P79" s="136">
        <f>P78*$C$26</f>
        <v>0</v>
      </c>
      <c r="Q79" s="136">
        <f>Q78*$C$26</f>
        <v>0</v>
      </c>
      <c r="R79" s="136">
        <f>R78*$C$26</f>
        <v>0</v>
      </c>
      <c r="S79" s="136">
        <f>S78*$C$26</f>
        <v>0</v>
      </c>
      <c r="T79" s="136">
        <f>T78*$C$26</f>
        <v>0</v>
      </c>
      <c r="U79" s="136">
        <f>U78*$C$26</f>
        <v>0</v>
      </c>
      <c r="V79" s="136">
        <f>V78*$C$26</f>
        <v>0</v>
      </c>
      <c r="W79" s="136">
        <f>W78*$C$26</f>
        <v>0</v>
      </c>
      <c r="X79" s="136">
        <f>X78*$C$26</f>
        <v>0</v>
      </c>
      <c r="Y79" s="136">
        <f>Y78*$C$26</f>
        <v>0</v>
      </c>
      <c r="Z79" s="136">
        <f>Z78*$C$26</f>
        <v>0</v>
      </c>
      <c r="AA79" s="136">
        <f>AA78*$C$26</f>
        <v>0</v>
      </c>
      <c r="AB79" s="136">
        <f>AB78*$C$26</f>
        <v>0</v>
      </c>
      <c r="AC79" s="136">
        <f>AC78*$C$26</f>
        <v>0</v>
      </c>
      <c r="AD79" s="136">
        <f>AD78*$C$26</f>
        <v>0</v>
      </c>
      <c r="AE79" s="136">
        <f>AE78*$C$26</f>
        <v>0</v>
      </c>
      <c r="AF79" s="136">
        <f>AF78*$C$26</f>
        <v>0</v>
      </c>
      <c r="AG79" s="136">
        <f>AG78*$C$26</f>
        <v>0</v>
      </c>
      <c r="AH79" s="136">
        <f>AH78*$C$26</f>
        <v>0</v>
      </c>
      <c r="AI79" s="136">
        <f>AI78*$C$26</f>
        <v>0</v>
      </c>
      <c r="AJ79" s="136">
        <f>AJ78*$C$26</f>
        <v>0</v>
      </c>
      <c r="AK79" s="136">
        <f>AK78*$C$26</f>
        <v>0</v>
      </c>
      <c r="AL79" s="136">
        <f>AL78*$C$26</f>
        <v>0</v>
      </c>
      <c r="AM79" s="136">
        <f>AM78*$C$26</f>
        <v>0</v>
      </c>
      <c r="AN79" s="136">
        <f>AN78*$C$26</f>
        <v>0</v>
      </c>
      <c r="AO79" s="136">
        <f>AO78*$C$26</f>
        <v>0</v>
      </c>
      <c r="AP79" s="136">
        <f>AP78*$C$26</f>
        <v>0</v>
      </c>
      <c r="AQ79" s="136">
        <f>AQ78*$C$26</f>
        <v>0</v>
      </c>
      <c r="AR79" s="136">
        <f>AR78*$C$26</f>
        <v>0</v>
      </c>
      <c r="AS79" s="136">
        <f>AS78*$C$26</f>
        <v>0</v>
      </c>
      <c r="AT79" s="136">
        <f>AT78*$C$26</f>
        <v>0</v>
      </c>
      <c r="AU79" s="136">
        <f>AU78*$C$26</f>
        <v>0</v>
      </c>
      <c r="AV79" s="136">
        <f>AV78*$C$26</f>
        <v>0</v>
      </c>
      <c r="AW79" s="136">
        <f>AW78*$C$26</f>
        <v>0</v>
      </c>
      <c r="AX79" s="136">
        <f>AX78*$C$26</f>
        <v>0</v>
      </c>
      <c r="AY79" s="136">
        <f>AY78*$C$26</f>
        <v>0</v>
      </c>
      <c r="AZ79" s="136">
        <f>AZ78*$C$26</f>
        <v>0</v>
      </c>
      <c r="BA79" s="136">
        <f>BA78*$C$26</f>
        <v>0</v>
      </c>
      <c r="BB79" s="136">
        <f>BB78*$C$26</f>
        <v>0</v>
      </c>
      <c r="BC79" s="136">
        <f>BC78*$C$26</f>
        <v>0</v>
      </c>
      <c r="BD79" s="136">
        <f>BD78*$C$26</f>
        <v>0</v>
      </c>
      <c r="BE79" s="136">
        <f>BE78*$C$26</f>
        <v>0</v>
      </c>
      <c r="BF79" s="136">
        <f>BF78*$C$26</f>
        <v>0</v>
      </c>
      <c r="BG79" s="136">
        <f>BG78*$C$26</f>
        <v>0</v>
      </c>
      <c r="BH79" s="136">
        <f>BH78*$C$26</f>
        <v>0</v>
      </c>
      <c r="BI79" s="136">
        <f>BI78*$C$26</f>
        <v>0</v>
      </c>
      <c r="BJ79" s="136">
        <f>BJ78*$C$26</f>
        <v>0</v>
      </c>
      <c r="BK79" s="136">
        <f>BK78*$C$26</f>
        <v>0</v>
      </c>
      <c r="BL79" s="136">
        <f>BL78*$C$26</f>
        <v>0</v>
      </c>
      <c r="BM79" s="136">
        <f>BM78*$C$26</f>
        <v>0</v>
      </c>
      <c r="BN79" s="136">
        <f>BN78*$C$26</f>
        <v>0</v>
      </c>
      <c r="BO79" s="136">
        <f>BO78*$C$26</f>
        <v>0</v>
      </c>
      <c r="BP79" s="136">
        <f>BP78*$C$26</f>
        <v>0</v>
      </c>
      <c r="BQ79" s="136">
        <f>BQ78*$C$26</f>
        <v>0</v>
      </c>
      <c r="BR79" s="136">
        <f>BR78*$C$26</f>
        <v>0</v>
      </c>
      <c r="BS79" s="136">
        <f>BS78*$C$26</f>
        <v>0</v>
      </c>
      <c r="BT79" s="75"/>
      <c r="BU79" s="75"/>
      <c r="BV79" s="75"/>
    </row>
    <row r="80" spans="1:74">
      <c r="A80" s="75"/>
      <c r="B80" s="75" t="s">
        <v>155</v>
      </c>
      <c r="C80" s="75"/>
      <c r="D80" s="75" t="s">
        <v>156</v>
      </c>
      <c r="E80" s="75"/>
      <c r="F80" s="75"/>
      <c r="G80" s="75"/>
      <c r="H80" s="101">
        <f>SUM(J80:BS80)</f>
        <v>0</v>
      </c>
      <c r="I80" s="75" t="s">
        <v>130</v>
      </c>
      <c r="J80" s="136">
        <f t="shared" ref="J80:N80" si="19">J75+J77+J79</f>
        <v>0</v>
      </c>
      <c r="K80" s="136">
        <f t="shared" si="19"/>
        <v>0</v>
      </c>
      <c r="L80" s="136">
        <f t="shared" si="19"/>
        <v>0</v>
      </c>
      <c r="M80" s="136">
        <f t="shared" si="19"/>
        <v>0</v>
      </c>
      <c r="N80" s="136">
        <f t="shared" si="19"/>
        <v>0</v>
      </c>
      <c r="O80" s="136">
        <f>O75+O77+O79</f>
        <v>0</v>
      </c>
      <c r="P80" s="136">
        <f t="shared" ref="P80" si="20">P75+P77+P79</f>
        <v>0</v>
      </c>
      <c r="Q80" s="136">
        <f t="shared" ref="Q80" si="21">Q75+Q77+Q79</f>
        <v>0</v>
      </c>
      <c r="R80" s="136">
        <f t="shared" ref="R80" si="22">R75+R77+R79</f>
        <v>0</v>
      </c>
      <c r="S80" s="136">
        <f t="shared" ref="S80" si="23">S75+S77+S79</f>
        <v>0</v>
      </c>
      <c r="T80" s="136">
        <f t="shared" ref="T80:U80" si="24">T75+T77+T79</f>
        <v>0</v>
      </c>
      <c r="U80" s="136">
        <f t="shared" si="24"/>
        <v>0</v>
      </c>
      <c r="V80" s="136">
        <f t="shared" ref="V80" si="25">V75+V77+V79</f>
        <v>0</v>
      </c>
      <c r="W80" s="136">
        <f t="shared" ref="W80" si="26">W75+W77+W79</f>
        <v>0</v>
      </c>
      <c r="X80" s="136">
        <f t="shared" ref="X80" si="27">X75+X77+X79</f>
        <v>0</v>
      </c>
      <c r="Y80" s="136">
        <f t="shared" ref="Y80" si="28">Y75+Y77+Y79</f>
        <v>0</v>
      </c>
      <c r="Z80" s="136">
        <f t="shared" ref="Z80:AA80" si="29">Z75+Z77+Z79</f>
        <v>0</v>
      </c>
      <c r="AA80" s="136">
        <f t="shared" si="29"/>
        <v>0</v>
      </c>
      <c r="AB80" s="136">
        <f t="shared" ref="AB80" si="30">AB75+AB77+AB79</f>
        <v>0</v>
      </c>
      <c r="AC80" s="136">
        <f t="shared" ref="AC80" si="31">AC75+AC77+AC79</f>
        <v>0</v>
      </c>
      <c r="AD80" s="136">
        <f t="shared" ref="AD80" si="32">AD75+AD77+AD79</f>
        <v>0</v>
      </c>
      <c r="AE80" s="136">
        <f t="shared" ref="AE80" si="33">AE75+AE77+AE79</f>
        <v>0</v>
      </c>
      <c r="AF80" s="136">
        <f t="shared" ref="AF80:AG80" si="34">AF75+AF77+AF79</f>
        <v>0</v>
      </c>
      <c r="AG80" s="136">
        <f t="shared" si="34"/>
        <v>0</v>
      </c>
      <c r="AH80" s="136">
        <f t="shared" ref="AH80" si="35">AH75+AH77+AH79</f>
        <v>0</v>
      </c>
      <c r="AI80" s="136">
        <f t="shared" ref="AI80" si="36">AI75+AI77+AI79</f>
        <v>0</v>
      </c>
      <c r="AJ80" s="136">
        <f t="shared" ref="AJ80" si="37">AJ75+AJ77+AJ79</f>
        <v>0</v>
      </c>
      <c r="AK80" s="136">
        <f t="shared" ref="AK80" si="38">AK75+AK77+AK79</f>
        <v>0</v>
      </c>
      <c r="AL80" s="136">
        <f t="shared" ref="AL80:AM80" si="39">AL75+AL77+AL79</f>
        <v>0</v>
      </c>
      <c r="AM80" s="136">
        <f t="shared" si="39"/>
        <v>0</v>
      </c>
      <c r="AN80" s="136">
        <f t="shared" ref="AN80" si="40">AN75+AN77+AN79</f>
        <v>0</v>
      </c>
      <c r="AO80" s="136">
        <f t="shared" ref="AO80" si="41">AO75+AO77+AO79</f>
        <v>0</v>
      </c>
      <c r="AP80" s="136">
        <f t="shared" ref="AP80" si="42">AP75+AP77+AP79</f>
        <v>0</v>
      </c>
      <c r="AQ80" s="136">
        <f t="shared" ref="AQ80" si="43">AQ75+AQ77+AQ79</f>
        <v>0</v>
      </c>
      <c r="AR80" s="136">
        <f t="shared" ref="AR80:AS80" si="44">AR75+AR77+AR79</f>
        <v>0</v>
      </c>
      <c r="AS80" s="136">
        <f t="shared" si="44"/>
        <v>0</v>
      </c>
      <c r="AT80" s="136">
        <f t="shared" ref="AT80" si="45">AT75+AT77+AT79</f>
        <v>0</v>
      </c>
      <c r="AU80" s="136">
        <f t="shared" ref="AU80" si="46">AU75+AU77+AU79</f>
        <v>0</v>
      </c>
      <c r="AV80" s="136">
        <f t="shared" ref="AV80" si="47">AV75+AV77+AV79</f>
        <v>0</v>
      </c>
      <c r="AW80" s="136">
        <f t="shared" ref="AW80" si="48">AW75+AW77+AW79</f>
        <v>0</v>
      </c>
      <c r="AX80" s="136">
        <f t="shared" ref="AX80:AY80" si="49">AX75+AX77+AX79</f>
        <v>0</v>
      </c>
      <c r="AY80" s="136">
        <f t="shared" si="49"/>
        <v>0</v>
      </c>
      <c r="AZ80" s="136">
        <f t="shared" ref="AZ80" si="50">AZ75+AZ77+AZ79</f>
        <v>0</v>
      </c>
      <c r="BA80" s="136">
        <f t="shared" ref="BA80" si="51">BA75+BA77+BA79</f>
        <v>0</v>
      </c>
      <c r="BB80" s="136">
        <f t="shared" ref="BB80" si="52">BB75+BB77+BB79</f>
        <v>0</v>
      </c>
      <c r="BC80" s="136">
        <f t="shared" ref="BC80" si="53">BC75+BC77+BC79</f>
        <v>0</v>
      </c>
      <c r="BD80" s="136">
        <f t="shared" ref="BD80:BE80" si="54">BD75+BD77+BD79</f>
        <v>0</v>
      </c>
      <c r="BE80" s="136">
        <f t="shared" si="54"/>
        <v>0</v>
      </c>
      <c r="BF80" s="136">
        <f t="shared" ref="BF80" si="55">BF75+BF77+BF79</f>
        <v>0</v>
      </c>
      <c r="BG80" s="136">
        <f t="shared" ref="BG80" si="56">BG75+BG77+BG79</f>
        <v>0</v>
      </c>
      <c r="BH80" s="136">
        <f t="shared" ref="BH80" si="57">BH75+BH77+BH79</f>
        <v>0</v>
      </c>
      <c r="BI80" s="136">
        <f t="shared" ref="BI80" si="58">BI75+BI77+BI79</f>
        <v>0</v>
      </c>
      <c r="BJ80" s="136">
        <f t="shared" ref="BJ80:BK80" si="59">BJ75+BJ77+BJ79</f>
        <v>0</v>
      </c>
      <c r="BK80" s="136">
        <f t="shared" si="59"/>
        <v>0</v>
      </c>
      <c r="BL80" s="136">
        <f t="shared" ref="BL80" si="60">BL75+BL77+BL79</f>
        <v>0</v>
      </c>
      <c r="BM80" s="136">
        <f t="shared" ref="BM80" si="61">BM75+BM77+BM79</f>
        <v>0</v>
      </c>
      <c r="BN80" s="136">
        <f t="shared" ref="BN80" si="62">BN75+BN77+BN79</f>
        <v>0</v>
      </c>
      <c r="BO80" s="136">
        <f t="shared" ref="BO80" si="63">BO75+BO77+BO79</f>
        <v>0</v>
      </c>
      <c r="BP80" s="136">
        <f t="shared" ref="BP80:BQ80" si="64">BP75+BP77+BP79</f>
        <v>0</v>
      </c>
      <c r="BQ80" s="136">
        <f t="shared" si="64"/>
        <v>0</v>
      </c>
      <c r="BR80" s="136">
        <f t="shared" ref="BR80" si="65">BR75+BR77+BR79</f>
        <v>0</v>
      </c>
      <c r="BS80" s="136">
        <f t="shared" ref="BS80" si="66">BS75+BS77+BS79</f>
        <v>0</v>
      </c>
      <c r="BT80" s="75"/>
      <c r="BU80" s="75"/>
      <c r="BV80" s="75"/>
    </row>
    <row r="81" spans="1:74">
      <c r="A81" s="75"/>
      <c r="B81" s="75" t="s">
        <v>157</v>
      </c>
      <c r="C81" s="75"/>
      <c r="D81" s="75" t="s">
        <v>158</v>
      </c>
      <c r="E81" s="75"/>
      <c r="F81" s="75"/>
      <c r="G81" s="75"/>
      <c r="H81" s="129">
        <f>SUM(J81:BS81)</f>
        <v>0</v>
      </c>
      <c r="I81" s="109" t="s">
        <v>130</v>
      </c>
      <c r="J81" s="136">
        <f t="shared" ref="J81:AO81" si="67">J80*J48</f>
        <v>0</v>
      </c>
      <c r="K81" s="136">
        <f t="shared" si="67"/>
        <v>0</v>
      </c>
      <c r="L81" s="136">
        <f t="shared" si="67"/>
        <v>0</v>
      </c>
      <c r="M81" s="136">
        <f t="shared" si="67"/>
        <v>0</v>
      </c>
      <c r="N81" s="136">
        <f t="shared" si="67"/>
        <v>0</v>
      </c>
      <c r="O81" s="136">
        <f t="shared" si="67"/>
        <v>0</v>
      </c>
      <c r="P81" s="136">
        <f t="shared" si="67"/>
        <v>0</v>
      </c>
      <c r="Q81" s="136">
        <f t="shared" si="67"/>
        <v>0</v>
      </c>
      <c r="R81" s="136">
        <f t="shared" si="67"/>
        <v>0</v>
      </c>
      <c r="S81" s="136">
        <f t="shared" si="67"/>
        <v>0</v>
      </c>
      <c r="T81" s="136">
        <f t="shared" si="67"/>
        <v>0</v>
      </c>
      <c r="U81" s="136">
        <f t="shared" si="67"/>
        <v>0</v>
      </c>
      <c r="V81" s="136">
        <f t="shared" si="67"/>
        <v>0</v>
      </c>
      <c r="W81" s="136">
        <f t="shared" si="67"/>
        <v>0</v>
      </c>
      <c r="X81" s="136">
        <f t="shared" si="67"/>
        <v>0</v>
      </c>
      <c r="Y81" s="136">
        <f t="shared" si="67"/>
        <v>0</v>
      </c>
      <c r="Z81" s="136">
        <f t="shared" si="67"/>
        <v>0</v>
      </c>
      <c r="AA81" s="136">
        <f t="shared" si="67"/>
        <v>0</v>
      </c>
      <c r="AB81" s="136">
        <f t="shared" si="67"/>
        <v>0</v>
      </c>
      <c r="AC81" s="136">
        <f t="shared" si="67"/>
        <v>0</v>
      </c>
      <c r="AD81" s="136">
        <f t="shared" si="67"/>
        <v>0</v>
      </c>
      <c r="AE81" s="136">
        <f t="shared" si="67"/>
        <v>0</v>
      </c>
      <c r="AF81" s="136">
        <f t="shared" si="67"/>
        <v>0</v>
      </c>
      <c r="AG81" s="136">
        <f t="shared" si="67"/>
        <v>0</v>
      </c>
      <c r="AH81" s="136">
        <f t="shared" si="67"/>
        <v>0</v>
      </c>
      <c r="AI81" s="136">
        <f t="shared" si="67"/>
        <v>0</v>
      </c>
      <c r="AJ81" s="136">
        <f t="shared" si="67"/>
        <v>0</v>
      </c>
      <c r="AK81" s="136">
        <f t="shared" si="67"/>
        <v>0</v>
      </c>
      <c r="AL81" s="136">
        <f t="shared" si="67"/>
        <v>0</v>
      </c>
      <c r="AM81" s="136">
        <f t="shared" si="67"/>
        <v>0</v>
      </c>
      <c r="AN81" s="136">
        <f t="shared" si="67"/>
        <v>0</v>
      </c>
      <c r="AO81" s="136">
        <f t="shared" si="67"/>
        <v>0</v>
      </c>
      <c r="AP81" s="136">
        <f t="shared" ref="AP81:BS81" si="68">AP80*AP48</f>
        <v>0</v>
      </c>
      <c r="AQ81" s="136">
        <f t="shared" si="68"/>
        <v>0</v>
      </c>
      <c r="AR81" s="136">
        <f t="shared" si="68"/>
        <v>0</v>
      </c>
      <c r="AS81" s="136">
        <f t="shared" si="68"/>
        <v>0</v>
      </c>
      <c r="AT81" s="136">
        <f t="shared" si="68"/>
        <v>0</v>
      </c>
      <c r="AU81" s="136">
        <f t="shared" si="68"/>
        <v>0</v>
      </c>
      <c r="AV81" s="136">
        <f t="shared" si="68"/>
        <v>0</v>
      </c>
      <c r="AW81" s="136">
        <f t="shared" si="68"/>
        <v>0</v>
      </c>
      <c r="AX81" s="136">
        <f t="shared" si="68"/>
        <v>0</v>
      </c>
      <c r="AY81" s="136">
        <f t="shared" si="68"/>
        <v>0</v>
      </c>
      <c r="AZ81" s="136">
        <f t="shared" si="68"/>
        <v>0</v>
      </c>
      <c r="BA81" s="136">
        <f t="shared" si="68"/>
        <v>0</v>
      </c>
      <c r="BB81" s="136">
        <f t="shared" si="68"/>
        <v>0</v>
      </c>
      <c r="BC81" s="136">
        <f t="shared" si="68"/>
        <v>0</v>
      </c>
      <c r="BD81" s="136">
        <f t="shared" si="68"/>
        <v>0</v>
      </c>
      <c r="BE81" s="136">
        <f t="shared" si="68"/>
        <v>0</v>
      </c>
      <c r="BF81" s="136">
        <f t="shared" si="68"/>
        <v>0</v>
      </c>
      <c r="BG81" s="136">
        <f t="shared" si="68"/>
        <v>0</v>
      </c>
      <c r="BH81" s="136">
        <f t="shared" si="68"/>
        <v>0</v>
      </c>
      <c r="BI81" s="136">
        <f t="shared" si="68"/>
        <v>0</v>
      </c>
      <c r="BJ81" s="136">
        <f t="shared" si="68"/>
        <v>0</v>
      </c>
      <c r="BK81" s="136">
        <f t="shared" si="68"/>
        <v>0</v>
      </c>
      <c r="BL81" s="136">
        <f t="shared" si="68"/>
        <v>0</v>
      </c>
      <c r="BM81" s="136">
        <f t="shared" si="68"/>
        <v>0</v>
      </c>
      <c r="BN81" s="136">
        <f t="shared" si="68"/>
        <v>0</v>
      </c>
      <c r="BO81" s="136">
        <f t="shared" si="68"/>
        <v>0</v>
      </c>
      <c r="BP81" s="136">
        <f t="shared" si="68"/>
        <v>0</v>
      </c>
      <c r="BQ81" s="136">
        <f t="shared" si="68"/>
        <v>0</v>
      </c>
      <c r="BR81" s="136">
        <f t="shared" si="68"/>
        <v>0</v>
      </c>
      <c r="BS81" s="136">
        <f t="shared" si="68"/>
        <v>0</v>
      </c>
      <c r="BT81" s="75"/>
      <c r="BU81" s="75"/>
      <c r="BV81" s="75"/>
    </row>
    <row r="82" spans="1:74" ht="15.95" thickBot="1">
      <c r="A82" s="75"/>
      <c r="B82" s="75"/>
      <c r="C82" s="75"/>
      <c r="D82" s="75"/>
      <c r="E82" s="75"/>
      <c r="F82" s="75"/>
      <c r="G82" s="75"/>
      <c r="H82" s="101"/>
      <c r="I82" s="75"/>
      <c r="J82" s="133"/>
      <c r="K82" s="133"/>
      <c r="L82" s="133"/>
      <c r="M82" s="133"/>
      <c r="N82" s="133"/>
      <c r="O82" s="133"/>
      <c r="P82" s="133"/>
      <c r="Q82" s="133"/>
      <c r="R82" s="133"/>
      <c r="S82" s="133"/>
      <c r="T82" s="133"/>
      <c r="U82" s="133"/>
      <c r="V82" s="133"/>
      <c r="W82" s="133"/>
      <c r="X82" s="133"/>
      <c r="Y82" s="133"/>
      <c r="Z82" s="133"/>
      <c r="AA82" s="133"/>
      <c r="AB82" s="133"/>
      <c r="AC82" s="133"/>
      <c r="AD82" s="133"/>
      <c r="AE82" s="133"/>
      <c r="AF82" s="133"/>
      <c r="AG82" s="133"/>
      <c r="AH82" s="133"/>
      <c r="AI82" s="133"/>
      <c r="AJ82" s="133"/>
      <c r="AK82" s="133"/>
      <c r="AL82" s="133"/>
      <c r="AM82" s="133"/>
      <c r="AN82" s="133"/>
      <c r="AO82" s="133"/>
      <c r="AP82" s="133"/>
      <c r="AQ82" s="133"/>
      <c r="AR82" s="133"/>
      <c r="AS82" s="133"/>
      <c r="AT82" s="133"/>
      <c r="AU82" s="133"/>
      <c r="AV82" s="133"/>
      <c r="AW82" s="133"/>
      <c r="AX82" s="133"/>
      <c r="AY82" s="133"/>
      <c r="AZ82" s="133"/>
      <c r="BA82" s="133"/>
      <c r="BB82" s="133"/>
      <c r="BC82" s="133"/>
      <c r="BD82" s="133"/>
      <c r="BE82" s="133"/>
      <c r="BF82" s="133"/>
      <c r="BG82" s="133"/>
      <c r="BH82" s="133"/>
      <c r="BI82" s="133"/>
      <c r="BJ82" s="133"/>
      <c r="BK82" s="133"/>
      <c r="BL82" s="133"/>
      <c r="BM82" s="133"/>
      <c r="BN82" s="133"/>
      <c r="BO82" s="133"/>
      <c r="BP82" s="133"/>
      <c r="BQ82" s="133"/>
      <c r="BR82" s="133"/>
      <c r="BS82" s="133"/>
      <c r="BT82" s="75"/>
      <c r="BU82" s="75"/>
      <c r="BV82" s="75"/>
    </row>
    <row r="83" spans="1:74" ht="15.95" thickBot="1">
      <c r="A83" s="75"/>
      <c r="B83" s="82" t="s">
        <v>159</v>
      </c>
      <c r="C83" s="82"/>
      <c r="D83" s="82"/>
      <c r="E83" s="82"/>
      <c r="F83" s="82"/>
      <c r="G83" s="82"/>
      <c r="H83" s="124">
        <f>H86/H54</f>
        <v>16.520000000000003</v>
      </c>
      <c r="I83" s="82" t="s">
        <v>126</v>
      </c>
      <c r="J83" s="134"/>
      <c r="K83" s="134"/>
      <c r="L83" s="134"/>
      <c r="M83" s="134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  <c r="Y83" s="134"/>
      <c r="Z83" s="134"/>
      <c r="AA83" s="134"/>
      <c r="AB83" s="134"/>
      <c r="AC83" s="134"/>
      <c r="AD83" s="134"/>
      <c r="AE83" s="134"/>
      <c r="AF83" s="134"/>
      <c r="AG83" s="134"/>
      <c r="AH83" s="134"/>
      <c r="AI83" s="134"/>
      <c r="AJ83" s="134"/>
      <c r="AK83" s="134"/>
      <c r="AL83" s="134"/>
      <c r="AM83" s="134"/>
      <c r="AN83" s="134"/>
      <c r="AO83" s="134"/>
      <c r="AP83" s="134"/>
      <c r="AQ83" s="134"/>
      <c r="AR83" s="134"/>
      <c r="AS83" s="134"/>
      <c r="AT83" s="134"/>
      <c r="AU83" s="134"/>
      <c r="AV83" s="134"/>
      <c r="AW83" s="134"/>
      <c r="AX83" s="134"/>
      <c r="AY83" s="134"/>
      <c r="AZ83" s="134"/>
      <c r="BA83" s="134"/>
      <c r="BB83" s="134"/>
      <c r="BC83" s="134"/>
      <c r="BD83" s="134"/>
      <c r="BE83" s="134"/>
      <c r="BF83" s="134"/>
      <c r="BG83" s="134"/>
      <c r="BH83" s="134"/>
      <c r="BI83" s="134"/>
      <c r="BJ83" s="134"/>
      <c r="BK83" s="134"/>
      <c r="BL83" s="134"/>
      <c r="BM83" s="134"/>
      <c r="BN83" s="134"/>
      <c r="BO83" s="134"/>
      <c r="BP83" s="134"/>
      <c r="BQ83" s="134"/>
      <c r="BR83" s="134"/>
      <c r="BS83" s="134"/>
      <c r="BT83" s="75"/>
      <c r="BU83" s="75"/>
      <c r="BV83" s="75"/>
    </row>
    <row r="84" spans="1:74">
      <c r="A84" s="75"/>
      <c r="B84" s="75" t="s">
        <v>160</v>
      </c>
      <c r="C84" s="75"/>
      <c r="D84" s="75" t="s">
        <v>148</v>
      </c>
      <c r="E84" s="75"/>
      <c r="F84" s="75"/>
      <c r="G84" s="75"/>
      <c r="H84" s="117">
        <f>O8</f>
        <v>16.52</v>
      </c>
      <c r="I84" s="75" t="s">
        <v>126</v>
      </c>
      <c r="J84" s="135">
        <f>IF(AND(J$46&gt;=$C$22,J$46&lt;$C$23),$H84,0%)</f>
        <v>0</v>
      </c>
      <c r="K84" s="135">
        <f>IF(AND(K$46&gt;=$C$22,K$46&lt;$C$23),$H84,0%)</f>
        <v>0</v>
      </c>
      <c r="L84" s="135">
        <f>IF(AND(L$46&gt;=$C$22,L$46&lt;$C$23),$H84,0%)</f>
        <v>0</v>
      </c>
      <c r="M84" s="135">
        <f>IF(AND(M$46&gt;=$C$22,M$46&lt;$C$23),$H84,0%)</f>
        <v>0</v>
      </c>
      <c r="N84" s="135">
        <f>IF(AND(N$46&gt;=$C$22,N$46&lt;$C$23),$H84,0%)</f>
        <v>0</v>
      </c>
      <c r="O84" s="135">
        <f>IF(AND(O$46&gt;=$C$22,O$46&lt;$C$23),$H84,0%)</f>
        <v>0</v>
      </c>
      <c r="P84" s="135">
        <f>IF(AND(P$46&gt;=$C$22,P$46&lt;$C$23),$H84,0%)</f>
        <v>0</v>
      </c>
      <c r="Q84" s="135">
        <f>IF(AND(Q$46&gt;=$C$22,Q$46&lt;$C$23),$H84,0%)</f>
        <v>0</v>
      </c>
      <c r="R84" s="135">
        <f>IF(AND(R$46&gt;=$C$22,R$46&lt;$C$23),$H84,0%)</f>
        <v>16.52</v>
      </c>
      <c r="S84" s="135">
        <f>IF(AND(S$46&gt;=$C$22,S$46&lt;$C$23),$H84,0%)</f>
        <v>16.52</v>
      </c>
      <c r="T84" s="135">
        <f>IF(AND(T$46&gt;=$C$22,T$46&lt;$C$23),$H84,0%)</f>
        <v>16.52</v>
      </c>
      <c r="U84" s="135">
        <f>IF(AND(U$46&gt;=$C$22,U$46&lt;$C$23),$H84,0%)</f>
        <v>16.52</v>
      </c>
      <c r="V84" s="135">
        <f>IF(AND(V$46&gt;=$C$22,V$46&lt;$C$23),$H84,0%)</f>
        <v>16.52</v>
      </c>
      <c r="W84" s="135">
        <f>IF(AND(W$46&gt;=$C$22,W$46&lt;$C$23),$H84,0%)</f>
        <v>16.52</v>
      </c>
      <c r="X84" s="135">
        <f>IF(AND(X$46&gt;=$C$22,X$46&lt;$C$23),$H84,0%)</f>
        <v>16.52</v>
      </c>
      <c r="Y84" s="135">
        <f>IF(AND(Y$46&gt;=$C$22,Y$46&lt;$C$23),$H84,0%)</f>
        <v>16.52</v>
      </c>
      <c r="Z84" s="135">
        <f>IF(AND(Z$46&gt;=$C$22,Z$46&lt;$C$23),$H84,0%)</f>
        <v>16.52</v>
      </c>
      <c r="AA84" s="135">
        <f>IF(AND(AA$46&gt;=$C$22,AA$46&lt;$C$23),$H84,0%)</f>
        <v>16.52</v>
      </c>
      <c r="AB84" s="135">
        <f>IF(AND(AB$46&gt;=$C$22,AB$46&lt;$C$23),$H84,0%)</f>
        <v>16.52</v>
      </c>
      <c r="AC84" s="135">
        <f>IF(AND(AC$46&gt;=$C$22,AC$46&lt;$C$23),$H84,0%)</f>
        <v>16.52</v>
      </c>
      <c r="AD84" s="135">
        <f>IF(AND(AD$46&gt;=$C$22,AD$46&lt;$C$23),$H84,0%)</f>
        <v>16.52</v>
      </c>
      <c r="AE84" s="135">
        <f>IF(AND(AE$46&gt;=$C$22,AE$46&lt;$C$23),$H84,0%)</f>
        <v>16.52</v>
      </c>
      <c r="AF84" s="135">
        <f>IF(AND(AF$46&gt;=$C$22,AF$46&lt;$C$23),$H84,0%)</f>
        <v>16.52</v>
      </c>
      <c r="AG84" s="135">
        <f>IF(AND(AG$46&gt;=$C$22,AG$46&lt;$C$23),$H84,0%)</f>
        <v>16.52</v>
      </c>
      <c r="AH84" s="135">
        <f>IF(AND(AH$46&gt;=$C$22,AH$46&lt;$C$23),$H84,0%)</f>
        <v>16.52</v>
      </c>
      <c r="AI84" s="135">
        <f>IF(AND(AI$46&gt;=$C$22,AI$46&lt;$C$23),$H84,0%)</f>
        <v>16.52</v>
      </c>
      <c r="AJ84" s="135">
        <f>IF(AND(AJ$46&gt;=$C$22,AJ$46&lt;$C$23),$H84,0%)</f>
        <v>16.52</v>
      </c>
      <c r="AK84" s="135">
        <f>IF(AND(AK$46&gt;=$C$22,AK$46&lt;$C$23),$H84,0%)</f>
        <v>16.52</v>
      </c>
      <c r="AL84" s="135">
        <f>IF(AND(AL$46&gt;=$C$22,AL$46&lt;$C$23),$H84,0%)</f>
        <v>16.52</v>
      </c>
      <c r="AM84" s="135">
        <f>IF(AND(AM$46&gt;=$C$22,AM$46&lt;$C$23),$H84,0%)</f>
        <v>16.52</v>
      </c>
      <c r="AN84" s="135">
        <f>IF(AND(AN$46&gt;=$C$22,AN$46&lt;$C$23),$H84,0%)</f>
        <v>16.52</v>
      </c>
      <c r="AO84" s="135">
        <f>IF(AND(AO$46&gt;=$C$22,AO$46&lt;$C$23),$H84,0%)</f>
        <v>16.52</v>
      </c>
      <c r="AP84" s="135">
        <f>IF(AND(AP$46&gt;=$C$22,AP$46&lt;$C$23),$H84,0%)</f>
        <v>16.52</v>
      </c>
      <c r="AQ84" s="135">
        <f>IF(AND(AQ$46&gt;=$C$22,AQ$46&lt;$C$23),$H84,0%)</f>
        <v>16.52</v>
      </c>
      <c r="AR84" s="135">
        <f>IF(AND(AR$46&gt;=$C$22,AR$46&lt;$C$23),$H84,0%)</f>
        <v>16.52</v>
      </c>
      <c r="AS84" s="135">
        <f>IF(AND(AS$46&gt;=$C$22,AS$46&lt;$C$23),$H84,0%)</f>
        <v>16.52</v>
      </c>
      <c r="AT84" s="135">
        <f>IF(AND(AT$46&gt;=$C$22,AT$46&lt;$C$23),$H84,0%)</f>
        <v>16.52</v>
      </c>
      <c r="AU84" s="135">
        <f>IF(AND(AU$46&gt;=$C$22,AU$46&lt;$C$23),$H84,0%)</f>
        <v>16.52</v>
      </c>
      <c r="AV84" s="135">
        <f>IF(AND(AV$46&gt;=$C$22,AV$46&lt;$C$23),$H84,0%)</f>
        <v>16.52</v>
      </c>
      <c r="AW84" s="135">
        <f>IF(AND(AW$46&gt;=$C$22,AW$46&lt;$C$23),$H84,0%)</f>
        <v>16.52</v>
      </c>
      <c r="AX84" s="135">
        <f>IF(AND(AX$46&gt;=$C$22,AX$46&lt;$C$23),$H84,0%)</f>
        <v>16.52</v>
      </c>
      <c r="AY84" s="135">
        <f>IF(AND(AY$46&gt;=$C$22,AY$46&lt;$C$23),$H84,0%)</f>
        <v>16.52</v>
      </c>
      <c r="AZ84" s="135">
        <f>IF(AND(AZ$46&gt;=$C$22,AZ$46&lt;$C$23),$H84,0%)</f>
        <v>16.52</v>
      </c>
      <c r="BA84" s="135">
        <f>IF(AND(BA$46&gt;=$C$22,BA$46&lt;$C$23),$H84,0%)</f>
        <v>16.52</v>
      </c>
      <c r="BB84" s="135">
        <f>IF(AND(BB$46&gt;=$C$22,BB$46&lt;$C$23),$H84,0%)</f>
        <v>16.52</v>
      </c>
      <c r="BC84" s="135">
        <f>IF(AND(BC$46&gt;=$C$22,BC$46&lt;$C$23),$H84,0%)</f>
        <v>16.52</v>
      </c>
      <c r="BD84" s="135">
        <f>IF(AND(BD$46&gt;=$C$22,BD$46&lt;$C$23),$H84,0%)</f>
        <v>16.52</v>
      </c>
      <c r="BE84" s="135">
        <f>IF(AND(BE$46&gt;=$C$22,BE$46&lt;$C$23),$H84,0%)</f>
        <v>16.52</v>
      </c>
      <c r="BF84" s="135">
        <f>IF(AND(BF$46&gt;=$C$22,BF$46&lt;$C$23),$H84,0%)</f>
        <v>16.52</v>
      </c>
      <c r="BG84" s="135">
        <f>IF(AND(BG$46&gt;=$C$22,BG$46&lt;$C$23),$H84,0%)</f>
        <v>16.52</v>
      </c>
      <c r="BH84" s="135">
        <f>IF(AND(BH$46&gt;=$C$22,BH$46&lt;$C$23),$H84,0%)</f>
        <v>16.52</v>
      </c>
      <c r="BI84" s="135">
        <f>IF(AND(BI$46&gt;=$C$22,BI$46&lt;$C$23),$H84,0%)</f>
        <v>16.52</v>
      </c>
      <c r="BJ84" s="135">
        <f>IF(AND(BJ$46&gt;=$C$22,BJ$46&lt;$C$23),$H84,0%)</f>
        <v>16.52</v>
      </c>
      <c r="BK84" s="135">
        <f>IF(AND(BK$46&gt;=$C$22,BK$46&lt;$C$23),$H84,0%)</f>
        <v>16.52</v>
      </c>
      <c r="BL84" s="135">
        <f>IF(AND(BL$46&gt;=$C$22,BL$46&lt;$C$23),$H84,0%)</f>
        <v>16.52</v>
      </c>
      <c r="BM84" s="135">
        <f>IF(AND(BM$46&gt;=$C$22,BM$46&lt;$C$23),$H84,0%)</f>
        <v>16.52</v>
      </c>
      <c r="BN84" s="135">
        <f>IF(AND(BN$46&gt;=$C$22,BN$46&lt;$C$23),$H84,0%)</f>
        <v>16.52</v>
      </c>
      <c r="BO84" s="135">
        <f>IF(AND(BO$46&gt;=$C$22,BO$46&lt;$C$23),$H84,0%)</f>
        <v>16.52</v>
      </c>
      <c r="BP84" s="135">
        <f>IF(AND(BP$46&gt;=$C$22,BP$46&lt;$C$23),$H84,0%)</f>
        <v>16.52</v>
      </c>
      <c r="BQ84" s="135">
        <f>IF(AND(BQ$46&gt;=$C$22,BQ$46&lt;$C$23),$H84,0%)</f>
        <v>16.52</v>
      </c>
      <c r="BR84" s="135">
        <f>IF(AND(BR$46&gt;=$C$22,BR$46&lt;$C$23),$H84,0%)</f>
        <v>16.52</v>
      </c>
      <c r="BS84" s="135">
        <f>IF(AND(BS$46&gt;=$C$22,BS$46&lt;$C$23),$H84,0%)</f>
        <v>16.52</v>
      </c>
      <c r="BT84" s="75"/>
      <c r="BU84" s="75"/>
      <c r="BV84" s="75"/>
    </row>
    <row r="85" spans="1:74">
      <c r="A85" s="75"/>
      <c r="B85" s="75" t="s">
        <v>161</v>
      </c>
      <c r="C85" s="75"/>
      <c r="D85" s="75" t="s">
        <v>162</v>
      </c>
      <c r="E85" s="75"/>
      <c r="F85" s="75"/>
      <c r="G85" s="75"/>
      <c r="H85" s="101">
        <f>SUM(J85:BS85)</f>
        <v>8693765640</v>
      </c>
      <c r="I85" s="75" t="s">
        <v>130</v>
      </c>
      <c r="J85" s="136">
        <f t="shared" ref="J85:AO85" si="69">J84*J53</f>
        <v>0</v>
      </c>
      <c r="K85" s="136">
        <f t="shared" si="69"/>
        <v>0</v>
      </c>
      <c r="L85" s="136">
        <f t="shared" si="69"/>
        <v>0</v>
      </c>
      <c r="M85" s="136">
        <f t="shared" si="69"/>
        <v>0</v>
      </c>
      <c r="N85" s="136">
        <f t="shared" si="69"/>
        <v>0</v>
      </c>
      <c r="O85" s="136">
        <f t="shared" si="69"/>
        <v>0</v>
      </c>
      <c r="P85" s="136">
        <f t="shared" si="69"/>
        <v>0</v>
      </c>
      <c r="Q85" s="136">
        <f t="shared" si="69"/>
        <v>0</v>
      </c>
      <c r="R85" s="136">
        <f t="shared" si="69"/>
        <v>160995660</v>
      </c>
      <c r="S85" s="136">
        <f t="shared" si="69"/>
        <v>160995660</v>
      </c>
      <c r="T85" s="136">
        <f t="shared" si="69"/>
        <v>160995660</v>
      </c>
      <c r="U85" s="136">
        <f t="shared" si="69"/>
        <v>160995660</v>
      </c>
      <c r="V85" s="136">
        <f t="shared" si="69"/>
        <v>160995660</v>
      </c>
      <c r="W85" s="136">
        <f t="shared" si="69"/>
        <v>160995660</v>
      </c>
      <c r="X85" s="136">
        <f t="shared" si="69"/>
        <v>160995660</v>
      </c>
      <c r="Y85" s="136">
        <f t="shared" si="69"/>
        <v>160995660</v>
      </c>
      <c r="Z85" s="136">
        <f t="shared" si="69"/>
        <v>160995660</v>
      </c>
      <c r="AA85" s="136">
        <f t="shared" si="69"/>
        <v>160995660</v>
      </c>
      <c r="AB85" s="136">
        <f t="shared" si="69"/>
        <v>160995660</v>
      </c>
      <c r="AC85" s="136">
        <f t="shared" si="69"/>
        <v>160995660</v>
      </c>
      <c r="AD85" s="136">
        <f t="shared" si="69"/>
        <v>160995660</v>
      </c>
      <c r="AE85" s="136">
        <f t="shared" si="69"/>
        <v>160995660</v>
      </c>
      <c r="AF85" s="136">
        <f t="shared" si="69"/>
        <v>160995660</v>
      </c>
      <c r="AG85" s="136">
        <f t="shared" si="69"/>
        <v>160995660</v>
      </c>
      <c r="AH85" s="136">
        <f t="shared" si="69"/>
        <v>160995660</v>
      </c>
      <c r="AI85" s="136">
        <f t="shared" si="69"/>
        <v>160995660</v>
      </c>
      <c r="AJ85" s="136">
        <f t="shared" si="69"/>
        <v>160995660</v>
      </c>
      <c r="AK85" s="136">
        <f t="shared" si="69"/>
        <v>160995660</v>
      </c>
      <c r="AL85" s="136">
        <f t="shared" si="69"/>
        <v>160995660</v>
      </c>
      <c r="AM85" s="136">
        <f t="shared" si="69"/>
        <v>160995660</v>
      </c>
      <c r="AN85" s="136">
        <f t="shared" si="69"/>
        <v>160995660</v>
      </c>
      <c r="AO85" s="136">
        <f t="shared" si="69"/>
        <v>160995660</v>
      </c>
      <c r="AP85" s="136">
        <f t="shared" ref="AP85:BS85" si="70">AP84*AP53</f>
        <v>160995660</v>
      </c>
      <c r="AQ85" s="136">
        <f t="shared" si="70"/>
        <v>160995660</v>
      </c>
      <c r="AR85" s="136">
        <f t="shared" si="70"/>
        <v>160995660</v>
      </c>
      <c r="AS85" s="136">
        <f t="shared" si="70"/>
        <v>160995660</v>
      </c>
      <c r="AT85" s="136">
        <f t="shared" si="70"/>
        <v>160995660</v>
      </c>
      <c r="AU85" s="136">
        <f t="shared" si="70"/>
        <v>160995660</v>
      </c>
      <c r="AV85" s="136">
        <f t="shared" si="70"/>
        <v>160995660</v>
      </c>
      <c r="AW85" s="136">
        <f t="shared" si="70"/>
        <v>160995660</v>
      </c>
      <c r="AX85" s="136">
        <f t="shared" si="70"/>
        <v>160995660</v>
      </c>
      <c r="AY85" s="136">
        <f t="shared" si="70"/>
        <v>160995660</v>
      </c>
      <c r="AZ85" s="136">
        <f t="shared" si="70"/>
        <v>160995660</v>
      </c>
      <c r="BA85" s="136">
        <f t="shared" si="70"/>
        <v>160995660</v>
      </c>
      <c r="BB85" s="136">
        <f t="shared" si="70"/>
        <v>160995660</v>
      </c>
      <c r="BC85" s="136">
        <f t="shared" si="70"/>
        <v>160995660</v>
      </c>
      <c r="BD85" s="136">
        <f t="shared" si="70"/>
        <v>160995660</v>
      </c>
      <c r="BE85" s="136">
        <f t="shared" si="70"/>
        <v>160995660</v>
      </c>
      <c r="BF85" s="136">
        <f t="shared" si="70"/>
        <v>160995660</v>
      </c>
      <c r="BG85" s="136">
        <f t="shared" si="70"/>
        <v>160995660</v>
      </c>
      <c r="BH85" s="136">
        <f t="shared" si="70"/>
        <v>160995660</v>
      </c>
      <c r="BI85" s="136">
        <f t="shared" si="70"/>
        <v>160995660</v>
      </c>
      <c r="BJ85" s="136">
        <f t="shared" si="70"/>
        <v>160995660</v>
      </c>
      <c r="BK85" s="136">
        <f t="shared" si="70"/>
        <v>160995660</v>
      </c>
      <c r="BL85" s="136">
        <f t="shared" si="70"/>
        <v>160995660</v>
      </c>
      <c r="BM85" s="136">
        <f t="shared" si="70"/>
        <v>160995660</v>
      </c>
      <c r="BN85" s="136">
        <f t="shared" si="70"/>
        <v>160995660</v>
      </c>
      <c r="BO85" s="136">
        <f t="shared" si="70"/>
        <v>160995660</v>
      </c>
      <c r="BP85" s="136">
        <f t="shared" si="70"/>
        <v>160995660</v>
      </c>
      <c r="BQ85" s="136">
        <f t="shared" si="70"/>
        <v>160995660</v>
      </c>
      <c r="BR85" s="136">
        <f t="shared" si="70"/>
        <v>160995660</v>
      </c>
      <c r="BS85" s="136">
        <f t="shared" si="70"/>
        <v>160995660</v>
      </c>
      <c r="BT85" s="75"/>
      <c r="BU85" s="75"/>
      <c r="BV85" s="75"/>
    </row>
    <row r="86" spans="1:74">
      <c r="A86" s="75"/>
      <c r="B86" s="75" t="s">
        <v>163</v>
      </c>
      <c r="C86" s="75"/>
      <c r="D86" s="75" t="s">
        <v>164</v>
      </c>
      <c r="E86" s="75"/>
      <c r="F86" s="75"/>
      <c r="G86" s="75"/>
      <c r="H86" s="129">
        <f>SUM(J86:BS86)</f>
        <v>2124161015.3269148</v>
      </c>
      <c r="I86" s="109" t="s">
        <v>130</v>
      </c>
      <c r="J86" s="136">
        <f t="shared" ref="J86:AO86" si="71">J85*J48</f>
        <v>0</v>
      </c>
      <c r="K86" s="136">
        <f t="shared" si="71"/>
        <v>0</v>
      </c>
      <c r="L86" s="136">
        <f t="shared" si="71"/>
        <v>0</v>
      </c>
      <c r="M86" s="136">
        <f t="shared" si="71"/>
        <v>0</v>
      </c>
      <c r="N86" s="136">
        <f t="shared" si="71"/>
        <v>0</v>
      </c>
      <c r="O86" s="136">
        <f t="shared" si="71"/>
        <v>0</v>
      </c>
      <c r="P86" s="136">
        <f t="shared" si="71"/>
        <v>0</v>
      </c>
      <c r="Q86" s="136">
        <f t="shared" si="71"/>
        <v>0</v>
      </c>
      <c r="R86" s="136">
        <f t="shared" si="71"/>
        <v>108968199.80378738</v>
      </c>
      <c r="S86" s="136">
        <f t="shared" si="71"/>
        <v>103779237.90836893</v>
      </c>
      <c r="T86" s="136">
        <f t="shared" si="71"/>
        <v>98837369.43654184</v>
      </c>
      <c r="U86" s="136">
        <f t="shared" si="71"/>
        <v>94130828.034801751</v>
      </c>
      <c r="V86" s="136">
        <f t="shared" si="71"/>
        <v>89648407.652192131</v>
      </c>
      <c r="W86" s="136">
        <f t="shared" si="71"/>
        <v>85379435.859230593</v>
      </c>
      <c r="X86" s="136">
        <f t="shared" si="71"/>
        <v>81313748.437362462</v>
      </c>
      <c r="Y86" s="136">
        <f t="shared" si="71"/>
        <v>77441665.178440437</v>
      </c>
      <c r="Z86" s="136">
        <f t="shared" si="71"/>
        <v>73753966.836609945</v>
      </c>
      <c r="AA86" s="136">
        <f t="shared" si="71"/>
        <v>70241873.17772375</v>
      </c>
      <c r="AB86" s="136">
        <f t="shared" si="71"/>
        <v>66897022.074022621</v>
      </c>
      <c r="AC86" s="136">
        <f t="shared" si="71"/>
        <v>63711449.594307259</v>
      </c>
      <c r="AD86" s="136">
        <f t="shared" si="71"/>
        <v>60677571.042197384</v>
      </c>
      <c r="AE86" s="136">
        <f t="shared" si="71"/>
        <v>57788162.897330843</v>
      </c>
      <c r="AF86" s="136">
        <f t="shared" si="71"/>
        <v>55036345.616505563</v>
      </c>
      <c r="AG86" s="136">
        <f t="shared" si="71"/>
        <v>52415567.253814824</v>
      </c>
      <c r="AH86" s="136">
        <f t="shared" si="71"/>
        <v>49919587.86077603</v>
      </c>
      <c r="AI86" s="136">
        <f t="shared" si="71"/>
        <v>47542464.629310504</v>
      </c>
      <c r="AJ86" s="136">
        <f t="shared" si="71"/>
        <v>45278537.742200471</v>
      </c>
      <c r="AK86" s="136">
        <f t="shared" si="71"/>
        <v>43122416.897333778</v>
      </c>
      <c r="AL86" s="136">
        <f t="shared" si="71"/>
        <v>41068968.473651223</v>
      </c>
      <c r="AM86" s="136">
        <f t="shared" si="71"/>
        <v>39113303.308239251</v>
      </c>
      <c r="AN86" s="136">
        <f t="shared" si="71"/>
        <v>37250765.055465959</v>
      </c>
      <c r="AO86" s="136">
        <f t="shared" si="71"/>
        <v>35476919.100443766</v>
      </c>
      <c r="AP86" s="136">
        <f t="shared" ref="AP86:BS86" si="72">AP85*AP48</f>
        <v>33787542.000422634</v>
      </c>
      <c r="AQ86" s="136">
        <f t="shared" si="72"/>
        <v>32178611.428973936</v>
      </c>
      <c r="AR86" s="136">
        <f t="shared" si="72"/>
        <v>30646296.599022795</v>
      </c>
      <c r="AS86" s="136">
        <f t="shared" si="72"/>
        <v>29186949.141926471</v>
      </c>
      <c r="AT86" s="136">
        <f t="shared" si="72"/>
        <v>27797094.420882352</v>
      </c>
      <c r="AU86" s="136">
        <f t="shared" si="72"/>
        <v>26473423.257983189</v>
      </c>
      <c r="AV86" s="136">
        <f t="shared" si="72"/>
        <v>25212784.055222087</v>
      </c>
      <c r="AW86" s="136">
        <f t="shared" si="72"/>
        <v>24012175.290687699</v>
      </c>
      <c r="AX86" s="136">
        <f t="shared" si="72"/>
        <v>22868738.372083522</v>
      </c>
      <c r="AY86" s="136">
        <f t="shared" si="72"/>
        <v>21779750.830555737</v>
      </c>
      <c r="AZ86" s="136">
        <f t="shared" si="72"/>
        <v>20742619.838624511</v>
      </c>
      <c r="BA86" s="136">
        <f t="shared" si="72"/>
        <v>19754876.036785245</v>
      </c>
      <c r="BB86" s="136">
        <f t="shared" si="72"/>
        <v>18814167.654081188</v>
      </c>
      <c r="BC86" s="136">
        <f t="shared" si="72"/>
        <v>17918254.908648748</v>
      </c>
      <c r="BD86" s="136">
        <f t="shared" si="72"/>
        <v>17065004.674903568</v>
      </c>
      <c r="BE86" s="136">
        <f t="shared" si="72"/>
        <v>16252385.404670065</v>
      </c>
      <c r="BF86" s="136">
        <f t="shared" si="72"/>
        <v>15478462.290161965</v>
      </c>
      <c r="BG86" s="136">
        <f t="shared" si="72"/>
        <v>14741392.657297108</v>
      </c>
      <c r="BH86" s="136">
        <f t="shared" si="72"/>
        <v>14039421.578378199</v>
      </c>
      <c r="BI86" s="136">
        <f t="shared" si="72"/>
        <v>13370877.693693522</v>
      </c>
      <c r="BJ86" s="136">
        <f t="shared" si="72"/>
        <v>12734169.232089069</v>
      </c>
      <c r="BK86" s="136">
        <f t="shared" si="72"/>
        <v>12127780.221037207</v>
      </c>
      <c r="BL86" s="136">
        <f t="shared" si="72"/>
        <v>11550266.877178293</v>
      </c>
      <c r="BM86" s="136">
        <f t="shared" si="72"/>
        <v>11000254.168741232</v>
      </c>
      <c r="BN86" s="136">
        <f t="shared" si="72"/>
        <v>10476432.541658314</v>
      </c>
      <c r="BO86" s="136">
        <f t="shared" si="72"/>
        <v>9977554.8015793469</v>
      </c>
      <c r="BP86" s="136">
        <f t="shared" si="72"/>
        <v>9502433.1443612818</v>
      </c>
      <c r="BQ86" s="136">
        <f t="shared" si="72"/>
        <v>9049936.327963125</v>
      </c>
      <c r="BR86" s="136">
        <f t="shared" si="72"/>
        <v>8618986.9790124986</v>
      </c>
      <c r="BS86" s="136">
        <f t="shared" si="72"/>
        <v>8208559.0276309513</v>
      </c>
      <c r="BT86" s="75"/>
      <c r="BU86" s="75"/>
      <c r="BV86" s="75"/>
    </row>
    <row r="87" spans="1:74" ht="15.95" thickBot="1">
      <c r="A87" s="75"/>
      <c r="B87" s="75"/>
      <c r="C87" s="75"/>
      <c r="D87" s="75"/>
      <c r="E87" s="75"/>
      <c r="F87" s="75"/>
      <c r="G87" s="75"/>
      <c r="H87" s="101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  <c r="AC87" s="75"/>
      <c r="AD87" s="75"/>
      <c r="AE87" s="75"/>
      <c r="AF87" s="75"/>
      <c r="AG87" s="75"/>
      <c r="AH87" s="75"/>
      <c r="AI87" s="75"/>
      <c r="AJ87" s="75"/>
      <c r="AK87" s="75"/>
      <c r="AL87" s="75"/>
      <c r="AM87" s="75"/>
      <c r="AN87" s="75"/>
      <c r="AO87" s="75"/>
      <c r="AP87" s="75"/>
      <c r="AQ87" s="75"/>
      <c r="AR87" s="75"/>
      <c r="AS87" s="75"/>
      <c r="AT87" s="75"/>
      <c r="AU87" s="75"/>
      <c r="AV87" s="75"/>
      <c r="AW87" s="75"/>
      <c r="AX87" s="75"/>
      <c r="AY87" s="75"/>
      <c r="AZ87" s="75"/>
      <c r="BA87" s="75"/>
      <c r="BB87" s="75"/>
      <c r="BC87" s="75"/>
      <c r="BD87" s="75"/>
      <c r="BE87" s="75"/>
      <c r="BF87" s="75"/>
      <c r="BG87" s="75"/>
      <c r="BH87" s="75"/>
      <c r="BI87" s="75"/>
      <c r="BJ87" s="75"/>
      <c r="BK87" s="75"/>
      <c r="BL87" s="75"/>
      <c r="BM87" s="75"/>
      <c r="BN87" s="75"/>
      <c r="BO87" s="75"/>
      <c r="BP87" s="75"/>
      <c r="BQ87" s="75"/>
      <c r="BR87" s="75"/>
      <c r="BS87" s="75"/>
      <c r="BT87" s="75"/>
      <c r="BU87" s="75"/>
      <c r="BV87" s="75"/>
    </row>
    <row r="88" spans="1:74" ht="15.95" thickBot="1">
      <c r="A88" s="75"/>
      <c r="B88" s="82" t="s">
        <v>108</v>
      </c>
      <c r="C88" s="82"/>
      <c r="D88" s="82"/>
      <c r="E88" s="82"/>
      <c r="F88" s="82"/>
      <c r="G88" s="82"/>
      <c r="H88" s="124">
        <f>H93/H54</f>
        <v>0</v>
      </c>
      <c r="I88" s="82" t="s">
        <v>126</v>
      </c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  <c r="AH88" s="82"/>
      <c r="AI88" s="82"/>
      <c r="AJ88" s="82"/>
      <c r="AK88" s="82"/>
      <c r="AL88" s="82"/>
      <c r="AM88" s="82"/>
      <c r="AN88" s="82"/>
      <c r="AO88" s="82"/>
      <c r="AP88" s="82"/>
      <c r="AQ88" s="82"/>
      <c r="AR88" s="82"/>
      <c r="AS88" s="82"/>
      <c r="AT88" s="82"/>
      <c r="AU88" s="82"/>
      <c r="AV88" s="82"/>
      <c r="AW88" s="82"/>
      <c r="AX88" s="82"/>
      <c r="AY88" s="82"/>
      <c r="AZ88" s="82"/>
      <c r="BA88" s="82"/>
      <c r="BB88" s="82"/>
      <c r="BC88" s="82"/>
      <c r="BD88" s="82"/>
      <c r="BE88" s="82"/>
      <c r="BF88" s="82"/>
      <c r="BG88" s="82"/>
      <c r="BH88" s="82"/>
      <c r="BI88" s="82"/>
      <c r="BJ88" s="82"/>
      <c r="BK88" s="82"/>
      <c r="BL88" s="82"/>
      <c r="BM88" s="82"/>
      <c r="BN88" s="82"/>
      <c r="BO88" s="82"/>
      <c r="BP88" s="82"/>
      <c r="BQ88" s="82"/>
      <c r="BR88" s="82"/>
      <c r="BS88" s="82"/>
      <c r="BT88" s="75"/>
      <c r="BU88" s="75"/>
      <c r="BV88" s="75"/>
    </row>
    <row r="89" spans="1:74">
      <c r="A89" s="75"/>
      <c r="B89" s="75" t="s">
        <v>165</v>
      </c>
      <c r="C89" s="75"/>
      <c r="D89" s="75" t="str">
        <f>IF(J12="Kyllä","Sisältyy muuttuvaan OPEXiin",_xlfn.CONCAT("Skenaario: ",H129))</f>
        <v>Sisältyy muuttuvaan OPEXiin</v>
      </c>
      <c r="E89" s="75"/>
      <c r="F89" s="75"/>
      <c r="G89" s="75"/>
      <c r="H89" s="101"/>
      <c r="I89" s="75" t="s">
        <v>166</v>
      </c>
      <c r="J89" s="137">
        <f t="shared" ref="J89:AO89" si="73">J40</f>
        <v>0</v>
      </c>
      <c r="K89" s="137">
        <f t="shared" si="73"/>
        <v>0</v>
      </c>
      <c r="L89" s="137">
        <f t="shared" si="73"/>
        <v>0</v>
      </c>
      <c r="M89" s="137">
        <f t="shared" si="73"/>
        <v>0</v>
      </c>
      <c r="N89" s="137">
        <f t="shared" si="73"/>
        <v>0</v>
      </c>
      <c r="O89" s="137">
        <f t="shared" si="73"/>
        <v>0</v>
      </c>
      <c r="P89" s="137">
        <f t="shared" si="73"/>
        <v>0</v>
      </c>
      <c r="Q89" s="137">
        <f t="shared" si="73"/>
        <v>0</v>
      </c>
      <c r="R89" s="137">
        <f t="shared" si="73"/>
        <v>0</v>
      </c>
      <c r="S89" s="137">
        <f t="shared" si="73"/>
        <v>0</v>
      </c>
      <c r="T89" s="137">
        <f t="shared" si="73"/>
        <v>0</v>
      </c>
      <c r="U89" s="137">
        <f t="shared" si="73"/>
        <v>0</v>
      </c>
      <c r="V89" s="137">
        <f t="shared" si="73"/>
        <v>0</v>
      </c>
      <c r="W89" s="137">
        <f t="shared" si="73"/>
        <v>0</v>
      </c>
      <c r="X89" s="137">
        <f t="shared" si="73"/>
        <v>0</v>
      </c>
      <c r="Y89" s="137">
        <f t="shared" si="73"/>
        <v>0</v>
      </c>
      <c r="Z89" s="137">
        <f t="shared" si="73"/>
        <v>0</v>
      </c>
      <c r="AA89" s="137">
        <f t="shared" si="73"/>
        <v>0</v>
      </c>
      <c r="AB89" s="137">
        <f t="shared" si="73"/>
        <v>0</v>
      </c>
      <c r="AC89" s="137">
        <f t="shared" si="73"/>
        <v>0</v>
      </c>
      <c r="AD89" s="137">
        <f t="shared" si="73"/>
        <v>0</v>
      </c>
      <c r="AE89" s="137">
        <f t="shared" si="73"/>
        <v>0</v>
      </c>
      <c r="AF89" s="137">
        <f t="shared" si="73"/>
        <v>0</v>
      </c>
      <c r="AG89" s="137">
        <f t="shared" si="73"/>
        <v>0</v>
      </c>
      <c r="AH89" s="137">
        <f t="shared" si="73"/>
        <v>0</v>
      </c>
      <c r="AI89" s="137">
        <f t="shared" si="73"/>
        <v>0</v>
      </c>
      <c r="AJ89" s="137">
        <f t="shared" si="73"/>
        <v>0</v>
      </c>
      <c r="AK89" s="137">
        <f t="shared" si="73"/>
        <v>0</v>
      </c>
      <c r="AL89" s="137">
        <f t="shared" si="73"/>
        <v>0</v>
      </c>
      <c r="AM89" s="137">
        <f t="shared" si="73"/>
        <v>0</v>
      </c>
      <c r="AN89" s="137">
        <f t="shared" si="73"/>
        <v>0</v>
      </c>
      <c r="AO89" s="137">
        <f t="shared" si="73"/>
        <v>0</v>
      </c>
      <c r="AP89" s="137">
        <f t="shared" ref="AP89:BS89" si="74">AP40</f>
        <v>0</v>
      </c>
      <c r="AQ89" s="137">
        <f t="shared" si="74"/>
        <v>0</v>
      </c>
      <c r="AR89" s="137">
        <f t="shared" si="74"/>
        <v>0</v>
      </c>
      <c r="AS89" s="137">
        <f t="shared" si="74"/>
        <v>0</v>
      </c>
      <c r="AT89" s="137">
        <f t="shared" si="74"/>
        <v>0</v>
      </c>
      <c r="AU89" s="137">
        <f t="shared" si="74"/>
        <v>0</v>
      </c>
      <c r="AV89" s="137">
        <f t="shared" si="74"/>
        <v>0</v>
      </c>
      <c r="AW89" s="137">
        <f t="shared" si="74"/>
        <v>0</v>
      </c>
      <c r="AX89" s="137">
        <f t="shared" si="74"/>
        <v>0</v>
      </c>
      <c r="AY89" s="137">
        <f t="shared" si="74"/>
        <v>0</v>
      </c>
      <c r="AZ89" s="137">
        <f t="shared" si="74"/>
        <v>0</v>
      </c>
      <c r="BA89" s="137">
        <f t="shared" si="74"/>
        <v>0</v>
      </c>
      <c r="BB89" s="137">
        <f t="shared" si="74"/>
        <v>0</v>
      </c>
      <c r="BC89" s="137">
        <f t="shared" si="74"/>
        <v>0</v>
      </c>
      <c r="BD89" s="137">
        <f t="shared" si="74"/>
        <v>0</v>
      </c>
      <c r="BE89" s="137">
        <f t="shared" si="74"/>
        <v>0</v>
      </c>
      <c r="BF89" s="137">
        <f t="shared" si="74"/>
        <v>0</v>
      </c>
      <c r="BG89" s="137">
        <f t="shared" si="74"/>
        <v>0</v>
      </c>
      <c r="BH89" s="137">
        <f t="shared" si="74"/>
        <v>0</v>
      </c>
      <c r="BI89" s="137">
        <f t="shared" si="74"/>
        <v>0</v>
      </c>
      <c r="BJ89" s="137">
        <f t="shared" si="74"/>
        <v>0</v>
      </c>
      <c r="BK89" s="137">
        <f t="shared" si="74"/>
        <v>0</v>
      </c>
      <c r="BL89" s="137">
        <f t="shared" si="74"/>
        <v>0</v>
      </c>
      <c r="BM89" s="137">
        <f t="shared" si="74"/>
        <v>0</v>
      </c>
      <c r="BN89" s="137">
        <f t="shared" si="74"/>
        <v>0</v>
      </c>
      <c r="BO89" s="137">
        <f t="shared" si="74"/>
        <v>0</v>
      </c>
      <c r="BP89" s="137">
        <f t="shared" si="74"/>
        <v>0</v>
      </c>
      <c r="BQ89" s="137">
        <f t="shared" si="74"/>
        <v>0</v>
      </c>
      <c r="BR89" s="137">
        <f t="shared" si="74"/>
        <v>0</v>
      </c>
      <c r="BS89" s="137">
        <f t="shared" si="74"/>
        <v>0</v>
      </c>
      <c r="BT89" s="75"/>
      <c r="BU89" s="75"/>
      <c r="BV89" s="75"/>
    </row>
    <row r="90" spans="1:74">
      <c r="A90" s="75"/>
      <c r="B90" s="75" t="s">
        <v>167</v>
      </c>
      <c r="C90" s="75"/>
      <c r="D90" s="75" t="s">
        <v>168</v>
      </c>
      <c r="E90" s="75"/>
      <c r="F90" s="75"/>
      <c r="G90" s="75"/>
      <c r="H90" s="101">
        <f>C27*100</f>
        <v>37</v>
      </c>
      <c r="I90" s="75" t="s">
        <v>119</v>
      </c>
      <c r="J90" s="86">
        <f>$C27</f>
        <v>0.37</v>
      </c>
      <c r="K90" s="86">
        <f>$C27</f>
        <v>0.37</v>
      </c>
      <c r="L90" s="86">
        <f>$C27</f>
        <v>0.37</v>
      </c>
      <c r="M90" s="86">
        <f>$C27</f>
        <v>0.37</v>
      </c>
      <c r="N90" s="86">
        <f>$C27</f>
        <v>0.37</v>
      </c>
      <c r="O90" s="86">
        <f>$C27</f>
        <v>0.37</v>
      </c>
      <c r="P90" s="86">
        <f>$C27</f>
        <v>0.37</v>
      </c>
      <c r="Q90" s="86">
        <f>$C27</f>
        <v>0.37</v>
      </c>
      <c r="R90" s="86">
        <f>$C27</f>
        <v>0.37</v>
      </c>
      <c r="S90" s="86">
        <f>$C27</f>
        <v>0.37</v>
      </c>
      <c r="T90" s="86">
        <f>$C27</f>
        <v>0.37</v>
      </c>
      <c r="U90" s="86">
        <f>$C27</f>
        <v>0.37</v>
      </c>
      <c r="V90" s="86">
        <f>$C27</f>
        <v>0.37</v>
      </c>
      <c r="W90" s="86">
        <f>$C27</f>
        <v>0.37</v>
      </c>
      <c r="X90" s="86">
        <f>$C27</f>
        <v>0.37</v>
      </c>
      <c r="Y90" s="86">
        <f>$C27</f>
        <v>0.37</v>
      </c>
      <c r="Z90" s="86">
        <f>$C27</f>
        <v>0.37</v>
      </c>
      <c r="AA90" s="86">
        <f>$C27</f>
        <v>0.37</v>
      </c>
      <c r="AB90" s="86">
        <f>$C27</f>
        <v>0.37</v>
      </c>
      <c r="AC90" s="86">
        <f>$C27</f>
        <v>0.37</v>
      </c>
      <c r="AD90" s="86">
        <f>$C27</f>
        <v>0.37</v>
      </c>
      <c r="AE90" s="86">
        <f>$C27</f>
        <v>0.37</v>
      </c>
      <c r="AF90" s="86">
        <f>$C27</f>
        <v>0.37</v>
      </c>
      <c r="AG90" s="86">
        <f>$C27</f>
        <v>0.37</v>
      </c>
      <c r="AH90" s="86">
        <f>$C27</f>
        <v>0.37</v>
      </c>
      <c r="AI90" s="86">
        <f>$C27</f>
        <v>0.37</v>
      </c>
      <c r="AJ90" s="86">
        <f>$C27</f>
        <v>0.37</v>
      </c>
      <c r="AK90" s="86">
        <f>$C27</f>
        <v>0.37</v>
      </c>
      <c r="AL90" s="86">
        <f>$C27</f>
        <v>0.37</v>
      </c>
      <c r="AM90" s="86">
        <f>$C27</f>
        <v>0.37</v>
      </c>
      <c r="AN90" s="86">
        <f>$C27</f>
        <v>0.37</v>
      </c>
      <c r="AO90" s="86">
        <f>$C27</f>
        <v>0.37</v>
      </c>
      <c r="AP90" s="86">
        <f>$C27</f>
        <v>0.37</v>
      </c>
      <c r="AQ90" s="86">
        <f>$C27</f>
        <v>0.37</v>
      </c>
      <c r="AR90" s="86">
        <f>$C27</f>
        <v>0.37</v>
      </c>
      <c r="AS90" s="86">
        <f>$C27</f>
        <v>0.37</v>
      </c>
      <c r="AT90" s="86">
        <f>$C27</f>
        <v>0.37</v>
      </c>
      <c r="AU90" s="86">
        <f>$C27</f>
        <v>0.37</v>
      </c>
      <c r="AV90" s="86">
        <f>$C27</f>
        <v>0.37</v>
      </c>
      <c r="AW90" s="86">
        <f>$C27</f>
        <v>0.37</v>
      </c>
      <c r="AX90" s="86">
        <f>$C27</f>
        <v>0.37</v>
      </c>
      <c r="AY90" s="86">
        <f>$C27</f>
        <v>0.37</v>
      </c>
      <c r="AZ90" s="86">
        <f>$C27</f>
        <v>0.37</v>
      </c>
      <c r="BA90" s="86">
        <f>$C27</f>
        <v>0.37</v>
      </c>
      <c r="BB90" s="86">
        <f>$C27</f>
        <v>0.37</v>
      </c>
      <c r="BC90" s="86">
        <f>$C27</f>
        <v>0.37</v>
      </c>
      <c r="BD90" s="86">
        <f>$C27</f>
        <v>0.37</v>
      </c>
      <c r="BE90" s="86">
        <f>$C27</f>
        <v>0.37</v>
      </c>
      <c r="BF90" s="86">
        <f>$C27</f>
        <v>0.37</v>
      </c>
      <c r="BG90" s="86">
        <f>$C27</f>
        <v>0.37</v>
      </c>
      <c r="BH90" s="86">
        <f>$C27</f>
        <v>0.37</v>
      </c>
      <c r="BI90" s="86">
        <f>$C27</f>
        <v>0.37</v>
      </c>
      <c r="BJ90" s="86">
        <f>$C27</f>
        <v>0.37</v>
      </c>
      <c r="BK90" s="86">
        <f>$C27</f>
        <v>0.37</v>
      </c>
      <c r="BL90" s="86">
        <f>$C27</f>
        <v>0.37</v>
      </c>
      <c r="BM90" s="86">
        <f>$C27</f>
        <v>0.37</v>
      </c>
      <c r="BN90" s="86">
        <f>$C27</f>
        <v>0.37</v>
      </c>
      <c r="BO90" s="86">
        <f>$C27</f>
        <v>0.37</v>
      </c>
      <c r="BP90" s="86">
        <f>$C27</f>
        <v>0.37</v>
      </c>
      <c r="BQ90" s="86">
        <f>$C27</f>
        <v>0.37</v>
      </c>
      <c r="BR90" s="86">
        <f>$C27</f>
        <v>0.37</v>
      </c>
      <c r="BS90" s="86">
        <f>$C27</f>
        <v>0.37</v>
      </c>
      <c r="BT90" s="75"/>
      <c r="BU90" s="75"/>
      <c r="BV90" s="75"/>
    </row>
    <row r="91" spans="1:74">
      <c r="A91" s="75"/>
      <c r="B91" s="75" t="s">
        <v>169</v>
      </c>
      <c r="C91" s="75"/>
      <c r="D91" s="75" t="s">
        <v>170</v>
      </c>
      <c r="E91" s="75"/>
      <c r="F91" s="75"/>
      <c r="G91" s="75"/>
      <c r="H91" s="132">
        <f>SUM(J91:BS91)</f>
        <v>1422316216.2162163</v>
      </c>
      <c r="I91" s="75" t="s">
        <v>171</v>
      </c>
      <c r="J91" s="101">
        <f>J53/J90</f>
        <v>0</v>
      </c>
      <c r="K91" s="101">
        <f t="shared" ref="K91:BS91" si="75">K53/K90</f>
        <v>0</v>
      </c>
      <c r="L91" s="101">
        <f t="shared" si="75"/>
        <v>0</v>
      </c>
      <c r="M91" s="101">
        <f t="shared" si="75"/>
        <v>0</v>
      </c>
      <c r="N91" s="101">
        <f t="shared" si="75"/>
        <v>0</v>
      </c>
      <c r="O91" s="101">
        <f t="shared" si="75"/>
        <v>0</v>
      </c>
      <c r="P91" s="101">
        <f t="shared" si="75"/>
        <v>0</v>
      </c>
      <c r="Q91" s="101">
        <f t="shared" si="75"/>
        <v>0</v>
      </c>
      <c r="R91" s="101">
        <f t="shared" si="75"/>
        <v>26339189.189189188</v>
      </c>
      <c r="S91" s="101">
        <f t="shared" si="75"/>
        <v>26339189.189189188</v>
      </c>
      <c r="T91" s="101">
        <f t="shared" si="75"/>
        <v>26339189.189189188</v>
      </c>
      <c r="U91" s="101">
        <f t="shared" si="75"/>
        <v>26339189.189189188</v>
      </c>
      <c r="V91" s="101">
        <f t="shared" si="75"/>
        <v>26339189.189189188</v>
      </c>
      <c r="W91" s="101">
        <f t="shared" si="75"/>
        <v>26339189.189189188</v>
      </c>
      <c r="X91" s="101">
        <f t="shared" si="75"/>
        <v>26339189.189189188</v>
      </c>
      <c r="Y91" s="101">
        <f t="shared" si="75"/>
        <v>26339189.189189188</v>
      </c>
      <c r="Z91" s="101">
        <f t="shared" si="75"/>
        <v>26339189.189189188</v>
      </c>
      <c r="AA91" s="101">
        <f t="shared" si="75"/>
        <v>26339189.189189188</v>
      </c>
      <c r="AB91" s="101">
        <f t="shared" si="75"/>
        <v>26339189.189189188</v>
      </c>
      <c r="AC91" s="101">
        <f t="shared" si="75"/>
        <v>26339189.189189188</v>
      </c>
      <c r="AD91" s="101">
        <f t="shared" si="75"/>
        <v>26339189.189189188</v>
      </c>
      <c r="AE91" s="101">
        <f t="shared" si="75"/>
        <v>26339189.189189188</v>
      </c>
      <c r="AF91" s="101">
        <f t="shared" si="75"/>
        <v>26339189.189189188</v>
      </c>
      <c r="AG91" s="101">
        <f t="shared" si="75"/>
        <v>26339189.189189188</v>
      </c>
      <c r="AH91" s="101">
        <f t="shared" si="75"/>
        <v>26339189.189189188</v>
      </c>
      <c r="AI91" s="101">
        <f t="shared" si="75"/>
        <v>26339189.189189188</v>
      </c>
      <c r="AJ91" s="101">
        <f t="shared" si="75"/>
        <v>26339189.189189188</v>
      </c>
      <c r="AK91" s="101">
        <f t="shared" si="75"/>
        <v>26339189.189189188</v>
      </c>
      <c r="AL91" s="101">
        <f t="shared" si="75"/>
        <v>26339189.189189188</v>
      </c>
      <c r="AM91" s="101">
        <f t="shared" si="75"/>
        <v>26339189.189189188</v>
      </c>
      <c r="AN91" s="101">
        <f t="shared" si="75"/>
        <v>26339189.189189188</v>
      </c>
      <c r="AO91" s="101">
        <f t="shared" si="75"/>
        <v>26339189.189189188</v>
      </c>
      <c r="AP91" s="101">
        <f t="shared" si="75"/>
        <v>26339189.189189188</v>
      </c>
      <c r="AQ91" s="101">
        <f t="shared" si="75"/>
        <v>26339189.189189188</v>
      </c>
      <c r="AR91" s="101">
        <f t="shared" si="75"/>
        <v>26339189.189189188</v>
      </c>
      <c r="AS91" s="101">
        <f t="shared" si="75"/>
        <v>26339189.189189188</v>
      </c>
      <c r="AT91" s="101">
        <f t="shared" si="75"/>
        <v>26339189.189189188</v>
      </c>
      <c r="AU91" s="101">
        <f t="shared" si="75"/>
        <v>26339189.189189188</v>
      </c>
      <c r="AV91" s="101">
        <f t="shared" si="75"/>
        <v>26339189.189189188</v>
      </c>
      <c r="AW91" s="101">
        <f t="shared" si="75"/>
        <v>26339189.189189188</v>
      </c>
      <c r="AX91" s="101">
        <f t="shared" si="75"/>
        <v>26339189.189189188</v>
      </c>
      <c r="AY91" s="101">
        <f t="shared" si="75"/>
        <v>26339189.189189188</v>
      </c>
      <c r="AZ91" s="101">
        <f t="shared" si="75"/>
        <v>26339189.189189188</v>
      </c>
      <c r="BA91" s="101">
        <f t="shared" si="75"/>
        <v>26339189.189189188</v>
      </c>
      <c r="BB91" s="101">
        <f t="shared" si="75"/>
        <v>26339189.189189188</v>
      </c>
      <c r="BC91" s="101">
        <f t="shared" si="75"/>
        <v>26339189.189189188</v>
      </c>
      <c r="BD91" s="101">
        <f t="shared" si="75"/>
        <v>26339189.189189188</v>
      </c>
      <c r="BE91" s="101">
        <f t="shared" si="75"/>
        <v>26339189.189189188</v>
      </c>
      <c r="BF91" s="101">
        <f t="shared" si="75"/>
        <v>26339189.189189188</v>
      </c>
      <c r="BG91" s="101">
        <f t="shared" si="75"/>
        <v>26339189.189189188</v>
      </c>
      <c r="BH91" s="101">
        <f t="shared" si="75"/>
        <v>26339189.189189188</v>
      </c>
      <c r="BI91" s="101">
        <f t="shared" si="75"/>
        <v>26339189.189189188</v>
      </c>
      <c r="BJ91" s="101">
        <f t="shared" si="75"/>
        <v>26339189.189189188</v>
      </c>
      <c r="BK91" s="101">
        <f t="shared" si="75"/>
        <v>26339189.189189188</v>
      </c>
      <c r="BL91" s="101">
        <f t="shared" si="75"/>
        <v>26339189.189189188</v>
      </c>
      <c r="BM91" s="101">
        <f t="shared" si="75"/>
        <v>26339189.189189188</v>
      </c>
      <c r="BN91" s="101">
        <f t="shared" si="75"/>
        <v>26339189.189189188</v>
      </c>
      <c r="BO91" s="101">
        <f t="shared" si="75"/>
        <v>26339189.189189188</v>
      </c>
      <c r="BP91" s="101">
        <f t="shared" si="75"/>
        <v>26339189.189189188</v>
      </c>
      <c r="BQ91" s="101">
        <f t="shared" si="75"/>
        <v>26339189.189189188</v>
      </c>
      <c r="BR91" s="101">
        <f t="shared" si="75"/>
        <v>26339189.189189188</v>
      </c>
      <c r="BS91" s="101">
        <f t="shared" si="75"/>
        <v>26339189.189189188</v>
      </c>
      <c r="BT91" s="75"/>
      <c r="BU91" s="75"/>
      <c r="BV91" s="75"/>
    </row>
    <row r="92" spans="1:74">
      <c r="A92" s="75"/>
      <c r="B92" s="75" t="s">
        <v>172</v>
      </c>
      <c r="C92" s="75"/>
      <c r="D92" s="75" t="s">
        <v>173</v>
      </c>
      <c r="E92" s="75"/>
      <c r="F92" s="75"/>
      <c r="G92" s="75"/>
      <c r="H92" s="132">
        <f>SUM(J92:AM92)</f>
        <v>0</v>
      </c>
      <c r="I92" s="75" t="s">
        <v>130</v>
      </c>
      <c r="J92" s="138">
        <f t="shared" ref="J92:N92" si="76">J89*J91</f>
        <v>0</v>
      </c>
      <c r="K92" s="138">
        <f t="shared" si="76"/>
        <v>0</v>
      </c>
      <c r="L92" s="138">
        <f t="shared" si="76"/>
        <v>0</v>
      </c>
      <c r="M92" s="138">
        <f t="shared" si="76"/>
        <v>0</v>
      </c>
      <c r="N92" s="138">
        <f t="shared" si="76"/>
        <v>0</v>
      </c>
      <c r="O92" s="138">
        <f>O89*O91</f>
        <v>0</v>
      </c>
      <c r="P92" s="138">
        <f t="shared" ref="P92:BS92" si="77">P89*P91</f>
        <v>0</v>
      </c>
      <c r="Q92" s="138">
        <f t="shared" si="77"/>
        <v>0</v>
      </c>
      <c r="R92" s="138">
        <f t="shared" si="77"/>
        <v>0</v>
      </c>
      <c r="S92" s="138">
        <f t="shared" si="77"/>
        <v>0</v>
      </c>
      <c r="T92" s="138">
        <f t="shared" si="77"/>
        <v>0</v>
      </c>
      <c r="U92" s="138">
        <f t="shared" si="77"/>
        <v>0</v>
      </c>
      <c r="V92" s="138">
        <f t="shared" si="77"/>
        <v>0</v>
      </c>
      <c r="W92" s="138">
        <f t="shared" si="77"/>
        <v>0</v>
      </c>
      <c r="X92" s="138">
        <f t="shared" si="77"/>
        <v>0</v>
      </c>
      <c r="Y92" s="138">
        <f t="shared" si="77"/>
        <v>0</v>
      </c>
      <c r="Z92" s="138">
        <f t="shared" si="77"/>
        <v>0</v>
      </c>
      <c r="AA92" s="138">
        <f t="shared" si="77"/>
        <v>0</v>
      </c>
      <c r="AB92" s="138">
        <f t="shared" si="77"/>
        <v>0</v>
      </c>
      <c r="AC92" s="138">
        <f t="shared" si="77"/>
        <v>0</v>
      </c>
      <c r="AD92" s="138">
        <f t="shared" si="77"/>
        <v>0</v>
      </c>
      <c r="AE92" s="138">
        <f t="shared" si="77"/>
        <v>0</v>
      </c>
      <c r="AF92" s="138">
        <f t="shared" si="77"/>
        <v>0</v>
      </c>
      <c r="AG92" s="138">
        <f t="shared" si="77"/>
        <v>0</v>
      </c>
      <c r="AH92" s="138">
        <f t="shared" si="77"/>
        <v>0</v>
      </c>
      <c r="AI92" s="138">
        <f t="shared" si="77"/>
        <v>0</v>
      </c>
      <c r="AJ92" s="138">
        <f t="shared" si="77"/>
        <v>0</v>
      </c>
      <c r="AK92" s="138">
        <f t="shared" si="77"/>
        <v>0</v>
      </c>
      <c r="AL92" s="138">
        <f t="shared" si="77"/>
        <v>0</v>
      </c>
      <c r="AM92" s="138">
        <f t="shared" si="77"/>
        <v>0</v>
      </c>
      <c r="AN92" s="138">
        <f t="shared" si="77"/>
        <v>0</v>
      </c>
      <c r="AO92" s="138">
        <f t="shared" si="77"/>
        <v>0</v>
      </c>
      <c r="AP92" s="138">
        <f t="shared" si="77"/>
        <v>0</v>
      </c>
      <c r="AQ92" s="138">
        <f t="shared" si="77"/>
        <v>0</v>
      </c>
      <c r="AR92" s="138">
        <f t="shared" si="77"/>
        <v>0</v>
      </c>
      <c r="AS92" s="138">
        <f t="shared" si="77"/>
        <v>0</v>
      </c>
      <c r="AT92" s="138">
        <f t="shared" si="77"/>
        <v>0</v>
      </c>
      <c r="AU92" s="138">
        <f t="shared" si="77"/>
        <v>0</v>
      </c>
      <c r="AV92" s="138">
        <f t="shared" si="77"/>
        <v>0</v>
      </c>
      <c r="AW92" s="138">
        <f t="shared" si="77"/>
        <v>0</v>
      </c>
      <c r="AX92" s="138">
        <f t="shared" si="77"/>
        <v>0</v>
      </c>
      <c r="AY92" s="138">
        <f t="shared" si="77"/>
        <v>0</v>
      </c>
      <c r="AZ92" s="138">
        <f t="shared" si="77"/>
        <v>0</v>
      </c>
      <c r="BA92" s="138">
        <f t="shared" si="77"/>
        <v>0</v>
      </c>
      <c r="BB92" s="138">
        <f t="shared" si="77"/>
        <v>0</v>
      </c>
      <c r="BC92" s="138">
        <f t="shared" si="77"/>
        <v>0</v>
      </c>
      <c r="BD92" s="138">
        <f t="shared" si="77"/>
        <v>0</v>
      </c>
      <c r="BE92" s="138">
        <f t="shared" si="77"/>
        <v>0</v>
      </c>
      <c r="BF92" s="138">
        <f t="shared" si="77"/>
        <v>0</v>
      </c>
      <c r="BG92" s="138">
        <f t="shared" si="77"/>
        <v>0</v>
      </c>
      <c r="BH92" s="138">
        <f t="shared" si="77"/>
        <v>0</v>
      </c>
      <c r="BI92" s="138">
        <f t="shared" si="77"/>
        <v>0</v>
      </c>
      <c r="BJ92" s="138">
        <f t="shared" si="77"/>
        <v>0</v>
      </c>
      <c r="BK92" s="138">
        <f t="shared" si="77"/>
        <v>0</v>
      </c>
      <c r="BL92" s="138">
        <f t="shared" si="77"/>
        <v>0</v>
      </c>
      <c r="BM92" s="138">
        <f t="shared" si="77"/>
        <v>0</v>
      </c>
      <c r="BN92" s="138">
        <f t="shared" si="77"/>
        <v>0</v>
      </c>
      <c r="BO92" s="138">
        <f t="shared" si="77"/>
        <v>0</v>
      </c>
      <c r="BP92" s="138">
        <f t="shared" si="77"/>
        <v>0</v>
      </c>
      <c r="BQ92" s="138">
        <f t="shared" si="77"/>
        <v>0</v>
      </c>
      <c r="BR92" s="138">
        <f t="shared" si="77"/>
        <v>0</v>
      </c>
      <c r="BS92" s="138">
        <f t="shared" si="77"/>
        <v>0</v>
      </c>
      <c r="BT92" s="75"/>
      <c r="BU92" s="75"/>
      <c r="BV92" s="75"/>
    </row>
    <row r="93" spans="1:74">
      <c r="A93" s="75"/>
      <c r="B93" s="75" t="s">
        <v>174</v>
      </c>
      <c r="C93" s="75"/>
      <c r="D93" s="75" t="s">
        <v>175</v>
      </c>
      <c r="E93" s="75"/>
      <c r="F93" s="75"/>
      <c r="G93" s="75"/>
      <c r="H93" s="139">
        <f>SUM(J93:AM93)</f>
        <v>0</v>
      </c>
      <c r="I93" s="75" t="s">
        <v>130</v>
      </c>
      <c r="J93" s="138">
        <f t="shared" ref="J93:AO93" si="78">J92*J48</f>
        <v>0</v>
      </c>
      <c r="K93" s="138">
        <f t="shared" si="78"/>
        <v>0</v>
      </c>
      <c r="L93" s="138">
        <f t="shared" si="78"/>
        <v>0</v>
      </c>
      <c r="M93" s="138">
        <f t="shared" si="78"/>
        <v>0</v>
      </c>
      <c r="N93" s="138">
        <f t="shared" si="78"/>
        <v>0</v>
      </c>
      <c r="O93" s="138">
        <f t="shared" si="78"/>
        <v>0</v>
      </c>
      <c r="P93" s="138">
        <f t="shared" si="78"/>
        <v>0</v>
      </c>
      <c r="Q93" s="138">
        <f t="shared" si="78"/>
        <v>0</v>
      </c>
      <c r="R93" s="138">
        <f t="shared" si="78"/>
        <v>0</v>
      </c>
      <c r="S93" s="138">
        <f t="shared" si="78"/>
        <v>0</v>
      </c>
      <c r="T93" s="138">
        <f t="shared" si="78"/>
        <v>0</v>
      </c>
      <c r="U93" s="138">
        <f t="shared" si="78"/>
        <v>0</v>
      </c>
      <c r="V93" s="138">
        <f t="shared" si="78"/>
        <v>0</v>
      </c>
      <c r="W93" s="138">
        <f t="shared" si="78"/>
        <v>0</v>
      </c>
      <c r="X93" s="138">
        <f t="shared" si="78"/>
        <v>0</v>
      </c>
      <c r="Y93" s="138">
        <f t="shared" si="78"/>
        <v>0</v>
      </c>
      <c r="Z93" s="138">
        <f t="shared" si="78"/>
        <v>0</v>
      </c>
      <c r="AA93" s="138">
        <f t="shared" si="78"/>
        <v>0</v>
      </c>
      <c r="AB93" s="138">
        <f t="shared" si="78"/>
        <v>0</v>
      </c>
      <c r="AC93" s="138">
        <f t="shared" si="78"/>
        <v>0</v>
      </c>
      <c r="AD93" s="138">
        <f t="shared" si="78"/>
        <v>0</v>
      </c>
      <c r="AE93" s="138">
        <f t="shared" si="78"/>
        <v>0</v>
      </c>
      <c r="AF93" s="138">
        <f t="shared" si="78"/>
        <v>0</v>
      </c>
      <c r="AG93" s="138">
        <f t="shared" si="78"/>
        <v>0</v>
      </c>
      <c r="AH93" s="138">
        <f t="shared" si="78"/>
        <v>0</v>
      </c>
      <c r="AI93" s="138">
        <f t="shared" si="78"/>
        <v>0</v>
      </c>
      <c r="AJ93" s="138">
        <f t="shared" si="78"/>
        <v>0</v>
      </c>
      <c r="AK93" s="138">
        <f t="shared" si="78"/>
        <v>0</v>
      </c>
      <c r="AL93" s="138">
        <f t="shared" si="78"/>
        <v>0</v>
      </c>
      <c r="AM93" s="138">
        <f t="shared" si="78"/>
        <v>0</v>
      </c>
      <c r="AN93" s="138">
        <f t="shared" si="78"/>
        <v>0</v>
      </c>
      <c r="AO93" s="138">
        <f t="shared" si="78"/>
        <v>0</v>
      </c>
      <c r="AP93" s="138">
        <f t="shared" ref="AP93:BS93" si="79">AP92*AP48</f>
        <v>0</v>
      </c>
      <c r="AQ93" s="138">
        <f t="shared" si="79"/>
        <v>0</v>
      </c>
      <c r="AR93" s="138">
        <f t="shared" si="79"/>
        <v>0</v>
      </c>
      <c r="AS93" s="138">
        <f t="shared" si="79"/>
        <v>0</v>
      </c>
      <c r="AT93" s="138">
        <f t="shared" si="79"/>
        <v>0</v>
      </c>
      <c r="AU93" s="138">
        <f t="shared" si="79"/>
        <v>0</v>
      </c>
      <c r="AV93" s="138">
        <f t="shared" si="79"/>
        <v>0</v>
      </c>
      <c r="AW93" s="138">
        <f t="shared" si="79"/>
        <v>0</v>
      </c>
      <c r="AX93" s="138">
        <f t="shared" si="79"/>
        <v>0</v>
      </c>
      <c r="AY93" s="138">
        <f t="shared" si="79"/>
        <v>0</v>
      </c>
      <c r="AZ93" s="138">
        <f t="shared" si="79"/>
        <v>0</v>
      </c>
      <c r="BA93" s="138">
        <f t="shared" si="79"/>
        <v>0</v>
      </c>
      <c r="BB93" s="138">
        <f t="shared" si="79"/>
        <v>0</v>
      </c>
      <c r="BC93" s="138">
        <f t="shared" si="79"/>
        <v>0</v>
      </c>
      <c r="BD93" s="138">
        <f t="shared" si="79"/>
        <v>0</v>
      </c>
      <c r="BE93" s="138">
        <f t="shared" si="79"/>
        <v>0</v>
      </c>
      <c r="BF93" s="138">
        <f t="shared" si="79"/>
        <v>0</v>
      </c>
      <c r="BG93" s="138">
        <f t="shared" si="79"/>
        <v>0</v>
      </c>
      <c r="BH93" s="138">
        <f t="shared" si="79"/>
        <v>0</v>
      </c>
      <c r="BI93" s="138">
        <f t="shared" si="79"/>
        <v>0</v>
      </c>
      <c r="BJ93" s="138">
        <f t="shared" si="79"/>
        <v>0</v>
      </c>
      <c r="BK93" s="138">
        <f t="shared" si="79"/>
        <v>0</v>
      </c>
      <c r="BL93" s="138">
        <f t="shared" si="79"/>
        <v>0</v>
      </c>
      <c r="BM93" s="138">
        <f t="shared" si="79"/>
        <v>0</v>
      </c>
      <c r="BN93" s="138">
        <f t="shared" si="79"/>
        <v>0</v>
      </c>
      <c r="BO93" s="138">
        <f t="shared" si="79"/>
        <v>0</v>
      </c>
      <c r="BP93" s="138">
        <f t="shared" si="79"/>
        <v>0</v>
      </c>
      <c r="BQ93" s="138">
        <f t="shared" si="79"/>
        <v>0</v>
      </c>
      <c r="BR93" s="138">
        <f t="shared" si="79"/>
        <v>0</v>
      </c>
      <c r="BS93" s="138">
        <f t="shared" si="79"/>
        <v>0</v>
      </c>
      <c r="BT93" s="75"/>
      <c r="BU93" s="75"/>
      <c r="BV93" s="75"/>
    </row>
    <row r="94" spans="1:74" ht="15.95" thickBot="1">
      <c r="A94" s="75"/>
      <c r="B94" s="75"/>
      <c r="C94" s="75"/>
      <c r="D94" s="75"/>
      <c r="E94" s="75"/>
      <c r="F94" s="140"/>
      <c r="G94" s="140"/>
      <c r="H94" s="101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  <c r="AC94" s="75"/>
      <c r="AD94" s="75"/>
      <c r="AE94" s="75"/>
      <c r="AF94" s="75"/>
      <c r="AG94" s="75"/>
      <c r="AH94" s="75"/>
      <c r="AI94" s="75"/>
      <c r="AJ94" s="75"/>
      <c r="AK94" s="75"/>
      <c r="AL94" s="75"/>
      <c r="AM94" s="75"/>
      <c r="AN94" s="75"/>
      <c r="AO94" s="75"/>
      <c r="AP94" s="75"/>
      <c r="AQ94" s="75"/>
      <c r="AR94" s="75"/>
      <c r="AS94" s="75"/>
      <c r="AT94" s="75"/>
      <c r="AU94" s="75"/>
      <c r="AV94" s="75"/>
      <c r="AW94" s="75"/>
      <c r="AX94" s="75"/>
      <c r="AY94" s="75"/>
      <c r="AZ94" s="75"/>
      <c r="BA94" s="75"/>
      <c r="BB94" s="75"/>
      <c r="BC94" s="75"/>
      <c r="BD94" s="75"/>
      <c r="BE94" s="75"/>
      <c r="BF94" s="75"/>
      <c r="BG94" s="75"/>
      <c r="BH94" s="75"/>
      <c r="BI94" s="75"/>
      <c r="BJ94" s="75"/>
      <c r="BK94" s="75"/>
      <c r="BL94" s="75"/>
      <c r="BM94" s="75"/>
      <c r="BN94" s="75"/>
      <c r="BO94" s="75"/>
      <c r="BP94" s="75"/>
      <c r="BQ94" s="75"/>
      <c r="BR94" s="75"/>
      <c r="BS94" s="75"/>
      <c r="BT94" s="75"/>
      <c r="BU94" s="75"/>
      <c r="BV94" s="75"/>
    </row>
    <row r="95" spans="1:74" ht="15.95" thickBot="1">
      <c r="A95" s="75"/>
      <c r="B95" s="82" t="s">
        <v>109</v>
      </c>
      <c r="C95" s="82"/>
      <c r="D95" s="82"/>
      <c r="E95" s="82"/>
      <c r="F95" s="82"/>
      <c r="G95" s="82"/>
      <c r="H95" s="141">
        <f>H101/H54</f>
        <v>0</v>
      </c>
      <c r="I95" s="82" t="s">
        <v>126</v>
      </c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  <c r="AH95" s="82"/>
      <c r="AI95" s="82"/>
      <c r="AJ95" s="82"/>
      <c r="AK95" s="82"/>
      <c r="AL95" s="82"/>
      <c r="AM95" s="82"/>
      <c r="AN95" s="82"/>
      <c r="AO95" s="82"/>
      <c r="AP95" s="82"/>
      <c r="AQ95" s="82"/>
      <c r="AR95" s="82"/>
      <c r="AS95" s="82"/>
      <c r="AT95" s="82"/>
      <c r="AU95" s="82"/>
      <c r="AV95" s="82"/>
      <c r="AW95" s="82"/>
      <c r="AX95" s="82"/>
      <c r="AY95" s="82"/>
      <c r="AZ95" s="82"/>
      <c r="BA95" s="82"/>
      <c r="BB95" s="82"/>
      <c r="BC95" s="82"/>
      <c r="BD95" s="82"/>
      <c r="BE95" s="82"/>
      <c r="BF95" s="82"/>
      <c r="BG95" s="82"/>
      <c r="BH95" s="82"/>
      <c r="BI95" s="82"/>
      <c r="BJ95" s="82"/>
      <c r="BK95" s="82"/>
      <c r="BL95" s="82"/>
      <c r="BM95" s="82"/>
      <c r="BN95" s="82"/>
      <c r="BO95" s="82"/>
      <c r="BP95" s="82"/>
      <c r="BQ95" s="82"/>
      <c r="BR95" s="82"/>
      <c r="BS95" s="82"/>
      <c r="BT95" s="75"/>
      <c r="BU95" s="75"/>
      <c r="BV95" s="75"/>
    </row>
    <row r="96" spans="1:74">
      <c r="A96" s="75"/>
      <c r="B96" s="121" t="s">
        <v>176</v>
      </c>
      <c r="C96" s="109"/>
      <c r="D96" s="109"/>
      <c r="E96" s="109"/>
      <c r="F96" s="109"/>
      <c r="G96" s="84"/>
      <c r="H96" s="132">
        <f>SUM(J96:BS96)</f>
        <v>0</v>
      </c>
      <c r="I96" s="75" t="s">
        <v>126</v>
      </c>
      <c r="J96" s="138">
        <v>0</v>
      </c>
      <c r="K96" s="138">
        <v>0</v>
      </c>
      <c r="L96" s="138">
        <v>0</v>
      </c>
      <c r="M96" s="138">
        <v>0</v>
      </c>
      <c r="N96" s="138">
        <v>0</v>
      </c>
      <c r="O96" s="138">
        <v>0</v>
      </c>
      <c r="P96" s="138">
        <v>0</v>
      </c>
      <c r="Q96" s="138">
        <v>0</v>
      </c>
      <c r="R96" s="138">
        <v>0</v>
      </c>
      <c r="S96" s="138">
        <v>0</v>
      </c>
      <c r="T96" s="138">
        <v>0</v>
      </c>
      <c r="U96" s="138">
        <v>0</v>
      </c>
      <c r="V96" s="138">
        <v>0</v>
      </c>
      <c r="W96" s="138">
        <v>0</v>
      </c>
      <c r="X96" s="138">
        <v>0</v>
      </c>
      <c r="Y96" s="138">
        <v>0</v>
      </c>
      <c r="Z96" s="138">
        <v>0</v>
      </c>
      <c r="AA96" s="138">
        <v>0</v>
      </c>
      <c r="AB96" s="138">
        <v>0</v>
      </c>
      <c r="AC96" s="138">
        <v>0</v>
      </c>
      <c r="AD96" s="138">
        <v>0</v>
      </c>
      <c r="AE96" s="138">
        <v>0</v>
      </c>
      <c r="AF96" s="138">
        <v>0</v>
      </c>
      <c r="AG96" s="138">
        <v>0</v>
      </c>
      <c r="AH96" s="138">
        <v>0</v>
      </c>
      <c r="AI96" s="138">
        <v>0</v>
      </c>
      <c r="AJ96" s="138">
        <v>0</v>
      </c>
      <c r="AK96" s="138">
        <v>0</v>
      </c>
      <c r="AL96" s="138">
        <v>0</v>
      </c>
      <c r="AM96" s="138">
        <v>0</v>
      </c>
      <c r="AN96" s="138">
        <v>0</v>
      </c>
      <c r="AO96" s="138">
        <v>0</v>
      </c>
      <c r="AP96" s="138">
        <v>0</v>
      </c>
      <c r="AQ96" s="138">
        <v>0</v>
      </c>
      <c r="AR96" s="138">
        <v>0</v>
      </c>
      <c r="AS96" s="138">
        <v>0</v>
      </c>
      <c r="AT96" s="138">
        <v>0</v>
      </c>
      <c r="AU96" s="138">
        <v>0</v>
      </c>
      <c r="AV96" s="138">
        <v>0</v>
      </c>
      <c r="AW96" s="138">
        <v>0</v>
      </c>
      <c r="AX96" s="138">
        <v>0</v>
      </c>
      <c r="AY96" s="138">
        <v>0</v>
      </c>
      <c r="AZ96" s="138">
        <v>0</v>
      </c>
      <c r="BA96" s="138">
        <v>0</v>
      </c>
      <c r="BB96" s="138">
        <v>0</v>
      </c>
      <c r="BC96" s="138">
        <v>0</v>
      </c>
      <c r="BD96" s="138">
        <v>0</v>
      </c>
      <c r="BE96" s="138">
        <v>0</v>
      </c>
      <c r="BF96" s="138">
        <v>0</v>
      </c>
      <c r="BG96" s="138">
        <v>0</v>
      </c>
      <c r="BH96" s="138">
        <v>0</v>
      </c>
      <c r="BI96" s="138">
        <v>0</v>
      </c>
      <c r="BJ96" s="138">
        <v>0</v>
      </c>
      <c r="BK96" s="138">
        <v>0</v>
      </c>
      <c r="BL96" s="138">
        <v>0</v>
      </c>
      <c r="BM96" s="138">
        <v>0</v>
      </c>
      <c r="BN96" s="138">
        <v>0</v>
      </c>
      <c r="BO96" s="138">
        <v>0</v>
      </c>
      <c r="BP96" s="138">
        <v>0</v>
      </c>
      <c r="BQ96" s="138">
        <v>0</v>
      </c>
      <c r="BR96" s="138">
        <v>0</v>
      </c>
      <c r="BS96" s="138">
        <v>0</v>
      </c>
      <c r="BT96" s="75"/>
      <c r="BU96" s="75"/>
      <c r="BV96" s="75"/>
    </row>
    <row r="97" spans="1:74">
      <c r="A97" s="75"/>
      <c r="B97" s="121" t="s">
        <v>177</v>
      </c>
      <c r="C97" s="109"/>
      <c r="D97" s="75" t="s">
        <v>178</v>
      </c>
      <c r="E97" s="109"/>
      <c r="F97" s="109"/>
      <c r="G97" s="109"/>
      <c r="H97" s="132">
        <f>SUM(J97:BS97)</f>
        <v>0</v>
      </c>
      <c r="I97" s="75" t="s">
        <v>130</v>
      </c>
      <c r="J97" s="138">
        <f>J96*J53</f>
        <v>0</v>
      </c>
      <c r="K97" s="138">
        <f t="shared" ref="K97:BS97" si="80">K96*K53</f>
        <v>0</v>
      </c>
      <c r="L97" s="138">
        <f t="shared" si="80"/>
        <v>0</v>
      </c>
      <c r="M97" s="138">
        <f t="shared" si="80"/>
        <v>0</v>
      </c>
      <c r="N97" s="138">
        <f t="shared" si="80"/>
        <v>0</v>
      </c>
      <c r="O97" s="138">
        <f t="shared" si="80"/>
        <v>0</v>
      </c>
      <c r="P97" s="138">
        <f t="shared" si="80"/>
        <v>0</v>
      </c>
      <c r="Q97" s="138">
        <f t="shared" si="80"/>
        <v>0</v>
      </c>
      <c r="R97" s="138">
        <f t="shared" si="80"/>
        <v>0</v>
      </c>
      <c r="S97" s="138">
        <f t="shared" si="80"/>
        <v>0</v>
      </c>
      <c r="T97" s="138">
        <f t="shared" si="80"/>
        <v>0</v>
      </c>
      <c r="U97" s="138">
        <f t="shared" si="80"/>
        <v>0</v>
      </c>
      <c r="V97" s="138">
        <f t="shared" si="80"/>
        <v>0</v>
      </c>
      <c r="W97" s="138">
        <f t="shared" si="80"/>
        <v>0</v>
      </c>
      <c r="X97" s="138">
        <f t="shared" si="80"/>
        <v>0</v>
      </c>
      <c r="Y97" s="138">
        <f t="shared" si="80"/>
        <v>0</v>
      </c>
      <c r="Z97" s="138">
        <f t="shared" si="80"/>
        <v>0</v>
      </c>
      <c r="AA97" s="138">
        <f t="shared" si="80"/>
        <v>0</v>
      </c>
      <c r="AB97" s="138">
        <f t="shared" si="80"/>
        <v>0</v>
      </c>
      <c r="AC97" s="138">
        <f t="shared" si="80"/>
        <v>0</v>
      </c>
      <c r="AD97" s="138">
        <f t="shared" si="80"/>
        <v>0</v>
      </c>
      <c r="AE97" s="138">
        <f t="shared" si="80"/>
        <v>0</v>
      </c>
      <c r="AF97" s="138">
        <f t="shared" si="80"/>
        <v>0</v>
      </c>
      <c r="AG97" s="138">
        <f t="shared" si="80"/>
        <v>0</v>
      </c>
      <c r="AH97" s="138">
        <f t="shared" si="80"/>
        <v>0</v>
      </c>
      <c r="AI97" s="138">
        <f t="shared" si="80"/>
        <v>0</v>
      </c>
      <c r="AJ97" s="138">
        <f t="shared" si="80"/>
        <v>0</v>
      </c>
      <c r="AK97" s="138">
        <f t="shared" si="80"/>
        <v>0</v>
      </c>
      <c r="AL97" s="138">
        <f t="shared" si="80"/>
        <v>0</v>
      </c>
      <c r="AM97" s="138">
        <f t="shared" si="80"/>
        <v>0</v>
      </c>
      <c r="AN97" s="138">
        <f t="shared" si="80"/>
        <v>0</v>
      </c>
      <c r="AO97" s="138">
        <f t="shared" si="80"/>
        <v>0</v>
      </c>
      <c r="AP97" s="138">
        <f t="shared" si="80"/>
        <v>0</v>
      </c>
      <c r="AQ97" s="138">
        <f t="shared" si="80"/>
        <v>0</v>
      </c>
      <c r="AR97" s="138">
        <f t="shared" si="80"/>
        <v>0</v>
      </c>
      <c r="AS97" s="138">
        <f t="shared" si="80"/>
        <v>0</v>
      </c>
      <c r="AT97" s="138">
        <f t="shared" si="80"/>
        <v>0</v>
      </c>
      <c r="AU97" s="138">
        <f t="shared" si="80"/>
        <v>0</v>
      </c>
      <c r="AV97" s="138">
        <f t="shared" si="80"/>
        <v>0</v>
      </c>
      <c r="AW97" s="138">
        <f t="shared" si="80"/>
        <v>0</v>
      </c>
      <c r="AX97" s="138">
        <f t="shared" si="80"/>
        <v>0</v>
      </c>
      <c r="AY97" s="138">
        <f t="shared" si="80"/>
        <v>0</v>
      </c>
      <c r="AZ97" s="138">
        <f t="shared" si="80"/>
        <v>0</v>
      </c>
      <c r="BA97" s="138">
        <f t="shared" si="80"/>
        <v>0</v>
      </c>
      <c r="BB97" s="138">
        <f t="shared" si="80"/>
        <v>0</v>
      </c>
      <c r="BC97" s="138">
        <f t="shared" si="80"/>
        <v>0</v>
      </c>
      <c r="BD97" s="138">
        <f t="shared" si="80"/>
        <v>0</v>
      </c>
      <c r="BE97" s="138">
        <f t="shared" si="80"/>
        <v>0</v>
      </c>
      <c r="BF97" s="138">
        <f t="shared" si="80"/>
        <v>0</v>
      </c>
      <c r="BG97" s="138">
        <f t="shared" si="80"/>
        <v>0</v>
      </c>
      <c r="BH97" s="138">
        <f t="shared" si="80"/>
        <v>0</v>
      </c>
      <c r="BI97" s="138">
        <f t="shared" si="80"/>
        <v>0</v>
      </c>
      <c r="BJ97" s="138">
        <f t="shared" si="80"/>
        <v>0</v>
      </c>
      <c r="BK97" s="138">
        <f t="shared" si="80"/>
        <v>0</v>
      </c>
      <c r="BL97" s="138">
        <f t="shared" si="80"/>
        <v>0</v>
      </c>
      <c r="BM97" s="138">
        <f t="shared" si="80"/>
        <v>0</v>
      </c>
      <c r="BN97" s="138">
        <f t="shared" si="80"/>
        <v>0</v>
      </c>
      <c r="BO97" s="138">
        <f t="shared" si="80"/>
        <v>0</v>
      </c>
      <c r="BP97" s="138">
        <f t="shared" si="80"/>
        <v>0</v>
      </c>
      <c r="BQ97" s="138">
        <f t="shared" si="80"/>
        <v>0</v>
      </c>
      <c r="BR97" s="138">
        <f t="shared" si="80"/>
        <v>0</v>
      </c>
      <c r="BS97" s="138">
        <f t="shared" si="80"/>
        <v>0</v>
      </c>
      <c r="BT97" s="75"/>
      <c r="BU97" s="75"/>
      <c r="BV97" s="75"/>
    </row>
    <row r="98" spans="1:74">
      <c r="A98" s="75"/>
      <c r="B98" s="121" t="s">
        <v>179</v>
      </c>
      <c r="C98" s="109"/>
      <c r="D98" s="109"/>
      <c r="E98" s="109"/>
      <c r="F98" s="109"/>
      <c r="G98" s="109"/>
      <c r="H98" s="142">
        <f>_xlfn.XLOOKUP(C14,N16:N18,O16:O18)</f>
        <v>0</v>
      </c>
      <c r="I98" s="75" t="s">
        <v>119</v>
      </c>
      <c r="J98" s="99">
        <f>H98/100</f>
        <v>0</v>
      </c>
      <c r="K98" s="99">
        <f>J98</f>
        <v>0</v>
      </c>
      <c r="L98" s="99">
        <f t="shared" ref="L98:BS98" si="81">K98</f>
        <v>0</v>
      </c>
      <c r="M98" s="99">
        <f t="shared" si="81"/>
        <v>0</v>
      </c>
      <c r="N98" s="99">
        <f t="shared" si="81"/>
        <v>0</v>
      </c>
      <c r="O98" s="99">
        <f t="shared" si="81"/>
        <v>0</v>
      </c>
      <c r="P98" s="99">
        <f t="shared" si="81"/>
        <v>0</v>
      </c>
      <c r="Q98" s="99">
        <f t="shared" si="81"/>
        <v>0</v>
      </c>
      <c r="R98" s="99">
        <f t="shared" si="81"/>
        <v>0</v>
      </c>
      <c r="S98" s="99">
        <f t="shared" si="81"/>
        <v>0</v>
      </c>
      <c r="T98" s="99">
        <f t="shared" si="81"/>
        <v>0</v>
      </c>
      <c r="U98" s="99">
        <f t="shared" si="81"/>
        <v>0</v>
      </c>
      <c r="V98" s="99">
        <f t="shared" si="81"/>
        <v>0</v>
      </c>
      <c r="W98" s="99">
        <f t="shared" si="81"/>
        <v>0</v>
      </c>
      <c r="X98" s="99">
        <f t="shared" si="81"/>
        <v>0</v>
      </c>
      <c r="Y98" s="99">
        <f t="shared" si="81"/>
        <v>0</v>
      </c>
      <c r="Z98" s="99">
        <f t="shared" si="81"/>
        <v>0</v>
      </c>
      <c r="AA98" s="99">
        <f t="shared" si="81"/>
        <v>0</v>
      </c>
      <c r="AB98" s="99">
        <f t="shared" si="81"/>
        <v>0</v>
      </c>
      <c r="AC98" s="99">
        <f t="shared" si="81"/>
        <v>0</v>
      </c>
      <c r="AD98" s="99">
        <f t="shared" si="81"/>
        <v>0</v>
      </c>
      <c r="AE98" s="99">
        <f t="shared" si="81"/>
        <v>0</v>
      </c>
      <c r="AF98" s="99">
        <f t="shared" si="81"/>
        <v>0</v>
      </c>
      <c r="AG98" s="99">
        <f t="shared" si="81"/>
        <v>0</v>
      </c>
      <c r="AH98" s="99">
        <f t="shared" si="81"/>
        <v>0</v>
      </c>
      <c r="AI98" s="99">
        <f t="shared" si="81"/>
        <v>0</v>
      </c>
      <c r="AJ98" s="99">
        <f t="shared" si="81"/>
        <v>0</v>
      </c>
      <c r="AK98" s="99">
        <f t="shared" si="81"/>
        <v>0</v>
      </c>
      <c r="AL98" s="99">
        <f t="shared" si="81"/>
        <v>0</v>
      </c>
      <c r="AM98" s="99">
        <f t="shared" si="81"/>
        <v>0</v>
      </c>
      <c r="AN98" s="99">
        <f t="shared" si="81"/>
        <v>0</v>
      </c>
      <c r="AO98" s="99">
        <f t="shared" si="81"/>
        <v>0</v>
      </c>
      <c r="AP98" s="99">
        <f t="shared" si="81"/>
        <v>0</v>
      </c>
      <c r="AQ98" s="99">
        <f t="shared" si="81"/>
        <v>0</v>
      </c>
      <c r="AR98" s="99">
        <f t="shared" si="81"/>
        <v>0</v>
      </c>
      <c r="AS98" s="99">
        <f t="shared" si="81"/>
        <v>0</v>
      </c>
      <c r="AT98" s="99">
        <f t="shared" si="81"/>
        <v>0</v>
      </c>
      <c r="AU98" s="99">
        <f t="shared" si="81"/>
        <v>0</v>
      </c>
      <c r="AV98" s="99">
        <f t="shared" si="81"/>
        <v>0</v>
      </c>
      <c r="AW98" s="99">
        <f t="shared" si="81"/>
        <v>0</v>
      </c>
      <c r="AX98" s="99">
        <f t="shared" si="81"/>
        <v>0</v>
      </c>
      <c r="AY98" s="99">
        <f t="shared" si="81"/>
        <v>0</v>
      </c>
      <c r="AZ98" s="99">
        <f t="shared" si="81"/>
        <v>0</v>
      </c>
      <c r="BA98" s="99">
        <f t="shared" si="81"/>
        <v>0</v>
      </c>
      <c r="BB98" s="99">
        <f t="shared" si="81"/>
        <v>0</v>
      </c>
      <c r="BC98" s="99">
        <f t="shared" si="81"/>
        <v>0</v>
      </c>
      <c r="BD98" s="99">
        <f t="shared" si="81"/>
        <v>0</v>
      </c>
      <c r="BE98" s="99">
        <f t="shared" si="81"/>
        <v>0</v>
      </c>
      <c r="BF98" s="99">
        <f t="shared" si="81"/>
        <v>0</v>
      </c>
      <c r="BG98" s="99">
        <f t="shared" si="81"/>
        <v>0</v>
      </c>
      <c r="BH98" s="99">
        <f t="shared" si="81"/>
        <v>0</v>
      </c>
      <c r="BI98" s="99">
        <f t="shared" si="81"/>
        <v>0</v>
      </c>
      <c r="BJ98" s="99">
        <f t="shared" si="81"/>
        <v>0</v>
      </c>
      <c r="BK98" s="99">
        <f t="shared" si="81"/>
        <v>0</v>
      </c>
      <c r="BL98" s="99">
        <f t="shared" si="81"/>
        <v>0</v>
      </c>
      <c r="BM98" s="99">
        <f t="shared" si="81"/>
        <v>0</v>
      </c>
      <c r="BN98" s="99">
        <f t="shared" si="81"/>
        <v>0</v>
      </c>
      <c r="BO98" s="99">
        <f t="shared" si="81"/>
        <v>0</v>
      </c>
      <c r="BP98" s="99">
        <f t="shared" si="81"/>
        <v>0</v>
      </c>
      <c r="BQ98" s="99">
        <f t="shared" si="81"/>
        <v>0</v>
      </c>
      <c r="BR98" s="99">
        <f t="shared" si="81"/>
        <v>0</v>
      </c>
      <c r="BS98" s="99">
        <f t="shared" si="81"/>
        <v>0</v>
      </c>
      <c r="BT98" s="75"/>
      <c r="BU98" s="75"/>
      <c r="BV98" s="75"/>
    </row>
    <row r="99" spans="1:74">
      <c r="A99" s="75"/>
      <c r="B99" s="75" t="s">
        <v>180</v>
      </c>
      <c r="C99" s="75"/>
      <c r="D99" s="75" t="str">
        <f>_xlfn.CONCAT(H98," % rakentamisen ja infrastruktuurin kustannuksista")</f>
        <v>0 % rakentamisen ja infrastruktuurin kustannuksista</v>
      </c>
      <c r="E99" s="75"/>
      <c r="F99" s="75"/>
      <c r="G99" s="75"/>
      <c r="H99" s="132">
        <f>SUM(J99:BS99)</f>
        <v>0</v>
      </c>
      <c r="I99" s="75" t="s">
        <v>130</v>
      </c>
      <c r="J99" s="138">
        <f>IF((J46+$O19)=$C23,(($H68+$H69)*J98),0)</f>
        <v>0</v>
      </c>
      <c r="K99" s="138">
        <f>IF((K46+$O19)=$C23,(($H68+$H69)*K98),0)</f>
        <v>0</v>
      </c>
      <c r="L99" s="138">
        <f>IF((L46+$O19)=$C23,(($H68+$H69)*L98),0)</f>
        <v>0</v>
      </c>
      <c r="M99" s="138">
        <f>IF((M46+$O19)=$C23,(($H68+$H69)*M98),0)</f>
        <v>0</v>
      </c>
      <c r="N99" s="138">
        <f>IF((N46+$O19)=$C23,(($H68+$H69)*N98),0)</f>
        <v>0</v>
      </c>
      <c r="O99" s="138">
        <f>IF((O46+$O19)=$C23,(($H68+$H69)*O98),0)</f>
        <v>0</v>
      </c>
      <c r="P99" s="138">
        <f>IF((P46+$O19)=$C23,(($H68+$H69)*P98),0)</f>
        <v>0</v>
      </c>
      <c r="Q99" s="138">
        <f>IF((Q46+$O19)=$C23,(($H68+$H69)*Q98),0)</f>
        <v>0</v>
      </c>
      <c r="R99" s="138">
        <f>IF((R46+$O19)=$C23,(($H68+$H69)*R98),0)</f>
        <v>0</v>
      </c>
      <c r="S99" s="138">
        <f>IF((S46+$O19)=$C23,(($H68+$H69)*S98),0)</f>
        <v>0</v>
      </c>
      <c r="T99" s="138">
        <f>IF((T46+$O19)=$C23,(($H68+$H69)*T98),0)</f>
        <v>0</v>
      </c>
      <c r="U99" s="138">
        <f>IF((U46+$O19)=$C23,(($H68+$H69)*U98),0)</f>
        <v>0</v>
      </c>
      <c r="V99" s="138">
        <f>IF((V46+$O19)=$C23,(($H68+$H69)*V98),0)</f>
        <v>0</v>
      </c>
      <c r="W99" s="138">
        <f>IF((W46+$O19)=$C23,(($H68+$H69)*W98),0)</f>
        <v>0</v>
      </c>
      <c r="X99" s="138">
        <f>IF((X46+$O19)=$C23,(($H68+$H69)*X98),0)</f>
        <v>0</v>
      </c>
      <c r="Y99" s="138">
        <f>IF((Y46+$O19)=$C23,(($H68+$H69)*Y98),0)</f>
        <v>0</v>
      </c>
      <c r="Z99" s="138">
        <f>IF((Z46+$O19)=$C23,(($H68+$H69)*Z98),0)</f>
        <v>0</v>
      </c>
      <c r="AA99" s="138">
        <f>IF((AA46+$O19)=$C23,(($H68+$H69)*AA98),0)</f>
        <v>0</v>
      </c>
      <c r="AB99" s="138">
        <f>IF((AB46+$O19)=$C23,(($H68+$H69)*AB98),0)</f>
        <v>0</v>
      </c>
      <c r="AC99" s="138">
        <f>IF((AC46+$O19)=$C23,(($H68+$H69)*AC98),0)</f>
        <v>0</v>
      </c>
      <c r="AD99" s="138">
        <f>IF((AD46+$O19)=$C23,(($H68+$H69)*AD98),0)</f>
        <v>0</v>
      </c>
      <c r="AE99" s="138">
        <f>IF((AE46+$O19)=$C23,(($H68+$H69)*AE98),0)</f>
        <v>0</v>
      </c>
      <c r="AF99" s="138">
        <f>IF((AF46+$O19)=$C23,(($H68+$H69)*AF98),0)</f>
        <v>0</v>
      </c>
      <c r="AG99" s="138">
        <f>IF((AG46+$O19)=$C23,(($H68+$H69)*AG98),0)</f>
        <v>0</v>
      </c>
      <c r="AH99" s="138">
        <f>IF((AH46+$O19)=$C23,(($H68+$H69)*AH98),0)</f>
        <v>0</v>
      </c>
      <c r="AI99" s="138">
        <f>IF((AI46+$O19)=$C23,(($H68+$H69)*AI98),0)</f>
        <v>0</v>
      </c>
      <c r="AJ99" s="138">
        <f>IF((AJ46+$O19)=$C23,(($H68+$H69)*AJ98),0)</f>
        <v>0</v>
      </c>
      <c r="AK99" s="138">
        <f>IF((AK46+$O19)=$C23,(($H68+$H69)*AK98),0)</f>
        <v>0</v>
      </c>
      <c r="AL99" s="138">
        <f>IF((AL46+$O19)=$C23,(($H68+$H69)*AL98),0)</f>
        <v>0</v>
      </c>
      <c r="AM99" s="138">
        <f>IF((AM46+$O19)=$C23,(($H68+$H69)*AM98),0)</f>
        <v>0</v>
      </c>
      <c r="AN99" s="138">
        <f>IF((AN46+$O19)=$C23,(($H68+$H69)*AN98),0)</f>
        <v>0</v>
      </c>
      <c r="AO99" s="138">
        <f>IF((AO46+$O19)=$C23,(($H68+$H69)*AO98),0)</f>
        <v>0</v>
      </c>
      <c r="AP99" s="138">
        <f>IF((AP46+$O19)=$C23,(($H68+$H69)*AP98),0)</f>
        <v>0</v>
      </c>
      <c r="AQ99" s="138">
        <f>IF((AQ46+$O19)=$C23,(($H68+$H69)*AQ98),0)</f>
        <v>0</v>
      </c>
      <c r="AR99" s="138">
        <f>IF((AR46+$O19)=$C23,(($H68+$H69)*AR98),0)</f>
        <v>0</v>
      </c>
      <c r="AS99" s="138">
        <f>IF((AS46+$O19)=$C23,(($H68+$H69)*AS98),0)</f>
        <v>0</v>
      </c>
      <c r="AT99" s="138">
        <f>IF((AT46+$O19)=$C23,(($H68+$H69)*AT98),0)</f>
        <v>0</v>
      </c>
      <c r="AU99" s="138">
        <f>IF((AU46+$O19)=$C23,(($H68+$H69)*AU98),0)</f>
        <v>0</v>
      </c>
      <c r="AV99" s="138">
        <f>IF((AV46+$O19)=$C23,(($H68+$H69)*AV98),0)</f>
        <v>0</v>
      </c>
      <c r="AW99" s="138">
        <f>IF((AW46+$O19)=$C23,(($H68+$H69)*AW98),0)</f>
        <v>0</v>
      </c>
      <c r="AX99" s="138">
        <f>IF((AX46+$O19)=$C23,(($H68+$H69)*AX98),0)</f>
        <v>0</v>
      </c>
      <c r="AY99" s="138">
        <f>IF((AY46+$O19)=$C23,(($H68+$H69)*AY98),0)</f>
        <v>0</v>
      </c>
      <c r="AZ99" s="138">
        <f>IF((AZ46+$O19)=$C23,(($H68+$H69)*AZ98),0)</f>
        <v>0</v>
      </c>
      <c r="BA99" s="138">
        <f>IF((BA46+$O19)=$C23,(($H68+$H69)*BA98),0)</f>
        <v>0</v>
      </c>
      <c r="BB99" s="138">
        <f>IF((BB46+$O19)=$C23,(($H68+$H69)*BB98),0)</f>
        <v>0</v>
      </c>
      <c r="BC99" s="138">
        <f>IF((BC46+$O19)=$C23,(($H68+$H69)*BC98),0)</f>
        <v>0</v>
      </c>
      <c r="BD99" s="138">
        <f>IF((BD46+$O19)=$C23,(($H68+$H69)*BD98),0)</f>
        <v>0</v>
      </c>
      <c r="BE99" s="138">
        <f>IF((BE46+$O19)=$C23,(($H68+$H69)*BE98),0)</f>
        <v>0</v>
      </c>
      <c r="BF99" s="138">
        <f>IF((BF46+$O19)=$C23,(($H68+$H69)*BF98),0)</f>
        <v>0</v>
      </c>
      <c r="BG99" s="138">
        <f>IF((BG46+$O19)=$C23,(($H68+$H69)*BG98),0)</f>
        <v>0</v>
      </c>
      <c r="BH99" s="138">
        <f>IF((BH46+$O19)=$C23,(($H68+$H69)*BH98),0)</f>
        <v>0</v>
      </c>
      <c r="BI99" s="138">
        <f>IF((BI46+$O19)=$C23,(($H68+$H69)*BI98),0)</f>
        <v>0</v>
      </c>
      <c r="BJ99" s="138">
        <f>IF((BJ46+$O19)=$C23,(($H68+$H69)*BJ98),0)</f>
        <v>0</v>
      </c>
      <c r="BK99" s="138">
        <f>IF((BK46+$O19)=$C23,(($H68+$H69)*BK98),0)</f>
        <v>0</v>
      </c>
      <c r="BL99" s="138">
        <f>IF((BL46+$O19)=$C23,(($H68+$H69)*BL98),0)</f>
        <v>0</v>
      </c>
      <c r="BM99" s="138">
        <f>IF((BM46+$O19)=$C23,(($H68+$H69)*BM98),0)</f>
        <v>0</v>
      </c>
      <c r="BN99" s="138">
        <f>IF((BN46+$O19)=$C23,(($H68+$H69)*BN98),0)</f>
        <v>0</v>
      </c>
      <c r="BO99" s="138">
        <f>IF((BO46+$O19)=$C23,(($H68+$H69)*BO98),0)</f>
        <v>0</v>
      </c>
      <c r="BP99" s="138">
        <f>IF((BP46+$O19)=$C23,(($H68+$H69)*BP98),0)</f>
        <v>0</v>
      </c>
      <c r="BQ99" s="138">
        <f>IF((BQ46+$O19)=$C23,(($H68+$H69)*BQ98),0)</f>
        <v>0</v>
      </c>
      <c r="BR99" s="138">
        <f>IF((BR46+$O19)=$C23,(($H68+$H69)*BR98),0)</f>
        <v>0</v>
      </c>
      <c r="BS99" s="138">
        <f>IF((BS46+$O19)=$C23,(($H68+$H69)*BS98),0)</f>
        <v>0</v>
      </c>
      <c r="BT99" s="75"/>
      <c r="BU99" s="75"/>
      <c r="BV99" s="75"/>
    </row>
    <row r="100" spans="1:74">
      <c r="A100" s="75"/>
      <c r="B100" s="75" t="s">
        <v>181</v>
      </c>
      <c r="C100" s="75"/>
      <c r="D100" s="121" t="s">
        <v>182</v>
      </c>
      <c r="E100" s="121"/>
      <c r="F100" s="121"/>
      <c r="G100" s="121"/>
      <c r="H100" s="132">
        <f>SUM(J100:BS100)</f>
        <v>0</v>
      </c>
      <c r="I100" s="75" t="s">
        <v>130</v>
      </c>
      <c r="J100" s="138">
        <f>J97+J99</f>
        <v>0</v>
      </c>
      <c r="K100" s="138">
        <f t="shared" ref="K100:BS100" si="82">K97+K99</f>
        <v>0</v>
      </c>
      <c r="L100" s="138">
        <f t="shared" si="82"/>
        <v>0</v>
      </c>
      <c r="M100" s="138">
        <f t="shared" si="82"/>
        <v>0</v>
      </c>
      <c r="N100" s="138">
        <f t="shared" si="82"/>
        <v>0</v>
      </c>
      <c r="O100" s="138">
        <f t="shared" si="82"/>
        <v>0</v>
      </c>
      <c r="P100" s="138">
        <f t="shared" si="82"/>
        <v>0</v>
      </c>
      <c r="Q100" s="138">
        <f t="shared" si="82"/>
        <v>0</v>
      </c>
      <c r="R100" s="138">
        <f t="shared" si="82"/>
        <v>0</v>
      </c>
      <c r="S100" s="138">
        <f t="shared" si="82"/>
        <v>0</v>
      </c>
      <c r="T100" s="138">
        <f t="shared" si="82"/>
        <v>0</v>
      </c>
      <c r="U100" s="138">
        <f t="shared" si="82"/>
        <v>0</v>
      </c>
      <c r="V100" s="138">
        <f t="shared" si="82"/>
        <v>0</v>
      </c>
      <c r="W100" s="138">
        <f t="shared" si="82"/>
        <v>0</v>
      </c>
      <c r="X100" s="138">
        <f t="shared" si="82"/>
        <v>0</v>
      </c>
      <c r="Y100" s="138">
        <f t="shared" si="82"/>
        <v>0</v>
      </c>
      <c r="Z100" s="138">
        <f t="shared" si="82"/>
        <v>0</v>
      </c>
      <c r="AA100" s="138">
        <f t="shared" si="82"/>
        <v>0</v>
      </c>
      <c r="AB100" s="138">
        <f t="shared" si="82"/>
        <v>0</v>
      </c>
      <c r="AC100" s="138">
        <f t="shared" si="82"/>
        <v>0</v>
      </c>
      <c r="AD100" s="138">
        <f t="shared" si="82"/>
        <v>0</v>
      </c>
      <c r="AE100" s="138">
        <f t="shared" si="82"/>
        <v>0</v>
      </c>
      <c r="AF100" s="138">
        <f t="shared" si="82"/>
        <v>0</v>
      </c>
      <c r="AG100" s="138">
        <f t="shared" si="82"/>
        <v>0</v>
      </c>
      <c r="AH100" s="138">
        <f t="shared" si="82"/>
        <v>0</v>
      </c>
      <c r="AI100" s="138">
        <f t="shared" si="82"/>
        <v>0</v>
      </c>
      <c r="AJ100" s="138">
        <f t="shared" si="82"/>
        <v>0</v>
      </c>
      <c r="AK100" s="138">
        <f t="shared" si="82"/>
        <v>0</v>
      </c>
      <c r="AL100" s="138">
        <f t="shared" si="82"/>
        <v>0</v>
      </c>
      <c r="AM100" s="138">
        <f t="shared" si="82"/>
        <v>0</v>
      </c>
      <c r="AN100" s="138">
        <f t="shared" si="82"/>
        <v>0</v>
      </c>
      <c r="AO100" s="138">
        <f t="shared" si="82"/>
        <v>0</v>
      </c>
      <c r="AP100" s="138">
        <f t="shared" si="82"/>
        <v>0</v>
      </c>
      <c r="AQ100" s="138">
        <f t="shared" si="82"/>
        <v>0</v>
      </c>
      <c r="AR100" s="138">
        <f t="shared" si="82"/>
        <v>0</v>
      </c>
      <c r="AS100" s="138">
        <f t="shared" si="82"/>
        <v>0</v>
      </c>
      <c r="AT100" s="138">
        <f t="shared" si="82"/>
        <v>0</v>
      </c>
      <c r="AU100" s="138">
        <f t="shared" si="82"/>
        <v>0</v>
      </c>
      <c r="AV100" s="138">
        <f t="shared" si="82"/>
        <v>0</v>
      </c>
      <c r="AW100" s="138">
        <f t="shared" si="82"/>
        <v>0</v>
      </c>
      <c r="AX100" s="138">
        <f t="shared" si="82"/>
        <v>0</v>
      </c>
      <c r="AY100" s="138">
        <f t="shared" si="82"/>
        <v>0</v>
      </c>
      <c r="AZ100" s="138">
        <f t="shared" si="82"/>
        <v>0</v>
      </c>
      <c r="BA100" s="138">
        <f t="shared" si="82"/>
        <v>0</v>
      </c>
      <c r="BB100" s="138">
        <f t="shared" si="82"/>
        <v>0</v>
      </c>
      <c r="BC100" s="138">
        <f t="shared" si="82"/>
        <v>0</v>
      </c>
      <c r="BD100" s="138">
        <f t="shared" si="82"/>
        <v>0</v>
      </c>
      <c r="BE100" s="138">
        <f t="shared" si="82"/>
        <v>0</v>
      </c>
      <c r="BF100" s="138">
        <f t="shared" si="82"/>
        <v>0</v>
      </c>
      <c r="BG100" s="138">
        <f t="shared" si="82"/>
        <v>0</v>
      </c>
      <c r="BH100" s="138">
        <f t="shared" si="82"/>
        <v>0</v>
      </c>
      <c r="BI100" s="138">
        <f t="shared" si="82"/>
        <v>0</v>
      </c>
      <c r="BJ100" s="138">
        <f t="shared" si="82"/>
        <v>0</v>
      </c>
      <c r="BK100" s="138">
        <f t="shared" si="82"/>
        <v>0</v>
      </c>
      <c r="BL100" s="138">
        <f t="shared" si="82"/>
        <v>0</v>
      </c>
      <c r="BM100" s="138">
        <f t="shared" si="82"/>
        <v>0</v>
      </c>
      <c r="BN100" s="138">
        <f t="shared" si="82"/>
        <v>0</v>
      </c>
      <c r="BO100" s="138">
        <f t="shared" si="82"/>
        <v>0</v>
      </c>
      <c r="BP100" s="138">
        <f t="shared" si="82"/>
        <v>0</v>
      </c>
      <c r="BQ100" s="138">
        <f t="shared" si="82"/>
        <v>0</v>
      </c>
      <c r="BR100" s="138">
        <f t="shared" si="82"/>
        <v>0</v>
      </c>
      <c r="BS100" s="138">
        <f t="shared" si="82"/>
        <v>0</v>
      </c>
      <c r="BT100" s="75"/>
      <c r="BU100" s="75"/>
      <c r="BV100" s="75"/>
    </row>
    <row r="101" spans="1:74">
      <c r="A101" s="75"/>
      <c r="B101" s="75" t="s">
        <v>183</v>
      </c>
      <c r="C101" s="75"/>
      <c r="D101" s="75" t="s">
        <v>184</v>
      </c>
      <c r="E101" s="75"/>
      <c r="F101" s="75"/>
      <c r="G101" s="75"/>
      <c r="H101" s="139">
        <f>SUM(Q101:BD101)</f>
        <v>0</v>
      </c>
      <c r="I101" s="109" t="s">
        <v>130</v>
      </c>
      <c r="J101" s="138">
        <f t="shared" ref="J101:AO101" si="83">J100*J48</f>
        <v>0</v>
      </c>
      <c r="K101" s="138">
        <f t="shared" si="83"/>
        <v>0</v>
      </c>
      <c r="L101" s="138">
        <f t="shared" si="83"/>
        <v>0</v>
      </c>
      <c r="M101" s="138">
        <f t="shared" si="83"/>
        <v>0</v>
      </c>
      <c r="N101" s="138">
        <f t="shared" si="83"/>
        <v>0</v>
      </c>
      <c r="O101" s="138">
        <f t="shared" si="83"/>
        <v>0</v>
      </c>
      <c r="P101" s="138">
        <f t="shared" si="83"/>
        <v>0</v>
      </c>
      <c r="Q101" s="138">
        <f t="shared" si="83"/>
        <v>0</v>
      </c>
      <c r="R101" s="138">
        <f t="shared" si="83"/>
        <v>0</v>
      </c>
      <c r="S101" s="138">
        <f t="shared" si="83"/>
        <v>0</v>
      </c>
      <c r="T101" s="138">
        <f t="shared" si="83"/>
        <v>0</v>
      </c>
      <c r="U101" s="138">
        <f t="shared" si="83"/>
        <v>0</v>
      </c>
      <c r="V101" s="138">
        <f t="shared" si="83"/>
        <v>0</v>
      </c>
      <c r="W101" s="138">
        <f t="shared" si="83"/>
        <v>0</v>
      </c>
      <c r="X101" s="138">
        <f t="shared" si="83"/>
        <v>0</v>
      </c>
      <c r="Y101" s="138">
        <f t="shared" si="83"/>
        <v>0</v>
      </c>
      <c r="Z101" s="138">
        <f t="shared" si="83"/>
        <v>0</v>
      </c>
      <c r="AA101" s="138">
        <f t="shared" si="83"/>
        <v>0</v>
      </c>
      <c r="AB101" s="138">
        <f t="shared" si="83"/>
        <v>0</v>
      </c>
      <c r="AC101" s="138">
        <f t="shared" si="83"/>
        <v>0</v>
      </c>
      <c r="AD101" s="138">
        <f t="shared" si="83"/>
        <v>0</v>
      </c>
      <c r="AE101" s="138">
        <f t="shared" si="83"/>
        <v>0</v>
      </c>
      <c r="AF101" s="138">
        <f t="shared" si="83"/>
        <v>0</v>
      </c>
      <c r="AG101" s="138">
        <f t="shared" si="83"/>
        <v>0</v>
      </c>
      <c r="AH101" s="138">
        <f t="shared" si="83"/>
        <v>0</v>
      </c>
      <c r="AI101" s="138">
        <f t="shared" si="83"/>
        <v>0</v>
      </c>
      <c r="AJ101" s="138">
        <f t="shared" si="83"/>
        <v>0</v>
      </c>
      <c r="AK101" s="138">
        <f t="shared" si="83"/>
        <v>0</v>
      </c>
      <c r="AL101" s="138">
        <f t="shared" si="83"/>
        <v>0</v>
      </c>
      <c r="AM101" s="138">
        <f t="shared" si="83"/>
        <v>0</v>
      </c>
      <c r="AN101" s="138">
        <f t="shared" si="83"/>
        <v>0</v>
      </c>
      <c r="AO101" s="138">
        <f t="shared" si="83"/>
        <v>0</v>
      </c>
      <c r="AP101" s="138">
        <f t="shared" ref="AP101:BS101" si="84">AP100*AP48</f>
        <v>0</v>
      </c>
      <c r="AQ101" s="138">
        <f t="shared" si="84"/>
        <v>0</v>
      </c>
      <c r="AR101" s="138">
        <f t="shared" si="84"/>
        <v>0</v>
      </c>
      <c r="AS101" s="138">
        <f t="shared" si="84"/>
        <v>0</v>
      </c>
      <c r="AT101" s="138">
        <f t="shared" si="84"/>
        <v>0</v>
      </c>
      <c r="AU101" s="138">
        <f t="shared" si="84"/>
        <v>0</v>
      </c>
      <c r="AV101" s="138">
        <f t="shared" si="84"/>
        <v>0</v>
      </c>
      <c r="AW101" s="138">
        <f t="shared" si="84"/>
        <v>0</v>
      </c>
      <c r="AX101" s="138">
        <f t="shared" si="84"/>
        <v>0</v>
      </c>
      <c r="AY101" s="138">
        <f t="shared" si="84"/>
        <v>0</v>
      </c>
      <c r="AZ101" s="138">
        <f t="shared" si="84"/>
        <v>0</v>
      </c>
      <c r="BA101" s="138">
        <f t="shared" si="84"/>
        <v>0</v>
      </c>
      <c r="BB101" s="138">
        <f t="shared" si="84"/>
        <v>0</v>
      </c>
      <c r="BC101" s="138">
        <f t="shared" si="84"/>
        <v>0</v>
      </c>
      <c r="BD101" s="138">
        <f t="shared" si="84"/>
        <v>0</v>
      </c>
      <c r="BE101" s="138">
        <f t="shared" si="84"/>
        <v>0</v>
      </c>
      <c r="BF101" s="138">
        <f t="shared" si="84"/>
        <v>0</v>
      </c>
      <c r="BG101" s="138">
        <f t="shared" si="84"/>
        <v>0</v>
      </c>
      <c r="BH101" s="138">
        <f t="shared" si="84"/>
        <v>0</v>
      </c>
      <c r="BI101" s="138">
        <f t="shared" si="84"/>
        <v>0</v>
      </c>
      <c r="BJ101" s="138">
        <f t="shared" si="84"/>
        <v>0</v>
      </c>
      <c r="BK101" s="138">
        <f t="shared" si="84"/>
        <v>0</v>
      </c>
      <c r="BL101" s="138">
        <f t="shared" si="84"/>
        <v>0</v>
      </c>
      <c r="BM101" s="138">
        <f t="shared" si="84"/>
        <v>0</v>
      </c>
      <c r="BN101" s="138">
        <f t="shared" si="84"/>
        <v>0</v>
      </c>
      <c r="BO101" s="138">
        <f t="shared" si="84"/>
        <v>0</v>
      </c>
      <c r="BP101" s="138">
        <f t="shared" si="84"/>
        <v>0</v>
      </c>
      <c r="BQ101" s="138">
        <f t="shared" si="84"/>
        <v>0</v>
      </c>
      <c r="BR101" s="138">
        <f t="shared" si="84"/>
        <v>0</v>
      </c>
      <c r="BS101" s="138">
        <f t="shared" si="84"/>
        <v>0</v>
      </c>
      <c r="BT101" s="75"/>
      <c r="BU101" s="75"/>
      <c r="BV101" s="75"/>
    </row>
    <row r="102" spans="1:74" ht="15.95" thickBot="1">
      <c r="A102" s="75"/>
      <c r="B102" s="75"/>
      <c r="C102" s="75"/>
      <c r="D102" s="75"/>
      <c r="E102" s="75"/>
      <c r="F102" s="75"/>
      <c r="G102" s="75"/>
      <c r="H102" s="101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  <c r="AC102" s="75"/>
      <c r="AD102" s="75"/>
      <c r="AE102" s="75"/>
      <c r="AF102" s="75"/>
      <c r="AG102" s="75"/>
      <c r="AH102" s="75"/>
      <c r="AI102" s="75"/>
      <c r="AJ102" s="75"/>
      <c r="AK102" s="75"/>
      <c r="AL102" s="75"/>
      <c r="AM102" s="75"/>
      <c r="AN102" s="75"/>
      <c r="AO102" s="75"/>
      <c r="AP102" s="75"/>
      <c r="AQ102" s="75"/>
      <c r="AR102" s="75"/>
      <c r="AS102" s="75"/>
      <c r="AT102" s="75"/>
      <c r="AU102" s="75"/>
      <c r="AV102" s="75"/>
      <c r="AW102" s="75"/>
      <c r="AX102" s="75"/>
      <c r="AY102" s="75"/>
      <c r="AZ102" s="75"/>
      <c r="BA102" s="75"/>
      <c r="BB102" s="75"/>
      <c r="BC102" s="75"/>
      <c r="BD102" s="75"/>
      <c r="BE102" s="75"/>
      <c r="BF102" s="75"/>
      <c r="BG102" s="75"/>
      <c r="BH102" s="75"/>
      <c r="BI102" s="75"/>
      <c r="BJ102" s="75"/>
      <c r="BK102" s="75"/>
      <c r="BL102" s="75"/>
      <c r="BM102" s="75"/>
      <c r="BN102" s="75"/>
      <c r="BO102" s="75"/>
      <c r="BP102" s="75"/>
      <c r="BQ102" s="75"/>
      <c r="BR102" s="75"/>
      <c r="BS102" s="75"/>
      <c r="BT102" s="75"/>
      <c r="BU102" s="75"/>
      <c r="BV102" s="75"/>
    </row>
    <row r="103" spans="1:74" ht="15.95" thickBot="1">
      <c r="A103" s="75"/>
      <c r="B103" s="82" t="s">
        <v>110</v>
      </c>
      <c r="C103" s="83"/>
      <c r="D103" s="83"/>
      <c r="E103" s="83"/>
      <c r="F103" s="83"/>
      <c r="G103" s="83"/>
      <c r="H103" s="143">
        <f>H110/H54</f>
        <v>0</v>
      </c>
      <c r="I103" s="82" t="s">
        <v>126</v>
      </c>
      <c r="J103" s="83"/>
      <c r="K103" s="83"/>
      <c r="L103" s="83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  <c r="AD103" s="83"/>
      <c r="AE103" s="83"/>
      <c r="AF103" s="83"/>
      <c r="AG103" s="83"/>
      <c r="AH103" s="83"/>
      <c r="AI103" s="83"/>
      <c r="AJ103" s="83"/>
      <c r="AK103" s="83"/>
      <c r="AL103" s="83"/>
      <c r="AM103" s="83"/>
      <c r="AN103" s="83"/>
      <c r="AO103" s="83"/>
      <c r="AP103" s="83"/>
      <c r="AQ103" s="83"/>
      <c r="AR103" s="83"/>
      <c r="AS103" s="83"/>
      <c r="AT103" s="83"/>
      <c r="AU103" s="83"/>
      <c r="AV103" s="83"/>
      <c r="AW103" s="83"/>
      <c r="AX103" s="83"/>
      <c r="AY103" s="83"/>
      <c r="AZ103" s="83"/>
      <c r="BA103" s="83"/>
      <c r="BB103" s="83"/>
      <c r="BC103" s="83"/>
      <c r="BD103" s="83"/>
      <c r="BE103" s="83"/>
      <c r="BF103" s="83"/>
      <c r="BG103" s="83"/>
      <c r="BH103" s="83"/>
      <c r="BI103" s="83"/>
      <c r="BJ103" s="83"/>
      <c r="BK103" s="83"/>
      <c r="BL103" s="83"/>
      <c r="BM103" s="83"/>
      <c r="BN103" s="83"/>
      <c r="BO103" s="83"/>
      <c r="BP103" s="83"/>
      <c r="BQ103" s="83"/>
      <c r="BR103" s="83"/>
      <c r="BS103" s="83"/>
      <c r="BT103" s="75"/>
      <c r="BU103" s="75"/>
      <c r="BV103" s="75"/>
    </row>
    <row r="104" spans="1:74">
      <c r="A104" s="75"/>
      <c r="B104" s="75" t="s">
        <v>185</v>
      </c>
      <c r="C104" s="75"/>
      <c r="D104" s="75" t="str">
        <f>_xlfn.CONCAT("Skenaario: ",H131)</f>
        <v>Skenaario: Suomi, Ilmasto- ja energiastrategia (2021)</v>
      </c>
      <c r="E104" s="75"/>
      <c r="F104" s="75"/>
      <c r="G104" s="75"/>
      <c r="H104" s="75"/>
      <c r="I104" s="75" t="s">
        <v>186</v>
      </c>
      <c r="J104" s="137">
        <f t="shared" ref="J104:AO104" si="85">J42</f>
        <v>34.872684</v>
      </c>
      <c r="K104" s="137">
        <f t="shared" si="85"/>
        <v>35.350392000000006</v>
      </c>
      <c r="L104" s="137">
        <f t="shared" si="85"/>
        <v>35.828099999999999</v>
      </c>
      <c r="M104" s="137">
        <f t="shared" si="85"/>
        <v>38.216639999999998</v>
      </c>
      <c r="N104" s="137">
        <f t="shared" si="85"/>
        <v>40.605179999999997</v>
      </c>
      <c r="O104" s="137">
        <f t="shared" si="85"/>
        <v>42.993720000000003</v>
      </c>
      <c r="P104" s="137">
        <f t="shared" si="85"/>
        <v>45.382260000000002</v>
      </c>
      <c r="Q104" s="137">
        <f t="shared" si="85"/>
        <v>47.770799999999994</v>
      </c>
      <c r="R104" s="137">
        <f t="shared" si="85"/>
        <v>50.864527999999993</v>
      </c>
      <c r="S104" s="137">
        <f t="shared" si="85"/>
        <v>53.958255999999992</v>
      </c>
      <c r="T104" s="137">
        <f t="shared" si="85"/>
        <v>57.05198399999999</v>
      </c>
      <c r="U104" s="137">
        <f t="shared" si="85"/>
        <v>60.145711999999989</v>
      </c>
      <c r="V104" s="137">
        <f t="shared" si="85"/>
        <v>63.239439999999995</v>
      </c>
      <c r="W104" s="137">
        <f t="shared" si="85"/>
        <v>63.239439999999995</v>
      </c>
      <c r="X104" s="137">
        <f t="shared" si="85"/>
        <v>63.239439999999995</v>
      </c>
      <c r="Y104" s="137">
        <f t="shared" si="85"/>
        <v>63.239439999999995</v>
      </c>
      <c r="Z104" s="137">
        <f t="shared" si="85"/>
        <v>63.239439999999995</v>
      </c>
      <c r="AA104" s="137">
        <f t="shared" si="85"/>
        <v>63.239439999999995</v>
      </c>
      <c r="AB104" s="137">
        <f t="shared" si="85"/>
        <v>63.239439999999995</v>
      </c>
      <c r="AC104" s="137">
        <f t="shared" si="85"/>
        <v>63.239439999999995</v>
      </c>
      <c r="AD104" s="137">
        <f t="shared" si="85"/>
        <v>63.239439999999995</v>
      </c>
      <c r="AE104" s="137">
        <f t="shared" si="85"/>
        <v>63.239439999999995</v>
      </c>
      <c r="AF104" s="137">
        <f t="shared" si="85"/>
        <v>63.239439999999995</v>
      </c>
      <c r="AG104" s="137">
        <f t="shared" si="85"/>
        <v>63.239439999999995</v>
      </c>
      <c r="AH104" s="137">
        <f t="shared" si="85"/>
        <v>63.239439999999995</v>
      </c>
      <c r="AI104" s="137">
        <f t="shared" si="85"/>
        <v>63.239439999999995</v>
      </c>
      <c r="AJ104" s="137">
        <f t="shared" si="85"/>
        <v>63.239439999999995</v>
      </c>
      <c r="AK104" s="137">
        <f t="shared" si="85"/>
        <v>63.239439999999995</v>
      </c>
      <c r="AL104" s="137">
        <f t="shared" si="85"/>
        <v>63.239439999999995</v>
      </c>
      <c r="AM104" s="137">
        <f t="shared" si="85"/>
        <v>63.239439999999995</v>
      </c>
      <c r="AN104" s="137">
        <f t="shared" si="85"/>
        <v>63.239439999999995</v>
      </c>
      <c r="AO104" s="137">
        <f t="shared" si="85"/>
        <v>63.239439999999995</v>
      </c>
      <c r="AP104" s="137">
        <f t="shared" ref="AP104:BS104" si="86">AP42</f>
        <v>63.239439999999995</v>
      </c>
      <c r="AQ104" s="137">
        <f t="shared" si="86"/>
        <v>63.239439999999995</v>
      </c>
      <c r="AR104" s="137">
        <f t="shared" si="86"/>
        <v>63.239439999999995</v>
      </c>
      <c r="AS104" s="137">
        <f t="shared" si="86"/>
        <v>63.239439999999995</v>
      </c>
      <c r="AT104" s="137">
        <f t="shared" si="86"/>
        <v>63.239439999999995</v>
      </c>
      <c r="AU104" s="137">
        <f t="shared" si="86"/>
        <v>63.239439999999995</v>
      </c>
      <c r="AV104" s="137">
        <f t="shared" si="86"/>
        <v>63.239439999999995</v>
      </c>
      <c r="AW104" s="137">
        <f t="shared" si="86"/>
        <v>63.239439999999995</v>
      </c>
      <c r="AX104" s="137">
        <f t="shared" si="86"/>
        <v>63.239439999999995</v>
      </c>
      <c r="AY104" s="137">
        <f t="shared" si="86"/>
        <v>63.239439999999995</v>
      </c>
      <c r="AZ104" s="137">
        <f t="shared" si="86"/>
        <v>63.239439999999995</v>
      </c>
      <c r="BA104" s="137">
        <f t="shared" si="86"/>
        <v>63.239439999999995</v>
      </c>
      <c r="BB104" s="137">
        <f t="shared" si="86"/>
        <v>63.239439999999995</v>
      </c>
      <c r="BC104" s="137">
        <f t="shared" si="86"/>
        <v>63.239439999999995</v>
      </c>
      <c r="BD104" s="137">
        <f t="shared" si="86"/>
        <v>63.239439999999995</v>
      </c>
      <c r="BE104" s="137">
        <f t="shared" si="86"/>
        <v>63.239439999999995</v>
      </c>
      <c r="BF104" s="137">
        <f t="shared" si="86"/>
        <v>63.239439999999995</v>
      </c>
      <c r="BG104" s="137">
        <f t="shared" si="86"/>
        <v>63.239439999999995</v>
      </c>
      <c r="BH104" s="137">
        <f t="shared" si="86"/>
        <v>63.239439999999995</v>
      </c>
      <c r="BI104" s="137">
        <f t="shared" si="86"/>
        <v>63.239439999999995</v>
      </c>
      <c r="BJ104" s="137">
        <f t="shared" si="86"/>
        <v>63.239439999999995</v>
      </c>
      <c r="BK104" s="137">
        <f t="shared" si="86"/>
        <v>63.239439999999995</v>
      </c>
      <c r="BL104" s="137">
        <f t="shared" si="86"/>
        <v>63.239439999999995</v>
      </c>
      <c r="BM104" s="137">
        <f t="shared" si="86"/>
        <v>63.239439999999995</v>
      </c>
      <c r="BN104" s="137">
        <f t="shared" si="86"/>
        <v>63.239439999999995</v>
      </c>
      <c r="BO104" s="137">
        <f t="shared" si="86"/>
        <v>63.239439999999995</v>
      </c>
      <c r="BP104" s="137">
        <f t="shared" si="86"/>
        <v>63.239439999999995</v>
      </c>
      <c r="BQ104" s="137">
        <f t="shared" si="86"/>
        <v>63.239439999999995</v>
      </c>
      <c r="BR104" s="137">
        <f t="shared" si="86"/>
        <v>63.239439999999995</v>
      </c>
      <c r="BS104" s="137">
        <f t="shared" si="86"/>
        <v>63.239439999999995</v>
      </c>
      <c r="BT104" s="75"/>
      <c r="BU104" s="75"/>
      <c r="BV104" s="75"/>
    </row>
    <row r="105" spans="1:74">
      <c r="A105" s="75"/>
      <c r="B105" s="75" t="s">
        <v>187</v>
      </c>
      <c r="C105" s="75"/>
      <c r="D105" s="75" t="s">
        <v>188</v>
      </c>
      <c r="E105" s="75"/>
      <c r="F105" s="75"/>
      <c r="G105" s="75"/>
      <c r="H105" s="75">
        <f>O14</f>
        <v>0</v>
      </c>
      <c r="I105" s="75" t="s">
        <v>119</v>
      </c>
      <c r="J105" s="86">
        <f t="shared" ref="J105:AO105" si="87">$H105/100</f>
        <v>0</v>
      </c>
      <c r="K105" s="86">
        <f t="shared" si="87"/>
        <v>0</v>
      </c>
      <c r="L105" s="86">
        <f t="shared" si="87"/>
        <v>0</v>
      </c>
      <c r="M105" s="86">
        <f t="shared" si="87"/>
        <v>0</v>
      </c>
      <c r="N105" s="86">
        <f t="shared" si="87"/>
        <v>0</v>
      </c>
      <c r="O105" s="86">
        <f t="shared" si="87"/>
        <v>0</v>
      </c>
      <c r="P105" s="86">
        <f t="shared" si="87"/>
        <v>0</v>
      </c>
      <c r="Q105" s="86">
        <f t="shared" si="87"/>
        <v>0</v>
      </c>
      <c r="R105" s="86">
        <f t="shared" si="87"/>
        <v>0</v>
      </c>
      <c r="S105" s="86">
        <f t="shared" si="87"/>
        <v>0</v>
      </c>
      <c r="T105" s="86">
        <f t="shared" si="87"/>
        <v>0</v>
      </c>
      <c r="U105" s="86">
        <f t="shared" si="87"/>
        <v>0</v>
      </c>
      <c r="V105" s="86">
        <f t="shared" si="87"/>
        <v>0</v>
      </c>
      <c r="W105" s="86">
        <f t="shared" si="87"/>
        <v>0</v>
      </c>
      <c r="X105" s="86">
        <f t="shared" si="87"/>
        <v>0</v>
      </c>
      <c r="Y105" s="86">
        <f t="shared" si="87"/>
        <v>0</v>
      </c>
      <c r="Z105" s="86">
        <f t="shared" si="87"/>
        <v>0</v>
      </c>
      <c r="AA105" s="86">
        <f t="shared" si="87"/>
        <v>0</v>
      </c>
      <c r="AB105" s="86">
        <f t="shared" si="87"/>
        <v>0</v>
      </c>
      <c r="AC105" s="86">
        <f t="shared" si="87"/>
        <v>0</v>
      </c>
      <c r="AD105" s="86">
        <f t="shared" si="87"/>
        <v>0</v>
      </c>
      <c r="AE105" s="86">
        <f t="shared" si="87"/>
        <v>0</v>
      </c>
      <c r="AF105" s="86">
        <f t="shared" si="87"/>
        <v>0</v>
      </c>
      <c r="AG105" s="86">
        <f t="shared" si="87"/>
        <v>0</v>
      </c>
      <c r="AH105" s="86">
        <f t="shared" si="87"/>
        <v>0</v>
      </c>
      <c r="AI105" s="86">
        <f t="shared" si="87"/>
        <v>0</v>
      </c>
      <c r="AJ105" s="86">
        <f t="shared" si="87"/>
        <v>0</v>
      </c>
      <c r="AK105" s="86">
        <f t="shared" si="87"/>
        <v>0</v>
      </c>
      <c r="AL105" s="86">
        <f t="shared" si="87"/>
        <v>0</v>
      </c>
      <c r="AM105" s="86">
        <f t="shared" si="87"/>
        <v>0</v>
      </c>
      <c r="AN105" s="86">
        <f t="shared" si="87"/>
        <v>0</v>
      </c>
      <c r="AO105" s="86">
        <f t="shared" si="87"/>
        <v>0</v>
      </c>
      <c r="AP105" s="86">
        <f t="shared" ref="AP105:BS105" si="88">$H105/100</f>
        <v>0</v>
      </c>
      <c r="AQ105" s="86">
        <f t="shared" si="88"/>
        <v>0</v>
      </c>
      <c r="AR105" s="86">
        <f t="shared" si="88"/>
        <v>0</v>
      </c>
      <c r="AS105" s="86">
        <f t="shared" si="88"/>
        <v>0</v>
      </c>
      <c r="AT105" s="86">
        <f t="shared" si="88"/>
        <v>0</v>
      </c>
      <c r="AU105" s="86">
        <f t="shared" si="88"/>
        <v>0</v>
      </c>
      <c r="AV105" s="86">
        <f t="shared" si="88"/>
        <v>0</v>
      </c>
      <c r="AW105" s="86">
        <f t="shared" si="88"/>
        <v>0</v>
      </c>
      <c r="AX105" s="86">
        <f t="shared" si="88"/>
        <v>0</v>
      </c>
      <c r="AY105" s="86">
        <f t="shared" si="88"/>
        <v>0</v>
      </c>
      <c r="AZ105" s="86">
        <f t="shared" si="88"/>
        <v>0</v>
      </c>
      <c r="BA105" s="86">
        <f t="shared" si="88"/>
        <v>0</v>
      </c>
      <c r="BB105" s="86">
        <f t="shared" si="88"/>
        <v>0</v>
      </c>
      <c r="BC105" s="86">
        <f t="shared" si="88"/>
        <v>0</v>
      </c>
      <c r="BD105" s="86">
        <f t="shared" si="88"/>
        <v>0</v>
      </c>
      <c r="BE105" s="86">
        <f t="shared" si="88"/>
        <v>0</v>
      </c>
      <c r="BF105" s="86">
        <f t="shared" si="88"/>
        <v>0</v>
      </c>
      <c r="BG105" s="86">
        <f t="shared" si="88"/>
        <v>0</v>
      </c>
      <c r="BH105" s="86">
        <f t="shared" si="88"/>
        <v>0</v>
      </c>
      <c r="BI105" s="86">
        <f t="shared" si="88"/>
        <v>0</v>
      </c>
      <c r="BJ105" s="86">
        <f t="shared" si="88"/>
        <v>0</v>
      </c>
      <c r="BK105" s="86">
        <f t="shared" si="88"/>
        <v>0</v>
      </c>
      <c r="BL105" s="86">
        <f t="shared" si="88"/>
        <v>0</v>
      </c>
      <c r="BM105" s="86">
        <f t="shared" si="88"/>
        <v>0</v>
      </c>
      <c r="BN105" s="86">
        <f t="shared" si="88"/>
        <v>0</v>
      </c>
      <c r="BO105" s="86">
        <f t="shared" si="88"/>
        <v>0</v>
      </c>
      <c r="BP105" s="86">
        <f t="shared" si="88"/>
        <v>0</v>
      </c>
      <c r="BQ105" s="86">
        <f t="shared" si="88"/>
        <v>0</v>
      </c>
      <c r="BR105" s="86">
        <f t="shared" si="88"/>
        <v>0</v>
      </c>
      <c r="BS105" s="86">
        <f t="shared" si="88"/>
        <v>0</v>
      </c>
      <c r="BT105" s="75"/>
      <c r="BU105" s="75"/>
      <c r="BV105" s="75"/>
    </row>
    <row r="106" spans="1:74">
      <c r="A106" s="75"/>
      <c r="B106" s="75" t="s">
        <v>189</v>
      </c>
      <c r="C106" s="75"/>
      <c r="D106" s="75" t="s">
        <v>190</v>
      </c>
      <c r="E106" s="75"/>
      <c r="F106" s="75"/>
      <c r="G106" s="75"/>
      <c r="H106" s="75"/>
      <c r="I106" s="75" t="s">
        <v>102</v>
      </c>
      <c r="J106" s="85">
        <f t="shared" ref="J106:AO106" si="89">J41</f>
        <v>0</v>
      </c>
      <c r="K106" s="85">
        <f t="shared" si="89"/>
        <v>0</v>
      </c>
      <c r="L106" s="85">
        <f t="shared" si="89"/>
        <v>0</v>
      </c>
      <c r="M106" s="85">
        <f t="shared" si="89"/>
        <v>0</v>
      </c>
      <c r="N106" s="85">
        <f t="shared" si="89"/>
        <v>0</v>
      </c>
      <c r="O106" s="85">
        <f t="shared" si="89"/>
        <v>0</v>
      </c>
      <c r="P106" s="85">
        <f t="shared" si="89"/>
        <v>0</v>
      </c>
      <c r="Q106" s="85">
        <f t="shared" si="89"/>
        <v>0</v>
      </c>
      <c r="R106" s="85">
        <f t="shared" si="89"/>
        <v>0</v>
      </c>
      <c r="S106" s="85">
        <f t="shared" si="89"/>
        <v>0</v>
      </c>
      <c r="T106" s="85">
        <f t="shared" si="89"/>
        <v>0</v>
      </c>
      <c r="U106" s="85">
        <f t="shared" si="89"/>
        <v>0</v>
      </c>
      <c r="V106" s="85">
        <f t="shared" si="89"/>
        <v>0</v>
      </c>
      <c r="W106" s="85">
        <f t="shared" si="89"/>
        <v>0</v>
      </c>
      <c r="X106" s="85">
        <f t="shared" si="89"/>
        <v>0</v>
      </c>
      <c r="Y106" s="85">
        <f t="shared" si="89"/>
        <v>0</v>
      </c>
      <c r="Z106" s="85">
        <f t="shared" si="89"/>
        <v>0</v>
      </c>
      <c r="AA106" s="85">
        <f t="shared" si="89"/>
        <v>0</v>
      </c>
      <c r="AB106" s="85">
        <f t="shared" si="89"/>
        <v>0</v>
      </c>
      <c r="AC106" s="85">
        <f t="shared" si="89"/>
        <v>0</v>
      </c>
      <c r="AD106" s="85">
        <f t="shared" si="89"/>
        <v>0</v>
      </c>
      <c r="AE106" s="85">
        <f t="shared" si="89"/>
        <v>0</v>
      </c>
      <c r="AF106" s="85">
        <f t="shared" si="89"/>
        <v>0</v>
      </c>
      <c r="AG106" s="85">
        <f t="shared" si="89"/>
        <v>0</v>
      </c>
      <c r="AH106" s="85">
        <f t="shared" si="89"/>
        <v>0</v>
      </c>
      <c r="AI106" s="85">
        <f t="shared" si="89"/>
        <v>0</v>
      </c>
      <c r="AJ106" s="85">
        <f t="shared" si="89"/>
        <v>0</v>
      </c>
      <c r="AK106" s="85">
        <f t="shared" si="89"/>
        <v>0</v>
      </c>
      <c r="AL106" s="85">
        <f t="shared" si="89"/>
        <v>0</v>
      </c>
      <c r="AM106" s="85">
        <f t="shared" si="89"/>
        <v>0</v>
      </c>
      <c r="AN106" s="85">
        <f t="shared" si="89"/>
        <v>0</v>
      </c>
      <c r="AO106" s="85">
        <f t="shared" si="89"/>
        <v>0</v>
      </c>
      <c r="AP106" s="85">
        <f t="shared" ref="AP106:BS106" si="90">AP41</f>
        <v>0</v>
      </c>
      <c r="AQ106" s="85">
        <f t="shared" si="90"/>
        <v>0</v>
      </c>
      <c r="AR106" s="85">
        <f t="shared" si="90"/>
        <v>0</v>
      </c>
      <c r="AS106" s="85">
        <f t="shared" si="90"/>
        <v>0</v>
      </c>
      <c r="AT106" s="85">
        <f t="shared" si="90"/>
        <v>0</v>
      </c>
      <c r="AU106" s="85">
        <f t="shared" si="90"/>
        <v>0</v>
      </c>
      <c r="AV106" s="85">
        <f t="shared" si="90"/>
        <v>0</v>
      </c>
      <c r="AW106" s="85">
        <f t="shared" si="90"/>
        <v>0</v>
      </c>
      <c r="AX106" s="85">
        <f t="shared" si="90"/>
        <v>0</v>
      </c>
      <c r="AY106" s="85">
        <f t="shared" si="90"/>
        <v>0</v>
      </c>
      <c r="AZ106" s="85">
        <f t="shared" si="90"/>
        <v>0</v>
      </c>
      <c r="BA106" s="85">
        <f t="shared" si="90"/>
        <v>0</v>
      </c>
      <c r="BB106" s="85">
        <f t="shared" si="90"/>
        <v>0</v>
      </c>
      <c r="BC106" s="85">
        <f t="shared" si="90"/>
        <v>0</v>
      </c>
      <c r="BD106" s="85">
        <f t="shared" si="90"/>
        <v>0</v>
      </c>
      <c r="BE106" s="85">
        <f t="shared" si="90"/>
        <v>0</v>
      </c>
      <c r="BF106" s="85">
        <f t="shared" si="90"/>
        <v>0</v>
      </c>
      <c r="BG106" s="85">
        <f t="shared" si="90"/>
        <v>0</v>
      </c>
      <c r="BH106" s="85">
        <f t="shared" si="90"/>
        <v>0</v>
      </c>
      <c r="BI106" s="85">
        <f t="shared" si="90"/>
        <v>0</v>
      </c>
      <c r="BJ106" s="85">
        <f t="shared" si="90"/>
        <v>0</v>
      </c>
      <c r="BK106" s="85">
        <f t="shared" si="90"/>
        <v>0</v>
      </c>
      <c r="BL106" s="85">
        <f t="shared" si="90"/>
        <v>0</v>
      </c>
      <c r="BM106" s="85">
        <f t="shared" si="90"/>
        <v>0</v>
      </c>
      <c r="BN106" s="85">
        <f t="shared" si="90"/>
        <v>0</v>
      </c>
      <c r="BO106" s="85">
        <f t="shared" si="90"/>
        <v>0</v>
      </c>
      <c r="BP106" s="85">
        <f t="shared" si="90"/>
        <v>0</v>
      </c>
      <c r="BQ106" s="85">
        <f t="shared" si="90"/>
        <v>0</v>
      </c>
      <c r="BR106" s="85">
        <f t="shared" si="90"/>
        <v>0</v>
      </c>
      <c r="BS106" s="85">
        <f t="shared" si="90"/>
        <v>0</v>
      </c>
      <c r="BT106" s="75"/>
      <c r="BU106" s="75"/>
      <c r="BV106" s="75"/>
    </row>
    <row r="107" spans="1:74">
      <c r="A107" s="75"/>
      <c r="B107" s="121" t="s">
        <v>191</v>
      </c>
      <c r="C107" s="75"/>
      <c r="D107" s="75" t="s">
        <v>192</v>
      </c>
      <c r="E107" s="75"/>
      <c r="F107" s="75"/>
      <c r="G107" s="75"/>
      <c r="H107" s="101">
        <f>SUM(J107:BS107)</f>
        <v>0</v>
      </c>
      <c r="I107" s="75" t="s">
        <v>193</v>
      </c>
      <c r="J107" s="144">
        <f t="shared" ref="J107:N107" si="91">J106*J91/1000</f>
        <v>0</v>
      </c>
      <c r="K107" s="144">
        <f t="shared" si="91"/>
        <v>0</v>
      </c>
      <c r="L107" s="144">
        <f t="shared" si="91"/>
        <v>0</v>
      </c>
      <c r="M107" s="144">
        <f t="shared" si="91"/>
        <v>0</v>
      </c>
      <c r="N107" s="144">
        <f t="shared" si="91"/>
        <v>0</v>
      </c>
      <c r="O107" s="144">
        <f>O106*O91/1000</f>
        <v>0</v>
      </c>
      <c r="P107" s="144">
        <f t="shared" ref="P107:AM107" si="92">P106*P91/1000</f>
        <v>0</v>
      </c>
      <c r="Q107" s="144">
        <f t="shared" si="92"/>
        <v>0</v>
      </c>
      <c r="R107" s="144">
        <f t="shared" si="92"/>
        <v>0</v>
      </c>
      <c r="S107" s="144">
        <f t="shared" si="92"/>
        <v>0</v>
      </c>
      <c r="T107" s="144">
        <f t="shared" si="92"/>
        <v>0</v>
      </c>
      <c r="U107" s="144">
        <f t="shared" si="92"/>
        <v>0</v>
      </c>
      <c r="V107" s="144">
        <f t="shared" si="92"/>
        <v>0</v>
      </c>
      <c r="W107" s="144">
        <f t="shared" si="92"/>
        <v>0</v>
      </c>
      <c r="X107" s="144">
        <f t="shared" si="92"/>
        <v>0</v>
      </c>
      <c r="Y107" s="144">
        <f t="shared" si="92"/>
        <v>0</v>
      </c>
      <c r="Z107" s="144">
        <f t="shared" si="92"/>
        <v>0</v>
      </c>
      <c r="AA107" s="144">
        <f t="shared" si="92"/>
        <v>0</v>
      </c>
      <c r="AB107" s="144">
        <f t="shared" si="92"/>
        <v>0</v>
      </c>
      <c r="AC107" s="144">
        <f t="shared" si="92"/>
        <v>0</v>
      </c>
      <c r="AD107" s="144">
        <f t="shared" si="92"/>
        <v>0</v>
      </c>
      <c r="AE107" s="144">
        <f t="shared" si="92"/>
        <v>0</v>
      </c>
      <c r="AF107" s="144">
        <f t="shared" si="92"/>
        <v>0</v>
      </c>
      <c r="AG107" s="144">
        <f t="shared" si="92"/>
        <v>0</v>
      </c>
      <c r="AH107" s="144">
        <f t="shared" si="92"/>
        <v>0</v>
      </c>
      <c r="AI107" s="144">
        <f t="shared" si="92"/>
        <v>0</v>
      </c>
      <c r="AJ107" s="144">
        <f t="shared" si="92"/>
        <v>0</v>
      </c>
      <c r="AK107" s="144">
        <f t="shared" si="92"/>
        <v>0</v>
      </c>
      <c r="AL107" s="144">
        <f t="shared" si="92"/>
        <v>0</v>
      </c>
      <c r="AM107" s="144">
        <f t="shared" si="92"/>
        <v>0</v>
      </c>
      <c r="AN107" s="144">
        <f t="shared" ref="AN107" si="93">AN106*AN91/1000</f>
        <v>0</v>
      </c>
      <c r="AO107" s="144">
        <f t="shared" ref="AO107" si="94">AO106*AO91/1000</f>
        <v>0</v>
      </c>
      <c r="AP107" s="144">
        <f t="shared" ref="AP107" si="95">AP106*AP91/1000</f>
        <v>0</v>
      </c>
      <c r="AQ107" s="144">
        <f t="shared" ref="AQ107" si="96">AQ106*AQ91/1000</f>
        <v>0</v>
      </c>
      <c r="AR107" s="144">
        <f t="shared" ref="AR107" si="97">AR106*AR91/1000</f>
        <v>0</v>
      </c>
      <c r="AS107" s="144">
        <f t="shared" ref="AS107" si="98">AS106*AS91/1000</f>
        <v>0</v>
      </c>
      <c r="AT107" s="144">
        <f t="shared" ref="AT107" si="99">AT106*AT91/1000</f>
        <v>0</v>
      </c>
      <c r="AU107" s="144">
        <f t="shared" ref="AU107" si="100">AU106*AU91/1000</f>
        <v>0</v>
      </c>
      <c r="AV107" s="144">
        <f t="shared" ref="AV107" si="101">AV106*AV91/1000</f>
        <v>0</v>
      </c>
      <c r="AW107" s="144">
        <f t="shared" ref="AW107" si="102">AW106*AW91/1000</f>
        <v>0</v>
      </c>
      <c r="AX107" s="144">
        <f t="shared" ref="AX107" si="103">AX106*AX91/1000</f>
        <v>0</v>
      </c>
      <c r="AY107" s="144">
        <f t="shared" ref="AY107" si="104">AY106*AY91/1000</f>
        <v>0</v>
      </c>
      <c r="AZ107" s="144">
        <f t="shared" ref="AZ107" si="105">AZ106*AZ91/1000</f>
        <v>0</v>
      </c>
      <c r="BA107" s="144">
        <f t="shared" ref="BA107" si="106">BA106*BA91/1000</f>
        <v>0</v>
      </c>
      <c r="BB107" s="144">
        <f t="shared" ref="BB107" si="107">BB106*BB91/1000</f>
        <v>0</v>
      </c>
      <c r="BC107" s="144">
        <f t="shared" ref="BC107" si="108">BC106*BC91/1000</f>
        <v>0</v>
      </c>
      <c r="BD107" s="144">
        <f t="shared" ref="BD107" si="109">BD106*BD91/1000</f>
        <v>0</v>
      </c>
      <c r="BE107" s="144">
        <f t="shared" ref="BE107" si="110">BE106*BE91/1000</f>
        <v>0</v>
      </c>
      <c r="BF107" s="144">
        <f t="shared" ref="BF107" si="111">BF106*BF91/1000</f>
        <v>0</v>
      </c>
      <c r="BG107" s="144">
        <f t="shared" ref="BG107" si="112">BG106*BG91/1000</f>
        <v>0</v>
      </c>
      <c r="BH107" s="144">
        <f t="shared" ref="BH107" si="113">BH106*BH91/1000</f>
        <v>0</v>
      </c>
      <c r="BI107" s="144">
        <f t="shared" ref="BI107" si="114">BI106*BI91/1000</f>
        <v>0</v>
      </c>
      <c r="BJ107" s="144">
        <f t="shared" ref="BJ107" si="115">BJ106*BJ91/1000</f>
        <v>0</v>
      </c>
      <c r="BK107" s="144">
        <f t="shared" ref="BK107" si="116">BK106*BK91/1000</f>
        <v>0</v>
      </c>
      <c r="BL107" s="144">
        <f t="shared" ref="BL107" si="117">BL106*BL91/1000</f>
        <v>0</v>
      </c>
      <c r="BM107" s="144">
        <f t="shared" ref="BM107" si="118">BM106*BM91/1000</f>
        <v>0</v>
      </c>
      <c r="BN107" s="144">
        <f t="shared" ref="BN107" si="119">BN106*BN91/1000</f>
        <v>0</v>
      </c>
      <c r="BO107" s="144">
        <f t="shared" ref="BO107" si="120">BO106*BO91/1000</f>
        <v>0</v>
      </c>
      <c r="BP107" s="144">
        <f t="shared" ref="BP107" si="121">BP106*BP91/1000</f>
        <v>0</v>
      </c>
      <c r="BQ107" s="144">
        <f t="shared" ref="BQ107" si="122">BQ106*BQ91/1000</f>
        <v>0</v>
      </c>
      <c r="BR107" s="144">
        <f t="shared" ref="BR107" si="123">BR106*BR91/1000</f>
        <v>0</v>
      </c>
      <c r="BS107" s="144">
        <f t="shared" ref="BS107" si="124">BS106*BS91/1000</f>
        <v>0</v>
      </c>
      <c r="BT107" s="75"/>
      <c r="BU107" s="75"/>
      <c r="BV107" s="75"/>
    </row>
    <row r="108" spans="1:74">
      <c r="A108" s="75"/>
      <c r="B108" s="75" t="s">
        <v>194</v>
      </c>
      <c r="C108" s="75"/>
      <c r="D108" s="75" t="s">
        <v>195</v>
      </c>
      <c r="E108" s="75"/>
      <c r="F108" s="75"/>
      <c r="G108" s="75"/>
      <c r="H108" s="101">
        <f>SUM(J108:BS108)</f>
        <v>0</v>
      </c>
      <c r="I108" s="75" t="s">
        <v>193</v>
      </c>
      <c r="J108" s="144">
        <f t="shared" ref="J108:N108" si="125">J105*J107</f>
        <v>0</v>
      </c>
      <c r="K108" s="144">
        <f t="shared" si="125"/>
        <v>0</v>
      </c>
      <c r="L108" s="144">
        <f t="shared" si="125"/>
        <v>0</v>
      </c>
      <c r="M108" s="144">
        <f t="shared" si="125"/>
        <v>0</v>
      </c>
      <c r="N108" s="144">
        <f t="shared" si="125"/>
        <v>0</v>
      </c>
      <c r="O108" s="144">
        <f t="shared" ref="O108:AM108" si="126">O105*O107</f>
        <v>0</v>
      </c>
      <c r="P108" s="144">
        <f t="shared" si="126"/>
        <v>0</v>
      </c>
      <c r="Q108" s="144">
        <f t="shared" si="126"/>
        <v>0</v>
      </c>
      <c r="R108" s="144">
        <f t="shared" si="126"/>
        <v>0</v>
      </c>
      <c r="S108" s="144">
        <f t="shared" si="126"/>
        <v>0</v>
      </c>
      <c r="T108" s="144">
        <f t="shared" si="126"/>
        <v>0</v>
      </c>
      <c r="U108" s="144">
        <f t="shared" si="126"/>
        <v>0</v>
      </c>
      <c r="V108" s="144">
        <f t="shared" si="126"/>
        <v>0</v>
      </c>
      <c r="W108" s="144">
        <f t="shared" si="126"/>
        <v>0</v>
      </c>
      <c r="X108" s="144">
        <f t="shared" si="126"/>
        <v>0</v>
      </c>
      <c r="Y108" s="144">
        <f t="shared" si="126"/>
        <v>0</v>
      </c>
      <c r="Z108" s="144">
        <f t="shared" si="126"/>
        <v>0</v>
      </c>
      <c r="AA108" s="144">
        <f t="shared" si="126"/>
        <v>0</v>
      </c>
      <c r="AB108" s="144">
        <f t="shared" si="126"/>
        <v>0</v>
      </c>
      <c r="AC108" s="144">
        <f t="shared" si="126"/>
        <v>0</v>
      </c>
      <c r="AD108" s="144">
        <f t="shared" si="126"/>
        <v>0</v>
      </c>
      <c r="AE108" s="144">
        <f t="shared" si="126"/>
        <v>0</v>
      </c>
      <c r="AF108" s="144">
        <f t="shared" si="126"/>
        <v>0</v>
      </c>
      <c r="AG108" s="144">
        <f t="shared" si="126"/>
        <v>0</v>
      </c>
      <c r="AH108" s="144">
        <f t="shared" si="126"/>
        <v>0</v>
      </c>
      <c r="AI108" s="144">
        <f t="shared" si="126"/>
        <v>0</v>
      </c>
      <c r="AJ108" s="144">
        <f t="shared" si="126"/>
        <v>0</v>
      </c>
      <c r="AK108" s="144">
        <f t="shared" si="126"/>
        <v>0</v>
      </c>
      <c r="AL108" s="144">
        <f t="shared" si="126"/>
        <v>0</v>
      </c>
      <c r="AM108" s="144">
        <f t="shared" si="126"/>
        <v>0</v>
      </c>
      <c r="AN108" s="144">
        <f t="shared" ref="AN108:BS108" si="127">AN105*AN107</f>
        <v>0</v>
      </c>
      <c r="AO108" s="144">
        <f t="shared" si="127"/>
        <v>0</v>
      </c>
      <c r="AP108" s="144">
        <f t="shared" si="127"/>
        <v>0</v>
      </c>
      <c r="AQ108" s="144">
        <f t="shared" si="127"/>
        <v>0</v>
      </c>
      <c r="AR108" s="144">
        <f t="shared" si="127"/>
        <v>0</v>
      </c>
      <c r="AS108" s="144">
        <f t="shared" si="127"/>
        <v>0</v>
      </c>
      <c r="AT108" s="144">
        <f t="shared" si="127"/>
        <v>0</v>
      </c>
      <c r="AU108" s="144">
        <f t="shared" si="127"/>
        <v>0</v>
      </c>
      <c r="AV108" s="144">
        <f t="shared" si="127"/>
        <v>0</v>
      </c>
      <c r="AW108" s="144">
        <f t="shared" si="127"/>
        <v>0</v>
      </c>
      <c r="AX108" s="144">
        <f t="shared" si="127"/>
        <v>0</v>
      </c>
      <c r="AY108" s="144">
        <f t="shared" si="127"/>
        <v>0</v>
      </c>
      <c r="AZ108" s="144">
        <f t="shared" si="127"/>
        <v>0</v>
      </c>
      <c r="BA108" s="144">
        <f t="shared" si="127"/>
        <v>0</v>
      </c>
      <c r="BB108" s="144">
        <f t="shared" si="127"/>
        <v>0</v>
      </c>
      <c r="BC108" s="144">
        <f t="shared" si="127"/>
        <v>0</v>
      </c>
      <c r="BD108" s="144">
        <f t="shared" si="127"/>
        <v>0</v>
      </c>
      <c r="BE108" s="144">
        <f t="shared" si="127"/>
        <v>0</v>
      </c>
      <c r="BF108" s="144">
        <f t="shared" si="127"/>
        <v>0</v>
      </c>
      <c r="BG108" s="144">
        <f t="shared" si="127"/>
        <v>0</v>
      </c>
      <c r="BH108" s="144">
        <f t="shared" si="127"/>
        <v>0</v>
      </c>
      <c r="BI108" s="144">
        <f t="shared" si="127"/>
        <v>0</v>
      </c>
      <c r="BJ108" s="144">
        <f t="shared" si="127"/>
        <v>0</v>
      </c>
      <c r="BK108" s="144">
        <f t="shared" si="127"/>
        <v>0</v>
      </c>
      <c r="BL108" s="144">
        <f t="shared" si="127"/>
        <v>0</v>
      </c>
      <c r="BM108" s="144">
        <f t="shared" si="127"/>
        <v>0</v>
      </c>
      <c r="BN108" s="144">
        <f t="shared" si="127"/>
        <v>0</v>
      </c>
      <c r="BO108" s="144">
        <f t="shared" si="127"/>
        <v>0</v>
      </c>
      <c r="BP108" s="144">
        <f t="shared" si="127"/>
        <v>0</v>
      </c>
      <c r="BQ108" s="144">
        <f t="shared" si="127"/>
        <v>0</v>
      </c>
      <c r="BR108" s="144">
        <f t="shared" si="127"/>
        <v>0</v>
      </c>
      <c r="BS108" s="144">
        <f t="shared" si="127"/>
        <v>0</v>
      </c>
      <c r="BT108" s="75"/>
      <c r="BU108" s="75"/>
      <c r="BV108" s="75"/>
    </row>
    <row r="109" spans="1:74">
      <c r="A109" s="75"/>
      <c r="B109" s="75" t="s">
        <v>196</v>
      </c>
      <c r="C109" s="75"/>
      <c r="D109" s="75" t="s">
        <v>197</v>
      </c>
      <c r="E109" s="75"/>
      <c r="F109" s="75"/>
      <c r="G109" s="75"/>
      <c r="H109" s="101">
        <f>SUM(J109:BS109)</f>
        <v>0</v>
      </c>
      <c r="I109" s="75" t="s">
        <v>130</v>
      </c>
      <c r="J109" s="138">
        <f t="shared" ref="J109:N109" si="128">(J107-J108)*J104</f>
        <v>0</v>
      </c>
      <c r="K109" s="138">
        <f t="shared" si="128"/>
        <v>0</v>
      </c>
      <c r="L109" s="138">
        <f t="shared" si="128"/>
        <v>0</v>
      </c>
      <c r="M109" s="138">
        <f t="shared" si="128"/>
        <v>0</v>
      </c>
      <c r="N109" s="138">
        <f t="shared" si="128"/>
        <v>0</v>
      </c>
      <c r="O109" s="138">
        <f>(O107-O108)*O104</f>
        <v>0</v>
      </c>
      <c r="P109" s="138">
        <f t="shared" ref="P109:AM109" si="129">(P107-P108)*P104</f>
        <v>0</v>
      </c>
      <c r="Q109" s="138">
        <f t="shared" si="129"/>
        <v>0</v>
      </c>
      <c r="R109" s="138">
        <f t="shared" si="129"/>
        <v>0</v>
      </c>
      <c r="S109" s="138">
        <f t="shared" si="129"/>
        <v>0</v>
      </c>
      <c r="T109" s="138">
        <f t="shared" si="129"/>
        <v>0</v>
      </c>
      <c r="U109" s="138">
        <f t="shared" si="129"/>
        <v>0</v>
      </c>
      <c r="V109" s="138">
        <f t="shared" si="129"/>
        <v>0</v>
      </c>
      <c r="W109" s="138">
        <f t="shared" si="129"/>
        <v>0</v>
      </c>
      <c r="X109" s="138">
        <f t="shared" si="129"/>
        <v>0</v>
      </c>
      <c r="Y109" s="138">
        <f t="shared" si="129"/>
        <v>0</v>
      </c>
      <c r="Z109" s="138">
        <f t="shared" si="129"/>
        <v>0</v>
      </c>
      <c r="AA109" s="138">
        <f t="shared" si="129"/>
        <v>0</v>
      </c>
      <c r="AB109" s="138">
        <f t="shared" si="129"/>
        <v>0</v>
      </c>
      <c r="AC109" s="138">
        <f t="shared" si="129"/>
        <v>0</v>
      </c>
      <c r="AD109" s="138">
        <f t="shared" si="129"/>
        <v>0</v>
      </c>
      <c r="AE109" s="138">
        <f t="shared" si="129"/>
        <v>0</v>
      </c>
      <c r="AF109" s="138">
        <f t="shared" si="129"/>
        <v>0</v>
      </c>
      <c r="AG109" s="138">
        <f t="shared" si="129"/>
        <v>0</v>
      </c>
      <c r="AH109" s="138">
        <f t="shared" si="129"/>
        <v>0</v>
      </c>
      <c r="AI109" s="138">
        <f t="shared" si="129"/>
        <v>0</v>
      </c>
      <c r="AJ109" s="138">
        <f t="shared" si="129"/>
        <v>0</v>
      </c>
      <c r="AK109" s="138">
        <f t="shared" si="129"/>
        <v>0</v>
      </c>
      <c r="AL109" s="138">
        <f t="shared" si="129"/>
        <v>0</v>
      </c>
      <c r="AM109" s="138">
        <f t="shared" si="129"/>
        <v>0</v>
      </c>
      <c r="AN109" s="138">
        <f t="shared" ref="AN109" si="130">(AN107-AN108)*AN104</f>
        <v>0</v>
      </c>
      <c r="AO109" s="138">
        <f t="shared" ref="AO109" si="131">(AO107-AO108)*AO104</f>
        <v>0</v>
      </c>
      <c r="AP109" s="138">
        <f t="shared" ref="AP109" si="132">(AP107-AP108)*AP104</f>
        <v>0</v>
      </c>
      <c r="AQ109" s="138">
        <f t="shared" ref="AQ109" si="133">(AQ107-AQ108)*AQ104</f>
        <v>0</v>
      </c>
      <c r="AR109" s="138">
        <f t="shared" ref="AR109" si="134">(AR107-AR108)*AR104</f>
        <v>0</v>
      </c>
      <c r="AS109" s="138">
        <f t="shared" ref="AS109" si="135">(AS107-AS108)*AS104</f>
        <v>0</v>
      </c>
      <c r="AT109" s="138">
        <f t="shared" ref="AT109" si="136">(AT107-AT108)*AT104</f>
        <v>0</v>
      </c>
      <c r="AU109" s="138">
        <f t="shared" ref="AU109" si="137">(AU107-AU108)*AU104</f>
        <v>0</v>
      </c>
      <c r="AV109" s="138">
        <f t="shared" ref="AV109" si="138">(AV107-AV108)*AV104</f>
        <v>0</v>
      </c>
      <c r="AW109" s="138">
        <f t="shared" ref="AW109" si="139">(AW107-AW108)*AW104</f>
        <v>0</v>
      </c>
      <c r="AX109" s="138">
        <f t="shared" ref="AX109" si="140">(AX107-AX108)*AX104</f>
        <v>0</v>
      </c>
      <c r="AY109" s="138">
        <f t="shared" ref="AY109" si="141">(AY107-AY108)*AY104</f>
        <v>0</v>
      </c>
      <c r="AZ109" s="138">
        <f t="shared" ref="AZ109" si="142">(AZ107-AZ108)*AZ104</f>
        <v>0</v>
      </c>
      <c r="BA109" s="138">
        <f t="shared" ref="BA109" si="143">(BA107-BA108)*BA104</f>
        <v>0</v>
      </c>
      <c r="BB109" s="138">
        <f t="shared" ref="BB109" si="144">(BB107-BB108)*BB104</f>
        <v>0</v>
      </c>
      <c r="BC109" s="138">
        <f t="shared" ref="BC109" si="145">(BC107-BC108)*BC104</f>
        <v>0</v>
      </c>
      <c r="BD109" s="138">
        <f t="shared" ref="BD109" si="146">(BD107-BD108)*BD104</f>
        <v>0</v>
      </c>
      <c r="BE109" s="138">
        <f t="shared" ref="BE109" si="147">(BE107-BE108)*BE104</f>
        <v>0</v>
      </c>
      <c r="BF109" s="138">
        <f t="shared" ref="BF109" si="148">(BF107-BF108)*BF104</f>
        <v>0</v>
      </c>
      <c r="BG109" s="138">
        <f t="shared" ref="BG109" si="149">(BG107-BG108)*BG104</f>
        <v>0</v>
      </c>
      <c r="BH109" s="138">
        <f t="shared" ref="BH109" si="150">(BH107-BH108)*BH104</f>
        <v>0</v>
      </c>
      <c r="BI109" s="138">
        <f t="shared" ref="BI109" si="151">(BI107-BI108)*BI104</f>
        <v>0</v>
      </c>
      <c r="BJ109" s="138">
        <f t="shared" ref="BJ109" si="152">(BJ107-BJ108)*BJ104</f>
        <v>0</v>
      </c>
      <c r="BK109" s="138">
        <f t="shared" ref="BK109" si="153">(BK107-BK108)*BK104</f>
        <v>0</v>
      </c>
      <c r="BL109" s="138">
        <f t="shared" ref="BL109" si="154">(BL107-BL108)*BL104</f>
        <v>0</v>
      </c>
      <c r="BM109" s="138">
        <f t="shared" ref="BM109" si="155">(BM107-BM108)*BM104</f>
        <v>0</v>
      </c>
      <c r="BN109" s="138">
        <f t="shared" ref="BN109" si="156">(BN107-BN108)*BN104</f>
        <v>0</v>
      </c>
      <c r="BO109" s="138">
        <f t="shared" ref="BO109" si="157">(BO107-BO108)*BO104</f>
        <v>0</v>
      </c>
      <c r="BP109" s="138">
        <f t="shared" ref="BP109" si="158">(BP107-BP108)*BP104</f>
        <v>0</v>
      </c>
      <c r="BQ109" s="138">
        <f t="shared" ref="BQ109" si="159">(BQ107-BQ108)*BQ104</f>
        <v>0</v>
      </c>
      <c r="BR109" s="138">
        <f t="shared" ref="BR109" si="160">(BR107-BR108)*BR104</f>
        <v>0</v>
      </c>
      <c r="BS109" s="138">
        <f t="shared" ref="BS109" si="161">(BS107-BS108)*BS104</f>
        <v>0</v>
      </c>
      <c r="BT109" s="75"/>
      <c r="BU109" s="75"/>
      <c r="BV109" s="75"/>
    </row>
    <row r="110" spans="1:74">
      <c r="A110" s="75"/>
      <c r="B110" s="75" t="s">
        <v>198</v>
      </c>
      <c r="C110" s="75"/>
      <c r="D110" s="75" t="s">
        <v>199</v>
      </c>
      <c r="E110" s="75"/>
      <c r="F110" s="75"/>
      <c r="G110" s="75"/>
      <c r="H110" s="139">
        <f>SUM(J110:BS110)</f>
        <v>0</v>
      </c>
      <c r="I110" s="109" t="s">
        <v>130</v>
      </c>
      <c r="J110" s="138">
        <f t="shared" ref="J110:AO110" si="162">J109*J48</f>
        <v>0</v>
      </c>
      <c r="K110" s="138">
        <f t="shared" si="162"/>
        <v>0</v>
      </c>
      <c r="L110" s="138">
        <f t="shared" si="162"/>
        <v>0</v>
      </c>
      <c r="M110" s="138">
        <f t="shared" si="162"/>
        <v>0</v>
      </c>
      <c r="N110" s="138">
        <f t="shared" si="162"/>
        <v>0</v>
      </c>
      <c r="O110" s="138">
        <f t="shared" si="162"/>
        <v>0</v>
      </c>
      <c r="P110" s="138">
        <f t="shared" si="162"/>
        <v>0</v>
      </c>
      <c r="Q110" s="138">
        <f t="shared" si="162"/>
        <v>0</v>
      </c>
      <c r="R110" s="138">
        <f t="shared" si="162"/>
        <v>0</v>
      </c>
      <c r="S110" s="138">
        <f t="shared" si="162"/>
        <v>0</v>
      </c>
      <c r="T110" s="138">
        <f t="shared" si="162"/>
        <v>0</v>
      </c>
      <c r="U110" s="138">
        <f t="shared" si="162"/>
        <v>0</v>
      </c>
      <c r="V110" s="138">
        <f t="shared" si="162"/>
        <v>0</v>
      </c>
      <c r="W110" s="138">
        <f t="shared" si="162"/>
        <v>0</v>
      </c>
      <c r="X110" s="138">
        <f t="shared" si="162"/>
        <v>0</v>
      </c>
      <c r="Y110" s="138">
        <f t="shared" si="162"/>
        <v>0</v>
      </c>
      <c r="Z110" s="138">
        <f t="shared" si="162"/>
        <v>0</v>
      </c>
      <c r="AA110" s="138">
        <f t="shared" si="162"/>
        <v>0</v>
      </c>
      <c r="AB110" s="138">
        <f t="shared" si="162"/>
        <v>0</v>
      </c>
      <c r="AC110" s="138">
        <f t="shared" si="162"/>
        <v>0</v>
      </c>
      <c r="AD110" s="138">
        <f t="shared" si="162"/>
        <v>0</v>
      </c>
      <c r="AE110" s="138">
        <f t="shared" si="162"/>
        <v>0</v>
      </c>
      <c r="AF110" s="138">
        <f t="shared" si="162"/>
        <v>0</v>
      </c>
      <c r="AG110" s="138">
        <f t="shared" si="162"/>
        <v>0</v>
      </c>
      <c r="AH110" s="138">
        <f t="shared" si="162"/>
        <v>0</v>
      </c>
      <c r="AI110" s="138">
        <f t="shared" si="162"/>
        <v>0</v>
      </c>
      <c r="AJ110" s="138">
        <f t="shared" si="162"/>
        <v>0</v>
      </c>
      <c r="AK110" s="138">
        <f t="shared" si="162"/>
        <v>0</v>
      </c>
      <c r="AL110" s="138">
        <f t="shared" si="162"/>
        <v>0</v>
      </c>
      <c r="AM110" s="138">
        <f t="shared" si="162"/>
        <v>0</v>
      </c>
      <c r="AN110" s="138">
        <f t="shared" si="162"/>
        <v>0</v>
      </c>
      <c r="AO110" s="138">
        <f t="shared" si="162"/>
        <v>0</v>
      </c>
      <c r="AP110" s="138">
        <f t="shared" ref="AP110:BS110" si="163">AP109*AP48</f>
        <v>0</v>
      </c>
      <c r="AQ110" s="138">
        <f t="shared" si="163"/>
        <v>0</v>
      </c>
      <c r="AR110" s="138">
        <f t="shared" si="163"/>
        <v>0</v>
      </c>
      <c r="AS110" s="138">
        <f t="shared" si="163"/>
        <v>0</v>
      </c>
      <c r="AT110" s="138">
        <f t="shared" si="163"/>
        <v>0</v>
      </c>
      <c r="AU110" s="138">
        <f t="shared" si="163"/>
        <v>0</v>
      </c>
      <c r="AV110" s="138">
        <f t="shared" si="163"/>
        <v>0</v>
      </c>
      <c r="AW110" s="138">
        <f t="shared" si="163"/>
        <v>0</v>
      </c>
      <c r="AX110" s="138">
        <f t="shared" si="163"/>
        <v>0</v>
      </c>
      <c r="AY110" s="138">
        <f t="shared" si="163"/>
        <v>0</v>
      </c>
      <c r="AZ110" s="138">
        <f t="shared" si="163"/>
        <v>0</v>
      </c>
      <c r="BA110" s="138">
        <f t="shared" si="163"/>
        <v>0</v>
      </c>
      <c r="BB110" s="138">
        <f t="shared" si="163"/>
        <v>0</v>
      </c>
      <c r="BC110" s="138">
        <f t="shared" si="163"/>
        <v>0</v>
      </c>
      <c r="BD110" s="138">
        <f t="shared" si="163"/>
        <v>0</v>
      </c>
      <c r="BE110" s="138">
        <f t="shared" si="163"/>
        <v>0</v>
      </c>
      <c r="BF110" s="138">
        <f t="shared" si="163"/>
        <v>0</v>
      </c>
      <c r="BG110" s="138">
        <f t="shared" si="163"/>
        <v>0</v>
      </c>
      <c r="BH110" s="138">
        <f t="shared" si="163"/>
        <v>0</v>
      </c>
      <c r="BI110" s="138">
        <f t="shared" si="163"/>
        <v>0</v>
      </c>
      <c r="BJ110" s="138">
        <f t="shared" si="163"/>
        <v>0</v>
      </c>
      <c r="BK110" s="138">
        <f t="shared" si="163"/>
        <v>0</v>
      </c>
      <c r="BL110" s="138">
        <f t="shared" si="163"/>
        <v>0</v>
      </c>
      <c r="BM110" s="138">
        <f t="shared" si="163"/>
        <v>0</v>
      </c>
      <c r="BN110" s="138">
        <f t="shared" si="163"/>
        <v>0</v>
      </c>
      <c r="BO110" s="138">
        <f t="shared" si="163"/>
        <v>0</v>
      </c>
      <c r="BP110" s="138">
        <f t="shared" si="163"/>
        <v>0</v>
      </c>
      <c r="BQ110" s="138">
        <f t="shared" si="163"/>
        <v>0</v>
      </c>
      <c r="BR110" s="138">
        <f t="shared" si="163"/>
        <v>0</v>
      </c>
      <c r="BS110" s="138">
        <f t="shared" si="163"/>
        <v>0</v>
      </c>
      <c r="BT110" s="75"/>
      <c r="BU110" s="75"/>
      <c r="BV110" s="75"/>
    </row>
    <row r="111" spans="1:74" ht="15.95" thickBot="1">
      <c r="A111" s="75"/>
      <c r="B111" s="75"/>
      <c r="C111" s="75"/>
      <c r="D111" s="75"/>
      <c r="E111" s="75"/>
      <c r="F111" s="75"/>
      <c r="G111" s="75"/>
      <c r="H111" s="101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  <c r="AC111" s="75"/>
      <c r="AD111" s="75"/>
      <c r="AE111" s="75"/>
      <c r="AF111" s="75"/>
      <c r="AG111" s="75"/>
      <c r="AH111" s="75"/>
      <c r="AI111" s="75"/>
      <c r="AJ111" s="75"/>
      <c r="AK111" s="75"/>
      <c r="AL111" s="75"/>
      <c r="AM111" s="75"/>
      <c r="AN111" s="75"/>
      <c r="AO111" s="75"/>
      <c r="AP111" s="75"/>
      <c r="AQ111" s="75"/>
      <c r="AR111" s="75"/>
      <c r="AS111" s="75"/>
      <c r="AT111" s="75"/>
      <c r="AU111" s="75"/>
      <c r="AV111" s="75"/>
      <c r="AW111" s="75"/>
      <c r="AX111" s="75"/>
      <c r="AY111" s="75"/>
      <c r="AZ111" s="75"/>
      <c r="BA111" s="75"/>
      <c r="BB111" s="75"/>
      <c r="BC111" s="75"/>
      <c r="BD111" s="75"/>
      <c r="BE111" s="75"/>
      <c r="BF111" s="75"/>
      <c r="BG111" s="75"/>
      <c r="BH111" s="75"/>
      <c r="BI111" s="75"/>
      <c r="BJ111" s="75"/>
      <c r="BK111" s="75"/>
      <c r="BL111" s="75"/>
      <c r="BM111" s="75"/>
      <c r="BN111" s="75"/>
      <c r="BO111" s="75"/>
      <c r="BP111" s="75"/>
      <c r="BQ111" s="75"/>
      <c r="BR111" s="75"/>
      <c r="BS111" s="75"/>
      <c r="BT111" s="75"/>
      <c r="BU111" s="75"/>
      <c r="BV111" s="75"/>
    </row>
    <row r="112" spans="1:74" ht="15.95" thickBot="1">
      <c r="A112" s="75"/>
      <c r="B112" s="82" t="s">
        <v>112</v>
      </c>
      <c r="C112" s="83"/>
      <c r="D112" s="83"/>
      <c r="E112" s="83"/>
      <c r="F112" s="83"/>
      <c r="G112" s="83"/>
      <c r="H112" s="143">
        <f>H115/H54</f>
        <v>0</v>
      </c>
      <c r="I112" s="82" t="s">
        <v>126</v>
      </c>
      <c r="J112" s="83"/>
      <c r="K112" s="83"/>
      <c r="L112" s="83"/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  <c r="AD112" s="83"/>
      <c r="AE112" s="83"/>
      <c r="AF112" s="83"/>
      <c r="AG112" s="83"/>
      <c r="AH112" s="83"/>
      <c r="AI112" s="83"/>
      <c r="AJ112" s="83"/>
      <c r="AK112" s="83"/>
      <c r="AL112" s="83"/>
      <c r="AM112" s="83"/>
      <c r="AN112" s="83"/>
      <c r="AO112" s="83"/>
      <c r="AP112" s="83"/>
      <c r="AQ112" s="83"/>
      <c r="AR112" s="83"/>
      <c r="AS112" s="83"/>
      <c r="AT112" s="83"/>
      <c r="AU112" s="83"/>
      <c r="AV112" s="83"/>
      <c r="AW112" s="83"/>
      <c r="AX112" s="83"/>
      <c r="AY112" s="83"/>
      <c r="AZ112" s="83"/>
      <c r="BA112" s="83"/>
      <c r="BB112" s="83"/>
      <c r="BC112" s="83"/>
      <c r="BD112" s="83"/>
      <c r="BE112" s="83"/>
      <c r="BF112" s="83"/>
      <c r="BG112" s="83"/>
      <c r="BH112" s="83"/>
      <c r="BI112" s="83"/>
      <c r="BJ112" s="83"/>
      <c r="BK112" s="83"/>
      <c r="BL112" s="83"/>
      <c r="BM112" s="83"/>
      <c r="BN112" s="83"/>
      <c r="BO112" s="83"/>
      <c r="BP112" s="83"/>
      <c r="BQ112" s="83"/>
      <c r="BR112" s="83"/>
      <c r="BS112" s="83"/>
      <c r="BT112" s="75"/>
      <c r="BU112" s="75"/>
      <c r="BV112" s="75"/>
    </row>
    <row r="113" spans="1:110">
      <c r="A113" s="75"/>
      <c r="B113" s="75" t="s">
        <v>200</v>
      </c>
      <c r="C113" s="75"/>
      <c r="D113" s="75" t="s">
        <v>201</v>
      </c>
      <c r="E113" s="75"/>
      <c r="F113" s="75"/>
      <c r="G113" s="75"/>
      <c r="H113" s="117">
        <f>O15</f>
        <v>0</v>
      </c>
      <c r="I113" s="75" t="s">
        <v>202</v>
      </c>
      <c r="J113" s="115">
        <f t="shared" ref="J113:AO113" si="164">$H113</f>
        <v>0</v>
      </c>
      <c r="K113" s="115">
        <f t="shared" si="164"/>
        <v>0</v>
      </c>
      <c r="L113" s="115">
        <f t="shared" si="164"/>
        <v>0</v>
      </c>
      <c r="M113" s="115">
        <f t="shared" si="164"/>
        <v>0</v>
      </c>
      <c r="N113" s="115">
        <f t="shared" si="164"/>
        <v>0</v>
      </c>
      <c r="O113" s="115">
        <f t="shared" si="164"/>
        <v>0</v>
      </c>
      <c r="P113" s="115">
        <f t="shared" si="164"/>
        <v>0</v>
      </c>
      <c r="Q113" s="115">
        <f t="shared" si="164"/>
        <v>0</v>
      </c>
      <c r="R113" s="115">
        <f t="shared" si="164"/>
        <v>0</v>
      </c>
      <c r="S113" s="115">
        <f t="shared" si="164"/>
        <v>0</v>
      </c>
      <c r="T113" s="115">
        <f t="shared" si="164"/>
        <v>0</v>
      </c>
      <c r="U113" s="115">
        <f t="shared" si="164"/>
        <v>0</v>
      </c>
      <c r="V113" s="115">
        <f t="shared" si="164"/>
        <v>0</v>
      </c>
      <c r="W113" s="115">
        <f t="shared" si="164"/>
        <v>0</v>
      </c>
      <c r="X113" s="115">
        <f t="shared" si="164"/>
        <v>0</v>
      </c>
      <c r="Y113" s="115">
        <f t="shared" si="164"/>
        <v>0</v>
      </c>
      <c r="Z113" s="115">
        <f t="shared" si="164"/>
        <v>0</v>
      </c>
      <c r="AA113" s="115">
        <f t="shared" si="164"/>
        <v>0</v>
      </c>
      <c r="AB113" s="115">
        <f t="shared" si="164"/>
        <v>0</v>
      </c>
      <c r="AC113" s="115">
        <f t="shared" si="164"/>
        <v>0</v>
      </c>
      <c r="AD113" s="115">
        <f t="shared" si="164"/>
        <v>0</v>
      </c>
      <c r="AE113" s="115">
        <f t="shared" si="164"/>
        <v>0</v>
      </c>
      <c r="AF113" s="115">
        <f t="shared" si="164"/>
        <v>0</v>
      </c>
      <c r="AG113" s="115">
        <f t="shared" si="164"/>
        <v>0</v>
      </c>
      <c r="AH113" s="115">
        <f t="shared" si="164"/>
        <v>0</v>
      </c>
      <c r="AI113" s="115">
        <f t="shared" si="164"/>
        <v>0</v>
      </c>
      <c r="AJ113" s="115">
        <f t="shared" si="164"/>
        <v>0</v>
      </c>
      <c r="AK113" s="115">
        <f t="shared" si="164"/>
        <v>0</v>
      </c>
      <c r="AL113" s="115">
        <f t="shared" si="164"/>
        <v>0</v>
      </c>
      <c r="AM113" s="115">
        <f t="shared" si="164"/>
        <v>0</v>
      </c>
      <c r="AN113" s="115">
        <f t="shared" si="164"/>
        <v>0</v>
      </c>
      <c r="AO113" s="115">
        <f t="shared" si="164"/>
        <v>0</v>
      </c>
      <c r="AP113" s="115">
        <f t="shared" ref="AP113:BS113" si="165">$H113</f>
        <v>0</v>
      </c>
      <c r="AQ113" s="115">
        <f t="shared" si="165"/>
        <v>0</v>
      </c>
      <c r="AR113" s="115">
        <f t="shared" si="165"/>
        <v>0</v>
      </c>
      <c r="AS113" s="115">
        <f t="shared" si="165"/>
        <v>0</v>
      </c>
      <c r="AT113" s="115">
        <f t="shared" si="165"/>
        <v>0</v>
      </c>
      <c r="AU113" s="115">
        <f t="shared" si="165"/>
        <v>0</v>
      </c>
      <c r="AV113" s="115">
        <f t="shared" si="165"/>
        <v>0</v>
      </c>
      <c r="AW113" s="115">
        <f t="shared" si="165"/>
        <v>0</v>
      </c>
      <c r="AX113" s="115">
        <f t="shared" si="165"/>
        <v>0</v>
      </c>
      <c r="AY113" s="115">
        <f t="shared" si="165"/>
        <v>0</v>
      </c>
      <c r="AZ113" s="115">
        <f t="shared" si="165"/>
        <v>0</v>
      </c>
      <c r="BA113" s="115">
        <f t="shared" si="165"/>
        <v>0</v>
      </c>
      <c r="BB113" s="115">
        <f t="shared" si="165"/>
        <v>0</v>
      </c>
      <c r="BC113" s="115">
        <f t="shared" si="165"/>
        <v>0</v>
      </c>
      <c r="BD113" s="115">
        <f t="shared" si="165"/>
        <v>0</v>
      </c>
      <c r="BE113" s="115">
        <f t="shared" si="165"/>
        <v>0</v>
      </c>
      <c r="BF113" s="115">
        <f t="shared" si="165"/>
        <v>0</v>
      </c>
      <c r="BG113" s="115">
        <f t="shared" si="165"/>
        <v>0</v>
      </c>
      <c r="BH113" s="115">
        <f t="shared" si="165"/>
        <v>0</v>
      </c>
      <c r="BI113" s="115">
        <f t="shared" si="165"/>
        <v>0</v>
      </c>
      <c r="BJ113" s="115">
        <f t="shared" si="165"/>
        <v>0</v>
      </c>
      <c r="BK113" s="115">
        <f t="shared" si="165"/>
        <v>0</v>
      </c>
      <c r="BL113" s="115">
        <f t="shared" si="165"/>
        <v>0</v>
      </c>
      <c r="BM113" s="115">
        <f t="shared" si="165"/>
        <v>0</v>
      </c>
      <c r="BN113" s="115">
        <f t="shared" si="165"/>
        <v>0</v>
      </c>
      <c r="BO113" s="115">
        <f t="shared" si="165"/>
        <v>0</v>
      </c>
      <c r="BP113" s="115">
        <f t="shared" si="165"/>
        <v>0</v>
      </c>
      <c r="BQ113" s="115">
        <f t="shared" si="165"/>
        <v>0</v>
      </c>
      <c r="BR113" s="115">
        <f t="shared" si="165"/>
        <v>0</v>
      </c>
      <c r="BS113" s="115">
        <f t="shared" si="165"/>
        <v>0</v>
      </c>
      <c r="BT113" s="75"/>
      <c r="BU113" s="75"/>
      <c r="BV113" s="75"/>
    </row>
    <row r="114" spans="1:110">
      <c r="A114" s="75"/>
      <c r="B114" s="75" t="s">
        <v>203</v>
      </c>
      <c r="C114" s="75"/>
      <c r="D114" s="75" t="s">
        <v>204</v>
      </c>
      <c r="E114" s="75"/>
      <c r="F114" s="75"/>
      <c r="G114" s="75"/>
      <c r="H114" s="132">
        <f>SUM(J114:BS114)</f>
        <v>0</v>
      </c>
      <c r="I114" s="75" t="s">
        <v>130</v>
      </c>
      <c r="J114" s="145">
        <f t="shared" ref="J114" si="166">J113*J108</f>
        <v>0</v>
      </c>
      <c r="K114" s="145">
        <f t="shared" ref="K114" si="167">K113*K108</f>
        <v>0</v>
      </c>
      <c r="L114" s="145">
        <f t="shared" ref="L114" si="168">L113*L108</f>
        <v>0</v>
      </c>
      <c r="M114" s="145">
        <f t="shared" ref="M114" si="169">M113*M108</f>
        <v>0</v>
      </c>
      <c r="N114" s="145">
        <f t="shared" ref="N114" si="170">N113*N108</f>
        <v>0</v>
      </c>
      <c r="O114" s="145">
        <f t="shared" ref="O114" si="171">O113*O108</f>
        <v>0</v>
      </c>
      <c r="P114" s="145">
        <f t="shared" ref="P114" si="172">P113*P108</f>
        <v>0</v>
      </c>
      <c r="Q114" s="145">
        <f t="shared" ref="Q114" si="173">Q113*Q108</f>
        <v>0</v>
      </c>
      <c r="R114" s="145">
        <f t="shared" ref="R114" si="174">R113*R108</f>
        <v>0</v>
      </c>
      <c r="S114" s="145">
        <f t="shared" ref="S114" si="175">S113*S108</f>
        <v>0</v>
      </c>
      <c r="T114" s="145">
        <f t="shared" ref="T114" si="176">T113*T108</f>
        <v>0</v>
      </c>
      <c r="U114" s="145">
        <f t="shared" ref="U114" si="177">U113*U108</f>
        <v>0</v>
      </c>
      <c r="V114" s="145">
        <f t="shared" ref="V114" si="178">V113*V108</f>
        <v>0</v>
      </c>
      <c r="W114" s="145">
        <f t="shared" ref="W114" si="179">W113*W108</f>
        <v>0</v>
      </c>
      <c r="X114" s="145">
        <f t="shared" ref="X114" si="180">X113*X108</f>
        <v>0</v>
      </c>
      <c r="Y114" s="145">
        <f t="shared" ref="Y114" si="181">Y113*Y108</f>
        <v>0</v>
      </c>
      <c r="Z114" s="145">
        <f t="shared" ref="Z114" si="182">Z113*Z108</f>
        <v>0</v>
      </c>
      <c r="AA114" s="145">
        <f t="shared" ref="AA114" si="183">AA113*AA108</f>
        <v>0</v>
      </c>
      <c r="AB114" s="145">
        <f t="shared" ref="AB114" si="184">AB113*AB108</f>
        <v>0</v>
      </c>
      <c r="AC114" s="145">
        <f t="shared" ref="AC114" si="185">AC113*AC108</f>
        <v>0</v>
      </c>
      <c r="AD114" s="145">
        <f t="shared" ref="AD114" si="186">AD113*AD108</f>
        <v>0</v>
      </c>
      <c r="AE114" s="145">
        <f t="shared" ref="AE114" si="187">AE113*AE108</f>
        <v>0</v>
      </c>
      <c r="AF114" s="145">
        <f t="shared" ref="AF114" si="188">AF113*AF108</f>
        <v>0</v>
      </c>
      <c r="AG114" s="145">
        <f t="shared" ref="AG114" si="189">AG113*AG108</f>
        <v>0</v>
      </c>
      <c r="AH114" s="145">
        <f t="shared" ref="AH114" si="190">AH113*AH108</f>
        <v>0</v>
      </c>
      <c r="AI114" s="145">
        <f t="shared" ref="AI114" si="191">AI113*AI108</f>
        <v>0</v>
      </c>
      <c r="AJ114" s="145">
        <f t="shared" ref="AJ114" si="192">AJ113*AJ108</f>
        <v>0</v>
      </c>
      <c r="AK114" s="145">
        <f t="shared" ref="AK114" si="193">AK113*AK108</f>
        <v>0</v>
      </c>
      <c r="AL114" s="145">
        <f t="shared" ref="AL114" si="194">AL113*AL108</f>
        <v>0</v>
      </c>
      <c r="AM114" s="145">
        <f t="shared" ref="AM114" si="195">AM113*AM108</f>
        <v>0</v>
      </c>
      <c r="AN114" s="145">
        <f t="shared" ref="AN114" si="196">AN113*AN108</f>
        <v>0</v>
      </c>
      <c r="AO114" s="145">
        <f t="shared" ref="AO114" si="197">AO113*AO108</f>
        <v>0</v>
      </c>
      <c r="AP114" s="145">
        <f t="shared" ref="AP114" si="198">AP113*AP108</f>
        <v>0</v>
      </c>
      <c r="AQ114" s="145">
        <f t="shared" ref="AQ114" si="199">AQ113*AQ108</f>
        <v>0</v>
      </c>
      <c r="AR114" s="145">
        <f t="shared" ref="AR114" si="200">AR113*AR108</f>
        <v>0</v>
      </c>
      <c r="AS114" s="145">
        <f t="shared" ref="AS114" si="201">AS113*AS108</f>
        <v>0</v>
      </c>
      <c r="AT114" s="145">
        <f t="shared" ref="AT114" si="202">AT113*AT108</f>
        <v>0</v>
      </c>
      <c r="AU114" s="145">
        <f t="shared" ref="AU114" si="203">AU113*AU108</f>
        <v>0</v>
      </c>
      <c r="AV114" s="145">
        <f t="shared" ref="AV114" si="204">AV113*AV108</f>
        <v>0</v>
      </c>
      <c r="AW114" s="145">
        <f t="shared" ref="AW114" si="205">AW113*AW108</f>
        <v>0</v>
      </c>
      <c r="AX114" s="145">
        <f t="shared" ref="AX114" si="206">AX113*AX108</f>
        <v>0</v>
      </c>
      <c r="AY114" s="145">
        <f t="shared" ref="AY114" si="207">AY113*AY108</f>
        <v>0</v>
      </c>
      <c r="AZ114" s="145">
        <f t="shared" ref="AZ114" si="208">AZ113*AZ108</f>
        <v>0</v>
      </c>
      <c r="BA114" s="145">
        <f t="shared" ref="BA114" si="209">BA113*BA108</f>
        <v>0</v>
      </c>
      <c r="BB114" s="145">
        <f t="shared" ref="BB114" si="210">BB113*BB108</f>
        <v>0</v>
      </c>
      <c r="BC114" s="145">
        <f t="shared" ref="BC114" si="211">BC113*BC108</f>
        <v>0</v>
      </c>
      <c r="BD114" s="145">
        <f t="shared" ref="BD114" si="212">BD113*BD108</f>
        <v>0</v>
      </c>
      <c r="BE114" s="145">
        <f t="shared" ref="BE114" si="213">BE113*BE108</f>
        <v>0</v>
      </c>
      <c r="BF114" s="145">
        <f t="shared" ref="BF114" si="214">BF113*BF108</f>
        <v>0</v>
      </c>
      <c r="BG114" s="145">
        <f t="shared" ref="BG114" si="215">BG113*BG108</f>
        <v>0</v>
      </c>
      <c r="BH114" s="145">
        <f t="shared" ref="BH114" si="216">BH113*BH108</f>
        <v>0</v>
      </c>
      <c r="BI114" s="145">
        <f t="shared" ref="BI114" si="217">BI113*BI108</f>
        <v>0</v>
      </c>
      <c r="BJ114" s="145">
        <f t="shared" ref="BJ114" si="218">BJ113*BJ108</f>
        <v>0</v>
      </c>
      <c r="BK114" s="145">
        <f t="shared" ref="BK114" si="219">BK113*BK108</f>
        <v>0</v>
      </c>
      <c r="BL114" s="145">
        <f t="shared" ref="BL114" si="220">BL113*BL108</f>
        <v>0</v>
      </c>
      <c r="BM114" s="145">
        <f t="shared" ref="BM114" si="221">BM113*BM108</f>
        <v>0</v>
      </c>
      <c r="BN114" s="145">
        <f t="shared" ref="BN114" si="222">BN113*BN108</f>
        <v>0</v>
      </c>
      <c r="BO114" s="145">
        <f t="shared" ref="BO114" si="223">BO113*BO108</f>
        <v>0</v>
      </c>
      <c r="BP114" s="145">
        <f t="shared" ref="BP114" si="224">BP113*BP108</f>
        <v>0</v>
      </c>
      <c r="BQ114" s="145">
        <f t="shared" ref="BQ114" si="225">BQ113*BQ108</f>
        <v>0</v>
      </c>
      <c r="BR114" s="145">
        <f t="shared" ref="BR114" si="226">BR113*BR108</f>
        <v>0</v>
      </c>
      <c r="BS114" s="145">
        <f t="shared" ref="BS114" si="227">BS113*BS108</f>
        <v>0</v>
      </c>
      <c r="BT114" s="75"/>
      <c r="BU114" s="75"/>
      <c r="BV114" s="75"/>
    </row>
    <row r="115" spans="1:110">
      <c r="A115" s="75"/>
      <c r="B115" s="75" t="s">
        <v>205</v>
      </c>
      <c r="C115" s="75"/>
      <c r="D115" s="75" t="s">
        <v>206</v>
      </c>
      <c r="E115" s="75"/>
      <c r="F115" s="75"/>
      <c r="G115" s="75"/>
      <c r="H115" s="139">
        <f>SUM(J115:BS115)</f>
        <v>0</v>
      </c>
      <c r="I115" s="109" t="s">
        <v>130</v>
      </c>
      <c r="J115" s="146">
        <f t="shared" ref="J115:AO115" si="228">J114*J48</f>
        <v>0</v>
      </c>
      <c r="K115" s="146">
        <f t="shared" si="228"/>
        <v>0</v>
      </c>
      <c r="L115" s="146">
        <f t="shared" si="228"/>
        <v>0</v>
      </c>
      <c r="M115" s="146">
        <f t="shared" si="228"/>
        <v>0</v>
      </c>
      <c r="N115" s="146">
        <f t="shared" si="228"/>
        <v>0</v>
      </c>
      <c r="O115" s="146">
        <f t="shared" si="228"/>
        <v>0</v>
      </c>
      <c r="P115" s="146">
        <f t="shared" si="228"/>
        <v>0</v>
      </c>
      <c r="Q115" s="146">
        <f t="shared" si="228"/>
        <v>0</v>
      </c>
      <c r="R115" s="146">
        <f t="shared" si="228"/>
        <v>0</v>
      </c>
      <c r="S115" s="146">
        <f t="shared" si="228"/>
        <v>0</v>
      </c>
      <c r="T115" s="146">
        <f t="shared" si="228"/>
        <v>0</v>
      </c>
      <c r="U115" s="146">
        <f t="shared" si="228"/>
        <v>0</v>
      </c>
      <c r="V115" s="146">
        <f t="shared" si="228"/>
        <v>0</v>
      </c>
      <c r="W115" s="146">
        <f t="shared" si="228"/>
        <v>0</v>
      </c>
      <c r="X115" s="146">
        <f t="shared" si="228"/>
        <v>0</v>
      </c>
      <c r="Y115" s="146">
        <f t="shared" si="228"/>
        <v>0</v>
      </c>
      <c r="Z115" s="146">
        <f t="shared" si="228"/>
        <v>0</v>
      </c>
      <c r="AA115" s="146">
        <f t="shared" si="228"/>
        <v>0</v>
      </c>
      <c r="AB115" s="146">
        <f t="shared" si="228"/>
        <v>0</v>
      </c>
      <c r="AC115" s="146">
        <f t="shared" si="228"/>
        <v>0</v>
      </c>
      <c r="AD115" s="146">
        <f t="shared" si="228"/>
        <v>0</v>
      </c>
      <c r="AE115" s="146">
        <f t="shared" si="228"/>
        <v>0</v>
      </c>
      <c r="AF115" s="146">
        <f t="shared" si="228"/>
        <v>0</v>
      </c>
      <c r="AG115" s="146">
        <f t="shared" si="228"/>
        <v>0</v>
      </c>
      <c r="AH115" s="146">
        <f t="shared" si="228"/>
        <v>0</v>
      </c>
      <c r="AI115" s="146">
        <f t="shared" si="228"/>
        <v>0</v>
      </c>
      <c r="AJ115" s="146">
        <f t="shared" si="228"/>
        <v>0</v>
      </c>
      <c r="AK115" s="146">
        <f t="shared" si="228"/>
        <v>0</v>
      </c>
      <c r="AL115" s="146">
        <f t="shared" si="228"/>
        <v>0</v>
      </c>
      <c r="AM115" s="146">
        <f t="shared" si="228"/>
        <v>0</v>
      </c>
      <c r="AN115" s="146">
        <f t="shared" si="228"/>
        <v>0</v>
      </c>
      <c r="AO115" s="146">
        <f t="shared" si="228"/>
        <v>0</v>
      </c>
      <c r="AP115" s="146">
        <f t="shared" ref="AP115:BS115" si="229">AP114*AP48</f>
        <v>0</v>
      </c>
      <c r="AQ115" s="146">
        <f t="shared" si="229"/>
        <v>0</v>
      </c>
      <c r="AR115" s="146">
        <f t="shared" si="229"/>
        <v>0</v>
      </c>
      <c r="AS115" s="146">
        <f t="shared" si="229"/>
        <v>0</v>
      </c>
      <c r="AT115" s="146">
        <f t="shared" si="229"/>
        <v>0</v>
      </c>
      <c r="AU115" s="146">
        <f t="shared" si="229"/>
        <v>0</v>
      </c>
      <c r="AV115" s="146">
        <f t="shared" si="229"/>
        <v>0</v>
      </c>
      <c r="AW115" s="146">
        <f t="shared" si="229"/>
        <v>0</v>
      </c>
      <c r="AX115" s="146">
        <f t="shared" si="229"/>
        <v>0</v>
      </c>
      <c r="AY115" s="146">
        <f t="shared" si="229"/>
        <v>0</v>
      </c>
      <c r="AZ115" s="146">
        <f t="shared" si="229"/>
        <v>0</v>
      </c>
      <c r="BA115" s="146">
        <f t="shared" si="229"/>
        <v>0</v>
      </c>
      <c r="BB115" s="146">
        <f t="shared" si="229"/>
        <v>0</v>
      </c>
      <c r="BC115" s="146">
        <f t="shared" si="229"/>
        <v>0</v>
      </c>
      <c r="BD115" s="146">
        <f t="shared" si="229"/>
        <v>0</v>
      </c>
      <c r="BE115" s="146">
        <f t="shared" si="229"/>
        <v>0</v>
      </c>
      <c r="BF115" s="146">
        <f t="shared" si="229"/>
        <v>0</v>
      </c>
      <c r="BG115" s="146">
        <f t="shared" si="229"/>
        <v>0</v>
      </c>
      <c r="BH115" s="146">
        <f t="shared" si="229"/>
        <v>0</v>
      </c>
      <c r="BI115" s="146">
        <f t="shared" si="229"/>
        <v>0</v>
      </c>
      <c r="BJ115" s="146">
        <f t="shared" si="229"/>
        <v>0</v>
      </c>
      <c r="BK115" s="146">
        <f t="shared" si="229"/>
        <v>0</v>
      </c>
      <c r="BL115" s="146">
        <f t="shared" si="229"/>
        <v>0</v>
      </c>
      <c r="BM115" s="146">
        <f t="shared" si="229"/>
        <v>0</v>
      </c>
      <c r="BN115" s="146">
        <f t="shared" si="229"/>
        <v>0</v>
      </c>
      <c r="BO115" s="146">
        <f t="shared" si="229"/>
        <v>0</v>
      </c>
      <c r="BP115" s="146">
        <f t="shared" si="229"/>
        <v>0</v>
      </c>
      <c r="BQ115" s="146">
        <f t="shared" si="229"/>
        <v>0</v>
      </c>
      <c r="BR115" s="146">
        <f t="shared" si="229"/>
        <v>0</v>
      </c>
      <c r="BS115" s="146">
        <f t="shared" si="229"/>
        <v>0</v>
      </c>
      <c r="BT115" s="75"/>
      <c r="BU115" s="75"/>
      <c r="BV115" s="75"/>
    </row>
    <row r="116" spans="1:110" ht="15.95" thickBot="1">
      <c r="A116" s="75"/>
      <c r="B116" s="75"/>
      <c r="C116" s="75"/>
      <c r="D116" s="75"/>
      <c r="E116" s="75"/>
      <c r="F116" s="75"/>
      <c r="G116" s="7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  <c r="AC116" s="75"/>
      <c r="AD116" s="75"/>
      <c r="AE116" s="75"/>
      <c r="AF116" s="75"/>
      <c r="AG116" s="75"/>
      <c r="AH116" s="75"/>
      <c r="AI116" s="75"/>
      <c r="AJ116" s="75"/>
      <c r="AK116" s="75"/>
      <c r="AL116" s="75"/>
      <c r="AM116" s="75"/>
      <c r="AN116" s="75"/>
      <c r="AO116" s="75"/>
      <c r="AP116" s="75"/>
      <c r="AQ116" s="75"/>
      <c r="AR116" s="75"/>
      <c r="AS116" s="75"/>
      <c r="AT116" s="75"/>
      <c r="AU116" s="75"/>
      <c r="AV116" s="75"/>
      <c r="AW116" s="75"/>
      <c r="AX116" s="75"/>
      <c r="AY116" s="75"/>
      <c r="AZ116" s="75"/>
      <c r="BA116" s="75"/>
      <c r="BB116" s="75"/>
      <c r="BC116" s="75"/>
      <c r="BD116" s="75"/>
      <c r="BE116" s="75"/>
      <c r="BF116" s="75"/>
      <c r="BG116" s="75"/>
      <c r="BH116" s="75"/>
      <c r="BI116" s="75"/>
      <c r="BJ116" s="75"/>
      <c r="BK116" s="75"/>
      <c r="BL116" s="75"/>
      <c r="BM116" s="75"/>
      <c r="BN116" s="75"/>
      <c r="BO116" s="75"/>
      <c r="BP116" s="75"/>
      <c r="BQ116" s="75"/>
      <c r="BR116" s="75"/>
      <c r="BS116" s="75"/>
      <c r="BT116" s="75"/>
      <c r="BU116" s="75"/>
      <c r="BV116" s="75"/>
    </row>
    <row r="117" spans="1:110" ht="15.95" thickBot="1">
      <c r="A117" s="75"/>
      <c r="B117" s="82" t="s">
        <v>207</v>
      </c>
      <c r="C117" s="83"/>
      <c r="D117" s="83"/>
      <c r="E117" s="83"/>
      <c r="F117" s="83"/>
      <c r="G117" s="83"/>
      <c r="H117" s="143">
        <f>H124/H54*-1</f>
        <v>0</v>
      </c>
      <c r="I117" s="82" t="s">
        <v>126</v>
      </c>
      <c r="J117" s="83"/>
      <c r="K117" s="83"/>
      <c r="L117" s="83"/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  <c r="AD117" s="83"/>
      <c r="AE117" s="83"/>
      <c r="AF117" s="83"/>
      <c r="AG117" s="83"/>
      <c r="AH117" s="83"/>
      <c r="AI117" s="83"/>
      <c r="AJ117" s="83"/>
      <c r="AK117" s="83"/>
      <c r="AL117" s="83"/>
      <c r="AM117" s="83"/>
      <c r="AN117" s="83"/>
      <c r="AO117" s="83"/>
      <c r="AP117" s="83"/>
      <c r="AQ117" s="83"/>
      <c r="AR117" s="83"/>
      <c r="AS117" s="83"/>
      <c r="AT117" s="83"/>
      <c r="AU117" s="83"/>
      <c r="AV117" s="83"/>
      <c r="AW117" s="83"/>
      <c r="AX117" s="83"/>
      <c r="AY117" s="83"/>
      <c r="AZ117" s="83"/>
      <c r="BA117" s="83"/>
      <c r="BB117" s="83"/>
      <c r="BC117" s="83"/>
      <c r="BD117" s="83"/>
      <c r="BE117" s="83"/>
      <c r="BF117" s="83"/>
      <c r="BG117" s="83"/>
      <c r="BH117" s="83"/>
      <c r="BI117" s="83"/>
      <c r="BJ117" s="83"/>
      <c r="BK117" s="83"/>
      <c r="BL117" s="83"/>
      <c r="BM117" s="83"/>
      <c r="BN117" s="83"/>
      <c r="BO117" s="83"/>
      <c r="BP117" s="83"/>
      <c r="BQ117" s="83"/>
      <c r="BR117" s="83"/>
      <c r="BS117" s="83"/>
      <c r="BT117" s="75"/>
      <c r="BU117" s="75"/>
      <c r="BV117" s="75"/>
    </row>
    <row r="118" spans="1:110">
      <c r="A118" s="75"/>
      <c r="B118" s="75" t="s">
        <v>208</v>
      </c>
      <c r="C118" s="75"/>
      <c r="D118" s="75" t="s">
        <v>209</v>
      </c>
      <c r="E118" s="75"/>
      <c r="F118" s="75"/>
      <c r="G118" s="75"/>
      <c r="H118" s="117">
        <f>C26/C27</f>
        <v>3378.3783783783783</v>
      </c>
      <c r="I118" s="75" t="s">
        <v>210</v>
      </c>
      <c r="J118" s="142">
        <f>$H118*J51</f>
        <v>0</v>
      </c>
      <c r="K118" s="142">
        <f t="shared" ref="K118:BS118" si="230">$H118*K51</f>
        <v>0</v>
      </c>
      <c r="L118" s="142">
        <f t="shared" si="230"/>
        <v>0</v>
      </c>
      <c r="M118" s="142">
        <f t="shared" si="230"/>
        <v>0</v>
      </c>
      <c r="N118" s="142">
        <f t="shared" si="230"/>
        <v>0</v>
      </c>
      <c r="O118" s="142">
        <f t="shared" si="230"/>
        <v>0</v>
      </c>
      <c r="P118" s="142">
        <f t="shared" si="230"/>
        <v>0</v>
      </c>
      <c r="Q118" s="142">
        <f t="shared" si="230"/>
        <v>0</v>
      </c>
      <c r="R118" s="142">
        <f t="shared" si="230"/>
        <v>3378.3783783783783</v>
      </c>
      <c r="S118" s="142">
        <f t="shared" si="230"/>
        <v>3378.3783783783783</v>
      </c>
      <c r="T118" s="142">
        <f t="shared" si="230"/>
        <v>3378.3783783783783</v>
      </c>
      <c r="U118" s="142">
        <f t="shared" si="230"/>
        <v>3378.3783783783783</v>
      </c>
      <c r="V118" s="142">
        <f t="shared" si="230"/>
        <v>3378.3783783783783</v>
      </c>
      <c r="W118" s="142">
        <f t="shared" si="230"/>
        <v>3378.3783783783783</v>
      </c>
      <c r="X118" s="142">
        <f t="shared" si="230"/>
        <v>3378.3783783783783</v>
      </c>
      <c r="Y118" s="142">
        <f t="shared" si="230"/>
        <v>3378.3783783783783</v>
      </c>
      <c r="Z118" s="142">
        <f t="shared" si="230"/>
        <v>3378.3783783783783</v>
      </c>
      <c r="AA118" s="142">
        <f t="shared" si="230"/>
        <v>3378.3783783783783</v>
      </c>
      <c r="AB118" s="142">
        <f t="shared" si="230"/>
        <v>3378.3783783783783</v>
      </c>
      <c r="AC118" s="142">
        <f t="shared" si="230"/>
        <v>3378.3783783783783</v>
      </c>
      <c r="AD118" s="142">
        <f t="shared" si="230"/>
        <v>3378.3783783783783</v>
      </c>
      <c r="AE118" s="142">
        <f t="shared" si="230"/>
        <v>3378.3783783783783</v>
      </c>
      <c r="AF118" s="142">
        <f t="shared" si="230"/>
        <v>3378.3783783783783</v>
      </c>
      <c r="AG118" s="142">
        <f t="shared" si="230"/>
        <v>3378.3783783783783</v>
      </c>
      <c r="AH118" s="142">
        <f t="shared" si="230"/>
        <v>3378.3783783783783</v>
      </c>
      <c r="AI118" s="142">
        <f t="shared" si="230"/>
        <v>3378.3783783783783</v>
      </c>
      <c r="AJ118" s="142">
        <f t="shared" si="230"/>
        <v>3378.3783783783783</v>
      </c>
      <c r="AK118" s="142">
        <f t="shared" si="230"/>
        <v>3378.3783783783783</v>
      </c>
      <c r="AL118" s="142">
        <f t="shared" si="230"/>
        <v>3378.3783783783783</v>
      </c>
      <c r="AM118" s="142">
        <f t="shared" si="230"/>
        <v>3378.3783783783783</v>
      </c>
      <c r="AN118" s="142">
        <f t="shared" si="230"/>
        <v>3378.3783783783783</v>
      </c>
      <c r="AO118" s="142">
        <f t="shared" si="230"/>
        <v>3378.3783783783783</v>
      </c>
      <c r="AP118" s="142">
        <f t="shared" si="230"/>
        <v>3378.3783783783783</v>
      </c>
      <c r="AQ118" s="142">
        <f t="shared" si="230"/>
        <v>3378.3783783783783</v>
      </c>
      <c r="AR118" s="142">
        <f t="shared" si="230"/>
        <v>3378.3783783783783</v>
      </c>
      <c r="AS118" s="142">
        <f t="shared" si="230"/>
        <v>3378.3783783783783</v>
      </c>
      <c r="AT118" s="142">
        <f t="shared" si="230"/>
        <v>3378.3783783783783</v>
      </c>
      <c r="AU118" s="142">
        <f t="shared" si="230"/>
        <v>3378.3783783783783</v>
      </c>
      <c r="AV118" s="142">
        <f t="shared" si="230"/>
        <v>3378.3783783783783</v>
      </c>
      <c r="AW118" s="142">
        <f t="shared" si="230"/>
        <v>3378.3783783783783</v>
      </c>
      <c r="AX118" s="142">
        <f t="shared" si="230"/>
        <v>3378.3783783783783</v>
      </c>
      <c r="AY118" s="142">
        <f t="shared" si="230"/>
        <v>3378.3783783783783</v>
      </c>
      <c r="AZ118" s="142">
        <f t="shared" si="230"/>
        <v>3378.3783783783783</v>
      </c>
      <c r="BA118" s="142">
        <f t="shared" si="230"/>
        <v>3378.3783783783783</v>
      </c>
      <c r="BB118" s="142">
        <f t="shared" si="230"/>
        <v>3378.3783783783783</v>
      </c>
      <c r="BC118" s="142">
        <f t="shared" si="230"/>
        <v>3378.3783783783783</v>
      </c>
      <c r="BD118" s="142">
        <f t="shared" si="230"/>
        <v>3378.3783783783783</v>
      </c>
      <c r="BE118" s="142">
        <f t="shared" si="230"/>
        <v>3378.3783783783783</v>
      </c>
      <c r="BF118" s="142">
        <f t="shared" si="230"/>
        <v>3378.3783783783783</v>
      </c>
      <c r="BG118" s="142">
        <f t="shared" si="230"/>
        <v>3378.3783783783783</v>
      </c>
      <c r="BH118" s="142">
        <f t="shared" si="230"/>
        <v>3378.3783783783783</v>
      </c>
      <c r="BI118" s="142">
        <f t="shared" si="230"/>
        <v>3378.3783783783783</v>
      </c>
      <c r="BJ118" s="142">
        <f t="shared" si="230"/>
        <v>3378.3783783783783</v>
      </c>
      <c r="BK118" s="142">
        <f t="shared" si="230"/>
        <v>3378.3783783783783</v>
      </c>
      <c r="BL118" s="142">
        <f t="shared" si="230"/>
        <v>3378.3783783783783</v>
      </c>
      <c r="BM118" s="142">
        <f t="shared" si="230"/>
        <v>3378.3783783783783</v>
      </c>
      <c r="BN118" s="142">
        <f t="shared" si="230"/>
        <v>3378.3783783783783</v>
      </c>
      <c r="BO118" s="142">
        <f t="shared" si="230"/>
        <v>3378.3783783783783</v>
      </c>
      <c r="BP118" s="142">
        <f t="shared" si="230"/>
        <v>3378.3783783783783</v>
      </c>
      <c r="BQ118" s="142">
        <f t="shared" si="230"/>
        <v>3378.3783783783783</v>
      </c>
      <c r="BR118" s="142">
        <f t="shared" si="230"/>
        <v>3378.3783783783783</v>
      </c>
      <c r="BS118" s="142">
        <f t="shared" si="230"/>
        <v>3378.3783783783783</v>
      </c>
      <c r="BT118" s="75"/>
      <c r="BU118" s="75"/>
      <c r="BV118" s="75"/>
    </row>
    <row r="119" spans="1:110">
      <c r="A119" s="75"/>
      <c r="B119" s="75" t="s">
        <v>211</v>
      </c>
      <c r="C119" s="75"/>
      <c r="D119" s="75" t="s">
        <v>212</v>
      </c>
      <c r="E119" s="75"/>
      <c r="F119" s="75"/>
      <c r="G119" s="75"/>
      <c r="H119" s="132">
        <f>J19-(C27*100)</f>
        <v>-37</v>
      </c>
      <c r="I119" s="75" t="s">
        <v>119</v>
      </c>
      <c r="J119" s="86">
        <f>H119/100</f>
        <v>-0.37</v>
      </c>
      <c r="K119" s="87">
        <f>J119</f>
        <v>-0.37</v>
      </c>
      <c r="L119" s="87">
        <f t="shared" ref="L119:BS119" si="231">K119</f>
        <v>-0.37</v>
      </c>
      <c r="M119" s="87">
        <f t="shared" si="231"/>
        <v>-0.37</v>
      </c>
      <c r="N119" s="87">
        <f t="shared" si="231"/>
        <v>-0.37</v>
      </c>
      <c r="O119" s="87">
        <f t="shared" si="231"/>
        <v>-0.37</v>
      </c>
      <c r="P119" s="87">
        <f t="shared" si="231"/>
        <v>-0.37</v>
      </c>
      <c r="Q119" s="87">
        <f t="shared" si="231"/>
        <v>-0.37</v>
      </c>
      <c r="R119" s="87">
        <f t="shared" si="231"/>
        <v>-0.37</v>
      </c>
      <c r="S119" s="87">
        <f t="shared" si="231"/>
        <v>-0.37</v>
      </c>
      <c r="T119" s="87">
        <f t="shared" si="231"/>
        <v>-0.37</v>
      </c>
      <c r="U119" s="87">
        <f t="shared" si="231"/>
        <v>-0.37</v>
      </c>
      <c r="V119" s="87">
        <f t="shared" si="231"/>
        <v>-0.37</v>
      </c>
      <c r="W119" s="87">
        <f t="shared" si="231"/>
        <v>-0.37</v>
      </c>
      <c r="X119" s="87">
        <f t="shared" si="231"/>
        <v>-0.37</v>
      </c>
      <c r="Y119" s="87">
        <f t="shared" si="231"/>
        <v>-0.37</v>
      </c>
      <c r="Z119" s="87">
        <f t="shared" si="231"/>
        <v>-0.37</v>
      </c>
      <c r="AA119" s="87">
        <f t="shared" si="231"/>
        <v>-0.37</v>
      </c>
      <c r="AB119" s="87">
        <f t="shared" si="231"/>
        <v>-0.37</v>
      </c>
      <c r="AC119" s="87">
        <f t="shared" si="231"/>
        <v>-0.37</v>
      </c>
      <c r="AD119" s="87">
        <f t="shared" si="231"/>
        <v>-0.37</v>
      </c>
      <c r="AE119" s="87">
        <f t="shared" si="231"/>
        <v>-0.37</v>
      </c>
      <c r="AF119" s="87">
        <f t="shared" si="231"/>
        <v>-0.37</v>
      </c>
      <c r="AG119" s="87">
        <f t="shared" si="231"/>
        <v>-0.37</v>
      </c>
      <c r="AH119" s="87">
        <f t="shared" si="231"/>
        <v>-0.37</v>
      </c>
      <c r="AI119" s="87">
        <f t="shared" si="231"/>
        <v>-0.37</v>
      </c>
      <c r="AJ119" s="87">
        <f t="shared" si="231"/>
        <v>-0.37</v>
      </c>
      <c r="AK119" s="87">
        <f t="shared" si="231"/>
        <v>-0.37</v>
      </c>
      <c r="AL119" s="87">
        <f t="shared" si="231"/>
        <v>-0.37</v>
      </c>
      <c r="AM119" s="87">
        <f t="shared" si="231"/>
        <v>-0.37</v>
      </c>
      <c r="AN119" s="87">
        <f t="shared" si="231"/>
        <v>-0.37</v>
      </c>
      <c r="AO119" s="87">
        <f t="shared" si="231"/>
        <v>-0.37</v>
      </c>
      <c r="AP119" s="87">
        <f t="shared" si="231"/>
        <v>-0.37</v>
      </c>
      <c r="AQ119" s="87">
        <f t="shared" si="231"/>
        <v>-0.37</v>
      </c>
      <c r="AR119" s="87">
        <f t="shared" si="231"/>
        <v>-0.37</v>
      </c>
      <c r="AS119" s="87">
        <f t="shared" si="231"/>
        <v>-0.37</v>
      </c>
      <c r="AT119" s="87">
        <f t="shared" si="231"/>
        <v>-0.37</v>
      </c>
      <c r="AU119" s="87">
        <f t="shared" si="231"/>
        <v>-0.37</v>
      </c>
      <c r="AV119" s="87">
        <f t="shared" si="231"/>
        <v>-0.37</v>
      </c>
      <c r="AW119" s="87">
        <f t="shared" si="231"/>
        <v>-0.37</v>
      </c>
      <c r="AX119" s="87">
        <f t="shared" si="231"/>
        <v>-0.37</v>
      </c>
      <c r="AY119" s="87">
        <f t="shared" si="231"/>
        <v>-0.37</v>
      </c>
      <c r="AZ119" s="87">
        <f t="shared" si="231"/>
        <v>-0.37</v>
      </c>
      <c r="BA119" s="87">
        <f t="shared" si="231"/>
        <v>-0.37</v>
      </c>
      <c r="BB119" s="87">
        <f t="shared" si="231"/>
        <v>-0.37</v>
      </c>
      <c r="BC119" s="87">
        <f t="shared" si="231"/>
        <v>-0.37</v>
      </c>
      <c r="BD119" s="87">
        <f t="shared" si="231"/>
        <v>-0.37</v>
      </c>
      <c r="BE119" s="87">
        <f t="shared" si="231"/>
        <v>-0.37</v>
      </c>
      <c r="BF119" s="87">
        <f t="shared" si="231"/>
        <v>-0.37</v>
      </c>
      <c r="BG119" s="87">
        <f t="shared" si="231"/>
        <v>-0.37</v>
      </c>
      <c r="BH119" s="87">
        <f t="shared" si="231"/>
        <v>-0.37</v>
      </c>
      <c r="BI119" s="87">
        <f t="shared" si="231"/>
        <v>-0.37</v>
      </c>
      <c r="BJ119" s="87">
        <f t="shared" si="231"/>
        <v>-0.37</v>
      </c>
      <c r="BK119" s="87">
        <f t="shared" si="231"/>
        <v>-0.37</v>
      </c>
      <c r="BL119" s="87">
        <f t="shared" si="231"/>
        <v>-0.37</v>
      </c>
      <c r="BM119" s="87">
        <f t="shared" si="231"/>
        <v>-0.37</v>
      </c>
      <c r="BN119" s="87">
        <f t="shared" si="231"/>
        <v>-0.37</v>
      </c>
      <c r="BO119" s="87">
        <f t="shared" si="231"/>
        <v>-0.37</v>
      </c>
      <c r="BP119" s="87">
        <f t="shared" si="231"/>
        <v>-0.37</v>
      </c>
      <c r="BQ119" s="87">
        <f t="shared" si="231"/>
        <v>-0.37</v>
      </c>
      <c r="BR119" s="87">
        <f t="shared" si="231"/>
        <v>-0.37</v>
      </c>
      <c r="BS119" s="87">
        <f t="shared" si="231"/>
        <v>-0.37</v>
      </c>
      <c r="BT119" s="75"/>
      <c r="BU119" s="75"/>
      <c r="BV119" s="75"/>
    </row>
    <row r="120" spans="1:110">
      <c r="A120" s="75"/>
      <c r="B120" s="75" t="s">
        <v>213</v>
      </c>
      <c r="C120" s="75"/>
      <c r="D120" s="75"/>
      <c r="E120" s="75"/>
      <c r="F120" s="75"/>
      <c r="G120" s="75"/>
      <c r="H120" s="132">
        <f>J18</f>
        <v>0</v>
      </c>
      <c r="I120" s="75" t="s">
        <v>119</v>
      </c>
      <c r="J120" s="86">
        <f>H120/100</f>
        <v>0</v>
      </c>
      <c r="K120" s="147">
        <f>J120</f>
        <v>0</v>
      </c>
      <c r="L120" s="147">
        <f t="shared" ref="L120:BS120" si="232">K120</f>
        <v>0</v>
      </c>
      <c r="M120" s="147">
        <f t="shared" si="232"/>
        <v>0</v>
      </c>
      <c r="N120" s="147">
        <f t="shared" si="232"/>
        <v>0</v>
      </c>
      <c r="O120" s="147">
        <f t="shared" si="232"/>
        <v>0</v>
      </c>
      <c r="P120" s="147">
        <f t="shared" si="232"/>
        <v>0</v>
      </c>
      <c r="Q120" s="147">
        <f t="shared" si="232"/>
        <v>0</v>
      </c>
      <c r="R120" s="147">
        <f t="shared" si="232"/>
        <v>0</v>
      </c>
      <c r="S120" s="147">
        <f t="shared" si="232"/>
        <v>0</v>
      </c>
      <c r="T120" s="147">
        <f t="shared" si="232"/>
        <v>0</v>
      </c>
      <c r="U120" s="147">
        <f t="shared" si="232"/>
        <v>0</v>
      </c>
      <c r="V120" s="147">
        <f t="shared" si="232"/>
        <v>0</v>
      </c>
      <c r="W120" s="147">
        <f t="shared" si="232"/>
        <v>0</v>
      </c>
      <c r="X120" s="147">
        <f t="shared" si="232"/>
        <v>0</v>
      </c>
      <c r="Y120" s="147">
        <f t="shared" si="232"/>
        <v>0</v>
      </c>
      <c r="Z120" s="147">
        <f t="shared" si="232"/>
        <v>0</v>
      </c>
      <c r="AA120" s="147">
        <f t="shared" si="232"/>
        <v>0</v>
      </c>
      <c r="AB120" s="147">
        <f t="shared" si="232"/>
        <v>0</v>
      </c>
      <c r="AC120" s="147">
        <f t="shared" si="232"/>
        <v>0</v>
      </c>
      <c r="AD120" s="147">
        <f t="shared" si="232"/>
        <v>0</v>
      </c>
      <c r="AE120" s="147">
        <f t="shared" si="232"/>
        <v>0</v>
      </c>
      <c r="AF120" s="147">
        <f t="shared" si="232"/>
        <v>0</v>
      </c>
      <c r="AG120" s="147">
        <f t="shared" si="232"/>
        <v>0</v>
      </c>
      <c r="AH120" s="147">
        <f t="shared" si="232"/>
        <v>0</v>
      </c>
      <c r="AI120" s="147">
        <f t="shared" si="232"/>
        <v>0</v>
      </c>
      <c r="AJ120" s="147">
        <f t="shared" si="232"/>
        <v>0</v>
      </c>
      <c r="AK120" s="147">
        <f t="shared" si="232"/>
        <v>0</v>
      </c>
      <c r="AL120" s="147">
        <f t="shared" si="232"/>
        <v>0</v>
      </c>
      <c r="AM120" s="147">
        <f t="shared" si="232"/>
        <v>0</v>
      </c>
      <c r="AN120" s="147">
        <f t="shared" si="232"/>
        <v>0</v>
      </c>
      <c r="AO120" s="147">
        <f t="shared" si="232"/>
        <v>0</v>
      </c>
      <c r="AP120" s="147">
        <f t="shared" si="232"/>
        <v>0</v>
      </c>
      <c r="AQ120" s="147">
        <f t="shared" si="232"/>
        <v>0</v>
      </c>
      <c r="AR120" s="147">
        <f t="shared" si="232"/>
        <v>0</v>
      </c>
      <c r="AS120" s="147">
        <f t="shared" si="232"/>
        <v>0</v>
      </c>
      <c r="AT120" s="147">
        <f t="shared" si="232"/>
        <v>0</v>
      </c>
      <c r="AU120" s="147">
        <f t="shared" si="232"/>
        <v>0</v>
      </c>
      <c r="AV120" s="147">
        <f t="shared" si="232"/>
        <v>0</v>
      </c>
      <c r="AW120" s="147">
        <f t="shared" si="232"/>
        <v>0</v>
      </c>
      <c r="AX120" s="147">
        <f t="shared" si="232"/>
        <v>0</v>
      </c>
      <c r="AY120" s="147">
        <f t="shared" si="232"/>
        <v>0</v>
      </c>
      <c r="AZ120" s="147">
        <f t="shared" si="232"/>
        <v>0</v>
      </c>
      <c r="BA120" s="147">
        <f t="shared" si="232"/>
        <v>0</v>
      </c>
      <c r="BB120" s="147">
        <f t="shared" si="232"/>
        <v>0</v>
      </c>
      <c r="BC120" s="147">
        <f t="shared" si="232"/>
        <v>0</v>
      </c>
      <c r="BD120" s="147">
        <f t="shared" si="232"/>
        <v>0</v>
      </c>
      <c r="BE120" s="147">
        <f t="shared" si="232"/>
        <v>0</v>
      </c>
      <c r="BF120" s="147">
        <f t="shared" si="232"/>
        <v>0</v>
      </c>
      <c r="BG120" s="147">
        <f t="shared" si="232"/>
        <v>0</v>
      </c>
      <c r="BH120" s="147">
        <f t="shared" si="232"/>
        <v>0</v>
      </c>
      <c r="BI120" s="147">
        <f t="shared" si="232"/>
        <v>0</v>
      </c>
      <c r="BJ120" s="147">
        <f t="shared" si="232"/>
        <v>0</v>
      </c>
      <c r="BK120" s="147">
        <f t="shared" si="232"/>
        <v>0</v>
      </c>
      <c r="BL120" s="147">
        <f t="shared" si="232"/>
        <v>0</v>
      </c>
      <c r="BM120" s="147">
        <f t="shared" si="232"/>
        <v>0</v>
      </c>
      <c r="BN120" s="147">
        <f t="shared" si="232"/>
        <v>0</v>
      </c>
      <c r="BO120" s="147">
        <f t="shared" si="232"/>
        <v>0</v>
      </c>
      <c r="BP120" s="147">
        <f t="shared" si="232"/>
        <v>0</v>
      </c>
      <c r="BQ120" s="147">
        <f t="shared" si="232"/>
        <v>0</v>
      </c>
      <c r="BR120" s="147">
        <f t="shared" si="232"/>
        <v>0</v>
      </c>
      <c r="BS120" s="147">
        <f t="shared" si="232"/>
        <v>0</v>
      </c>
      <c r="BT120" s="75"/>
      <c r="BU120" s="75"/>
      <c r="BV120" s="75"/>
    </row>
    <row r="121" spans="1:110">
      <c r="A121" s="75"/>
      <c r="B121" s="75" t="s">
        <v>207</v>
      </c>
      <c r="C121" s="75"/>
      <c r="D121" s="75" t="s">
        <v>214</v>
      </c>
      <c r="E121" s="75"/>
      <c r="F121" s="75"/>
      <c r="G121" s="75"/>
      <c r="H121" s="75"/>
      <c r="I121" s="75" t="s">
        <v>215</v>
      </c>
      <c r="J121" s="101">
        <f>J118*J119*J120*8760</f>
        <v>0</v>
      </c>
      <c r="K121" s="101">
        <f t="shared" ref="K121:BS121" si="233">K118*K119*K120*8760</f>
        <v>0</v>
      </c>
      <c r="L121" s="101">
        <f t="shared" si="233"/>
        <v>0</v>
      </c>
      <c r="M121" s="101">
        <f t="shared" si="233"/>
        <v>0</v>
      </c>
      <c r="N121" s="101">
        <f t="shared" si="233"/>
        <v>0</v>
      </c>
      <c r="O121" s="101">
        <f t="shared" si="233"/>
        <v>0</v>
      </c>
      <c r="P121" s="101">
        <f t="shared" si="233"/>
        <v>0</v>
      </c>
      <c r="Q121" s="101">
        <f t="shared" si="233"/>
        <v>0</v>
      </c>
      <c r="R121" s="101">
        <f t="shared" si="233"/>
        <v>0</v>
      </c>
      <c r="S121" s="101">
        <f t="shared" si="233"/>
        <v>0</v>
      </c>
      <c r="T121" s="101">
        <f t="shared" si="233"/>
        <v>0</v>
      </c>
      <c r="U121" s="101">
        <f t="shared" si="233"/>
        <v>0</v>
      </c>
      <c r="V121" s="101">
        <f t="shared" si="233"/>
        <v>0</v>
      </c>
      <c r="W121" s="101">
        <f t="shared" si="233"/>
        <v>0</v>
      </c>
      <c r="X121" s="101">
        <f t="shared" si="233"/>
        <v>0</v>
      </c>
      <c r="Y121" s="101">
        <f t="shared" si="233"/>
        <v>0</v>
      </c>
      <c r="Z121" s="101">
        <f t="shared" si="233"/>
        <v>0</v>
      </c>
      <c r="AA121" s="101">
        <f t="shared" si="233"/>
        <v>0</v>
      </c>
      <c r="AB121" s="101">
        <f t="shared" si="233"/>
        <v>0</v>
      </c>
      <c r="AC121" s="101">
        <f t="shared" si="233"/>
        <v>0</v>
      </c>
      <c r="AD121" s="101">
        <f t="shared" si="233"/>
        <v>0</v>
      </c>
      <c r="AE121" s="101">
        <f t="shared" si="233"/>
        <v>0</v>
      </c>
      <c r="AF121" s="101">
        <f t="shared" si="233"/>
        <v>0</v>
      </c>
      <c r="AG121" s="101">
        <f t="shared" si="233"/>
        <v>0</v>
      </c>
      <c r="AH121" s="101">
        <f t="shared" si="233"/>
        <v>0</v>
      </c>
      <c r="AI121" s="101">
        <f t="shared" si="233"/>
        <v>0</v>
      </c>
      <c r="AJ121" s="101">
        <f t="shared" si="233"/>
        <v>0</v>
      </c>
      <c r="AK121" s="101">
        <f t="shared" si="233"/>
        <v>0</v>
      </c>
      <c r="AL121" s="101">
        <f t="shared" si="233"/>
        <v>0</v>
      </c>
      <c r="AM121" s="101">
        <f t="shared" si="233"/>
        <v>0</v>
      </c>
      <c r="AN121" s="101">
        <f t="shared" si="233"/>
        <v>0</v>
      </c>
      <c r="AO121" s="101">
        <f t="shared" si="233"/>
        <v>0</v>
      </c>
      <c r="AP121" s="101">
        <f t="shared" si="233"/>
        <v>0</v>
      </c>
      <c r="AQ121" s="101">
        <f t="shared" si="233"/>
        <v>0</v>
      </c>
      <c r="AR121" s="101">
        <f t="shared" si="233"/>
        <v>0</v>
      </c>
      <c r="AS121" s="101">
        <f t="shared" si="233"/>
        <v>0</v>
      </c>
      <c r="AT121" s="101">
        <f t="shared" si="233"/>
        <v>0</v>
      </c>
      <c r="AU121" s="101">
        <f t="shared" si="233"/>
        <v>0</v>
      </c>
      <c r="AV121" s="101">
        <f t="shared" si="233"/>
        <v>0</v>
      </c>
      <c r="AW121" s="101">
        <f t="shared" si="233"/>
        <v>0</v>
      </c>
      <c r="AX121" s="101">
        <f t="shared" si="233"/>
        <v>0</v>
      </c>
      <c r="AY121" s="101">
        <f t="shared" si="233"/>
        <v>0</v>
      </c>
      <c r="AZ121" s="101">
        <f t="shared" si="233"/>
        <v>0</v>
      </c>
      <c r="BA121" s="101">
        <f t="shared" si="233"/>
        <v>0</v>
      </c>
      <c r="BB121" s="101">
        <f t="shared" si="233"/>
        <v>0</v>
      </c>
      <c r="BC121" s="101">
        <f t="shared" si="233"/>
        <v>0</v>
      </c>
      <c r="BD121" s="101">
        <f t="shared" si="233"/>
        <v>0</v>
      </c>
      <c r="BE121" s="101">
        <f t="shared" si="233"/>
        <v>0</v>
      </c>
      <c r="BF121" s="101">
        <f t="shared" si="233"/>
        <v>0</v>
      </c>
      <c r="BG121" s="101">
        <f t="shared" si="233"/>
        <v>0</v>
      </c>
      <c r="BH121" s="101">
        <f t="shared" si="233"/>
        <v>0</v>
      </c>
      <c r="BI121" s="101">
        <f t="shared" si="233"/>
        <v>0</v>
      </c>
      <c r="BJ121" s="101">
        <f t="shared" si="233"/>
        <v>0</v>
      </c>
      <c r="BK121" s="101">
        <f t="shared" si="233"/>
        <v>0</v>
      </c>
      <c r="BL121" s="101">
        <f t="shared" si="233"/>
        <v>0</v>
      </c>
      <c r="BM121" s="101">
        <f t="shared" si="233"/>
        <v>0</v>
      </c>
      <c r="BN121" s="101">
        <f t="shared" si="233"/>
        <v>0</v>
      </c>
      <c r="BO121" s="101">
        <f t="shared" si="233"/>
        <v>0</v>
      </c>
      <c r="BP121" s="101">
        <f t="shared" si="233"/>
        <v>0</v>
      </c>
      <c r="BQ121" s="101">
        <f t="shared" si="233"/>
        <v>0</v>
      </c>
      <c r="BR121" s="101">
        <f t="shared" si="233"/>
        <v>0</v>
      </c>
      <c r="BS121" s="101">
        <f t="shared" si="233"/>
        <v>0</v>
      </c>
      <c r="BT121" s="75"/>
      <c r="BU121" s="75"/>
      <c r="BV121" s="75"/>
    </row>
    <row r="122" spans="1:110">
      <c r="A122" s="75"/>
      <c r="B122" s="75" t="s">
        <v>216</v>
      </c>
      <c r="C122" s="75"/>
      <c r="D122" s="75"/>
      <c r="E122" s="75"/>
      <c r="F122" s="75"/>
      <c r="G122" s="75"/>
      <c r="H122" s="75"/>
      <c r="I122" s="75" t="s">
        <v>217</v>
      </c>
      <c r="J122" s="115">
        <v>20</v>
      </c>
      <c r="K122" s="115">
        <v>20</v>
      </c>
      <c r="L122" s="115">
        <v>20</v>
      </c>
      <c r="M122" s="115">
        <v>20</v>
      </c>
      <c r="N122" s="115">
        <v>20</v>
      </c>
      <c r="O122" s="115">
        <v>20</v>
      </c>
      <c r="P122" s="115">
        <v>20</v>
      </c>
      <c r="Q122" s="115">
        <v>20</v>
      </c>
      <c r="R122" s="115">
        <v>20</v>
      </c>
      <c r="S122" s="115">
        <v>20</v>
      </c>
      <c r="T122" s="115">
        <v>20</v>
      </c>
      <c r="U122" s="115">
        <v>20</v>
      </c>
      <c r="V122" s="115">
        <v>20</v>
      </c>
      <c r="W122" s="115">
        <v>20</v>
      </c>
      <c r="X122" s="115">
        <v>20</v>
      </c>
      <c r="Y122" s="115">
        <v>20</v>
      </c>
      <c r="Z122" s="115">
        <v>20</v>
      </c>
      <c r="AA122" s="115">
        <v>20</v>
      </c>
      <c r="AB122" s="115">
        <v>20</v>
      </c>
      <c r="AC122" s="115">
        <v>20</v>
      </c>
      <c r="AD122" s="115">
        <v>20</v>
      </c>
      <c r="AE122" s="115">
        <v>20</v>
      </c>
      <c r="AF122" s="115">
        <v>20</v>
      </c>
      <c r="AG122" s="115">
        <v>20</v>
      </c>
      <c r="AH122" s="115">
        <v>20</v>
      </c>
      <c r="AI122" s="115">
        <v>20</v>
      </c>
      <c r="AJ122" s="115">
        <v>20</v>
      </c>
      <c r="AK122" s="115">
        <v>20</v>
      </c>
      <c r="AL122" s="115">
        <v>20</v>
      </c>
      <c r="AM122" s="115">
        <v>20</v>
      </c>
      <c r="AN122" s="115">
        <v>20</v>
      </c>
      <c r="AO122" s="115">
        <v>20</v>
      </c>
      <c r="AP122" s="115">
        <v>20</v>
      </c>
      <c r="AQ122" s="115">
        <v>20</v>
      </c>
      <c r="AR122" s="115">
        <v>20</v>
      </c>
      <c r="AS122" s="115">
        <v>20</v>
      </c>
      <c r="AT122" s="115">
        <v>20</v>
      </c>
      <c r="AU122" s="115">
        <v>20</v>
      </c>
      <c r="AV122" s="115">
        <v>20</v>
      </c>
      <c r="AW122" s="115">
        <v>20</v>
      </c>
      <c r="AX122" s="115">
        <v>20</v>
      </c>
      <c r="AY122" s="115">
        <v>20</v>
      </c>
      <c r="AZ122" s="115">
        <v>20</v>
      </c>
      <c r="BA122" s="115">
        <v>20</v>
      </c>
      <c r="BB122" s="115">
        <v>20</v>
      </c>
      <c r="BC122" s="115">
        <v>20</v>
      </c>
      <c r="BD122" s="115">
        <v>20</v>
      </c>
      <c r="BE122" s="115">
        <v>20</v>
      </c>
      <c r="BF122" s="115">
        <v>20</v>
      </c>
      <c r="BG122" s="115">
        <v>20</v>
      </c>
      <c r="BH122" s="115">
        <v>20</v>
      </c>
      <c r="BI122" s="115">
        <v>20</v>
      </c>
      <c r="BJ122" s="115">
        <v>20</v>
      </c>
      <c r="BK122" s="115">
        <v>20</v>
      </c>
      <c r="BL122" s="115">
        <v>20</v>
      </c>
      <c r="BM122" s="115">
        <v>20</v>
      </c>
      <c r="BN122" s="115">
        <v>20</v>
      </c>
      <c r="BO122" s="115">
        <v>20</v>
      </c>
      <c r="BP122" s="115">
        <v>20</v>
      </c>
      <c r="BQ122" s="115">
        <v>20</v>
      </c>
      <c r="BR122" s="115">
        <v>20</v>
      </c>
      <c r="BS122" s="115">
        <v>20</v>
      </c>
      <c r="BT122" s="75"/>
      <c r="BU122" s="75"/>
      <c r="BV122" s="75"/>
    </row>
    <row r="123" spans="1:110">
      <c r="A123" s="75"/>
      <c r="B123" s="75" t="s">
        <v>218</v>
      </c>
      <c r="C123" s="75"/>
      <c r="D123" s="75" t="s">
        <v>219</v>
      </c>
      <c r="E123" s="75"/>
      <c r="F123" s="75"/>
      <c r="G123" s="75"/>
      <c r="H123" s="148">
        <f>SUM(J123:BS123)</f>
        <v>0</v>
      </c>
      <c r="I123" s="75" t="s">
        <v>130</v>
      </c>
      <c r="J123" s="115">
        <f>IF(J46&lt;$C24,J121*J122,0)</f>
        <v>0</v>
      </c>
      <c r="K123" s="115">
        <f>IF(K46&lt;$C24,K121*K122,0)</f>
        <v>0</v>
      </c>
      <c r="L123" s="115">
        <f>IF(L46&lt;$C24,L121*L122,0)</f>
        <v>0</v>
      </c>
      <c r="M123" s="115">
        <f>IF(M46&lt;$C24,M121*M122,0)</f>
        <v>0</v>
      </c>
      <c r="N123" s="115">
        <f>IF(N46&lt;$C24,N121*N122,0)</f>
        <v>0</v>
      </c>
      <c r="O123" s="115">
        <f>IF(O46&lt;$C24,O121*O122,0)</f>
        <v>0</v>
      </c>
      <c r="P123" s="115">
        <f>IF(P46&lt;$C24,P121*P122,0)</f>
        <v>0</v>
      </c>
      <c r="Q123" s="115">
        <f>IF(Q46&lt;$C24,Q121*Q122,0)</f>
        <v>0</v>
      </c>
      <c r="R123" s="115">
        <f>IF(R46&lt;$C24,R121*R122,0)</f>
        <v>0</v>
      </c>
      <c r="S123" s="115">
        <f>IF(S46&lt;$C24,S121*S122,0)</f>
        <v>0</v>
      </c>
      <c r="T123" s="115">
        <f>IF(T46&lt;$C24,T121*T122,0)</f>
        <v>0</v>
      </c>
      <c r="U123" s="115">
        <f>IF(U46&lt;$C24,U121*U122,0)</f>
        <v>0</v>
      </c>
      <c r="V123" s="115">
        <f>IF(V46&lt;$C24,V121*V122,0)</f>
        <v>0</v>
      </c>
      <c r="W123" s="115">
        <f>IF(W46&lt;$C24,W121*W122,0)</f>
        <v>0</v>
      </c>
      <c r="X123" s="115">
        <f>IF(X46&lt;$C24,X121*X122,0)</f>
        <v>0</v>
      </c>
      <c r="Y123" s="115">
        <f>IF(Y46&lt;$C24,Y121*Y122,0)</f>
        <v>0</v>
      </c>
      <c r="Z123" s="115">
        <f>IF(Z46&lt;$C24,Z121*Z122,0)</f>
        <v>0</v>
      </c>
      <c r="AA123" s="115">
        <f>IF(AA46&lt;$C24,AA121*AA122,0)</f>
        <v>0</v>
      </c>
      <c r="AB123" s="115">
        <f>IF(AB46&lt;$C24,AB121*AB122,0)</f>
        <v>0</v>
      </c>
      <c r="AC123" s="115">
        <f>IF(AC46&lt;$C24,AC121*AC122,0)</f>
        <v>0</v>
      </c>
      <c r="AD123" s="115">
        <f>IF(AD46&lt;$C24,AD121*AD122,0)</f>
        <v>0</v>
      </c>
      <c r="AE123" s="115">
        <f>IF(AE46&lt;$C24,AE121*AE122,0)</f>
        <v>0</v>
      </c>
      <c r="AF123" s="115">
        <f>IF(AF46&lt;$C24,AF121*AF122,0)</f>
        <v>0</v>
      </c>
      <c r="AG123" s="115">
        <f>IF(AG46&lt;$C24,AG121*AG122,0)</f>
        <v>0</v>
      </c>
      <c r="AH123" s="115">
        <f>IF(AH46&lt;$C24,AH121*AH122,0)</f>
        <v>0</v>
      </c>
      <c r="AI123" s="115">
        <f>IF(AI46&lt;$C24,AI121*AI122,0)</f>
        <v>0</v>
      </c>
      <c r="AJ123" s="115">
        <f>IF(AJ46&lt;$C24,AJ121*AJ122,0)</f>
        <v>0</v>
      </c>
      <c r="AK123" s="115">
        <f>IF(AK46&lt;$C24,AK121*AK122,0)</f>
        <v>0</v>
      </c>
      <c r="AL123" s="115">
        <f>IF(AL46&lt;$C24,AL121*AL122,0)</f>
        <v>0</v>
      </c>
      <c r="AM123" s="115">
        <f>IF(AM46&lt;$C24,AM121*AM122,0)</f>
        <v>0</v>
      </c>
      <c r="AN123" s="115">
        <f>IF(AN46&lt;$C24,AN121*AN122,0)</f>
        <v>0</v>
      </c>
      <c r="AO123" s="115">
        <f>IF(AO46&lt;$C24,AO121*AO122,0)</f>
        <v>0</v>
      </c>
      <c r="AP123" s="115">
        <f>IF(AP46&lt;$C24,AP121*AP122,0)</f>
        <v>0</v>
      </c>
      <c r="AQ123" s="115">
        <f>IF(AQ46&lt;$C24,AQ121*AQ122,0)</f>
        <v>0</v>
      </c>
      <c r="AR123" s="115">
        <f>IF(AR46&lt;$C24,AR121*AR122,0)</f>
        <v>0</v>
      </c>
      <c r="AS123" s="115">
        <f>IF(AS46&lt;$C24,AS121*AS122,0)</f>
        <v>0</v>
      </c>
      <c r="AT123" s="115">
        <f>IF(AT46&lt;$C24,AT121*AT122,0)</f>
        <v>0</v>
      </c>
      <c r="AU123" s="115">
        <f>IF(AU46&lt;$C24,AU121*AU122,0)</f>
        <v>0</v>
      </c>
      <c r="AV123" s="115">
        <f>IF(AV46&lt;$C24,AV121*AV122,0)</f>
        <v>0</v>
      </c>
      <c r="AW123" s="115">
        <f>IF(AW46&lt;$C24,AW121*AW122,0)</f>
        <v>0</v>
      </c>
      <c r="AX123" s="115">
        <f>IF(AX46&lt;$C24,AX121*AX122,0)</f>
        <v>0</v>
      </c>
      <c r="AY123" s="115">
        <f>IF(AY46&lt;$C24,AY121*AY122,0)</f>
        <v>0</v>
      </c>
      <c r="AZ123" s="115">
        <f>IF(AZ46&lt;$C24,AZ121*AZ122,0)</f>
        <v>0</v>
      </c>
      <c r="BA123" s="115">
        <f>IF(BA46&lt;$C24,BA121*BA122,0)</f>
        <v>0</v>
      </c>
      <c r="BB123" s="115">
        <f>IF(BB46&lt;$C24,BB121*BB122,0)</f>
        <v>0</v>
      </c>
      <c r="BC123" s="115">
        <f>IF(BC46&lt;$C24,BC121*BC122,0)</f>
        <v>0</v>
      </c>
      <c r="BD123" s="115">
        <f>IF(BD46&lt;$C24,BD121*BD122,0)</f>
        <v>0</v>
      </c>
      <c r="BE123" s="115">
        <f>IF(BE46&lt;$C24,BE121*BE122,0)</f>
        <v>0</v>
      </c>
      <c r="BF123" s="115">
        <f>IF(BF46&lt;$C24,BF121*BF122,0)</f>
        <v>0</v>
      </c>
      <c r="BG123" s="115">
        <f>IF(BG46&lt;$C24,BG121*BG122,0)</f>
        <v>0</v>
      </c>
      <c r="BH123" s="115">
        <f>IF(BH46&lt;$C24,BH121*BH122,0)</f>
        <v>0</v>
      </c>
      <c r="BI123" s="115">
        <f>IF(BI46&lt;$C24,BI121*BI122,0)</f>
        <v>0</v>
      </c>
      <c r="BJ123" s="115">
        <f>IF(BJ46&lt;$C24,BJ121*BJ122,0)</f>
        <v>0</v>
      </c>
      <c r="BK123" s="115">
        <f>IF(BK46&lt;$C24,BK121*BK122,0)</f>
        <v>0</v>
      </c>
      <c r="BL123" s="115">
        <f>IF(BL46&lt;$C24,BL121*BL122,0)</f>
        <v>0</v>
      </c>
      <c r="BM123" s="115">
        <f>IF(BM46&lt;$C24,BM121*BM122,0)</f>
        <v>0</v>
      </c>
      <c r="BN123" s="115">
        <f>IF(BN46&lt;$C24,BN121*BN122,0)</f>
        <v>0</v>
      </c>
      <c r="BO123" s="115">
        <f>IF(BO46&lt;$C24,BO121*BO122,0)</f>
        <v>0</v>
      </c>
      <c r="BP123" s="115">
        <f>IF(BP46&lt;$C24,BP121*BP122,0)</f>
        <v>0</v>
      </c>
      <c r="BQ123" s="115">
        <f>IF(BQ46&lt;$C24,BQ121*BQ122,0)</f>
        <v>0</v>
      </c>
      <c r="BR123" s="115">
        <f>IF(BR46&lt;$C24,BR121*BR122,0)</f>
        <v>0</v>
      </c>
      <c r="BS123" s="115">
        <f>IF(BS46&lt;$C24,BS121*BS122,0)</f>
        <v>0</v>
      </c>
      <c r="BT123" s="75"/>
      <c r="BU123" s="75"/>
      <c r="BV123" s="75"/>
    </row>
    <row r="124" spans="1:110">
      <c r="A124" s="75"/>
      <c r="B124" s="75" t="s">
        <v>220</v>
      </c>
      <c r="C124" s="75"/>
      <c r="D124" s="75" t="s">
        <v>221</v>
      </c>
      <c r="E124" s="75"/>
      <c r="F124" s="75"/>
      <c r="G124" s="75"/>
      <c r="H124" s="148">
        <f>SUM(J124:BS124)</f>
        <v>0</v>
      </c>
      <c r="I124" s="75" t="s">
        <v>130</v>
      </c>
      <c r="J124" s="115">
        <f>J123*J48</f>
        <v>0</v>
      </c>
      <c r="K124" s="115">
        <f>K123*K48</f>
        <v>0</v>
      </c>
      <c r="L124" s="115">
        <f t="shared" ref="L124:BS124" si="234">L123*L48</f>
        <v>0</v>
      </c>
      <c r="M124" s="115">
        <f t="shared" si="234"/>
        <v>0</v>
      </c>
      <c r="N124" s="115">
        <f t="shared" si="234"/>
        <v>0</v>
      </c>
      <c r="O124" s="115">
        <f t="shared" si="234"/>
        <v>0</v>
      </c>
      <c r="P124" s="115">
        <f t="shared" si="234"/>
        <v>0</v>
      </c>
      <c r="Q124" s="115">
        <f t="shared" si="234"/>
        <v>0</v>
      </c>
      <c r="R124" s="115">
        <f t="shared" si="234"/>
        <v>0</v>
      </c>
      <c r="S124" s="115">
        <f t="shared" si="234"/>
        <v>0</v>
      </c>
      <c r="T124" s="115">
        <f t="shared" si="234"/>
        <v>0</v>
      </c>
      <c r="U124" s="115">
        <f t="shared" si="234"/>
        <v>0</v>
      </c>
      <c r="V124" s="115">
        <f t="shared" si="234"/>
        <v>0</v>
      </c>
      <c r="W124" s="115">
        <f t="shared" si="234"/>
        <v>0</v>
      </c>
      <c r="X124" s="115">
        <f t="shared" si="234"/>
        <v>0</v>
      </c>
      <c r="Y124" s="115">
        <f t="shared" si="234"/>
        <v>0</v>
      </c>
      <c r="Z124" s="115">
        <f t="shared" si="234"/>
        <v>0</v>
      </c>
      <c r="AA124" s="115">
        <f t="shared" si="234"/>
        <v>0</v>
      </c>
      <c r="AB124" s="115">
        <f t="shared" si="234"/>
        <v>0</v>
      </c>
      <c r="AC124" s="115">
        <f t="shared" si="234"/>
        <v>0</v>
      </c>
      <c r="AD124" s="115">
        <f t="shared" si="234"/>
        <v>0</v>
      </c>
      <c r="AE124" s="115">
        <f t="shared" si="234"/>
        <v>0</v>
      </c>
      <c r="AF124" s="115">
        <f t="shared" si="234"/>
        <v>0</v>
      </c>
      <c r="AG124" s="115">
        <f t="shared" si="234"/>
        <v>0</v>
      </c>
      <c r="AH124" s="115">
        <f t="shared" si="234"/>
        <v>0</v>
      </c>
      <c r="AI124" s="115">
        <f t="shared" si="234"/>
        <v>0</v>
      </c>
      <c r="AJ124" s="115">
        <f t="shared" si="234"/>
        <v>0</v>
      </c>
      <c r="AK124" s="115">
        <f t="shared" si="234"/>
        <v>0</v>
      </c>
      <c r="AL124" s="115">
        <f t="shared" si="234"/>
        <v>0</v>
      </c>
      <c r="AM124" s="115">
        <f t="shared" si="234"/>
        <v>0</v>
      </c>
      <c r="AN124" s="115">
        <f t="shared" si="234"/>
        <v>0</v>
      </c>
      <c r="AO124" s="115">
        <f t="shared" si="234"/>
        <v>0</v>
      </c>
      <c r="AP124" s="115">
        <f t="shared" si="234"/>
        <v>0</v>
      </c>
      <c r="AQ124" s="115">
        <f t="shared" si="234"/>
        <v>0</v>
      </c>
      <c r="AR124" s="115">
        <f t="shared" si="234"/>
        <v>0</v>
      </c>
      <c r="AS124" s="115">
        <f t="shared" si="234"/>
        <v>0</v>
      </c>
      <c r="AT124" s="115">
        <f t="shared" si="234"/>
        <v>0</v>
      </c>
      <c r="AU124" s="115">
        <f t="shared" si="234"/>
        <v>0</v>
      </c>
      <c r="AV124" s="115">
        <f t="shared" si="234"/>
        <v>0</v>
      </c>
      <c r="AW124" s="115">
        <f t="shared" si="234"/>
        <v>0</v>
      </c>
      <c r="AX124" s="115">
        <f t="shared" si="234"/>
        <v>0</v>
      </c>
      <c r="AY124" s="115">
        <f t="shared" si="234"/>
        <v>0</v>
      </c>
      <c r="AZ124" s="115">
        <f t="shared" si="234"/>
        <v>0</v>
      </c>
      <c r="BA124" s="115">
        <f t="shared" si="234"/>
        <v>0</v>
      </c>
      <c r="BB124" s="115">
        <f t="shared" si="234"/>
        <v>0</v>
      </c>
      <c r="BC124" s="115">
        <f t="shared" si="234"/>
        <v>0</v>
      </c>
      <c r="BD124" s="115">
        <f t="shared" si="234"/>
        <v>0</v>
      </c>
      <c r="BE124" s="115">
        <f t="shared" si="234"/>
        <v>0</v>
      </c>
      <c r="BF124" s="115">
        <f t="shared" si="234"/>
        <v>0</v>
      </c>
      <c r="BG124" s="115">
        <f t="shared" si="234"/>
        <v>0</v>
      </c>
      <c r="BH124" s="115">
        <f t="shared" si="234"/>
        <v>0</v>
      </c>
      <c r="BI124" s="115">
        <f t="shared" si="234"/>
        <v>0</v>
      </c>
      <c r="BJ124" s="115">
        <f t="shared" si="234"/>
        <v>0</v>
      </c>
      <c r="BK124" s="115">
        <f t="shared" si="234"/>
        <v>0</v>
      </c>
      <c r="BL124" s="115">
        <f t="shared" si="234"/>
        <v>0</v>
      </c>
      <c r="BM124" s="115">
        <f t="shared" si="234"/>
        <v>0</v>
      </c>
      <c r="BN124" s="115">
        <f t="shared" si="234"/>
        <v>0</v>
      </c>
      <c r="BO124" s="115">
        <f t="shared" si="234"/>
        <v>0</v>
      </c>
      <c r="BP124" s="115">
        <f t="shared" si="234"/>
        <v>0</v>
      </c>
      <c r="BQ124" s="115">
        <f t="shared" si="234"/>
        <v>0</v>
      </c>
      <c r="BR124" s="115">
        <f t="shared" si="234"/>
        <v>0</v>
      </c>
      <c r="BS124" s="115">
        <f t="shared" si="234"/>
        <v>0</v>
      </c>
      <c r="BT124" s="75"/>
      <c r="BU124" s="75"/>
      <c r="BV124" s="75"/>
    </row>
    <row r="125" spans="1:110">
      <c r="A125" s="75"/>
      <c r="B125" s="75"/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  <c r="AC125" s="75"/>
      <c r="AD125" s="75"/>
      <c r="AE125" s="75"/>
      <c r="AF125" s="75"/>
      <c r="AG125" s="75"/>
      <c r="AH125" s="75"/>
      <c r="AI125" s="75"/>
      <c r="AJ125" s="75"/>
      <c r="AK125" s="75"/>
      <c r="AL125" s="75"/>
      <c r="AM125" s="75"/>
      <c r="AN125" s="75"/>
      <c r="AO125" s="75"/>
      <c r="AP125" s="75"/>
      <c r="AQ125" s="75"/>
      <c r="AR125" s="75"/>
      <c r="AS125" s="75"/>
      <c r="AT125" s="75"/>
      <c r="AU125" s="75"/>
      <c r="AV125" s="75"/>
      <c r="AW125" s="75"/>
      <c r="AX125" s="75"/>
      <c r="AY125" s="75"/>
      <c r="AZ125" s="75"/>
      <c r="BA125" s="75"/>
      <c r="BB125" s="75"/>
      <c r="BC125" s="75"/>
      <c r="BD125" s="75"/>
      <c r="BE125" s="75"/>
      <c r="BF125" s="75"/>
      <c r="BG125" s="75"/>
      <c r="BH125" s="75"/>
      <c r="BI125" s="75"/>
      <c r="BJ125" s="75"/>
      <c r="BK125" s="75"/>
      <c r="BL125" s="75"/>
      <c r="BM125" s="75"/>
      <c r="BN125" s="75"/>
      <c r="BO125" s="75"/>
      <c r="BP125" s="75"/>
      <c r="BQ125" s="75"/>
      <c r="BR125" s="75"/>
      <c r="BS125" s="75"/>
      <c r="BT125" s="75"/>
      <c r="BU125" s="75"/>
      <c r="BV125" s="75"/>
    </row>
    <row r="126" spans="1:110">
      <c r="A126" s="75"/>
      <c r="B126" s="75"/>
      <c r="C126" s="75"/>
      <c r="D126" s="75"/>
      <c r="E126" s="75"/>
      <c r="F126" s="75"/>
      <c r="G126" s="7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  <c r="AC126" s="75"/>
      <c r="AD126" s="75"/>
      <c r="AE126" s="75"/>
      <c r="AF126" s="75"/>
      <c r="AG126" s="75"/>
      <c r="AH126" s="75"/>
      <c r="AI126" s="75"/>
      <c r="AJ126" s="75"/>
      <c r="AK126" s="75"/>
      <c r="AL126" s="75"/>
      <c r="AM126" s="75"/>
      <c r="AN126" s="75"/>
      <c r="AO126" s="75"/>
      <c r="AP126" s="75"/>
      <c r="AQ126" s="75"/>
      <c r="AR126" s="75"/>
      <c r="AS126" s="75"/>
      <c r="AT126" s="75"/>
      <c r="AU126" s="75"/>
      <c r="AV126" s="75"/>
      <c r="AW126" s="75"/>
      <c r="AX126" s="75"/>
      <c r="AY126" s="75"/>
      <c r="AZ126" s="75"/>
      <c r="BA126" s="75"/>
      <c r="BB126" s="75"/>
      <c r="BC126" s="75"/>
      <c r="BD126" s="75"/>
      <c r="BE126" s="75"/>
      <c r="BF126" s="75"/>
      <c r="BG126" s="75"/>
      <c r="BH126" s="75"/>
      <c r="BI126" s="75"/>
      <c r="BJ126" s="75"/>
      <c r="BK126" s="75"/>
      <c r="BL126" s="75"/>
      <c r="BM126" s="75"/>
      <c r="BN126" s="75"/>
      <c r="BO126" s="75"/>
      <c r="BP126" s="75"/>
      <c r="BQ126" s="75"/>
      <c r="BR126" s="75"/>
      <c r="BS126" s="75"/>
      <c r="BT126" s="75"/>
      <c r="BU126" s="75"/>
      <c r="BV126" s="75"/>
    </row>
    <row r="127" spans="1:110">
      <c r="A127" s="75"/>
      <c r="B127" s="155"/>
      <c r="C127" s="155"/>
      <c r="D127" s="155"/>
      <c r="E127" s="155"/>
      <c r="F127" s="155"/>
      <c r="G127" s="155"/>
      <c r="H127" s="155"/>
      <c r="I127" s="155"/>
      <c r="J127" s="155"/>
      <c r="K127" s="155"/>
      <c r="L127" s="155"/>
      <c r="M127" s="155"/>
      <c r="N127" s="155"/>
      <c r="O127" s="155"/>
      <c r="P127" s="155"/>
      <c r="Q127" s="155"/>
      <c r="R127" s="155"/>
      <c r="S127" s="155"/>
      <c r="T127" s="155"/>
      <c r="U127" s="155"/>
      <c r="V127" s="155"/>
      <c r="W127" s="155"/>
      <c r="X127" s="155"/>
      <c r="Y127" s="155"/>
      <c r="Z127" s="155"/>
      <c r="AA127" s="155"/>
      <c r="AB127" s="155"/>
      <c r="AC127" s="155"/>
      <c r="AD127" s="155"/>
      <c r="AE127" s="155"/>
      <c r="AF127" s="155"/>
      <c r="AG127" s="155"/>
      <c r="AH127" s="155"/>
      <c r="AI127" s="155"/>
      <c r="AJ127" s="155"/>
      <c r="AK127" s="155"/>
      <c r="AL127" s="155"/>
      <c r="AM127" s="155"/>
      <c r="AN127" s="155"/>
      <c r="AO127" s="155"/>
      <c r="AP127" s="155"/>
      <c r="AQ127" s="155"/>
      <c r="AR127" s="155"/>
      <c r="AS127" s="155"/>
      <c r="AT127" s="155"/>
      <c r="AU127" s="155"/>
      <c r="AV127" s="155"/>
      <c r="AW127" s="155"/>
      <c r="AX127" s="155"/>
      <c r="AY127" s="155"/>
      <c r="AZ127" s="155"/>
      <c r="BA127" s="155"/>
      <c r="BB127" s="155"/>
      <c r="BC127" s="155"/>
      <c r="BD127" s="155"/>
      <c r="BE127" s="155"/>
      <c r="BF127" s="155"/>
      <c r="BG127" s="155"/>
      <c r="BH127" s="155"/>
      <c r="BI127" s="155"/>
      <c r="BJ127" s="155"/>
      <c r="BK127" s="155"/>
      <c r="BL127" s="155"/>
      <c r="BM127" s="155"/>
      <c r="BN127" s="155"/>
      <c r="BO127" s="155"/>
      <c r="BP127" s="155"/>
      <c r="BQ127" s="155"/>
      <c r="BR127" s="155"/>
      <c r="BS127" s="155"/>
      <c r="BT127" s="155"/>
      <c r="BU127" s="155"/>
      <c r="BV127" s="155"/>
      <c r="BW127" s="156"/>
      <c r="BX127" s="156"/>
      <c r="BY127" s="156"/>
      <c r="BZ127" s="156"/>
      <c r="CA127" s="156"/>
      <c r="CB127" s="156"/>
      <c r="CC127" s="156"/>
      <c r="CD127" s="156"/>
      <c r="CE127" s="156"/>
      <c r="CF127" s="156"/>
      <c r="CG127" s="156"/>
      <c r="CH127" s="156"/>
      <c r="CI127" s="156"/>
      <c r="CJ127" s="156"/>
      <c r="CK127" s="156"/>
      <c r="CL127" s="156"/>
      <c r="CM127" s="156"/>
      <c r="CN127" s="156"/>
      <c r="CO127" s="156"/>
      <c r="CP127" s="156"/>
      <c r="CQ127" s="156"/>
      <c r="CR127" s="156"/>
      <c r="CS127" s="156"/>
      <c r="CT127" s="156"/>
      <c r="CU127" s="156"/>
      <c r="CV127" s="156"/>
      <c r="CW127" s="156"/>
      <c r="CX127" s="156"/>
      <c r="CY127" s="156"/>
      <c r="CZ127" s="156"/>
      <c r="DA127" s="156"/>
      <c r="DB127" s="156"/>
      <c r="DC127" s="156"/>
      <c r="DD127" s="156"/>
      <c r="DE127" s="156"/>
      <c r="DF127" s="156"/>
    </row>
    <row r="128" spans="1:110">
      <c r="A128" s="75"/>
      <c r="B128" s="155"/>
      <c r="C128" s="155"/>
      <c r="D128" s="155"/>
      <c r="E128" s="155"/>
      <c r="F128" s="155"/>
      <c r="G128" s="157"/>
      <c r="H128" s="157"/>
      <c r="I128" s="157"/>
      <c r="J128" s="157">
        <v>2020</v>
      </c>
      <c r="K128" s="157">
        <v>2021</v>
      </c>
      <c r="L128" s="157">
        <v>2022</v>
      </c>
      <c r="M128" s="157">
        <v>2023</v>
      </c>
      <c r="N128" s="157">
        <v>2024</v>
      </c>
      <c r="O128" s="157">
        <v>2025</v>
      </c>
      <c r="P128" s="157">
        <v>2026</v>
      </c>
      <c r="Q128" s="157">
        <v>2027</v>
      </c>
      <c r="R128" s="157">
        <v>2028</v>
      </c>
      <c r="S128" s="157">
        <v>2029</v>
      </c>
      <c r="T128" s="157">
        <v>2030</v>
      </c>
      <c r="U128" s="157">
        <v>2031</v>
      </c>
      <c r="V128" s="157">
        <v>2032</v>
      </c>
      <c r="W128" s="157">
        <v>2033</v>
      </c>
      <c r="X128" s="157">
        <v>2034</v>
      </c>
      <c r="Y128" s="157">
        <v>2035</v>
      </c>
      <c r="Z128" s="157">
        <v>2036</v>
      </c>
      <c r="AA128" s="157">
        <v>2037</v>
      </c>
      <c r="AB128" s="157">
        <v>2038</v>
      </c>
      <c r="AC128" s="157">
        <v>2039</v>
      </c>
      <c r="AD128" s="157">
        <v>2040</v>
      </c>
      <c r="AE128" s="157">
        <v>2041</v>
      </c>
      <c r="AF128" s="157">
        <v>2042</v>
      </c>
      <c r="AG128" s="157">
        <v>2043</v>
      </c>
      <c r="AH128" s="157">
        <v>2044</v>
      </c>
      <c r="AI128" s="157">
        <v>2045</v>
      </c>
      <c r="AJ128" s="157">
        <v>2046</v>
      </c>
      <c r="AK128" s="157">
        <v>2047</v>
      </c>
      <c r="AL128" s="157">
        <v>2048</v>
      </c>
      <c r="AM128" s="157">
        <v>2049</v>
      </c>
      <c r="AN128" s="157">
        <v>2050</v>
      </c>
      <c r="AO128" s="157">
        <v>2051</v>
      </c>
      <c r="AP128" s="157">
        <v>2052</v>
      </c>
      <c r="AQ128" s="157">
        <v>2053</v>
      </c>
      <c r="AR128" s="157">
        <v>2054</v>
      </c>
      <c r="AS128" s="157">
        <v>2055</v>
      </c>
      <c r="AT128" s="157">
        <v>2056</v>
      </c>
      <c r="AU128" s="157">
        <v>2057</v>
      </c>
      <c r="AV128" s="157">
        <v>2058</v>
      </c>
      <c r="AW128" s="157">
        <v>2059</v>
      </c>
      <c r="AX128" s="157">
        <v>2060</v>
      </c>
      <c r="AY128" s="157">
        <v>2061</v>
      </c>
      <c r="AZ128" s="157">
        <v>2062</v>
      </c>
      <c r="BA128" s="157">
        <v>2063</v>
      </c>
      <c r="BB128" s="157">
        <v>2064</v>
      </c>
      <c r="BC128" s="157">
        <v>2065</v>
      </c>
      <c r="BD128" s="157">
        <v>2066</v>
      </c>
      <c r="BE128" s="157">
        <v>2067</v>
      </c>
      <c r="BF128" s="157">
        <v>2068</v>
      </c>
      <c r="BG128" s="157">
        <v>2069</v>
      </c>
      <c r="BH128" s="157">
        <v>2070</v>
      </c>
      <c r="BI128" s="157">
        <v>2071</v>
      </c>
      <c r="BJ128" s="157">
        <v>2072</v>
      </c>
      <c r="BK128" s="157">
        <v>2073</v>
      </c>
      <c r="BL128" s="157">
        <v>2074</v>
      </c>
      <c r="BM128" s="157">
        <v>2075</v>
      </c>
      <c r="BN128" s="157">
        <v>2076</v>
      </c>
      <c r="BO128" s="157">
        <v>2077</v>
      </c>
      <c r="BP128" s="157">
        <v>2078</v>
      </c>
      <c r="BQ128" s="157">
        <v>2079</v>
      </c>
      <c r="BR128" s="157">
        <v>2080</v>
      </c>
      <c r="BS128" s="157">
        <v>2081</v>
      </c>
      <c r="BT128" s="157">
        <v>2082</v>
      </c>
      <c r="BU128" s="157">
        <v>2083</v>
      </c>
      <c r="BV128" s="157">
        <v>2084</v>
      </c>
      <c r="BW128" s="157">
        <v>2085</v>
      </c>
      <c r="BX128" s="157">
        <v>2086</v>
      </c>
      <c r="BY128" s="157">
        <v>2087</v>
      </c>
      <c r="BZ128" s="157">
        <v>2088</v>
      </c>
      <c r="CA128" s="157">
        <v>2089</v>
      </c>
      <c r="CB128" s="157">
        <v>2090</v>
      </c>
      <c r="CC128" s="157">
        <v>2091</v>
      </c>
      <c r="CD128" s="157">
        <v>2092</v>
      </c>
      <c r="CE128" s="157">
        <v>2093</v>
      </c>
      <c r="CF128" s="157">
        <v>2094</v>
      </c>
      <c r="CG128" s="157">
        <v>2095</v>
      </c>
      <c r="CH128" s="157">
        <v>2096</v>
      </c>
      <c r="CI128" s="157">
        <v>2097</v>
      </c>
      <c r="CJ128" s="157">
        <v>2098</v>
      </c>
      <c r="CK128" s="157">
        <v>2099</v>
      </c>
      <c r="CL128" s="157">
        <v>2100</v>
      </c>
      <c r="CM128" s="157">
        <v>2101</v>
      </c>
      <c r="CN128" s="157">
        <v>2102</v>
      </c>
      <c r="CO128" s="157">
        <v>2103</v>
      </c>
      <c r="CP128" s="157">
        <v>2104</v>
      </c>
      <c r="CQ128" s="157">
        <v>2105</v>
      </c>
      <c r="CR128" s="157">
        <v>2106</v>
      </c>
      <c r="CS128" s="157">
        <v>2107</v>
      </c>
      <c r="CT128" s="157">
        <v>2108</v>
      </c>
      <c r="CU128" s="157">
        <v>2109</v>
      </c>
      <c r="CV128" s="157">
        <v>2110</v>
      </c>
      <c r="CW128" s="157">
        <v>2111</v>
      </c>
      <c r="CX128" s="157">
        <v>2112</v>
      </c>
      <c r="CY128" s="157">
        <v>2113</v>
      </c>
      <c r="CZ128" s="157">
        <v>2114</v>
      </c>
      <c r="DA128" s="157">
        <v>2115</v>
      </c>
      <c r="DB128" s="157">
        <v>2116</v>
      </c>
      <c r="DC128" s="157">
        <v>2117</v>
      </c>
      <c r="DD128" s="157">
        <v>2118</v>
      </c>
      <c r="DE128" s="157">
        <v>2119</v>
      </c>
      <c r="DF128" s="157">
        <v>2120</v>
      </c>
    </row>
    <row r="129" spans="1:110">
      <c r="A129" s="75"/>
      <c r="B129" s="155"/>
      <c r="C129" s="155"/>
      <c r="D129" s="155"/>
      <c r="E129" s="155"/>
      <c r="F129" s="155" t="s">
        <v>222</v>
      </c>
      <c r="G129" s="156"/>
      <c r="H129" s="156" t="str">
        <f>_xlfn.CONCAT(J11,", ",C15)</f>
        <v>Uraani, Keski</v>
      </c>
      <c r="I129" s="156" t="str">
        <f>_xlfn.XLOOKUP(H129,Polttoainekustannukset!E:E,Polttoainekustannukset!I:I)</f>
        <v>2022 EUR/MWh</v>
      </c>
      <c r="J129" s="156">
        <f>_xlfn.XLOOKUP($H129,Polttoainekustannukset!$E:$E,Polttoainekustannukset!J:J)</f>
        <v>9.3999999999999986</v>
      </c>
      <c r="K129" s="156">
        <f>_xlfn.XLOOKUP($H129,Polttoainekustannukset!$E:$E,Polttoainekustannukset!K:K)</f>
        <v>9.3999999999999986</v>
      </c>
      <c r="L129" s="156">
        <f>_xlfn.XLOOKUP($H129,Polttoainekustannukset!$E:$E,Polttoainekustannukset!L:L)</f>
        <v>9.3999999999999986</v>
      </c>
      <c r="M129" s="156">
        <f>_xlfn.XLOOKUP($H129,Polttoainekustannukset!$E:$E,Polttoainekustannukset!M:M)</f>
        <v>9.3999999999999986</v>
      </c>
      <c r="N129" s="156">
        <f>_xlfn.XLOOKUP($H129,Polttoainekustannukset!$E:$E,Polttoainekustannukset!N:N)</f>
        <v>9.3999999999999986</v>
      </c>
      <c r="O129" s="156">
        <f>_xlfn.XLOOKUP($H129,Polttoainekustannukset!$E:$E,Polttoainekustannukset!O:O)</f>
        <v>9.3999999999999986</v>
      </c>
      <c r="P129" s="156">
        <f>_xlfn.XLOOKUP($H129,Polttoainekustannukset!$E:$E,Polttoainekustannukset!P:P)</f>
        <v>9.3999999999999986</v>
      </c>
      <c r="Q129" s="156">
        <f>_xlfn.XLOOKUP($H129,Polttoainekustannukset!$E:$E,Polttoainekustannukset!Q:Q)</f>
        <v>9.3999999999999986</v>
      </c>
      <c r="R129" s="156">
        <f>_xlfn.XLOOKUP($H129,Polttoainekustannukset!$E:$E,Polttoainekustannukset!R:R)</f>
        <v>9.3999999999999986</v>
      </c>
      <c r="S129" s="156">
        <f>_xlfn.XLOOKUP($H129,Polttoainekustannukset!$E:$E,Polttoainekustannukset!S:S)</f>
        <v>9.3999999999999986</v>
      </c>
      <c r="T129" s="156">
        <f>_xlfn.XLOOKUP($H129,Polttoainekustannukset!$E:$E,Polttoainekustannukset!T:T)</f>
        <v>9.3999999999999986</v>
      </c>
      <c r="U129" s="156">
        <f>_xlfn.XLOOKUP($H129,Polttoainekustannukset!$E:$E,Polttoainekustannukset!U:U)</f>
        <v>9.3999999999999986</v>
      </c>
      <c r="V129" s="156">
        <f>_xlfn.XLOOKUP($H129,Polttoainekustannukset!$E:$E,Polttoainekustannukset!V:V)</f>
        <v>9.3999999999999986</v>
      </c>
      <c r="W129" s="156">
        <f>_xlfn.XLOOKUP($H129,Polttoainekustannukset!$E:$E,Polttoainekustannukset!W:W)</f>
        <v>9.3999999999999986</v>
      </c>
      <c r="X129" s="156">
        <f>_xlfn.XLOOKUP($H129,Polttoainekustannukset!$E:$E,Polttoainekustannukset!X:X)</f>
        <v>9.3999999999999986</v>
      </c>
      <c r="Y129" s="156">
        <f>_xlfn.XLOOKUP($H129,Polttoainekustannukset!$E:$E,Polttoainekustannukset!Y:Y)</f>
        <v>9.3999999999999986</v>
      </c>
      <c r="Z129" s="156">
        <f>_xlfn.XLOOKUP($H129,Polttoainekustannukset!$E:$E,Polttoainekustannukset!Z:Z)</f>
        <v>9.3999999999999986</v>
      </c>
      <c r="AA129" s="156">
        <f>_xlfn.XLOOKUP($H129,Polttoainekustannukset!$E:$E,Polttoainekustannukset!AA:AA)</f>
        <v>9.3999999999999986</v>
      </c>
      <c r="AB129" s="156">
        <f>_xlfn.XLOOKUP($H129,Polttoainekustannukset!$E:$E,Polttoainekustannukset!AB:AB)</f>
        <v>9.3999999999999986</v>
      </c>
      <c r="AC129" s="156">
        <f>_xlfn.XLOOKUP($H129,Polttoainekustannukset!$E:$E,Polttoainekustannukset!AC:AC)</f>
        <v>9.3999999999999986</v>
      </c>
      <c r="AD129" s="156">
        <f>_xlfn.XLOOKUP($H129,Polttoainekustannukset!$E:$E,Polttoainekustannukset!AD:AD)</f>
        <v>9.3999999999999986</v>
      </c>
      <c r="AE129" s="156">
        <f>_xlfn.XLOOKUP($H129,Polttoainekustannukset!$E:$E,Polttoainekustannukset!AE:AE)</f>
        <v>9.3999999999999986</v>
      </c>
      <c r="AF129" s="156">
        <f>_xlfn.XLOOKUP($H129,Polttoainekustannukset!$E:$E,Polttoainekustannukset!AF:AF)</f>
        <v>9.3999999999999986</v>
      </c>
      <c r="AG129" s="156">
        <f>_xlfn.XLOOKUP($H129,Polttoainekustannukset!$E:$E,Polttoainekustannukset!AG:AG)</f>
        <v>9.3999999999999986</v>
      </c>
      <c r="AH129" s="156">
        <f>_xlfn.XLOOKUP($H129,Polttoainekustannukset!$E:$E,Polttoainekustannukset!AH:AH)</f>
        <v>9.3999999999999986</v>
      </c>
      <c r="AI129" s="156">
        <f>_xlfn.XLOOKUP($H129,Polttoainekustannukset!$E:$E,Polttoainekustannukset!AI:AI)</f>
        <v>9.3999999999999986</v>
      </c>
      <c r="AJ129" s="156">
        <f>_xlfn.XLOOKUP($H129,Polttoainekustannukset!$E:$E,Polttoainekustannukset!AJ:AJ)</f>
        <v>9.3999999999999986</v>
      </c>
      <c r="AK129" s="156">
        <f>_xlfn.XLOOKUP($H129,Polttoainekustannukset!$E:$E,Polttoainekustannukset!AK:AK)</f>
        <v>9.3999999999999986</v>
      </c>
      <c r="AL129" s="156">
        <f>_xlfn.XLOOKUP($H129,Polttoainekustannukset!$E:$E,Polttoainekustannukset!AL:AL)</f>
        <v>9.3999999999999986</v>
      </c>
      <c r="AM129" s="156">
        <f>_xlfn.XLOOKUP($H129,Polttoainekustannukset!$E:$E,Polttoainekustannukset!AM:AM)</f>
        <v>9.3999999999999986</v>
      </c>
      <c r="AN129" s="156">
        <f>_xlfn.XLOOKUP($H129,Polttoainekustannukset!$E:$E,Polttoainekustannukset!AN:AN)</f>
        <v>9.3999999999999986</v>
      </c>
      <c r="AO129" s="156">
        <f>_xlfn.XLOOKUP($H129,Polttoainekustannukset!$E:$E,Polttoainekustannukset!AO:AO)</f>
        <v>9.3999999999999986</v>
      </c>
      <c r="AP129" s="156">
        <f>_xlfn.XLOOKUP($H129,Polttoainekustannukset!$E:$E,Polttoainekustannukset!AP:AP)</f>
        <v>9.3999999999999986</v>
      </c>
      <c r="AQ129" s="156">
        <f>_xlfn.XLOOKUP($H129,Polttoainekustannukset!$E:$E,Polttoainekustannukset!AQ:AQ)</f>
        <v>9.3999999999999986</v>
      </c>
      <c r="AR129" s="156">
        <f>_xlfn.XLOOKUP($H129,Polttoainekustannukset!$E:$E,Polttoainekustannukset!AR:AR)</f>
        <v>9.3999999999999986</v>
      </c>
      <c r="AS129" s="156">
        <f>_xlfn.XLOOKUP($H129,Polttoainekustannukset!$E:$E,Polttoainekustannukset!AS:AS)</f>
        <v>9.3999999999999986</v>
      </c>
      <c r="AT129" s="156">
        <f>_xlfn.XLOOKUP($H129,Polttoainekustannukset!$E:$E,Polttoainekustannukset!AT:AT)</f>
        <v>9.3999999999999986</v>
      </c>
      <c r="AU129" s="156">
        <f>_xlfn.XLOOKUP($H129,Polttoainekustannukset!$E:$E,Polttoainekustannukset!AU:AU)</f>
        <v>9.3999999999999986</v>
      </c>
      <c r="AV129" s="156">
        <f>_xlfn.XLOOKUP($H129,Polttoainekustannukset!$E:$E,Polttoainekustannukset!AV:AV)</f>
        <v>9.3999999999999986</v>
      </c>
      <c r="AW129" s="156">
        <f>_xlfn.XLOOKUP($H129,Polttoainekustannukset!$E:$E,Polttoainekustannukset!AW:AW)</f>
        <v>9.3999999999999986</v>
      </c>
      <c r="AX129" s="156">
        <f>_xlfn.XLOOKUP($H129,Polttoainekustannukset!$E:$E,Polttoainekustannukset!AX:AX)</f>
        <v>9.3999999999999986</v>
      </c>
      <c r="AY129" s="156">
        <f>_xlfn.XLOOKUP($H129,Polttoainekustannukset!$E:$E,Polttoainekustannukset!AY:AY)</f>
        <v>9.3999999999999986</v>
      </c>
      <c r="AZ129" s="156">
        <f>_xlfn.XLOOKUP($H129,Polttoainekustannukset!$E:$E,Polttoainekustannukset!AZ:AZ)</f>
        <v>9.3999999999999986</v>
      </c>
      <c r="BA129" s="156">
        <f>_xlfn.XLOOKUP($H129,Polttoainekustannukset!$E:$E,Polttoainekustannukset!BA:BA)</f>
        <v>9.3999999999999986</v>
      </c>
      <c r="BB129" s="156">
        <f>_xlfn.XLOOKUP($H129,Polttoainekustannukset!$E:$E,Polttoainekustannukset!BB:BB)</f>
        <v>9.3999999999999986</v>
      </c>
      <c r="BC129" s="156">
        <f>_xlfn.XLOOKUP($H129,Polttoainekustannukset!$E:$E,Polttoainekustannukset!BC:BC)</f>
        <v>9.3999999999999986</v>
      </c>
      <c r="BD129" s="156">
        <f>_xlfn.XLOOKUP($H129,Polttoainekustannukset!$E:$E,Polttoainekustannukset!BD:BD)</f>
        <v>9.3999999999999986</v>
      </c>
      <c r="BE129" s="156">
        <f>_xlfn.XLOOKUP($H129,Polttoainekustannukset!$E:$E,Polttoainekustannukset!BE:BE)</f>
        <v>9.3999999999999986</v>
      </c>
      <c r="BF129" s="156">
        <f>_xlfn.XLOOKUP($H129,Polttoainekustannukset!$E:$E,Polttoainekustannukset!BF:BF)</f>
        <v>9.3999999999999986</v>
      </c>
      <c r="BG129" s="156">
        <f>_xlfn.XLOOKUP($H129,Polttoainekustannukset!$E:$E,Polttoainekustannukset!BG:BG)</f>
        <v>9.3999999999999986</v>
      </c>
      <c r="BH129" s="156">
        <f>_xlfn.XLOOKUP($H129,Polttoainekustannukset!$E:$E,Polttoainekustannukset!BH:BH)</f>
        <v>9.3999999999999986</v>
      </c>
      <c r="BI129" s="156">
        <f>_xlfn.XLOOKUP($H129,Polttoainekustannukset!$E:$E,Polttoainekustannukset!BI:BI)</f>
        <v>9.3999999999999986</v>
      </c>
      <c r="BJ129" s="156">
        <f>_xlfn.XLOOKUP($H129,Polttoainekustannukset!$E:$E,Polttoainekustannukset!BJ:BJ)</f>
        <v>9.3999999999999986</v>
      </c>
      <c r="BK129" s="156">
        <f>_xlfn.XLOOKUP($H129,Polttoainekustannukset!$E:$E,Polttoainekustannukset!BK:BK)</f>
        <v>9.3999999999999986</v>
      </c>
      <c r="BL129" s="156">
        <f>_xlfn.XLOOKUP($H129,Polttoainekustannukset!$E:$E,Polttoainekustannukset!BL:BL)</f>
        <v>9.3999999999999986</v>
      </c>
      <c r="BM129" s="156">
        <f>_xlfn.XLOOKUP($H129,Polttoainekustannukset!$E:$E,Polttoainekustannukset!BM:BM)</f>
        <v>9.3999999999999986</v>
      </c>
      <c r="BN129" s="156">
        <f>_xlfn.XLOOKUP($H129,Polttoainekustannukset!$E:$E,Polttoainekustannukset!BN:BN)</f>
        <v>9.3999999999999986</v>
      </c>
      <c r="BO129" s="156">
        <f>_xlfn.XLOOKUP($H129,Polttoainekustannukset!$E:$E,Polttoainekustannukset!BO:BO)</f>
        <v>9.3999999999999986</v>
      </c>
      <c r="BP129" s="156">
        <f>_xlfn.XLOOKUP($H129,Polttoainekustannukset!$E:$E,Polttoainekustannukset!BP:BP)</f>
        <v>9.3999999999999986</v>
      </c>
      <c r="BQ129" s="156">
        <f>_xlfn.XLOOKUP($H129,Polttoainekustannukset!$E:$E,Polttoainekustannukset!BQ:BQ)</f>
        <v>9.3999999999999986</v>
      </c>
      <c r="BR129" s="156">
        <f>_xlfn.XLOOKUP($H129,Polttoainekustannukset!$E:$E,Polttoainekustannukset!BR:BR)</f>
        <v>9.3999999999999986</v>
      </c>
      <c r="BS129" s="156">
        <f>_xlfn.XLOOKUP($H129,Polttoainekustannukset!$E:$E,Polttoainekustannukset!BS:BS)</f>
        <v>9.3999999999999986</v>
      </c>
      <c r="BT129" s="156">
        <f>_xlfn.XLOOKUP($H129,Polttoainekustannukset!$E:$E,Polttoainekustannukset!BT:BT)</f>
        <v>9.3999999999999986</v>
      </c>
      <c r="BU129" s="156">
        <f>_xlfn.XLOOKUP($H129,Polttoainekustannukset!$E:$E,Polttoainekustannukset!BU:BU)</f>
        <v>9.3999999999999986</v>
      </c>
      <c r="BV129" s="156">
        <f>_xlfn.XLOOKUP($H129,Polttoainekustannukset!$E:$E,Polttoainekustannukset!BV:BV)</f>
        <v>9.3999999999999986</v>
      </c>
      <c r="BW129" s="156">
        <f>_xlfn.XLOOKUP($H129,Polttoainekustannukset!$E:$E,Polttoainekustannukset!BW:BW)</f>
        <v>9.3999999999999986</v>
      </c>
      <c r="BX129" s="156">
        <f>_xlfn.XLOOKUP($H129,Polttoainekustannukset!$E:$E,Polttoainekustannukset!BX:BX)</f>
        <v>9.3999999999999986</v>
      </c>
      <c r="BY129" s="156">
        <f>_xlfn.XLOOKUP($H129,Polttoainekustannukset!$E:$E,Polttoainekustannukset!BY:BY)</f>
        <v>9.3999999999999986</v>
      </c>
      <c r="BZ129" s="156">
        <f>_xlfn.XLOOKUP($H129,Polttoainekustannukset!$E:$E,Polttoainekustannukset!BZ:BZ)</f>
        <v>9.3999999999999986</v>
      </c>
      <c r="CA129" s="156">
        <f>_xlfn.XLOOKUP($H129,Polttoainekustannukset!$E:$E,Polttoainekustannukset!CA:CA)</f>
        <v>9.3999999999999986</v>
      </c>
      <c r="CB129" s="156">
        <f>_xlfn.XLOOKUP($H129,Polttoainekustannukset!$E:$E,Polttoainekustannukset!CB:CB)</f>
        <v>9.3999999999999986</v>
      </c>
      <c r="CC129" s="156">
        <f>_xlfn.XLOOKUP($H129,Polttoainekustannukset!$E:$E,Polttoainekustannukset!CC:CC)</f>
        <v>9.3999999999999986</v>
      </c>
      <c r="CD129" s="156">
        <f>_xlfn.XLOOKUP($H129,Polttoainekustannukset!$E:$E,Polttoainekustannukset!CD:CD)</f>
        <v>9.3999999999999986</v>
      </c>
      <c r="CE129" s="156">
        <f>_xlfn.XLOOKUP($H129,Polttoainekustannukset!$E:$E,Polttoainekustannukset!CE:CE)</f>
        <v>9.3999999999999986</v>
      </c>
      <c r="CF129" s="156">
        <f>_xlfn.XLOOKUP($H129,Polttoainekustannukset!$E:$E,Polttoainekustannukset!CF:CF)</f>
        <v>9.3999999999999986</v>
      </c>
      <c r="CG129" s="156">
        <f>_xlfn.XLOOKUP($H129,Polttoainekustannukset!$E:$E,Polttoainekustannukset!CG:CG)</f>
        <v>9.3999999999999986</v>
      </c>
      <c r="CH129" s="156">
        <f>_xlfn.XLOOKUP($H129,Polttoainekustannukset!$E:$E,Polttoainekustannukset!CH:CH)</f>
        <v>9.3999999999999986</v>
      </c>
      <c r="CI129" s="156">
        <f>_xlfn.XLOOKUP($H129,Polttoainekustannukset!$E:$E,Polttoainekustannukset!CI:CI)</f>
        <v>9.3999999999999986</v>
      </c>
      <c r="CJ129" s="156">
        <f>_xlfn.XLOOKUP($H129,Polttoainekustannukset!$E:$E,Polttoainekustannukset!CJ:CJ)</f>
        <v>9.3999999999999986</v>
      </c>
      <c r="CK129" s="156">
        <f>_xlfn.XLOOKUP($H129,Polttoainekustannukset!$E:$E,Polttoainekustannukset!CK:CK)</f>
        <v>9.3999999999999986</v>
      </c>
      <c r="CL129" s="156">
        <f>_xlfn.XLOOKUP($H129,Polttoainekustannukset!$E:$E,Polttoainekustannukset!CL:CL)</f>
        <v>9.3999999999999986</v>
      </c>
      <c r="CM129" s="156">
        <f>_xlfn.XLOOKUP($H129,Polttoainekustannukset!$E:$E,Polttoainekustannukset!CM:CM)</f>
        <v>9.3999999999999986</v>
      </c>
      <c r="CN129" s="156">
        <f>_xlfn.XLOOKUP($H129,Polttoainekustannukset!$E:$E,Polttoainekustannukset!CN:CN)</f>
        <v>9.3999999999999986</v>
      </c>
      <c r="CO129" s="156">
        <f>_xlfn.XLOOKUP($H129,Polttoainekustannukset!$E:$E,Polttoainekustannukset!CO:CO)</f>
        <v>9.3999999999999986</v>
      </c>
      <c r="CP129" s="156">
        <f>_xlfn.XLOOKUP($H129,Polttoainekustannukset!$E:$E,Polttoainekustannukset!CP:CP)</f>
        <v>9.3999999999999986</v>
      </c>
      <c r="CQ129" s="156">
        <f>_xlfn.XLOOKUP($H129,Polttoainekustannukset!$E:$E,Polttoainekustannukset!CQ:CQ)</f>
        <v>9.3999999999999986</v>
      </c>
      <c r="CR129" s="156">
        <f>_xlfn.XLOOKUP($H129,Polttoainekustannukset!$E:$E,Polttoainekustannukset!CR:CR)</f>
        <v>9.3999999999999986</v>
      </c>
      <c r="CS129" s="156">
        <f>_xlfn.XLOOKUP($H129,Polttoainekustannukset!$E:$E,Polttoainekustannukset!CS:CS)</f>
        <v>9.3999999999999986</v>
      </c>
      <c r="CT129" s="156">
        <f>_xlfn.XLOOKUP($H129,Polttoainekustannukset!$E:$E,Polttoainekustannukset!CT:CT)</f>
        <v>9.3999999999999986</v>
      </c>
      <c r="CU129" s="156">
        <f>_xlfn.XLOOKUP($H129,Polttoainekustannukset!$E:$E,Polttoainekustannukset!CU:CU)</f>
        <v>9.3999999999999986</v>
      </c>
      <c r="CV129" s="156">
        <f>_xlfn.XLOOKUP($H129,Polttoainekustannukset!$E:$E,Polttoainekustannukset!CV:CV)</f>
        <v>9.3999999999999986</v>
      </c>
      <c r="CW129" s="156">
        <f>_xlfn.XLOOKUP($H129,Polttoainekustannukset!$E:$E,Polttoainekustannukset!CW:CW)</f>
        <v>9.3999999999999986</v>
      </c>
      <c r="CX129" s="156">
        <f>_xlfn.XLOOKUP($H129,Polttoainekustannukset!$E:$E,Polttoainekustannukset!CX:CX)</f>
        <v>9.3999999999999986</v>
      </c>
      <c r="CY129" s="156">
        <f>_xlfn.XLOOKUP($H129,Polttoainekustannukset!$E:$E,Polttoainekustannukset!CY:CY)</f>
        <v>9.3999999999999986</v>
      </c>
      <c r="CZ129" s="156">
        <f>_xlfn.XLOOKUP($H129,Polttoainekustannukset!$E:$E,Polttoainekustannukset!CZ:CZ)</f>
        <v>9.3999999999999986</v>
      </c>
      <c r="DA129" s="156">
        <f>_xlfn.XLOOKUP($H129,Polttoainekustannukset!$E:$E,Polttoainekustannukset!DA:DA)</f>
        <v>9.3999999999999986</v>
      </c>
      <c r="DB129" s="156">
        <f>_xlfn.XLOOKUP($H129,Polttoainekustannukset!$E:$E,Polttoainekustannukset!DB:DB)</f>
        <v>9.3999999999999986</v>
      </c>
      <c r="DC129" s="156">
        <f>_xlfn.XLOOKUP($H129,Polttoainekustannukset!$E:$E,Polttoainekustannukset!DC:DC)</f>
        <v>9.3999999999999986</v>
      </c>
      <c r="DD129" s="156">
        <f>_xlfn.XLOOKUP($H129,Polttoainekustannukset!$E:$E,Polttoainekustannukset!DD:DD)</f>
        <v>9.3999999999999986</v>
      </c>
      <c r="DE129" s="156">
        <f>_xlfn.XLOOKUP($H129,Polttoainekustannukset!$E:$E,Polttoainekustannukset!DE:DE)</f>
        <v>9.3999999999999986</v>
      </c>
      <c r="DF129" s="156">
        <f>_xlfn.XLOOKUP($H129,Polttoainekustannukset!$E:$E,Polttoainekustannukset!DF:DF)</f>
        <v>9.3999999999999986</v>
      </c>
    </row>
    <row r="130" spans="1:110">
      <c r="A130" s="75"/>
      <c r="B130" s="155"/>
      <c r="C130" s="155"/>
      <c r="D130" s="155"/>
      <c r="E130" s="155"/>
      <c r="F130" s="155" t="s">
        <v>223</v>
      </c>
      <c r="G130" s="156"/>
      <c r="H130" s="156" t="str">
        <f>_xlfn.CONCAT(J11,", ",C16)</f>
        <v>Uraani, Keski (IPCC)</v>
      </c>
      <c r="I130" s="156" t="str">
        <f>_xlfn.XLOOKUP(H130,Päästötase!E:E,Päästötase!I:I)</f>
        <v>kgCO2e/MWh</v>
      </c>
      <c r="J130" s="156">
        <f>_xlfn.XLOOKUP($H130,Päästötase!$E:$E,Päästötase!J:J)</f>
        <v>0</v>
      </c>
      <c r="K130" s="156">
        <f>_xlfn.XLOOKUP($H130,Päästötase!$E:$E,Päästötase!K:K)</f>
        <v>0</v>
      </c>
      <c r="L130" s="156">
        <f>_xlfn.XLOOKUP($H130,Päästötase!$E:$E,Päästötase!L:L)</f>
        <v>0</v>
      </c>
      <c r="M130" s="156">
        <f>_xlfn.XLOOKUP($H130,Päästötase!$E:$E,Päästötase!M:M)</f>
        <v>0</v>
      </c>
      <c r="N130" s="156">
        <f>_xlfn.XLOOKUP($H130,Päästötase!$E:$E,Päästötase!N:N)</f>
        <v>0</v>
      </c>
      <c r="O130" s="156">
        <f>_xlfn.XLOOKUP($H130,Päästötase!$E:$E,Päästötase!O:O)</f>
        <v>0</v>
      </c>
      <c r="P130" s="156">
        <f>_xlfn.XLOOKUP($H130,Päästötase!$E:$E,Päästötase!P:P)</f>
        <v>0</v>
      </c>
      <c r="Q130" s="156">
        <f>_xlfn.XLOOKUP($H130,Päästötase!$E:$E,Päästötase!Q:Q)</f>
        <v>0</v>
      </c>
      <c r="R130" s="156">
        <f>_xlfn.XLOOKUP($H130,Päästötase!$E:$E,Päästötase!R:R)</f>
        <v>0</v>
      </c>
      <c r="S130" s="156">
        <f>_xlfn.XLOOKUP($H130,Päästötase!$E:$E,Päästötase!S:S)</f>
        <v>0</v>
      </c>
      <c r="T130" s="156">
        <f>_xlfn.XLOOKUP($H130,Päästötase!$E:$E,Päästötase!T:T)</f>
        <v>0</v>
      </c>
      <c r="U130" s="156">
        <f>_xlfn.XLOOKUP($H130,Päästötase!$E:$E,Päästötase!U:U)</f>
        <v>0</v>
      </c>
      <c r="V130" s="156">
        <f>_xlfn.XLOOKUP($H130,Päästötase!$E:$E,Päästötase!V:V)</f>
        <v>0</v>
      </c>
      <c r="W130" s="156">
        <f>_xlfn.XLOOKUP($H130,Päästötase!$E:$E,Päästötase!W:W)</f>
        <v>0</v>
      </c>
      <c r="X130" s="156">
        <f>_xlfn.XLOOKUP($H130,Päästötase!$E:$E,Päästötase!X:X)</f>
        <v>0</v>
      </c>
      <c r="Y130" s="156">
        <f>_xlfn.XLOOKUP($H130,Päästötase!$E:$E,Päästötase!Y:Y)</f>
        <v>0</v>
      </c>
      <c r="Z130" s="156">
        <f>_xlfn.XLOOKUP($H130,Päästötase!$E:$E,Päästötase!Z:Z)</f>
        <v>0</v>
      </c>
      <c r="AA130" s="156">
        <f>_xlfn.XLOOKUP($H130,Päästötase!$E:$E,Päästötase!AA:AA)</f>
        <v>0</v>
      </c>
      <c r="AB130" s="156">
        <f>_xlfn.XLOOKUP($H130,Päästötase!$E:$E,Päästötase!AB:AB)</f>
        <v>0</v>
      </c>
      <c r="AC130" s="156">
        <f>_xlfn.XLOOKUP($H130,Päästötase!$E:$E,Päästötase!AC:AC)</f>
        <v>0</v>
      </c>
      <c r="AD130" s="156">
        <f>_xlfn.XLOOKUP($H130,Päästötase!$E:$E,Päästötase!AD:AD)</f>
        <v>0</v>
      </c>
      <c r="AE130" s="156">
        <f>_xlfn.XLOOKUP($H130,Päästötase!$E:$E,Päästötase!AE:AE)</f>
        <v>0</v>
      </c>
      <c r="AF130" s="156">
        <f>_xlfn.XLOOKUP($H130,Päästötase!$E:$E,Päästötase!AF:AF)</f>
        <v>0</v>
      </c>
      <c r="AG130" s="156">
        <f>_xlfn.XLOOKUP($H130,Päästötase!$E:$E,Päästötase!AG:AG)</f>
        <v>0</v>
      </c>
      <c r="AH130" s="156">
        <f>_xlfn.XLOOKUP($H130,Päästötase!$E:$E,Päästötase!AH:AH)</f>
        <v>0</v>
      </c>
      <c r="AI130" s="156">
        <f>_xlfn.XLOOKUP($H130,Päästötase!$E:$E,Päästötase!AI:AI)</f>
        <v>0</v>
      </c>
      <c r="AJ130" s="156">
        <f>_xlfn.XLOOKUP($H130,Päästötase!$E:$E,Päästötase!AJ:AJ)</f>
        <v>0</v>
      </c>
      <c r="AK130" s="156">
        <f>_xlfn.XLOOKUP($H130,Päästötase!$E:$E,Päästötase!AK:AK)</f>
        <v>0</v>
      </c>
      <c r="AL130" s="156">
        <f>_xlfn.XLOOKUP($H130,Päästötase!$E:$E,Päästötase!AL:AL)</f>
        <v>0</v>
      </c>
      <c r="AM130" s="156">
        <f>_xlfn.XLOOKUP($H130,Päästötase!$E:$E,Päästötase!AM:AM)</f>
        <v>0</v>
      </c>
      <c r="AN130" s="156">
        <f>_xlfn.XLOOKUP($H130,Päästötase!$E:$E,Päästötase!AN:AN)</f>
        <v>0</v>
      </c>
      <c r="AO130" s="156">
        <f>_xlfn.XLOOKUP($H130,Päästötase!$E:$E,Päästötase!AO:AO)</f>
        <v>0</v>
      </c>
      <c r="AP130" s="156">
        <f>_xlfn.XLOOKUP($H130,Päästötase!$E:$E,Päästötase!AP:AP)</f>
        <v>0</v>
      </c>
      <c r="AQ130" s="156">
        <f>_xlfn.XLOOKUP($H130,Päästötase!$E:$E,Päästötase!AQ:AQ)</f>
        <v>0</v>
      </c>
      <c r="AR130" s="156">
        <f>_xlfn.XLOOKUP($H130,Päästötase!$E:$E,Päästötase!AR:AR)</f>
        <v>0</v>
      </c>
      <c r="AS130" s="156">
        <f>_xlfn.XLOOKUP($H130,Päästötase!$E:$E,Päästötase!AS:AS)</f>
        <v>0</v>
      </c>
      <c r="AT130" s="156">
        <f>_xlfn.XLOOKUP($H130,Päästötase!$E:$E,Päästötase!AT:AT)</f>
        <v>0</v>
      </c>
      <c r="AU130" s="156">
        <f>_xlfn.XLOOKUP($H130,Päästötase!$E:$E,Päästötase!AU:AU)</f>
        <v>0</v>
      </c>
      <c r="AV130" s="156">
        <f>_xlfn.XLOOKUP($H130,Päästötase!$E:$E,Päästötase!AV:AV)</f>
        <v>0</v>
      </c>
      <c r="AW130" s="156">
        <f>_xlfn.XLOOKUP($H130,Päästötase!$E:$E,Päästötase!AW:AW)</f>
        <v>0</v>
      </c>
      <c r="AX130" s="156">
        <f>_xlfn.XLOOKUP($H130,Päästötase!$E:$E,Päästötase!AX:AX)</f>
        <v>0</v>
      </c>
      <c r="AY130" s="156">
        <f>_xlfn.XLOOKUP($H130,Päästötase!$E:$E,Päästötase!AY:AY)</f>
        <v>0</v>
      </c>
      <c r="AZ130" s="156">
        <f>_xlfn.XLOOKUP($H130,Päästötase!$E:$E,Päästötase!AZ:AZ)</f>
        <v>0</v>
      </c>
      <c r="BA130" s="156">
        <f>_xlfn.XLOOKUP($H130,Päästötase!$E:$E,Päästötase!BA:BA)</f>
        <v>0</v>
      </c>
      <c r="BB130" s="156">
        <f>_xlfn.XLOOKUP($H130,Päästötase!$E:$E,Päästötase!BB:BB)</f>
        <v>0</v>
      </c>
      <c r="BC130" s="156">
        <f>_xlfn.XLOOKUP($H130,Päästötase!$E:$E,Päästötase!BC:BC)</f>
        <v>0</v>
      </c>
      <c r="BD130" s="156">
        <f>_xlfn.XLOOKUP($H130,Päästötase!$E:$E,Päästötase!BD:BD)</f>
        <v>0</v>
      </c>
      <c r="BE130" s="156">
        <f>_xlfn.XLOOKUP($H130,Päästötase!$E:$E,Päästötase!BE:BE)</f>
        <v>0</v>
      </c>
      <c r="BF130" s="156">
        <f>_xlfn.XLOOKUP($H130,Päästötase!$E:$E,Päästötase!BF:BF)</f>
        <v>0</v>
      </c>
      <c r="BG130" s="156">
        <f>_xlfn.XLOOKUP($H130,Päästötase!$E:$E,Päästötase!BG:BG)</f>
        <v>0</v>
      </c>
      <c r="BH130" s="156">
        <f>_xlfn.XLOOKUP($H130,Päästötase!$E:$E,Päästötase!BH:BH)</f>
        <v>0</v>
      </c>
      <c r="BI130" s="156">
        <f>_xlfn.XLOOKUP($H130,Päästötase!$E:$E,Päästötase!BI:BI)</f>
        <v>0</v>
      </c>
      <c r="BJ130" s="156">
        <f>_xlfn.XLOOKUP($H130,Päästötase!$E:$E,Päästötase!BJ:BJ)</f>
        <v>0</v>
      </c>
      <c r="BK130" s="156">
        <f>_xlfn.XLOOKUP($H130,Päästötase!$E:$E,Päästötase!BK:BK)</f>
        <v>0</v>
      </c>
      <c r="BL130" s="156">
        <f>_xlfn.XLOOKUP($H130,Päästötase!$E:$E,Päästötase!BL:BL)</f>
        <v>0</v>
      </c>
      <c r="BM130" s="156">
        <f>_xlfn.XLOOKUP($H130,Päästötase!$E:$E,Päästötase!BM:BM)</f>
        <v>0</v>
      </c>
      <c r="BN130" s="156">
        <f>_xlfn.XLOOKUP($H130,Päästötase!$E:$E,Päästötase!BN:BN)</f>
        <v>0</v>
      </c>
      <c r="BO130" s="156">
        <f>_xlfn.XLOOKUP($H130,Päästötase!$E:$E,Päästötase!BO:BO)</f>
        <v>0</v>
      </c>
      <c r="BP130" s="156">
        <f>_xlfn.XLOOKUP($H130,Päästötase!$E:$E,Päästötase!BP:BP)</f>
        <v>0</v>
      </c>
      <c r="BQ130" s="156">
        <f>_xlfn.XLOOKUP($H130,Päästötase!$E:$E,Päästötase!BQ:BQ)</f>
        <v>0</v>
      </c>
      <c r="BR130" s="156">
        <f>_xlfn.XLOOKUP($H130,Päästötase!$E:$E,Päästötase!BR:BR)</f>
        <v>0</v>
      </c>
      <c r="BS130" s="156">
        <f>_xlfn.XLOOKUP($H130,Päästötase!$E:$E,Päästötase!BS:BS)</f>
        <v>0</v>
      </c>
      <c r="BT130" s="156">
        <f>_xlfn.XLOOKUP($H130,Päästötase!$E:$E,Päästötase!BT:BT)</f>
        <v>0</v>
      </c>
      <c r="BU130" s="156">
        <f>_xlfn.XLOOKUP($H130,Päästötase!$E:$E,Päästötase!BU:BU)</f>
        <v>0</v>
      </c>
      <c r="BV130" s="156">
        <f>_xlfn.XLOOKUP($H130,Päästötase!$E:$E,Päästötase!BV:BV)</f>
        <v>0</v>
      </c>
      <c r="BW130" s="156">
        <f>_xlfn.XLOOKUP($H130,Päästötase!$E:$E,Päästötase!BW:BW)</f>
        <v>0</v>
      </c>
      <c r="BX130" s="156">
        <f>_xlfn.XLOOKUP($H130,Päästötase!$E:$E,Päästötase!BX:BX)</f>
        <v>0</v>
      </c>
      <c r="BY130" s="156">
        <f>_xlfn.XLOOKUP($H130,Päästötase!$E:$E,Päästötase!BY:BY)</f>
        <v>0</v>
      </c>
      <c r="BZ130" s="156">
        <f>_xlfn.XLOOKUP($H130,Päästötase!$E:$E,Päästötase!BZ:BZ)</f>
        <v>0</v>
      </c>
      <c r="CA130" s="156">
        <f>_xlfn.XLOOKUP($H130,Päästötase!$E:$E,Päästötase!CA:CA)</f>
        <v>0</v>
      </c>
      <c r="CB130" s="156">
        <f>_xlfn.XLOOKUP($H130,Päästötase!$E:$E,Päästötase!CB:CB)</f>
        <v>0</v>
      </c>
      <c r="CC130" s="156">
        <f>_xlfn.XLOOKUP($H130,Päästötase!$E:$E,Päästötase!CC:CC)</f>
        <v>0</v>
      </c>
      <c r="CD130" s="156">
        <f>_xlfn.XLOOKUP($H130,Päästötase!$E:$E,Päästötase!CD:CD)</f>
        <v>0</v>
      </c>
      <c r="CE130" s="156">
        <f>_xlfn.XLOOKUP($H130,Päästötase!$E:$E,Päästötase!CE:CE)</f>
        <v>0</v>
      </c>
      <c r="CF130" s="156">
        <f>_xlfn.XLOOKUP($H130,Päästötase!$E:$E,Päästötase!CF:CF)</f>
        <v>0</v>
      </c>
      <c r="CG130" s="156">
        <f>_xlfn.XLOOKUP($H130,Päästötase!$E:$E,Päästötase!CG:CG)</f>
        <v>0</v>
      </c>
      <c r="CH130" s="156">
        <f>_xlfn.XLOOKUP($H130,Päästötase!$E:$E,Päästötase!CH:CH)</f>
        <v>0</v>
      </c>
      <c r="CI130" s="156">
        <f>_xlfn.XLOOKUP($H130,Päästötase!$E:$E,Päästötase!CI:CI)</f>
        <v>0</v>
      </c>
      <c r="CJ130" s="156">
        <f>_xlfn.XLOOKUP($H130,Päästötase!$E:$E,Päästötase!CJ:CJ)</f>
        <v>0</v>
      </c>
      <c r="CK130" s="156">
        <f>_xlfn.XLOOKUP($H130,Päästötase!$E:$E,Päästötase!CK:CK)</f>
        <v>0</v>
      </c>
      <c r="CL130" s="156">
        <f>_xlfn.XLOOKUP($H130,Päästötase!$E:$E,Päästötase!CL:CL)</f>
        <v>0</v>
      </c>
      <c r="CM130" s="156">
        <f>_xlfn.XLOOKUP($H130,Päästötase!$E:$E,Päästötase!CM:CM)</f>
        <v>0</v>
      </c>
      <c r="CN130" s="156">
        <f>_xlfn.XLOOKUP($H130,Päästötase!$E:$E,Päästötase!CN:CN)</f>
        <v>0</v>
      </c>
      <c r="CO130" s="156">
        <f>_xlfn.XLOOKUP($H130,Päästötase!$E:$E,Päästötase!CO:CO)</f>
        <v>0</v>
      </c>
      <c r="CP130" s="156">
        <f>_xlfn.XLOOKUP($H130,Päästötase!$E:$E,Päästötase!CP:CP)</f>
        <v>0</v>
      </c>
      <c r="CQ130" s="156">
        <f>_xlfn.XLOOKUP($H130,Päästötase!$E:$E,Päästötase!CQ:CQ)</f>
        <v>0</v>
      </c>
      <c r="CR130" s="156">
        <f>_xlfn.XLOOKUP($H130,Päästötase!$E:$E,Päästötase!CR:CR)</f>
        <v>0</v>
      </c>
      <c r="CS130" s="156">
        <f>_xlfn.XLOOKUP($H130,Päästötase!$E:$E,Päästötase!CS:CS)</f>
        <v>0</v>
      </c>
      <c r="CT130" s="156">
        <f>_xlfn.XLOOKUP($H130,Päästötase!$E:$E,Päästötase!CT:CT)</f>
        <v>0</v>
      </c>
      <c r="CU130" s="156">
        <f>_xlfn.XLOOKUP($H130,Päästötase!$E:$E,Päästötase!CU:CU)</f>
        <v>0</v>
      </c>
      <c r="CV130" s="156">
        <f>_xlfn.XLOOKUP($H130,Päästötase!$E:$E,Päästötase!CV:CV)</f>
        <v>0</v>
      </c>
      <c r="CW130" s="156">
        <f>_xlfn.XLOOKUP($H130,Päästötase!$E:$E,Päästötase!CW:CW)</f>
        <v>0</v>
      </c>
      <c r="CX130" s="156">
        <f>_xlfn.XLOOKUP($H130,Päästötase!$E:$E,Päästötase!CX:CX)</f>
        <v>0</v>
      </c>
      <c r="CY130" s="156">
        <f>_xlfn.XLOOKUP($H130,Päästötase!$E:$E,Päästötase!CY:CY)</f>
        <v>0</v>
      </c>
      <c r="CZ130" s="156">
        <f>_xlfn.XLOOKUP($H130,Päästötase!$E:$E,Päästötase!CZ:CZ)</f>
        <v>0</v>
      </c>
      <c r="DA130" s="156">
        <f>_xlfn.XLOOKUP($H130,Päästötase!$E:$E,Päästötase!DA:DA)</f>
        <v>0</v>
      </c>
      <c r="DB130" s="156">
        <f>_xlfn.XLOOKUP($H130,Päästötase!$E:$E,Päästötase!DB:DB)</f>
        <v>0</v>
      </c>
      <c r="DC130" s="156">
        <f>_xlfn.XLOOKUP($H130,Päästötase!$E:$E,Päästötase!DC:DC)</f>
        <v>0</v>
      </c>
      <c r="DD130" s="156">
        <f>_xlfn.XLOOKUP($H130,Päästötase!$E:$E,Päästötase!DD:DD)</f>
        <v>0</v>
      </c>
      <c r="DE130" s="156">
        <f>_xlfn.XLOOKUP($H130,Päästötase!$E:$E,Päästötase!DE:DE)</f>
        <v>0</v>
      </c>
      <c r="DF130" s="156">
        <f>_xlfn.XLOOKUP($H130,Päästötase!$E:$E,Päästötase!DF:DF)</f>
        <v>0</v>
      </c>
    </row>
    <row r="131" spans="1:110">
      <c r="A131" s="75"/>
      <c r="B131" s="155"/>
      <c r="C131" s="155"/>
      <c r="D131" s="155"/>
      <c r="E131" s="155"/>
      <c r="F131" s="155" t="s">
        <v>224</v>
      </c>
      <c r="G131" s="156"/>
      <c r="H131" s="156" t="str">
        <f>C17</f>
        <v>Suomi, Ilmasto- ja energiastrategia (2021)</v>
      </c>
      <c r="I131" s="156" t="str">
        <f>_xlfn.XLOOKUP(H131,Päästömaksut!E:E,Päästömaksut!I:I)</f>
        <v>2022 EUR/tCO2e</v>
      </c>
      <c r="J131" s="156">
        <f>_xlfn.XLOOKUP($H131,Päästömaksut!$E:$E,Päästömaksut!J:J)</f>
        <v>29.799879999999998</v>
      </c>
      <c r="K131" s="156">
        <f>_xlfn.XLOOKUP($H131,Päästömaksut!$E:$E,Päästömaksut!K:K)</f>
        <v>30.527815999999998</v>
      </c>
      <c r="L131" s="156">
        <f>_xlfn.XLOOKUP($H131,Päästömaksut!$E:$E,Päästömaksut!L:L)</f>
        <v>31.255751999999998</v>
      </c>
      <c r="M131" s="156">
        <f>_xlfn.XLOOKUP($H131,Päästömaksut!$E:$E,Päästömaksut!M:M)</f>
        <v>31.983687999999997</v>
      </c>
      <c r="N131" s="156">
        <f>_xlfn.XLOOKUP($H131,Päästömaksut!$E:$E,Päästömaksut!N:N)</f>
        <v>32.711623999999993</v>
      </c>
      <c r="O131" s="156">
        <f>_xlfn.XLOOKUP($H131,Päästömaksut!$E:$E,Päästömaksut!O:O)</f>
        <v>33.439559999999993</v>
      </c>
      <c r="P131" s="156">
        <f>_xlfn.XLOOKUP($H131,Päästömaksut!$E:$E,Päästömaksut!P:P)</f>
        <v>33.917268</v>
      </c>
      <c r="Q131" s="156">
        <f>_xlfn.XLOOKUP($H131,Päästömaksut!$E:$E,Päästömaksut!Q:Q)</f>
        <v>34.394976</v>
      </c>
      <c r="R131" s="156">
        <f>_xlfn.XLOOKUP($H131,Päästömaksut!$E:$E,Päästömaksut!R:R)</f>
        <v>34.872684</v>
      </c>
      <c r="S131" s="156">
        <f>_xlfn.XLOOKUP($H131,Päästömaksut!$E:$E,Päästömaksut!S:S)</f>
        <v>35.350392000000006</v>
      </c>
      <c r="T131" s="156">
        <f>_xlfn.XLOOKUP($H131,Päästömaksut!$E:$E,Päästömaksut!T:T)</f>
        <v>35.828099999999999</v>
      </c>
      <c r="U131" s="156">
        <f>_xlfn.XLOOKUP($H131,Päästömaksut!$E:$E,Päästömaksut!U:U)</f>
        <v>38.216639999999998</v>
      </c>
      <c r="V131" s="156">
        <f>_xlfn.XLOOKUP($H131,Päästömaksut!$E:$E,Päästömaksut!V:V)</f>
        <v>40.605179999999997</v>
      </c>
      <c r="W131" s="156">
        <f>_xlfn.XLOOKUP($H131,Päästömaksut!$E:$E,Päästömaksut!W:W)</f>
        <v>42.993720000000003</v>
      </c>
      <c r="X131" s="156">
        <f>_xlfn.XLOOKUP($H131,Päästömaksut!$E:$E,Päästömaksut!X:X)</f>
        <v>45.382260000000002</v>
      </c>
      <c r="Y131" s="156">
        <f>_xlfn.XLOOKUP($H131,Päästömaksut!$E:$E,Päästömaksut!Y:Y)</f>
        <v>47.770799999999994</v>
      </c>
      <c r="Z131" s="156">
        <f>_xlfn.XLOOKUP($H131,Päästömaksut!$E:$E,Päästömaksut!Z:Z)</f>
        <v>50.864527999999993</v>
      </c>
      <c r="AA131" s="156">
        <f>_xlfn.XLOOKUP($H131,Päästömaksut!$E:$E,Päästömaksut!AA:AA)</f>
        <v>53.958255999999992</v>
      </c>
      <c r="AB131" s="156">
        <f>_xlfn.XLOOKUP($H131,Päästömaksut!$E:$E,Päästömaksut!AB:AB)</f>
        <v>57.05198399999999</v>
      </c>
      <c r="AC131" s="156">
        <f>_xlfn.XLOOKUP($H131,Päästömaksut!$E:$E,Päästömaksut!AC:AC)</f>
        <v>60.145711999999989</v>
      </c>
      <c r="AD131" s="156">
        <f>_xlfn.XLOOKUP($H131,Päästömaksut!$E:$E,Päästömaksut!AD:AD)</f>
        <v>63.239439999999995</v>
      </c>
      <c r="AE131" s="156">
        <f>_xlfn.XLOOKUP($H131,Päästömaksut!$E:$E,Päästömaksut!AE:AE)</f>
        <v>63.239439999999995</v>
      </c>
      <c r="AF131" s="156">
        <f>_xlfn.XLOOKUP($H131,Päästömaksut!$E:$E,Päästömaksut!AF:AF)</f>
        <v>63.239439999999995</v>
      </c>
      <c r="AG131" s="156">
        <f>_xlfn.XLOOKUP($H131,Päästömaksut!$E:$E,Päästömaksut!AG:AG)</f>
        <v>63.239439999999995</v>
      </c>
      <c r="AH131" s="156">
        <f>_xlfn.XLOOKUP($H131,Päästömaksut!$E:$E,Päästömaksut!AH:AH)</f>
        <v>63.239439999999995</v>
      </c>
      <c r="AI131" s="156">
        <f>_xlfn.XLOOKUP($H131,Päästömaksut!$E:$E,Päästömaksut!AI:AI)</f>
        <v>63.239439999999995</v>
      </c>
      <c r="AJ131" s="156">
        <f>_xlfn.XLOOKUP($H131,Päästömaksut!$E:$E,Päästömaksut!AJ:AJ)</f>
        <v>63.239439999999995</v>
      </c>
      <c r="AK131" s="156">
        <f>_xlfn.XLOOKUP($H131,Päästömaksut!$E:$E,Päästömaksut!AK:AK)</f>
        <v>63.239439999999995</v>
      </c>
      <c r="AL131" s="156">
        <f>_xlfn.XLOOKUP($H131,Päästömaksut!$E:$E,Päästömaksut!AL:AL)</f>
        <v>63.239439999999995</v>
      </c>
      <c r="AM131" s="156">
        <f>_xlfn.XLOOKUP($H131,Päästömaksut!$E:$E,Päästömaksut!AM:AM)</f>
        <v>63.239439999999995</v>
      </c>
      <c r="AN131" s="156">
        <f>_xlfn.XLOOKUP($H131,Päästömaksut!$E:$E,Päästömaksut!AN:AN)</f>
        <v>63.239439999999995</v>
      </c>
      <c r="AO131" s="156">
        <f>_xlfn.XLOOKUP($H131,Päästömaksut!$E:$E,Päästömaksut!AO:AO)</f>
        <v>63.239439999999995</v>
      </c>
      <c r="AP131" s="156">
        <f>_xlfn.XLOOKUP($H131,Päästömaksut!$E:$E,Päästömaksut!AP:AP)</f>
        <v>63.239439999999995</v>
      </c>
      <c r="AQ131" s="156">
        <f>_xlfn.XLOOKUP($H131,Päästömaksut!$E:$E,Päästömaksut!AQ:AQ)</f>
        <v>63.239439999999995</v>
      </c>
      <c r="AR131" s="156">
        <f>_xlfn.XLOOKUP($H131,Päästömaksut!$E:$E,Päästömaksut!AR:AR)</f>
        <v>63.239439999999995</v>
      </c>
      <c r="AS131" s="156">
        <f>_xlfn.XLOOKUP($H131,Päästömaksut!$E:$E,Päästömaksut!AS:AS)</f>
        <v>63.239439999999995</v>
      </c>
      <c r="AT131" s="156">
        <f>_xlfn.XLOOKUP($H131,Päästömaksut!$E:$E,Päästömaksut!AT:AT)</f>
        <v>63.239439999999995</v>
      </c>
      <c r="AU131" s="156">
        <f>_xlfn.XLOOKUP($H131,Päästömaksut!$E:$E,Päästömaksut!AU:AU)</f>
        <v>63.239439999999995</v>
      </c>
      <c r="AV131" s="156">
        <f>_xlfn.XLOOKUP($H131,Päästömaksut!$E:$E,Päästömaksut!AV:AV)</f>
        <v>63.239439999999995</v>
      </c>
      <c r="AW131" s="156">
        <f>_xlfn.XLOOKUP($H131,Päästömaksut!$E:$E,Päästömaksut!AW:AW)</f>
        <v>63.239439999999995</v>
      </c>
      <c r="AX131" s="156">
        <f>_xlfn.XLOOKUP($H131,Päästömaksut!$E:$E,Päästömaksut!AX:AX)</f>
        <v>63.239439999999995</v>
      </c>
      <c r="AY131" s="156">
        <f>_xlfn.XLOOKUP($H131,Päästömaksut!$E:$E,Päästömaksut!AY:AY)</f>
        <v>63.239439999999995</v>
      </c>
      <c r="AZ131" s="156">
        <f>_xlfn.XLOOKUP($H131,Päästömaksut!$E:$E,Päästömaksut!AZ:AZ)</f>
        <v>63.239439999999995</v>
      </c>
      <c r="BA131" s="156">
        <f>_xlfn.XLOOKUP($H131,Päästömaksut!$E:$E,Päästömaksut!BA:BA)</f>
        <v>63.239439999999995</v>
      </c>
      <c r="BB131" s="156">
        <f>_xlfn.XLOOKUP($H131,Päästömaksut!$E:$E,Päästömaksut!BB:BB)</f>
        <v>63.239439999999995</v>
      </c>
      <c r="BC131" s="156">
        <f>_xlfn.XLOOKUP($H131,Päästömaksut!$E:$E,Päästömaksut!BC:BC)</f>
        <v>63.239439999999995</v>
      </c>
      <c r="BD131" s="156">
        <f>_xlfn.XLOOKUP($H131,Päästömaksut!$E:$E,Päästömaksut!BD:BD)</f>
        <v>63.239439999999995</v>
      </c>
      <c r="BE131" s="156">
        <f>_xlfn.XLOOKUP($H131,Päästömaksut!$E:$E,Päästömaksut!BE:BE)</f>
        <v>63.239439999999995</v>
      </c>
      <c r="BF131" s="156">
        <f>_xlfn.XLOOKUP($H131,Päästömaksut!$E:$E,Päästömaksut!BF:BF)</f>
        <v>63.239439999999995</v>
      </c>
      <c r="BG131" s="156">
        <f>_xlfn.XLOOKUP($H131,Päästömaksut!$E:$E,Päästömaksut!BG:BG)</f>
        <v>63.239439999999995</v>
      </c>
      <c r="BH131" s="156">
        <f>_xlfn.XLOOKUP($H131,Päästömaksut!$E:$E,Päästömaksut!BH:BH)</f>
        <v>63.239439999999995</v>
      </c>
      <c r="BI131" s="156">
        <f>_xlfn.XLOOKUP($H131,Päästömaksut!$E:$E,Päästömaksut!BI:BI)</f>
        <v>63.239439999999995</v>
      </c>
      <c r="BJ131" s="156">
        <f>_xlfn.XLOOKUP($H131,Päästömaksut!$E:$E,Päästömaksut!BJ:BJ)</f>
        <v>63.239439999999995</v>
      </c>
      <c r="BK131" s="156">
        <f>_xlfn.XLOOKUP($H131,Päästömaksut!$E:$E,Päästömaksut!BK:BK)</f>
        <v>63.239439999999995</v>
      </c>
      <c r="BL131" s="156">
        <f>_xlfn.XLOOKUP($H131,Päästömaksut!$E:$E,Päästömaksut!BL:BL)</f>
        <v>63.239439999999995</v>
      </c>
      <c r="BM131" s="156">
        <f>_xlfn.XLOOKUP($H131,Päästömaksut!$E:$E,Päästömaksut!BM:BM)</f>
        <v>63.239439999999995</v>
      </c>
      <c r="BN131" s="156">
        <f>_xlfn.XLOOKUP($H131,Päästömaksut!$E:$E,Päästömaksut!BN:BN)</f>
        <v>63.239439999999995</v>
      </c>
      <c r="BO131" s="156">
        <f>_xlfn.XLOOKUP($H131,Päästömaksut!$E:$E,Päästömaksut!BO:BO)</f>
        <v>63.239439999999995</v>
      </c>
      <c r="BP131" s="156">
        <f>_xlfn.XLOOKUP($H131,Päästömaksut!$E:$E,Päästömaksut!BP:BP)</f>
        <v>63.239439999999995</v>
      </c>
      <c r="BQ131" s="156">
        <f>_xlfn.XLOOKUP($H131,Päästömaksut!$E:$E,Päästömaksut!BQ:BQ)</f>
        <v>63.239439999999995</v>
      </c>
      <c r="BR131" s="156">
        <f>_xlfn.XLOOKUP($H131,Päästömaksut!$E:$E,Päästömaksut!BR:BR)</f>
        <v>63.239439999999995</v>
      </c>
      <c r="BS131" s="156">
        <f>_xlfn.XLOOKUP($H131,Päästömaksut!$E:$E,Päästömaksut!BS:BS)</f>
        <v>63.239439999999995</v>
      </c>
      <c r="BT131" s="156">
        <f>_xlfn.XLOOKUP($H131,Päästömaksut!$E:$E,Päästömaksut!BT:BT)</f>
        <v>63.239439999999995</v>
      </c>
      <c r="BU131" s="156">
        <f>_xlfn.XLOOKUP($H131,Päästömaksut!$E:$E,Päästömaksut!BU:BU)</f>
        <v>63.239439999999995</v>
      </c>
      <c r="BV131" s="156">
        <f>_xlfn.XLOOKUP($H131,Päästömaksut!$E:$E,Päästömaksut!BV:BV)</f>
        <v>63.239439999999995</v>
      </c>
      <c r="BW131" s="156">
        <f>_xlfn.XLOOKUP($H131,Päästömaksut!$E:$E,Päästömaksut!BW:BW)</f>
        <v>63.239439999999995</v>
      </c>
      <c r="BX131" s="156">
        <f>_xlfn.XLOOKUP($H131,Päästömaksut!$E:$E,Päästömaksut!BX:BX)</f>
        <v>63.239439999999995</v>
      </c>
      <c r="BY131" s="156">
        <f>_xlfn.XLOOKUP($H131,Päästömaksut!$E:$E,Päästömaksut!BY:BY)</f>
        <v>63.239439999999995</v>
      </c>
      <c r="BZ131" s="156">
        <f>_xlfn.XLOOKUP($H131,Päästömaksut!$E:$E,Päästömaksut!BZ:BZ)</f>
        <v>63.239439999999995</v>
      </c>
      <c r="CA131" s="156">
        <f>_xlfn.XLOOKUP($H131,Päästömaksut!$E:$E,Päästömaksut!CA:CA)</f>
        <v>63.239439999999995</v>
      </c>
      <c r="CB131" s="156">
        <f>_xlfn.XLOOKUP($H131,Päästömaksut!$E:$E,Päästömaksut!CB:CB)</f>
        <v>63.239439999999995</v>
      </c>
      <c r="CC131" s="156">
        <f>_xlfn.XLOOKUP($H131,Päästömaksut!$E:$E,Päästömaksut!CC:CC)</f>
        <v>63.239439999999995</v>
      </c>
      <c r="CD131" s="156">
        <f>_xlfn.XLOOKUP($H131,Päästömaksut!$E:$E,Päästömaksut!CD:CD)</f>
        <v>63.239439999999995</v>
      </c>
      <c r="CE131" s="156">
        <f>_xlfn.XLOOKUP($H131,Päästömaksut!$E:$E,Päästömaksut!CE:CE)</f>
        <v>63.239439999999995</v>
      </c>
      <c r="CF131" s="156">
        <f>_xlfn.XLOOKUP($H131,Päästömaksut!$E:$E,Päästömaksut!CF:CF)</f>
        <v>63.239439999999995</v>
      </c>
      <c r="CG131" s="156">
        <f>_xlfn.XLOOKUP($H131,Päästömaksut!$E:$E,Päästömaksut!CG:CG)</f>
        <v>63.239439999999995</v>
      </c>
      <c r="CH131" s="156">
        <f>_xlfn.XLOOKUP($H131,Päästömaksut!$E:$E,Päästömaksut!CH:CH)</f>
        <v>63.239439999999995</v>
      </c>
      <c r="CI131" s="156">
        <f>_xlfn.XLOOKUP($H131,Päästömaksut!$E:$E,Päästömaksut!CI:CI)</f>
        <v>63.239439999999995</v>
      </c>
      <c r="CJ131" s="156">
        <f>_xlfn.XLOOKUP($H131,Päästömaksut!$E:$E,Päästömaksut!CJ:CJ)</f>
        <v>63.239439999999995</v>
      </c>
      <c r="CK131" s="156">
        <f>_xlfn.XLOOKUP($H131,Päästömaksut!$E:$E,Päästömaksut!CK:CK)</f>
        <v>63.239439999999995</v>
      </c>
      <c r="CL131" s="156">
        <f>_xlfn.XLOOKUP($H131,Päästömaksut!$E:$E,Päästömaksut!CL:CL)</f>
        <v>63.239439999999995</v>
      </c>
      <c r="CM131" s="156">
        <f>_xlfn.XLOOKUP($H131,Päästömaksut!$E:$E,Päästömaksut!CM:CM)</f>
        <v>63.239439999999995</v>
      </c>
      <c r="CN131" s="156">
        <f>_xlfn.XLOOKUP($H131,Päästömaksut!$E:$E,Päästömaksut!CN:CN)</f>
        <v>63.239439999999995</v>
      </c>
      <c r="CO131" s="156">
        <f>_xlfn.XLOOKUP($H131,Päästömaksut!$E:$E,Päästömaksut!CO:CO)</f>
        <v>63.239439999999995</v>
      </c>
      <c r="CP131" s="156">
        <f>_xlfn.XLOOKUP($H131,Päästömaksut!$E:$E,Päästömaksut!CP:CP)</f>
        <v>63.239439999999995</v>
      </c>
      <c r="CQ131" s="156">
        <f>_xlfn.XLOOKUP($H131,Päästömaksut!$E:$E,Päästömaksut!CQ:CQ)</f>
        <v>63.239439999999995</v>
      </c>
      <c r="CR131" s="156">
        <f>_xlfn.XLOOKUP($H131,Päästömaksut!$E:$E,Päästömaksut!CR:CR)</f>
        <v>63.239439999999995</v>
      </c>
      <c r="CS131" s="156">
        <f>_xlfn.XLOOKUP($H131,Päästömaksut!$E:$E,Päästömaksut!CS:CS)</f>
        <v>63.239439999999995</v>
      </c>
      <c r="CT131" s="156">
        <f>_xlfn.XLOOKUP($H131,Päästömaksut!$E:$E,Päästömaksut!CT:CT)</f>
        <v>63.239439999999995</v>
      </c>
      <c r="CU131" s="156">
        <f>_xlfn.XLOOKUP($H131,Päästömaksut!$E:$E,Päästömaksut!CU:CU)</f>
        <v>63.239439999999995</v>
      </c>
      <c r="CV131" s="156">
        <f>_xlfn.XLOOKUP($H131,Päästömaksut!$E:$E,Päästömaksut!CV:CV)</f>
        <v>63.239439999999995</v>
      </c>
      <c r="CW131" s="156">
        <f>_xlfn.XLOOKUP($H131,Päästömaksut!$E:$E,Päästömaksut!CW:CW)</f>
        <v>63.239439999999995</v>
      </c>
      <c r="CX131" s="156">
        <f>_xlfn.XLOOKUP($H131,Päästömaksut!$E:$E,Päästömaksut!CX:CX)</f>
        <v>63.239439999999995</v>
      </c>
      <c r="CY131" s="156">
        <f>_xlfn.XLOOKUP($H131,Päästömaksut!$E:$E,Päästömaksut!CY:CY)</f>
        <v>63.239439999999995</v>
      </c>
      <c r="CZ131" s="156">
        <f>_xlfn.XLOOKUP($H131,Päästömaksut!$E:$E,Päästömaksut!CZ:CZ)</f>
        <v>63.239439999999995</v>
      </c>
      <c r="DA131" s="156">
        <f>_xlfn.XLOOKUP($H131,Päästömaksut!$E:$E,Päästömaksut!DA:DA)</f>
        <v>63.239439999999995</v>
      </c>
      <c r="DB131" s="156">
        <f>_xlfn.XLOOKUP($H131,Päästömaksut!$E:$E,Päästömaksut!DB:DB)</f>
        <v>63.239439999999995</v>
      </c>
      <c r="DC131" s="156">
        <f>_xlfn.XLOOKUP($H131,Päästömaksut!$E:$E,Päästömaksut!DC:DC)</f>
        <v>63.239439999999995</v>
      </c>
      <c r="DD131" s="156">
        <f>_xlfn.XLOOKUP($H131,Päästömaksut!$E:$E,Päästömaksut!DD:DD)</f>
        <v>63.239439999999995</v>
      </c>
      <c r="DE131" s="156">
        <f>_xlfn.XLOOKUP($H131,Päästömaksut!$E:$E,Päästömaksut!DE:DE)</f>
        <v>63.239439999999995</v>
      </c>
      <c r="DF131" s="156">
        <f>_xlfn.XLOOKUP($H131,Päästömaksut!$E:$E,Päästömaksut!DF:DF)</f>
        <v>63.239439999999995</v>
      </c>
    </row>
    <row r="132" spans="1:110">
      <c r="A132" s="75"/>
      <c r="B132" s="155"/>
      <c r="C132" s="155"/>
      <c r="D132" s="155"/>
      <c r="E132" s="155"/>
      <c r="F132" s="155"/>
      <c r="G132" s="156"/>
      <c r="H132" s="156"/>
      <c r="I132" s="156"/>
      <c r="J132" s="156"/>
      <c r="K132" s="156"/>
      <c r="L132" s="156"/>
      <c r="M132" s="156"/>
      <c r="N132" s="156"/>
      <c r="O132" s="156"/>
      <c r="P132" s="156"/>
      <c r="Q132" s="156"/>
      <c r="R132" s="156"/>
      <c r="S132" s="156"/>
      <c r="T132" s="156"/>
      <c r="U132" s="156"/>
      <c r="V132" s="156"/>
      <c r="W132" s="156"/>
      <c r="X132" s="156"/>
      <c r="Y132" s="156"/>
      <c r="Z132" s="156"/>
      <c r="AA132" s="156"/>
      <c r="AB132" s="156"/>
      <c r="AC132" s="156"/>
      <c r="AD132" s="156"/>
      <c r="AE132" s="156"/>
      <c r="AF132" s="156"/>
      <c r="AG132" s="156"/>
      <c r="AH132" s="156"/>
      <c r="AI132" s="156"/>
      <c r="AJ132" s="156"/>
      <c r="AK132" s="156"/>
      <c r="AL132" s="156"/>
      <c r="AM132" s="156"/>
      <c r="AN132" s="156"/>
      <c r="AO132" s="156"/>
      <c r="AP132" s="156"/>
      <c r="AQ132" s="156"/>
      <c r="AR132" s="156"/>
      <c r="AS132" s="156"/>
      <c r="AT132" s="156"/>
      <c r="AU132" s="156"/>
      <c r="AV132" s="156"/>
      <c r="AW132" s="156"/>
      <c r="AX132" s="156"/>
      <c r="AY132" s="156"/>
      <c r="AZ132" s="156"/>
      <c r="BA132" s="156"/>
      <c r="BB132" s="156"/>
      <c r="BC132" s="156"/>
      <c r="BD132" s="156"/>
      <c r="BE132" s="156"/>
      <c r="BF132" s="156"/>
      <c r="BG132" s="156"/>
      <c r="BH132" s="156"/>
      <c r="BI132" s="156"/>
      <c r="BJ132" s="156"/>
      <c r="BK132" s="156"/>
      <c r="BL132" s="156"/>
      <c r="BM132" s="156"/>
      <c r="BN132" s="156"/>
      <c r="BO132" s="156"/>
      <c r="BP132" s="156"/>
      <c r="BQ132" s="156"/>
      <c r="BR132" s="156"/>
      <c r="BS132" s="156"/>
      <c r="BT132" s="156"/>
      <c r="BU132" s="156"/>
      <c r="BV132" s="156"/>
      <c r="BW132" s="156"/>
      <c r="BX132" s="156"/>
      <c r="BY132" s="156"/>
      <c r="BZ132" s="156"/>
      <c r="CA132" s="156"/>
      <c r="CB132" s="156"/>
      <c r="CC132" s="156"/>
      <c r="CD132" s="156"/>
      <c r="CE132" s="156"/>
      <c r="CF132" s="156"/>
      <c r="CG132" s="156"/>
      <c r="CH132" s="156"/>
      <c r="CI132" s="156"/>
      <c r="CJ132" s="156"/>
      <c r="CK132" s="156"/>
      <c r="CL132" s="156"/>
      <c r="CM132" s="156"/>
      <c r="CN132" s="156"/>
      <c r="CO132" s="156"/>
      <c r="CP132" s="156"/>
      <c r="CQ132" s="156"/>
      <c r="CR132" s="156"/>
      <c r="CS132" s="156"/>
      <c r="CT132" s="156"/>
      <c r="CU132" s="156"/>
      <c r="CV132" s="156"/>
      <c r="CW132" s="156"/>
      <c r="CX132" s="156"/>
      <c r="CY132" s="156"/>
      <c r="CZ132" s="156"/>
      <c r="DA132" s="156"/>
      <c r="DB132" s="156"/>
      <c r="DC132" s="156"/>
      <c r="DD132" s="156"/>
      <c r="DE132" s="156"/>
      <c r="DF132" s="156"/>
    </row>
    <row r="133" spans="1:110">
      <c r="B133" s="155"/>
      <c r="C133" s="155"/>
      <c r="D133" s="155"/>
      <c r="E133" s="155"/>
      <c r="F133" s="155"/>
      <c r="G133" s="156"/>
      <c r="H133" s="156"/>
      <c r="I133" s="156"/>
      <c r="J133" s="156"/>
      <c r="K133" s="156"/>
      <c r="L133" s="156"/>
      <c r="M133" s="156"/>
      <c r="N133" s="156"/>
      <c r="O133" s="156"/>
      <c r="P133" s="156"/>
      <c r="Q133" s="156"/>
      <c r="R133" s="156"/>
      <c r="S133" s="156"/>
      <c r="T133" s="156"/>
      <c r="U133" s="156"/>
      <c r="V133" s="156"/>
      <c r="W133" s="156"/>
      <c r="X133" s="156"/>
      <c r="Y133" s="156"/>
      <c r="Z133" s="156"/>
      <c r="AA133" s="156"/>
      <c r="AB133" s="156"/>
      <c r="AC133" s="156"/>
      <c r="AD133" s="156"/>
      <c r="AE133" s="156"/>
      <c r="AF133" s="156"/>
      <c r="AG133" s="156"/>
      <c r="AH133" s="156"/>
      <c r="AI133" s="156"/>
      <c r="AJ133" s="156"/>
      <c r="AK133" s="156"/>
      <c r="AL133" s="156"/>
      <c r="AM133" s="156"/>
      <c r="AN133" s="156"/>
      <c r="AO133" s="156"/>
      <c r="AP133" s="156"/>
      <c r="AQ133" s="156"/>
      <c r="AR133" s="156"/>
      <c r="AS133" s="156"/>
      <c r="AT133" s="156"/>
      <c r="AU133" s="156"/>
      <c r="AV133" s="156"/>
      <c r="AW133" s="156"/>
      <c r="AX133" s="156"/>
      <c r="AY133" s="156"/>
      <c r="AZ133" s="156"/>
      <c r="BA133" s="156"/>
      <c r="BB133" s="156"/>
      <c r="BC133" s="156"/>
      <c r="BD133" s="156"/>
      <c r="BE133" s="156"/>
      <c r="BF133" s="156"/>
      <c r="BG133" s="156"/>
      <c r="BH133" s="156"/>
      <c r="BI133" s="156"/>
      <c r="BJ133" s="156"/>
      <c r="BK133" s="156"/>
      <c r="BL133" s="156"/>
      <c r="BM133" s="156"/>
      <c r="BN133" s="156"/>
      <c r="BO133" s="156"/>
      <c r="BP133" s="156"/>
      <c r="BQ133" s="156"/>
      <c r="BR133" s="156"/>
      <c r="BS133" s="156"/>
      <c r="BT133" s="156"/>
      <c r="BU133" s="156"/>
      <c r="BV133" s="156"/>
      <c r="BW133" s="156"/>
      <c r="BX133" s="156"/>
      <c r="BY133" s="156"/>
      <c r="BZ133" s="156"/>
      <c r="CA133" s="156"/>
      <c r="CB133" s="156"/>
      <c r="CC133" s="156"/>
      <c r="CD133" s="156"/>
      <c r="CE133" s="156"/>
      <c r="CF133" s="156"/>
      <c r="CG133" s="156"/>
      <c r="CH133" s="156"/>
      <c r="CI133" s="156"/>
      <c r="CJ133" s="156"/>
      <c r="CK133" s="156"/>
      <c r="CL133" s="156"/>
      <c r="CM133" s="156"/>
      <c r="CN133" s="156"/>
      <c r="CO133" s="156"/>
      <c r="CP133" s="156"/>
      <c r="CQ133" s="156"/>
      <c r="CR133" s="156"/>
      <c r="CS133" s="156"/>
      <c r="CT133" s="156"/>
      <c r="CU133" s="156"/>
      <c r="CV133" s="156"/>
      <c r="CW133" s="156"/>
      <c r="CX133" s="156"/>
      <c r="CY133" s="156"/>
      <c r="CZ133" s="156"/>
      <c r="DA133" s="156"/>
      <c r="DB133" s="156"/>
      <c r="DC133" s="156"/>
      <c r="DD133" s="156"/>
      <c r="DE133" s="156"/>
      <c r="DF133" s="156"/>
    </row>
    <row r="134" spans="1:110">
      <c r="B134" s="156"/>
      <c r="C134" s="156"/>
      <c r="D134" s="156"/>
      <c r="E134" s="156"/>
      <c r="F134" s="156"/>
      <c r="G134" s="156"/>
      <c r="H134" s="156"/>
      <c r="I134" s="156"/>
      <c r="J134" s="156"/>
      <c r="K134" s="156"/>
      <c r="L134" s="156"/>
      <c r="M134" s="156"/>
      <c r="N134" s="156"/>
      <c r="O134" s="156"/>
      <c r="P134" s="156"/>
      <c r="Q134" s="156"/>
      <c r="R134" s="156"/>
      <c r="S134" s="156"/>
      <c r="T134" s="156"/>
      <c r="U134" s="156"/>
      <c r="V134" s="156"/>
      <c r="W134" s="156"/>
      <c r="X134" s="156"/>
      <c r="Y134" s="156"/>
      <c r="Z134" s="156"/>
      <c r="AA134" s="156"/>
      <c r="AB134" s="156"/>
      <c r="AC134" s="156"/>
      <c r="AD134" s="156"/>
      <c r="AE134" s="156"/>
      <c r="AF134" s="156"/>
      <c r="AG134" s="156"/>
      <c r="AH134" s="156"/>
      <c r="AI134" s="156"/>
      <c r="AJ134" s="156"/>
      <c r="AK134" s="156"/>
      <c r="AL134" s="156"/>
      <c r="AM134" s="156"/>
      <c r="AN134" s="156"/>
      <c r="AO134" s="156"/>
      <c r="AP134" s="156"/>
      <c r="AQ134" s="156"/>
      <c r="AR134" s="156"/>
      <c r="AS134" s="156"/>
      <c r="AT134" s="156"/>
      <c r="AU134" s="156"/>
      <c r="AV134" s="156"/>
      <c r="AW134" s="156"/>
      <c r="AX134" s="156"/>
      <c r="AY134" s="156"/>
      <c r="AZ134" s="156"/>
      <c r="BA134" s="156"/>
      <c r="BB134" s="156"/>
      <c r="BC134" s="156"/>
      <c r="BD134" s="156"/>
      <c r="BE134" s="156"/>
      <c r="BF134" s="156"/>
      <c r="BG134" s="156"/>
      <c r="BH134" s="156"/>
      <c r="BI134" s="156"/>
      <c r="BJ134" s="156"/>
      <c r="BK134" s="156"/>
      <c r="BL134" s="156"/>
      <c r="BM134" s="156"/>
      <c r="BN134" s="156"/>
      <c r="BO134" s="156"/>
      <c r="BP134" s="156"/>
      <c r="BQ134" s="156"/>
      <c r="BR134" s="156"/>
      <c r="BS134" s="156"/>
      <c r="BT134" s="156"/>
      <c r="BU134" s="156"/>
      <c r="BV134" s="156"/>
      <c r="BW134" s="156"/>
      <c r="BX134" s="156"/>
      <c r="BY134" s="156"/>
      <c r="BZ134" s="156"/>
      <c r="CA134" s="156"/>
      <c r="CB134" s="156"/>
      <c r="CC134" s="156"/>
      <c r="CD134" s="156"/>
      <c r="CE134" s="156"/>
      <c r="CF134" s="156"/>
      <c r="CG134" s="156"/>
      <c r="CH134" s="156"/>
      <c r="CI134" s="156"/>
      <c r="CJ134" s="156"/>
      <c r="CK134" s="156"/>
      <c r="CL134" s="156"/>
      <c r="CM134" s="156"/>
      <c r="CN134" s="156"/>
      <c r="CO134" s="156"/>
      <c r="CP134" s="156"/>
      <c r="CQ134" s="156"/>
      <c r="CR134" s="156"/>
      <c r="CS134" s="156"/>
      <c r="CT134" s="156"/>
      <c r="CU134" s="156"/>
      <c r="CV134" s="156"/>
      <c r="CW134" s="156"/>
      <c r="CX134" s="156"/>
      <c r="CY134" s="156"/>
      <c r="CZ134" s="156"/>
      <c r="DA134" s="156"/>
      <c r="DB134" s="156"/>
      <c r="DC134" s="156"/>
      <c r="DD134" s="156"/>
      <c r="DE134" s="156"/>
      <c r="DF134" s="156"/>
    </row>
  </sheetData>
  <sheetProtection sheet="1" objects="1" scenarios="1"/>
  <dataValidations count="2">
    <dataValidation type="decimal" allowBlank="1" showInputMessage="1" showErrorMessage="1" sqref="E27 E31 E29" xr:uid="{FC3B3EFB-BD36-6A41-9908-8B7B445B86F7}">
      <formula1>0</formula1>
      <formula2>100</formula2>
    </dataValidation>
    <dataValidation type="decimal" allowBlank="1" showInputMessage="1" showErrorMessage="1" sqref="E33" xr:uid="{E1A3583E-83BD-3649-AD4C-ED78489AF29D}">
      <formula1>-100</formula1>
      <formula2>100</formula2>
    </dataValidation>
  </dataValidations>
  <hyperlinks>
    <hyperlink ref="B3" r:id="rId1" xr:uid="{36CD345A-00FD-4543-ACC2-E0CEE31F7D49}"/>
    <hyperlink ref="B4" r:id="rId2" display="Jaettu Open Government 3-lisenssillä" xr:uid="{2BC1D710-967E-8043-A762-C661CCE70DF8}"/>
  </hyperlinks>
  <pageMargins left="0.7" right="0.7" top="0.75" bottom="0.75" header="0.3" footer="0.3"/>
  <pageSetup paperSize="9" orientation="portrait" verticalDpi="0" r:id="rId3"/>
  <ignoredErrors>
    <ignoredError sqref="H75:H76 H78 H98" formula="1"/>
  </ignoredErrors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2A543C59-9684-EC4C-9417-39519EB47649}">
          <x14:formula1>
            <xm:f>Laitokset!$B$21:$B$23</xm:f>
          </x14:formula1>
          <xm:sqref>C9</xm:sqref>
        </x14:dataValidation>
        <x14:dataValidation type="list" allowBlank="1" showInputMessage="1" showErrorMessage="1" xr:uid="{645D095E-6F1B-9A4C-9B1D-236E80BA7E67}">
          <x14:formula1>
            <xm:f>Polttoainekustannukset!$C$4:$C$11</xm:f>
          </x14:formula1>
          <xm:sqref>C15</xm:sqref>
        </x14:dataValidation>
        <x14:dataValidation type="list" allowBlank="1" showInputMessage="1" showErrorMessage="1" xr:uid="{20556AEB-39BF-154A-9730-FE4691B97138}">
          <x14:formula1>
            <xm:f>Päästömaksut!$E$5:$E$13</xm:f>
          </x14:formula1>
          <xm:sqref>C17</xm:sqref>
        </x14:dataValidation>
        <x14:dataValidation type="list" allowBlank="1" showInputMessage="1" showErrorMessage="1" xr:uid="{C86E0021-92A6-DE4D-8524-E91ADE7D46CF}">
          <x14:formula1>
            <xm:f>Päästötase!$C$2:$C$5</xm:f>
          </x14:formula1>
          <xm:sqref>C16</xm:sqref>
        </x14:dataValidation>
        <x14:dataValidation type="list" allowBlank="1" showInputMessage="1" showErrorMessage="1" xr:uid="{0E5C960E-1A24-1049-8C98-E880E3A791ED}">
          <x14:formula1>
            <xm:f>Laitokset!$B$24:$B$26</xm:f>
          </x14:formula1>
          <xm:sqref>C10 C12</xm:sqref>
        </x14:dataValidation>
        <x14:dataValidation type="list" allowBlank="1" showInputMessage="1" showErrorMessage="1" xr:uid="{7923DC2A-D1A7-4F42-9C6A-BA28504A56EC}">
          <x14:formula1>
            <xm:f>Laitokset!$B$37:$B$39</xm:f>
          </x14:formula1>
          <xm:sqref>C11</xm:sqref>
        </x14:dataValidation>
        <x14:dataValidation type="list" allowBlank="1" showInputMessage="1" showErrorMessage="1" xr:uid="{99FFFA7B-1623-2A49-B0E4-D062F157361C}">
          <x14:formula1>
            <xm:f>Laitokset!$B$58:$B$60</xm:f>
          </x14:formula1>
          <xm:sqref>C13</xm:sqref>
        </x14:dataValidation>
        <x14:dataValidation type="list" allowBlank="1" showInputMessage="1" showErrorMessage="1" xr:uid="{A8B59D47-DD5C-B543-BD8E-08F4D5E6F534}">
          <x14:formula1>
            <xm:f>Laitokset!$B$70:$B$72</xm:f>
          </x14:formula1>
          <xm:sqref>C14</xm:sqref>
        </x14:dataValidation>
        <x14:dataValidation type="list" allowBlank="1" showInputMessage="1" showErrorMessage="1" xr:uid="{C6F491A2-326E-F746-9EE4-E7AFCD140BDE}">
          <x14:formula1>
            <xm:f>Laitokset!$D$7:$FP$7</xm:f>
          </x14:formula1>
          <xm:sqref>C7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44264-97E1-1A47-BCA5-05C2BFE78DB7}">
  <sheetPr>
    <tabColor rgb="FFEBF4F7"/>
  </sheetPr>
  <dimension ref="A1:FO85"/>
  <sheetViews>
    <sheetView workbookViewId="0">
      <pane xSplit="3" ySplit="6" topLeftCell="CK7" activePane="bottomRight" state="frozenSplit"/>
      <selection pane="bottomRight" activeCell="A17" sqref="A17"/>
      <selection pane="bottomLeft" activeCell="A7" sqref="A7"/>
      <selection pane="topRight" activeCell="D1" sqref="D1"/>
    </sheetView>
    <sheetView workbookViewId="1">
      <pane xSplit="3" ySplit="6" topLeftCell="EM7" activePane="bottomRight" state="frozenSplit"/>
      <selection pane="bottomRight" activeCell="EY21" sqref="EY21"/>
      <selection pane="bottomLeft" activeCell="A7" sqref="A7"/>
      <selection pane="topRight" activeCell="D1" sqref="D1"/>
    </sheetView>
  </sheetViews>
  <sheetFormatPr defaultColWidth="11.42578125" defaultRowHeight="15"/>
  <cols>
    <col min="1" max="1" width="36.28515625" customWidth="1"/>
    <col min="2" max="2" width="31.7109375" customWidth="1"/>
    <col min="4" max="4" width="17.28515625" customWidth="1"/>
  </cols>
  <sheetData>
    <row r="1" spans="1:171">
      <c r="A1" t="s">
        <v>225</v>
      </c>
    </row>
    <row r="2" spans="1:171">
      <c r="A2" t="s">
        <v>226</v>
      </c>
      <c r="D2" s="2" t="s">
        <v>227</v>
      </c>
      <c r="E2" s="2" t="s">
        <v>228</v>
      </c>
      <c r="F2" s="2" t="s">
        <v>229</v>
      </c>
      <c r="G2" s="2" t="s">
        <v>230</v>
      </c>
      <c r="H2" s="2" t="s">
        <v>231</v>
      </c>
      <c r="I2" s="2" t="s">
        <v>232</v>
      </c>
      <c r="J2" s="2" t="s">
        <v>233</v>
      </c>
      <c r="K2" s="2" t="s">
        <v>234</v>
      </c>
      <c r="L2" s="2" t="s">
        <v>235</v>
      </c>
      <c r="M2" s="2" t="s">
        <v>236</v>
      </c>
      <c r="N2" s="2" t="s">
        <v>237</v>
      </c>
      <c r="O2" s="2" t="s">
        <v>238</v>
      </c>
      <c r="P2" s="2" t="s">
        <v>239</v>
      </c>
      <c r="Q2" s="2" t="s">
        <v>240</v>
      </c>
      <c r="R2" s="2" t="s">
        <v>241</v>
      </c>
      <c r="S2" s="2" t="s">
        <v>242</v>
      </c>
      <c r="T2" s="2" t="s">
        <v>243</v>
      </c>
      <c r="U2" s="2" t="s">
        <v>244</v>
      </c>
      <c r="V2" s="2" t="s">
        <v>245</v>
      </c>
      <c r="W2" s="2" t="s">
        <v>246</v>
      </c>
      <c r="X2" s="2" t="s">
        <v>247</v>
      </c>
      <c r="Y2" s="2" t="s">
        <v>248</v>
      </c>
      <c r="Z2" s="2" t="s">
        <v>249</v>
      </c>
      <c r="AA2" s="2" t="s">
        <v>250</v>
      </c>
      <c r="AB2" s="2" t="s">
        <v>251</v>
      </c>
      <c r="AC2" s="2" t="s">
        <v>252</v>
      </c>
      <c r="AD2" s="2" t="s">
        <v>253</v>
      </c>
      <c r="AE2" s="2" t="s">
        <v>254</v>
      </c>
      <c r="AF2" s="2" t="s">
        <v>255</v>
      </c>
      <c r="AG2" s="2" t="s">
        <v>256</v>
      </c>
      <c r="AH2" s="2" t="s">
        <v>257</v>
      </c>
      <c r="AI2" s="2" t="s">
        <v>258</v>
      </c>
      <c r="AJ2" s="2" t="s">
        <v>259</v>
      </c>
      <c r="AK2" s="2" t="s">
        <v>260</v>
      </c>
      <c r="AL2" s="2" t="s">
        <v>261</v>
      </c>
      <c r="AM2" s="2" t="s">
        <v>262</v>
      </c>
      <c r="AN2" s="2" t="s">
        <v>263</v>
      </c>
      <c r="AO2" s="2" t="s">
        <v>264</v>
      </c>
      <c r="AP2" s="2" t="s">
        <v>265</v>
      </c>
      <c r="AQ2" s="2" t="s">
        <v>266</v>
      </c>
      <c r="AR2" s="2" t="s">
        <v>267</v>
      </c>
      <c r="AS2" s="2" t="s">
        <v>268</v>
      </c>
      <c r="AT2" s="2" t="s">
        <v>269</v>
      </c>
      <c r="AU2" s="2" t="s">
        <v>270</v>
      </c>
      <c r="AV2" s="2" t="s">
        <v>271</v>
      </c>
      <c r="AW2" s="2" t="s">
        <v>272</v>
      </c>
      <c r="AX2" s="2" t="s">
        <v>273</v>
      </c>
      <c r="AY2" s="2" t="s">
        <v>274</v>
      </c>
      <c r="AZ2" s="2" t="s">
        <v>275</v>
      </c>
      <c r="BA2" s="2" t="s">
        <v>276</v>
      </c>
      <c r="BB2" s="2" t="s">
        <v>277</v>
      </c>
      <c r="BC2" s="2" t="s">
        <v>278</v>
      </c>
      <c r="BD2" s="2" t="s">
        <v>279</v>
      </c>
      <c r="BE2" s="2" t="s">
        <v>280</v>
      </c>
      <c r="BF2" s="2" t="s">
        <v>281</v>
      </c>
      <c r="BG2" s="2" t="s">
        <v>282</v>
      </c>
      <c r="BH2" s="2" t="s">
        <v>283</v>
      </c>
      <c r="BI2" s="2" t="s">
        <v>284</v>
      </c>
      <c r="BJ2" s="2" t="s">
        <v>285</v>
      </c>
      <c r="BK2" s="2" t="s">
        <v>286</v>
      </c>
      <c r="BL2" s="2" t="s">
        <v>287</v>
      </c>
      <c r="BM2" s="2" t="s">
        <v>288</v>
      </c>
      <c r="BN2" s="2" t="s">
        <v>289</v>
      </c>
      <c r="BO2" s="2" t="s">
        <v>290</v>
      </c>
      <c r="BP2" s="2" t="s">
        <v>291</v>
      </c>
      <c r="BQ2" s="2" t="s">
        <v>292</v>
      </c>
      <c r="BR2" s="2" t="s">
        <v>293</v>
      </c>
      <c r="BS2" s="2" t="s">
        <v>294</v>
      </c>
      <c r="BT2" s="2" t="s">
        <v>295</v>
      </c>
      <c r="BU2" s="2" t="s">
        <v>296</v>
      </c>
      <c r="BV2" s="2" t="s">
        <v>297</v>
      </c>
      <c r="BW2" s="2" t="s">
        <v>298</v>
      </c>
      <c r="BX2" s="2" t="s">
        <v>299</v>
      </c>
      <c r="BY2" s="2" t="s">
        <v>300</v>
      </c>
      <c r="BZ2" s="2" t="s">
        <v>301</v>
      </c>
      <c r="CA2" s="2" t="s">
        <v>302</v>
      </c>
      <c r="CB2" s="2" t="s">
        <v>303</v>
      </c>
      <c r="CC2" s="2" t="s">
        <v>304</v>
      </c>
      <c r="CD2" s="2" t="s">
        <v>305</v>
      </c>
      <c r="CE2" s="2" t="s">
        <v>306</v>
      </c>
      <c r="CF2" s="2" t="s">
        <v>307</v>
      </c>
      <c r="CG2" s="2" t="s">
        <v>308</v>
      </c>
      <c r="CH2" s="2" t="s">
        <v>309</v>
      </c>
      <c r="CI2" s="2" t="s">
        <v>310</v>
      </c>
      <c r="CJ2" s="2" t="s">
        <v>311</v>
      </c>
      <c r="CK2" s="2" t="s">
        <v>312</v>
      </c>
      <c r="CL2" s="2" t="s">
        <v>313</v>
      </c>
      <c r="CM2" s="2" t="s">
        <v>314</v>
      </c>
      <c r="CN2" s="2" t="s">
        <v>315</v>
      </c>
      <c r="CO2" s="2" t="s">
        <v>315</v>
      </c>
      <c r="CP2" s="2" t="s">
        <v>315</v>
      </c>
      <c r="CQ2" s="2" t="s">
        <v>316</v>
      </c>
      <c r="CR2" s="2" t="s">
        <v>317</v>
      </c>
      <c r="CS2" s="2" t="s">
        <v>318</v>
      </c>
      <c r="CT2" s="2" t="s">
        <v>319</v>
      </c>
      <c r="CU2" s="2" t="s">
        <v>320</v>
      </c>
      <c r="CV2" s="2" t="s">
        <v>321</v>
      </c>
      <c r="CW2" s="2" t="s">
        <v>322</v>
      </c>
      <c r="CX2" s="2" t="s">
        <v>323</v>
      </c>
      <c r="CY2" s="2" t="s">
        <v>324</v>
      </c>
      <c r="CZ2" s="2" t="s">
        <v>325</v>
      </c>
      <c r="DA2" s="2" t="s">
        <v>326</v>
      </c>
      <c r="DB2" s="2" t="s">
        <v>327</v>
      </c>
      <c r="DC2" s="2" t="s">
        <v>328</v>
      </c>
      <c r="DD2" s="2" t="s">
        <v>329</v>
      </c>
      <c r="DE2" s="2" t="s">
        <v>330</v>
      </c>
      <c r="DF2" s="2" t="s">
        <v>331</v>
      </c>
      <c r="DG2" s="2" t="s">
        <v>332</v>
      </c>
      <c r="DH2" s="2" t="s">
        <v>333</v>
      </c>
      <c r="DI2" s="2" t="s">
        <v>334</v>
      </c>
      <c r="DJ2" s="2" t="s">
        <v>335</v>
      </c>
      <c r="DK2" s="2" t="s">
        <v>336</v>
      </c>
      <c r="DL2" s="2" t="s">
        <v>337</v>
      </c>
      <c r="DM2" s="2" t="s">
        <v>338</v>
      </c>
      <c r="DN2" s="2" t="s">
        <v>339</v>
      </c>
      <c r="DO2" s="2" t="s">
        <v>340</v>
      </c>
      <c r="DP2" s="2" t="s">
        <v>341</v>
      </c>
      <c r="DQ2" s="2" t="s">
        <v>342</v>
      </c>
      <c r="DR2" s="2" t="s">
        <v>343</v>
      </c>
      <c r="DS2" s="2" t="s">
        <v>344</v>
      </c>
      <c r="DT2" s="2" t="s">
        <v>345</v>
      </c>
      <c r="DU2" s="2" t="s">
        <v>346</v>
      </c>
      <c r="DV2" s="2" t="s">
        <v>347</v>
      </c>
      <c r="DW2" s="2" t="s">
        <v>348</v>
      </c>
      <c r="DX2" s="2" t="s">
        <v>349</v>
      </c>
      <c r="DY2" s="2" t="s">
        <v>350</v>
      </c>
      <c r="DZ2" s="2" t="s">
        <v>351</v>
      </c>
      <c r="EA2" s="2" t="s">
        <v>352</v>
      </c>
      <c r="EB2" s="2" t="s">
        <v>353</v>
      </c>
      <c r="EC2" s="2" t="s">
        <v>354</v>
      </c>
      <c r="ED2" s="2" t="s">
        <v>355</v>
      </c>
      <c r="EE2" s="2" t="s">
        <v>356</v>
      </c>
      <c r="EF2" s="2" t="s">
        <v>357</v>
      </c>
      <c r="EG2" s="2" t="s">
        <v>358</v>
      </c>
      <c r="EH2" s="2" t="s">
        <v>359</v>
      </c>
      <c r="EI2" s="2" t="s">
        <v>360</v>
      </c>
      <c r="EJ2" s="2" t="s">
        <v>361</v>
      </c>
      <c r="EK2" s="2" t="s">
        <v>362</v>
      </c>
      <c r="EL2" s="2" t="s">
        <v>363</v>
      </c>
      <c r="EM2" s="2" t="s">
        <v>364</v>
      </c>
      <c r="EN2" s="2" t="s">
        <v>365</v>
      </c>
      <c r="EO2" s="2" t="s">
        <v>366</v>
      </c>
      <c r="EP2" s="2" t="s">
        <v>367</v>
      </c>
      <c r="EQ2" s="2" t="s">
        <v>368</v>
      </c>
      <c r="ER2" s="2" t="s">
        <v>369</v>
      </c>
      <c r="ES2" s="2" t="s">
        <v>370</v>
      </c>
      <c r="ET2" s="2" t="s">
        <v>371</v>
      </c>
      <c r="EU2" s="2" t="s">
        <v>372</v>
      </c>
      <c r="EV2" s="2" t="s">
        <v>373</v>
      </c>
      <c r="EW2" s="2" t="s">
        <v>374</v>
      </c>
      <c r="EX2" s="2" t="s">
        <v>375</v>
      </c>
      <c r="EY2" s="2" t="s">
        <v>376</v>
      </c>
      <c r="EZ2" s="2" t="s">
        <v>377</v>
      </c>
      <c r="FA2" s="2" t="s">
        <v>378</v>
      </c>
      <c r="FB2" s="2" t="s">
        <v>379</v>
      </c>
      <c r="FC2" s="2" t="s">
        <v>380</v>
      </c>
      <c r="FD2" s="2" t="s">
        <v>381</v>
      </c>
      <c r="FE2" s="2" t="s">
        <v>382</v>
      </c>
      <c r="FF2" s="2" t="s">
        <v>383</v>
      </c>
      <c r="FG2" s="2" t="s">
        <v>384</v>
      </c>
      <c r="FH2" s="2" t="s">
        <v>385</v>
      </c>
      <c r="FI2" s="2" t="s">
        <v>386</v>
      </c>
      <c r="FJ2" s="2" t="s">
        <v>387</v>
      </c>
      <c r="FK2" t="s">
        <v>388</v>
      </c>
      <c r="FL2" t="s">
        <v>389</v>
      </c>
    </row>
    <row r="3" spans="1:171">
      <c r="A3" t="s">
        <v>77</v>
      </c>
      <c r="D3">
        <v>2021</v>
      </c>
      <c r="E3">
        <v>2021</v>
      </c>
      <c r="F3">
        <v>2021</v>
      </c>
      <c r="G3">
        <v>2021</v>
      </c>
      <c r="H3">
        <v>2021</v>
      </c>
      <c r="I3">
        <v>2021</v>
      </c>
      <c r="J3">
        <v>2021</v>
      </c>
      <c r="K3">
        <v>2021</v>
      </c>
      <c r="L3">
        <v>2021</v>
      </c>
      <c r="M3">
        <v>2021</v>
      </c>
      <c r="N3">
        <v>2021</v>
      </c>
      <c r="O3">
        <v>2021</v>
      </c>
      <c r="P3">
        <v>2021</v>
      </c>
      <c r="Q3">
        <v>2021</v>
      </c>
      <c r="R3">
        <v>2021</v>
      </c>
      <c r="S3">
        <v>2021</v>
      </c>
      <c r="T3">
        <v>2021</v>
      </c>
      <c r="U3">
        <v>2021</v>
      </c>
      <c r="V3">
        <v>2021</v>
      </c>
      <c r="W3">
        <v>2021</v>
      </c>
      <c r="X3">
        <v>2021</v>
      </c>
      <c r="Y3">
        <v>2021</v>
      </c>
      <c r="Z3">
        <v>2021</v>
      </c>
      <c r="AA3">
        <v>2021</v>
      </c>
      <c r="AB3">
        <v>2021</v>
      </c>
      <c r="AC3">
        <v>2021</v>
      </c>
      <c r="AD3">
        <v>2021</v>
      </c>
      <c r="AE3">
        <v>2021</v>
      </c>
      <c r="AF3">
        <v>2021</v>
      </c>
      <c r="AG3">
        <v>2021</v>
      </c>
      <c r="AH3">
        <v>2021</v>
      </c>
      <c r="AI3">
        <v>2021</v>
      </c>
      <c r="AJ3">
        <v>2021</v>
      </c>
      <c r="AK3">
        <v>2021</v>
      </c>
      <c r="AL3">
        <v>2021</v>
      </c>
      <c r="AM3">
        <v>2021</v>
      </c>
      <c r="AN3">
        <v>2021</v>
      </c>
      <c r="AO3">
        <v>2021</v>
      </c>
      <c r="AP3">
        <v>2021</v>
      </c>
      <c r="AQ3">
        <v>2021</v>
      </c>
      <c r="AR3">
        <v>2021</v>
      </c>
      <c r="AS3">
        <v>2021</v>
      </c>
      <c r="AT3">
        <v>2021</v>
      </c>
      <c r="AU3">
        <v>2021</v>
      </c>
      <c r="AV3">
        <v>2021</v>
      </c>
      <c r="AW3">
        <v>2021</v>
      </c>
      <c r="AX3">
        <v>2021</v>
      </c>
      <c r="AY3">
        <v>2021</v>
      </c>
      <c r="AZ3">
        <v>2021</v>
      </c>
      <c r="BA3">
        <v>2021</v>
      </c>
      <c r="BB3">
        <v>2021</v>
      </c>
      <c r="BC3">
        <v>2021</v>
      </c>
      <c r="BD3">
        <v>2021</v>
      </c>
      <c r="BE3">
        <v>2021</v>
      </c>
      <c r="BF3">
        <v>2021</v>
      </c>
      <c r="BG3">
        <v>2021</v>
      </c>
      <c r="BH3">
        <v>2021</v>
      </c>
      <c r="BI3">
        <v>2021</v>
      </c>
      <c r="BJ3">
        <v>2021</v>
      </c>
      <c r="BK3">
        <v>2021</v>
      </c>
      <c r="BL3">
        <v>2021</v>
      </c>
      <c r="BM3">
        <v>2021</v>
      </c>
      <c r="BN3">
        <v>2021</v>
      </c>
      <c r="BO3">
        <v>2021</v>
      </c>
      <c r="BP3">
        <v>2021</v>
      </c>
      <c r="BQ3">
        <v>2021</v>
      </c>
      <c r="BR3">
        <v>2021</v>
      </c>
      <c r="BS3">
        <v>2021</v>
      </c>
      <c r="BT3">
        <v>2021</v>
      </c>
      <c r="BU3">
        <v>2021</v>
      </c>
      <c r="BV3">
        <v>2021</v>
      </c>
      <c r="BW3">
        <v>2021</v>
      </c>
      <c r="BX3">
        <v>2021</v>
      </c>
      <c r="BY3">
        <v>2021</v>
      </c>
      <c r="BZ3">
        <v>2021</v>
      </c>
      <c r="CA3">
        <v>2021</v>
      </c>
      <c r="CB3">
        <v>2021</v>
      </c>
      <c r="CC3">
        <v>2021</v>
      </c>
      <c r="CD3">
        <v>2021</v>
      </c>
      <c r="CE3">
        <v>2021</v>
      </c>
      <c r="CF3">
        <v>2021</v>
      </c>
      <c r="CG3">
        <v>2021</v>
      </c>
      <c r="CH3">
        <v>2021</v>
      </c>
      <c r="CI3">
        <v>2021</v>
      </c>
      <c r="CJ3">
        <v>2021</v>
      </c>
      <c r="CK3">
        <v>2021</v>
      </c>
      <c r="CL3">
        <v>2021</v>
      </c>
      <c r="CM3">
        <v>2021</v>
      </c>
      <c r="CQ3">
        <v>2021</v>
      </c>
      <c r="CR3">
        <v>2021</v>
      </c>
      <c r="CS3">
        <v>2021</v>
      </c>
      <c r="CT3">
        <v>2021</v>
      </c>
      <c r="CU3">
        <v>2021</v>
      </c>
      <c r="CV3">
        <v>2021</v>
      </c>
      <c r="CW3">
        <v>2021</v>
      </c>
      <c r="CX3">
        <v>2021</v>
      </c>
      <c r="CY3">
        <v>2021</v>
      </c>
      <c r="CZ3">
        <v>2021</v>
      </c>
      <c r="DA3">
        <v>2021</v>
      </c>
      <c r="DB3">
        <v>2021</v>
      </c>
      <c r="DC3">
        <v>2021</v>
      </c>
      <c r="DD3">
        <v>2021</v>
      </c>
      <c r="DE3">
        <v>2021</v>
      </c>
      <c r="DF3">
        <v>2021</v>
      </c>
      <c r="DG3">
        <v>2021</v>
      </c>
      <c r="DH3">
        <v>2021</v>
      </c>
      <c r="DI3">
        <v>2021</v>
      </c>
      <c r="DJ3">
        <v>2021</v>
      </c>
      <c r="DK3">
        <v>2021</v>
      </c>
      <c r="DL3">
        <v>2021</v>
      </c>
      <c r="DM3">
        <v>2021</v>
      </c>
      <c r="DN3">
        <v>2021</v>
      </c>
      <c r="DO3">
        <v>2021</v>
      </c>
      <c r="DP3">
        <v>2021</v>
      </c>
      <c r="DQ3">
        <v>2021</v>
      </c>
      <c r="DR3">
        <v>2021</v>
      </c>
      <c r="DS3">
        <v>2021</v>
      </c>
      <c r="DT3">
        <v>2021</v>
      </c>
      <c r="DU3">
        <v>2021</v>
      </c>
      <c r="DV3">
        <v>2021</v>
      </c>
      <c r="DW3">
        <v>2021</v>
      </c>
      <c r="DX3">
        <v>2021</v>
      </c>
      <c r="DY3">
        <v>2021</v>
      </c>
      <c r="DZ3">
        <v>2021</v>
      </c>
      <c r="EA3">
        <v>2021</v>
      </c>
      <c r="EB3">
        <v>2021</v>
      </c>
      <c r="EC3">
        <v>2021</v>
      </c>
      <c r="ED3">
        <v>2021</v>
      </c>
      <c r="EE3">
        <v>2021</v>
      </c>
      <c r="EF3">
        <v>2021</v>
      </c>
      <c r="EG3">
        <v>2021</v>
      </c>
      <c r="EH3">
        <v>2021</v>
      </c>
      <c r="EI3">
        <v>2021</v>
      </c>
      <c r="EJ3">
        <v>2021</v>
      </c>
      <c r="EK3">
        <v>2021</v>
      </c>
      <c r="EL3">
        <v>2021</v>
      </c>
      <c r="EM3">
        <v>2021</v>
      </c>
      <c r="EN3">
        <v>2021</v>
      </c>
      <c r="EO3">
        <v>2021</v>
      </c>
      <c r="EP3">
        <v>2021</v>
      </c>
      <c r="EQ3">
        <v>2021</v>
      </c>
      <c r="ER3">
        <v>2021</v>
      </c>
      <c r="ES3">
        <v>2021</v>
      </c>
      <c r="ET3">
        <v>2021</v>
      </c>
      <c r="EU3">
        <v>2021</v>
      </c>
      <c r="EV3">
        <v>2021</v>
      </c>
      <c r="EW3">
        <v>2021</v>
      </c>
      <c r="EX3">
        <v>2021</v>
      </c>
      <c r="EY3">
        <v>2021</v>
      </c>
      <c r="EZ3">
        <v>2021</v>
      </c>
      <c r="FA3">
        <v>2021</v>
      </c>
      <c r="FB3">
        <v>2021</v>
      </c>
      <c r="FC3">
        <v>2021</v>
      </c>
      <c r="FD3">
        <v>2021</v>
      </c>
      <c r="FE3">
        <v>2021</v>
      </c>
      <c r="FF3">
        <v>2021</v>
      </c>
      <c r="FG3">
        <v>2021</v>
      </c>
      <c r="FH3">
        <v>2021</v>
      </c>
      <c r="FI3">
        <v>2021</v>
      </c>
      <c r="FJ3">
        <v>2021</v>
      </c>
      <c r="FK3">
        <v>2022</v>
      </c>
      <c r="FL3">
        <v>2017</v>
      </c>
      <c r="FM3">
        <v>2017</v>
      </c>
      <c r="FN3">
        <v>2017</v>
      </c>
      <c r="FO3">
        <v>2024</v>
      </c>
    </row>
    <row r="4" spans="1:171">
      <c r="A4" s="4" t="s">
        <v>79</v>
      </c>
      <c r="B4" s="4"/>
      <c r="C4" s="4"/>
      <c r="D4" s="5" t="s">
        <v>390</v>
      </c>
      <c r="E4" s="5" t="s">
        <v>390</v>
      </c>
      <c r="F4" s="5" t="s">
        <v>390</v>
      </c>
      <c r="G4" s="5" t="s">
        <v>390</v>
      </c>
      <c r="H4" s="5" t="s">
        <v>390</v>
      </c>
      <c r="I4" s="5" t="s">
        <v>390</v>
      </c>
      <c r="J4" s="5" t="s">
        <v>390</v>
      </c>
      <c r="K4" s="5" t="s">
        <v>390</v>
      </c>
      <c r="L4" s="5" t="s">
        <v>390</v>
      </c>
      <c r="M4" s="5" t="s">
        <v>390</v>
      </c>
      <c r="N4" s="5" t="s">
        <v>390</v>
      </c>
      <c r="O4" s="5" t="s">
        <v>390</v>
      </c>
      <c r="P4" s="5" t="s">
        <v>390</v>
      </c>
      <c r="Q4" s="5" t="s">
        <v>390</v>
      </c>
      <c r="R4" s="5" t="s">
        <v>390</v>
      </c>
      <c r="S4" s="5" t="s">
        <v>390</v>
      </c>
      <c r="T4" s="5" t="s">
        <v>390</v>
      </c>
      <c r="U4" s="5" t="s">
        <v>390</v>
      </c>
      <c r="V4" s="5" t="s">
        <v>390</v>
      </c>
      <c r="W4" s="5" t="s">
        <v>390</v>
      </c>
      <c r="X4" s="5" t="s">
        <v>390</v>
      </c>
      <c r="Y4" s="5" t="s">
        <v>390</v>
      </c>
      <c r="Z4" s="5" t="s">
        <v>390</v>
      </c>
      <c r="AA4" s="5" t="s">
        <v>390</v>
      </c>
      <c r="AB4" s="5" t="s">
        <v>390</v>
      </c>
      <c r="AC4" s="5" t="s">
        <v>390</v>
      </c>
      <c r="AD4" s="5" t="s">
        <v>390</v>
      </c>
      <c r="AE4" s="5" t="s">
        <v>390</v>
      </c>
      <c r="AF4" s="5" t="s">
        <v>390</v>
      </c>
      <c r="AG4" s="5" t="s">
        <v>390</v>
      </c>
      <c r="AH4" s="5" t="s">
        <v>390</v>
      </c>
      <c r="AI4" s="5" t="s">
        <v>390</v>
      </c>
      <c r="AJ4" s="5" t="s">
        <v>390</v>
      </c>
      <c r="AK4" s="5" t="s">
        <v>390</v>
      </c>
      <c r="AL4" s="5" t="s">
        <v>390</v>
      </c>
      <c r="AM4" s="5" t="s">
        <v>390</v>
      </c>
      <c r="AN4" s="5" t="s">
        <v>390</v>
      </c>
      <c r="AO4" s="5" t="s">
        <v>390</v>
      </c>
      <c r="AP4" s="5" t="s">
        <v>390</v>
      </c>
      <c r="AQ4" s="5" t="s">
        <v>390</v>
      </c>
      <c r="AR4" s="5" t="s">
        <v>390</v>
      </c>
      <c r="AS4" s="5" t="s">
        <v>390</v>
      </c>
      <c r="AT4" s="5" t="s">
        <v>390</v>
      </c>
      <c r="AU4" s="5" t="s">
        <v>390</v>
      </c>
      <c r="AV4" s="5" t="s">
        <v>390</v>
      </c>
      <c r="AW4" s="5" t="s">
        <v>390</v>
      </c>
      <c r="AX4" s="5" t="s">
        <v>390</v>
      </c>
      <c r="AY4" s="5" t="s">
        <v>390</v>
      </c>
      <c r="AZ4" s="5" t="s">
        <v>390</v>
      </c>
      <c r="BA4" s="5" t="s">
        <v>390</v>
      </c>
      <c r="BB4" s="5" t="s">
        <v>390</v>
      </c>
      <c r="BC4" s="5" t="s">
        <v>390</v>
      </c>
      <c r="BD4" s="5" t="s">
        <v>390</v>
      </c>
      <c r="BE4" s="5" t="s">
        <v>390</v>
      </c>
      <c r="BF4" s="5" t="s">
        <v>390</v>
      </c>
      <c r="BG4" s="5" t="s">
        <v>390</v>
      </c>
      <c r="BH4" s="5" t="s">
        <v>390</v>
      </c>
      <c r="BI4" s="5" t="s">
        <v>390</v>
      </c>
      <c r="BJ4" s="5" t="s">
        <v>390</v>
      </c>
      <c r="BK4" s="5" t="s">
        <v>390</v>
      </c>
      <c r="BL4" s="5" t="s">
        <v>390</v>
      </c>
      <c r="BM4" s="5" t="s">
        <v>390</v>
      </c>
      <c r="BN4" s="5" t="s">
        <v>390</v>
      </c>
      <c r="BO4" s="5" t="s">
        <v>390</v>
      </c>
      <c r="BP4" s="5" t="s">
        <v>390</v>
      </c>
      <c r="BQ4" s="5" t="s">
        <v>390</v>
      </c>
      <c r="BR4" s="5" t="s">
        <v>390</v>
      </c>
      <c r="BS4" s="5" t="s">
        <v>390</v>
      </c>
      <c r="BT4" s="5" t="s">
        <v>390</v>
      </c>
      <c r="BU4" s="5" t="s">
        <v>390</v>
      </c>
      <c r="BV4" s="5" t="s">
        <v>390</v>
      </c>
      <c r="BW4" s="5" t="s">
        <v>390</v>
      </c>
      <c r="BX4" s="5" t="s">
        <v>390</v>
      </c>
      <c r="BY4" s="5" t="s">
        <v>390</v>
      </c>
      <c r="BZ4" s="5" t="s">
        <v>390</v>
      </c>
      <c r="CA4" s="5" t="s">
        <v>390</v>
      </c>
      <c r="CB4" s="5" t="s">
        <v>390</v>
      </c>
      <c r="CC4" s="5" t="s">
        <v>390</v>
      </c>
      <c r="CD4" s="5" t="s">
        <v>390</v>
      </c>
      <c r="CE4" s="5" t="s">
        <v>390</v>
      </c>
      <c r="CF4" s="5" t="s">
        <v>390</v>
      </c>
      <c r="CG4" s="5" t="s">
        <v>390</v>
      </c>
      <c r="CH4" s="5" t="s">
        <v>390</v>
      </c>
      <c r="CI4" s="5" t="s">
        <v>390</v>
      </c>
      <c r="CJ4" s="5" t="s">
        <v>390</v>
      </c>
      <c r="CK4" s="5" t="s">
        <v>390</v>
      </c>
      <c r="CL4" s="5" t="s">
        <v>390</v>
      </c>
      <c r="CM4" s="5" t="s">
        <v>390</v>
      </c>
      <c r="CN4" s="5" t="s">
        <v>391</v>
      </c>
      <c r="CO4" s="5" t="s">
        <v>391</v>
      </c>
      <c r="CP4" s="5" t="s">
        <v>391</v>
      </c>
      <c r="CQ4" s="5" t="s">
        <v>390</v>
      </c>
      <c r="CR4" s="5" t="s">
        <v>390</v>
      </c>
      <c r="CS4" s="5" t="s">
        <v>390</v>
      </c>
      <c r="CT4" s="5" t="s">
        <v>390</v>
      </c>
      <c r="CU4" s="5" t="s">
        <v>390</v>
      </c>
      <c r="CV4" s="5" t="s">
        <v>390</v>
      </c>
      <c r="CW4" s="5" t="s">
        <v>390</v>
      </c>
      <c r="CX4" s="5" t="s">
        <v>390</v>
      </c>
      <c r="CY4" s="5" t="s">
        <v>390</v>
      </c>
      <c r="CZ4" s="5" t="s">
        <v>390</v>
      </c>
      <c r="DA4" s="5" t="s">
        <v>390</v>
      </c>
      <c r="DB4" s="5" t="s">
        <v>390</v>
      </c>
      <c r="DC4" s="5" t="s">
        <v>390</v>
      </c>
      <c r="DD4" s="5" t="s">
        <v>390</v>
      </c>
      <c r="DE4" s="5" t="s">
        <v>390</v>
      </c>
      <c r="DF4" s="5" t="s">
        <v>390</v>
      </c>
      <c r="DG4" s="5" t="s">
        <v>390</v>
      </c>
      <c r="DH4" s="5" t="s">
        <v>390</v>
      </c>
      <c r="DI4" s="5" t="s">
        <v>390</v>
      </c>
      <c r="DJ4" s="5" t="s">
        <v>390</v>
      </c>
      <c r="DK4" s="5" t="s">
        <v>390</v>
      </c>
      <c r="DL4" s="5" t="s">
        <v>390</v>
      </c>
      <c r="DM4" s="5" t="s">
        <v>390</v>
      </c>
      <c r="DN4" s="5" t="s">
        <v>390</v>
      </c>
      <c r="DO4" s="5" t="s">
        <v>390</v>
      </c>
      <c r="DP4" s="5" t="s">
        <v>390</v>
      </c>
      <c r="DQ4" s="5" t="s">
        <v>390</v>
      </c>
      <c r="DR4" s="5" t="s">
        <v>390</v>
      </c>
      <c r="DS4" s="5" t="s">
        <v>390</v>
      </c>
      <c r="DT4" s="5" t="s">
        <v>390</v>
      </c>
      <c r="DU4" s="5" t="s">
        <v>390</v>
      </c>
      <c r="DV4" s="5" t="s">
        <v>390</v>
      </c>
      <c r="DW4" s="5" t="s">
        <v>390</v>
      </c>
      <c r="DX4" s="5" t="s">
        <v>390</v>
      </c>
      <c r="DY4" s="5" t="s">
        <v>390</v>
      </c>
      <c r="DZ4" s="5" t="s">
        <v>390</v>
      </c>
      <c r="EA4" s="5" t="s">
        <v>390</v>
      </c>
      <c r="EB4" s="5" t="s">
        <v>390</v>
      </c>
      <c r="EC4" s="5" t="s">
        <v>390</v>
      </c>
      <c r="ED4" s="5" t="s">
        <v>390</v>
      </c>
      <c r="EE4" s="5" t="s">
        <v>390</v>
      </c>
      <c r="EF4" s="5" t="s">
        <v>390</v>
      </c>
      <c r="EG4" s="5" t="s">
        <v>390</v>
      </c>
      <c r="EH4" s="5" t="s">
        <v>390</v>
      </c>
      <c r="EI4" s="5" t="s">
        <v>390</v>
      </c>
      <c r="EJ4" s="5" t="s">
        <v>390</v>
      </c>
      <c r="EK4" s="5" t="s">
        <v>390</v>
      </c>
      <c r="EL4" s="5" t="s">
        <v>390</v>
      </c>
      <c r="EM4" s="5" t="s">
        <v>390</v>
      </c>
      <c r="EN4" s="5" t="s">
        <v>390</v>
      </c>
      <c r="EO4" s="5" t="s">
        <v>390</v>
      </c>
      <c r="EP4" s="5" t="s">
        <v>390</v>
      </c>
      <c r="EQ4" s="5" t="s">
        <v>390</v>
      </c>
      <c r="ER4" s="5" t="s">
        <v>390</v>
      </c>
      <c r="ES4" s="5" t="s">
        <v>390</v>
      </c>
      <c r="ET4" s="5" t="s">
        <v>390</v>
      </c>
      <c r="EU4" s="5" t="s">
        <v>390</v>
      </c>
      <c r="EV4" s="5" t="s">
        <v>390</v>
      </c>
      <c r="EW4" s="5" t="s">
        <v>390</v>
      </c>
      <c r="EX4" s="5" t="s">
        <v>390</v>
      </c>
      <c r="EY4" s="5" t="s">
        <v>390</v>
      </c>
      <c r="EZ4" s="5" t="s">
        <v>390</v>
      </c>
      <c r="FA4" s="5" t="s">
        <v>390</v>
      </c>
      <c r="FB4" s="5" t="s">
        <v>390</v>
      </c>
      <c r="FC4" s="5" t="s">
        <v>390</v>
      </c>
      <c r="FD4" s="5" t="s">
        <v>390</v>
      </c>
      <c r="FE4" s="5" t="s">
        <v>390</v>
      </c>
      <c r="FF4" s="5" t="s">
        <v>390</v>
      </c>
      <c r="FG4" s="5" t="s">
        <v>390</v>
      </c>
      <c r="FH4" s="5" t="s">
        <v>390</v>
      </c>
      <c r="FI4" s="5" t="s">
        <v>390</v>
      </c>
      <c r="FJ4" s="5" t="s">
        <v>390</v>
      </c>
      <c r="FK4" s="6" t="s">
        <v>392</v>
      </c>
      <c r="FL4" s="54" t="s">
        <v>393</v>
      </c>
      <c r="FM4" s="54" t="s">
        <v>393</v>
      </c>
      <c r="FN4" s="54" t="s">
        <v>393</v>
      </c>
      <c r="FO4" s="68" t="s">
        <v>394</v>
      </c>
    </row>
    <row r="5" spans="1:171">
      <c r="A5" s="4" t="s">
        <v>395</v>
      </c>
      <c r="B5" s="4"/>
      <c r="C5" s="4"/>
      <c r="D5" s="35" t="s">
        <v>396</v>
      </c>
      <c r="E5" s="35" t="s">
        <v>396</v>
      </c>
      <c r="F5" s="35" t="s">
        <v>396</v>
      </c>
      <c r="G5" s="35" t="s">
        <v>396</v>
      </c>
      <c r="H5" s="35" t="s">
        <v>397</v>
      </c>
      <c r="I5" s="35" t="s">
        <v>397</v>
      </c>
      <c r="J5" s="35" t="s">
        <v>397</v>
      </c>
      <c r="K5" s="35" t="s">
        <v>397</v>
      </c>
      <c r="L5" s="35" t="s">
        <v>398</v>
      </c>
      <c r="M5" s="35" t="s">
        <v>398</v>
      </c>
      <c r="N5" s="35" t="s">
        <v>398</v>
      </c>
      <c r="O5" s="35" t="s">
        <v>398</v>
      </c>
      <c r="P5" s="35" t="s">
        <v>399</v>
      </c>
      <c r="Q5" s="35" t="s">
        <v>399</v>
      </c>
      <c r="R5" s="35" t="s">
        <v>399</v>
      </c>
      <c r="S5" s="35" t="s">
        <v>399</v>
      </c>
      <c r="T5" s="35" t="s">
        <v>400</v>
      </c>
      <c r="U5" s="35" t="s">
        <v>400</v>
      </c>
      <c r="V5" s="35" t="s">
        <v>400</v>
      </c>
      <c r="W5" s="35" t="s">
        <v>400</v>
      </c>
      <c r="X5" s="35" t="s">
        <v>401</v>
      </c>
      <c r="Y5" s="35" t="s">
        <v>401</v>
      </c>
      <c r="Z5" s="35" t="s">
        <v>401</v>
      </c>
      <c r="AA5" s="35" t="s">
        <v>401</v>
      </c>
      <c r="AB5" s="35" t="s">
        <v>402</v>
      </c>
      <c r="AC5" s="35" t="s">
        <v>402</v>
      </c>
      <c r="AD5" s="35" t="s">
        <v>402</v>
      </c>
      <c r="AE5" s="35" t="s">
        <v>402</v>
      </c>
      <c r="AF5" s="35" t="s">
        <v>403</v>
      </c>
      <c r="AG5" s="35" t="s">
        <v>403</v>
      </c>
      <c r="AH5" s="35" t="s">
        <v>403</v>
      </c>
      <c r="AI5" s="35" t="s">
        <v>403</v>
      </c>
      <c r="AJ5" s="35" t="s">
        <v>404</v>
      </c>
      <c r="AK5" s="35" t="s">
        <v>404</v>
      </c>
      <c r="AL5" s="35" t="s">
        <v>404</v>
      </c>
      <c r="AM5" s="35" t="s">
        <v>404</v>
      </c>
      <c r="AN5" s="35" t="s">
        <v>405</v>
      </c>
      <c r="AO5" s="35" t="s">
        <v>405</v>
      </c>
      <c r="AP5" s="35" t="s">
        <v>405</v>
      </c>
      <c r="AQ5" s="35" t="s">
        <v>405</v>
      </c>
      <c r="AR5" s="35" t="s">
        <v>406</v>
      </c>
      <c r="AS5" s="35" t="s">
        <v>406</v>
      </c>
      <c r="AT5" s="35" t="s">
        <v>406</v>
      </c>
      <c r="AU5" s="35" t="s">
        <v>406</v>
      </c>
      <c r="AV5" s="35" t="s">
        <v>407</v>
      </c>
      <c r="AW5" s="35" t="s">
        <v>407</v>
      </c>
      <c r="AX5" s="35" t="s">
        <v>407</v>
      </c>
      <c r="AY5" s="35" t="s">
        <v>407</v>
      </c>
      <c r="AZ5" s="35" t="s">
        <v>408</v>
      </c>
      <c r="BA5" s="35" t="s">
        <v>408</v>
      </c>
      <c r="BB5" s="35" t="s">
        <v>408</v>
      </c>
      <c r="BC5" s="35" t="s">
        <v>408</v>
      </c>
      <c r="BD5" s="35" t="s">
        <v>409</v>
      </c>
      <c r="BE5" s="35" t="s">
        <v>409</v>
      </c>
      <c r="BF5" s="35" t="s">
        <v>409</v>
      </c>
      <c r="BG5" s="35" t="s">
        <v>409</v>
      </c>
      <c r="BH5" s="35" t="s">
        <v>410</v>
      </c>
      <c r="BI5" s="35" t="s">
        <v>410</v>
      </c>
      <c r="BJ5" s="35" t="s">
        <v>410</v>
      </c>
      <c r="BK5" s="35" t="s">
        <v>410</v>
      </c>
      <c r="BL5" s="35" t="s">
        <v>411</v>
      </c>
      <c r="BM5" s="35" t="s">
        <v>411</v>
      </c>
      <c r="BN5" s="35" t="s">
        <v>411</v>
      </c>
      <c r="BO5" s="35" t="s">
        <v>411</v>
      </c>
      <c r="BP5" s="35" t="s">
        <v>412</v>
      </c>
      <c r="BQ5" s="35" t="s">
        <v>412</v>
      </c>
      <c r="BR5" s="35" t="s">
        <v>412</v>
      </c>
      <c r="BS5" s="35" t="s">
        <v>412</v>
      </c>
      <c r="BT5" s="35" t="s">
        <v>413</v>
      </c>
      <c r="BU5" s="35" t="s">
        <v>413</v>
      </c>
      <c r="BV5" s="35" t="s">
        <v>413</v>
      </c>
      <c r="BW5" s="35" t="s">
        <v>413</v>
      </c>
      <c r="BX5" s="35" t="s">
        <v>414</v>
      </c>
      <c r="BY5" s="35" t="s">
        <v>414</v>
      </c>
      <c r="BZ5" s="35" t="s">
        <v>414</v>
      </c>
      <c r="CA5" s="35" t="s">
        <v>414</v>
      </c>
      <c r="CB5" s="35" t="s">
        <v>415</v>
      </c>
      <c r="CC5" s="35" t="s">
        <v>415</v>
      </c>
      <c r="CD5" s="35" t="s">
        <v>415</v>
      </c>
      <c r="CE5" s="35" t="s">
        <v>415</v>
      </c>
      <c r="CF5" s="35" t="s">
        <v>416</v>
      </c>
      <c r="CG5" s="35" t="s">
        <v>416</v>
      </c>
      <c r="CH5" s="35" t="s">
        <v>416</v>
      </c>
      <c r="CI5" s="35" t="s">
        <v>416</v>
      </c>
      <c r="CJ5" s="35" t="s">
        <v>417</v>
      </c>
      <c r="CK5" s="35" t="s">
        <v>417</v>
      </c>
      <c r="CL5" s="35" t="s">
        <v>417</v>
      </c>
      <c r="CM5" s="35" t="s">
        <v>417</v>
      </c>
      <c r="CN5" s="35" t="s">
        <v>418</v>
      </c>
      <c r="CO5" s="35" t="s">
        <v>419</v>
      </c>
      <c r="CP5" s="35" t="s">
        <v>420</v>
      </c>
      <c r="CQ5" s="35" t="s">
        <v>421</v>
      </c>
      <c r="CR5" s="35" t="s">
        <v>421</v>
      </c>
      <c r="CS5" s="35" t="s">
        <v>421</v>
      </c>
      <c r="CT5" s="35" t="s">
        <v>421</v>
      </c>
      <c r="CU5" s="35" t="s">
        <v>422</v>
      </c>
      <c r="CV5" s="35" t="s">
        <v>422</v>
      </c>
      <c r="CW5" s="35" t="s">
        <v>422</v>
      </c>
      <c r="CX5" s="35" t="s">
        <v>422</v>
      </c>
      <c r="CY5" s="35" t="s">
        <v>423</v>
      </c>
      <c r="CZ5" s="35" t="s">
        <v>423</v>
      </c>
      <c r="DA5" s="35" t="s">
        <v>423</v>
      </c>
      <c r="DB5" s="35" t="s">
        <v>423</v>
      </c>
      <c r="DC5" s="35" t="s">
        <v>424</v>
      </c>
      <c r="DD5" s="35" t="s">
        <v>424</v>
      </c>
      <c r="DE5" s="35" t="s">
        <v>424</v>
      </c>
      <c r="DF5" s="35" t="s">
        <v>424</v>
      </c>
      <c r="DG5" s="35" t="s">
        <v>425</v>
      </c>
      <c r="DH5" s="35" t="s">
        <v>425</v>
      </c>
      <c r="DI5" s="35" t="s">
        <v>425</v>
      </c>
      <c r="DJ5" s="35" t="s">
        <v>425</v>
      </c>
      <c r="DK5" s="35" t="s">
        <v>426</v>
      </c>
      <c r="DL5" s="35" t="s">
        <v>426</v>
      </c>
      <c r="DM5" s="35" t="s">
        <v>426</v>
      </c>
      <c r="DN5" s="35" t="s">
        <v>426</v>
      </c>
      <c r="DO5" s="35" t="s">
        <v>427</v>
      </c>
      <c r="DP5" s="35" t="s">
        <v>427</v>
      </c>
      <c r="DQ5" s="35" t="s">
        <v>427</v>
      </c>
      <c r="DR5" s="35" t="s">
        <v>427</v>
      </c>
      <c r="DS5" s="35" t="s">
        <v>428</v>
      </c>
      <c r="DT5" s="35" t="s">
        <v>428</v>
      </c>
      <c r="DU5" s="35" t="s">
        <v>428</v>
      </c>
      <c r="DV5" s="35" t="s">
        <v>428</v>
      </c>
      <c r="DW5" s="35" t="s">
        <v>429</v>
      </c>
      <c r="DX5" s="35" t="s">
        <v>429</v>
      </c>
      <c r="DY5" s="35" t="s">
        <v>429</v>
      </c>
      <c r="DZ5" s="35" t="s">
        <v>429</v>
      </c>
      <c r="EA5" s="35" t="s">
        <v>430</v>
      </c>
      <c r="EB5" s="35" t="s">
        <v>430</v>
      </c>
      <c r="EC5" s="35" t="s">
        <v>430</v>
      </c>
      <c r="ED5" s="35" t="s">
        <v>430</v>
      </c>
      <c r="EE5" s="35" t="s">
        <v>431</v>
      </c>
      <c r="EF5" s="35" t="s">
        <v>431</v>
      </c>
      <c r="EG5" s="35" t="s">
        <v>431</v>
      </c>
      <c r="EH5" s="35" t="s">
        <v>431</v>
      </c>
      <c r="EI5" s="35" t="s">
        <v>432</v>
      </c>
      <c r="EJ5" s="35" t="s">
        <v>432</v>
      </c>
      <c r="EK5" s="35" t="s">
        <v>432</v>
      </c>
      <c r="EL5" s="35" t="s">
        <v>432</v>
      </c>
      <c r="EM5" s="35" t="s">
        <v>433</v>
      </c>
      <c r="EN5" s="35" t="s">
        <v>433</v>
      </c>
      <c r="EO5" s="35" t="s">
        <v>433</v>
      </c>
      <c r="EP5" s="35" t="s">
        <v>433</v>
      </c>
      <c r="EQ5" s="35" t="s">
        <v>434</v>
      </c>
      <c r="ER5" s="35" t="s">
        <v>434</v>
      </c>
      <c r="ES5" s="35" t="s">
        <v>434</v>
      </c>
      <c r="ET5" s="35" t="s">
        <v>434</v>
      </c>
      <c r="EU5" s="35" t="s">
        <v>435</v>
      </c>
      <c r="EV5" s="35" t="s">
        <v>435</v>
      </c>
      <c r="EW5" s="35" t="s">
        <v>435</v>
      </c>
      <c r="EX5" s="35" t="s">
        <v>435</v>
      </c>
      <c r="EY5" s="35" t="s">
        <v>436</v>
      </c>
      <c r="EZ5" s="35" t="s">
        <v>436</v>
      </c>
      <c r="FA5" s="35" t="s">
        <v>436</v>
      </c>
      <c r="FB5" s="35" t="s">
        <v>436</v>
      </c>
      <c r="FC5" s="35" t="s">
        <v>437</v>
      </c>
      <c r="FD5" s="35" t="s">
        <v>437</v>
      </c>
      <c r="FE5" s="35" t="s">
        <v>437</v>
      </c>
      <c r="FF5" s="35" t="s">
        <v>437</v>
      </c>
      <c r="FG5" s="35" t="s">
        <v>438</v>
      </c>
      <c r="FH5" s="35" t="s">
        <v>438</v>
      </c>
      <c r="FI5" s="35" t="s">
        <v>438</v>
      </c>
      <c r="FJ5" s="35" t="s">
        <v>438</v>
      </c>
      <c r="FK5" s="6" t="s">
        <v>439</v>
      </c>
      <c r="FL5" s="4" t="s">
        <v>440</v>
      </c>
      <c r="FM5" s="4" t="s">
        <v>441</v>
      </c>
      <c r="FN5" s="4" t="s">
        <v>442</v>
      </c>
      <c r="FO5" s="69" t="s">
        <v>443</v>
      </c>
    </row>
    <row r="6" spans="1:171" ht="15.95" thickBot="1">
      <c r="A6" s="7" t="s">
        <v>42</v>
      </c>
      <c r="B6" s="7"/>
      <c r="C6" s="7"/>
      <c r="D6" s="8">
        <v>2025</v>
      </c>
      <c r="E6" s="7">
        <v>2030</v>
      </c>
      <c r="F6" s="7">
        <v>2035</v>
      </c>
      <c r="G6" s="9">
        <v>2040</v>
      </c>
      <c r="H6" s="7">
        <v>2025</v>
      </c>
      <c r="I6" s="7">
        <v>2030</v>
      </c>
      <c r="J6" s="7">
        <v>2035</v>
      </c>
      <c r="K6" s="7">
        <v>2040</v>
      </c>
      <c r="L6" s="8">
        <v>2025</v>
      </c>
      <c r="M6" s="7">
        <v>2030</v>
      </c>
      <c r="N6" s="7">
        <v>2035</v>
      </c>
      <c r="O6" s="7">
        <v>2040</v>
      </c>
      <c r="P6" s="8">
        <v>2025</v>
      </c>
      <c r="Q6" s="7">
        <v>2030</v>
      </c>
      <c r="R6" s="7">
        <v>2035</v>
      </c>
      <c r="S6" s="7">
        <v>2040</v>
      </c>
      <c r="T6" s="8">
        <v>2025</v>
      </c>
      <c r="U6" s="7">
        <v>2030</v>
      </c>
      <c r="V6" s="7">
        <v>2035</v>
      </c>
      <c r="W6" s="7">
        <v>2040</v>
      </c>
      <c r="X6" s="8">
        <v>2025</v>
      </c>
      <c r="Y6" s="7">
        <v>2030</v>
      </c>
      <c r="Z6" s="7">
        <v>2035</v>
      </c>
      <c r="AA6" s="7">
        <v>2040</v>
      </c>
      <c r="AB6" s="8">
        <v>2025</v>
      </c>
      <c r="AC6" s="7">
        <v>2030</v>
      </c>
      <c r="AD6" s="7">
        <v>2035</v>
      </c>
      <c r="AE6" s="7">
        <v>2040</v>
      </c>
      <c r="AF6" s="8">
        <v>2025</v>
      </c>
      <c r="AG6" s="7">
        <v>2030</v>
      </c>
      <c r="AH6" s="7">
        <v>2035</v>
      </c>
      <c r="AI6" s="7">
        <v>2040</v>
      </c>
      <c r="AJ6" s="8">
        <v>2025</v>
      </c>
      <c r="AK6" s="7">
        <v>2030</v>
      </c>
      <c r="AL6" s="7">
        <v>2035</v>
      </c>
      <c r="AM6" s="7">
        <v>2040</v>
      </c>
      <c r="AN6" s="8">
        <v>2025</v>
      </c>
      <c r="AO6" s="7">
        <v>2030</v>
      </c>
      <c r="AP6" s="7">
        <v>2035</v>
      </c>
      <c r="AQ6" s="7">
        <v>2040</v>
      </c>
      <c r="AR6" s="8">
        <v>2025</v>
      </c>
      <c r="AS6" s="7">
        <v>2030</v>
      </c>
      <c r="AT6" s="7">
        <v>2035</v>
      </c>
      <c r="AU6" s="7">
        <v>2040</v>
      </c>
      <c r="AV6" s="8">
        <v>2025</v>
      </c>
      <c r="AW6" s="7">
        <v>2030</v>
      </c>
      <c r="AX6" s="7">
        <v>2035</v>
      </c>
      <c r="AY6" s="7">
        <v>2040</v>
      </c>
      <c r="AZ6" s="8">
        <v>2025</v>
      </c>
      <c r="BA6" s="7">
        <v>2030</v>
      </c>
      <c r="BB6" s="7">
        <v>2035</v>
      </c>
      <c r="BC6" s="7">
        <v>2040</v>
      </c>
      <c r="BD6" s="8">
        <v>2025</v>
      </c>
      <c r="BE6" s="7">
        <v>2030</v>
      </c>
      <c r="BF6" s="7">
        <v>2035</v>
      </c>
      <c r="BG6" s="7">
        <v>2040</v>
      </c>
      <c r="BH6" s="8">
        <v>2025</v>
      </c>
      <c r="BI6" s="7">
        <v>2030</v>
      </c>
      <c r="BJ6" s="7">
        <v>2035</v>
      </c>
      <c r="BK6" s="7">
        <v>2040</v>
      </c>
      <c r="BL6" s="8">
        <v>2025</v>
      </c>
      <c r="BM6" s="7">
        <v>2030</v>
      </c>
      <c r="BN6" s="7">
        <v>2035</v>
      </c>
      <c r="BO6" s="7">
        <v>2040</v>
      </c>
      <c r="BP6" s="8">
        <v>2025</v>
      </c>
      <c r="BQ6" s="7">
        <v>2030</v>
      </c>
      <c r="BR6" s="7">
        <v>2035</v>
      </c>
      <c r="BS6" s="7">
        <v>2040</v>
      </c>
      <c r="BT6" s="8">
        <v>2025</v>
      </c>
      <c r="BU6" s="7">
        <v>2030</v>
      </c>
      <c r="BV6" s="7">
        <v>2035</v>
      </c>
      <c r="BW6" s="7">
        <v>2040</v>
      </c>
      <c r="BX6" s="8">
        <v>2025</v>
      </c>
      <c r="BY6" s="7">
        <v>2030</v>
      </c>
      <c r="BZ6" s="7">
        <v>2035</v>
      </c>
      <c r="CA6" s="7">
        <v>2040</v>
      </c>
      <c r="CB6" s="8">
        <v>2025</v>
      </c>
      <c r="CC6" s="7">
        <v>2030</v>
      </c>
      <c r="CD6" s="7">
        <v>2035</v>
      </c>
      <c r="CE6" s="7">
        <v>2040</v>
      </c>
      <c r="CF6" s="8">
        <v>2025</v>
      </c>
      <c r="CG6" s="7">
        <v>2030</v>
      </c>
      <c r="CH6" s="7">
        <v>2035</v>
      </c>
      <c r="CI6" s="7">
        <v>2040</v>
      </c>
      <c r="CJ6" s="8">
        <v>2025</v>
      </c>
      <c r="CK6" s="7">
        <v>2030</v>
      </c>
      <c r="CL6" s="7">
        <v>2035</v>
      </c>
      <c r="CM6" s="7">
        <v>2040</v>
      </c>
      <c r="CN6" s="7">
        <v>2020</v>
      </c>
      <c r="CO6" s="7">
        <v>2020</v>
      </c>
      <c r="CP6" s="7">
        <v>2020</v>
      </c>
      <c r="CQ6" s="8">
        <v>2025</v>
      </c>
      <c r="CR6" s="7">
        <v>2030</v>
      </c>
      <c r="CS6" s="7">
        <v>2035</v>
      </c>
      <c r="CT6" s="7">
        <v>2040</v>
      </c>
      <c r="CU6" s="8">
        <v>2025</v>
      </c>
      <c r="CV6" s="7">
        <v>2030</v>
      </c>
      <c r="CW6" s="7">
        <v>2035</v>
      </c>
      <c r="CX6" s="7">
        <v>2040</v>
      </c>
      <c r="CY6" s="8">
        <v>2025</v>
      </c>
      <c r="CZ6" s="7">
        <v>2030</v>
      </c>
      <c r="DA6" s="7">
        <v>2035</v>
      </c>
      <c r="DB6" s="7">
        <v>2040</v>
      </c>
      <c r="DC6" s="8">
        <v>2025</v>
      </c>
      <c r="DD6" s="7">
        <v>2030</v>
      </c>
      <c r="DE6" s="7">
        <v>2035</v>
      </c>
      <c r="DF6" s="7">
        <v>2040</v>
      </c>
      <c r="DG6" s="8">
        <v>2025</v>
      </c>
      <c r="DH6" s="7">
        <v>2030</v>
      </c>
      <c r="DI6" s="7">
        <v>2035</v>
      </c>
      <c r="DJ6" s="7">
        <v>2040</v>
      </c>
      <c r="DK6" s="8">
        <v>2025</v>
      </c>
      <c r="DL6" s="7">
        <v>2030</v>
      </c>
      <c r="DM6" s="7">
        <v>2035</v>
      </c>
      <c r="DN6" s="7">
        <v>2040</v>
      </c>
      <c r="DO6" s="8">
        <v>2025</v>
      </c>
      <c r="DP6" s="7">
        <v>2030</v>
      </c>
      <c r="DQ6" s="7">
        <v>2035</v>
      </c>
      <c r="DR6" s="7">
        <v>2040</v>
      </c>
      <c r="DS6" s="8">
        <v>2025</v>
      </c>
      <c r="DT6" s="7">
        <v>2030</v>
      </c>
      <c r="DU6" s="7">
        <v>2035</v>
      </c>
      <c r="DV6" s="7">
        <v>2040</v>
      </c>
      <c r="DW6" s="8">
        <v>2025</v>
      </c>
      <c r="DX6" s="7">
        <v>2030</v>
      </c>
      <c r="DY6" s="7">
        <v>2035</v>
      </c>
      <c r="DZ6" s="7">
        <v>2040</v>
      </c>
      <c r="EA6" s="8">
        <v>2025</v>
      </c>
      <c r="EB6" s="7">
        <v>2030</v>
      </c>
      <c r="EC6" s="7">
        <v>2035</v>
      </c>
      <c r="ED6" s="7">
        <v>2040</v>
      </c>
      <c r="EE6" s="8">
        <v>2025</v>
      </c>
      <c r="EF6" s="7">
        <v>2030</v>
      </c>
      <c r="EG6" s="7">
        <v>2035</v>
      </c>
      <c r="EH6" s="7">
        <v>2040</v>
      </c>
      <c r="EI6" s="8">
        <v>2025</v>
      </c>
      <c r="EJ6" s="7">
        <v>2030</v>
      </c>
      <c r="EK6" s="7">
        <v>2035</v>
      </c>
      <c r="EL6" s="7">
        <v>2040</v>
      </c>
      <c r="EM6" s="8">
        <v>2025</v>
      </c>
      <c r="EN6" s="7">
        <v>2030</v>
      </c>
      <c r="EO6" s="7">
        <v>2035</v>
      </c>
      <c r="EP6" s="7">
        <v>2040</v>
      </c>
      <c r="EQ6" s="8">
        <v>2025</v>
      </c>
      <c r="ER6" s="7">
        <v>2030</v>
      </c>
      <c r="ES6" s="7">
        <v>2035</v>
      </c>
      <c r="ET6" s="7">
        <v>2040</v>
      </c>
      <c r="EU6" s="8">
        <v>2025</v>
      </c>
      <c r="EV6" s="7">
        <v>2030</v>
      </c>
      <c r="EW6" s="7">
        <v>2035</v>
      </c>
      <c r="EX6" s="7">
        <v>2040</v>
      </c>
      <c r="EY6" s="8">
        <v>2025</v>
      </c>
      <c r="EZ6" s="7">
        <v>2030</v>
      </c>
      <c r="FA6" s="7">
        <v>2035</v>
      </c>
      <c r="FB6" s="7">
        <v>2040</v>
      </c>
      <c r="FC6" s="8">
        <v>2025</v>
      </c>
      <c r="FD6" s="7">
        <v>2030</v>
      </c>
      <c r="FE6" s="7">
        <v>2035</v>
      </c>
      <c r="FF6" s="7">
        <v>2040</v>
      </c>
      <c r="FG6" s="8">
        <v>2025</v>
      </c>
      <c r="FH6" s="7">
        <v>2030</v>
      </c>
      <c r="FI6" s="7">
        <v>2035</v>
      </c>
      <c r="FJ6" s="9">
        <v>2040</v>
      </c>
      <c r="FK6" s="6">
        <v>2030</v>
      </c>
      <c r="FL6" s="6">
        <v>2020</v>
      </c>
      <c r="FM6" s="6">
        <v>2020</v>
      </c>
      <c r="FN6" s="6">
        <v>2020</v>
      </c>
      <c r="FO6" s="70">
        <v>2035</v>
      </c>
    </row>
    <row r="7" spans="1:171">
      <c r="A7" s="6" t="s">
        <v>444</v>
      </c>
      <c r="B7" s="6"/>
      <c r="C7" s="6"/>
      <c r="D7" s="26" t="s">
        <v>445</v>
      </c>
      <c r="E7" s="26" t="s">
        <v>446</v>
      </c>
      <c r="F7" s="26" t="s">
        <v>447</v>
      </c>
      <c r="G7" s="26" t="s">
        <v>448</v>
      </c>
      <c r="H7" s="26" t="s">
        <v>449</v>
      </c>
      <c r="I7" s="26" t="s">
        <v>450</v>
      </c>
      <c r="J7" s="26" t="s">
        <v>451</v>
      </c>
      <c r="K7" s="26" t="s">
        <v>452</v>
      </c>
      <c r="L7" s="26" t="s">
        <v>453</v>
      </c>
      <c r="M7" s="26" t="s">
        <v>454</v>
      </c>
      <c r="N7" s="26" t="s">
        <v>455</v>
      </c>
      <c r="O7" s="26" t="s">
        <v>456</v>
      </c>
      <c r="P7" s="26" t="s">
        <v>457</v>
      </c>
      <c r="Q7" s="26" t="s">
        <v>458</v>
      </c>
      <c r="R7" s="26" t="s">
        <v>459</v>
      </c>
      <c r="S7" s="26" t="s">
        <v>460</v>
      </c>
      <c r="T7" s="26" t="s">
        <v>461</v>
      </c>
      <c r="U7" s="26" t="s">
        <v>462</v>
      </c>
      <c r="V7" s="26" t="s">
        <v>463</v>
      </c>
      <c r="W7" s="26" t="s">
        <v>464</v>
      </c>
      <c r="X7" s="26" t="s">
        <v>465</v>
      </c>
      <c r="Y7" s="26" t="s">
        <v>466</v>
      </c>
      <c r="Z7" s="26" t="s">
        <v>467</v>
      </c>
      <c r="AA7" s="26" t="s">
        <v>468</v>
      </c>
      <c r="AB7" s="26" t="s">
        <v>469</v>
      </c>
      <c r="AC7" s="26" t="s">
        <v>470</v>
      </c>
      <c r="AD7" s="26" t="s">
        <v>471</v>
      </c>
      <c r="AE7" s="26" t="s">
        <v>472</v>
      </c>
      <c r="AF7" s="26" t="s">
        <v>473</v>
      </c>
      <c r="AG7" s="26" t="s">
        <v>474</v>
      </c>
      <c r="AH7" s="26" t="s">
        <v>475</v>
      </c>
      <c r="AI7" s="26" t="s">
        <v>476</v>
      </c>
      <c r="AJ7" s="26" t="s">
        <v>477</v>
      </c>
      <c r="AK7" s="26" t="s">
        <v>478</v>
      </c>
      <c r="AL7" s="26" t="s">
        <v>479</v>
      </c>
      <c r="AM7" s="26" t="s">
        <v>480</v>
      </c>
      <c r="AN7" s="26" t="s">
        <v>481</v>
      </c>
      <c r="AO7" s="26" t="s">
        <v>482</v>
      </c>
      <c r="AP7" s="26" t="s">
        <v>483</v>
      </c>
      <c r="AQ7" s="26" t="s">
        <v>484</v>
      </c>
      <c r="AR7" s="26" t="s">
        <v>485</v>
      </c>
      <c r="AS7" s="26" t="s">
        <v>486</v>
      </c>
      <c r="AT7" s="26" t="s">
        <v>487</v>
      </c>
      <c r="AU7" s="26" t="s">
        <v>488</v>
      </c>
      <c r="AV7" s="26" t="s">
        <v>489</v>
      </c>
      <c r="AW7" s="26" t="s">
        <v>490</v>
      </c>
      <c r="AX7" s="26" t="s">
        <v>491</v>
      </c>
      <c r="AY7" s="26" t="s">
        <v>492</v>
      </c>
      <c r="AZ7" s="26" t="s">
        <v>493</v>
      </c>
      <c r="BA7" s="26" t="s">
        <v>494</v>
      </c>
      <c r="BB7" s="26" t="s">
        <v>495</v>
      </c>
      <c r="BC7" s="26" t="s">
        <v>496</v>
      </c>
      <c r="BD7" s="26" t="s">
        <v>497</v>
      </c>
      <c r="BE7" s="26" t="s">
        <v>498</v>
      </c>
      <c r="BF7" s="26" t="s">
        <v>499</v>
      </c>
      <c r="BG7" s="26" t="s">
        <v>500</v>
      </c>
      <c r="BH7" s="26" t="s">
        <v>501</v>
      </c>
      <c r="BI7" s="26" t="s">
        <v>502</v>
      </c>
      <c r="BJ7" s="26" t="s">
        <v>503</v>
      </c>
      <c r="BK7" s="26" t="s">
        <v>504</v>
      </c>
      <c r="BL7" s="26" t="s">
        <v>505</v>
      </c>
      <c r="BM7" s="26" t="s">
        <v>506</v>
      </c>
      <c r="BN7" s="26" t="s">
        <v>507</v>
      </c>
      <c r="BO7" s="26" t="s">
        <v>508</v>
      </c>
      <c r="BP7" s="26" t="s">
        <v>509</v>
      </c>
      <c r="BQ7" s="26" t="s">
        <v>510</v>
      </c>
      <c r="BR7" s="26" t="s">
        <v>511</v>
      </c>
      <c r="BS7" s="26" t="s">
        <v>512</v>
      </c>
      <c r="BT7" s="26" t="s">
        <v>513</v>
      </c>
      <c r="BU7" s="26" t="s">
        <v>514</v>
      </c>
      <c r="BV7" s="26" t="s">
        <v>515</v>
      </c>
      <c r="BW7" s="26" t="s">
        <v>516</v>
      </c>
      <c r="BX7" s="26" t="s">
        <v>517</v>
      </c>
      <c r="BY7" s="26" t="s">
        <v>518</v>
      </c>
      <c r="BZ7" s="26" t="s">
        <v>519</v>
      </c>
      <c r="CA7" s="26" t="s">
        <v>520</v>
      </c>
      <c r="CB7" s="26" t="s">
        <v>521</v>
      </c>
      <c r="CC7" s="26" t="s">
        <v>522</v>
      </c>
      <c r="CD7" s="26" t="s">
        <v>523</v>
      </c>
      <c r="CE7" s="26" t="s">
        <v>524</v>
      </c>
      <c r="CF7" s="26" t="s">
        <v>525</v>
      </c>
      <c r="CG7" s="26" t="s">
        <v>526</v>
      </c>
      <c r="CH7" s="26" t="s">
        <v>527</v>
      </c>
      <c r="CI7" s="26" t="s">
        <v>528</v>
      </c>
      <c r="CJ7" s="26" t="s">
        <v>529</v>
      </c>
      <c r="CK7" s="26" t="s">
        <v>530</v>
      </c>
      <c r="CL7" s="26" t="s">
        <v>531</v>
      </c>
      <c r="CM7" s="26" t="s">
        <v>532</v>
      </c>
      <c r="CN7" s="26" t="s">
        <v>533</v>
      </c>
      <c r="CO7" s="26" t="s">
        <v>419</v>
      </c>
      <c r="CP7" s="26" t="s">
        <v>420</v>
      </c>
      <c r="CQ7" s="26" t="s">
        <v>534</v>
      </c>
      <c r="CR7" s="26" t="s">
        <v>535</v>
      </c>
      <c r="CS7" s="26" t="s">
        <v>536</v>
      </c>
      <c r="CT7" s="26" t="s">
        <v>537</v>
      </c>
      <c r="CU7" s="26" t="s">
        <v>538</v>
      </c>
      <c r="CV7" s="26" t="s">
        <v>539</v>
      </c>
      <c r="CW7" s="26" t="s">
        <v>540</v>
      </c>
      <c r="CX7" s="26" t="s">
        <v>541</v>
      </c>
      <c r="CY7" s="26" t="s">
        <v>542</v>
      </c>
      <c r="CZ7" s="26" t="s">
        <v>543</v>
      </c>
      <c r="DA7" s="26" t="s">
        <v>544</v>
      </c>
      <c r="DB7" s="26" t="s">
        <v>545</v>
      </c>
      <c r="DC7" s="26" t="s">
        <v>546</v>
      </c>
      <c r="DD7" s="26" t="s">
        <v>547</v>
      </c>
      <c r="DE7" s="26" t="s">
        <v>548</v>
      </c>
      <c r="DF7" s="26" t="s">
        <v>549</v>
      </c>
      <c r="DG7" s="26" t="s">
        <v>550</v>
      </c>
      <c r="DH7" s="26" t="s">
        <v>551</v>
      </c>
      <c r="DI7" s="26" t="s">
        <v>552</v>
      </c>
      <c r="DJ7" s="26" t="s">
        <v>553</v>
      </c>
      <c r="DK7" s="26" t="s">
        <v>554</v>
      </c>
      <c r="DL7" s="26" t="s">
        <v>555</v>
      </c>
      <c r="DM7" s="26" t="s">
        <v>556</v>
      </c>
      <c r="DN7" s="26" t="s">
        <v>557</v>
      </c>
      <c r="DO7" s="26" t="s">
        <v>558</v>
      </c>
      <c r="DP7" s="26" t="s">
        <v>559</v>
      </c>
      <c r="DQ7" s="26" t="s">
        <v>560</v>
      </c>
      <c r="DR7" s="26" t="s">
        <v>561</v>
      </c>
      <c r="DS7" s="26" t="s">
        <v>562</v>
      </c>
      <c r="DT7" s="26" t="s">
        <v>563</v>
      </c>
      <c r="DU7" s="26" t="s">
        <v>564</v>
      </c>
      <c r="DV7" s="26" t="s">
        <v>565</v>
      </c>
      <c r="DW7" s="26" t="s">
        <v>566</v>
      </c>
      <c r="DX7" s="26" t="s">
        <v>567</v>
      </c>
      <c r="DY7" s="26" t="s">
        <v>568</v>
      </c>
      <c r="DZ7" s="26" t="s">
        <v>569</v>
      </c>
      <c r="EA7" s="26" t="s">
        <v>570</v>
      </c>
      <c r="EB7" s="26" t="s">
        <v>571</v>
      </c>
      <c r="EC7" s="26" t="s">
        <v>572</v>
      </c>
      <c r="ED7" s="26" t="s">
        <v>573</v>
      </c>
      <c r="EE7" s="26" t="s">
        <v>574</v>
      </c>
      <c r="EF7" s="26" t="s">
        <v>575</v>
      </c>
      <c r="EG7" s="26" t="s">
        <v>576</v>
      </c>
      <c r="EH7" s="26" t="s">
        <v>577</v>
      </c>
      <c r="EI7" s="26" t="s">
        <v>578</v>
      </c>
      <c r="EJ7" s="26" t="s">
        <v>579</v>
      </c>
      <c r="EK7" s="26" t="s">
        <v>580</v>
      </c>
      <c r="EL7" s="26" t="s">
        <v>581</v>
      </c>
      <c r="EM7" s="26" t="s">
        <v>582</v>
      </c>
      <c r="EN7" s="26" t="s">
        <v>583</v>
      </c>
      <c r="EO7" s="26" t="s">
        <v>584</v>
      </c>
      <c r="EP7" s="26" t="s">
        <v>585</v>
      </c>
      <c r="EQ7" s="26" t="s">
        <v>586</v>
      </c>
      <c r="ER7" s="26" t="s">
        <v>587</v>
      </c>
      <c r="ES7" s="26" t="s">
        <v>588</v>
      </c>
      <c r="ET7" s="26" t="s">
        <v>589</v>
      </c>
      <c r="EU7" s="26" t="s">
        <v>590</v>
      </c>
      <c r="EV7" s="26" t="s">
        <v>591</v>
      </c>
      <c r="EW7" s="26" t="s">
        <v>592</v>
      </c>
      <c r="EX7" s="26" t="s">
        <v>593</v>
      </c>
      <c r="EY7" s="26" t="s">
        <v>594</v>
      </c>
      <c r="EZ7" s="26" t="s">
        <v>595</v>
      </c>
      <c r="FA7" s="26" t="s">
        <v>596</v>
      </c>
      <c r="FB7" s="26" t="s">
        <v>597</v>
      </c>
      <c r="FC7" s="26" t="s">
        <v>598</v>
      </c>
      <c r="FD7" s="26" t="s">
        <v>599</v>
      </c>
      <c r="FE7" s="26" t="s">
        <v>600</v>
      </c>
      <c r="FF7" s="26" t="s">
        <v>601</v>
      </c>
      <c r="FG7" s="26" t="s">
        <v>602</v>
      </c>
      <c r="FH7" s="26" t="s">
        <v>603</v>
      </c>
      <c r="FI7" s="26" t="s">
        <v>604</v>
      </c>
      <c r="FJ7" s="26" t="s">
        <v>605</v>
      </c>
      <c r="FK7" s="6" t="s">
        <v>606</v>
      </c>
      <c r="FL7" s="6" t="s">
        <v>607</v>
      </c>
      <c r="FM7" s="6" t="s">
        <v>608</v>
      </c>
      <c r="FN7" s="6" t="s">
        <v>609</v>
      </c>
      <c r="FO7" s="70" t="s">
        <v>76</v>
      </c>
    </row>
    <row r="8" spans="1:171">
      <c r="A8" s="6" t="s">
        <v>610</v>
      </c>
      <c r="B8" s="6"/>
      <c r="C8" s="6"/>
      <c r="D8" s="26">
        <v>1</v>
      </c>
      <c r="E8" s="26">
        <v>2</v>
      </c>
      <c r="F8" s="26">
        <v>3</v>
      </c>
      <c r="G8" s="26">
        <v>4</v>
      </c>
      <c r="H8" s="26">
        <v>5</v>
      </c>
      <c r="I8" s="26">
        <v>6</v>
      </c>
      <c r="J8" s="26">
        <v>7</v>
      </c>
      <c r="K8" s="26">
        <v>8</v>
      </c>
      <c r="L8" s="26">
        <v>9</v>
      </c>
      <c r="M8" s="26">
        <v>10</v>
      </c>
      <c r="N8" s="26">
        <v>11</v>
      </c>
      <c r="O8" s="26">
        <v>12</v>
      </c>
      <c r="P8" s="26">
        <v>13</v>
      </c>
      <c r="Q8" s="26">
        <v>14</v>
      </c>
      <c r="R8" s="26">
        <v>15</v>
      </c>
      <c r="S8" s="26">
        <v>16</v>
      </c>
      <c r="T8" s="26">
        <v>17</v>
      </c>
      <c r="U8" s="26">
        <v>18</v>
      </c>
      <c r="V8" s="26">
        <v>19</v>
      </c>
      <c r="W8" s="26">
        <v>20</v>
      </c>
      <c r="X8" s="26">
        <v>21</v>
      </c>
      <c r="Y8" s="26">
        <v>22</v>
      </c>
      <c r="Z8" s="26">
        <v>23</v>
      </c>
      <c r="AA8" s="26">
        <v>24</v>
      </c>
      <c r="AB8" s="26">
        <v>25</v>
      </c>
      <c r="AC8" s="26">
        <v>26</v>
      </c>
      <c r="AD8" s="26">
        <v>27</v>
      </c>
      <c r="AE8" s="26">
        <v>28</v>
      </c>
      <c r="AF8" s="26">
        <v>29</v>
      </c>
      <c r="AG8" s="26">
        <v>30</v>
      </c>
      <c r="AH8" s="26">
        <v>31</v>
      </c>
      <c r="AI8" s="26">
        <v>32</v>
      </c>
      <c r="AJ8" s="26">
        <v>33</v>
      </c>
      <c r="AK8" s="26">
        <v>34</v>
      </c>
      <c r="AL8" s="26">
        <v>35</v>
      </c>
      <c r="AM8" s="26">
        <v>36</v>
      </c>
      <c r="AN8" s="26">
        <v>37</v>
      </c>
      <c r="AO8" s="26">
        <v>38</v>
      </c>
      <c r="AP8" s="26">
        <v>39</v>
      </c>
      <c r="AQ8" s="26">
        <v>40</v>
      </c>
      <c r="AR8" s="26">
        <v>41</v>
      </c>
      <c r="AS8" s="26">
        <v>42</v>
      </c>
      <c r="AT8" s="26">
        <v>43</v>
      </c>
      <c r="AU8" s="26">
        <v>44</v>
      </c>
      <c r="AV8" s="26">
        <v>45</v>
      </c>
      <c r="AW8" s="26">
        <v>46</v>
      </c>
      <c r="AX8" s="26">
        <v>47</v>
      </c>
      <c r="AY8" s="26">
        <v>48</v>
      </c>
      <c r="AZ8" s="26">
        <v>49</v>
      </c>
      <c r="BA8" s="26">
        <v>50</v>
      </c>
      <c r="BB8" s="26">
        <v>51</v>
      </c>
      <c r="BC8" s="26">
        <v>52</v>
      </c>
      <c r="BD8" s="26">
        <v>53</v>
      </c>
      <c r="BE8" s="26">
        <v>54</v>
      </c>
      <c r="BF8" s="26">
        <v>55</v>
      </c>
      <c r="BG8" s="26">
        <v>56</v>
      </c>
      <c r="BH8" s="26">
        <v>57</v>
      </c>
      <c r="BI8" s="26">
        <v>58</v>
      </c>
      <c r="BJ8" s="26">
        <v>59</v>
      </c>
      <c r="BK8" s="26">
        <v>60</v>
      </c>
      <c r="BL8" s="26">
        <v>61</v>
      </c>
      <c r="BM8" s="26">
        <v>62</v>
      </c>
      <c r="BN8" s="26">
        <v>63</v>
      </c>
      <c r="BO8" s="26">
        <v>64</v>
      </c>
      <c r="BP8" s="26">
        <v>65</v>
      </c>
      <c r="BQ8" s="26">
        <v>66</v>
      </c>
      <c r="BR8" s="26">
        <v>67</v>
      </c>
      <c r="BS8" s="26">
        <v>68</v>
      </c>
      <c r="BT8" s="26">
        <v>69</v>
      </c>
      <c r="BU8" s="26">
        <v>70</v>
      </c>
      <c r="BV8" s="26">
        <v>71</v>
      </c>
      <c r="BW8" s="26">
        <v>72</v>
      </c>
      <c r="BX8" s="26">
        <v>73</v>
      </c>
      <c r="BY8" s="26">
        <v>74</v>
      </c>
      <c r="BZ8" s="26">
        <v>75</v>
      </c>
      <c r="CA8" s="26">
        <v>76</v>
      </c>
      <c r="CB8" s="26">
        <v>77</v>
      </c>
      <c r="CC8" s="26">
        <v>78</v>
      </c>
      <c r="CD8" s="26">
        <v>79</v>
      </c>
      <c r="CE8" s="26">
        <v>80</v>
      </c>
      <c r="CF8" s="26">
        <v>81</v>
      </c>
      <c r="CG8" s="26">
        <v>82</v>
      </c>
      <c r="CH8" s="26">
        <v>83</v>
      </c>
      <c r="CI8" s="26">
        <v>84</v>
      </c>
      <c r="CJ8" s="26">
        <v>85</v>
      </c>
      <c r="CK8" s="26">
        <v>86</v>
      </c>
      <c r="CL8" s="26">
        <v>87</v>
      </c>
      <c r="CM8" s="26">
        <v>88</v>
      </c>
      <c r="CN8" s="26"/>
      <c r="CO8" s="26"/>
      <c r="CP8" s="26"/>
      <c r="CQ8" s="26">
        <v>89</v>
      </c>
      <c r="CR8" s="26">
        <v>90</v>
      </c>
      <c r="CS8" s="26">
        <v>91</v>
      </c>
      <c r="CT8" s="26">
        <v>92</v>
      </c>
      <c r="CU8" s="26">
        <v>93</v>
      </c>
      <c r="CV8" s="26">
        <v>94</v>
      </c>
      <c r="CW8" s="26">
        <v>95</v>
      </c>
      <c r="CX8" s="26">
        <v>96</v>
      </c>
      <c r="CY8" s="26">
        <v>97</v>
      </c>
      <c r="CZ8" s="26">
        <v>98</v>
      </c>
      <c r="DA8" s="26">
        <v>99</v>
      </c>
      <c r="DB8" s="26">
        <v>100</v>
      </c>
      <c r="DC8" s="26">
        <v>101</v>
      </c>
      <c r="DD8" s="26">
        <v>102</v>
      </c>
      <c r="DE8" s="26">
        <v>103</v>
      </c>
      <c r="DF8" s="26">
        <v>104</v>
      </c>
      <c r="DG8" s="26">
        <v>105</v>
      </c>
      <c r="DH8" s="26">
        <v>106</v>
      </c>
      <c r="DI8" s="26">
        <v>107</v>
      </c>
      <c r="DJ8" s="26">
        <v>108</v>
      </c>
      <c r="DK8" s="26">
        <v>109</v>
      </c>
      <c r="DL8" s="26">
        <v>110</v>
      </c>
      <c r="DM8" s="26">
        <v>111</v>
      </c>
      <c r="DN8" s="26">
        <v>112</v>
      </c>
      <c r="DO8" s="26">
        <v>113</v>
      </c>
      <c r="DP8" s="26">
        <v>114</v>
      </c>
      <c r="DQ8" s="26">
        <v>115</v>
      </c>
      <c r="DR8" s="26">
        <v>116</v>
      </c>
      <c r="DS8" s="26">
        <v>117</v>
      </c>
      <c r="DT8" s="26">
        <v>118</v>
      </c>
      <c r="DU8" s="26">
        <v>119</v>
      </c>
      <c r="DV8" s="26">
        <v>120</v>
      </c>
      <c r="DW8" s="26">
        <v>121</v>
      </c>
      <c r="DX8" s="26">
        <v>122</v>
      </c>
      <c r="DY8" s="26">
        <v>123</v>
      </c>
      <c r="DZ8" s="26">
        <v>124</v>
      </c>
      <c r="EA8" s="26">
        <v>125</v>
      </c>
      <c r="EB8" s="26">
        <v>126</v>
      </c>
      <c r="EC8" s="26">
        <v>127</v>
      </c>
      <c r="ED8" s="26">
        <v>128</v>
      </c>
      <c r="EE8" s="26">
        <v>129</v>
      </c>
      <c r="EF8" s="26">
        <v>130</v>
      </c>
      <c r="EG8" s="26">
        <v>131</v>
      </c>
      <c r="EH8" s="26">
        <v>132</v>
      </c>
      <c r="EI8" s="26">
        <v>133</v>
      </c>
      <c r="EJ8" s="26">
        <v>134</v>
      </c>
      <c r="EK8" s="26">
        <v>135</v>
      </c>
      <c r="EL8" s="26">
        <v>136</v>
      </c>
      <c r="EM8" s="26">
        <v>137</v>
      </c>
      <c r="EN8" s="26">
        <v>138</v>
      </c>
      <c r="EO8" s="26">
        <v>139</v>
      </c>
      <c r="EP8" s="26">
        <v>140</v>
      </c>
      <c r="EQ8" s="26">
        <v>141</v>
      </c>
      <c r="ER8" s="26">
        <v>142</v>
      </c>
      <c r="ES8" s="26">
        <v>143</v>
      </c>
      <c r="ET8" s="26">
        <v>144</v>
      </c>
      <c r="EU8" s="26">
        <v>145</v>
      </c>
      <c r="EV8" s="26">
        <v>146</v>
      </c>
      <c r="EW8" s="26">
        <v>147</v>
      </c>
      <c r="EX8" s="26">
        <v>148</v>
      </c>
      <c r="EY8" s="26">
        <v>149</v>
      </c>
      <c r="EZ8" s="26">
        <v>150</v>
      </c>
      <c r="FA8" s="26">
        <v>151</v>
      </c>
      <c r="FB8" s="26">
        <v>152</v>
      </c>
      <c r="FC8" s="26">
        <v>153</v>
      </c>
      <c r="FD8" s="26">
        <v>154</v>
      </c>
      <c r="FE8" s="26">
        <v>155</v>
      </c>
      <c r="FF8" s="26">
        <v>156</v>
      </c>
      <c r="FG8" s="26">
        <v>157</v>
      </c>
      <c r="FH8" s="26">
        <v>158</v>
      </c>
      <c r="FI8" s="26">
        <v>159</v>
      </c>
      <c r="FJ8" s="26">
        <v>160</v>
      </c>
      <c r="FK8" s="6">
        <v>161</v>
      </c>
      <c r="FL8" s="6">
        <v>162</v>
      </c>
      <c r="FM8" s="6">
        <v>163</v>
      </c>
      <c r="FN8" s="6">
        <v>164</v>
      </c>
      <c r="FO8" s="70">
        <v>165</v>
      </c>
    </row>
    <row r="9" spans="1:171">
      <c r="A9" s="6" t="s">
        <v>78</v>
      </c>
      <c r="B9" s="6"/>
      <c r="C9" s="6"/>
      <c r="D9" s="26" t="s">
        <v>611</v>
      </c>
      <c r="E9" s="26" t="s">
        <v>611</v>
      </c>
      <c r="F9" s="26" t="s">
        <v>611</v>
      </c>
      <c r="G9" s="26" t="s">
        <v>611</v>
      </c>
      <c r="H9" s="26" t="s">
        <v>611</v>
      </c>
      <c r="I9" s="26" t="s">
        <v>611</v>
      </c>
      <c r="J9" s="26" t="s">
        <v>611</v>
      </c>
      <c r="K9" s="26" t="s">
        <v>611</v>
      </c>
      <c r="L9" s="26" t="s">
        <v>611</v>
      </c>
      <c r="M9" s="26" t="s">
        <v>611</v>
      </c>
      <c r="N9" s="26" t="s">
        <v>611</v>
      </c>
      <c r="O9" s="26" t="s">
        <v>611</v>
      </c>
      <c r="P9" s="26" t="s">
        <v>611</v>
      </c>
      <c r="Q9" s="26" t="s">
        <v>611</v>
      </c>
      <c r="R9" s="26" t="s">
        <v>611</v>
      </c>
      <c r="S9" s="26" t="s">
        <v>611</v>
      </c>
      <c r="T9" s="26" t="s">
        <v>611</v>
      </c>
      <c r="U9" s="26" t="s">
        <v>611</v>
      </c>
      <c r="V9" s="26" t="s">
        <v>611</v>
      </c>
      <c r="W9" s="26" t="s">
        <v>611</v>
      </c>
      <c r="X9" s="26" t="s">
        <v>611</v>
      </c>
      <c r="Y9" s="26" t="s">
        <v>611</v>
      </c>
      <c r="Z9" s="26" t="s">
        <v>611</v>
      </c>
      <c r="AA9" s="26" t="s">
        <v>611</v>
      </c>
      <c r="AB9" s="26" t="s">
        <v>611</v>
      </c>
      <c r="AC9" s="26" t="s">
        <v>611</v>
      </c>
      <c r="AD9" s="26" t="s">
        <v>611</v>
      </c>
      <c r="AE9" s="26" t="s">
        <v>611</v>
      </c>
      <c r="AF9" s="26" t="s">
        <v>611</v>
      </c>
      <c r="AG9" s="26" t="s">
        <v>611</v>
      </c>
      <c r="AH9" s="26" t="s">
        <v>611</v>
      </c>
      <c r="AI9" s="26" t="s">
        <v>611</v>
      </c>
      <c r="AJ9" s="26" t="s">
        <v>611</v>
      </c>
      <c r="AK9" s="26" t="s">
        <v>611</v>
      </c>
      <c r="AL9" s="26" t="s">
        <v>611</v>
      </c>
      <c r="AM9" s="26" t="s">
        <v>611</v>
      </c>
      <c r="AN9" s="26" t="s">
        <v>611</v>
      </c>
      <c r="AO9" s="26" t="s">
        <v>611</v>
      </c>
      <c r="AP9" s="26" t="s">
        <v>611</v>
      </c>
      <c r="AQ9" s="26" t="s">
        <v>611</v>
      </c>
      <c r="AR9" s="26" t="s">
        <v>611</v>
      </c>
      <c r="AS9" s="26" t="s">
        <v>611</v>
      </c>
      <c r="AT9" s="26" t="s">
        <v>611</v>
      </c>
      <c r="AU9" s="26" t="s">
        <v>611</v>
      </c>
      <c r="AV9" s="26" t="s">
        <v>611</v>
      </c>
      <c r="AW9" s="26" t="s">
        <v>611</v>
      </c>
      <c r="AX9" s="26" t="s">
        <v>611</v>
      </c>
      <c r="AY9" s="26" t="s">
        <v>611</v>
      </c>
      <c r="AZ9" s="26" t="s">
        <v>612</v>
      </c>
      <c r="BA9" s="26" t="s">
        <v>612</v>
      </c>
      <c r="BB9" s="26" t="s">
        <v>612</v>
      </c>
      <c r="BC9" s="26" t="s">
        <v>612</v>
      </c>
      <c r="BD9" s="26" t="s">
        <v>612</v>
      </c>
      <c r="BE9" s="26" t="s">
        <v>612</v>
      </c>
      <c r="BF9" s="26" t="s">
        <v>612</v>
      </c>
      <c r="BG9" s="26" t="s">
        <v>612</v>
      </c>
      <c r="BH9" s="26" t="s">
        <v>612</v>
      </c>
      <c r="BI9" s="26" t="s">
        <v>612</v>
      </c>
      <c r="BJ9" s="26" t="s">
        <v>612</v>
      </c>
      <c r="BK9" s="26" t="s">
        <v>612</v>
      </c>
      <c r="BL9" s="26" t="s">
        <v>611</v>
      </c>
      <c r="BM9" s="26" t="s">
        <v>611</v>
      </c>
      <c r="BN9" s="26" t="s">
        <v>611</v>
      </c>
      <c r="BO9" s="26" t="s">
        <v>611</v>
      </c>
      <c r="BP9" s="26" t="s">
        <v>611</v>
      </c>
      <c r="BQ9" s="26" t="s">
        <v>611</v>
      </c>
      <c r="BR9" s="26" t="s">
        <v>611</v>
      </c>
      <c r="BS9" s="26" t="s">
        <v>611</v>
      </c>
      <c r="BT9" s="26" t="s">
        <v>613</v>
      </c>
      <c r="BU9" s="26" t="s">
        <v>613</v>
      </c>
      <c r="BV9" s="26" t="s">
        <v>613</v>
      </c>
      <c r="BW9" s="26" t="s">
        <v>613</v>
      </c>
      <c r="BX9" s="26" t="s">
        <v>613</v>
      </c>
      <c r="BY9" s="26" t="s">
        <v>613</v>
      </c>
      <c r="BZ9" s="26" t="s">
        <v>613</v>
      </c>
      <c r="CA9" s="26" t="s">
        <v>613</v>
      </c>
      <c r="CB9" s="26" t="s">
        <v>614</v>
      </c>
      <c r="CC9" s="26" t="s">
        <v>614</v>
      </c>
      <c r="CD9" s="26" t="s">
        <v>614</v>
      </c>
      <c r="CE9" s="26" t="s">
        <v>614</v>
      </c>
      <c r="CF9" s="26" t="s">
        <v>614</v>
      </c>
      <c r="CG9" s="26" t="s">
        <v>614</v>
      </c>
      <c r="CH9" s="26" t="s">
        <v>614</v>
      </c>
      <c r="CI9" s="26" t="s">
        <v>614</v>
      </c>
      <c r="CJ9" s="26" t="s">
        <v>615</v>
      </c>
      <c r="CK9" s="26" t="s">
        <v>615</v>
      </c>
      <c r="CL9" s="26" t="s">
        <v>615</v>
      </c>
      <c r="CM9" s="26" t="s">
        <v>615</v>
      </c>
      <c r="CN9" s="26" t="s">
        <v>615</v>
      </c>
      <c r="CO9" s="26" t="s">
        <v>615</v>
      </c>
      <c r="CP9" s="26" t="s">
        <v>615</v>
      </c>
      <c r="CQ9" s="26" t="s">
        <v>615</v>
      </c>
      <c r="CR9" s="26" t="s">
        <v>615</v>
      </c>
      <c r="CS9" s="26" t="s">
        <v>615</v>
      </c>
      <c r="CT9" s="26" t="s">
        <v>615</v>
      </c>
      <c r="CU9" s="26" t="s">
        <v>615</v>
      </c>
      <c r="CV9" s="26" t="s">
        <v>615</v>
      </c>
      <c r="CW9" s="26" t="s">
        <v>615</v>
      </c>
      <c r="CX9" s="26" t="s">
        <v>615</v>
      </c>
      <c r="CY9" s="26" t="s">
        <v>615</v>
      </c>
      <c r="CZ9" s="26" t="s">
        <v>615</v>
      </c>
      <c r="DA9" s="26" t="s">
        <v>615</v>
      </c>
      <c r="DB9" s="26" t="s">
        <v>615</v>
      </c>
      <c r="DC9" s="26" t="s">
        <v>616</v>
      </c>
      <c r="DD9" s="26" t="s">
        <v>616</v>
      </c>
      <c r="DE9" s="26" t="s">
        <v>616</v>
      </c>
      <c r="DF9" s="26" t="s">
        <v>616</v>
      </c>
      <c r="DG9" s="26" t="s">
        <v>616</v>
      </c>
      <c r="DH9" s="26" t="s">
        <v>616</v>
      </c>
      <c r="DI9" s="26" t="s">
        <v>616</v>
      </c>
      <c r="DJ9" s="26" t="s">
        <v>616</v>
      </c>
      <c r="DK9" s="26"/>
      <c r="DL9" s="26"/>
      <c r="DM9" s="26"/>
      <c r="DN9" s="26"/>
      <c r="DO9" s="26"/>
      <c r="DP9" s="26"/>
      <c r="DQ9" s="26"/>
      <c r="DR9" s="26"/>
      <c r="DS9" s="26"/>
      <c r="DT9" s="26"/>
      <c r="DU9" s="26"/>
      <c r="DV9" s="26"/>
      <c r="DW9" s="26"/>
      <c r="DX9" s="26"/>
      <c r="DY9" s="26"/>
      <c r="DZ9" s="26"/>
      <c r="EA9" s="26"/>
      <c r="EB9" s="26"/>
      <c r="EC9" s="26"/>
      <c r="ED9" s="26"/>
      <c r="EE9" s="26"/>
      <c r="EF9" s="26"/>
      <c r="EG9" s="26"/>
      <c r="EH9" s="26"/>
      <c r="EI9" s="26"/>
      <c r="EJ9" s="26"/>
      <c r="EK9" s="26"/>
      <c r="EL9" s="26"/>
      <c r="EM9" s="26" t="s">
        <v>617</v>
      </c>
      <c r="EN9" s="26" t="s">
        <v>617</v>
      </c>
      <c r="EO9" s="26" t="s">
        <v>617</v>
      </c>
      <c r="EP9" s="26" t="s">
        <v>617</v>
      </c>
      <c r="EQ9" s="26" t="s">
        <v>618</v>
      </c>
      <c r="ER9" s="26" t="s">
        <v>618</v>
      </c>
      <c r="ES9" s="26" t="s">
        <v>618</v>
      </c>
      <c r="ET9" s="26" t="s">
        <v>618</v>
      </c>
      <c r="EU9" s="26" t="s">
        <v>618</v>
      </c>
      <c r="EV9" s="26" t="s">
        <v>618</v>
      </c>
      <c r="EW9" s="26" t="s">
        <v>618</v>
      </c>
      <c r="EX9" s="26" t="s">
        <v>618</v>
      </c>
      <c r="EY9" s="26" t="s">
        <v>618</v>
      </c>
      <c r="EZ9" s="26" t="s">
        <v>618</v>
      </c>
      <c r="FA9" s="26" t="s">
        <v>618</v>
      </c>
      <c r="FB9" s="26" t="s">
        <v>618</v>
      </c>
      <c r="FC9" s="26" t="s">
        <v>619</v>
      </c>
      <c r="FD9" s="26" t="s">
        <v>619</v>
      </c>
      <c r="FE9" s="26" t="s">
        <v>619</v>
      </c>
      <c r="FF9" s="26" t="s">
        <v>619</v>
      </c>
      <c r="FG9" s="26" t="s">
        <v>619</v>
      </c>
      <c r="FH9" s="26" t="s">
        <v>619</v>
      </c>
      <c r="FI9" s="26" t="s">
        <v>619</v>
      </c>
      <c r="FJ9" s="26" t="s">
        <v>619</v>
      </c>
      <c r="FK9" s="6" t="s">
        <v>620</v>
      </c>
      <c r="FL9" s="6" t="s">
        <v>620</v>
      </c>
      <c r="FM9" s="6" t="s">
        <v>614</v>
      </c>
      <c r="FN9" s="6" t="s">
        <v>611</v>
      </c>
      <c r="FO9" s="70" t="s">
        <v>620</v>
      </c>
    </row>
    <row r="10" spans="1:171">
      <c r="A10" s="6"/>
      <c r="B10" s="6"/>
      <c r="C10" s="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  <c r="AO10" s="26"/>
      <c r="AP10" s="26"/>
      <c r="AQ10" s="26"/>
      <c r="AR10" s="26"/>
      <c r="AS10" s="26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6"/>
      <c r="FL10" s="6"/>
      <c r="FM10" s="6"/>
      <c r="FN10" s="6"/>
      <c r="FO10" s="70" t="s">
        <v>621</v>
      </c>
    </row>
    <row r="11" spans="1:171">
      <c r="A11" s="6" t="s">
        <v>622</v>
      </c>
      <c r="B11" s="6"/>
      <c r="C11" s="6"/>
      <c r="D11" s="26" t="s">
        <v>623</v>
      </c>
      <c r="E11" s="26" t="s">
        <v>623</v>
      </c>
      <c r="F11" s="26" t="s">
        <v>623</v>
      </c>
      <c r="G11" s="26" t="s">
        <v>623</v>
      </c>
      <c r="H11" s="26" t="s">
        <v>623</v>
      </c>
      <c r="I11" s="26" t="s">
        <v>623</v>
      </c>
      <c r="J11" s="26" t="s">
        <v>623</v>
      </c>
      <c r="K11" s="26" t="s">
        <v>623</v>
      </c>
      <c r="L11" s="26" t="s">
        <v>623</v>
      </c>
      <c r="M11" s="26" t="s">
        <v>623</v>
      </c>
      <c r="N11" s="26" t="s">
        <v>623</v>
      </c>
      <c r="O11" s="26" t="s">
        <v>623</v>
      </c>
      <c r="P11" s="26" t="s">
        <v>623</v>
      </c>
      <c r="Q11" s="26" t="s">
        <v>623</v>
      </c>
      <c r="R11" s="26" t="s">
        <v>623</v>
      </c>
      <c r="S11" s="26" t="s">
        <v>623</v>
      </c>
      <c r="T11" s="26" t="s">
        <v>623</v>
      </c>
      <c r="U11" s="26" t="s">
        <v>623</v>
      </c>
      <c r="V11" s="26" t="s">
        <v>623</v>
      </c>
      <c r="W11" s="26" t="s">
        <v>623</v>
      </c>
      <c r="X11" s="26" t="s">
        <v>623</v>
      </c>
      <c r="Y11" s="26" t="s">
        <v>623</v>
      </c>
      <c r="Z11" s="26" t="s">
        <v>623</v>
      </c>
      <c r="AA11" s="26" t="s">
        <v>623</v>
      </c>
      <c r="AB11" s="26" t="s">
        <v>623</v>
      </c>
      <c r="AC11" s="26" t="s">
        <v>623</v>
      </c>
      <c r="AD11" s="26" t="s">
        <v>623</v>
      </c>
      <c r="AE11" s="26" t="s">
        <v>623</v>
      </c>
      <c r="AF11" s="26" t="s">
        <v>623</v>
      </c>
      <c r="AG11" s="26" t="s">
        <v>623</v>
      </c>
      <c r="AH11" s="26" t="s">
        <v>623</v>
      </c>
      <c r="AI11" s="26" t="s">
        <v>623</v>
      </c>
      <c r="AJ11" s="26" t="s">
        <v>623</v>
      </c>
      <c r="AK11" s="26" t="s">
        <v>623</v>
      </c>
      <c r="AL11" s="26" t="s">
        <v>623</v>
      </c>
      <c r="AM11" s="26" t="s">
        <v>623</v>
      </c>
      <c r="AN11" s="26" t="s">
        <v>623</v>
      </c>
      <c r="AO11" s="26" t="s">
        <v>623</v>
      </c>
      <c r="AP11" s="26" t="s">
        <v>623</v>
      </c>
      <c r="AQ11" s="26" t="s">
        <v>623</v>
      </c>
      <c r="AR11" s="26" t="s">
        <v>623</v>
      </c>
      <c r="AS11" s="26" t="s">
        <v>623</v>
      </c>
      <c r="AT11" s="26" t="s">
        <v>623</v>
      </c>
      <c r="AU11" s="26" t="s">
        <v>623</v>
      </c>
      <c r="AV11" s="26" t="s">
        <v>623</v>
      </c>
      <c r="AW11" s="26" t="s">
        <v>623</v>
      </c>
      <c r="AX11" s="26" t="s">
        <v>623</v>
      </c>
      <c r="AY11" s="26" t="s">
        <v>623</v>
      </c>
      <c r="AZ11" s="26" t="s">
        <v>623</v>
      </c>
      <c r="BA11" s="26" t="s">
        <v>623</v>
      </c>
      <c r="BB11" s="26" t="s">
        <v>623</v>
      </c>
      <c r="BC11" s="26" t="s">
        <v>623</v>
      </c>
      <c r="BD11" s="26" t="s">
        <v>623</v>
      </c>
      <c r="BE11" s="26" t="s">
        <v>623</v>
      </c>
      <c r="BF11" s="26" t="s">
        <v>623</v>
      </c>
      <c r="BG11" s="26" t="s">
        <v>623</v>
      </c>
      <c r="BH11" s="26" t="s">
        <v>623</v>
      </c>
      <c r="BI11" s="26" t="s">
        <v>623</v>
      </c>
      <c r="BJ11" s="26" t="s">
        <v>623</v>
      </c>
      <c r="BK11" s="26" t="s">
        <v>623</v>
      </c>
      <c r="BL11" s="26" t="s">
        <v>623</v>
      </c>
      <c r="BM11" s="26" t="s">
        <v>623</v>
      </c>
      <c r="BN11" s="26" t="s">
        <v>623</v>
      </c>
      <c r="BO11" s="26" t="s">
        <v>623</v>
      </c>
      <c r="BP11" s="26" t="s">
        <v>623</v>
      </c>
      <c r="BQ11" s="26" t="s">
        <v>623</v>
      </c>
      <c r="BR11" s="26" t="s">
        <v>623</v>
      </c>
      <c r="BS11" s="26" t="s">
        <v>623</v>
      </c>
      <c r="BT11" s="26" t="s">
        <v>623</v>
      </c>
      <c r="BU11" s="26" t="s">
        <v>623</v>
      </c>
      <c r="BV11" s="26" t="s">
        <v>623</v>
      </c>
      <c r="BW11" s="26" t="s">
        <v>623</v>
      </c>
      <c r="BX11" s="26" t="s">
        <v>623</v>
      </c>
      <c r="BY11" s="26" t="s">
        <v>623</v>
      </c>
      <c r="BZ11" s="26" t="s">
        <v>623</v>
      </c>
      <c r="CA11" s="26" t="s">
        <v>623</v>
      </c>
      <c r="CB11" s="26" t="s">
        <v>623</v>
      </c>
      <c r="CC11" s="26" t="s">
        <v>623</v>
      </c>
      <c r="CD11" s="26" t="s">
        <v>623</v>
      </c>
      <c r="CE11" s="26" t="s">
        <v>623</v>
      </c>
      <c r="CF11" s="26" t="s">
        <v>623</v>
      </c>
      <c r="CG11" s="26" t="s">
        <v>623</v>
      </c>
      <c r="CH11" s="26" t="s">
        <v>623</v>
      </c>
      <c r="CI11" s="26" t="s">
        <v>623</v>
      </c>
      <c r="CJ11" s="26" t="s">
        <v>623</v>
      </c>
      <c r="CK11" s="26" t="s">
        <v>623</v>
      </c>
      <c r="CL11" s="26" t="s">
        <v>623</v>
      </c>
      <c r="CM11" s="26" t="s">
        <v>623</v>
      </c>
      <c r="CN11" s="26" t="s">
        <v>624</v>
      </c>
      <c r="CO11" s="26" t="s">
        <v>625</v>
      </c>
      <c r="CP11" s="26" t="s">
        <v>626</v>
      </c>
      <c r="CQ11" s="26" t="s">
        <v>623</v>
      </c>
      <c r="CR11" s="26" t="s">
        <v>623</v>
      </c>
      <c r="CS11" s="26" t="s">
        <v>623</v>
      </c>
      <c r="CT11" s="26" t="s">
        <v>623</v>
      </c>
      <c r="CU11" s="26" t="s">
        <v>623</v>
      </c>
      <c r="CV11" s="26" t="s">
        <v>623</v>
      </c>
      <c r="CW11" s="26" t="s">
        <v>623</v>
      </c>
      <c r="CX11" s="26" t="s">
        <v>623</v>
      </c>
      <c r="CY11" s="26" t="s">
        <v>623</v>
      </c>
      <c r="CZ11" s="26" t="s">
        <v>623</v>
      </c>
      <c r="DA11" s="26" t="s">
        <v>623</v>
      </c>
      <c r="DB11" s="26" t="s">
        <v>623</v>
      </c>
      <c r="DC11" s="26" t="s">
        <v>623</v>
      </c>
      <c r="DD11" s="26" t="s">
        <v>623</v>
      </c>
      <c r="DE11" s="26" t="s">
        <v>623</v>
      </c>
      <c r="DF11" s="26" t="s">
        <v>623</v>
      </c>
      <c r="DG11" s="26" t="s">
        <v>623</v>
      </c>
      <c r="DH11" s="26" t="s">
        <v>623</v>
      </c>
      <c r="DI11" s="26" t="s">
        <v>623</v>
      </c>
      <c r="DJ11" s="26" t="s">
        <v>623</v>
      </c>
      <c r="DK11" s="26" t="s">
        <v>623</v>
      </c>
      <c r="DL11" s="26" t="s">
        <v>623</v>
      </c>
      <c r="DM11" s="26" t="s">
        <v>623</v>
      </c>
      <c r="DN11" s="26" t="s">
        <v>623</v>
      </c>
      <c r="DO11" s="26" t="s">
        <v>623</v>
      </c>
      <c r="DP11" s="26" t="s">
        <v>623</v>
      </c>
      <c r="DQ11" s="26" t="s">
        <v>623</v>
      </c>
      <c r="DR11" s="26" t="s">
        <v>623</v>
      </c>
      <c r="DS11" s="26" t="s">
        <v>623</v>
      </c>
      <c r="DT11" s="26" t="s">
        <v>623</v>
      </c>
      <c r="DU11" s="26" t="s">
        <v>623</v>
      </c>
      <c r="DV11" s="26" t="s">
        <v>623</v>
      </c>
      <c r="DW11" s="26" t="s">
        <v>623</v>
      </c>
      <c r="DX11" s="26" t="s">
        <v>623</v>
      </c>
      <c r="DY11" s="26" t="s">
        <v>623</v>
      </c>
      <c r="DZ11" s="26" t="s">
        <v>623</v>
      </c>
      <c r="EA11" s="26" t="s">
        <v>623</v>
      </c>
      <c r="EB11" s="26" t="s">
        <v>623</v>
      </c>
      <c r="EC11" s="26" t="s">
        <v>623</v>
      </c>
      <c r="ED11" s="26" t="s">
        <v>623</v>
      </c>
      <c r="EE11" s="26" t="s">
        <v>623</v>
      </c>
      <c r="EF11" s="26" t="s">
        <v>623</v>
      </c>
      <c r="EG11" s="26" t="s">
        <v>623</v>
      </c>
      <c r="EH11" s="26" t="s">
        <v>623</v>
      </c>
      <c r="EI11" s="26" t="s">
        <v>623</v>
      </c>
      <c r="EJ11" s="26" t="s">
        <v>623</v>
      </c>
      <c r="EK11" s="26" t="s">
        <v>623</v>
      </c>
      <c r="EL11" s="26" t="s">
        <v>623</v>
      </c>
      <c r="EM11" s="26" t="s">
        <v>623</v>
      </c>
      <c r="EN11" s="26" t="s">
        <v>623</v>
      </c>
      <c r="EO11" s="26" t="s">
        <v>623</v>
      </c>
      <c r="EP11" s="26" t="s">
        <v>623</v>
      </c>
      <c r="EQ11" s="26" t="s">
        <v>623</v>
      </c>
      <c r="ER11" s="26" t="s">
        <v>623</v>
      </c>
      <c r="ES11" s="26" t="s">
        <v>623</v>
      </c>
      <c r="ET11" s="26" t="s">
        <v>623</v>
      </c>
      <c r="EU11" s="26" t="s">
        <v>623</v>
      </c>
      <c r="EV11" s="26" t="s">
        <v>623</v>
      </c>
      <c r="EW11" s="26" t="s">
        <v>623</v>
      </c>
      <c r="EX11" s="26" t="s">
        <v>623</v>
      </c>
      <c r="EY11" s="26" t="s">
        <v>623</v>
      </c>
      <c r="EZ11" s="26" t="s">
        <v>623</v>
      </c>
      <c r="FA11" s="26" t="s">
        <v>623</v>
      </c>
      <c r="FB11" s="26" t="s">
        <v>623</v>
      </c>
      <c r="FC11" s="26" t="s">
        <v>623</v>
      </c>
      <c r="FD11" s="26" t="s">
        <v>623</v>
      </c>
      <c r="FE11" s="26" t="s">
        <v>623</v>
      </c>
      <c r="FF11" s="26" t="s">
        <v>623</v>
      </c>
      <c r="FG11" s="26" t="s">
        <v>623</v>
      </c>
      <c r="FH11" s="26" t="s">
        <v>623</v>
      </c>
      <c r="FI11" s="26" t="s">
        <v>623</v>
      </c>
      <c r="FJ11" s="26" t="s">
        <v>623</v>
      </c>
      <c r="FK11" s="6" t="s">
        <v>627</v>
      </c>
      <c r="FL11" s="6" t="s">
        <v>628</v>
      </c>
      <c r="FM11" s="6" t="s">
        <v>628</v>
      </c>
      <c r="FN11" s="6" t="s">
        <v>628</v>
      </c>
      <c r="FO11" s="70" t="s">
        <v>629</v>
      </c>
    </row>
    <row r="12" spans="1:171">
      <c r="A12" s="6" t="s">
        <v>630</v>
      </c>
      <c r="B12" s="6"/>
      <c r="C12" s="6"/>
      <c r="D12" s="26" t="s">
        <v>631</v>
      </c>
      <c r="E12" s="26" t="s">
        <v>631</v>
      </c>
      <c r="F12" s="26" t="s">
        <v>631</v>
      </c>
      <c r="G12" s="26" t="s">
        <v>631</v>
      </c>
      <c r="H12" s="26" t="s">
        <v>631</v>
      </c>
      <c r="I12" s="26" t="s">
        <v>631</v>
      </c>
      <c r="J12" s="26" t="s">
        <v>631</v>
      </c>
      <c r="K12" s="26" t="s">
        <v>631</v>
      </c>
      <c r="L12" s="26" t="s">
        <v>631</v>
      </c>
      <c r="M12" s="26" t="s">
        <v>631</v>
      </c>
      <c r="N12" s="26" t="s">
        <v>631</v>
      </c>
      <c r="O12" s="26" t="s">
        <v>631</v>
      </c>
      <c r="P12" s="26" t="s">
        <v>631</v>
      </c>
      <c r="Q12" s="26" t="s">
        <v>631</v>
      </c>
      <c r="R12" s="26" t="s">
        <v>631</v>
      </c>
      <c r="S12" s="26" t="s">
        <v>631</v>
      </c>
      <c r="T12" s="26" t="s">
        <v>631</v>
      </c>
      <c r="U12" s="26" t="s">
        <v>631</v>
      </c>
      <c r="V12" s="26" t="s">
        <v>631</v>
      </c>
      <c r="W12" s="26" t="s">
        <v>631</v>
      </c>
      <c r="X12" s="26" t="s">
        <v>631</v>
      </c>
      <c r="Y12" s="26" t="s">
        <v>631</v>
      </c>
      <c r="Z12" s="26" t="s">
        <v>631</v>
      </c>
      <c r="AA12" s="26" t="s">
        <v>631</v>
      </c>
      <c r="AB12" s="26" t="s">
        <v>631</v>
      </c>
      <c r="AC12" s="26" t="s">
        <v>631</v>
      </c>
      <c r="AD12" s="26" t="s">
        <v>631</v>
      </c>
      <c r="AE12" s="26" t="s">
        <v>631</v>
      </c>
      <c r="AF12" s="26" t="s">
        <v>631</v>
      </c>
      <c r="AG12" s="26" t="s">
        <v>631</v>
      </c>
      <c r="AH12" s="26" t="s">
        <v>631</v>
      </c>
      <c r="AI12" s="26" t="s">
        <v>631</v>
      </c>
      <c r="AJ12" s="26" t="s">
        <v>631</v>
      </c>
      <c r="AK12" s="26" t="s">
        <v>631</v>
      </c>
      <c r="AL12" s="26" t="s">
        <v>631</v>
      </c>
      <c r="AM12" s="26" t="s">
        <v>631</v>
      </c>
      <c r="AN12" s="26" t="s">
        <v>631</v>
      </c>
      <c r="AO12" s="26" t="s">
        <v>631</v>
      </c>
      <c r="AP12" s="26" t="s">
        <v>631</v>
      </c>
      <c r="AQ12" s="26" t="s">
        <v>631</v>
      </c>
      <c r="AR12" s="26" t="s">
        <v>631</v>
      </c>
      <c r="AS12" s="26" t="s">
        <v>631</v>
      </c>
      <c r="AT12" s="26" t="s">
        <v>631</v>
      </c>
      <c r="AU12" s="26" t="s">
        <v>631</v>
      </c>
      <c r="AV12" s="26" t="s">
        <v>631</v>
      </c>
      <c r="AW12" s="26" t="s">
        <v>631</v>
      </c>
      <c r="AX12" s="26" t="s">
        <v>631</v>
      </c>
      <c r="AY12" s="26" t="s">
        <v>631</v>
      </c>
      <c r="AZ12" s="26" t="s">
        <v>631</v>
      </c>
      <c r="BA12" s="26" t="s">
        <v>631</v>
      </c>
      <c r="BB12" s="26" t="s">
        <v>631</v>
      </c>
      <c r="BC12" s="26" t="s">
        <v>631</v>
      </c>
      <c r="BD12" s="26" t="s">
        <v>631</v>
      </c>
      <c r="BE12" s="26" t="s">
        <v>631</v>
      </c>
      <c r="BF12" s="26" t="s">
        <v>631</v>
      </c>
      <c r="BG12" s="26" t="s">
        <v>631</v>
      </c>
      <c r="BH12" s="26" t="s">
        <v>631</v>
      </c>
      <c r="BI12" s="26" t="s">
        <v>631</v>
      </c>
      <c r="BJ12" s="26" t="s">
        <v>631</v>
      </c>
      <c r="BK12" s="26" t="s">
        <v>631</v>
      </c>
      <c r="BL12" s="26" t="s">
        <v>631</v>
      </c>
      <c r="BM12" s="26" t="s">
        <v>631</v>
      </c>
      <c r="BN12" s="26" t="s">
        <v>631</v>
      </c>
      <c r="BO12" s="26" t="s">
        <v>631</v>
      </c>
      <c r="BP12" s="26" t="s">
        <v>631</v>
      </c>
      <c r="BQ12" s="26" t="s">
        <v>631</v>
      </c>
      <c r="BR12" s="26" t="s">
        <v>631</v>
      </c>
      <c r="BS12" s="26" t="s">
        <v>631</v>
      </c>
      <c r="BT12" s="26" t="s">
        <v>631</v>
      </c>
      <c r="BU12" s="26" t="s">
        <v>631</v>
      </c>
      <c r="BV12" s="26" t="s">
        <v>631</v>
      </c>
      <c r="BW12" s="26" t="s">
        <v>631</v>
      </c>
      <c r="BX12" s="26" t="s">
        <v>631</v>
      </c>
      <c r="BY12" s="26" t="s">
        <v>631</v>
      </c>
      <c r="BZ12" s="26" t="s">
        <v>631</v>
      </c>
      <c r="CA12" s="26" t="s">
        <v>631</v>
      </c>
      <c r="CB12" s="26" t="s">
        <v>631</v>
      </c>
      <c r="CC12" s="26" t="s">
        <v>631</v>
      </c>
      <c r="CD12" s="26" t="s">
        <v>631</v>
      </c>
      <c r="CE12" s="26" t="s">
        <v>631</v>
      </c>
      <c r="CF12" s="26" t="s">
        <v>631</v>
      </c>
      <c r="CG12" s="26" t="s">
        <v>631</v>
      </c>
      <c r="CH12" s="26" t="s">
        <v>631</v>
      </c>
      <c r="CI12" s="26" t="s">
        <v>631</v>
      </c>
      <c r="CJ12" s="26" t="s">
        <v>631</v>
      </c>
      <c r="CK12" s="26" t="s">
        <v>631</v>
      </c>
      <c r="CL12" s="26" t="s">
        <v>631</v>
      </c>
      <c r="CM12" s="26" t="s">
        <v>631</v>
      </c>
      <c r="CN12" s="26" t="s">
        <v>631</v>
      </c>
      <c r="CO12" s="26" t="s">
        <v>631</v>
      </c>
      <c r="CP12" s="26" t="s">
        <v>631</v>
      </c>
      <c r="CQ12" s="26" t="s">
        <v>631</v>
      </c>
      <c r="CR12" s="26" t="s">
        <v>631</v>
      </c>
      <c r="CS12" s="26" t="s">
        <v>631</v>
      </c>
      <c r="CT12" s="26" t="s">
        <v>631</v>
      </c>
      <c r="CU12" s="26" t="s">
        <v>631</v>
      </c>
      <c r="CV12" s="26" t="s">
        <v>631</v>
      </c>
      <c r="CW12" s="26" t="s">
        <v>631</v>
      </c>
      <c r="CX12" s="26" t="s">
        <v>631</v>
      </c>
      <c r="CY12" s="26" t="s">
        <v>631</v>
      </c>
      <c r="CZ12" s="26" t="s">
        <v>631</v>
      </c>
      <c r="DA12" s="26" t="s">
        <v>631</v>
      </c>
      <c r="DB12" s="26" t="s">
        <v>631</v>
      </c>
      <c r="DC12" s="26" t="s">
        <v>631</v>
      </c>
      <c r="DD12" s="26" t="s">
        <v>631</v>
      </c>
      <c r="DE12" s="26" t="s">
        <v>631</v>
      </c>
      <c r="DF12" s="26" t="s">
        <v>631</v>
      </c>
      <c r="DG12" s="26" t="s">
        <v>631</v>
      </c>
      <c r="DH12" s="26" t="s">
        <v>631</v>
      </c>
      <c r="DI12" s="26" t="s">
        <v>631</v>
      </c>
      <c r="DJ12" s="26" t="s">
        <v>631</v>
      </c>
      <c r="DK12" s="26" t="s">
        <v>631</v>
      </c>
      <c r="DL12" s="26" t="s">
        <v>631</v>
      </c>
      <c r="DM12" s="26" t="s">
        <v>631</v>
      </c>
      <c r="DN12" s="26" t="s">
        <v>631</v>
      </c>
      <c r="DO12" s="26" t="s">
        <v>631</v>
      </c>
      <c r="DP12" s="26" t="s">
        <v>631</v>
      </c>
      <c r="DQ12" s="26" t="s">
        <v>631</v>
      </c>
      <c r="DR12" s="26" t="s">
        <v>631</v>
      </c>
      <c r="DS12" s="26" t="s">
        <v>631</v>
      </c>
      <c r="DT12" s="26" t="s">
        <v>631</v>
      </c>
      <c r="DU12" s="26" t="s">
        <v>631</v>
      </c>
      <c r="DV12" s="26" t="s">
        <v>631</v>
      </c>
      <c r="DW12" s="26" t="s">
        <v>631</v>
      </c>
      <c r="DX12" s="26" t="s">
        <v>631</v>
      </c>
      <c r="DY12" s="26" t="s">
        <v>631</v>
      </c>
      <c r="DZ12" s="26" t="s">
        <v>631</v>
      </c>
      <c r="EA12" s="26" t="s">
        <v>631</v>
      </c>
      <c r="EB12" s="26" t="s">
        <v>631</v>
      </c>
      <c r="EC12" s="26" t="s">
        <v>631</v>
      </c>
      <c r="ED12" s="26" t="s">
        <v>631</v>
      </c>
      <c r="EE12" s="26" t="s">
        <v>631</v>
      </c>
      <c r="EF12" s="26" t="s">
        <v>631</v>
      </c>
      <c r="EG12" s="26" t="s">
        <v>631</v>
      </c>
      <c r="EH12" s="26" t="s">
        <v>631</v>
      </c>
      <c r="EI12" s="26" t="s">
        <v>631</v>
      </c>
      <c r="EJ12" s="26" t="s">
        <v>631</v>
      </c>
      <c r="EK12" s="26" t="s">
        <v>631</v>
      </c>
      <c r="EL12" s="26" t="s">
        <v>631</v>
      </c>
      <c r="EM12" s="26" t="s">
        <v>631</v>
      </c>
      <c r="EN12" s="26" t="s">
        <v>631</v>
      </c>
      <c r="EO12" s="26" t="s">
        <v>631</v>
      </c>
      <c r="EP12" s="26" t="s">
        <v>631</v>
      </c>
      <c r="EQ12" s="26" t="s">
        <v>631</v>
      </c>
      <c r="ER12" s="26" t="s">
        <v>631</v>
      </c>
      <c r="ES12" s="26" t="s">
        <v>631</v>
      </c>
      <c r="ET12" s="26" t="s">
        <v>631</v>
      </c>
      <c r="EU12" s="26" t="s">
        <v>631</v>
      </c>
      <c r="EV12" s="26" t="s">
        <v>631</v>
      </c>
      <c r="EW12" s="26" t="s">
        <v>631</v>
      </c>
      <c r="EX12" s="26" t="s">
        <v>631</v>
      </c>
      <c r="EY12" s="26" t="s">
        <v>631</v>
      </c>
      <c r="EZ12" s="26" t="s">
        <v>631</v>
      </c>
      <c r="FA12" s="26" t="s">
        <v>631</v>
      </c>
      <c r="FB12" s="26" t="s">
        <v>631</v>
      </c>
      <c r="FC12" s="26" t="s">
        <v>631</v>
      </c>
      <c r="FD12" s="26" t="s">
        <v>631</v>
      </c>
      <c r="FE12" s="26" t="s">
        <v>631</v>
      </c>
      <c r="FF12" s="26" t="s">
        <v>631</v>
      </c>
      <c r="FG12" s="26" t="s">
        <v>631</v>
      </c>
      <c r="FH12" s="26" t="s">
        <v>631</v>
      </c>
      <c r="FI12" s="26" t="s">
        <v>631</v>
      </c>
      <c r="FJ12" s="26" t="s">
        <v>631</v>
      </c>
      <c r="FK12" s="6" t="s">
        <v>631</v>
      </c>
      <c r="FL12" s="6" t="s">
        <v>631</v>
      </c>
      <c r="FM12" s="6" t="s">
        <v>631</v>
      </c>
      <c r="FN12" s="6" t="s">
        <v>631</v>
      </c>
      <c r="FO12" s="70" t="s">
        <v>631</v>
      </c>
    </row>
    <row r="13" spans="1:171" s="34" customFormat="1">
      <c r="A13" s="48" t="s">
        <v>632</v>
      </c>
      <c r="B13" s="39"/>
      <c r="C13" s="39" t="s">
        <v>633</v>
      </c>
      <c r="D13" s="40">
        <v>1200</v>
      </c>
      <c r="E13" s="39">
        <v>1200</v>
      </c>
      <c r="F13" s="39">
        <v>1200</v>
      </c>
      <c r="G13" s="41">
        <v>1200</v>
      </c>
      <c r="H13" s="40">
        <v>168</v>
      </c>
      <c r="I13" s="39">
        <v>168</v>
      </c>
      <c r="J13" s="39">
        <v>168</v>
      </c>
      <c r="K13" s="39">
        <v>168</v>
      </c>
      <c r="L13" s="40">
        <v>625</v>
      </c>
      <c r="M13" s="39">
        <v>625</v>
      </c>
      <c r="N13" s="39">
        <v>625</v>
      </c>
      <c r="O13" s="39">
        <v>625</v>
      </c>
      <c r="P13" s="40">
        <v>400</v>
      </c>
      <c r="Q13" s="39">
        <v>400</v>
      </c>
      <c r="R13" s="39">
        <v>400</v>
      </c>
      <c r="S13" s="39">
        <v>400</v>
      </c>
      <c r="T13" s="40">
        <v>311</v>
      </c>
      <c r="U13" s="39">
        <v>311</v>
      </c>
      <c r="V13" s="39">
        <v>311</v>
      </c>
      <c r="W13" s="39">
        <v>311</v>
      </c>
      <c r="X13" s="40">
        <v>299</v>
      </c>
      <c r="Y13" s="39">
        <v>299</v>
      </c>
      <c r="Z13" s="39">
        <v>299</v>
      </c>
      <c r="AA13" s="39">
        <v>299</v>
      </c>
      <c r="AB13" s="40">
        <v>96</v>
      </c>
      <c r="AC13" s="39">
        <v>96</v>
      </c>
      <c r="AD13" s="39">
        <v>96</v>
      </c>
      <c r="AE13" s="39">
        <v>96</v>
      </c>
      <c r="AF13" s="40">
        <v>625</v>
      </c>
      <c r="AG13" s="39">
        <v>625</v>
      </c>
      <c r="AH13" s="39">
        <v>625</v>
      </c>
      <c r="AI13" s="39">
        <v>625</v>
      </c>
      <c r="AJ13" s="40">
        <v>400</v>
      </c>
      <c r="AK13" s="39">
        <v>400</v>
      </c>
      <c r="AL13" s="39">
        <v>400</v>
      </c>
      <c r="AM13" s="39">
        <v>400</v>
      </c>
      <c r="AN13" s="40">
        <v>311</v>
      </c>
      <c r="AO13" s="39">
        <v>311</v>
      </c>
      <c r="AP13" s="39">
        <v>311</v>
      </c>
      <c r="AQ13" s="39">
        <v>311</v>
      </c>
      <c r="AR13" s="40">
        <v>299</v>
      </c>
      <c r="AS13" s="39">
        <v>299</v>
      </c>
      <c r="AT13" s="39">
        <v>299</v>
      </c>
      <c r="AU13" s="39">
        <v>299</v>
      </c>
      <c r="AV13" s="40">
        <v>96</v>
      </c>
      <c r="AW13" s="39">
        <v>96</v>
      </c>
      <c r="AX13" s="39">
        <v>96</v>
      </c>
      <c r="AY13" s="39">
        <v>96</v>
      </c>
      <c r="AZ13" s="40">
        <v>20</v>
      </c>
      <c r="BA13" s="39">
        <v>20</v>
      </c>
      <c r="BB13" s="39">
        <v>20</v>
      </c>
      <c r="BC13" s="39">
        <v>20</v>
      </c>
      <c r="BD13" s="40">
        <v>20</v>
      </c>
      <c r="BE13" s="39">
        <v>20</v>
      </c>
      <c r="BF13" s="39">
        <v>20</v>
      </c>
      <c r="BG13" s="39">
        <v>20</v>
      </c>
      <c r="BH13" s="40">
        <v>20</v>
      </c>
      <c r="BI13" s="39">
        <v>20</v>
      </c>
      <c r="BJ13" s="39">
        <v>20</v>
      </c>
      <c r="BK13" s="39">
        <v>20</v>
      </c>
      <c r="BL13" s="40">
        <v>20</v>
      </c>
      <c r="BM13" s="39">
        <v>20</v>
      </c>
      <c r="BN13" s="39">
        <v>20</v>
      </c>
      <c r="BO13" s="39">
        <v>20</v>
      </c>
      <c r="BP13" s="40">
        <v>20</v>
      </c>
      <c r="BQ13" s="39">
        <v>20</v>
      </c>
      <c r="BR13" s="39">
        <v>20</v>
      </c>
      <c r="BS13" s="39">
        <v>20</v>
      </c>
      <c r="BT13" s="40">
        <v>23</v>
      </c>
      <c r="BU13" s="39">
        <v>23</v>
      </c>
      <c r="BV13" s="39">
        <v>23</v>
      </c>
      <c r="BW13" s="39">
        <v>23</v>
      </c>
      <c r="BX13" s="40">
        <v>14</v>
      </c>
      <c r="BY13" s="39">
        <v>14</v>
      </c>
      <c r="BZ13" s="39">
        <v>14</v>
      </c>
      <c r="CA13" s="39">
        <v>14</v>
      </c>
      <c r="CB13" s="40">
        <v>51</v>
      </c>
      <c r="CC13" s="39">
        <v>51</v>
      </c>
      <c r="CD13" s="39">
        <v>51</v>
      </c>
      <c r="CE13" s="39">
        <v>51</v>
      </c>
      <c r="CF13" s="40">
        <v>1000</v>
      </c>
      <c r="CG13" s="39">
        <v>1000</v>
      </c>
      <c r="CH13" s="39">
        <v>1000</v>
      </c>
      <c r="CI13" s="39">
        <v>1000</v>
      </c>
      <c r="CJ13" s="40">
        <v>20</v>
      </c>
      <c r="CK13" s="39">
        <v>20</v>
      </c>
      <c r="CL13" s="39">
        <v>20</v>
      </c>
      <c r="CM13" s="39">
        <v>20</v>
      </c>
      <c r="CN13" s="40">
        <v>20</v>
      </c>
      <c r="CO13" s="40">
        <v>20</v>
      </c>
      <c r="CP13" s="40">
        <v>20</v>
      </c>
      <c r="CQ13" s="44">
        <v>2.5000000000000001E-2</v>
      </c>
      <c r="CR13" s="44">
        <v>2.5000000000000001E-2</v>
      </c>
      <c r="CS13" s="44">
        <v>2.5000000000000001E-2</v>
      </c>
      <c r="CT13" s="44">
        <v>2.5000000000000001E-2</v>
      </c>
      <c r="CU13" s="44">
        <v>7.0000000000000001E-3</v>
      </c>
      <c r="CV13" s="44">
        <v>7.0000000000000001E-3</v>
      </c>
      <c r="CW13" s="44">
        <v>7.0000000000000001E-3</v>
      </c>
      <c r="CX13" s="44">
        <v>7.0000000000000001E-3</v>
      </c>
      <c r="CY13" s="44">
        <v>2E-3</v>
      </c>
      <c r="CZ13" s="44">
        <v>2E-3</v>
      </c>
      <c r="DA13" s="44">
        <v>2E-3</v>
      </c>
      <c r="DB13" s="44">
        <v>2E-3</v>
      </c>
      <c r="DC13" s="40">
        <v>30</v>
      </c>
      <c r="DD13" s="39">
        <v>30</v>
      </c>
      <c r="DE13" s="39">
        <v>30</v>
      </c>
      <c r="DF13" s="39">
        <v>30</v>
      </c>
      <c r="DG13" s="40">
        <v>25</v>
      </c>
      <c r="DH13" s="39">
        <v>25</v>
      </c>
      <c r="DI13" s="39">
        <v>25</v>
      </c>
      <c r="DJ13" s="39">
        <v>25</v>
      </c>
      <c r="DK13" s="40">
        <v>2</v>
      </c>
      <c r="DL13" s="39">
        <v>2</v>
      </c>
      <c r="DM13" s="39">
        <v>2</v>
      </c>
      <c r="DN13" s="39">
        <v>2</v>
      </c>
      <c r="DO13" s="40">
        <v>2</v>
      </c>
      <c r="DP13" s="39">
        <v>2</v>
      </c>
      <c r="DQ13" s="39">
        <v>2</v>
      </c>
      <c r="DR13" s="39">
        <v>2</v>
      </c>
      <c r="DS13" s="40">
        <v>12</v>
      </c>
      <c r="DT13" s="39">
        <v>12</v>
      </c>
      <c r="DU13" s="39">
        <v>12</v>
      </c>
      <c r="DV13" s="39">
        <v>12</v>
      </c>
      <c r="DW13" s="40">
        <v>15</v>
      </c>
      <c r="DX13" s="39">
        <v>15</v>
      </c>
      <c r="DY13" s="39">
        <v>15</v>
      </c>
      <c r="DZ13" s="39">
        <v>15</v>
      </c>
      <c r="EA13" s="40">
        <v>7</v>
      </c>
      <c r="EB13" s="39">
        <v>7</v>
      </c>
      <c r="EC13" s="39">
        <v>7</v>
      </c>
      <c r="ED13" s="39">
        <v>7</v>
      </c>
      <c r="EE13" s="40">
        <v>2</v>
      </c>
      <c r="EF13" s="39">
        <v>2</v>
      </c>
      <c r="EG13" s="39">
        <v>2</v>
      </c>
      <c r="EH13" s="39">
        <v>2</v>
      </c>
      <c r="EI13" s="40">
        <v>3</v>
      </c>
      <c r="EJ13" s="39">
        <v>3</v>
      </c>
      <c r="EK13" s="39">
        <v>3</v>
      </c>
      <c r="EL13" s="39">
        <v>3</v>
      </c>
      <c r="EM13" s="40">
        <v>3</v>
      </c>
      <c r="EN13" s="39">
        <v>3</v>
      </c>
      <c r="EO13" s="39">
        <v>3</v>
      </c>
      <c r="EP13" s="39">
        <v>3</v>
      </c>
      <c r="EQ13" s="40">
        <v>11</v>
      </c>
      <c r="ER13" s="39">
        <v>11</v>
      </c>
      <c r="ES13" s="39">
        <v>11</v>
      </c>
      <c r="ET13" s="39">
        <v>11</v>
      </c>
      <c r="EU13" s="40">
        <v>11</v>
      </c>
      <c r="EV13" s="39">
        <v>11</v>
      </c>
      <c r="EW13" s="39">
        <v>11</v>
      </c>
      <c r="EX13" s="39">
        <v>11</v>
      </c>
      <c r="EY13" s="40">
        <v>9</v>
      </c>
      <c r="EZ13" s="39">
        <v>9</v>
      </c>
      <c r="FA13" s="39">
        <v>9</v>
      </c>
      <c r="FB13" s="39">
        <v>9</v>
      </c>
      <c r="FC13" s="40">
        <v>1200</v>
      </c>
      <c r="FD13" s="39">
        <v>1200</v>
      </c>
      <c r="FE13" s="39">
        <v>1200</v>
      </c>
      <c r="FF13" s="39">
        <v>1200</v>
      </c>
      <c r="FG13" s="39">
        <v>1200</v>
      </c>
      <c r="FH13" s="39">
        <v>1200</v>
      </c>
      <c r="FI13" s="39">
        <v>1200</v>
      </c>
      <c r="FJ13" s="39">
        <v>1200</v>
      </c>
      <c r="FK13" s="42">
        <v>1117</v>
      </c>
      <c r="FL13" s="34">
        <v>1650</v>
      </c>
      <c r="FM13" s="34">
        <v>50</v>
      </c>
      <c r="FN13" s="34">
        <v>850</v>
      </c>
      <c r="FO13" s="34">
        <v>1250</v>
      </c>
    </row>
    <row r="14" spans="1:171">
      <c r="A14" s="48" t="s">
        <v>634</v>
      </c>
      <c r="B14" s="6"/>
      <c r="C14" s="6" t="s">
        <v>119</v>
      </c>
      <c r="D14" s="14">
        <v>0.93</v>
      </c>
      <c r="E14" s="15">
        <v>0.93</v>
      </c>
      <c r="F14" s="15">
        <v>0.93</v>
      </c>
      <c r="G14" s="16">
        <v>0.93</v>
      </c>
      <c r="H14" s="14">
        <v>0.93</v>
      </c>
      <c r="I14" s="15">
        <v>0.93</v>
      </c>
      <c r="J14" s="15">
        <v>0.93</v>
      </c>
      <c r="K14" s="15">
        <v>0.93</v>
      </c>
      <c r="L14" s="14">
        <v>0.06</v>
      </c>
      <c r="M14" s="15">
        <v>0.06</v>
      </c>
      <c r="N14" s="15">
        <v>0.06</v>
      </c>
      <c r="O14" s="15">
        <v>0.06</v>
      </c>
      <c r="P14" s="14">
        <v>0.06</v>
      </c>
      <c r="Q14" s="15">
        <v>0.06</v>
      </c>
      <c r="R14" s="15">
        <v>0.06</v>
      </c>
      <c r="S14" s="15">
        <v>0.06</v>
      </c>
      <c r="T14" s="14">
        <v>0.06</v>
      </c>
      <c r="U14" s="15">
        <v>0.06</v>
      </c>
      <c r="V14" s="15">
        <v>0.06</v>
      </c>
      <c r="W14" s="15">
        <v>0.06</v>
      </c>
      <c r="X14" s="14">
        <v>0.06</v>
      </c>
      <c r="Y14" s="15">
        <v>0.06</v>
      </c>
      <c r="Z14" s="15">
        <v>0.06</v>
      </c>
      <c r="AA14" s="15">
        <v>0.06</v>
      </c>
      <c r="AB14" s="14">
        <v>0.06</v>
      </c>
      <c r="AC14" s="15">
        <v>0.06</v>
      </c>
      <c r="AD14" s="15">
        <v>0.06</v>
      </c>
      <c r="AE14" s="15">
        <v>0.06</v>
      </c>
      <c r="AF14" s="14">
        <v>0.22</v>
      </c>
      <c r="AG14" s="15">
        <v>0.22</v>
      </c>
      <c r="AH14" s="15">
        <v>0.22</v>
      </c>
      <c r="AI14" s="15">
        <v>0.22</v>
      </c>
      <c r="AJ14" s="14">
        <v>0.22</v>
      </c>
      <c r="AK14" s="15">
        <v>0.22</v>
      </c>
      <c r="AL14" s="15">
        <v>0.22</v>
      </c>
      <c r="AM14" s="15">
        <v>0.22</v>
      </c>
      <c r="AN14" s="14">
        <v>0.22</v>
      </c>
      <c r="AO14" s="15">
        <v>0.22</v>
      </c>
      <c r="AP14" s="15">
        <v>0.22</v>
      </c>
      <c r="AQ14" s="15">
        <v>0.22</v>
      </c>
      <c r="AR14" s="14">
        <v>0.22</v>
      </c>
      <c r="AS14" s="15">
        <v>0.22</v>
      </c>
      <c r="AT14" s="15">
        <v>0.22</v>
      </c>
      <c r="AU14" s="15">
        <v>0.22</v>
      </c>
      <c r="AV14" s="14">
        <v>0.22</v>
      </c>
      <c r="AW14" s="15">
        <v>0.22</v>
      </c>
      <c r="AX14" s="15">
        <v>0.22</v>
      </c>
      <c r="AY14" s="15">
        <v>0.22</v>
      </c>
      <c r="AZ14" s="14">
        <v>0.22</v>
      </c>
      <c r="BA14" s="15">
        <v>0.22</v>
      </c>
      <c r="BB14" s="15">
        <v>0.22</v>
      </c>
      <c r="BC14" s="15">
        <v>0.22</v>
      </c>
      <c r="BD14" s="14">
        <v>0.05</v>
      </c>
      <c r="BE14" s="15">
        <v>0.05</v>
      </c>
      <c r="BF14" s="15">
        <v>0.05</v>
      </c>
      <c r="BG14" s="15">
        <v>0.05</v>
      </c>
      <c r="BH14" s="14">
        <v>0.01</v>
      </c>
      <c r="BI14" s="15">
        <v>0.01</v>
      </c>
      <c r="BJ14" s="15">
        <v>0.01</v>
      </c>
      <c r="BK14" s="15">
        <v>0.01</v>
      </c>
      <c r="BL14" s="14">
        <v>0.22</v>
      </c>
      <c r="BM14" s="15">
        <v>0.22</v>
      </c>
      <c r="BN14" s="15">
        <v>0.22</v>
      </c>
      <c r="BO14" s="15">
        <v>0.22</v>
      </c>
      <c r="BP14" s="14">
        <v>0.05</v>
      </c>
      <c r="BQ14" s="15">
        <v>0.05</v>
      </c>
      <c r="BR14" s="15">
        <v>0.05</v>
      </c>
      <c r="BS14" s="15">
        <v>0.05</v>
      </c>
      <c r="BT14" s="14">
        <v>0.84</v>
      </c>
      <c r="BU14" s="15">
        <v>0.84</v>
      </c>
      <c r="BV14" s="15">
        <v>0.84</v>
      </c>
      <c r="BW14" s="15">
        <v>0.84</v>
      </c>
      <c r="BX14" s="14">
        <v>0.8</v>
      </c>
      <c r="BY14" s="15">
        <v>0.8</v>
      </c>
      <c r="BZ14" s="15">
        <v>0.8</v>
      </c>
      <c r="CA14" s="15">
        <v>0.8</v>
      </c>
      <c r="CB14" s="14">
        <v>0.38</v>
      </c>
      <c r="CC14" s="15">
        <v>0.41</v>
      </c>
      <c r="CD14" s="15">
        <v>0.41</v>
      </c>
      <c r="CE14" s="15">
        <v>0.41</v>
      </c>
      <c r="CF14" s="14">
        <v>0.61</v>
      </c>
      <c r="CG14" s="15">
        <v>0.65</v>
      </c>
      <c r="CH14" s="15">
        <v>0.69</v>
      </c>
      <c r="CI14" s="15">
        <v>0.69</v>
      </c>
      <c r="CJ14" s="14">
        <v>0.11</v>
      </c>
      <c r="CK14" s="15">
        <v>0.11</v>
      </c>
      <c r="CL14" s="15">
        <v>0.11</v>
      </c>
      <c r="CM14" s="15">
        <v>0.11</v>
      </c>
      <c r="CN14" s="14">
        <v>0.11</v>
      </c>
      <c r="CO14" s="14">
        <v>0.11</v>
      </c>
      <c r="CP14" s="14">
        <v>0.11</v>
      </c>
      <c r="CQ14" s="14">
        <v>0.11</v>
      </c>
      <c r="CR14" s="15">
        <v>0.11</v>
      </c>
      <c r="CS14" s="15">
        <v>0.11</v>
      </c>
      <c r="CT14" s="15">
        <v>0.11</v>
      </c>
      <c r="CU14" s="14">
        <v>0.11</v>
      </c>
      <c r="CV14" s="15">
        <v>0.11</v>
      </c>
      <c r="CW14" s="15">
        <v>0.11</v>
      </c>
      <c r="CX14" s="15">
        <v>0.11</v>
      </c>
      <c r="CY14" s="14">
        <v>0.11</v>
      </c>
      <c r="CZ14" s="15">
        <v>0.11</v>
      </c>
      <c r="DA14" s="15">
        <v>0.11</v>
      </c>
      <c r="DB14" s="15">
        <v>0.11</v>
      </c>
      <c r="DC14" s="14">
        <v>0.81</v>
      </c>
      <c r="DD14" s="15">
        <v>0.81</v>
      </c>
      <c r="DE14" s="15">
        <v>0.81</v>
      </c>
      <c r="DF14" s="15">
        <v>0.81</v>
      </c>
      <c r="DG14" s="14">
        <v>0.81</v>
      </c>
      <c r="DH14" s="15">
        <v>0.81</v>
      </c>
      <c r="DI14" s="15">
        <v>0.81</v>
      </c>
      <c r="DJ14" s="15">
        <v>0.81</v>
      </c>
      <c r="DK14" s="14">
        <v>0.79</v>
      </c>
      <c r="DL14" s="15">
        <v>0.79</v>
      </c>
      <c r="DM14" s="15">
        <v>0.79</v>
      </c>
      <c r="DN14" s="15">
        <v>0.79</v>
      </c>
      <c r="DO14" s="14">
        <v>0.79</v>
      </c>
      <c r="DP14" s="15">
        <v>0.79</v>
      </c>
      <c r="DQ14" s="15">
        <v>0.79</v>
      </c>
      <c r="DR14" s="15">
        <v>0.79</v>
      </c>
      <c r="DS14" s="14">
        <v>0.83</v>
      </c>
      <c r="DT14" s="15">
        <v>0.83</v>
      </c>
      <c r="DU14" s="15">
        <v>0.83</v>
      </c>
      <c r="DV14" s="15">
        <v>0.83</v>
      </c>
      <c r="DW14" s="14">
        <v>0.71</v>
      </c>
      <c r="DX14" s="15">
        <v>0.71</v>
      </c>
      <c r="DY14" s="15">
        <v>0.71</v>
      </c>
      <c r="DZ14" s="15">
        <v>0.71</v>
      </c>
      <c r="EA14" s="14">
        <v>0.71</v>
      </c>
      <c r="EB14" s="15">
        <v>0.71</v>
      </c>
      <c r="EC14" s="15">
        <v>0.71</v>
      </c>
      <c r="ED14" s="15">
        <v>0.71</v>
      </c>
      <c r="EE14" s="14">
        <v>0.57999999999999996</v>
      </c>
      <c r="EF14" s="15">
        <v>0.57999999999999996</v>
      </c>
      <c r="EG14" s="15">
        <v>0.57999999999999996</v>
      </c>
      <c r="EH14" s="15">
        <v>0.57999999999999996</v>
      </c>
      <c r="EI14" s="14">
        <v>0.46</v>
      </c>
      <c r="EJ14" s="15">
        <v>0.46</v>
      </c>
      <c r="EK14" s="15">
        <v>0.46</v>
      </c>
      <c r="EL14" s="15">
        <v>0.46</v>
      </c>
      <c r="EM14" s="14">
        <v>0.9</v>
      </c>
      <c r="EN14" s="15">
        <v>0.9</v>
      </c>
      <c r="EO14" s="15">
        <v>0.9</v>
      </c>
      <c r="EP14" s="15">
        <v>0.9</v>
      </c>
      <c r="EQ14" s="14">
        <v>0.45</v>
      </c>
      <c r="ER14" s="15">
        <v>0.45</v>
      </c>
      <c r="ES14" s="15">
        <v>0.45</v>
      </c>
      <c r="ET14" s="15">
        <v>0.45</v>
      </c>
      <c r="EU14" s="14">
        <v>0.35</v>
      </c>
      <c r="EV14" s="15">
        <v>0.35</v>
      </c>
      <c r="EW14" s="15">
        <v>0.35</v>
      </c>
      <c r="EX14" s="15">
        <v>0.35</v>
      </c>
      <c r="EY14" s="14">
        <v>0.3</v>
      </c>
      <c r="EZ14" s="15">
        <v>0.3</v>
      </c>
      <c r="FA14" s="15">
        <v>0.3</v>
      </c>
      <c r="FB14" s="15">
        <v>0.3</v>
      </c>
      <c r="FC14" s="14">
        <v>0.93</v>
      </c>
      <c r="FD14" s="15">
        <v>0.93</v>
      </c>
      <c r="FE14" s="15">
        <v>0.93</v>
      </c>
      <c r="FF14" s="15">
        <v>0.93</v>
      </c>
      <c r="FG14" s="15">
        <v>0.93</v>
      </c>
      <c r="FH14" s="15">
        <v>0.93</v>
      </c>
      <c r="FI14" s="15">
        <v>0.93</v>
      </c>
      <c r="FJ14" s="15">
        <v>0.93</v>
      </c>
      <c r="FK14" s="56">
        <v>0.9</v>
      </c>
      <c r="FL14" s="55">
        <v>0.92600000000000005</v>
      </c>
      <c r="FM14" s="59">
        <v>0.33100000000000002</v>
      </c>
      <c r="FN14" s="59">
        <v>0.92600000000000005</v>
      </c>
      <c r="FO14" s="45">
        <v>0.89</v>
      </c>
    </row>
    <row r="15" spans="1:171">
      <c r="A15" s="10" t="s">
        <v>635</v>
      </c>
      <c r="B15" s="10"/>
      <c r="C15" s="10" t="s">
        <v>119</v>
      </c>
      <c r="D15" s="17">
        <v>0.53</v>
      </c>
      <c r="E15" s="18">
        <v>0.53</v>
      </c>
      <c r="F15" s="18">
        <v>0.53</v>
      </c>
      <c r="G15" s="19">
        <v>0.53</v>
      </c>
      <c r="H15" s="17">
        <v>0.33</v>
      </c>
      <c r="I15" s="18">
        <v>0.33</v>
      </c>
      <c r="J15" s="18">
        <v>0.33</v>
      </c>
      <c r="K15" s="18">
        <v>0.33</v>
      </c>
      <c r="L15" s="17">
        <v>0.35</v>
      </c>
      <c r="M15" s="18">
        <v>0.35</v>
      </c>
      <c r="N15" s="18">
        <v>0.35</v>
      </c>
      <c r="O15" s="18">
        <v>0.35</v>
      </c>
      <c r="P15" s="17">
        <v>0.34</v>
      </c>
      <c r="Q15" s="18">
        <v>0.34</v>
      </c>
      <c r="R15" s="18">
        <v>0.34</v>
      </c>
      <c r="S15" s="18">
        <v>0.34</v>
      </c>
      <c r="T15" s="17">
        <v>0.34</v>
      </c>
      <c r="U15" s="18">
        <v>0.34</v>
      </c>
      <c r="V15" s="18">
        <v>0.34</v>
      </c>
      <c r="W15" s="18">
        <v>0.34</v>
      </c>
      <c r="X15" s="17">
        <v>0.34</v>
      </c>
      <c r="Y15" s="18">
        <v>0.34</v>
      </c>
      <c r="Z15" s="18">
        <v>0.34</v>
      </c>
      <c r="AA15" s="18">
        <v>0.34</v>
      </c>
      <c r="AB15" s="17">
        <v>0.35</v>
      </c>
      <c r="AC15" s="18">
        <v>0.35</v>
      </c>
      <c r="AD15" s="18">
        <v>0.35</v>
      </c>
      <c r="AE15" s="18">
        <v>0.35</v>
      </c>
      <c r="AF15" s="17">
        <v>0.35</v>
      </c>
      <c r="AG15" s="18">
        <v>0.35</v>
      </c>
      <c r="AH15" s="18">
        <v>0.35</v>
      </c>
      <c r="AI15" s="18">
        <v>0.35</v>
      </c>
      <c r="AJ15" s="17">
        <v>0.34</v>
      </c>
      <c r="AK15" s="18">
        <v>0.34</v>
      </c>
      <c r="AL15" s="18">
        <v>0.34</v>
      </c>
      <c r="AM15" s="18">
        <v>0.34</v>
      </c>
      <c r="AN15" s="17">
        <v>0.34</v>
      </c>
      <c r="AO15" s="18">
        <v>0.34</v>
      </c>
      <c r="AP15" s="18">
        <v>0.34</v>
      </c>
      <c r="AQ15" s="18">
        <v>0.34</v>
      </c>
      <c r="AR15" s="17">
        <v>0.34</v>
      </c>
      <c r="AS15" s="18">
        <v>0.34</v>
      </c>
      <c r="AT15" s="18">
        <v>0.34</v>
      </c>
      <c r="AU15" s="18">
        <v>0.34</v>
      </c>
      <c r="AV15" s="17">
        <v>0.35</v>
      </c>
      <c r="AW15" s="18">
        <v>0.35</v>
      </c>
      <c r="AX15" s="18">
        <v>0.35</v>
      </c>
      <c r="AY15" s="18">
        <v>0.35</v>
      </c>
      <c r="AZ15" s="17">
        <v>0.34</v>
      </c>
      <c r="BA15" s="18">
        <v>0.34</v>
      </c>
      <c r="BB15" s="18">
        <v>0.34</v>
      </c>
      <c r="BC15" s="18">
        <v>0.34</v>
      </c>
      <c r="BD15" s="17">
        <v>0.34</v>
      </c>
      <c r="BE15" s="18">
        <v>0.34</v>
      </c>
      <c r="BF15" s="18">
        <v>0.34</v>
      </c>
      <c r="BG15" s="18">
        <v>0.34</v>
      </c>
      <c r="BH15" s="17">
        <v>0.34</v>
      </c>
      <c r="BI15" s="18">
        <v>0.34</v>
      </c>
      <c r="BJ15" s="18">
        <v>0.34</v>
      </c>
      <c r="BK15" s="18">
        <v>0.34</v>
      </c>
      <c r="BL15" s="17">
        <v>0.32</v>
      </c>
      <c r="BM15" s="18">
        <v>0.32</v>
      </c>
      <c r="BN15" s="18">
        <v>0.32</v>
      </c>
      <c r="BO15" s="18">
        <v>0.32</v>
      </c>
      <c r="BP15" s="17">
        <v>0.32</v>
      </c>
      <c r="BQ15" s="18">
        <v>0.32</v>
      </c>
      <c r="BR15" s="18">
        <v>0.32</v>
      </c>
      <c r="BS15" s="18">
        <v>0.32</v>
      </c>
      <c r="BT15" s="17">
        <v>0</v>
      </c>
      <c r="BU15" s="18">
        <v>0</v>
      </c>
      <c r="BV15" s="18">
        <v>0</v>
      </c>
      <c r="BW15" s="18">
        <v>0</v>
      </c>
      <c r="BX15" s="17">
        <v>0.21</v>
      </c>
      <c r="BY15" s="18">
        <v>0.21</v>
      </c>
      <c r="BZ15" s="18">
        <v>0.21</v>
      </c>
      <c r="CA15" s="18">
        <v>0.21</v>
      </c>
      <c r="CB15" s="17">
        <v>1</v>
      </c>
      <c r="CC15" s="17">
        <v>1</v>
      </c>
      <c r="CD15" s="17">
        <v>1</v>
      </c>
      <c r="CE15" s="17">
        <v>1</v>
      </c>
      <c r="CF15" s="17">
        <v>1</v>
      </c>
      <c r="CG15" s="17">
        <v>1</v>
      </c>
      <c r="CH15" s="17">
        <v>1</v>
      </c>
      <c r="CI15" s="17">
        <v>1</v>
      </c>
      <c r="CJ15" s="17">
        <v>1</v>
      </c>
      <c r="CK15" s="17">
        <v>1</v>
      </c>
      <c r="CL15" s="17">
        <v>1</v>
      </c>
      <c r="CM15" s="17">
        <v>1</v>
      </c>
      <c r="CN15" s="17">
        <v>1</v>
      </c>
      <c r="CO15" s="17">
        <v>1</v>
      </c>
      <c r="CP15" s="17">
        <v>1</v>
      </c>
      <c r="CQ15" s="17">
        <v>1</v>
      </c>
      <c r="CR15" s="18">
        <v>1</v>
      </c>
      <c r="CS15" s="18">
        <v>1</v>
      </c>
      <c r="CT15" s="18">
        <v>1</v>
      </c>
      <c r="CU15" s="17">
        <v>1</v>
      </c>
      <c r="CV15" s="18">
        <v>1</v>
      </c>
      <c r="CW15" s="18">
        <v>1</v>
      </c>
      <c r="CX15" s="18">
        <v>1</v>
      </c>
      <c r="CY15" s="17">
        <v>1</v>
      </c>
      <c r="CZ15" s="18">
        <v>1</v>
      </c>
      <c r="DA15" s="18">
        <v>1</v>
      </c>
      <c r="DB15" s="18">
        <v>1</v>
      </c>
      <c r="DC15" s="17">
        <v>0.28000000000000003</v>
      </c>
      <c r="DD15" s="17">
        <v>0.28000000000000003</v>
      </c>
      <c r="DE15" s="17">
        <v>0.28000000000000003</v>
      </c>
      <c r="DF15" s="17">
        <v>0.28000000000000003</v>
      </c>
      <c r="DG15" s="17">
        <v>0.24</v>
      </c>
      <c r="DH15" s="17">
        <v>0.24</v>
      </c>
      <c r="DI15" s="17">
        <v>0.24</v>
      </c>
      <c r="DJ15" s="17">
        <v>0.24</v>
      </c>
      <c r="DK15" s="17">
        <v>0</v>
      </c>
      <c r="DL15" s="18">
        <v>0</v>
      </c>
      <c r="DM15" s="18">
        <v>0</v>
      </c>
      <c r="DN15" s="18">
        <v>0</v>
      </c>
      <c r="DO15" s="17">
        <v>0</v>
      </c>
      <c r="DP15" s="18">
        <v>0</v>
      </c>
      <c r="DQ15" s="18">
        <v>0</v>
      </c>
      <c r="DR15" s="18">
        <v>0</v>
      </c>
      <c r="DS15" s="17">
        <v>0.19</v>
      </c>
      <c r="DT15" s="18">
        <v>0.19</v>
      </c>
      <c r="DU15" s="18">
        <v>0.19</v>
      </c>
      <c r="DV15" s="18">
        <v>0.19</v>
      </c>
      <c r="DW15" s="17">
        <v>0.22</v>
      </c>
      <c r="DX15" s="18">
        <v>0.22</v>
      </c>
      <c r="DY15" s="18">
        <v>0.22</v>
      </c>
      <c r="DZ15" s="18">
        <v>0.22</v>
      </c>
      <c r="EA15" s="17">
        <v>0</v>
      </c>
      <c r="EB15" s="18">
        <v>0</v>
      </c>
      <c r="EC15" s="18">
        <v>0</v>
      </c>
      <c r="ED15" s="18">
        <v>0</v>
      </c>
      <c r="EE15" s="17">
        <v>1</v>
      </c>
      <c r="EF15" s="18">
        <v>1</v>
      </c>
      <c r="EG15" s="18">
        <v>1</v>
      </c>
      <c r="EH15" s="18">
        <v>1</v>
      </c>
      <c r="EI15" s="17">
        <v>1</v>
      </c>
      <c r="EJ15" s="18">
        <v>1</v>
      </c>
      <c r="EK15" s="18">
        <v>1</v>
      </c>
      <c r="EL15" s="18">
        <v>1</v>
      </c>
      <c r="EM15" s="17">
        <v>0</v>
      </c>
      <c r="EN15" s="18">
        <v>0</v>
      </c>
      <c r="EO15" s="18">
        <v>0</v>
      </c>
      <c r="EP15" s="18">
        <v>0</v>
      </c>
      <c r="EQ15" s="17">
        <v>1</v>
      </c>
      <c r="ER15" s="18">
        <v>1</v>
      </c>
      <c r="ES15" s="18">
        <v>1</v>
      </c>
      <c r="ET15" s="18">
        <v>1</v>
      </c>
      <c r="EU15" s="17">
        <v>1</v>
      </c>
      <c r="EV15" s="18">
        <v>1</v>
      </c>
      <c r="EW15" s="18">
        <v>1</v>
      </c>
      <c r="EX15" s="18">
        <v>1</v>
      </c>
      <c r="EY15" s="17">
        <v>1</v>
      </c>
      <c r="EZ15" s="18">
        <v>1</v>
      </c>
      <c r="FA15" s="18">
        <v>1</v>
      </c>
      <c r="FB15" s="18">
        <v>1</v>
      </c>
      <c r="FC15" s="17">
        <v>0.48</v>
      </c>
      <c r="FD15" s="18">
        <v>0.48</v>
      </c>
      <c r="FE15" s="18">
        <v>0.48</v>
      </c>
      <c r="FF15" s="18">
        <v>0.48</v>
      </c>
      <c r="FG15" s="18">
        <v>0.53</v>
      </c>
      <c r="FH15" s="18">
        <v>0.53</v>
      </c>
      <c r="FI15" s="18">
        <v>0.53</v>
      </c>
      <c r="FJ15" s="18">
        <v>0.53</v>
      </c>
      <c r="FK15" s="56">
        <v>1</v>
      </c>
      <c r="FL15" s="18">
        <v>0.37</v>
      </c>
      <c r="FM15" s="45">
        <v>1</v>
      </c>
      <c r="FN15" s="61">
        <v>0.58299999999999996</v>
      </c>
      <c r="FO15" s="45">
        <v>0.37</v>
      </c>
    </row>
    <row r="16" spans="1:171">
      <c r="A16" s="10" t="s">
        <v>52</v>
      </c>
      <c r="B16" s="10"/>
      <c r="C16" s="10" t="s">
        <v>636</v>
      </c>
      <c r="D16" s="17"/>
      <c r="E16" s="18"/>
      <c r="F16" s="18"/>
      <c r="G16" s="19"/>
      <c r="H16" s="17"/>
      <c r="I16" s="18"/>
      <c r="J16" s="18"/>
      <c r="K16" s="18"/>
      <c r="L16" s="17"/>
      <c r="M16" s="18"/>
      <c r="N16" s="18"/>
      <c r="O16" s="18"/>
      <c r="P16" s="17"/>
      <c r="Q16" s="18"/>
      <c r="R16" s="18"/>
      <c r="S16" s="18"/>
      <c r="T16" s="17"/>
      <c r="U16" s="18"/>
      <c r="V16" s="18"/>
      <c r="W16" s="18"/>
      <c r="X16" s="17"/>
      <c r="Y16" s="18"/>
      <c r="Z16" s="18"/>
      <c r="AA16" s="18"/>
      <c r="AB16" s="17"/>
      <c r="AC16" s="18"/>
      <c r="AD16" s="18"/>
      <c r="AE16" s="18"/>
      <c r="AF16" s="17"/>
      <c r="AG16" s="18"/>
      <c r="AH16" s="18"/>
      <c r="AI16" s="18"/>
      <c r="AJ16" s="17"/>
      <c r="AK16" s="18"/>
      <c r="AL16" s="18"/>
      <c r="AM16" s="18"/>
      <c r="AN16" s="17"/>
      <c r="AO16" s="18"/>
      <c r="AP16" s="18"/>
      <c r="AQ16" s="18"/>
      <c r="AR16" s="17"/>
      <c r="AS16" s="18"/>
      <c r="AT16" s="18"/>
      <c r="AU16" s="18"/>
      <c r="AV16" s="17"/>
      <c r="AW16" s="18"/>
      <c r="AX16" s="18"/>
      <c r="AY16" s="18"/>
      <c r="AZ16" s="17"/>
      <c r="BA16" s="18"/>
      <c r="BB16" s="18"/>
      <c r="BC16" s="18"/>
      <c r="BD16" s="17"/>
      <c r="BE16" s="18"/>
      <c r="BF16" s="18"/>
      <c r="BG16" s="18"/>
      <c r="BH16" s="17"/>
      <c r="BI16" s="18"/>
      <c r="BJ16" s="18"/>
      <c r="BK16" s="18"/>
      <c r="BL16" s="17"/>
      <c r="BM16" s="18"/>
      <c r="BN16" s="18"/>
      <c r="BO16" s="18"/>
      <c r="BP16" s="17"/>
      <c r="BQ16" s="18"/>
      <c r="BR16" s="18"/>
      <c r="BS16" s="18"/>
      <c r="BT16" s="17"/>
      <c r="BU16" s="18"/>
      <c r="BV16" s="18"/>
      <c r="BW16" s="18"/>
      <c r="BX16" s="17"/>
      <c r="BY16" s="18"/>
      <c r="BZ16" s="18"/>
      <c r="CA16" s="18"/>
      <c r="CB16" s="17"/>
      <c r="CC16" s="18"/>
      <c r="CD16" s="18"/>
      <c r="CE16" s="18"/>
      <c r="CF16" s="17"/>
      <c r="CG16" s="18"/>
      <c r="CH16" s="18"/>
      <c r="CI16" s="18"/>
      <c r="CJ16" s="17">
        <v>-0.01</v>
      </c>
      <c r="CK16" s="17">
        <v>-0.01</v>
      </c>
      <c r="CL16" s="17">
        <v>-0.01</v>
      </c>
      <c r="CM16" s="17">
        <v>-0.01</v>
      </c>
      <c r="CN16" s="17">
        <v>-0.01</v>
      </c>
      <c r="CO16" s="17">
        <v>-0.01</v>
      </c>
      <c r="CP16" s="17">
        <v>-0.01</v>
      </c>
      <c r="CQ16" s="17">
        <v>-0.01</v>
      </c>
      <c r="CR16" s="17">
        <v>-0.01</v>
      </c>
      <c r="CS16" s="17">
        <v>-0.01</v>
      </c>
      <c r="CT16" s="17">
        <v>-0.01</v>
      </c>
      <c r="CU16" s="17">
        <v>-0.01</v>
      </c>
      <c r="CV16" s="17">
        <v>-0.01</v>
      </c>
      <c r="CW16" s="17">
        <v>-0.01</v>
      </c>
      <c r="CX16" s="17">
        <v>-0.01</v>
      </c>
      <c r="CY16" s="17">
        <v>-0.01</v>
      </c>
      <c r="CZ16" s="17">
        <v>-0.01</v>
      </c>
      <c r="DA16" s="17">
        <v>-0.01</v>
      </c>
      <c r="DB16" s="17">
        <v>-0.01</v>
      </c>
      <c r="DC16" s="17"/>
      <c r="DD16" s="18"/>
      <c r="DE16" s="18"/>
      <c r="DF16" s="18"/>
      <c r="DG16" s="17"/>
      <c r="DH16" s="18"/>
      <c r="DI16" s="18"/>
      <c r="DJ16" s="18"/>
      <c r="DK16" s="17"/>
      <c r="DL16" s="18"/>
      <c r="DM16" s="18"/>
      <c r="DN16" s="18"/>
      <c r="DO16" s="17"/>
      <c r="DP16" s="18"/>
      <c r="DQ16" s="18"/>
      <c r="DR16" s="18"/>
      <c r="DS16" s="17"/>
      <c r="DT16" s="18"/>
      <c r="DU16" s="18"/>
      <c r="DV16" s="18"/>
      <c r="DW16" s="17"/>
      <c r="DX16" s="18"/>
      <c r="DY16" s="18"/>
      <c r="DZ16" s="18"/>
      <c r="EA16" s="17"/>
      <c r="EB16" s="18"/>
      <c r="EC16" s="18"/>
      <c r="ED16" s="18"/>
      <c r="EE16" s="17"/>
      <c r="EF16" s="18"/>
      <c r="EG16" s="18"/>
      <c r="EH16" s="18"/>
      <c r="EI16" s="17"/>
      <c r="EJ16" s="18"/>
      <c r="EK16" s="18"/>
      <c r="EL16" s="18"/>
      <c r="EM16" s="17"/>
      <c r="EN16" s="18"/>
      <c r="EO16" s="18"/>
      <c r="EP16" s="18"/>
      <c r="EQ16" s="17"/>
      <c r="ER16" s="18"/>
      <c r="ES16" s="18"/>
      <c r="ET16" s="18"/>
      <c r="EU16" s="17"/>
      <c r="EV16" s="18"/>
      <c r="EW16" s="18"/>
      <c r="EX16" s="18"/>
      <c r="EY16" s="17"/>
      <c r="EZ16" s="18"/>
      <c r="FA16" s="18"/>
      <c r="FB16" s="18"/>
      <c r="FC16" s="17"/>
      <c r="FD16" s="18"/>
      <c r="FE16" s="18"/>
      <c r="FF16" s="18"/>
      <c r="FG16" s="18"/>
      <c r="FH16" s="18"/>
      <c r="FI16" s="18"/>
      <c r="FJ16" s="18"/>
      <c r="FK16" s="6"/>
    </row>
    <row r="17" spans="1:171">
      <c r="A17" s="10" t="s">
        <v>58</v>
      </c>
      <c r="B17" s="10"/>
      <c r="C17" s="10" t="s">
        <v>119</v>
      </c>
      <c r="D17" s="17"/>
      <c r="E17" s="18"/>
      <c r="F17" s="18"/>
      <c r="G17" s="19"/>
      <c r="H17" s="17">
        <v>0.25</v>
      </c>
      <c r="I17" s="18">
        <v>0.25</v>
      </c>
      <c r="J17" s="18">
        <v>0.25</v>
      </c>
      <c r="K17" s="18">
        <v>0.25</v>
      </c>
      <c r="L17" s="17"/>
      <c r="M17" s="18"/>
      <c r="N17" s="18"/>
      <c r="O17" s="18"/>
      <c r="P17" s="17"/>
      <c r="Q17" s="18"/>
      <c r="R17" s="18"/>
      <c r="S17" s="18"/>
      <c r="T17" s="17"/>
      <c r="U17" s="18"/>
      <c r="V17" s="18"/>
      <c r="W17" s="18"/>
      <c r="X17" s="17"/>
      <c r="Y17" s="18"/>
      <c r="Z17" s="18"/>
      <c r="AA17" s="18"/>
      <c r="AB17" s="17"/>
      <c r="AC17" s="18"/>
      <c r="AD17" s="18"/>
      <c r="AE17" s="18"/>
      <c r="AF17" s="17"/>
      <c r="AG17" s="18"/>
      <c r="AH17" s="18"/>
      <c r="AI17" s="18"/>
      <c r="AJ17" s="17"/>
      <c r="AK17" s="18"/>
      <c r="AL17" s="18"/>
      <c r="AM17" s="18"/>
      <c r="AN17" s="17"/>
      <c r="AO17" s="18"/>
      <c r="AP17" s="18"/>
      <c r="AQ17" s="18"/>
      <c r="AR17" s="17"/>
      <c r="AS17" s="18"/>
      <c r="AT17" s="18"/>
      <c r="AU17" s="18"/>
      <c r="AV17" s="17"/>
      <c r="AW17" s="18"/>
      <c r="AX17" s="18"/>
      <c r="AY17" s="18"/>
      <c r="AZ17" s="17"/>
      <c r="BA17" s="18"/>
      <c r="BB17" s="18"/>
      <c r="BC17" s="18"/>
      <c r="BD17" s="17"/>
      <c r="BE17" s="18"/>
      <c r="BF17" s="18"/>
      <c r="BG17" s="18"/>
      <c r="BH17" s="17"/>
      <c r="BI17" s="18"/>
      <c r="BJ17" s="18"/>
      <c r="BK17" s="18"/>
      <c r="BL17" s="17"/>
      <c r="BM17" s="18"/>
      <c r="BN17" s="18"/>
      <c r="BO17" s="18"/>
      <c r="BP17" s="17"/>
      <c r="BQ17" s="18"/>
      <c r="BR17" s="18"/>
      <c r="BS17" s="18"/>
      <c r="BT17" s="17"/>
      <c r="BU17" s="18"/>
      <c r="BV17" s="18"/>
      <c r="BW17" s="18"/>
      <c r="BX17" s="17"/>
      <c r="BY17" s="18"/>
      <c r="BZ17" s="18"/>
      <c r="CA17" s="18"/>
      <c r="CB17" s="17"/>
      <c r="CC17" s="18"/>
      <c r="CD17" s="18"/>
      <c r="CE17" s="18"/>
      <c r="CF17" s="17"/>
      <c r="CG17" s="18"/>
      <c r="CH17" s="18"/>
      <c r="CI17" s="18"/>
      <c r="CJ17" s="17"/>
      <c r="CK17" s="18"/>
      <c r="CL17" s="18"/>
      <c r="CM17" s="18"/>
      <c r="CN17" s="17"/>
      <c r="CO17" s="17"/>
      <c r="CP17" s="17"/>
      <c r="CQ17" s="17"/>
      <c r="CR17" s="18"/>
      <c r="CS17" s="18"/>
      <c r="CT17" s="18"/>
      <c r="CU17" s="17"/>
      <c r="CV17" s="18"/>
      <c r="CW17" s="18"/>
      <c r="CX17" s="18"/>
      <c r="CY17" s="17"/>
      <c r="CZ17" s="18"/>
      <c r="DA17" s="18"/>
      <c r="DB17" s="18"/>
      <c r="DC17" s="17"/>
      <c r="DD17" s="18"/>
      <c r="DE17" s="18"/>
      <c r="DF17" s="18"/>
      <c r="DG17" s="17"/>
      <c r="DH17" s="18"/>
      <c r="DI17" s="18"/>
      <c r="DJ17" s="18"/>
      <c r="DK17" s="17"/>
      <c r="DL17" s="18"/>
      <c r="DM17" s="18"/>
      <c r="DN17" s="18"/>
      <c r="DO17" s="17"/>
      <c r="DP17" s="18"/>
      <c r="DQ17" s="18"/>
      <c r="DR17" s="18"/>
      <c r="DS17" s="17"/>
      <c r="DT17" s="18"/>
      <c r="DU17" s="18"/>
      <c r="DV17" s="18"/>
      <c r="DW17" s="17"/>
      <c r="DX17" s="18"/>
      <c r="DY17" s="18"/>
      <c r="DZ17" s="18"/>
      <c r="EA17" s="17"/>
      <c r="EB17" s="18"/>
      <c r="EC17" s="18"/>
      <c r="ED17" s="18"/>
      <c r="EE17" s="17"/>
      <c r="EF17" s="18"/>
      <c r="EG17" s="18"/>
      <c r="EH17" s="18"/>
      <c r="EI17" s="17"/>
      <c r="EJ17" s="18"/>
      <c r="EK17" s="18"/>
      <c r="EL17" s="18"/>
      <c r="EM17" s="17"/>
      <c r="EN17" s="18"/>
      <c r="EO17" s="18"/>
      <c r="EP17" s="18"/>
      <c r="EQ17" s="17"/>
      <c r="ER17" s="18"/>
      <c r="ES17" s="18"/>
      <c r="ET17" s="18"/>
      <c r="EU17" s="17"/>
      <c r="EV17" s="18"/>
      <c r="EW17" s="18"/>
      <c r="EX17" s="18"/>
      <c r="EY17" s="17"/>
      <c r="EZ17" s="18"/>
      <c r="FA17" s="18"/>
      <c r="FB17" s="18"/>
      <c r="FC17" s="17"/>
      <c r="FD17" s="18"/>
      <c r="FE17" s="18"/>
      <c r="FF17" s="18"/>
      <c r="FG17" s="17"/>
      <c r="FH17" s="18"/>
      <c r="FI17" s="18"/>
      <c r="FJ17" s="18"/>
      <c r="FK17" s="6"/>
    </row>
    <row r="18" spans="1:171">
      <c r="A18" s="10" t="s">
        <v>637</v>
      </c>
      <c r="B18" s="10"/>
      <c r="C18" s="10" t="s">
        <v>119</v>
      </c>
      <c r="D18" s="17">
        <v>0.95</v>
      </c>
      <c r="E18" s="17">
        <v>0.95</v>
      </c>
      <c r="F18" s="17">
        <v>0.95</v>
      </c>
      <c r="G18" s="17">
        <v>0.95</v>
      </c>
      <c r="H18" s="17">
        <v>0.95</v>
      </c>
      <c r="I18" s="17">
        <v>0.95</v>
      </c>
      <c r="J18" s="17">
        <v>0.95</v>
      </c>
      <c r="K18" s="17">
        <v>0.95</v>
      </c>
      <c r="L18" s="17">
        <v>0.95</v>
      </c>
      <c r="M18" s="17">
        <v>0.95</v>
      </c>
      <c r="N18" s="17">
        <v>0.95</v>
      </c>
      <c r="O18" s="17">
        <v>0.95</v>
      </c>
      <c r="P18" s="17">
        <v>0.95</v>
      </c>
      <c r="Q18" s="17">
        <v>0.95</v>
      </c>
      <c r="R18" s="17">
        <v>0.95</v>
      </c>
      <c r="S18" s="17">
        <v>0.95</v>
      </c>
      <c r="T18" s="17">
        <v>0.95</v>
      </c>
      <c r="U18" s="17">
        <v>0.95</v>
      </c>
      <c r="V18" s="17">
        <v>0.95</v>
      </c>
      <c r="W18" s="17">
        <v>0.95</v>
      </c>
      <c r="X18" s="17">
        <v>0.95</v>
      </c>
      <c r="Y18" s="17">
        <v>0.95</v>
      </c>
      <c r="Z18" s="17">
        <v>0.95</v>
      </c>
      <c r="AA18" s="17">
        <v>0.95</v>
      </c>
      <c r="AB18" s="17">
        <v>0.95</v>
      </c>
      <c r="AC18" s="17">
        <v>0.95</v>
      </c>
      <c r="AD18" s="17">
        <v>0.95</v>
      </c>
      <c r="AE18" s="17">
        <v>0.95</v>
      </c>
      <c r="AF18" s="17">
        <v>0.95</v>
      </c>
      <c r="AG18" s="17">
        <v>0.95</v>
      </c>
      <c r="AH18" s="17">
        <v>0.95</v>
      </c>
      <c r="AI18" s="17">
        <v>0.95</v>
      </c>
      <c r="AJ18" s="17">
        <v>0.95</v>
      </c>
      <c r="AK18" s="17">
        <v>0.95</v>
      </c>
      <c r="AL18" s="17">
        <v>0.95</v>
      </c>
      <c r="AM18" s="17">
        <v>0.95</v>
      </c>
      <c r="AN18" s="17">
        <v>0.95</v>
      </c>
      <c r="AO18" s="17">
        <v>0.95</v>
      </c>
      <c r="AP18" s="17">
        <v>0.95</v>
      </c>
      <c r="AQ18" s="17">
        <v>0.95</v>
      </c>
      <c r="AR18" s="17">
        <v>0.95</v>
      </c>
      <c r="AS18" s="17">
        <v>0.95</v>
      </c>
      <c r="AT18" s="17">
        <v>0.95</v>
      </c>
      <c r="AU18" s="17">
        <v>0.95</v>
      </c>
      <c r="AV18" s="17">
        <v>0.95</v>
      </c>
      <c r="AW18" s="17">
        <v>0.95</v>
      </c>
      <c r="AX18" s="17">
        <v>0.95</v>
      </c>
      <c r="AY18" s="17">
        <v>0.95</v>
      </c>
      <c r="AZ18" s="17">
        <v>0.95</v>
      </c>
      <c r="BA18" s="17">
        <v>0.95</v>
      </c>
      <c r="BB18" s="17">
        <v>0.95</v>
      </c>
      <c r="BC18" s="17">
        <v>0.95</v>
      </c>
      <c r="BD18" s="17">
        <v>0.95</v>
      </c>
      <c r="BE18" s="17">
        <v>0.95</v>
      </c>
      <c r="BF18" s="17">
        <v>0.95</v>
      </c>
      <c r="BG18" s="17">
        <v>0.95</v>
      </c>
      <c r="BH18" s="17">
        <v>0.95</v>
      </c>
      <c r="BI18" s="17">
        <v>0.95</v>
      </c>
      <c r="BJ18" s="17">
        <v>0.95</v>
      </c>
      <c r="BK18" s="17">
        <v>0.95</v>
      </c>
      <c r="BL18" s="17">
        <v>0.95</v>
      </c>
      <c r="BM18" s="17">
        <v>0.95</v>
      </c>
      <c r="BN18" s="17">
        <v>0.95</v>
      </c>
      <c r="BO18" s="17">
        <v>0.95</v>
      </c>
      <c r="BP18" s="17">
        <v>0.95</v>
      </c>
      <c r="BQ18" s="17">
        <v>0.95</v>
      </c>
      <c r="BR18" s="17">
        <v>0.95</v>
      </c>
      <c r="BS18" s="17">
        <v>0.95</v>
      </c>
      <c r="BT18" s="17">
        <v>0.95</v>
      </c>
      <c r="BU18" s="17">
        <v>0.95</v>
      </c>
      <c r="BV18" s="17">
        <v>0.95</v>
      </c>
      <c r="BW18" s="17">
        <v>0.95</v>
      </c>
      <c r="BX18" s="17">
        <v>0.95</v>
      </c>
      <c r="BY18" s="17">
        <v>0.95</v>
      </c>
      <c r="BZ18" s="17">
        <v>0.95</v>
      </c>
      <c r="CA18" s="17">
        <v>0.95</v>
      </c>
      <c r="CB18" s="17">
        <v>0.95</v>
      </c>
      <c r="CC18" s="17">
        <v>0.95</v>
      </c>
      <c r="CD18" s="17">
        <v>0.95</v>
      </c>
      <c r="CE18" s="17">
        <v>0.95</v>
      </c>
      <c r="CF18" s="17">
        <v>0.95</v>
      </c>
      <c r="CG18" s="17">
        <v>0.95</v>
      </c>
      <c r="CH18" s="17">
        <v>0.95</v>
      </c>
      <c r="CI18" s="17">
        <v>0.95</v>
      </c>
      <c r="CJ18" s="17">
        <v>0.95</v>
      </c>
      <c r="CK18" s="17">
        <v>0.95</v>
      </c>
      <c r="CL18" s="17">
        <v>0.95</v>
      </c>
      <c r="CM18" s="17">
        <v>0.95</v>
      </c>
      <c r="CN18" s="17">
        <v>0.95</v>
      </c>
      <c r="CO18" s="17">
        <v>0.95</v>
      </c>
      <c r="CP18" s="17">
        <v>0.95</v>
      </c>
      <c r="CQ18" s="17">
        <v>0.95</v>
      </c>
      <c r="CR18" s="17">
        <v>0.95</v>
      </c>
      <c r="CS18" s="17">
        <v>0.95</v>
      </c>
      <c r="CT18" s="17">
        <v>0.95</v>
      </c>
      <c r="CU18" s="17">
        <v>0.95</v>
      </c>
      <c r="CV18" s="17">
        <v>0.95</v>
      </c>
      <c r="CW18" s="17">
        <v>0.95</v>
      </c>
      <c r="CX18" s="17">
        <v>0.95</v>
      </c>
      <c r="CY18" s="17">
        <v>0.95</v>
      </c>
      <c r="CZ18" s="17">
        <v>0.95</v>
      </c>
      <c r="DA18" s="17">
        <v>0.95</v>
      </c>
      <c r="DB18" s="17">
        <v>0.95</v>
      </c>
      <c r="DC18" s="17">
        <v>0.95</v>
      </c>
      <c r="DD18" s="17">
        <v>0.95</v>
      </c>
      <c r="DE18" s="17">
        <v>0.95</v>
      </c>
      <c r="DF18" s="17">
        <v>0.95</v>
      </c>
      <c r="DG18" s="17">
        <v>0.95</v>
      </c>
      <c r="DH18" s="17">
        <v>0.95</v>
      </c>
      <c r="DI18" s="17">
        <v>0.95</v>
      </c>
      <c r="DJ18" s="17">
        <v>0.95</v>
      </c>
      <c r="DK18" s="17">
        <v>0.95</v>
      </c>
      <c r="DL18" s="17">
        <v>0.95</v>
      </c>
      <c r="DM18" s="17">
        <v>0.95</v>
      </c>
      <c r="DN18" s="17">
        <v>0.95</v>
      </c>
      <c r="DO18" s="17">
        <v>0.95</v>
      </c>
      <c r="DP18" s="17">
        <v>0.95</v>
      </c>
      <c r="DQ18" s="17">
        <v>0.95</v>
      </c>
      <c r="DR18" s="17">
        <v>0.95</v>
      </c>
      <c r="DS18" s="17">
        <v>0.95</v>
      </c>
      <c r="DT18" s="17">
        <v>0.95</v>
      </c>
      <c r="DU18" s="17">
        <v>0.95</v>
      </c>
      <c r="DV18" s="17">
        <v>0.95</v>
      </c>
      <c r="DW18" s="17">
        <v>0.95</v>
      </c>
      <c r="DX18" s="17">
        <v>0.95</v>
      </c>
      <c r="DY18" s="17">
        <v>0.95</v>
      </c>
      <c r="DZ18" s="17">
        <v>0.95</v>
      </c>
      <c r="EA18" s="17">
        <v>0.95</v>
      </c>
      <c r="EB18" s="17">
        <v>0.95</v>
      </c>
      <c r="EC18" s="17">
        <v>0.95</v>
      </c>
      <c r="ED18" s="17">
        <v>0.95</v>
      </c>
      <c r="EE18" s="17">
        <v>0.95</v>
      </c>
      <c r="EF18" s="17">
        <v>0.95</v>
      </c>
      <c r="EG18" s="17">
        <v>0.95</v>
      </c>
      <c r="EH18" s="17">
        <v>0.95</v>
      </c>
      <c r="EI18" s="17">
        <v>0.95</v>
      </c>
      <c r="EJ18" s="17">
        <v>0.95</v>
      </c>
      <c r="EK18" s="17">
        <v>0.95</v>
      </c>
      <c r="EL18" s="17">
        <v>0.95</v>
      </c>
      <c r="EM18" s="17">
        <v>0.95</v>
      </c>
      <c r="EN18" s="17">
        <v>0.95</v>
      </c>
      <c r="EO18" s="17">
        <v>0.95</v>
      </c>
      <c r="EP18" s="17">
        <v>0.95</v>
      </c>
      <c r="EQ18" s="17">
        <v>0.95</v>
      </c>
      <c r="ER18" s="17">
        <v>0.95</v>
      </c>
      <c r="ES18" s="17">
        <v>0.95</v>
      </c>
      <c r="ET18" s="17">
        <v>0.95</v>
      </c>
      <c r="EU18" s="17">
        <v>0.95</v>
      </c>
      <c r="EV18" s="17">
        <v>0.95</v>
      </c>
      <c r="EW18" s="17">
        <v>0.95</v>
      </c>
      <c r="EX18" s="17">
        <v>0.95</v>
      </c>
      <c r="EY18" s="17">
        <v>0.95</v>
      </c>
      <c r="EZ18" s="17">
        <v>0.95</v>
      </c>
      <c r="FA18" s="17">
        <v>0.95</v>
      </c>
      <c r="FB18" s="17">
        <v>0.95</v>
      </c>
      <c r="FC18" s="17">
        <v>0.95</v>
      </c>
      <c r="FD18" s="17">
        <v>0.95</v>
      </c>
      <c r="FE18" s="17">
        <v>0.95</v>
      </c>
      <c r="FF18" s="17">
        <v>0.95</v>
      </c>
      <c r="FG18" s="17">
        <v>0.95</v>
      </c>
      <c r="FH18" s="17">
        <v>0.95</v>
      </c>
      <c r="FI18" s="17">
        <v>0.95</v>
      </c>
      <c r="FJ18" s="17">
        <v>0.95</v>
      </c>
      <c r="FK18" s="6"/>
    </row>
    <row r="19" spans="1:171">
      <c r="A19" s="6" t="s">
        <v>638</v>
      </c>
      <c r="B19" s="6"/>
      <c r="C19" s="6" t="s">
        <v>639</v>
      </c>
      <c r="D19" s="20">
        <v>25</v>
      </c>
      <c r="E19" s="21">
        <v>25</v>
      </c>
      <c r="F19" s="21">
        <v>25</v>
      </c>
      <c r="G19" s="22">
        <v>25</v>
      </c>
      <c r="H19" s="20">
        <v>25</v>
      </c>
      <c r="I19" s="21">
        <v>25</v>
      </c>
      <c r="J19" s="21">
        <v>25</v>
      </c>
      <c r="K19" s="21">
        <v>25</v>
      </c>
      <c r="L19" s="20">
        <v>25</v>
      </c>
      <c r="M19" s="21">
        <v>25</v>
      </c>
      <c r="N19" s="21">
        <v>25</v>
      </c>
      <c r="O19" s="21">
        <v>25</v>
      </c>
      <c r="P19" s="20">
        <v>25</v>
      </c>
      <c r="Q19" s="21">
        <v>25</v>
      </c>
      <c r="R19" s="21">
        <v>25</v>
      </c>
      <c r="S19" s="21">
        <v>25</v>
      </c>
      <c r="T19" s="20">
        <v>25</v>
      </c>
      <c r="U19" s="21">
        <v>25</v>
      </c>
      <c r="V19" s="21">
        <v>25</v>
      </c>
      <c r="W19" s="21">
        <v>25</v>
      </c>
      <c r="X19" s="20">
        <v>25</v>
      </c>
      <c r="Y19" s="21">
        <v>25</v>
      </c>
      <c r="Z19" s="21">
        <v>25</v>
      </c>
      <c r="AA19" s="21">
        <v>25</v>
      </c>
      <c r="AB19" s="20">
        <v>25</v>
      </c>
      <c r="AC19" s="21">
        <v>25</v>
      </c>
      <c r="AD19" s="21">
        <v>25</v>
      </c>
      <c r="AE19" s="21">
        <v>25</v>
      </c>
      <c r="AF19" s="20">
        <v>25</v>
      </c>
      <c r="AG19" s="21">
        <v>25</v>
      </c>
      <c r="AH19" s="21">
        <v>25</v>
      </c>
      <c r="AI19" s="21">
        <v>25</v>
      </c>
      <c r="AJ19" s="20">
        <v>25</v>
      </c>
      <c r="AK19" s="21">
        <v>25</v>
      </c>
      <c r="AL19" s="21">
        <v>25</v>
      </c>
      <c r="AM19" s="21">
        <v>25</v>
      </c>
      <c r="AN19" s="20">
        <v>25</v>
      </c>
      <c r="AO19" s="21">
        <v>25</v>
      </c>
      <c r="AP19" s="21">
        <v>25</v>
      </c>
      <c r="AQ19" s="21">
        <v>25</v>
      </c>
      <c r="AR19" s="20">
        <v>25</v>
      </c>
      <c r="AS19" s="21">
        <v>25</v>
      </c>
      <c r="AT19" s="21">
        <v>25</v>
      </c>
      <c r="AU19" s="21">
        <v>25</v>
      </c>
      <c r="AV19" s="20">
        <v>25</v>
      </c>
      <c r="AW19" s="21">
        <v>25</v>
      </c>
      <c r="AX19" s="21">
        <v>25</v>
      </c>
      <c r="AY19" s="21">
        <v>25</v>
      </c>
      <c r="AZ19" s="20">
        <v>15</v>
      </c>
      <c r="BA19" s="21">
        <v>15</v>
      </c>
      <c r="BB19" s="21">
        <v>15</v>
      </c>
      <c r="BC19" s="21">
        <v>15</v>
      </c>
      <c r="BD19" s="20">
        <v>15</v>
      </c>
      <c r="BE19" s="21">
        <v>15</v>
      </c>
      <c r="BF19" s="21">
        <v>15</v>
      </c>
      <c r="BG19" s="21">
        <v>15</v>
      </c>
      <c r="BH19" s="20">
        <v>15</v>
      </c>
      <c r="BI19" s="21">
        <v>15</v>
      </c>
      <c r="BJ19" s="21">
        <v>15</v>
      </c>
      <c r="BK19" s="21">
        <v>15</v>
      </c>
      <c r="BL19" s="20">
        <v>15</v>
      </c>
      <c r="BM19" s="21">
        <v>15</v>
      </c>
      <c r="BN19" s="21">
        <v>15</v>
      </c>
      <c r="BO19" s="21">
        <v>15</v>
      </c>
      <c r="BP19" s="20">
        <v>15</v>
      </c>
      <c r="BQ19" s="21">
        <v>15</v>
      </c>
      <c r="BR19" s="21">
        <v>15</v>
      </c>
      <c r="BS19" s="21">
        <v>15</v>
      </c>
      <c r="BT19" s="20">
        <v>25</v>
      </c>
      <c r="BU19" s="21">
        <v>25</v>
      </c>
      <c r="BV19" s="21">
        <v>25</v>
      </c>
      <c r="BW19" s="21">
        <v>25</v>
      </c>
      <c r="BX19" s="20">
        <v>24</v>
      </c>
      <c r="BY19" s="21">
        <v>24</v>
      </c>
      <c r="BZ19" s="21">
        <v>24</v>
      </c>
      <c r="CA19" s="21">
        <v>24</v>
      </c>
      <c r="CB19" s="20">
        <v>25</v>
      </c>
      <c r="CC19" s="21">
        <v>25</v>
      </c>
      <c r="CD19" s="21">
        <v>25</v>
      </c>
      <c r="CE19" s="21">
        <v>25</v>
      </c>
      <c r="CF19" s="20">
        <v>30</v>
      </c>
      <c r="CG19" s="21">
        <v>30</v>
      </c>
      <c r="CH19" s="21">
        <v>30</v>
      </c>
      <c r="CI19" s="21">
        <v>30</v>
      </c>
      <c r="CJ19" s="20">
        <v>35</v>
      </c>
      <c r="CK19" s="21">
        <v>35</v>
      </c>
      <c r="CL19" s="21">
        <v>35</v>
      </c>
      <c r="CM19" s="21">
        <v>35</v>
      </c>
      <c r="CN19" s="20">
        <v>35</v>
      </c>
      <c r="CO19" s="20">
        <v>35</v>
      </c>
      <c r="CP19" s="20">
        <v>35</v>
      </c>
      <c r="CQ19" s="20">
        <v>30</v>
      </c>
      <c r="CR19" s="21">
        <v>30</v>
      </c>
      <c r="CS19" s="21">
        <v>30</v>
      </c>
      <c r="CT19" s="21">
        <v>30</v>
      </c>
      <c r="CU19" s="20">
        <v>30</v>
      </c>
      <c r="CV19" s="21">
        <v>30</v>
      </c>
      <c r="CW19" s="21">
        <v>30</v>
      </c>
      <c r="CX19" s="21">
        <v>30</v>
      </c>
      <c r="CY19" s="20">
        <v>30</v>
      </c>
      <c r="CZ19" s="21">
        <v>30</v>
      </c>
      <c r="DA19" s="21">
        <v>30</v>
      </c>
      <c r="DB19" s="21">
        <v>30</v>
      </c>
      <c r="DC19" s="20">
        <v>35</v>
      </c>
      <c r="DD19" s="21">
        <v>35</v>
      </c>
      <c r="DE19" s="21">
        <v>35</v>
      </c>
      <c r="DF19" s="21">
        <v>35</v>
      </c>
      <c r="DG19" s="20">
        <v>27</v>
      </c>
      <c r="DH19" s="21">
        <v>27</v>
      </c>
      <c r="DI19" s="21">
        <v>27</v>
      </c>
      <c r="DJ19" s="21">
        <v>27</v>
      </c>
      <c r="DK19" s="20">
        <v>20</v>
      </c>
      <c r="DL19" s="21">
        <v>20</v>
      </c>
      <c r="DM19" s="21">
        <v>20</v>
      </c>
      <c r="DN19" s="21">
        <v>20</v>
      </c>
      <c r="DO19" s="20">
        <v>20</v>
      </c>
      <c r="DP19" s="21">
        <v>20</v>
      </c>
      <c r="DQ19" s="21">
        <v>20</v>
      </c>
      <c r="DR19" s="21">
        <v>20</v>
      </c>
      <c r="DS19" s="20">
        <v>25</v>
      </c>
      <c r="DT19" s="21">
        <v>25</v>
      </c>
      <c r="DU19" s="21">
        <v>25</v>
      </c>
      <c r="DV19" s="21">
        <v>25</v>
      </c>
      <c r="DW19" s="20">
        <v>27</v>
      </c>
      <c r="DX19" s="21">
        <v>27</v>
      </c>
      <c r="DY19" s="21">
        <v>27</v>
      </c>
      <c r="DZ19" s="21">
        <v>27</v>
      </c>
      <c r="EA19" s="20">
        <v>25</v>
      </c>
      <c r="EB19" s="21">
        <v>25</v>
      </c>
      <c r="EC19" s="21">
        <v>25</v>
      </c>
      <c r="ED19" s="21">
        <v>25</v>
      </c>
      <c r="EE19" s="20">
        <v>28</v>
      </c>
      <c r="EF19" s="21">
        <v>28</v>
      </c>
      <c r="EG19" s="21">
        <v>28</v>
      </c>
      <c r="EH19" s="21">
        <v>28</v>
      </c>
      <c r="EI19" s="20">
        <v>20</v>
      </c>
      <c r="EJ19" s="21">
        <v>20</v>
      </c>
      <c r="EK19" s="21">
        <v>20</v>
      </c>
      <c r="EL19" s="21">
        <v>20</v>
      </c>
      <c r="EM19" s="20">
        <v>25</v>
      </c>
      <c r="EN19" s="21">
        <v>25</v>
      </c>
      <c r="EO19" s="21">
        <v>25</v>
      </c>
      <c r="EP19" s="21">
        <v>25</v>
      </c>
      <c r="EQ19" s="20">
        <v>41</v>
      </c>
      <c r="ER19" s="21">
        <v>41</v>
      </c>
      <c r="ES19" s="21">
        <v>41</v>
      </c>
      <c r="ET19" s="21">
        <v>41</v>
      </c>
      <c r="EU19" s="20">
        <v>41</v>
      </c>
      <c r="EV19" s="21">
        <v>41</v>
      </c>
      <c r="EW19" s="21">
        <v>41</v>
      </c>
      <c r="EX19" s="21">
        <v>41</v>
      </c>
      <c r="EY19" s="20">
        <v>20</v>
      </c>
      <c r="EZ19" s="21">
        <v>20</v>
      </c>
      <c r="FA19" s="21">
        <v>20</v>
      </c>
      <c r="FB19" s="21">
        <v>20</v>
      </c>
      <c r="FC19" s="20">
        <v>25</v>
      </c>
      <c r="FD19" s="21">
        <v>25</v>
      </c>
      <c r="FE19" s="21">
        <v>25</v>
      </c>
      <c r="FF19" s="21"/>
      <c r="FG19" s="20"/>
      <c r="FH19" s="21"/>
      <c r="FI19" s="21"/>
      <c r="FJ19" s="21">
        <v>25</v>
      </c>
      <c r="FK19" s="6">
        <v>60</v>
      </c>
      <c r="FL19">
        <v>40</v>
      </c>
      <c r="FM19" s="21">
        <v>25</v>
      </c>
      <c r="FN19" s="21">
        <v>25</v>
      </c>
      <c r="FO19" s="21">
        <v>60</v>
      </c>
    </row>
    <row r="20" spans="1:171">
      <c r="A20" s="48" t="s">
        <v>640</v>
      </c>
      <c r="B20" s="6"/>
      <c r="C20" s="6" t="s">
        <v>641</v>
      </c>
      <c r="D20" s="20"/>
      <c r="E20" s="21"/>
      <c r="F20" s="21"/>
      <c r="G20" s="22"/>
      <c r="H20" s="20"/>
      <c r="I20" s="21"/>
      <c r="J20" s="21"/>
      <c r="K20" s="21"/>
      <c r="L20" s="20"/>
      <c r="M20" s="21"/>
      <c r="N20" s="21"/>
      <c r="O20" s="21"/>
      <c r="P20" s="20"/>
      <c r="Q20" s="21"/>
      <c r="R20" s="21"/>
      <c r="S20" s="21"/>
      <c r="T20" s="20"/>
      <c r="U20" s="21"/>
      <c r="V20" s="21"/>
      <c r="W20" s="21"/>
      <c r="X20" s="20"/>
      <c r="Y20" s="21"/>
      <c r="Z20" s="21"/>
      <c r="AA20" s="21"/>
      <c r="AB20" s="20"/>
      <c r="AC20" s="21"/>
      <c r="AD20" s="21"/>
      <c r="AE20" s="21"/>
      <c r="AF20" s="20"/>
      <c r="AG20" s="21"/>
      <c r="AH20" s="21"/>
      <c r="AI20" s="21"/>
      <c r="AJ20" s="20"/>
      <c r="AK20" s="21"/>
      <c r="AL20" s="21"/>
      <c r="AM20" s="21"/>
      <c r="AN20" s="20"/>
      <c r="AO20" s="21"/>
      <c r="AP20" s="21"/>
      <c r="AQ20" s="21"/>
      <c r="AR20" s="20"/>
      <c r="AS20" s="21"/>
      <c r="AT20" s="21"/>
      <c r="AU20" s="21"/>
      <c r="AV20" s="20"/>
      <c r="AW20" s="21"/>
      <c r="AX20" s="21"/>
      <c r="AY20" s="21"/>
      <c r="AZ20" s="20"/>
      <c r="BA20" s="21"/>
      <c r="BB20" s="21"/>
      <c r="BC20" s="21"/>
      <c r="BD20" s="20"/>
      <c r="BE20" s="21"/>
      <c r="BF20" s="21"/>
      <c r="BG20" s="21"/>
      <c r="BH20" s="20"/>
      <c r="BI20" s="21"/>
      <c r="BJ20" s="21"/>
      <c r="BK20" s="21"/>
      <c r="BL20" s="20"/>
      <c r="BM20" s="21"/>
      <c r="BN20" s="21"/>
      <c r="BO20" s="21"/>
      <c r="BP20" s="20"/>
      <c r="BQ20" s="21"/>
      <c r="BR20" s="21"/>
      <c r="BS20" s="21"/>
      <c r="BT20" s="20"/>
      <c r="BU20" s="21"/>
      <c r="BV20" s="21"/>
      <c r="BW20" s="21"/>
      <c r="BX20" s="20"/>
      <c r="BY20" s="21"/>
      <c r="BZ20" s="21"/>
      <c r="CA20" s="21"/>
      <c r="CB20" s="20"/>
      <c r="CC20" s="21"/>
      <c r="CD20" s="21"/>
      <c r="CE20" s="21"/>
      <c r="CF20" s="20"/>
      <c r="CG20" s="21"/>
      <c r="CH20" s="21"/>
      <c r="CI20" s="21"/>
      <c r="CJ20" s="20"/>
      <c r="CK20" s="21"/>
      <c r="CL20" s="21"/>
      <c r="CM20" s="21"/>
      <c r="CN20" s="20"/>
      <c r="CO20" s="20"/>
      <c r="CP20" s="20"/>
      <c r="CQ20" s="20"/>
      <c r="CR20" s="21"/>
      <c r="CS20" s="21"/>
      <c r="CT20" s="21"/>
      <c r="CU20" s="20"/>
      <c r="CV20" s="21"/>
      <c r="CW20" s="21"/>
      <c r="CX20" s="21"/>
      <c r="CY20" s="20"/>
      <c r="CZ20" s="21"/>
      <c r="DA20" s="21"/>
      <c r="DB20" s="21"/>
      <c r="DC20" s="20"/>
      <c r="DD20" s="21"/>
      <c r="DE20" s="21"/>
      <c r="DF20" s="21"/>
      <c r="DG20" s="20"/>
      <c r="DH20" s="21"/>
      <c r="DI20" s="21"/>
      <c r="DJ20" s="21"/>
      <c r="DK20" s="20"/>
      <c r="DL20" s="21"/>
      <c r="DM20" s="21"/>
      <c r="DN20" s="21"/>
      <c r="DO20" s="20"/>
      <c r="DP20" s="21"/>
      <c r="DQ20" s="21"/>
      <c r="DR20" s="21"/>
      <c r="DS20" s="20"/>
      <c r="DT20" s="21"/>
      <c r="DU20" s="21"/>
      <c r="DV20" s="21"/>
      <c r="DW20" s="20"/>
      <c r="DX20" s="21"/>
      <c r="DY20" s="21"/>
      <c r="DZ20" s="21"/>
      <c r="EA20" s="20"/>
      <c r="EB20" s="21"/>
      <c r="EC20" s="21"/>
      <c r="ED20" s="21"/>
      <c r="EE20" s="20"/>
      <c r="EF20" s="21"/>
      <c r="EG20" s="21"/>
      <c r="EH20" s="21"/>
      <c r="EI20" s="20"/>
      <c r="EJ20" s="21"/>
      <c r="EK20" s="21"/>
      <c r="EL20" s="21"/>
      <c r="EM20" s="20"/>
      <c r="EN20" s="21"/>
      <c r="EO20" s="21"/>
      <c r="EP20" s="21"/>
      <c r="EQ20" s="20"/>
      <c r="ER20" s="21"/>
      <c r="ES20" s="21"/>
      <c r="ET20" s="21"/>
      <c r="EU20" s="20"/>
      <c r="EV20" s="21"/>
      <c r="EW20" s="21"/>
      <c r="EX20" s="21"/>
      <c r="EY20" s="20"/>
      <c r="EZ20" s="21"/>
      <c r="FA20" s="21"/>
      <c r="FB20" s="21"/>
      <c r="FC20" s="20"/>
      <c r="FD20" s="21"/>
      <c r="FE20" s="21"/>
      <c r="FF20" s="21"/>
      <c r="FG20" s="20"/>
      <c r="FH20" s="21"/>
      <c r="FI20" s="21"/>
      <c r="FJ20" s="21"/>
      <c r="FK20" s="6"/>
    </row>
    <row r="21" spans="1:171">
      <c r="A21" s="10" t="s">
        <v>22</v>
      </c>
      <c r="B21" s="10" t="s">
        <v>642</v>
      </c>
      <c r="C21" s="30" t="s">
        <v>641</v>
      </c>
      <c r="D21" s="36">
        <v>12.783567999999999</v>
      </c>
      <c r="E21" s="36">
        <v>12.783567999999999</v>
      </c>
      <c r="F21" s="36">
        <v>12.783567999999999</v>
      </c>
      <c r="G21" s="36">
        <v>12.783567999999999</v>
      </c>
      <c r="H21" s="36">
        <v>51.134271999999996</v>
      </c>
      <c r="I21" s="36">
        <v>51.134271999999996</v>
      </c>
      <c r="J21" s="36">
        <v>51.134271999999996</v>
      </c>
      <c r="K21" s="36">
        <v>51.134271999999996</v>
      </c>
      <c r="L21" s="36">
        <v>25.567135999999998</v>
      </c>
      <c r="M21" s="36">
        <v>25.567135999999998</v>
      </c>
      <c r="N21" s="36">
        <v>25.567135999999998</v>
      </c>
      <c r="O21" s="36">
        <v>25.567135999999998</v>
      </c>
      <c r="P21" s="36">
        <v>38.350704</v>
      </c>
      <c r="Q21" s="36">
        <v>38.350704</v>
      </c>
      <c r="R21" s="36">
        <v>38.350704</v>
      </c>
      <c r="S21" s="36">
        <v>38.350704</v>
      </c>
      <c r="T21" s="36">
        <v>38.350704</v>
      </c>
      <c r="U21" s="36">
        <v>38.350704</v>
      </c>
      <c r="V21" s="36">
        <v>38.350704</v>
      </c>
      <c r="W21" s="36">
        <v>38.350704</v>
      </c>
      <c r="X21" s="36">
        <v>38.350704</v>
      </c>
      <c r="Y21" s="36">
        <v>38.350704</v>
      </c>
      <c r="Z21" s="36">
        <v>38.350704</v>
      </c>
      <c r="AA21" s="36">
        <v>38.350704</v>
      </c>
      <c r="AB21" s="36">
        <v>102.26854399999999</v>
      </c>
      <c r="AC21" s="36">
        <v>102.26854399999999</v>
      </c>
      <c r="AD21" s="36">
        <v>102.26854399999999</v>
      </c>
      <c r="AE21" s="36">
        <v>102.26854399999999</v>
      </c>
      <c r="AF21" s="36">
        <v>25.567135999999998</v>
      </c>
      <c r="AG21" s="36">
        <v>25.567135999999998</v>
      </c>
      <c r="AH21" s="36">
        <v>25.567135999999998</v>
      </c>
      <c r="AI21" s="36">
        <v>25.567135999999998</v>
      </c>
      <c r="AJ21" s="36">
        <v>38.350704</v>
      </c>
      <c r="AK21" s="36">
        <v>38.350704</v>
      </c>
      <c r="AL21" s="36">
        <v>38.350704</v>
      </c>
      <c r="AM21" s="36">
        <v>38.350704</v>
      </c>
      <c r="AN21" s="36">
        <v>38.350704</v>
      </c>
      <c r="AO21" s="36">
        <v>38.350704</v>
      </c>
      <c r="AP21" s="36">
        <v>38.350704</v>
      </c>
      <c r="AQ21" s="36">
        <v>38.350704</v>
      </c>
      <c r="AR21" s="36">
        <v>38.350704</v>
      </c>
      <c r="AS21" s="36">
        <v>38.350704</v>
      </c>
      <c r="AT21" s="36">
        <v>38.350704</v>
      </c>
      <c r="AU21" s="36">
        <v>38.350704</v>
      </c>
      <c r="AV21" s="36">
        <v>102.26854399999999</v>
      </c>
      <c r="AW21" s="36">
        <v>102.26854399999999</v>
      </c>
      <c r="AX21" s="36">
        <v>102.26854399999999</v>
      </c>
      <c r="AY21" s="36">
        <v>102.26854399999999</v>
      </c>
      <c r="AZ21" s="36">
        <v>12.783567999999999</v>
      </c>
      <c r="BA21" s="36">
        <v>12.783567999999999</v>
      </c>
      <c r="BB21" s="36">
        <v>12.783567999999999</v>
      </c>
      <c r="BC21" s="36">
        <v>12.783567999999999</v>
      </c>
      <c r="BD21" s="36">
        <v>12.783567999999999</v>
      </c>
      <c r="BE21" s="36">
        <v>12.783567999999999</v>
      </c>
      <c r="BF21" s="36">
        <v>12.783567999999999</v>
      </c>
      <c r="BG21" s="36">
        <v>12.783567999999999</v>
      </c>
      <c r="BH21" s="36">
        <v>12.783567999999999</v>
      </c>
      <c r="BI21" s="36">
        <v>12.783567999999999</v>
      </c>
      <c r="BJ21" s="36">
        <v>12.783567999999999</v>
      </c>
      <c r="BK21" s="36">
        <v>12.783567999999999</v>
      </c>
      <c r="BL21" s="36">
        <v>12.783567999999999</v>
      </c>
      <c r="BM21" s="36">
        <v>12.783567999999999</v>
      </c>
      <c r="BN21" s="36">
        <v>12.783567999999999</v>
      </c>
      <c r="BO21" s="36">
        <v>12.783567999999999</v>
      </c>
      <c r="BP21" s="36">
        <v>12.783567999999999</v>
      </c>
      <c r="BQ21" s="36">
        <v>12.783567999999999</v>
      </c>
      <c r="BR21" s="36">
        <v>12.783567999999999</v>
      </c>
      <c r="BS21" s="36">
        <v>12.783567999999999</v>
      </c>
      <c r="BT21" s="36">
        <v>115.05211199999999</v>
      </c>
      <c r="BU21" s="36">
        <v>115.05211199999999</v>
      </c>
      <c r="BV21" s="36">
        <v>115.05211199999999</v>
      </c>
      <c r="BW21" s="36">
        <v>115.05211199999999</v>
      </c>
      <c r="BX21" s="36">
        <v>63.917840000000005</v>
      </c>
      <c r="BY21" s="36">
        <v>63.917840000000005</v>
      </c>
      <c r="BZ21" s="36">
        <v>63.917840000000005</v>
      </c>
      <c r="CA21" s="36">
        <v>63.917840000000005</v>
      </c>
      <c r="CB21" s="36">
        <v>51.134271999999996</v>
      </c>
      <c r="CC21" s="36">
        <v>51.134271999999996</v>
      </c>
      <c r="CD21" s="36">
        <v>51.134271999999996</v>
      </c>
      <c r="CE21" s="36">
        <v>51.134271999999996</v>
      </c>
      <c r="CF21" s="36">
        <v>76.701408000000001</v>
      </c>
      <c r="CG21" s="36">
        <v>76.701408000000001</v>
      </c>
      <c r="CH21" s="36">
        <v>76.701408000000001</v>
      </c>
      <c r="CI21" s="36">
        <v>76.701408000000001</v>
      </c>
      <c r="CJ21" s="36">
        <v>12.783567999999999</v>
      </c>
      <c r="CK21" s="36">
        <v>12.783567999999999</v>
      </c>
      <c r="CL21" s="36">
        <v>12.783567999999999</v>
      </c>
      <c r="CM21" s="36">
        <v>12.783567999999999</v>
      </c>
      <c r="CN21" s="36">
        <v>12.783567999999999</v>
      </c>
      <c r="CO21" s="36">
        <v>12.783567999999999</v>
      </c>
      <c r="CP21" s="36">
        <v>12.783567999999999</v>
      </c>
      <c r="CQ21" s="36">
        <v>0</v>
      </c>
      <c r="CR21" s="36">
        <v>0</v>
      </c>
      <c r="CS21" s="36">
        <v>0</v>
      </c>
      <c r="CT21" s="36">
        <v>0</v>
      </c>
      <c r="CU21" s="36">
        <v>0</v>
      </c>
      <c r="CV21" s="36">
        <v>0</v>
      </c>
      <c r="CW21" s="36">
        <v>0</v>
      </c>
      <c r="CX21" s="36">
        <v>0</v>
      </c>
      <c r="CY21" s="36">
        <v>0</v>
      </c>
      <c r="CZ21" s="36">
        <v>0</v>
      </c>
      <c r="DA21" s="36">
        <v>0</v>
      </c>
      <c r="DB21" s="36">
        <v>0</v>
      </c>
      <c r="DC21" s="36">
        <v>166.186384</v>
      </c>
      <c r="DD21" s="36">
        <v>166.186384</v>
      </c>
      <c r="DE21" s="36">
        <v>166.186384</v>
      </c>
      <c r="DF21" s="36">
        <v>166.186384</v>
      </c>
      <c r="DG21" s="36">
        <v>191.75351999999998</v>
      </c>
      <c r="DH21" s="36">
        <v>191.75351999999998</v>
      </c>
      <c r="DI21" s="36">
        <v>191.75351999999998</v>
      </c>
      <c r="DJ21" s="36">
        <v>191.75351999999998</v>
      </c>
      <c r="DK21" s="36">
        <v>383.50703999999996</v>
      </c>
      <c r="DL21" s="36">
        <v>383.50703999999996</v>
      </c>
      <c r="DM21" s="36">
        <v>383.50703999999996</v>
      </c>
      <c r="DN21" s="36">
        <v>383.50703999999996</v>
      </c>
      <c r="DO21" s="36">
        <v>383.50703999999996</v>
      </c>
      <c r="DP21" s="36">
        <v>383.50703999999996</v>
      </c>
      <c r="DQ21" s="36">
        <v>383.50703999999996</v>
      </c>
      <c r="DR21" s="36">
        <v>383.50703999999996</v>
      </c>
      <c r="DS21" s="36">
        <v>63.917840000000005</v>
      </c>
      <c r="DT21" s="36">
        <v>63.917840000000005</v>
      </c>
      <c r="DU21" s="36">
        <v>63.917840000000005</v>
      </c>
      <c r="DV21" s="36">
        <v>63.917840000000005</v>
      </c>
      <c r="DW21" s="36">
        <v>127.83568000000001</v>
      </c>
      <c r="DX21" s="36">
        <v>127.83568000000001</v>
      </c>
      <c r="DY21" s="36">
        <v>127.83568000000001</v>
      </c>
      <c r="DZ21" s="36">
        <v>127.83568000000001</v>
      </c>
      <c r="EA21" s="36">
        <v>127.83568000000001</v>
      </c>
      <c r="EB21" s="36">
        <v>127.83568000000001</v>
      </c>
      <c r="EC21" s="36">
        <v>127.83568000000001</v>
      </c>
      <c r="ED21" s="36">
        <v>127.83568000000001</v>
      </c>
      <c r="EE21" s="36">
        <v>38.350704</v>
      </c>
      <c r="EF21" s="36">
        <v>38.350704</v>
      </c>
      <c r="EG21" s="36">
        <v>38.350704</v>
      </c>
      <c r="EH21" s="36">
        <v>38.350704</v>
      </c>
      <c r="EI21" s="36">
        <v>600.82769599999995</v>
      </c>
      <c r="EJ21" s="36">
        <v>600.82769599999995</v>
      </c>
      <c r="EK21" s="36">
        <v>600.82769599999995</v>
      </c>
      <c r="EL21" s="36">
        <v>600.82769599999995</v>
      </c>
      <c r="EM21" s="36">
        <v>115.05211199999999</v>
      </c>
      <c r="EN21" s="36">
        <v>115.05211199999999</v>
      </c>
      <c r="EO21" s="36">
        <v>115.05211199999999</v>
      </c>
      <c r="EP21" s="36">
        <v>115.05211199999999</v>
      </c>
      <c r="EQ21" s="36">
        <v>0</v>
      </c>
      <c r="ER21" s="36">
        <v>0</v>
      </c>
      <c r="ES21" s="36">
        <v>0</v>
      </c>
      <c r="ET21" s="36">
        <v>0</v>
      </c>
      <c r="EU21" s="36">
        <v>63.917840000000005</v>
      </c>
      <c r="EV21" s="36">
        <v>63.917840000000005</v>
      </c>
      <c r="EW21" s="36">
        <v>63.917840000000005</v>
      </c>
      <c r="EX21" s="36">
        <v>63.917840000000005</v>
      </c>
      <c r="EY21" s="36">
        <v>63.917840000000005</v>
      </c>
      <c r="EZ21" s="36">
        <v>63.917840000000005</v>
      </c>
      <c r="FA21" s="36">
        <v>63.917840000000005</v>
      </c>
      <c r="FB21" s="36">
        <v>63.917840000000005</v>
      </c>
      <c r="FC21" s="36">
        <v>12.783567999999999</v>
      </c>
      <c r="FD21" s="36">
        <v>12.783567999999999</v>
      </c>
      <c r="FE21" s="36">
        <v>12.783567999999999</v>
      </c>
      <c r="FF21" s="36">
        <v>0</v>
      </c>
      <c r="FG21" s="36">
        <v>0</v>
      </c>
      <c r="FH21" s="36">
        <v>0</v>
      </c>
      <c r="FI21" s="36">
        <v>0</v>
      </c>
      <c r="FJ21" s="36">
        <v>12.783567999999999</v>
      </c>
      <c r="FK21" s="6"/>
      <c r="FL21" s="36">
        <v>0</v>
      </c>
      <c r="FM21" s="36">
        <v>0</v>
      </c>
      <c r="FN21" s="36">
        <v>0</v>
      </c>
    </row>
    <row r="22" spans="1:171">
      <c r="A22" s="10"/>
      <c r="B22" s="10" t="s">
        <v>80</v>
      </c>
      <c r="C22" s="30" t="s">
        <v>641</v>
      </c>
      <c r="D22" s="36">
        <v>12.783567999999999</v>
      </c>
      <c r="E22" s="36">
        <v>12.783567999999999</v>
      </c>
      <c r="F22" s="36">
        <v>12.783567999999999</v>
      </c>
      <c r="G22" s="36">
        <v>12.783567999999999</v>
      </c>
      <c r="H22" s="36">
        <v>89.484976000000003</v>
      </c>
      <c r="I22" s="36">
        <v>89.484976000000003</v>
      </c>
      <c r="J22" s="36">
        <v>89.484976000000003</v>
      </c>
      <c r="K22" s="36">
        <v>89.484976000000003</v>
      </c>
      <c r="L22" s="36">
        <v>25.567135999999998</v>
      </c>
      <c r="M22" s="36">
        <v>25.567135999999998</v>
      </c>
      <c r="N22" s="36">
        <v>25.567135999999998</v>
      </c>
      <c r="O22" s="36">
        <v>25.567135999999998</v>
      </c>
      <c r="P22" s="36">
        <v>38.350704</v>
      </c>
      <c r="Q22" s="36">
        <v>38.350704</v>
      </c>
      <c r="R22" s="36">
        <v>38.350704</v>
      </c>
      <c r="S22" s="36">
        <v>38.350704</v>
      </c>
      <c r="T22" s="36">
        <v>38.350704</v>
      </c>
      <c r="U22" s="36">
        <v>38.350704</v>
      </c>
      <c r="V22" s="36">
        <v>38.350704</v>
      </c>
      <c r="W22" s="36">
        <v>38.350704</v>
      </c>
      <c r="X22" s="36">
        <v>51.134271999999996</v>
      </c>
      <c r="Y22" s="36">
        <v>51.134271999999996</v>
      </c>
      <c r="Z22" s="36">
        <v>51.134271999999996</v>
      </c>
      <c r="AA22" s="36">
        <v>51.134271999999996</v>
      </c>
      <c r="AB22" s="36">
        <v>115.05211199999999</v>
      </c>
      <c r="AC22" s="36">
        <v>115.05211199999999</v>
      </c>
      <c r="AD22" s="36">
        <v>115.05211199999999</v>
      </c>
      <c r="AE22" s="36">
        <v>115.05211199999999</v>
      </c>
      <c r="AF22" s="36">
        <v>25.567135999999998</v>
      </c>
      <c r="AG22" s="36">
        <v>25.567135999999998</v>
      </c>
      <c r="AH22" s="36">
        <v>25.567135999999998</v>
      </c>
      <c r="AI22" s="36">
        <v>25.567135999999998</v>
      </c>
      <c r="AJ22" s="36">
        <v>38.350704</v>
      </c>
      <c r="AK22" s="36">
        <v>38.350704</v>
      </c>
      <c r="AL22" s="36">
        <v>38.350704</v>
      </c>
      <c r="AM22" s="36">
        <v>38.350704</v>
      </c>
      <c r="AN22" s="36">
        <v>38.350704</v>
      </c>
      <c r="AO22" s="36">
        <v>38.350704</v>
      </c>
      <c r="AP22" s="36">
        <v>38.350704</v>
      </c>
      <c r="AQ22" s="36">
        <v>38.350704</v>
      </c>
      <c r="AR22" s="36">
        <v>51.134271999999996</v>
      </c>
      <c r="AS22" s="36">
        <v>51.134271999999996</v>
      </c>
      <c r="AT22" s="36">
        <v>51.134271999999996</v>
      </c>
      <c r="AU22" s="36">
        <v>51.134271999999996</v>
      </c>
      <c r="AV22" s="36">
        <v>115.05211199999999</v>
      </c>
      <c r="AW22" s="36">
        <v>115.05211199999999</v>
      </c>
      <c r="AX22" s="36">
        <v>115.05211199999999</v>
      </c>
      <c r="AY22" s="36">
        <v>115.05211199999999</v>
      </c>
      <c r="AZ22" s="36">
        <v>12.783567999999999</v>
      </c>
      <c r="BA22" s="36">
        <v>12.783567999999999</v>
      </c>
      <c r="BB22" s="36">
        <v>12.783567999999999</v>
      </c>
      <c r="BC22" s="36">
        <v>12.783567999999999</v>
      </c>
      <c r="BD22" s="36">
        <v>12.783567999999999</v>
      </c>
      <c r="BE22" s="36">
        <v>12.783567999999999</v>
      </c>
      <c r="BF22" s="36">
        <v>12.783567999999999</v>
      </c>
      <c r="BG22" s="36">
        <v>12.783567999999999</v>
      </c>
      <c r="BH22" s="36">
        <v>12.783567999999999</v>
      </c>
      <c r="BI22" s="36">
        <v>12.783567999999999</v>
      </c>
      <c r="BJ22" s="36">
        <v>12.783567999999999</v>
      </c>
      <c r="BK22" s="36">
        <v>12.783567999999999</v>
      </c>
      <c r="BL22" s="36">
        <v>12.783567999999999</v>
      </c>
      <c r="BM22" s="36">
        <v>12.783567999999999</v>
      </c>
      <c r="BN22" s="36">
        <v>12.783567999999999</v>
      </c>
      <c r="BO22" s="36">
        <v>12.783567999999999</v>
      </c>
      <c r="BP22" s="36">
        <v>12.783567999999999</v>
      </c>
      <c r="BQ22" s="36">
        <v>12.783567999999999</v>
      </c>
      <c r="BR22" s="36">
        <v>12.783567999999999</v>
      </c>
      <c r="BS22" s="36">
        <v>12.783567999999999</v>
      </c>
      <c r="BT22" s="36">
        <v>166.186384</v>
      </c>
      <c r="BU22" s="36">
        <v>166.186384</v>
      </c>
      <c r="BV22" s="36">
        <v>166.186384</v>
      </c>
      <c r="BW22" s="36">
        <v>166.186384</v>
      </c>
      <c r="BX22" s="36">
        <v>383.50703999999996</v>
      </c>
      <c r="BY22" s="36">
        <v>383.50703999999996</v>
      </c>
      <c r="BZ22" s="36">
        <v>383.50703999999996</v>
      </c>
      <c r="CA22" s="36">
        <v>383.50703999999996</v>
      </c>
      <c r="CB22" s="36">
        <v>166.186384</v>
      </c>
      <c r="CC22" s="36">
        <v>166.186384</v>
      </c>
      <c r="CD22" s="36">
        <v>166.186384</v>
      </c>
      <c r="CE22" s="36">
        <v>166.186384</v>
      </c>
      <c r="CF22" s="36">
        <v>166.186384</v>
      </c>
      <c r="CG22" s="36">
        <v>524.12628799999993</v>
      </c>
      <c r="CH22" s="36">
        <v>588.044128</v>
      </c>
      <c r="CI22" s="36">
        <v>588.044128</v>
      </c>
      <c r="CJ22" s="36">
        <v>63.917840000000005</v>
      </c>
      <c r="CK22" s="36">
        <v>63.917840000000005</v>
      </c>
      <c r="CL22" s="36">
        <v>63.917840000000005</v>
      </c>
      <c r="CM22" s="36">
        <v>63.917840000000005</v>
      </c>
      <c r="CN22" s="36">
        <v>63.917840000000005</v>
      </c>
      <c r="CO22" s="36">
        <v>63.917840000000005</v>
      </c>
      <c r="CP22" s="36">
        <v>63.917840000000005</v>
      </c>
      <c r="CQ22" s="36">
        <v>0</v>
      </c>
      <c r="CR22" s="36">
        <v>0</v>
      </c>
      <c r="CS22" s="36">
        <v>0</v>
      </c>
      <c r="CT22" s="36">
        <v>0</v>
      </c>
      <c r="CU22" s="36">
        <v>0</v>
      </c>
      <c r="CV22" s="36">
        <v>0</v>
      </c>
      <c r="CW22" s="36">
        <v>0</v>
      </c>
      <c r="CX22" s="36">
        <v>0</v>
      </c>
      <c r="CY22" s="36">
        <v>0</v>
      </c>
      <c r="CZ22" s="36">
        <v>0</v>
      </c>
      <c r="DA22" s="36">
        <v>0</v>
      </c>
      <c r="DB22" s="36">
        <v>0</v>
      </c>
      <c r="DC22" s="36">
        <v>332.37276800000001</v>
      </c>
      <c r="DD22" s="36">
        <v>332.37276800000001</v>
      </c>
      <c r="DE22" s="36">
        <v>332.37276800000001</v>
      </c>
      <c r="DF22" s="36">
        <v>332.37276800000001</v>
      </c>
      <c r="DG22" s="36">
        <v>306.805632</v>
      </c>
      <c r="DH22" s="36">
        <v>306.805632</v>
      </c>
      <c r="DI22" s="36">
        <v>306.805632</v>
      </c>
      <c r="DJ22" s="36">
        <v>306.805632</v>
      </c>
      <c r="DK22" s="36">
        <v>498.55915200000004</v>
      </c>
      <c r="DL22" s="36">
        <v>498.55915200000004</v>
      </c>
      <c r="DM22" s="36">
        <v>498.55915200000004</v>
      </c>
      <c r="DN22" s="36">
        <v>498.55915200000004</v>
      </c>
      <c r="DO22" s="36">
        <v>498.55915200000004</v>
      </c>
      <c r="DP22" s="36">
        <v>498.55915200000004</v>
      </c>
      <c r="DQ22" s="36">
        <v>498.55915200000004</v>
      </c>
      <c r="DR22" s="36">
        <v>498.55915200000004</v>
      </c>
      <c r="DS22" s="36">
        <v>268.454928</v>
      </c>
      <c r="DT22" s="36">
        <v>268.454928</v>
      </c>
      <c r="DU22" s="36">
        <v>268.454928</v>
      </c>
      <c r="DV22" s="36">
        <v>268.454928</v>
      </c>
      <c r="DW22" s="36">
        <v>588.044128</v>
      </c>
      <c r="DX22" s="36">
        <v>588.044128</v>
      </c>
      <c r="DY22" s="36">
        <v>588.044128</v>
      </c>
      <c r="DZ22" s="36">
        <v>588.044128</v>
      </c>
      <c r="EA22" s="36">
        <v>588.044128</v>
      </c>
      <c r="EB22" s="36">
        <v>588.044128</v>
      </c>
      <c r="EC22" s="36">
        <v>588.044128</v>
      </c>
      <c r="ED22" s="36">
        <v>588.044128</v>
      </c>
      <c r="EE22" s="36">
        <v>63.917840000000005</v>
      </c>
      <c r="EF22" s="36">
        <v>63.917840000000005</v>
      </c>
      <c r="EG22" s="36">
        <v>63.917840000000005</v>
      </c>
      <c r="EH22" s="36">
        <v>63.917840000000005</v>
      </c>
      <c r="EI22" s="36">
        <v>613.61126400000001</v>
      </c>
      <c r="EJ22" s="36">
        <v>613.61126400000001</v>
      </c>
      <c r="EK22" s="36">
        <v>613.61126400000001</v>
      </c>
      <c r="EL22" s="36">
        <v>613.61126400000001</v>
      </c>
      <c r="EM22" s="36">
        <v>153.402816</v>
      </c>
      <c r="EN22" s="36">
        <v>153.402816</v>
      </c>
      <c r="EO22" s="36">
        <v>153.402816</v>
      </c>
      <c r="EP22" s="36">
        <v>153.402816</v>
      </c>
      <c r="EQ22" s="36">
        <v>76.701408000000001</v>
      </c>
      <c r="ER22" s="36">
        <v>76.701408000000001</v>
      </c>
      <c r="ES22" s="36">
        <v>76.701408000000001</v>
      </c>
      <c r="ET22" s="36">
        <v>76.701408000000001</v>
      </c>
      <c r="EU22" s="36">
        <v>76.701408000000001</v>
      </c>
      <c r="EV22" s="36">
        <v>76.701408000000001</v>
      </c>
      <c r="EW22" s="36">
        <v>76.701408000000001</v>
      </c>
      <c r="EX22" s="36">
        <v>76.701408000000001</v>
      </c>
      <c r="EY22" s="36">
        <v>191.75351999999998</v>
      </c>
      <c r="EZ22" s="36">
        <v>191.75351999999998</v>
      </c>
      <c r="FA22" s="36">
        <v>191.75351999999998</v>
      </c>
      <c r="FB22" s="36">
        <v>191.75351999999998</v>
      </c>
      <c r="FC22" s="36">
        <v>12.783567999999999</v>
      </c>
      <c r="FD22" s="36">
        <v>12.783567999999999</v>
      </c>
      <c r="FE22" s="36">
        <v>12.783567999999999</v>
      </c>
      <c r="FF22" s="36">
        <v>0</v>
      </c>
      <c r="FG22" s="36">
        <v>0</v>
      </c>
      <c r="FH22" s="36">
        <v>0</v>
      </c>
      <c r="FI22" s="36">
        <v>0</v>
      </c>
      <c r="FJ22" s="36">
        <v>12.783567999999999</v>
      </c>
      <c r="FK22" s="6"/>
      <c r="FL22" s="36">
        <v>0</v>
      </c>
      <c r="FM22" s="36">
        <v>0</v>
      </c>
      <c r="FN22" s="36">
        <v>0</v>
      </c>
    </row>
    <row r="23" spans="1:171">
      <c r="A23" s="10"/>
      <c r="B23" s="10" t="s">
        <v>643</v>
      </c>
      <c r="C23" s="30" t="s">
        <v>641</v>
      </c>
      <c r="D23" s="36">
        <v>25.567135999999998</v>
      </c>
      <c r="E23" s="36">
        <v>25.567135999999998</v>
      </c>
      <c r="F23" s="36">
        <v>25.567135999999998</v>
      </c>
      <c r="G23" s="36">
        <v>25.567135999999998</v>
      </c>
      <c r="H23" s="36">
        <v>115.05211199999999</v>
      </c>
      <c r="I23" s="36">
        <v>115.05211199999999</v>
      </c>
      <c r="J23" s="36">
        <v>115.05211199999999</v>
      </c>
      <c r="K23" s="36">
        <v>115.05211199999999</v>
      </c>
      <c r="L23" s="36">
        <v>38.350704</v>
      </c>
      <c r="M23" s="36">
        <v>38.350704</v>
      </c>
      <c r="N23" s="36">
        <v>38.350704</v>
      </c>
      <c r="O23" s="36">
        <v>38.350704</v>
      </c>
      <c r="P23" s="36">
        <v>51.134271999999996</v>
      </c>
      <c r="Q23" s="36">
        <v>51.134271999999996</v>
      </c>
      <c r="R23" s="36">
        <v>51.134271999999996</v>
      </c>
      <c r="S23" s="36">
        <v>51.134271999999996</v>
      </c>
      <c r="T23" s="36">
        <v>51.134271999999996</v>
      </c>
      <c r="U23" s="36">
        <v>51.134271999999996</v>
      </c>
      <c r="V23" s="36">
        <v>51.134271999999996</v>
      </c>
      <c r="W23" s="36">
        <v>51.134271999999996</v>
      </c>
      <c r="X23" s="36">
        <v>51.134271999999996</v>
      </c>
      <c r="Y23" s="36">
        <v>51.134271999999996</v>
      </c>
      <c r="Z23" s="36">
        <v>51.134271999999996</v>
      </c>
      <c r="AA23" s="36">
        <v>51.134271999999996</v>
      </c>
      <c r="AB23" s="36">
        <v>140.619248</v>
      </c>
      <c r="AC23" s="36">
        <v>140.619248</v>
      </c>
      <c r="AD23" s="36">
        <v>140.619248</v>
      </c>
      <c r="AE23" s="36">
        <v>140.619248</v>
      </c>
      <c r="AF23" s="36">
        <v>38.350704</v>
      </c>
      <c r="AG23" s="36">
        <v>38.350704</v>
      </c>
      <c r="AH23" s="36">
        <v>38.350704</v>
      </c>
      <c r="AI23" s="36">
        <v>38.350704</v>
      </c>
      <c r="AJ23" s="36">
        <v>51.134271999999996</v>
      </c>
      <c r="AK23" s="36">
        <v>51.134271999999996</v>
      </c>
      <c r="AL23" s="36">
        <v>51.134271999999996</v>
      </c>
      <c r="AM23" s="36">
        <v>51.134271999999996</v>
      </c>
      <c r="AN23" s="36">
        <v>51.134271999999996</v>
      </c>
      <c r="AO23" s="36">
        <v>51.134271999999996</v>
      </c>
      <c r="AP23" s="36">
        <v>51.134271999999996</v>
      </c>
      <c r="AQ23" s="36">
        <v>51.134271999999996</v>
      </c>
      <c r="AR23" s="36">
        <v>51.134271999999996</v>
      </c>
      <c r="AS23" s="36">
        <v>51.134271999999996</v>
      </c>
      <c r="AT23" s="36">
        <v>51.134271999999996</v>
      </c>
      <c r="AU23" s="36">
        <v>51.134271999999996</v>
      </c>
      <c r="AV23" s="36">
        <v>140.619248</v>
      </c>
      <c r="AW23" s="36">
        <v>140.619248</v>
      </c>
      <c r="AX23" s="36">
        <v>140.619248</v>
      </c>
      <c r="AY23" s="36">
        <v>140.619248</v>
      </c>
      <c r="AZ23" s="36">
        <v>25.567135999999998</v>
      </c>
      <c r="BA23" s="36">
        <v>25.567135999999998</v>
      </c>
      <c r="BB23" s="36">
        <v>25.567135999999998</v>
      </c>
      <c r="BC23" s="36">
        <v>25.567135999999998</v>
      </c>
      <c r="BD23" s="36">
        <v>25.567135999999998</v>
      </c>
      <c r="BE23" s="36">
        <v>25.567135999999998</v>
      </c>
      <c r="BF23" s="36">
        <v>25.567135999999998</v>
      </c>
      <c r="BG23" s="36">
        <v>25.567135999999998</v>
      </c>
      <c r="BH23" s="36">
        <v>25.567135999999998</v>
      </c>
      <c r="BI23" s="36">
        <v>25.567135999999998</v>
      </c>
      <c r="BJ23" s="36">
        <v>25.567135999999998</v>
      </c>
      <c r="BK23" s="36">
        <v>25.567135999999998</v>
      </c>
      <c r="BL23" s="36">
        <v>25.567135999999998</v>
      </c>
      <c r="BM23" s="36">
        <v>25.567135999999998</v>
      </c>
      <c r="BN23" s="36">
        <v>25.567135999999998</v>
      </c>
      <c r="BO23" s="36">
        <v>25.567135999999998</v>
      </c>
      <c r="BP23" s="36">
        <v>25.567135999999998</v>
      </c>
      <c r="BQ23" s="36">
        <v>25.567135999999998</v>
      </c>
      <c r="BR23" s="36">
        <v>25.567135999999998</v>
      </c>
      <c r="BS23" s="36">
        <v>25.567135999999998</v>
      </c>
      <c r="BT23" s="36">
        <v>230.10422399999999</v>
      </c>
      <c r="BU23" s="36">
        <v>230.10422399999999</v>
      </c>
      <c r="BV23" s="36">
        <v>230.10422399999999</v>
      </c>
      <c r="BW23" s="36">
        <v>230.10422399999999</v>
      </c>
      <c r="BX23" s="36">
        <v>856.499056</v>
      </c>
      <c r="BY23" s="36">
        <v>856.499056</v>
      </c>
      <c r="BZ23" s="36">
        <v>856.499056</v>
      </c>
      <c r="CA23" s="36">
        <v>856.499056</v>
      </c>
      <c r="CB23" s="36">
        <v>268.454928</v>
      </c>
      <c r="CC23" s="36">
        <v>268.454928</v>
      </c>
      <c r="CD23" s="36">
        <v>268.454928</v>
      </c>
      <c r="CE23" s="36">
        <v>268.454928</v>
      </c>
      <c r="CF23" s="36">
        <v>255.67136000000002</v>
      </c>
      <c r="CG23" s="36">
        <v>549.69342399999994</v>
      </c>
      <c r="CH23" s="36">
        <v>1227.222528</v>
      </c>
      <c r="CI23" s="36">
        <v>1227.222528</v>
      </c>
      <c r="CJ23" s="36">
        <v>140.619248</v>
      </c>
      <c r="CK23" s="36">
        <v>140.619248</v>
      </c>
      <c r="CL23" s="36">
        <v>140.619248</v>
      </c>
      <c r="CM23" s="36">
        <v>140.619248</v>
      </c>
      <c r="CN23" s="36">
        <v>140.619248</v>
      </c>
      <c r="CO23" s="36">
        <v>140.619248</v>
      </c>
      <c r="CP23" s="36">
        <v>140.619248</v>
      </c>
      <c r="CQ23" s="36">
        <v>0</v>
      </c>
      <c r="CR23" s="36">
        <v>0</v>
      </c>
      <c r="CS23" s="36">
        <v>0</v>
      </c>
      <c r="CT23" s="36">
        <v>0</v>
      </c>
      <c r="CU23" s="36">
        <v>0</v>
      </c>
      <c r="CV23" s="36">
        <v>0</v>
      </c>
      <c r="CW23" s="36">
        <v>0</v>
      </c>
      <c r="CX23" s="36">
        <v>0</v>
      </c>
      <c r="CY23" s="36">
        <v>0</v>
      </c>
      <c r="CZ23" s="36">
        <v>0</v>
      </c>
      <c r="DA23" s="36">
        <v>0</v>
      </c>
      <c r="DB23" s="36">
        <v>0</v>
      </c>
      <c r="DC23" s="36">
        <v>575.26056000000005</v>
      </c>
      <c r="DD23" s="36">
        <v>575.26056000000005</v>
      </c>
      <c r="DE23" s="36">
        <v>575.26056000000005</v>
      </c>
      <c r="DF23" s="36">
        <v>575.26056000000005</v>
      </c>
      <c r="DG23" s="36">
        <v>434.64131199999997</v>
      </c>
      <c r="DH23" s="36">
        <v>434.64131199999997</v>
      </c>
      <c r="DI23" s="36">
        <v>434.64131199999997</v>
      </c>
      <c r="DJ23" s="36">
        <v>434.64131199999997</v>
      </c>
      <c r="DK23" s="36">
        <v>651.96196799999996</v>
      </c>
      <c r="DL23" s="36">
        <v>651.96196799999996</v>
      </c>
      <c r="DM23" s="36">
        <v>651.96196799999996</v>
      </c>
      <c r="DN23" s="36">
        <v>651.96196799999996</v>
      </c>
      <c r="DO23" s="36">
        <v>651.96196799999996</v>
      </c>
      <c r="DP23" s="36">
        <v>651.96196799999996</v>
      </c>
      <c r="DQ23" s="36">
        <v>651.96196799999996</v>
      </c>
      <c r="DR23" s="36">
        <v>651.96196799999996</v>
      </c>
      <c r="DS23" s="36">
        <v>447.42487999999997</v>
      </c>
      <c r="DT23" s="36">
        <v>447.42487999999997</v>
      </c>
      <c r="DU23" s="36">
        <v>447.42487999999997</v>
      </c>
      <c r="DV23" s="36">
        <v>447.42487999999997</v>
      </c>
      <c r="DW23" s="36">
        <v>1431.7596160000001</v>
      </c>
      <c r="DX23" s="36">
        <v>1431.7596160000001</v>
      </c>
      <c r="DY23" s="36">
        <v>1431.7596160000001</v>
      </c>
      <c r="DZ23" s="36">
        <v>1431.7596160000001</v>
      </c>
      <c r="EA23" s="36">
        <v>1431.7596160000001</v>
      </c>
      <c r="EB23" s="36">
        <v>1431.7596160000001</v>
      </c>
      <c r="EC23" s="36">
        <v>1431.7596160000001</v>
      </c>
      <c r="ED23" s="36">
        <v>1431.7596160000001</v>
      </c>
      <c r="EE23" s="36">
        <v>76.701408000000001</v>
      </c>
      <c r="EF23" s="36">
        <v>76.701408000000001</v>
      </c>
      <c r="EG23" s="36">
        <v>76.701408000000001</v>
      </c>
      <c r="EH23" s="36">
        <v>76.701408000000001</v>
      </c>
      <c r="EI23" s="36">
        <v>613.61126400000001</v>
      </c>
      <c r="EJ23" s="36">
        <v>613.61126400000001</v>
      </c>
      <c r="EK23" s="36">
        <v>613.61126400000001</v>
      </c>
      <c r="EL23" s="36">
        <v>613.61126400000001</v>
      </c>
      <c r="EM23" s="36">
        <v>191.75351999999998</v>
      </c>
      <c r="EN23" s="36">
        <v>191.75351999999998</v>
      </c>
      <c r="EO23" s="36">
        <v>191.75351999999998</v>
      </c>
      <c r="EP23" s="36">
        <v>191.75351999999998</v>
      </c>
      <c r="EQ23" s="36">
        <v>0</v>
      </c>
      <c r="ER23" s="36">
        <v>0</v>
      </c>
      <c r="ES23" s="36">
        <v>0</v>
      </c>
      <c r="ET23" s="36">
        <v>0</v>
      </c>
      <c r="EU23" s="36">
        <v>447.42487999999997</v>
      </c>
      <c r="EV23" s="36">
        <v>447.42487999999997</v>
      </c>
      <c r="EW23" s="36">
        <v>447.42487999999997</v>
      </c>
      <c r="EX23" s="36">
        <v>447.42487999999997</v>
      </c>
      <c r="EY23" s="36">
        <v>383.50703999999996</v>
      </c>
      <c r="EZ23" s="36">
        <v>383.50703999999996</v>
      </c>
      <c r="FA23" s="36">
        <v>383.50703999999996</v>
      </c>
      <c r="FB23" s="36">
        <v>383.50703999999996</v>
      </c>
      <c r="FC23" s="36">
        <v>25.567135999999998</v>
      </c>
      <c r="FD23" s="36">
        <v>25.567135999999998</v>
      </c>
      <c r="FE23" s="36">
        <v>25.567135999999998</v>
      </c>
      <c r="FF23" s="36">
        <v>0</v>
      </c>
      <c r="FG23" s="36">
        <v>0</v>
      </c>
      <c r="FH23" s="36">
        <v>0</v>
      </c>
      <c r="FI23" s="36">
        <v>0</v>
      </c>
      <c r="FJ23" s="36">
        <v>12.783567999999999</v>
      </c>
      <c r="FK23" s="6"/>
      <c r="FL23" s="36">
        <v>0</v>
      </c>
      <c r="FM23" s="36">
        <v>0</v>
      </c>
      <c r="FN23" s="36">
        <v>0</v>
      </c>
    </row>
    <row r="24" spans="1:171">
      <c r="A24" s="6" t="s">
        <v>24</v>
      </c>
      <c r="B24" s="6" t="s">
        <v>644</v>
      </c>
      <c r="C24" s="6" t="s">
        <v>639</v>
      </c>
      <c r="D24" s="20">
        <v>2</v>
      </c>
      <c r="E24" s="21">
        <v>2</v>
      </c>
      <c r="F24" s="21">
        <v>2</v>
      </c>
      <c r="G24" s="22">
        <v>2</v>
      </c>
      <c r="H24" s="20">
        <v>2</v>
      </c>
      <c r="I24" s="21">
        <v>2</v>
      </c>
      <c r="J24" s="21">
        <v>2</v>
      </c>
      <c r="K24" s="21">
        <v>2</v>
      </c>
      <c r="L24" s="20">
        <v>2</v>
      </c>
      <c r="M24" s="21">
        <v>2</v>
      </c>
      <c r="N24" s="21">
        <v>2</v>
      </c>
      <c r="O24" s="21">
        <v>2</v>
      </c>
      <c r="P24" s="20">
        <v>2</v>
      </c>
      <c r="Q24" s="21">
        <v>2</v>
      </c>
      <c r="R24" s="21">
        <v>2</v>
      </c>
      <c r="S24" s="21">
        <v>2</v>
      </c>
      <c r="T24" s="20">
        <v>2</v>
      </c>
      <c r="U24" s="21">
        <v>2</v>
      </c>
      <c r="V24" s="21">
        <v>2</v>
      </c>
      <c r="W24" s="21">
        <v>2</v>
      </c>
      <c r="X24" s="20">
        <v>2</v>
      </c>
      <c r="Y24" s="21">
        <v>2</v>
      </c>
      <c r="Z24" s="21">
        <v>2</v>
      </c>
      <c r="AA24" s="21">
        <v>2</v>
      </c>
      <c r="AB24" s="20">
        <v>2</v>
      </c>
      <c r="AC24" s="21">
        <v>2</v>
      </c>
      <c r="AD24" s="21">
        <v>2</v>
      </c>
      <c r="AE24" s="21">
        <v>2</v>
      </c>
      <c r="AF24" s="20">
        <v>2</v>
      </c>
      <c r="AG24" s="21">
        <v>2</v>
      </c>
      <c r="AH24" s="21">
        <v>2</v>
      </c>
      <c r="AI24" s="21">
        <v>2</v>
      </c>
      <c r="AJ24" s="20">
        <v>2</v>
      </c>
      <c r="AK24" s="21">
        <v>2</v>
      </c>
      <c r="AL24" s="21">
        <v>2</v>
      </c>
      <c r="AM24" s="21">
        <v>2</v>
      </c>
      <c r="AN24" s="20">
        <v>2</v>
      </c>
      <c r="AO24" s="21">
        <v>2</v>
      </c>
      <c r="AP24" s="21">
        <v>2</v>
      </c>
      <c r="AQ24" s="21">
        <v>2</v>
      </c>
      <c r="AR24" s="20">
        <v>2</v>
      </c>
      <c r="AS24" s="21">
        <v>2</v>
      </c>
      <c r="AT24" s="21">
        <v>2</v>
      </c>
      <c r="AU24" s="21">
        <v>2</v>
      </c>
      <c r="AV24" s="20">
        <v>2</v>
      </c>
      <c r="AW24" s="21">
        <v>2</v>
      </c>
      <c r="AX24" s="21">
        <v>2</v>
      </c>
      <c r="AY24" s="21">
        <v>2</v>
      </c>
      <c r="AZ24" s="20">
        <v>1</v>
      </c>
      <c r="BA24" s="21">
        <v>1</v>
      </c>
      <c r="BB24" s="21">
        <v>1</v>
      </c>
      <c r="BC24" s="21">
        <v>1</v>
      </c>
      <c r="BD24" s="20">
        <v>1</v>
      </c>
      <c r="BE24" s="21">
        <v>1</v>
      </c>
      <c r="BF24" s="21">
        <v>1</v>
      </c>
      <c r="BG24" s="21">
        <v>1</v>
      </c>
      <c r="BH24" s="20">
        <v>1</v>
      </c>
      <c r="BI24" s="21">
        <v>1</v>
      </c>
      <c r="BJ24" s="21">
        <v>1</v>
      </c>
      <c r="BK24" s="21">
        <v>1</v>
      </c>
      <c r="BL24" s="20">
        <v>1</v>
      </c>
      <c r="BM24" s="21">
        <v>1</v>
      </c>
      <c r="BN24" s="21">
        <v>1</v>
      </c>
      <c r="BO24" s="21">
        <v>1</v>
      </c>
      <c r="BP24" s="20">
        <v>1</v>
      </c>
      <c r="BQ24" s="21">
        <v>1</v>
      </c>
      <c r="BR24" s="21">
        <v>1</v>
      </c>
      <c r="BS24" s="21">
        <v>1</v>
      </c>
      <c r="BT24" s="20">
        <v>2</v>
      </c>
      <c r="BU24" s="21">
        <v>2</v>
      </c>
      <c r="BV24" s="21">
        <v>2</v>
      </c>
      <c r="BW24" s="21">
        <v>2</v>
      </c>
      <c r="BX24" s="20">
        <v>2</v>
      </c>
      <c r="BY24" s="21">
        <v>2</v>
      </c>
      <c r="BZ24" s="21">
        <v>2</v>
      </c>
      <c r="CA24" s="21">
        <v>2</v>
      </c>
      <c r="CB24" s="20">
        <v>3</v>
      </c>
      <c r="CC24" s="21">
        <v>3</v>
      </c>
      <c r="CD24" s="21">
        <v>3</v>
      </c>
      <c r="CE24" s="21">
        <v>3</v>
      </c>
      <c r="CF24" s="20">
        <v>3</v>
      </c>
      <c r="CG24" s="21">
        <v>3</v>
      </c>
      <c r="CH24" s="21">
        <v>3</v>
      </c>
      <c r="CI24" s="21">
        <v>3</v>
      </c>
      <c r="CJ24" s="20">
        <v>1</v>
      </c>
      <c r="CK24" s="21">
        <v>1</v>
      </c>
      <c r="CL24" s="21">
        <v>1</v>
      </c>
      <c r="CM24" s="21">
        <v>1</v>
      </c>
      <c r="CN24" s="20">
        <v>1</v>
      </c>
      <c r="CO24" s="20">
        <v>1</v>
      </c>
      <c r="CP24" s="20">
        <v>1</v>
      </c>
      <c r="CQ24" s="20">
        <v>0</v>
      </c>
      <c r="CR24" s="21">
        <v>0</v>
      </c>
      <c r="CS24" s="21">
        <v>0</v>
      </c>
      <c r="CT24" s="21">
        <v>0</v>
      </c>
      <c r="CU24" s="20">
        <v>0</v>
      </c>
      <c r="CV24" s="21">
        <v>0</v>
      </c>
      <c r="CW24" s="21">
        <v>0</v>
      </c>
      <c r="CX24" s="21">
        <v>0</v>
      </c>
      <c r="CY24" s="20">
        <v>0</v>
      </c>
      <c r="CZ24" s="21">
        <v>0</v>
      </c>
      <c r="DA24" s="21">
        <v>0</v>
      </c>
      <c r="DB24" s="21">
        <v>0</v>
      </c>
      <c r="DC24" s="20">
        <v>2</v>
      </c>
      <c r="DD24" s="21">
        <v>2</v>
      </c>
      <c r="DE24" s="21">
        <v>2</v>
      </c>
      <c r="DF24" s="21">
        <v>2</v>
      </c>
      <c r="DG24" s="20">
        <v>2</v>
      </c>
      <c r="DH24" s="21">
        <v>2</v>
      </c>
      <c r="DI24" s="21">
        <v>2</v>
      </c>
      <c r="DJ24" s="21">
        <v>2</v>
      </c>
      <c r="DK24" s="20">
        <v>2</v>
      </c>
      <c r="DL24" s="21">
        <v>2</v>
      </c>
      <c r="DM24" s="21">
        <v>2</v>
      </c>
      <c r="DN24" s="21">
        <v>2</v>
      </c>
      <c r="DO24" s="20">
        <v>2</v>
      </c>
      <c r="DP24" s="21">
        <v>2</v>
      </c>
      <c r="DQ24" s="21">
        <v>2</v>
      </c>
      <c r="DR24" s="21">
        <v>2</v>
      </c>
      <c r="DS24" s="20">
        <v>1</v>
      </c>
      <c r="DT24" s="21">
        <v>1</v>
      </c>
      <c r="DU24" s="21">
        <v>1</v>
      </c>
      <c r="DV24" s="21">
        <v>1</v>
      </c>
      <c r="DW24" s="20">
        <v>1</v>
      </c>
      <c r="DX24" s="21">
        <v>1</v>
      </c>
      <c r="DY24" s="21">
        <v>1</v>
      </c>
      <c r="DZ24" s="21">
        <v>1</v>
      </c>
      <c r="EA24" s="20">
        <v>1</v>
      </c>
      <c r="EB24" s="21">
        <v>1</v>
      </c>
      <c r="EC24" s="21">
        <v>1</v>
      </c>
      <c r="ED24" s="21">
        <v>1</v>
      </c>
      <c r="EE24" s="20">
        <v>1</v>
      </c>
      <c r="EF24" s="21">
        <v>1</v>
      </c>
      <c r="EG24" s="21">
        <v>1</v>
      </c>
      <c r="EH24" s="21">
        <v>1</v>
      </c>
      <c r="EI24" s="20">
        <v>1</v>
      </c>
      <c r="EJ24" s="21">
        <v>1</v>
      </c>
      <c r="EK24" s="21">
        <v>1</v>
      </c>
      <c r="EL24" s="21">
        <v>1</v>
      </c>
      <c r="EM24" s="20">
        <v>1</v>
      </c>
      <c r="EN24" s="21">
        <v>1</v>
      </c>
      <c r="EO24" s="21">
        <v>1</v>
      </c>
      <c r="EP24" s="21">
        <v>1</v>
      </c>
      <c r="EQ24" s="20">
        <v>0</v>
      </c>
      <c r="ER24" s="21">
        <v>0</v>
      </c>
      <c r="ES24" s="21">
        <v>0</v>
      </c>
      <c r="ET24" s="21">
        <v>0</v>
      </c>
      <c r="EU24" s="20">
        <v>2</v>
      </c>
      <c r="EV24" s="21">
        <v>2</v>
      </c>
      <c r="EW24" s="21">
        <v>2</v>
      </c>
      <c r="EX24" s="21">
        <v>2</v>
      </c>
      <c r="EY24" s="20">
        <v>3</v>
      </c>
      <c r="EZ24" s="21">
        <v>3</v>
      </c>
      <c r="FA24" s="21">
        <v>3</v>
      </c>
      <c r="FB24" s="21">
        <v>3</v>
      </c>
      <c r="FC24" s="20">
        <v>2</v>
      </c>
      <c r="FD24" s="21">
        <v>2</v>
      </c>
      <c r="FE24" s="21">
        <v>2</v>
      </c>
      <c r="FF24" s="21"/>
      <c r="FG24" s="20"/>
      <c r="FH24" s="21"/>
      <c r="FI24" s="21"/>
      <c r="FJ24" s="21">
        <v>2</v>
      </c>
      <c r="FK24" s="6"/>
    </row>
    <row r="25" spans="1:171">
      <c r="A25" s="6"/>
      <c r="B25" s="6" t="s">
        <v>80</v>
      </c>
      <c r="C25" s="6" t="s">
        <v>639</v>
      </c>
      <c r="D25" s="20">
        <v>2</v>
      </c>
      <c r="E25" s="21">
        <v>2</v>
      </c>
      <c r="F25" s="21">
        <v>2</v>
      </c>
      <c r="G25" s="22">
        <v>2</v>
      </c>
      <c r="H25" s="20">
        <v>2</v>
      </c>
      <c r="I25" s="21">
        <v>2</v>
      </c>
      <c r="J25" s="21">
        <v>2</v>
      </c>
      <c r="K25" s="21">
        <v>2</v>
      </c>
      <c r="L25" s="20">
        <v>2</v>
      </c>
      <c r="M25" s="21">
        <v>2</v>
      </c>
      <c r="N25" s="21">
        <v>2</v>
      </c>
      <c r="O25" s="21">
        <v>2</v>
      </c>
      <c r="P25" s="20">
        <v>2</v>
      </c>
      <c r="Q25" s="21">
        <v>2</v>
      </c>
      <c r="R25" s="21">
        <v>2</v>
      </c>
      <c r="S25" s="21">
        <v>2</v>
      </c>
      <c r="T25" s="20">
        <v>2</v>
      </c>
      <c r="U25" s="21">
        <v>2</v>
      </c>
      <c r="V25" s="21">
        <v>2</v>
      </c>
      <c r="W25" s="21">
        <v>2</v>
      </c>
      <c r="X25" s="20">
        <v>2</v>
      </c>
      <c r="Y25" s="21">
        <v>2</v>
      </c>
      <c r="Z25" s="21">
        <v>2</v>
      </c>
      <c r="AA25" s="21">
        <v>2</v>
      </c>
      <c r="AB25" s="20">
        <v>2</v>
      </c>
      <c r="AC25" s="21">
        <v>2</v>
      </c>
      <c r="AD25" s="21">
        <v>2</v>
      </c>
      <c r="AE25" s="21">
        <v>2</v>
      </c>
      <c r="AF25" s="20">
        <v>2</v>
      </c>
      <c r="AG25" s="21">
        <v>2</v>
      </c>
      <c r="AH25" s="21">
        <v>2</v>
      </c>
      <c r="AI25" s="21">
        <v>2</v>
      </c>
      <c r="AJ25" s="20">
        <v>2</v>
      </c>
      <c r="AK25" s="21">
        <v>2</v>
      </c>
      <c r="AL25" s="21">
        <v>2</v>
      </c>
      <c r="AM25" s="21">
        <v>2</v>
      </c>
      <c r="AN25" s="20">
        <v>2</v>
      </c>
      <c r="AO25" s="21">
        <v>2</v>
      </c>
      <c r="AP25" s="21">
        <v>2</v>
      </c>
      <c r="AQ25" s="21">
        <v>2</v>
      </c>
      <c r="AR25" s="20">
        <v>2</v>
      </c>
      <c r="AS25" s="21">
        <v>2</v>
      </c>
      <c r="AT25" s="21">
        <v>2</v>
      </c>
      <c r="AU25" s="21">
        <v>2</v>
      </c>
      <c r="AV25" s="20">
        <v>2</v>
      </c>
      <c r="AW25" s="21">
        <v>2</v>
      </c>
      <c r="AX25" s="21">
        <v>2</v>
      </c>
      <c r="AY25" s="21">
        <v>2</v>
      </c>
      <c r="AZ25" s="20">
        <v>2</v>
      </c>
      <c r="BA25" s="21">
        <v>2</v>
      </c>
      <c r="BB25" s="21">
        <v>2</v>
      </c>
      <c r="BC25" s="21">
        <v>2</v>
      </c>
      <c r="BD25" s="20">
        <v>2</v>
      </c>
      <c r="BE25" s="21">
        <v>2</v>
      </c>
      <c r="BF25" s="21">
        <v>2</v>
      </c>
      <c r="BG25" s="21">
        <v>2</v>
      </c>
      <c r="BH25" s="20">
        <v>2</v>
      </c>
      <c r="BI25" s="21">
        <v>2</v>
      </c>
      <c r="BJ25" s="21">
        <v>2</v>
      </c>
      <c r="BK25" s="21">
        <v>2</v>
      </c>
      <c r="BL25" s="20">
        <v>2</v>
      </c>
      <c r="BM25" s="21">
        <v>2</v>
      </c>
      <c r="BN25" s="21">
        <v>2</v>
      </c>
      <c r="BO25" s="21">
        <v>2</v>
      </c>
      <c r="BP25" s="20">
        <v>2</v>
      </c>
      <c r="BQ25" s="21">
        <v>2</v>
      </c>
      <c r="BR25" s="21">
        <v>2</v>
      </c>
      <c r="BS25" s="21">
        <v>2</v>
      </c>
      <c r="BT25" s="20">
        <v>3</v>
      </c>
      <c r="BU25" s="21">
        <v>3</v>
      </c>
      <c r="BV25" s="21">
        <v>3</v>
      </c>
      <c r="BW25" s="21">
        <v>3</v>
      </c>
      <c r="BX25" s="20">
        <v>3</v>
      </c>
      <c r="BY25" s="21">
        <v>3</v>
      </c>
      <c r="BZ25" s="21">
        <v>3</v>
      </c>
      <c r="CA25" s="21">
        <v>3</v>
      </c>
      <c r="CB25" s="20">
        <v>4</v>
      </c>
      <c r="CC25" s="21">
        <v>4</v>
      </c>
      <c r="CD25" s="21">
        <v>4</v>
      </c>
      <c r="CE25" s="21">
        <v>4</v>
      </c>
      <c r="CF25" s="20">
        <v>5</v>
      </c>
      <c r="CG25" s="21">
        <v>5</v>
      </c>
      <c r="CH25" s="21">
        <v>5</v>
      </c>
      <c r="CI25" s="21">
        <v>5</v>
      </c>
      <c r="CJ25" s="20">
        <v>1</v>
      </c>
      <c r="CK25" s="21">
        <v>1</v>
      </c>
      <c r="CL25" s="21">
        <v>1</v>
      </c>
      <c r="CM25" s="21">
        <v>1</v>
      </c>
      <c r="CN25" s="20">
        <v>1</v>
      </c>
      <c r="CO25" s="20">
        <v>1</v>
      </c>
      <c r="CP25" s="20">
        <v>1</v>
      </c>
      <c r="CQ25" s="20">
        <v>0</v>
      </c>
      <c r="CR25" s="21">
        <v>0</v>
      </c>
      <c r="CS25" s="21">
        <v>0</v>
      </c>
      <c r="CT25" s="21">
        <v>0</v>
      </c>
      <c r="CU25" s="20">
        <v>0</v>
      </c>
      <c r="CV25" s="21">
        <v>0</v>
      </c>
      <c r="CW25" s="21">
        <v>0</v>
      </c>
      <c r="CX25" s="21">
        <v>0</v>
      </c>
      <c r="CY25" s="20">
        <v>0</v>
      </c>
      <c r="CZ25" s="21">
        <v>0</v>
      </c>
      <c r="DA25" s="21">
        <v>0</v>
      </c>
      <c r="DB25" s="21">
        <v>0</v>
      </c>
      <c r="DC25" s="20">
        <v>4</v>
      </c>
      <c r="DD25" s="21">
        <v>4</v>
      </c>
      <c r="DE25" s="21">
        <v>4</v>
      </c>
      <c r="DF25" s="21">
        <v>4</v>
      </c>
      <c r="DG25" s="20">
        <v>4</v>
      </c>
      <c r="DH25" s="21">
        <v>4</v>
      </c>
      <c r="DI25" s="21">
        <v>4</v>
      </c>
      <c r="DJ25" s="21">
        <v>4</v>
      </c>
      <c r="DK25" s="20">
        <v>2</v>
      </c>
      <c r="DL25" s="21">
        <v>2</v>
      </c>
      <c r="DM25" s="21">
        <v>2</v>
      </c>
      <c r="DN25" s="21">
        <v>2</v>
      </c>
      <c r="DO25" s="20">
        <v>2</v>
      </c>
      <c r="DP25" s="21">
        <v>2</v>
      </c>
      <c r="DQ25" s="21">
        <v>2</v>
      </c>
      <c r="DR25" s="21">
        <v>2</v>
      </c>
      <c r="DS25" s="20">
        <v>3</v>
      </c>
      <c r="DT25" s="21">
        <v>3</v>
      </c>
      <c r="DU25" s="21">
        <v>3</v>
      </c>
      <c r="DV25" s="21">
        <v>3</v>
      </c>
      <c r="DW25" s="20">
        <v>3</v>
      </c>
      <c r="DX25" s="21">
        <v>3</v>
      </c>
      <c r="DY25" s="21">
        <v>3</v>
      </c>
      <c r="DZ25" s="21">
        <v>3</v>
      </c>
      <c r="EA25" s="20">
        <v>3</v>
      </c>
      <c r="EB25" s="21">
        <v>3</v>
      </c>
      <c r="EC25" s="21">
        <v>3</v>
      </c>
      <c r="ED25" s="21">
        <v>3</v>
      </c>
      <c r="EE25" s="20">
        <v>1</v>
      </c>
      <c r="EF25" s="21">
        <v>1</v>
      </c>
      <c r="EG25" s="21">
        <v>1</v>
      </c>
      <c r="EH25" s="21">
        <v>1</v>
      </c>
      <c r="EI25" s="20">
        <v>1</v>
      </c>
      <c r="EJ25" s="21">
        <v>1</v>
      </c>
      <c r="EK25" s="21">
        <v>1</v>
      </c>
      <c r="EL25" s="21">
        <v>1</v>
      </c>
      <c r="EM25" s="20">
        <v>1</v>
      </c>
      <c r="EN25" s="21">
        <v>1</v>
      </c>
      <c r="EO25" s="21">
        <v>1</v>
      </c>
      <c r="EP25" s="21">
        <v>1</v>
      </c>
      <c r="EQ25" s="20">
        <v>0</v>
      </c>
      <c r="ER25" s="21">
        <v>0</v>
      </c>
      <c r="ES25" s="21">
        <v>0</v>
      </c>
      <c r="ET25" s="21">
        <v>0</v>
      </c>
      <c r="EU25" s="20">
        <v>2</v>
      </c>
      <c r="EV25" s="21">
        <v>2</v>
      </c>
      <c r="EW25" s="21">
        <v>2</v>
      </c>
      <c r="EX25" s="21">
        <v>2</v>
      </c>
      <c r="EY25" s="20">
        <v>3</v>
      </c>
      <c r="EZ25" s="21">
        <v>3</v>
      </c>
      <c r="FA25" s="21">
        <v>3</v>
      </c>
      <c r="FB25" s="21">
        <v>3</v>
      </c>
      <c r="FC25" s="20">
        <v>2</v>
      </c>
      <c r="FD25" s="21">
        <v>2</v>
      </c>
      <c r="FE25" s="21">
        <v>2</v>
      </c>
      <c r="FF25" s="21"/>
      <c r="FG25" s="20"/>
      <c r="FH25" s="21"/>
      <c r="FI25" s="21"/>
      <c r="FJ25" s="21">
        <v>2</v>
      </c>
      <c r="FK25" s="6">
        <v>3</v>
      </c>
      <c r="FL25">
        <v>3</v>
      </c>
      <c r="FM25" s="60">
        <v>2</v>
      </c>
      <c r="FN25" s="60">
        <v>2</v>
      </c>
    </row>
    <row r="26" spans="1:171">
      <c r="A26" s="6"/>
      <c r="B26" s="6" t="s">
        <v>82</v>
      </c>
      <c r="C26" s="6" t="s">
        <v>639</v>
      </c>
      <c r="D26" s="20">
        <v>5</v>
      </c>
      <c r="E26" s="21">
        <v>5</v>
      </c>
      <c r="F26" s="21">
        <v>5</v>
      </c>
      <c r="G26" s="22">
        <v>5</v>
      </c>
      <c r="H26" s="20">
        <v>5</v>
      </c>
      <c r="I26" s="21">
        <v>5</v>
      </c>
      <c r="J26" s="21">
        <v>5</v>
      </c>
      <c r="K26" s="21">
        <v>5</v>
      </c>
      <c r="L26" s="20">
        <v>5</v>
      </c>
      <c r="M26" s="21">
        <v>5</v>
      </c>
      <c r="N26" s="21">
        <v>5</v>
      </c>
      <c r="O26" s="21">
        <v>5</v>
      </c>
      <c r="P26" s="20">
        <v>5</v>
      </c>
      <c r="Q26" s="21">
        <v>5</v>
      </c>
      <c r="R26" s="21">
        <v>5</v>
      </c>
      <c r="S26" s="21">
        <v>5</v>
      </c>
      <c r="T26" s="20">
        <v>5</v>
      </c>
      <c r="U26" s="21">
        <v>5</v>
      </c>
      <c r="V26" s="21">
        <v>5</v>
      </c>
      <c r="W26" s="21">
        <v>5</v>
      </c>
      <c r="X26" s="20">
        <v>5</v>
      </c>
      <c r="Y26" s="21">
        <v>5</v>
      </c>
      <c r="Z26" s="21">
        <v>5</v>
      </c>
      <c r="AA26" s="21">
        <v>5</v>
      </c>
      <c r="AB26" s="20">
        <v>5</v>
      </c>
      <c r="AC26" s="21">
        <v>5</v>
      </c>
      <c r="AD26" s="21">
        <v>5</v>
      </c>
      <c r="AE26" s="21">
        <v>5</v>
      </c>
      <c r="AF26" s="20">
        <v>5</v>
      </c>
      <c r="AG26" s="21">
        <v>5</v>
      </c>
      <c r="AH26" s="21">
        <v>5</v>
      </c>
      <c r="AI26" s="21">
        <v>5</v>
      </c>
      <c r="AJ26" s="20">
        <v>5</v>
      </c>
      <c r="AK26" s="21">
        <v>5</v>
      </c>
      <c r="AL26" s="21">
        <v>5</v>
      </c>
      <c r="AM26" s="21">
        <v>5</v>
      </c>
      <c r="AN26" s="20">
        <v>5</v>
      </c>
      <c r="AO26" s="21">
        <v>5</v>
      </c>
      <c r="AP26" s="21">
        <v>5</v>
      </c>
      <c r="AQ26" s="21">
        <v>5</v>
      </c>
      <c r="AR26" s="20">
        <v>5</v>
      </c>
      <c r="AS26" s="21">
        <v>5</v>
      </c>
      <c r="AT26" s="21">
        <v>5</v>
      </c>
      <c r="AU26" s="21">
        <v>5</v>
      </c>
      <c r="AV26" s="20">
        <v>5</v>
      </c>
      <c r="AW26" s="21">
        <v>5</v>
      </c>
      <c r="AX26" s="21">
        <v>5</v>
      </c>
      <c r="AY26" s="21">
        <v>5</v>
      </c>
      <c r="AZ26" s="20">
        <v>3</v>
      </c>
      <c r="BA26" s="21">
        <v>3</v>
      </c>
      <c r="BB26" s="21">
        <v>3</v>
      </c>
      <c r="BC26" s="21">
        <v>3</v>
      </c>
      <c r="BD26" s="20">
        <v>3</v>
      </c>
      <c r="BE26" s="21">
        <v>3</v>
      </c>
      <c r="BF26" s="21">
        <v>3</v>
      </c>
      <c r="BG26" s="21">
        <v>3</v>
      </c>
      <c r="BH26" s="20">
        <v>3</v>
      </c>
      <c r="BI26" s="21">
        <v>3</v>
      </c>
      <c r="BJ26" s="21">
        <v>3</v>
      </c>
      <c r="BK26" s="21">
        <v>3</v>
      </c>
      <c r="BL26" s="20">
        <v>3</v>
      </c>
      <c r="BM26" s="21">
        <v>3</v>
      </c>
      <c r="BN26" s="21">
        <v>3</v>
      </c>
      <c r="BO26" s="21">
        <v>3</v>
      </c>
      <c r="BP26" s="20">
        <v>3</v>
      </c>
      <c r="BQ26" s="21">
        <v>3</v>
      </c>
      <c r="BR26" s="21">
        <v>3</v>
      </c>
      <c r="BS26" s="21">
        <v>3</v>
      </c>
      <c r="BT26" s="20">
        <v>4</v>
      </c>
      <c r="BU26" s="21">
        <v>4</v>
      </c>
      <c r="BV26" s="21">
        <v>4</v>
      </c>
      <c r="BW26" s="21">
        <v>4</v>
      </c>
      <c r="BX26" s="20">
        <v>4</v>
      </c>
      <c r="BY26" s="21">
        <v>4</v>
      </c>
      <c r="BZ26" s="21">
        <v>4</v>
      </c>
      <c r="CA26" s="21">
        <v>4</v>
      </c>
      <c r="CB26" s="20">
        <v>6</v>
      </c>
      <c r="CC26" s="21">
        <v>6</v>
      </c>
      <c r="CD26" s="21">
        <v>6</v>
      </c>
      <c r="CE26" s="21">
        <v>6</v>
      </c>
      <c r="CF26" s="20">
        <v>6</v>
      </c>
      <c r="CG26" s="21">
        <v>6</v>
      </c>
      <c r="CH26" s="21">
        <v>6</v>
      </c>
      <c r="CI26" s="21">
        <v>6</v>
      </c>
      <c r="CJ26" s="20">
        <v>1</v>
      </c>
      <c r="CK26" s="21">
        <v>1</v>
      </c>
      <c r="CL26" s="21">
        <v>1</v>
      </c>
      <c r="CM26" s="21">
        <v>1</v>
      </c>
      <c r="CN26" s="20">
        <v>1</v>
      </c>
      <c r="CO26" s="20">
        <v>1</v>
      </c>
      <c r="CP26" s="20">
        <v>1</v>
      </c>
      <c r="CQ26" s="20">
        <v>0</v>
      </c>
      <c r="CR26" s="21">
        <v>0</v>
      </c>
      <c r="CS26" s="21">
        <v>0</v>
      </c>
      <c r="CT26" s="21">
        <v>0</v>
      </c>
      <c r="CU26" s="20">
        <v>0</v>
      </c>
      <c r="CV26" s="21">
        <v>0</v>
      </c>
      <c r="CW26" s="21">
        <v>0</v>
      </c>
      <c r="CX26" s="21">
        <v>0</v>
      </c>
      <c r="CY26" s="20">
        <v>0</v>
      </c>
      <c r="CZ26" s="21">
        <v>0</v>
      </c>
      <c r="DA26" s="21">
        <v>0</v>
      </c>
      <c r="DB26" s="21">
        <v>0</v>
      </c>
      <c r="DC26" s="20">
        <v>6</v>
      </c>
      <c r="DD26" s="21">
        <v>6</v>
      </c>
      <c r="DE26" s="21">
        <v>6</v>
      </c>
      <c r="DF26" s="21">
        <v>6</v>
      </c>
      <c r="DG26" s="20">
        <v>6</v>
      </c>
      <c r="DH26" s="21">
        <v>6</v>
      </c>
      <c r="DI26" s="21">
        <v>6</v>
      </c>
      <c r="DJ26" s="21">
        <v>6</v>
      </c>
      <c r="DK26" s="20">
        <v>2</v>
      </c>
      <c r="DL26" s="21">
        <v>2</v>
      </c>
      <c r="DM26" s="21">
        <v>2</v>
      </c>
      <c r="DN26" s="21">
        <v>2</v>
      </c>
      <c r="DO26" s="20">
        <v>2</v>
      </c>
      <c r="DP26" s="21">
        <v>2</v>
      </c>
      <c r="DQ26" s="21">
        <v>2</v>
      </c>
      <c r="DR26" s="21">
        <v>2</v>
      </c>
      <c r="DS26" s="20">
        <v>7</v>
      </c>
      <c r="DT26" s="21">
        <v>7</v>
      </c>
      <c r="DU26" s="21">
        <v>7</v>
      </c>
      <c r="DV26" s="21">
        <v>7</v>
      </c>
      <c r="DW26" s="20">
        <v>5</v>
      </c>
      <c r="DX26" s="21">
        <v>5</v>
      </c>
      <c r="DY26" s="21">
        <v>5</v>
      </c>
      <c r="DZ26" s="21">
        <v>5</v>
      </c>
      <c r="EA26" s="20">
        <v>5</v>
      </c>
      <c r="EB26" s="21">
        <v>5</v>
      </c>
      <c r="EC26" s="21">
        <v>5</v>
      </c>
      <c r="ED26" s="21">
        <v>5</v>
      </c>
      <c r="EE26" s="20">
        <v>1</v>
      </c>
      <c r="EF26" s="21">
        <v>1</v>
      </c>
      <c r="EG26" s="21">
        <v>1</v>
      </c>
      <c r="EH26" s="21">
        <v>1</v>
      </c>
      <c r="EI26" s="20">
        <v>1</v>
      </c>
      <c r="EJ26" s="21">
        <v>1</v>
      </c>
      <c r="EK26" s="21">
        <v>1</v>
      </c>
      <c r="EL26" s="21">
        <v>1</v>
      </c>
      <c r="EM26" s="20">
        <v>1</v>
      </c>
      <c r="EN26" s="21">
        <v>1</v>
      </c>
      <c r="EO26" s="21">
        <v>1</v>
      </c>
      <c r="EP26" s="21">
        <v>1</v>
      </c>
      <c r="EQ26" s="20">
        <v>0</v>
      </c>
      <c r="ER26" s="21">
        <v>0</v>
      </c>
      <c r="ES26" s="21">
        <v>0</v>
      </c>
      <c r="ET26" s="21">
        <v>0</v>
      </c>
      <c r="EU26" s="20">
        <v>3</v>
      </c>
      <c r="EV26" s="21">
        <v>3</v>
      </c>
      <c r="EW26" s="21">
        <v>3</v>
      </c>
      <c r="EX26" s="21">
        <v>3</v>
      </c>
      <c r="EY26" s="20">
        <v>3</v>
      </c>
      <c r="EZ26" s="21">
        <v>3</v>
      </c>
      <c r="FA26" s="21">
        <v>3</v>
      </c>
      <c r="FB26" s="21">
        <v>3</v>
      </c>
      <c r="FC26" s="20">
        <v>5</v>
      </c>
      <c r="FD26" s="21">
        <v>5</v>
      </c>
      <c r="FE26" s="21">
        <v>5</v>
      </c>
      <c r="FF26" s="21"/>
      <c r="FG26" s="20"/>
      <c r="FH26" s="21"/>
      <c r="FI26" s="21"/>
      <c r="FJ26" s="21">
        <v>5</v>
      </c>
      <c r="FK26" s="6"/>
    </row>
    <row r="27" spans="1:171">
      <c r="A27" s="23" t="s">
        <v>645</v>
      </c>
      <c r="B27" s="23" t="s">
        <v>646</v>
      </c>
      <c r="C27" s="23" t="s">
        <v>119</v>
      </c>
      <c r="D27" s="24">
        <v>0.43</v>
      </c>
      <c r="E27" s="23">
        <v>0.43</v>
      </c>
      <c r="F27" s="23">
        <v>0.43</v>
      </c>
      <c r="G27" s="25">
        <v>0.43</v>
      </c>
      <c r="H27" s="24">
        <v>0.43</v>
      </c>
      <c r="I27" s="23">
        <v>0.43</v>
      </c>
      <c r="J27" s="23">
        <v>0.43</v>
      </c>
      <c r="K27" s="23">
        <v>0.43</v>
      </c>
      <c r="L27" s="24">
        <v>0.56000000000000005</v>
      </c>
      <c r="M27" s="23">
        <v>0.56000000000000005</v>
      </c>
      <c r="N27" s="23">
        <v>0.56000000000000005</v>
      </c>
      <c r="O27" s="23">
        <v>0.56000000000000005</v>
      </c>
      <c r="P27" s="24">
        <v>0.56000000000000005</v>
      </c>
      <c r="Q27" s="23">
        <v>0.56000000000000005</v>
      </c>
      <c r="R27" s="23">
        <v>0.56000000000000005</v>
      </c>
      <c r="S27" s="23">
        <v>0.56000000000000005</v>
      </c>
      <c r="T27" s="24">
        <v>0.56000000000000005</v>
      </c>
      <c r="U27" s="23">
        <v>0.56000000000000005</v>
      </c>
      <c r="V27" s="23">
        <v>0.56000000000000005</v>
      </c>
      <c r="W27" s="23">
        <v>0.56000000000000005</v>
      </c>
      <c r="X27" s="24">
        <v>0.56000000000000005</v>
      </c>
      <c r="Y27" s="23">
        <v>0.56000000000000005</v>
      </c>
      <c r="Z27" s="23">
        <v>0.56000000000000005</v>
      </c>
      <c r="AA27" s="23">
        <v>0.56000000000000005</v>
      </c>
      <c r="AB27" s="24">
        <v>0.56000000000000005</v>
      </c>
      <c r="AC27" s="23">
        <v>0.56000000000000005</v>
      </c>
      <c r="AD27" s="23">
        <v>0.56000000000000005</v>
      </c>
      <c r="AE27" s="23">
        <v>0.56000000000000005</v>
      </c>
      <c r="AF27" s="24">
        <v>0.56000000000000005</v>
      </c>
      <c r="AG27" s="23">
        <v>0.56000000000000005</v>
      </c>
      <c r="AH27" s="23">
        <v>0.56000000000000005</v>
      </c>
      <c r="AI27" s="23">
        <v>0.56000000000000005</v>
      </c>
      <c r="AJ27" s="24">
        <v>0.56000000000000005</v>
      </c>
      <c r="AK27" s="23">
        <v>0.56000000000000005</v>
      </c>
      <c r="AL27" s="23">
        <v>0.56000000000000005</v>
      </c>
      <c r="AM27" s="23">
        <v>0.56000000000000005</v>
      </c>
      <c r="AN27" s="24">
        <v>0.56000000000000005</v>
      </c>
      <c r="AO27" s="23">
        <v>0.56000000000000005</v>
      </c>
      <c r="AP27" s="23">
        <v>0.56000000000000005</v>
      </c>
      <c r="AQ27" s="23">
        <v>0.56000000000000005</v>
      </c>
      <c r="AR27" s="24">
        <v>0.56000000000000005</v>
      </c>
      <c r="AS27" s="23">
        <v>0.56000000000000005</v>
      </c>
      <c r="AT27" s="23">
        <v>0.56000000000000005</v>
      </c>
      <c r="AU27" s="23">
        <v>0.56000000000000005</v>
      </c>
      <c r="AV27" s="24">
        <v>0.56000000000000005</v>
      </c>
      <c r="AW27" s="23">
        <v>0.56000000000000005</v>
      </c>
      <c r="AX27" s="23">
        <v>0.56000000000000005</v>
      </c>
      <c r="AY27" s="23">
        <v>0.56000000000000005</v>
      </c>
      <c r="AZ27" s="24">
        <v>0.5</v>
      </c>
      <c r="BA27" s="23">
        <v>0.5</v>
      </c>
      <c r="BB27" s="23">
        <v>0.5</v>
      </c>
      <c r="BC27" s="23">
        <v>0.5</v>
      </c>
      <c r="BD27" s="24">
        <v>0.5</v>
      </c>
      <c r="BE27" s="23">
        <v>0.5</v>
      </c>
      <c r="BF27" s="23">
        <v>0.5</v>
      </c>
      <c r="BG27" s="23">
        <v>0.5</v>
      </c>
      <c r="BH27" s="24">
        <v>0.5</v>
      </c>
      <c r="BI27" s="23">
        <v>0.5</v>
      </c>
      <c r="BJ27" s="23">
        <v>0.5</v>
      </c>
      <c r="BK27" s="23">
        <v>0.5</v>
      </c>
      <c r="BL27" s="24">
        <v>0.5</v>
      </c>
      <c r="BM27" s="23">
        <v>0.5</v>
      </c>
      <c r="BN27" s="23">
        <v>0.5</v>
      </c>
      <c r="BO27" s="23">
        <v>0.5</v>
      </c>
      <c r="BP27" s="24">
        <v>0.5</v>
      </c>
      <c r="BQ27" s="23">
        <v>0.5</v>
      </c>
      <c r="BR27" s="23">
        <v>0.5</v>
      </c>
      <c r="BS27" s="23">
        <v>0.5</v>
      </c>
      <c r="BT27" s="24">
        <v>0.33</v>
      </c>
      <c r="BU27" s="23">
        <v>0.33</v>
      </c>
      <c r="BV27" s="23">
        <v>0.33</v>
      </c>
      <c r="BW27" s="23">
        <v>0.33</v>
      </c>
      <c r="BX27" s="24">
        <v>0.33</v>
      </c>
      <c r="BY27" s="23">
        <v>0.33</v>
      </c>
      <c r="BZ27" s="23">
        <v>0.33</v>
      </c>
      <c r="CA27" s="23">
        <v>0.33</v>
      </c>
      <c r="CB27" s="24">
        <v>0.25</v>
      </c>
      <c r="CC27" s="23">
        <v>0.25</v>
      </c>
      <c r="CD27" s="23">
        <v>0.25</v>
      </c>
      <c r="CE27" s="23">
        <v>0.25</v>
      </c>
      <c r="CF27" s="24">
        <v>0.2</v>
      </c>
      <c r="CG27" s="23">
        <v>0.2</v>
      </c>
      <c r="CH27" s="23">
        <v>0.2</v>
      </c>
      <c r="CI27" s="23">
        <v>0.2</v>
      </c>
      <c r="CJ27" s="24">
        <v>1</v>
      </c>
      <c r="CK27" s="23">
        <v>1</v>
      </c>
      <c r="CL27" s="23">
        <v>1</v>
      </c>
      <c r="CM27" s="23">
        <v>1</v>
      </c>
      <c r="CN27" s="24">
        <v>1</v>
      </c>
      <c r="CO27" s="24">
        <v>1</v>
      </c>
      <c r="CP27" s="24">
        <v>1</v>
      </c>
      <c r="CQ27" s="24">
        <v>1</v>
      </c>
      <c r="CR27" s="23">
        <v>1</v>
      </c>
      <c r="CS27" s="23">
        <v>1</v>
      </c>
      <c r="CT27" s="23">
        <v>1</v>
      </c>
      <c r="CU27" s="24">
        <v>1</v>
      </c>
      <c r="CV27" s="23">
        <v>1</v>
      </c>
      <c r="CW27" s="23">
        <v>1</v>
      </c>
      <c r="CX27" s="23">
        <v>1</v>
      </c>
      <c r="CY27" s="24">
        <v>1</v>
      </c>
      <c r="CZ27" s="23">
        <v>1</v>
      </c>
      <c r="DA27" s="23">
        <v>1</v>
      </c>
      <c r="DB27" s="23">
        <v>1</v>
      </c>
      <c r="DC27" s="24">
        <v>0.23</v>
      </c>
      <c r="DD27" s="23">
        <v>0.23</v>
      </c>
      <c r="DE27" s="23">
        <v>0.23</v>
      </c>
      <c r="DF27" s="23">
        <v>0.23</v>
      </c>
      <c r="DG27" s="24">
        <v>0.23</v>
      </c>
      <c r="DH27" s="23">
        <v>0.23</v>
      </c>
      <c r="DI27" s="23">
        <v>0.23</v>
      </c>
      <c r="DJ27" s="23">
        <v>0.23</v>
      </c>
      <c r="DK27" s="24">
        <v>0.67</v>
      </c>
      <c r="DL27" s="23">
        <v>0.67</v>
      </c>
      <c r="DM27" s="23">
        <v>0.67</v>
      </c>
      <c r="DN27" s="23">
        <v>0.67</v>
      </c>
      <c r="DO27" s="24">
        <v>0.67</v>
      </c>
      <c r="DP27" s="23">
        <v>0.67</v>
      </c>
      <c r="DQ27" s="23">
        <v>0.67</v>
      </c>
      <c r="DR27" s="23">
        <v>0.67</v>
      </c>
      <c r="DS27" s="24">
        <v>0.36</v>
      </c>
      <c r="DT27" s="23">
        <v>0.36</v>
      </c>
      <c r="DU27" s="23">
        <v>0.36</v>
      </c>
      <c r="DV27" s="23">
        <v>0.36</v>
      </c>
      <c r="DW27" s="24">
        <v>0.36</v>
      </c>
      <c r="DX27" s="23">
        <v>0.36</v>
      </c>
      <c r="DY27" s="23">
        <v>0.36</v>
      </c>
      <c r="DZ27" s="23">
        <v>0.36</v>
      </c>
      <c r="EA27" s="24">
        <v>0.36</v>
      </c>
      <c r="EB27" s="23">
        <v>0.36</v>
      </c>
      <c r="EC27" s="23">
        <v>0.36</v>
      </c>
      <c r="ED27" s="23">
        <v>0.36</v>
      </c>
      <c r="EE27" s="24">
        <v>1</v>
      </c>
      <c r="EF27" s="23">
        <v>1</v>
      </c>
      <c r="EG27" s="23">
        <v>1</v>
      </c>
      <c r="EH27" s="23">
        <v>1</v>
      </c>
      <c r="EI27" s="24">
        <v>1</v>
      </c>
      <c r="EJ27" s="23">
        <v>1</v>
      </c>
      <c r="EK27" s="23">
        <v>1</v>
      </c>
      <c r="EL27" s="23">
        <v>1</v>
      </c>
      <c r="EM27" s="24">
        <v>1</v>
      </c>
      <c r="EN27" s="23">
        <v>1</v>
      </c>
      <c r="EO27" s="23">
        <v>1</v>
      </c>
      <c r="EP27" s="23">
        <v>1</v>
      </c>
      <c r="EQ27" s="24">
        <v>1</v>
      </c>
      <c r="ER27" s="23">
        <v>1</v>
      </c>
      <c r="ES27" s="23">
        <v>1</v>
      </c>
      <c r="ET27" s="23">
        <v>1</v>
      </c>
      <c r="EU27" s="24">
        <v>0.48</v>
      </c>
      <c r="EV27" s="23">
        <v>0.48</v>
      </c>
      <c r="EW27" s="23">
        <v>0.48</v>
      </c>
      <c r="EX27" s="23">
        <v>0.48</v>
      </c>
      <c r="EY27" s="24">
        <v>0.33</v>
      </c>
      <c r="EZ27" s="23">
        <v>0.33</v>
      </c>
      <c r="FA27" s="23">
        <v>0.33</v>
      </c>
      <c r="FB27" s="23">
        <v>0.33</v>
      </c>
      <c r="FC27" s="24">
        <v>0.43</v>
      </c>
      <c r="FD27" s="23">
        <v>0.43</v>
      </c>
      <c r="FE27" s="23">
        <v>0.43</v>
      </c>
      <c r="FF27" s="23"/>
      <c r="FG27" s="24"/>
      <c r="FH27" s="23"/>
      <c r="FI27" s="23"/>
      <c r="FJ27" s="23">
        <v>0.43</v>
      </c>
      <c r="FK27" s="15">
        <v>0.2</v>
      </c>
      <c r="FL27" s="45">
        <v>0.2</v>
      </c>
      <c r="FM27" s="23">
        <v>0.5</v>
      </c>
      <c r="FN27" s="45">
        <v>0.5</v>
      </c>
    </row>
    <row r="28" spans="1:171">
      <c r="A28" s="23" t="s">
        <v>647</v>
      </c>
      <c r="B28" s="23" t="s">
        <v>648</v>
      </c>
      <c r="C28" s="23" t="s">
        <v>119</v>
      </c>
      <c r="D28" s="24">
        <v>0.56999999999999995</v>
      </c>
      <c r="E28" s="23">
        <v>0.56999999999999995</v>
      </c>
      <c r="F28" s="23">
        <v>0.56999999999999995</v>
      </c>
      <c r="G28" s="25">
        <v>0.56999999999999995</v>
      </c>
      <c r="H28" s="24">
        <v>0.56999999999999995</v>
      </c>
      <c r="I28" s="23">
        <v>0.56999999999999995</v>
      </c>
      <c r="J28" s="23">
        <v>0.56999999999999995</v>
      </c>
      <c r="K28" s="23">
        <v>0.56999999999999995</v>
      </c>
      <c r="L28" s="24">
        <v>0.44</v>
      </c>
      <c r="M28" s="23">
        <v>0.44</v>
      </c>
      <c r="N28" s="23">
        <v>0.44</v>
      </c>
      <c r="O28" s="23">
        <v>0.44</v>
      </c>
      <c r="P28" s="24">
        <v>0.44</v>
      </c>
      <c r="Q28" s="23">
        <v>0.44</v>
      </c>
      <c r="R28" s="23">
        <v>0.44</v>
      </c>
      <c r="S28" s="23">
        <v>0.44</v>
      </c>
      <c r="T28" s="24">
        <v>0.44</v>
      </c>
      <c r="U28" s="23">
        <v>0.44</v>
      </c>
      <c r="V28" s="23">
        <v>0.44</v>
      </c>
      <c r="W28" s="23">
        <v>0.44</v>
      </c>
      <c r="X28" s="24">
        <v>0.44</v>
      </c>
      <c r="Y28" s="23">
        <v>0.44</v>
      </c>
      <c r="Z28" s="23">
        <v>0.44</v>
      </c>
      <c r="AA28" s="23">
        <v>0.44</v>
      </c>
      <c r="AB28" s="24">
        <v>0.44</v>
      </c>
      <c r="AC28" s="23">
        <v>0.44</v>
      </c>
      <c r="AD28" s="23">
        <v>0.44</v>
      </c>
      <c r="AE28" s="23">
        <v>0.44</v>
      </c>
      <c r="AF28" s="24">
        <v>0.44</v>
      </c>
      <c r="AG28" s="23">
        <v>0.44</v>
      </c>
      <c r="AH28" s="23">
        <v>0.44</v>
      </c>
      <c r="AI28" s="23">
        <v>0.44</v>
      </c>
      <c r="AJ28" s="24">
        <v>0.44</v>
      </c>
      <c r="AK28" s="23">
        <v>0.44</v>
      </c>
      <c r="AL28" s="23">
        <v>0.44</v>
      </c>
      <c r="AM28" s="23">
        <v>0.44</v>
      </c>
      <c r="AN28" s="24">
        <v>0.44</v>
      </c>
      <c r="AO28" s="23">
        <v>0.44</v>
      </c>
      <c r="AP28" s="23">
        <v>0.44</v>
      </c>
      <c r="AQ28" s="23">
        <v>0.44</v>
      </c>
      <c r="AR28" s="24">
        <v>0.44</v>
      </c>
      <c r="AS28" s="23">
        <v>0.44</v>
      </c>
      <c r="AT28" s="23">
        <v>0.44</v>
      </c>
      <c r="AU28" s="23">
        <v>0.44</v>
      </c>
      <c r="AV28" s="24">
        <v>0.44</v>
      </c>
      <c r="AW28" s="23">
        <v>0.44</v>
      </c>
      <c r="AX28" s="23">
        <v>0.44</v>
      </c>
      <c r="AY28" s="23">
        <v>0.44</v>
      </c>
      <c r="AZ28" s="24">
        <v>0.5</v>
      </c>
      <c r="BA28" s="23">
        <v>0.5</v>
      </c>
      <c r="BB28" s="23">
        <v>0.5</v>
      </c>
      <c r="BC28" s="23">
        <v>0.5</v>
      </c>
      <c r="BD28" s="24">
        <v>0.5</v>
      </c>
      <c r="BE28" s="23">
        <v>0.5</v>
      </c>
      <c r="BF28" s="23">
        <v>0.5</v>
      </c>
      <c r="BG28" s="23">
        <v>0.5</v>
      </c>
      <c r="BH28" s="24">
        <v>0.5</v>
      </c>
      <c r="BI28" s="23">
        <v>0.5</v>
      </c>
      <c r="BJ28" s="23">
        <v>0.5</v>
      </c>
      <c r="BK28" s="23">
        <v>0.5</v>
      </c>
      <c r="BL28" s="24">
        <v>0.5</v>
      </c>
      <c r="BM28" s="23">
        <v>0.5</v>
      </c>
      <c r="BN28" s="23">
        <v>0.5</v>
      </c>
      <c r="BO28" s="23">
        <v>0.5</v>
      </c>
      <c r="BP28" s="24">
        <v>0.5</v>
      </c>
      <c r="BQ28" s="23">
        <v>0.5</v>
      </c>
      <c r="BR28" s="23">
        <v>0.5</v>
      </c>
      <c r="BS28" s="23">
        <v>0.5</v>
      </c>
      <c r="BT28" s="24">
        <v>0.33</v>
      </c>
      <c r="BU28" s="23">
        <v>0.33</v>
      </c>
      <c r="BV28" s="23">
        <v>0.33</v>
      </c>
      <c r="BW28" s="23">
        <v>0.33</v>
      </c>
      <c r="BX28" s="24">
        <v>0.33</v>
      </c>
      <c r="BY28" s="23">
        <v>0.33</v>
      </c>
      <c r="BZ28" s="23">
        <v>0.33</v>
      </c>
      <c r="CA28" s="23">
        <v>0.33</v>
      </c>
      <c r="CB28" s="24">
        <v>0.25</v>
      </c>
      <c r="CC28" s="23">
        <v>0.25</v>
      </c>
      <c r="CD28" s="23">
        <v>0.25</v>
      </c>
      <c r="CE28" s="23">
        <v>0.25</v>
      </c>
      <c r="CF28" s="24">
        <v>0.2</v>
      </c>
      <c r="CG28" s="23">
        <v>0.2</v>
      </c>
      <c r="CH28" s="23">
        <v>0.2</v>
      </c>
      <c r="CI28" s="23">
        <v>0.2</v>
      </c>
      <c r="CJ28" s="24"/>
      <c r="CK28" s="23"/>
      <c r="CL28" s="23"/>
      <c r="CM28" s="23"/>
      <c r="CN28" s="23"/>
      <c r="CO28" s="23"/>
      <c r="CP28" s="23"/>
      <c r="CQ28" s="24"/>
      <c r="CR28" s="23"/>
      <c r="CS28" s="23"/>
      <c r="CT28" s="23"/>
      <c r="CU28" s="24"/>
      <c r="CV28" s="23"/>
      <c r="CW28" s="23"/>
      <c r="CX28" s="23"/>
      <c r="CY28" s="24"/>
      <c r="CZ28" s="23"/>
      <c r="DA28" s="23"/>
      <c r="DB28" s="23"/>
      <c r="DC28" s="24">
        <v>0.23</v>
      </c>
      <c r="DD28" s="23">
        <v>0.23</v>
      </c>
      <c r="DE28" s="23">
        <v>0.23</v>
      </c>
      <c r="DF28" s="23">
        <v>0.23</v>
      </c>
      <c r="DG28" s="24">
        <v>0.23</v>
      </c>
      <c r="DH28" s="23">
        <v>0.23</v>
      </c>
      <c r="DI28" s="23">
        <v>0.23</v>
      </c>
      <c r="DJ28" s="23">
        <v>0.23</v>
      </c>
      <c r="DK28" s="24">
        <v>0.33</v>
      </c>
      <c r="DL28" s="23">
        <v>0.33</v>
      </c>
      <c r="DM28" s="23">
        <v>0.33</v>
      </c>
      <c r="DN28" s="23">
        <v>0.33</v>
      </c>
      <c r="DO28" s="24">
        <v>0.33</v>
      </c>
      <c r="DP28" s="23">
        <v>0.33</v>
      </c>
      <c r="DQ28" s="23">
        <v>0.33</v>
      </c>
      <c r="DR28" s="23">
        <v>0.33</v>
      </c>
      <c r="DS28" s="24">
        <v>0.36</v>
      </c>
      <c r="DT28" s="23">
        <v>0.36</v>
      </c>
      <c r="DU28" s="23">
        <v>0.36</v>
      </c>
      <c r="DV28" s="23">
        <v>0.36</v>
      </c>
      <c r="DW28" s="24">
        <v>0.36</v>
      </c>
      <c r="DX28" s="23">
        <v>0.36</v>
      </c>
      <c r="DY28" s="23">
        <v>0.36</v>
      </c>
      <c r="DZ28" s="23">
        <v>0.36</v>
      </c>
      <c r="EA28" s="24">
        <v>0.36</v>
      </c>
      <c r="EB28" s="23">
        <v>0.36</v>
      </c>
      <c r="EC28" s="23">
        <v>0.36</v>
      </c>
      <c r="ED28" s="23">
        <v>0.36</v>
      </c>
      <c r="EE28" s="24"/>
      <c r="EF28" s="23"/>
      <c r="EG28" s="23"/>
      <c r="EH28" s="23"/>
      <c r="EI28" s="24"/>
      <c r="EJ28" s="23"/>
      <c r="EK28" s="23"/>
      <c r="EL28" s="23"/>
      <c r="EM28" s="24"/>
      <c r="EN28" s="23"/>
      <c r="EO28" s="23"/>
      <c r="EP28" s="23"/>
      <c r="EQ28" s="24"/>
      <c r="ER28" s="23"/>
      <c r="ES28" s="23"/>
      <c r="ET28" s="23"/>
      <c r="EU28" s="24">
        <v>0.52</v>
      </c>
      <c r="EV28" s="23">
        <v>0.52</v>
      </c>
      <c r="EW28" s="23">
        <v>0.52</v>
      </c>
      <c r="EX28" s="23">
        <v>0.52</v>
      </c>
      <c r="EY28" s="24">
        <v>0.33</v>
      </c>
      <c r="EZ28" s="23">
        <v>0.33</v>
      </c>
      <c r="FA28" s="23">
        <v>0.33</v>
      </c>
      <c r="FB28" s="23">
        <v>0.33</v>
      </c>
      <c r="FC28" s="24">
        <v>0.56999999999999995</v>
      </c>
      <c r="FD28" s="23">
        <v>0.56999999999999995</v>
      </c>
      <c r="FE28" s="23">
        <v>0.56999999999999995</v>
      </c>
      <c r="FF28" s="23"/>
      <c r="FG28" s="24"/>
      <c r="FH28" s="23"/>
      <c r="FI28" s="23"/>
      <c r="FJ28" s="23">
        <v>0.56999999999999995</v>
      </c>
      <c r="FK28" s="15">
        <v>0.4</v>
      </c>
      <c r="FL28" s="45">
        <v>0.4</v>
      </c>
      <c r="FM28" s="23">
        <v>0.5</v>
      </c>
      <c r="FN28" s="45">
        <v>0.5</v>
      </c>
    </row>
    <row r="29" spans="1:171">
      <c r="A29" s="23"/>
      <c r="B29" s="23" t="s">
        <v>649</v>
      </c>
      <c r="C29" s="23" t="s">
        <v>119</v>
      </c>
      <c r="D29" s="24"/>
      <c r="E29" s="23"/>
      <c r="F29" s="23"/>
      <c r="G29" s="25"/>
      <c r="H29" s="24"/>
      <c r="I29" s="23"/>
      <c r="J29" s="23"/>
      <c r="K29" s="23"/>
      <c r="L29" s="24"/>
      <c r="M29" s="23"/>
      <c r="N29" s="23"/>
      <c r="O29" s="23"/>
      <c r="P29" s="24"/>
      <c r="Q29" s="23"/>
      <c r="R29" s="23"/>
      <c r="S29" s="23"/>
      <c r="T29" s="24"/>
      <c r="U29" s="23"/>
      <c r="V29" s="23"/>
      <c r="W29" s="23"/>
      <c r="X29" s="24"/>
      <c r="Y29" s="23"/>
      <c r="Z29" s="23"/>
      <c r="AA29" s="23"/>
      <c r="AB29" s="24"/>
      <c r="AC29" s="23"/>
      <c r="AD29" s="23"/>
      <c r="AE29" s="23"/>
      <c r="AF29" s="24"/>
      <c r="AG29" s="23"/>
      <c r="AH29" s="23"/>
      <c r="AI29" s="23"/>
      <c r="AJ29" s="24"/>
      <c r="AK29" s="23"/>
      <c r="AL29" s="23"/>
      <c r="AM29" s="23"/>
      <c r="AN29" s="24"/>
      <c r="AO29" s="23"/>
      <c r="AP29" s="23"/>
      <c r="AQ29" s="23"/>
      <c r="AR29" s="24"/>
      <c r="AS29" s="23"/>
      <c r="AT29" s="23"/>
      <c r="AU29" s="23"/>
      <c r="AV29" s="24"/>
      <c r="AW29" s="23"/>
      <c r="AX29" s="23"/>
      <c r="AY29" s="23"/>
      <c r="AZ29" s="24"/>
      <c r="BA29" s="23"/>
      <c r="BB29" s="23"/>
      <c r="BC29" s="23"/>
      <c r="BD29" s="24"/>
      <c r="BE29" s="23"/>
      <c r="BF29" s="23"/>
      <c r="BG29" s="23"/>
      <c r="BH29" s="24"/>
      <c r="BI29" s="23"/>
      <c r="BJ29" s="23"/>
      <c r="BK29" s="23"/>
      <c r="BL29" s="24"/>
      <c r="BM29" s="23"/>
      <c r="BN29" s="23"/>
      <c r="BO29" s="23"/>
      <c r="BP29" s="24"/>
      <c r="BQ29" s="23"/>
      <c r="BR29" s="23"/>
      <c r="BS29" s="23"/>
      <c r="BT29" s="24">
        <v>0.33</v>
      </c>
      <c r="BU29" s="23">
        <v>0.33</v>
      </c>
      <c r="BV29" s="23">
        <v>0.33</v>
      </c>
      <c r="BW29" s="23">
        <v>0.33</v>
      </c>
      <c r="BX29" s="24">
        <v>0.33</v>
      </c>
      <c r="BY29" s="23">
        <v>0.33</v>
      </c>
      <c r="BZ29" s="23">
        <v>0.33</v>
      </c>
      <c r="CA29" s="23">
        <v>0.33</v>
      </c>
      <c r="CB29" s="24">
        <v>0.25</v>
      </c>
      <c r="CC29" s="23">
        <v>0.25</v>
      </c>
      <c r="CD29" s="23">
        <v>0.25</v>
      </c>
      <c r="CE29" s="23">
        <v>0.25</v>
      </c>
      <c r="CF29" s="24">
        <v>0.2</v>
      </c>
      <c r="CG29" s="23">
        <v>0.2</v>
      </c>
      <c r="CH29" s="23">
        <v>0.2</v>
      </c>
      <c r="CI29" s="23">
        <v>0.2</v>
      </c>
      <c r="CJ29" s="24"/>
      <c r="CK29" s="23"/>
      <c r="CL29" s="23"/>
      <c r="CM29" s="23"/>
      <c r="CN29" s="23"/>
      <c r="CO29" s="23"/>
      <c r="CP29" s="23"/>
      <c r="CQ29" s="24"/>
      <c r="CR29" s="23"/>
      <c r="CS29" s="23"/>
      <c r="CT29" s="23"/>
      <c r="CU29" s="24"/>
      <c r="CV29" s="23"/>
      <c r="CW29" s="23"/>
      <c r="CX29" s="23"/>
      <c r="CY29" s="24"/>
      <c r="CZ29" s="23"/>
      <c r="DA29" s="23"/>
      <c r="DB29" s="23"/>
      <c r="DC29" s="24">
        <v>0.23</v>
      </c>
      <c r="DD29" s="23">
        <v>0.23</v>
      </c>
      <c r="DE29" s="23">
        <v>0.23</v>
      </c>
      <c r="DF29" s="23">
        <v>0.23</v>
      </c>
      <c r="DG29" s="24">
        <v>0.23</v>
      </c>
      <c r="DH29" s="23">
        <v>0.23</v>
      </c>
      <c r="DI29" s="23">
        <v>0.23</v>
      </c>
      <c r="DJ29" s="23">
        <v>0.23</v>
      </c>
      <c r="DK29" s="24"/>
      <c r="DL29" s="23"/>
      <c r="DM29" s="23"/>
      <c r="DN29" s="23"/>
      <c r="DO29" s="24"/>
      <c r="DP29" s="23"/>
      <c r="DQ29" s="23"/>
      <c r="DR29" s="23"/>
      <c r="DS29" s="24">
        <v>0.27</v>
      </c>
      <c r="DT29" s="23">
        <v>0.27</v>
      </c>
      <c r="DU29" s="23">
        <v>0.27</v>
      </c>
      <c r="DV29" s="23">
        <v>0.27</v>
      </c>
      <c r="DW29" s="24">
        <v>0.27</v>
      </c>
      <c r="DX29" s="23">
        <v>0.27</v>
      </c>
      <c r="DY29" s="23">
        <v>0.27</v>
      </c>
      <c r="DZ29" s="23">
        <v>0.27</v>
      </c>
      <c r="EA29" s="24">
        <v>0.27</v>
      </c>
      <c r="EB29" s="23">
        <v>0.27</v>
      </c>
      <c r="EC29" s="23">
        <v>0.27</v>
      </c>
      <c r="ED29" s="23">
        <v>0.27</v>
      </c>
      <c r="EE29" s="24"/>
      <c r="EF29" s="23"/>
      <c r="EG29" s="23"/>
      <c r="EH29" s="23"/>
      <c r="EI29" s="24"/>
      <c r="EJ29" s="23"/>
      <c r="EK29" s="23"/>
      <c r="EL29" s="23"/>
      <c r="EM29" s="24"/>
      <c r="EN29" s="23"/>
      <c r="EO29" s="23"/>
      <c r="EP29" s="23"/>
      <c r="EQ29" s="24"/>
      <c r="ER29" s="23"/>
      <c r="ES29" s="23"/>
      <c r="ET29" s="23"/>
      <c r="EU29" s="24"/>
      <c r="EV29" s="23"/>
      <c r="EW29" s="23"/>
      <c r="EX29" s="23"/>
      <c r="EY29" s="24">
        <v>0.33</v>
      </c>
      <c r="EZ29" s="23">
        <v>0.33</v>
      </c>
      <c r="FA29" s="23">
        <v>0.33</v>
      </c>
      <c r="FB29" s="23">
        <v>0.33</v>
      </c>
      <c r="FC29" s="24"/>
      <c r="FD29" s="23"/>
      <c r="FE29" s="23"/>
      <c r="FF29" s="23"/>
      <c r="FG29" s="24"/>
      <c r="FH29" s="23"/>
      <c r="FI29" s="23"/>
      <c r="FJ29" s="23"/>
      <c r="FK29" s="15">
        <v>0.4</v>
      </c>
      <c r="FL29" s="45">
        <v>0.4</v>
      </c>
    </row>
    <row r="30" spans="1:171">
      <c r="A30" s="23"/>
      <c r="B30" s="23" t="s">
        <v>650</v>
      </c>
      <c r="C30" s="23" t="s">
        <v>119</v>
      </c>
      <c r="D30" s="24"/>
      <c r="E30" s="23"/>
      <c r="F30" s="23"/>
      <c r="G30" s="25"/>
      <c r="H30" s="24"/>
      <c r="I30" s="23"/>
      <c r="J30" s="23"/>
      <c r="K30" s="23"/>
      <c r="L30" s="24"/>
      <c r="M30" s="23"/>
      <c r="N30" s="23"/>
      <c r="O30" s="23"/>
      <c r="P30" s="24"/>
      <c r="Q30" s="23"/>
      <c r="R30" s="23"/>
      <c r="S30" s="23"/>
      <c r="T30" s="24"/>
      <c r="U30" s="23"/>
      <c r="V30" s="23"/>
      <c r="W30" s="23"/>
      <c r="X30" s="24"/>
      <c r="Y30" s="23"/>
      <c r="Z30" s="23"/>
      <c r="AA30" s="23"/>
      <c r="AB30" s="24"/>
      <c r="AC30" s="23"/>
      <c r="AD30" s="23"/>
      <c r="AE30" s="23"/>
      <c r="AF30" s="24"/>
      <c r="AG30" s="23"/>
      <c r="AH30" s="23"/>
      <c r="AI30" s="23"/>
      <c r="AJ30" s="24"/>
      <c r="AK30" s="23"/>
      <c r="AL30" s="23"/>
      <c r="AM30" s="23"/>
      <c r="AN30" s="24"/>
      <c r="AO30" s="23"/>
      <c r="AP30" s="23"/>
      <c r="AQ30" s="23"/>
      <c r="AR30" s="24"/>
      <c r="AS30" s="23"/>
      <c r="AT30" s="23"/>
      <c r="AU30" s="23"/>
      <c r="AV30" s="24"/>
      <c r="AW30" s="23"/>
      <c r="AX30" s="23"/>
      <c r="AY30" s="23"/>
      <c r="AZ30" s="24"/>
      <c r="BA30" s="23"/>
      <c r="BB30" s="23"/>
      <c r="BC30" s="23"/>
      <c r="BD30" s="24"/>
      <c r="BE30" s="23"/>
      <c r="BF30" s="23"/>
      <c r="BG30" s="23"/>
      <c r="BH30" s="24"/>
      <c r="BI30" s="23"/>
      <c r="BJ30" s="23"/>
      <c r="BK30" s="23"/>
      <c r="BL30" s="24"/>
      <c r="BM30" s="23"/>
      <c r="BN30" s="23"/>
      <c r="BO30" s="23"/>
      <c r="BP30" s="24"/>
      <c r="BQ30" s="23"/>
      <c r="BR30" s="23"/>
      <c r="BS30" s="23"/>
      <c r="BT30" s="24"/>
      <c r="BU30" s="23"/>
      <c r="BV30" s="23"/>
      <c r="BW30" s="23"/>
      <c r="BX30" s="24"/>
      <c r="BY30" s="23"/>
      <c r="BZ30" s="23"/>
      <c r="CA30" s="23"/>
      <c r="CB30" s="24">
        <v>0.25</v>
      </c>
      <c r="CC30" s="23">
        <v>0.25</v>
      </c>
      <c r="CD30" s="23">
        <v>0.25</v>
      </c>
      <c r="CE30" s="23">
        <v>0.25</v>
      </c>
      <c r="CF30" s="24">
        <v>0.2</v>
      </c>
      <c r="CG30" s="23">
        <v>0.2</v>
      </c>
      <c r="CH30" s="23">
        <v>0.2</v>
      </c>
      <c r="CI30" s="23">
        <v>0.2</v>
      </c>
      <c r="CJ30" s="24"/>
      <c r="CK30" s="23"/>
      <c r="CL30" s="23"/>
      <c r="CM30" s="23"/>
      <c r="CN30" s="23"/>
      <c r="CO30" s="23"/>
      <c r="CP30" s="23"/>
      <c r="CQ30" s="24"/>
      <c r="CR30" s="23"/>
      <c r="CS30" s="23"/>
      <c r="CT30" s="23"/>
      <c r="CU30" s="24"/>
      <c r="CV30" s="23"/>
      <c r="CW30" s="23"/>
      <c r="CX30" s="23"/>
      <c r="CY30" s="24"/>
      <c r="CZ30" s="23"/>
      <c r="DA30" s="23"/>
      <c r="DB30" s="23"/>
      <c r="DC30" s="24">
        <v>0.32</v>
      </c>
      <c r="DD30" s="23">
        <v>0.32</v>
      </c>
      <c r="DE30" s="23">
        <v>0.32</v>
      </c>
      <c r="DF30" s="23">
        <v>0.32</v>
      </c>
      <c r="DG30" s="24">
        <v>0.32</v>
      </c>
      <c r="DH30" s="23">
        <v>0.32</v>
      </c>
      <c r="DI30" s="23">
        <v>0.32</v>
      </c>
      <c r="DJ30" s="23">
        <v>0.32</v>
      </c>
      <c r="DK30" s="24"/>
      <c r="DL30" s="23"/>
      <c r="DM30" s="23"/>
      <c r="DN30" s="23"/>
      <c r="DO30" s="24"/>
      <c r="DP30" s="23"/>
      <c r="DQ30" s="23"/>
      <c r="DR30" s="23"/>
      <c r="DS30" s="24"/>
      <c r="DT30" s="23"/>
      <c r="DU30" s="23"/>
      <c r="DV30" s="23"/>
      <c r="DW30" s="24"/>
      <c r="DX30" s="23"/>
      <c r="DY30" s="23"/>
      <c r="DZ30" s="23"/>
      <c r="EA30" s="24"/>
      <c r="EB30" s="23"/>
      <c r="EC30" s="23"/>
      <c r="ED30" s="23"/>
      <c r="EE30" s="24"/>
      <c r="EF30" s="23"/>
      <c r="EG30" s="23"/>
      <c r="EH30" s="23"/>
      <c r="EI30" s="24"/>
      <c r="EJ30" s="23"/>
      <c r="EK30" s="23"/>
      <c r="EL30" s="23"/>
      <c r="EM30" s="24"/>
      <c r="EN30" s="23"/>
      <c r="EO30" s="23"/>
      <c r="EP30" s="23"/>
      <c r="EQ30" s="24"/>
      <c r="ER30" s="23"/>
      <c r="ES30" s="23"/>
      <c r="ET30" s="23"/>
      <c r="EU30" s="24"/>
      <c r="EV30" s="23"/>
      <c r="EW30" s="23"/>
      <c r="EX30" s="23"/>
      <c r="EY30" s="24"/>
      <c r="EZ30" s="23"/>
      <c r="FA30" s="23"/>
      <c r="FB30" s="23"/>
      <c r="FC30" s="24"/>
      <c r="FD30" s="23"/>
      <c r="FE30" s="23"/>
      <c r="FF30" s="23"/>
      <c r="FG30" s="24"/>
      <c r="FH30" s="23"/>
      <c r="FI30" s="23"/>
      <c r="FJ30" s="23"/>
      <c r="FK30" s="6"/>
    </row>
    <row r="31" spans="1:171">
      <c r="A31" s="23"/>
      <c r="B31" s="23" t="s">
        <v>651</v>
      </c>
      <c r="C31" s="23" t="s">
        <v>119</v>
      </c>
      <c r="D31" s="24"/>
      <c r="E31" s="23"/>
      <c r="F31" s="23"/>
      <c r="G31" s="25"/>
      <c r="H31" s="24"/>
      <c r="I31" s="23"/>
      <c r="J31" s="23"/>
      <c r="K31" s="23"/>
      <c r="L31" s="24"/>
      <c r="M31" s="23"/>
      <c r="N31" s="23"/>
      <c r="O31" s="23"/>
      <c r="P31" s="24"/>
      <c r="Q31" s="23"/>
      <c r="R31" s="23"/>
      <c r="S31" s="23"/>
      <c r="T31" s="24"/>
      <c r="U31" s="23"/>
      <c r="V31" s="23"/>
      <c r="W31" s="23"/>
      <c r="X31" s="24"/>
      <c r="Y31" s="23"/>
      <c r="Z31" s="23"/>
      <c r="AA31" s="23"/>
      <c r="AB31" s="24"/>
      <c r="AC31" s="23"/>
      <c r="AD31" s="23"/>
      <c r="AE31" s="23"/>
      <c r="AF31" s="24"/>
      <c r="AG31" s="23"/>
      <c r="AH31" s="23"/>
      <c r="AI31" s="23"/>
      <c r="AJ31" s="24"/>
      <c r="AK31" s="23"/>
      <c r="AL31" s="23"/>
      <c r="AM31" s="23"/>
      <c r="AN31" s="24"/>
      <c r="AO31" s="23"/>
      <c r="AP31" s="23"/>
      <c r="AQ31" s="23"/>
      <c r="AR31" s="24"/>
      <c r="AS31" s="23"/>
      <c r="AT31" s="23"/>
      <c r="AU31" s="23"/>
      <c r="AV31" s="24"/>
      <c r="AW31" s="23"/>
      <c r="AX31" s="23"/>
      <c r="AY31" s="23"/>
      <c r="AZ31" s="24"/>
      <c r="BA31" s="23"/>
      <c r="BB31" s="23"/>
      <c r="BC31" s="23"/>
      <c r="BD31" s="24"/>
      <c r="BE31" s="23"/>
      <c r="BF31" s="23"/>
      <c r="BG31" s="23"/>
      <c r="BH31" s="24"/>
      <c r="BI31" s="23"/>
      <c r="BJ31" s="23"/>
      <c r="BK31" s="23"/>
      <c r="BL31" s="24"/>
      <c r="BM31" s="23"/>
      <c r="BN31" s="23"/>
      <c r="BO31" s="23"/>
      <c r="BP31" s="24"/>
      <c r="BQ31" s="23"/>
      <c r="BR31" s="23"/>
      <c r="BS31" s="23"/>
      <c r="BT31" s="24"/>
      <c r="BU31" s="23"/>
      <c r="BV31" s="23"/>
      <c r="BW31" s="23"/>
      <c r="BX31" s="24"/>
      <c r="BY31" s="23"/>
      <c r="BZ31" s="23"/>
      <c r="CA31" s="23"/>
      <c r="CB31" s="24"/>
      <c r="CC31" s="23"/>
      <c r="CD31" s="23"/>
      <c r="CE31" s="23"/>
      <c r="CF31" s="24">
        <v>0.2</v>
      </c>
      <c r="CG31" s="23">
        <v>0.2</v>
      </c>
      <c r="CH31" s="23">
        <v>0.2</v>
      </c>
      <c r="CI31" s="23">
        <v>0.2</v>
      </c>
      <c r="CJ31" s="24"/>
      <c r="CK31" s="23"/>
      <c r="CL31" s="23"/>
      <c r="CM31" s="23"/>
      <c r="CN31" s="23"/>
      <c r="CO31" s="23"/>
      <c r="CP31" s="23"/>
      <c r="CQ31" s="24"/>
      <c r="CR31" s="23"/>
      <c r="CS31" s="23"/>
      <c r="CT31" s="23"/>
      <c r="CU31" s="24"/>
      <c r="CV31" s="23"/>
      <c r="CW31" s="23"/>
      <c r="CX31" s="23"/>
      <c r="CY31" s="24"/>
      <c r="CZ31" s="23"/>
      <c r="DA31" s="23"/>
      <c r="DB31" s="23"/>
      <c r="DC31" s="24"/>
      <c r="DD31" s="23"/>
      <c r="DE31" s="23"/>
      <c r="DF31" s="23"/>
      <c r="DG31" s="24"/>
      <c r="DH31" s="23"/>
      <c r="DI31" s="23"/>
      <c r="DJ31" s="23"/>
      <c r="DK31" s="24"/>
      <c r="DL31" s="23"/>
      <c r="DM31" s="23"/>
      <c r="DN31" s="23"/>
      <c r="DO31" s="24"/>
      <c r="DP31" s="23"/>
      <c r="DQ31" s="23"/>
      <c r="DR31" s="23"/>
      <c r="DS31" s="24"/>
      <c r="DT31" s="23"/>
      <c r="DU31" s="23"/>
      <c r="DV31" s="23"/>
      <c r="DW31" s="24"/>
      <c r="DX31" s="23"/>
      <c r="DY31" s="23"/>
      <c r="DZ31" s="23"/>
      <c r="EA31" s="24"/>
      <c r="EB31" s="23"/>
      <c r="EC31" s="23"/>
      <c r="ED31" s="23"/>
      <c r="EE31" s="24"/>
      <c r="EF31" s="23"/>
      <c r="EG31" s="23"/>
      <c r="EH31" s="23"/>
      <c r="EI31" s="24"/>
      <c r="EJ31" s="23"/>
      <c r="EK31" s="23"/>
      <c r="EL31" s="23"/>
      <c r="EM31" s="24"/>
      <c r="EN31" s="23"/>
      <c r="EO31" s="23"/>
      <c r="EP31" s="23"/>
      <c r="EQ31" s="24"/>
      <c r="ER31" s="23"/>
      <c r="ES31" s="23"/>
      <c r="ET31" s="23"/>
      <c r="EU31" s="24"/>
      <c r="EV31" s="23"/>
      <c r="EW31" s="23"/>
      <c r="EX31" s="23"/>
      <c r="EY31" s="24"/>
      <c r="EZ31" s="23"/>
      <c r="FA31" s="23"/>
      <c r="FB31" s="23"/>
      <c r="FC31" s="24"/>
      <c r="FD31" s="23"/>
      <c r="FE31" s="23"/>
      <c r="FF31" s="23"/>
      <c r="FG31" s="24"/>
      <c r="FH31" s="23"/>
      <c r="FI31" s="23"/>
      <c r="FJ31" s="23"/>
      <c r="FK31" s="6"/>
    </row>
    <row r="32" spans="1:171">
      <c r="A32" s="23"/>
      <c r="B32" s="23" t="s">
        <v>652</v>
      </c>
      <c r="C32" s="23" t="s">
        <v>119</v>
      </c>
      <c r="D32" s="24"/>
      <c r="E32" s="23"/>
      <c r="F32" s="23"/>
      <c r="G32" s="25"/>
      <c r="H32" s="24"/>
      <c r="I32" s="23"/>
      <c r="J32" s="23"/>
      <c r="K32" s="23"/>
      <c r="L32" s="24"/>
      <c r="M32" s="23"/>
      <c r="N32" s="23"/>
      <c r="O32" s="23"/>
      <c r="P32" s="24"/>
      <c r="Q32" s="23"/>
      <c r="R32" s="23"/>
      <c r="S32" s="23"/>
      <c r="T32" s="24"/>
      <c r="U32" s="23"/>
      <c r="V32" s="23"/>
      <c r="W32" s="23"/>
      <c r="X32" s="24"/>
      <c r="Y32" s="23"/>
      <c r="Z32" s="23"/>
      <c r="AA32" s="23"/>
      <c r="AB32" s="24"/>
      <c r="AC32" s="23"/>
      <c r="AD32" s="23"/>
      <c r="AE32" s="23"/>
      <c r="AF32" s="24"/>
      <c r="AG32" s="23"/>
      <c r="AH32" s="23"/>
      <c r="AI32" s="23"/>
      <c r="AJ32" s="24"/>
      <c r="AK32" s="23"/>
      <c r="AL32" s="23"/>
      <c r="AM32" s="23"/>
      <c r="AN32" s="24"/>
      <c r="AO32" s="23"/>
      <c r="AP32" s="23"/>
      <c r="AQ32" s="23"/>
      <c r="AR32" s="24"/>
      <c r="AS32" s="23"/>
      <c r="AT32" s="23"/>
      <c r="AU32" s="23"/>
      <c r="AV32" s="24"/>
      <c r="AW32" s="23"/>
      <c r="AX32" s="23"/>
      <c r="AY32" s="23"/>
      <c r="AZ32" s="24"/>
      <c r="BA32" s="23"/>
      <c r="BB32" s="23"/>
      <c r="BC32" s="23"/>
      <c r="BD32" s="24"/>
      <c r="BE32" s="23"/>
      <c r="BF32" s="23"/>
      <c r="BG32" s="23"/>
      <c r="BH32" s="24"/>
      <c r="BI32" s="23"/>
      <c r="BJ32" s="23"/>
      <c r="BK32" s="23"/>
      <c r="BL32" s="24"/>
      <c r="BM32" s="23"/>
      <c r="BN32" s="23"/>
      <c r="BO32" s="23"/>
      <c r="BP32" s="24"/>
      <c r="BQ32" s="23"/>
      <c r="BR32" s="23"/>
      <c r="BS32" s="23"/>
      <c r="BT32" s="24"/>
      <c r="BU32" s="23"/>
      <c r="BV32" s="23"/>
      <c r="BW32" s="23"/>
      <c r="BX32" s="24"/>
      <c r="BY32" s="23"/>
      <c r="BZ32" s="23"/>
      <c r="CA32" s="23"/>
      <c r="CB32" s="24"/>
      <c r="CC32" s="23"/>
      <c r="CD32" s="23"/>
      <c r="CE32" s="23"/>
      <c r="CF32" s="24"/>
      <c r="CG32" s="23"/>
      <c r="CH32" s="23"/>
      <c r="CI32" s="23"/>
      <c r="CJ32" s="24"/>
      <c r="CK32" s="23"/>
      <c r="CL32" s="23"/>
      <c r="CM32" s="23"/>
      <c r="CN32" s="23"/>
      <c r="CO32" s="23"/>
      <c r="CP32" s="23"/>
      <c r="CQ32" s="24"/>
      <c r="CR32" s="23"/>
      <c r="CS32" s="23"/>
      <c r="CT32" s="23"/>
      <c r="CU32" s="24"/>
      <c r="CV32" s="23"/>
      <c r="CW32" s="23"/>
      <c r="CX32" s="23"/>
      <c r="CY32" s="24"/>
      <c r="CZ32" s="23"/>
      <c r="DA32" s="23"/>
      <c r="DB32" s="23"/>
      <c r="DC32" s="24"/>
      <c r="DD32" s="23"/>
      <c r="DE32" s="23"/>
      <c r="DF32" s="23"/>
      <c r="DG32" s="24"/>
      <c r="DH32" s="23"/>
      <c r="DI32" s="23"/>
      <c r="DJ32" s="23"/>
      <c r="DK32" s="24"/>
      <c r="DL32" s="23"/>
      <c r="DM32" s="23"/>
      <c r="DN32" s="23"/>
      <c r="DO32" s="24"/>
      <c r="DP32" s="23"/>
      <c r="DQ32" s="23"/>
      <c r="DR32" s="23"/>
      <c r="DS32" s="24"/>
      <c r="DT32" s="23"/>
      <c r="DU32" s="23"/>
      <c r="DV32" s="23"/>
      <c r="DW32" s="24"/>
      <c r="DX32" s="23"/>
      <c r="DY32" s="23"/>
      <c r="DZ32" s="23"/>
      <c r="EA32" s="24"/>
      <c r="EB32" s="23"/>
      <c r="EC32" s="23"/>
      <c r="ED32" s="23"/>
      <c r="EE32" s="24"/>
      <c r="EF32" s="23"/>
      <c r="EG32" s="23"/>
      <c r="EH32" s="23"/>
      <c r="EI32" s="24"/>
      <c r="EJ32" s="23"/>
      <c r="EK32" s="23"/>
      <c r="EL32" s="23"/>
      <c r="EM32" s="24"/>
      <c r="EN32" s="23"/>
      <c r="EO32" s="23"/>
      <c r="EP32" s="23"/>
      <c r="EQ32" s="24"/>
      <c r="ER32" s="23"/>
      <c r="ES32" s="23"/>
      <c r="ET32" s="23"/>
      <c r="EU32" s="24"/>
      <c r="EV32" s="23"/>
      <c r="EW32" s="23"/>
      <c r="EX32" s="23"/>
      <c r="EY32" s="24"/>
      <c r="EZ32" s="23"/>
      <c r="FA32" s="23"/>
      <c r="FB32" s="23"/>
      <c r="FC32" s="24"/>
      <c r="FD32" s="23"/>
      <c r="FE32" s="23"/>
      <c r="FF32" s="23"/>
      <c r="FG32" s="24"/>
      <c r="FH32" s="23"/>
      <c r="FI32" s="23"/>
      <c r="FJ32" s="23"/>
      <c r="FK32" s="6"/>
    </row>
    <row r="33" spans="1:171">
      <c r="A33" s="23"/>
      <c r="B33" s="23" t="s">
        <v>653</v>
      </c>
      <c r="C33" s="23" t="s">
        <v>119</v>
      </c>
      <c r="D33" s="24"/>
      <c r="E33" s="23"/>
      <c r="F33" s="23"/>
      <c r="G33" s="25"/>
      <c r="H33" s="24"/>
      <c r="I33" s="23"/>
      <c r="J33" s="23"/>
      <c r="K33" s="23"/>
      <c r="L33" s="24"/>
      <c r="M33" s="23"/>
      <c r="N33" s="23"/>
      <c r="O33" s="23"/>
      <c r="P33" s="24"/>
      <c r="Q33" s="23"/>
      <c r="R33" s="23"/>
      <c r="S33" s="23"/>
      <c r="T33" s="24"/>
      <c r="U33" s="23"/>
      <c r="V33" s="23"/>
      <c r="W33" s="23"/>
      <c r="X33" s="24"/>
      <c r="Y33" s="23"/>
      <c r="Z33" s="23"/>
      <c r="AA33" s="23"/>
      <c r="AB33" s="24"/>
      <c r="AC33" s="23"/>
      <c r="AD33" s="23"/>
      <c r="AE33" s="23"/>
      <c r="AF33" s="24"/>
      <c r="AG33" s="23"/>
      <c r="AH33" s="23"/>
      <c r="AI33" s="23"/>
      <c r="AJ33" s="24"/>
      <c r="AK33" s="23"/>
      <c r="AL33" s="23"/>
      <c r="AM33" s="23"/>
      <c r="AN33" s="24"/>
      <c r="AO33" s="23"/>
      <c r="AP33" s="23"/>
      <c r="AQ33" s="23"/>
      <c r="AR33" s="24"/>
      <c r="AS33" s="23"/>
      <c r="AT33" s="23"/>
      <c r="AU33" s="23"/>
      <c r="AV33" s="24"/>
      <c r="AW33" s="23"/>
      <c r="AX33" s="23"/>
      <c r="AY33" s="23"/>
      <c r="AZ33" s="24"/>
      <c r="BA33" s="23"/>
      <c r="BB33" s="23"/>
      <c r="BC33" s="23"/>
      <c r="BD33" s="24"/>
      <c r="BE33" s="23"/>
      <c r="BF33" s="23"/>
      <c r="BG33" s="23"/>
      <c r="BH33" s="24"/>
      <c r="BI33" s="23"/>
      <c r="BJ33" s="23"/>
      <c r="BK33" s="23"/>
      <c r="BL33" s="24"/>
      <c r="BM33" s="23"/>
      <c r="BN33" s="23"/>
      <c r="BO33" s="23"/>
      <c r="BP33" s="24"/>
      <c r="BQ33" s="23"/>
      <c r="BR33" s="23"/>
      <c r="BS33" s="23"/>
      <c r="BT33" s="24"/>
      <c r="BU33" s="23"/>
      <c r="BV33" s="23"/>
      <c r="BW33" s="23"/>
      <c r="BX33" s="24"/>
      <c r="BY33" s="23"/>
      <c r="BZ33" s="23"/>
      <c r="CA33" s="23"/>
      <c r="CB33" s="24"/>
      <c r="CC33" s="23"/>
      <c r="CD33" s="23"/>
      <c r="CE33" s="23"/>
      <c r="CF33" s="24"/>
      <c r="CG33" s="23"/>
      <c r="CH33" s="23"/>
      <c r="CI33" s="23"/>
      <c r="CJ33" s="24"/>
      <c r="CK33" s="23"/>
      <c r="CL33" s="23"/>
      <c r="CM33" s="23"/>
      <c r="CN33" s="23"/>
      <c r="CO33" s="23"/>
      <c r="CP33" s="23"/>
      <c r="CQ33" s="24"/>
      <c r="CR33" s="23"/>
      <c r="CS33" s="23"/>
      <c r="CT33" s="23"/>
      <c r="CU33" s="24"/>
      <c r="CV33" s="23"/>
      <c r="CW33" s="23"/>
      <c r="CX33" s="23"/>
      <c r="CY33" s="24"/>
      <c r="CZ33" s="23"/>
      <c r="DA33" s="23"/>
      <c r="DB33" s="23"/>
      <c r="DC33" s="24"/>
      <c r="DD33" s="23"/>
      <c r="DE33" s="23"/>
      <c r="DF33" s="23"/>
      <c r="DG33" s="24"/>
      <c r="DH33" s="23"/>
      <c r="DI33" s="23"/>
      <c r="DJ33" s="23"/>
      <c r="DK33" s="24"/>
      <c r="DL33" s="23"/>
      <c r="DM33" s="23"/>
      <c r="DN33" s="23"/>
      <c r="DO33" s="24"/>
      <c r="DP33" s="23"/>
      <c r="DQ33" s="23"/>
      <c r="DR33" s="23"/>
      <c r="DS33" s="24"/>
      <c r="DT33" s="23"/>
      <c r="DU33" s="23"/>
      <c r="DV33" s="23"/>
      <c r="DW33" s="24"/>
      <c r="DX33" s="23"/>
      <c r="DY33" s="23"/>
      <c r="DZ33" s="23"/>
      <c r="EA33" s="24"/>
      <c r="EB33" s="23"/>
      <c r="EC33" s="23"/>
      <c r="ED33" s="23"/>
      <c r="EE33" s="24"/>
      <c r="EF33" s="23"/>
      <c r="EG33" s="23"/>
      <c r="EH33" s="23"/>
      <c r="EI33" s="24"/>
      <c r="EJ33" s="23"/>
      <c r="EK33" s="23"/>
      <c r="EL33" s="23"/>
      <c r="EM33" s="24"/>
      <c r="EN33" s="23"/>
      <c r="EO33" s="23"/>
      <c r="EP33" s="23"/>
      <c r="EQ33" s="24"/>
      <c r="ER33" s="23"/>
      <c r="ES33" s="23"/>
      <c r="ET33" s="23"/>
      <c r="EU33" s="24"/>
      <c r="EV33" s="23"/>
      <c r="EW33" s="23"/>
      <c r="EX33" s="23"/>
      <c r="EY33" s="24"/>
      <c r="EZ33" s="23"/>
      <c r="FA33" s="23"/>
      <c r="FB33" s="23"/>
      <c r="FC33" s="24"/>
      <c r="FD33" s="23"/>
      <c r="FE33" s="23"/>
      <c r="FF33" s="23"/>
      <c r="FG33" s="24"/>
      <c r="FH33" s="23"/>
      <c r="FI33" s="23"/>
      <c r="FJ33" s="23"/>
      <c r="FK33" s="6"/>
    </row>
    <row r="34" spans="1:171">
      <c r="A34" s="23"/>
      <c r="B34" s="23" t="s">
        <v>654</v>
      </c>
      <c r="C34" s="23" t="s">
        <v>119</v>
      </c>
      <c r="D34" s="24"/>
      <c r="E34" s="23"/>
      <c r="F34" s="23"/>
      <c r="G34" s="25"/>
      <c r="H34" s="24"/>
      <c r="I34" s="23"/>
      <c r="J34" s="23"/>
      <c r="K34" s="23"/>
      <c r="L34" s="24"/>
      <c r="M34" s="23"/>
      <c r="N34" s="23"/>
      <c r="O34" s="23"/>
      <c r="P34" s="24"/>
      <c r="Q34" s="23"/>
      <c r="R34" s="23"/>
      <c r="S34" s="23"/>
      <c r="T34" s="24"/>
      <c r="U34" s="23"/>
      <c r="V34" s="23"/>
      <c r="W34" s="23"/>
      <c r="X34" s="24"/>
      <c r="Y34" s="23"/>
      <c r="Z34" s="23"/>
      <c r="AA34" s="23"/>
      <c r="AB34" s="24"/>
      <c r="AC34" s="23"/>
      <c r="AD34" s="23"/>
      <c r="AE34" s="23"/>
      <c r="AF34" s="24"/>
      <c r="AG34" s="23"/>
      <c r="AH34" s="23"/>
      <c r="AI34" s="23"/>
      <c r="AJ34" s="24"/>
      <c r="AK34" s="23"/>
      <c r="AL34" s="23"/>
      <c r="AM34" s="23"/>
      <c r="AN34" s="24"/>
      <c r="AO34" s="23"/>
      <c r="AP34" s="23"/>
      <c r="AQ34" s="23"/>
      <c r="AR34" s="24"/>
      <c r="AS34" s="23"/>
      <c r="AT34" s="23"/>
      <c r="AU34" s="23"/>
      <c r="AV34" s="24"/>
      <c r="AW34" s="23"/>
      <c r="AX34" s="23"/>
      <c r="AY34" s="23"/>
      <c r="AZ34" s="24"/>
      <c r="BA34" s="23"/>
      <c r="BB34" s="23"/>
      <c r="BC34" s="23"/>
      <c r="BD34" s="24"/>
      <c r="BE34" s="23"/>
      <c r="BF34" s="23"/>
      <c r="BG34" s="23"/>
      <c r="BH34" s="24"/>
      <c r="BI34" s="23"/>
      <c r="BJ34" s="23"/>
      <c r="BK34" s="23"/>
      <c r="BL34" s="24"/>
      <c r="BM34" s="23"/>
      <c r="BN34" s="23"/>
      <c r="BO34" s="23"/>
      <c r="BP34" s="24"/>
      <c r="BQ34" s="23"/>
      <c r="BR34" s="23"/>
      <c r="BS34" s="23"/>
      <c r="BT34" s="24"/>
      <c r="BU34" s="23"/>
      <c r="BV34" s="23"/>
      <c r="BW34" s="23"/>
      <c r="BX34" s="24"/>
      <c r="BY34" s="23"/>
      <c r="BZ34" s="23"/>
      <c r="CA34" s="23"/>
      <c r="CB34" s="24"/>
      <c r="CC34" s="23"/>
      <c r="CD34" s="23"/>
      <c r="CE34" s="23"/>
      <c r="CF34" s="24"/>
      <c r="CG34" s="23"/>
      <c r="CH34" s="23"/>
      <c r="CI34" s="23"/>
      <c r="CJ34" s="24"/>
      <c r="CK34" s="23"/>
      <c r="CL34" s="23"/>
      <c r="CM34" s="23"/>
      <c r="CN34" s="23"/>
      <c r="CO34" s="23"/>
      <c r="CP34" s="23"/>
      <c r="CQ34" s="24"/>
      <c r="CR34" s="23"/>
      <c r="CS34" s="23"/>
      <c r="CT34" s="23"/>
      <c r="CU34" s="24"/>
      <c r="CV34" s="23"/>
      <c r="CW34" s="23"/>
      <c r="CX34" s="23"/>
      <c r="CY34" s="24"/>
      <c r="CZ34" s="23"/>
      <c r="DA34" s="23"/>
      <c r="DB34" s="23"/>
      <c r="DC34" s="24"/>
      <c r="DD34" s="23"/>
      <c r="DE34" s="23"/>
      <c r="DF34" s="23"/>
      <c r="DG34" s="24"/>
      <c r="DH34" s="23"/>
      <c r="DI34" s="23"/>
      <c r="DJ34" s="23"/>
      <c r="DK34" s="24"/>
      <c r="DL34" s="23"/>
      <c r="DM34" s="23"/>
      <c r="DN34" s="23"/>
      <c r="DO34" s="24"/>
      <c r="DP34" s="23"/>
      <c r="DQ34" s="23"/>
      <c r="DR34" s="23"/>
      <c r="DS34" s="24"/>
      <c r="DT34" s="23"/>
      <c r="DU34" s="23"/>
      <c r="DV34" s="23"/>
      <c r="DW34" s="24"/>
      <c r="DX34" s="23"/>
      <c r="DY34" s="23"/>
      <c r="DZ34" s="23"/>
      <c r="EA34" s="24"/>
      <c r="EB34" s="23"/>
      <c r="EC34" s="23"/>
      <c r="ED34" s="23"/>
      <c r="EE34" s="24"/>
      <c r="EF34" s="23"/>
      <c r="EG34" s="23"/>
      <c r="EH34" s="23"/>
      <c r="EI34" s="24"/>
      <c r="EJ34" s="23"/>
      <c r="EK34" s="23"/>
      <c r="EL34" s="23"/>
      <c r="EM34" s="24"/>
      <c r="EN34" s="23"/>
      <c r="EO34" s="23"/>
      <c r="EP34" s="23"/>
      <c r="EQ34" s="24"/>
      <c r="ER34" s="23"/>
      <c r="ES34" s="23"/>
      <c r="ET34" s="23"/>
      <c r="EU34" s="24"/>
      <c r="EV34" s="23"/>
      <c r="EW34" s="23"/>
      <c r="EX34" s="23"/>
      <c r="EY34" s="24"/>
      <c r="EZ34" s="23"/>
      <c r="FA34" s="23"/>
      <c r="FB34" s="23"/>
      <c r="FC34" s="24"/>
      <c r="FD34" s="23"/>
      <c r="FE34" s="23"/>
      <c r="FF34" s="23"/>
      <c r="FG34" s="24"/>
      <c r="FH34" s="23"/>
      <c r="FI34" s="23"/>
      <c r="FJ34" s="23"/>
      <c r="FK34" s="6"/>
    </row>
    <row r="35" spans="1:171">
      <c r="A35" s="23"/>
      <c r="B35" s="23" t="s">
        <v>655</v>
      </c>
      <c r="C35" s="23" t="s">
        <v>119</v>
      </c>
      <c r="D35" s="24"/>
      <c r="E35" s="23"/>
      <c r="F35" s="23"/>
      <c r="G35" s="25"/>
      <c r="H35" s="24"/>
      <c r="I35" s="23"/>
      <c r="J35" s="23"/>
      <c r="K35" s="23"/>
      <c r="L35" s="24"/>
      <c r="M35" s="23"/>
      <c r="N35" s="23"/>
      <c r="O35" s="23"/>
      <c r="P35" s="24"/>
      <c r="Q35" s="23"/>
      <c r="R35" s="23"/>
      <c r="S35" s="23"/>
      <c r="T35" s="24"/>
      <c r="U35" s="23"/>
      <c r="V35" s="23"/>
      <c r="W35" s="23"/>
      <c r="X35" s="24"/>
      <c r="Y35" s="23"/>
      <c r="Z35" s="23"/>
      <c r="AA35" s="23"/>
      <c r="AB35" s="24"/>
      <c r="AC35" s="23"/>
      <c r="AD35" s="23"/>
      <c r="AE35" s="23"/>
      <c r="AF35" s="24"/>
      <c r="AG35" s="23"/>
      <c r="AH35" s="23"/>
      <c r="AI35" s="23"/>
      <c r="AJ35" s="24"/>
      <c r="AK35" s="23"/>
      <c r="AL35" s="23"/>
      <c r="AM35" s="23"/>
      <c r="AN35" s="24"/>
      <c r="AO35" s="23"/>
      <c r="AP35" s="23"/>
      <c r="AQ35" s="23"/>
      <c r="AR35" s="24"/>
      <c r="AS35" s="23"/>
      <c r="AT35" s="23"/>
      <c r="AU35" s="23"/>
      <c r="AV35" s="24"/>
      <c r="AW35" s="23"/>
      <c r="AX35" s="23"/>
      <c r="AY35" s="23"/>
      <c r="AZ35" s="24"/>
      <c r="BA35" s="23"/>
      <c r="BB35" s="23"/>
      <c r="BC35" s="23"/>
      <c r="BD35" s="24"/>
      <c r="BE35" s="23"/>
      <c r="BF35" s="23"/>
      <c r="BG35" s="23"/>
      <c r="BH35" s="24"/>
      <c r="BI35" s="23"/>
      <c r="BJ35" s="23"/>
      <c r="BK35" s="23"/>
      <c r="BL35" s="24"/>
      <c r="BM35" s="23"/>
      <c r="BN35" s="23"/>
      <c r="BO35" s="23"/>
      <c r="BP35" s="24"/>
      <c r="BQ35" s="23"/>
      <c r="BR35" s="23"/>
      <c r="BS35" s="23"/>
      <c r="BT35" s="24"/>
      <c r="BU35" s="23"/>
      <c r="BV35" s="23"/>
      <c r="BW35" s="23"/>
      <c r="BX35" s="24"/>
      <c r="BY35" s="23"/>
      <c r="BZ35" s="23"/>
      <c r="CA35" s="23"/>
      <c r="CB35" s="24"/>
      <c r="CC35" s="23"/>
      <c r="CD35" s="23"/>
      <c r="CE35" s="23"/>
      <c r="CF35" s="24"/>
      <c r="CG35" s="23"/>
      <c r="CH35" s="23"/>
      <c r="CI35" s="23"/>
      <c r="CJ35" s="24"/>
      <c r="CK35" s="23"/>
      <c r="CL35" s="23"/>
      <c r="CM35" s="23"/>
      <c r="CN35" s="23"/>
      <c r="CO35" s="23"/>
      <c r="CP35" s="23"/>
      <c r="CQ35" s="24"/>
      <c r="CR35" s="23"/>
      <c r="CS35" s="23"/>
      <c r="CT35" s="23"/>
      <c r="CU35" s="24"/>
      <c r="CV35" s="23"/>
      <c r="CW35" s="23"/>
      <c r="CX35" s="23"/>
      <c r="CY35" s="24"/>
      <c r="CZ35" s="23"/>
      <c r="DA35" s="23"/>
      <c r="DB35" s="23"/>
      <c r="DC35" s="24"/>
      <c r="DD35" s="23"/>
      <c r="DE35" s="23"/>
      <c r="DF35" s="23"/>
      <c r="DG35" s="24"/>
      <c r="DH35" s="23"/>
      <c r="DI35" s="23"/>
      <c r="DJ35" s="23"/>
      <c r="DK35" s="24"/>
      <c r="DL35" s="23"/>
      <c r="DM35" s="23"/>
      <c r="DN35" s="23"/>
      <c r="DO35" s="24"/>
      <c r="DP35" s="23"/>
      <c r="DQ35" s="23"/>
      <c r="DR35" s="23"/>
      <c r="DS35" s="24"/>
      <c r="DT35" s="23"/>
      <c r="DU35" s="23"/>
      <c r="DV35" s="23"/>
      <c r="DW35" s="24"/>
      <c r="DX35" s="23"/>
      <c r="DY35" s="23"/>
      <c r="DZ35" s="23"/>
      <c r="EA35" s="24"/>
      <c r="EB35" s="23"/>
      <c r="EC35" s="23"/>
      <c r="ED35" s="23"/>
      <c r="EE35" s="24"/>
      <c r="EF35" s="23"/>
      <c r="EG35" s="23"/>
      <c r="EH35" s="23"/>
      <c r="EI35" s="24"/>
      <c r="EJ35" s="23"/>
      <c r="EK35" s="23"/>
      <c r="EL35" s="23"/>
      <c r="EM35" s="24"/>
      <c r="EN35" s="23"/>
      <c r="EO35" s="23"/>
      <c r="EP35" s="23"/>
      <c r="EQ35" s="24"/>
      <c r="ER35" s="23"/>
      <c r="ES35" s="23"/>
      <c r="ET35" s="23"/>
      <c r="EU35" s="24"/>
      <c r="EV35" s="23"/>
      <c r="EW35" s="23"/>
      <c r="EX35" s="23"/>
      <c r="EY35" s="24"/>
      <c r="EZ35" s="23"/>
      <c r="FA35" s="23"/>
      <c r="FB35" s="23"/>
      <c r="FC35" s="24"/>
      <c r="FD35" s="23"/>
      <c r="FE35" s="23"/>
      <c r="FF35" s="23"/>
      <c r="FG35" s="24"/>
      <c r="FH35" s="23"/>
      <c r="FI35" s="23"/>
      <c r="FJ35" s="23"/>
      <c r="FK35" s="6"/>
    </row>
    <row r="36" spans="1:171">
      <c r="A36" s="23"/>
      <c r="B36" s="23" t="s">
        <v>656</v>
      </c>
      <c r="C36" s="23" t="s">
        <v>119</v>
      </c>
      <c r="D36" s="24"/>
      <c r="E36" s="23"/>
      <c r="F36" s="23"/>
      <c r="G36" s="25"/>
      <c r="H36" s="24"/>
      <c r="I36" s="23"/>
      <c r="J36" s="23"/>
      <c r="K36" s="23"/>
      <c r="L36" s="24"/>
      <c r="M36" s="23"/>
      <c r="N36" s="23"/>
      <c r="O36" s="23"/>
      <c r="P36" s="24"/>
      <c r="Q36" s="23"/>
      <c r="R36" s="23"/>
      <c r="S36" s="23"/>
      <c r="T36" s="24"/>
      <c r="U36" s="23"/>
      <c r="V36" s="23"/>
      <c r="W36" s="23"/>
      <c r="X36" s="24"/>
      <c r="Y36" s="23"/>
      <c r="Z36" s="23"/>
      <c r="AA36" s="23"/>
      <c r="AB36" s="24"/>
      <c r="AC36" s="23"/>
      <c r="AD36" s="23"/>
      <c r="AE36" s="23"/>
      <c r="AF36" s="24"/>
      <c r="AG36" s="23"/>
      <c r="AH36" s="23"/>
      <c r="AI36" s="23"/>
      <c r="AJ36" s="24"/>
      <c r="AK36" s="23"/>
      <c r="AL36" s="23"/>
      <c r="AM36" s="23"/>
      <c r="AN36" s="24"/>
      <c r="AO36" s="23"/>
      <c r="AP36" s="23"/>
      <c r="AQ36" s="23"/>
      <c r="AR36" s="24"/>
      <c r="AS36" s="23"/>
      <c r="AT36" s="23"/>
      <c r="AU36" s="23"/>
      <c r="AV36" s="24"/>
      <c r="AW36" s="23"/>
      <c r="AX36" s="23"/>
      <c r="AY36" s="23"/>
      <c r="AZ36" s="24"/>
      <c r="BA36" s="23"/>
      <c r="BB36" s="23"/>
      <c r="BC36" s="23"/>
      <c r="BD36" s="24"/>
      <c r="BE36" s="23"/>
      <c r="BF36" s="23"/>
      <c r="BG36" s="23"/>
      <c r="BH36" s="24"/>
      <c r="BI36" s="23"/>
      <c r="BJ36" s="23"/>
      <c r="BK36" s="23"/>
      <c r="BL36" s="24"/>
      <c r="BM36" s="23"/>
      <c r="BN36" s="23"/>
      <c r="BO36" s="23"/>
      <c r="BP36" s="24"/>
      <c r="BQ36" s="23"/>
      <c r="BR36" s="23"/>
      <c r="BS36" s="23"/>
      <c r="BT36" s="24"/>
      <c r="BU36" s="23"/>
      <c r="BV36" s="23"/>
      <c r="BW36" s="23"/>
      <c r="BX36" s="24"/>
      <c r="BY36" s="23"/>
      <c r="BZ36" s="23"/>
      <c r="CA36" s="23"/>
      <c r="CB36" s="24"/>
      <c r="CC36" s="23"/>
      <c r="CD36" s="23"/>
      <c r="CE36" s="23"/>
      <c r="CF36" s="24"/>
      <c r="CG36" s="23"/>
      <c r="CH36" s="23"/>
      <c r="CI36" s="23"/>
      <c r="CJ36" s="24"/>
      <c r="CK36" s="23"/>
      <c r="CL36" s="23"/>
      <c r="CM36" s="23"/>
      <c r="CN36" s="23"/>
      <c r="CO36" s="23"/>
      <c r="CP36" s="23"/>
      <c r="CQ36" s="24"/>
      <c r="CR36" s="23"/>
      <c r="CS36" s="23"/>
      <c r="CT36" s="23"/>
      <c r="CU36" s="24"/>
      <c r="CV36" s="23"/>
      <c r="CW36" s="23"/>
      <c r="CX36" s="23"/>
      <c r="CY36" s="24"/>
      <c r="CZ36" s="23"/>
      <c r="DA36" s="23"/>
      <c r="DB36" s="23"/>
      <c r="DC36" s="24"/>
      <c r="DD36" s="23"/>
      <c r="DE36" s="23"/>
      <c r="DF36" s="23"/>
      <c r="DG36" s="24"/>
      <c r="DH36" s="23"/>
      <c r="DI36" s="23"/>
      <c r="DJ36" s="23"/>
      <c r="DK36" s="24"/>
      <c r="DL36" s="23"/>
      <c r="DM36" s="23"/>
      <c r="DN36" s="23"/>
      <c r="DO36" s="24"/>
      <c r="DP36" s="23"/>
      <c r="DQ36" s="23"/>
      <c r="DR36" s="23"/>
      <c r="DS36" s="24"/>
      <c r="DT36" s="23"/>
      <c r="DU36" s="23"/>
      <c r="DV36" s="23"/>
      <c r="DW36" s="24"/>
      <c r="DX36" s="23"/>
      <c r="DY36" s="23"/>
      <c r="DZ36" s="23"/>
      <c r="EA36" s="24"/>
      <c r="EB36" s="23"/>
      <c r="EC36" s="23"/>
      <c r="ED36" s="23"/>
      <c r="EE36" s="24"/>
      <c r="EF36" s="23"/>
      <c r="EG36" s="23"/>
      <c r="EH36" s="23"/>
      <c r="EI36" s="24"/>
      <c r="EJ36" s="23"/>
      <c r="EK36" s="23"/>
      <c r="EL36" s="23"/>
      <c r="EM36" s="24"/>
      <c r="EN36" s="23"/>
      <c r="EO36" s="23"/>
      <c r="EP36" s="23"/>
      <c r="EQ36" s="24"/>
      <c r="ER36" s="23"/>
      <c r="ES36" s="23"/>
      <c r="ET36" s="23"/>
      <c r="EU36" s="24"/>
      <c r="EV36" s="23"/>
      <c r="EW36" s="23"/>
      <c r="EX36" s="23"/>
      <c r="EY36" s="24"/>
      <c r="EZ36" s="23"/>
      <c r="FA36" s="23"/>
      <c r="FB36" s="23"/>
      <c r="FC36" s="24"/>
      <c r="FD36" s="23"/>
      <c r="FE36" s="23"/>
      <c r="FF36" s="23"/>
      <c r="FG36" s="24"/>
      <c r="FH36" s="23"/>
      <c r="FI36" s="23"/>
      <c r="FJ36" s="23"/>
      <c r="FK36" s="6"/>
    </row>
    <row r="37" spans="1:171">
      <c r="A37" s="6" t="s">
        <v>26</v>
      </c>
      <c r="B37" s="6" t="s">
        <v>642</v>
      </c>
      <c r="C37" s="6" t="s">
        <v>641</v>
      </c>
      <c r="D37" s="20">
        <v>639.17840000000001</v>
      </c>
      <c r="E37" s="21">
        <v>639.17840000000001</v>
      </c>
      <c r="F37" s="21">
        <v>639.17840000000001</v>
      </c>
      <c r="G37" s="22">
        <v>639.17840000000001</v>
      </c>
      <c r="H37" s="20">
        <v>894.84975999999995</v>
      </c>
      <c r="I37" s="21">
        <v>894.84975999999995</v>
      </c>
      <c r="J37" s="21">
        <v>894.84975999999995</v>
      </c>
      <c r="K37" s="21">
        <v>894.84975999999995</v>
      </c>
      <c r="L37" s="20">
        <v>383.50703999999996</v>
      </c>
      <c r="M37" s="21">
        <v>383.50703999999996</v>
      </c>
      <c r="N37" s="21">
        <v>383.50703999999996</v>
      </c>
      <c r="O37" s="21">
        <v>383.50703999999996</v>
      </c>
      <c r="P37" s="20">
        <v>383.50703999999996</v>
      </c>
      <c r="Q37" s="21">
        <v>383.50703999999996</v>
      </c>
      <c r="R37" s="21">
        <v>383.50703999999996</v>
      </c>
      <c r="S37" s="21">
        <v>383.50703999999996</v>
      </c>
      <c r="T37" s="20">
        <v>383.50703999999996</v>
      </c>
      <c r="U37" s="21">
        <v>383.50703999999996</v>
      </c>
      <c r="V37" s="21">
        <v>383.50703999999996</v>
      </c>
      <c r="W37" s="21">
        <v>383.50703999999996</v>
      </c>
      <c r="X37" s="20">
        <v>383.50703999999996</v>
      </c>
      <c r="Y37" s="21">
        <v>383.50703999999996</v>
      </c>
      <c r="Z37" s="21">
        <v>383.50703999999996</v>
      </c>
      <c r="AA37" s="21">
        <v>383.50703999999996</v>
      </c>
      <c r="AB37" s="20">
        <v>767.01407999999992</v>
      </c>
      <c r="AC37" s="21">
        <v>767.01407999999992</v>
      </c>
      <c r="AD37" s="21">
        <v>767.01407999999992</v>
      </c>
      <c r="AE37" s="21">
        <v>767.01407999999992</v>
      </c>
      <c r="AF37" s="20">
        <v>383.50703999999996</v>
      </c>
      <c r="AG37" s="21">
        <v>383.50703999999996</v>
      </c>
      <c r="AH37" s="21">
        <v>383.50703999999996</v>
      </c>
      <c r="AI37" s="21">
        <v>383.50703999999996</v>
      </c>
      <c r="AJ37" s="20">
        <v>383.50703999999996</v>
      </c>
      <c r="AK37" s="21">
        <v>383.50703999999996</v>
      </c>
      <c r="AL37" s="21">
        <v>383.50703999999996</v>
      </c>
      <c r="AM37" s="21">
        <v>383.50703999999996</v>
      </c>
      <c r="AN37" s="20">
        <v>383.50703999999996</v>
      </c>
      <c r="AO37" s="21">
        <v>383.50703999999996</v>
      </c>
      <c r="AP37" s="21">
        <v>383.50703999999996</v>
      </c>
      <c r="AQ37" s="21">
        <v>383.50703999999996</v>
      </c>
      <c r="AR37" s="20">
        <v>383.50703999999996</v>
      </c>
      <c r="AS37" s="21">
        <v>383.50703999999996</v>
      </c>
      <c r="AT37" s="21">
        <v>383.50703999999996</v>
      </c>
      <c r="AU37" s="21">
        <v>383.50703999999996</v>
      </c>
      <c r="AV37" s="20">
        <v>767.01407999999992</v>
      </c>
      <c r="AW37" s="21">
        <v>767.01407999999992</v>
      </c>
      <c r="AX37" s="21">
        <v>767.01407999999992</v>
      </c>
      <c r="AY37" s="21">
        <v>767.01407999999992</v>
      </c>
      <c r="AZ37" s="20">
        <v>255.67136000000002</v>
      </c>
      <c r="BA37" s="21">
        <v>255.67136000000002</v>
      </c>
      <c r="BB37" s="21">
        <v>255.67136000000002</v>
      </c>
      <c r="BC37" s="21">
        <v>255.67136000000002</v>
      </c>
      <c r="BD37" s="20">
        <v>255.67136000000002</v>
      </c>
      <c r="BE37" s="21">
        <v>255.67136000000002</v>
      </c>
      <c r="BF37" s="21">
        <v>255.67136000000002</v>
      </c>
      <c r="BG37" s="21">
        <v>255.67136000000002</v>
      </c>
      <c r="BH37" s="20">
        <v>255.67136000000002</v>
      </c>
      <c r="BI37" s="21">
        <v>255.67136000000002</v>
      </c>
      <c r="BJ37" s="21">
        <v>255.67136000000002</v>
      </c>
      <c r="BK37" s="21">
        <v>255.67136000000002</v>
      </c>
      <c r="BL37" s="20">
        <v>383.50703999999996</v>
      </c>
      <c r="BM37" s="21">
        <v>383.50703999999996</v>
      </c>
      <c r="BN37" s="21">
        <v>383.50703999999996</v>
      </c>
      <c r="BO37" s="21">
        <v>383.50703999999996</v>
      </c>
      <c r="BP37" s="20">
        <v>383.50703999999996</v>
      </c>
      <c r="BQ37" s="21">
        <v>383.50703999999996</v>
      </c>
      <c r="BR37" s="21">
        <v>383.50703999999996</v>
      </c>
      <c r="BS37" s="21">
        <v>383.50703999999996</v>
      </c>
      <c r="BT37" s="20">
        <v>3323.72768</v>
      </c>
      <c r="BU37" s="21">
        <v>3323.72768</v>
      </c>
      <c r="BV37" s="21">
        <v>3323.72768</v>
      </c>
      <c r="BW37" s="21">
        <v>3323.72768</v>
      </c>
      <c r="BX37" s="20">
        <v>5369.0985599999995</v>
      </c>
      <c r="BY37" s="21">
        <v>5369.0985599999995</v>
      </c>
      <c r="BZ37" s="21">
        <v>5369.0985599999995</v>
      </c>
      <c r="CA37" s="21">
        <v>5369.0985599999995</v>
      </c>
      <c r="CB37" s="20">
        <v>1150.5211200000001</v>
      </c>
      <c r="CC37" s="21">
        <v>1150.5211200000001</v>
      </c>
      <c r="CD37" s="21">
        <v>1150.5211200000001</v>
      </c>
      <c r="CE37" s="21">
        <v>1150.5211200000001</v>
      </c>
      <c r="CF37" s="20">
        <v>1661.86384</v>
      </c>
      <c r="CG37" s="21">
        <v>1534.0281599999998</v>
      </c>
      <c r="CH37" s="21">
        <v>1406.1924799999999</v>
      </c>
      <c r="CI37" s="21">
        <v>1406.1924799999999</v>
      </c>
      <c r="CJ37" s="20">
        <v>383.50703999999996</v>
      </c>
      <c r="CK37" s="21">
        <v>383.50703999999996</v>
      </c>
      <c r="CL37" s="21">
        <v>255.67136000000002</v>
      </c>
      <c r="CM37" s="21">
        <v>255.67136000000002</v>
      </c>
      <c r="CN37" s="21">
        <v>757</v>
      </c>
      <c r="CO37" s="21">
        <f>0.877*1.099*400</f>
        <v>385.5292</v>
      </c>
      <c r="CP37" s="21">
        <f>0.877*1.099*245</f>
        <v>236.13663499999998</v>
      </c>
      <c r="CQ37" s="20">
        <v>894.84975999999995</v>
      </c>
      <c r="CR37" s="21">
        <v>894.84975999999995</v>
      </c>
      <c r="CS37" s="21">
        <v>894.84975999999995</v>
      </c>
      <c r="CT37" s="21">
        <v>894.84975999999995</v>
      </c>
      <c r="CU37" s="20">
        <v>1150.5211200000001</v>
      </c>
      <c r="CV37" s="21">
        <v>1150.5211200000001</v>
      </c>
      <c r="CW37" s="21">
        <v>1150.5211200000001</v>
      </c>
      <c r="CX37" s="21">
        <v>1150.5211200000001</v>
      </c>
      <c r="CY37" s="20">
        <v>1406.1924799999999</v>
      </c>
      <c r="CZ37" s="21">
        <v>1278.3568</v>
      </c>
      <c r="DA37" s="21">
        <v>1278.3568</v>
      </c>
      <c r="DB37" s="21">
        <v>1278.3568</v>
      </c>
      <c r="DC37" s="20">
        <v>6647.4553599999999</v>
      </c>
      <c r="DD37" s="21">
        <v>6519.6196799999998</v>
      </c>
      <c r="DE37" s="21">
        <v>6519.6196799999998</v>
      </c>
      <c r="DF37" s="21">
        <v>6519.6196799999998</v>
      </c>
      <c r="DG37" s="20">
        <v>10354.69008</v>
      </c>
      <c r="DH37" s="21">
        <v>10226.8544</v>
      </c>
      <c r="DI37" s="21">
        <v>10099.01872</v>
      </c>
      <c r="DJ37" s="21">
        <v>10099.01872</v>
      </c>
      <c r="DK37" s="20">
        <v>4218.57744</v>
      </c>
      <c r="DL37" s="21">
        <v>4218.57744</v>
      </c>
      <c r="DM37" s="21">
        <v>4218.57744</v>
      </c>
      <c r="DN37" s="21">
        <v>4218.57744</v>
      </c>
      <c r="DO37" s="20">
        <v>4857.7558399999998</v>
      </c>
      <c r="DP37" s="21">
        <v>4857.7558399999998</v>
      </c>
      <c r="DQ37" s="21">
        <v>4857.7558399999998</v>
      </c>
      <c r="DR37" s="21">
        <v>4857.7558399999998</v>
      </c>
      <c r="DS37" s="20">
        <v>5752.6055999999999</v>
      </c>
      <c r="DT37" s="21">
        <v>5369.0985599999995</v>
      </c>
      <c r="DU37" s="21">
        <v>5241.2628800000002</v>
      </c>
      <c r="DV37" s="21">
        <v>5241.2628800000002</v>
      </c>
      <c r="DW37" s="20">
        <v>4346.4131200000002</v>
      </c>
      <c r="DX37" s="21">
        <v>4090.7417600000003</v>
      </c>
      <c r="DY37" s="21">
        <v>3962.9060800000002</v>
      </c>
      <c r="DZ37" s="21">
        <v>3835.0703999999996</v>
      </c>
      <c r="EA37" s="20">
        <v>4985.5915200000009</v>
      </c>
      <c r="EB37" s="21">
        <v>4729.9201599999997</v>
      </c>
      <c r="EC37" s="21">
        <v>4474.2487999999994</v>
      </c>
      <c r="ED37" s="21">
        <v>4474.2487999999994</v>
      </c>
      <c r="EE37" s="20">
        <v>1150.5211200000001</v>
      </c>
      <c r="EF37" s="21">
        <v>1150.5211200000001</v>
      </c>
      <c r="EG37" s="21">
        <v>1150.5211200000001</v>
      </c>
      <c r="EH37" s="21">
        <v>1150.5211200000001</v>
      </c>
      <c r="EI37" s="20">
        <v>2684.5492799999997</v>
      </c>
      <c r="EJ37" s="21">
        <v>2684.5492799999997</v>
      </c>
      <c r="EK37" s="21">
        <v>2684.5492799999997</v>
      </c>
      <c r="EL37" s="21">
        <v>2684.5492799999997</v>
      </c>
      <c r="EM37" s="20">
        <v>4218.57744</v>
      </c>
      <c r="EN37" s="21">
        <v>4090.7417600000003</v>
      </c>
      <c r="EO37" s="21">
        <v>4090.7417600000003</v>
      </c>
      <c r="EP37" s="21">
        <v>4090.7417600000003</v>
      </c>
      <c r="EQ37" s="20">
        <v>0</v>
      </c>
      <c r="ER37" s="21">
        <v>0</v>
      </c>
      <c r="ES37" s="21">
        <v>0</v>
      </c>
      <c r="ET37" s="21">
        <v>0</v>
      </c>
      <c r="EU37" s="20">
        <v>2301.0422400000002</v>
      </c>
      <c r="EV37" s="21">
        <v>2301.0422400000002</v>
      </c>
      <c r="EW37" s="21">
        <v>2301.0422400000002</v>
      </c>
      <c r="EX37" s="21">
        <v>2301.0422400000002</v>
      </c>
      <c r="EY37" s="20">
        <v>3835.0703999999996</v>
      </c>
      <c r="EZ37" s="21">
        <v>2940.22064</v>
      </c>
      <c r="FA37" s="21">
        <v>2684.5492799999997</v>
      </c>
      <c r="FB37" s="21">
        <v>2684.5492799999997</v>
      </c>
      <c r="FC37" s="20">
        <v>767.01407999999992</v>
      </c>
      <c r="FD37" s="21">
        <v>767.01407999999992</v>
      </c>
      <c r="FE37" s="21">
        <v>767.01407999999992</v>
      </c>
      <c r="FF37" s="21">
        <v>0</v>
      </c>
      <c r="FG37" s="20">
        <v>0</v>
      </c>
      <c r="FH37" s="21">
        <v>0</v>
      </c>
      <c r="FI37" s="21">
        <v>0</v>
      </c>
      <c r="FJ37" s="21">
        <v>767.01407999999992</v>
      </c>
      <c r="FK37" s="6"/>
      <c r="FO37">
        <v>3272</v>
      </c>
    </row>
    <row r="38" spans="1:171">
      <c r="A38" s="6"/>
      <c r="B38" s="6" t="s">
        <v>80</v>
      </c>
      <c r="C38" s="6" t="s">
        <v>641</v>
      </c>
      <c r="D38" s="20">
        <v>767.01407999999992</v>
      </c>
      <c r="E38" s="21">
        <v>767.01407999999992</v>
      </c>
      <c r="F38" s="21">
        <v>767.01407999999992</v>
      </c>
      <c r="G38" s="22">
        <v>767.01407999999992</v>
      </c>
      <c r="H38" s="20">
        <v>1022.6854400000001</v>
      </c>
      <c r="I38" s="21">
        <v>1022.6854400000001</v>
      </c>
      <c r="J38" s="21">
        <v>1022.6854400000001</v>
      </c>
      <c r="K38" s="21">
        <v>1022.6854400000001</v>
      </c>
      <c r="L38" s="20">
        <v>383.50703999999996</v>
      </c>
      <c r="M38" s="21">
        <v>383.50703999999996</v>
      </c>
      <c r="N38" s="21">
        <v>383.50703999999996</v>
      </c>
      <c r="O38" s="21">
        <v>383.50703999999996</v>
      </c>
      <c r="P38" s="20">
        <v>511.34272000000004</v>
      </c>
      <c r="Q38" s="21">
        <v>511.34272000000004</v>
      </c>
      <c r="R38" s="21">
        <v>511.34272000000004</v>
      </c>
      <c r="S38" s="21">
        <v>511.34272000000004</v>
      </c>
      <c r="T38" s="20">
        <v>639.17840000000001</v>
      </c>
      <c r="U38" s="21">
        <v>639.17840000000001</v>
      </c>
      <c r="V38" s="21">
        <v>639.17840000000001</v>
      </c>
      <c r="W38" s="21">
        <v>639.17840000000001</v>
      </c>
      <c r="X38" s="20">
        <v>639.17840000000001</v>
      </c>
      <c r="Y38" s="21">
        <v>639.17840000000001</v>
      </c>
      <c r="Z38" s="21">
        <v>639.17840000000001</v>
      </c>
      <c r="AA38" s="21">
        <v>639.17840000000001</v>
      </c>
      <c r="AB38" s="20">
        <v>894.84975999999995</v>
      </c>
      <c r="AC38" s="21">
        <v>894.84975999999995</v>
      </c>
      <c r="AD38" s="21">
        <v>894.84975999999995</v>
      </c>
      <c r="AE38" s="21">
        <v>894.84975999999995</v>
      </c>
      <c r="AF38" s="20">
        <v>383.50703999999996</v>
      </c>
      <c r="AG38" s="21">
        <v>383.50703999999996</v>
      </c>
      <c r="AH38" s="21">
        <v>383.50703999999996</v>
      </c>
      <c r="AI38" s="21">
        <v>383.50703999999996</v>
      </c>
      <c r="AJ38" s="20">
        <v>511.34272000000004</v>
      </c>
      <c r="AK38" s="21">
        <v>511.34272000000004</v>
      </c>
      <c r="AL38" s="21">
        <v>511.34272000000004</v>
      </c>
      <c r="AM38" s="21">
        <v>511.34272000000004</v>
      </c>
      <c r="AN38" s="20">
        <v>639.17840000000001</v>
      </c>
      <c r="AO38" s="21">
        <v>639.17840000000001</v>
      </c>
      <c r="AP38" s="21">
        <v>639.17840000000001</v>
      </c>
      <c r="AQ38" s="21">
        <v>639.17840000000001</v>
      </c>
      <c r="AR38" s="20">
        <v>639.17840000000001</v>
      </c>
      <c r="AS38" s="21">
        <v>639.17840000000001</v>
      </c>
      <c r="AT38" s="21">
        <v>639.17840000000001</v>
      </c>
      <c r="AU38" s="21">
        <v>639.17840000000001</v>
      </c>
      <c r="AV38" s="20">
        <v>894.84975999999995</v>
      </c>
      <c r="AW38" s="21">
        <v>894.84975999999995</v>
      </c>
      <c r="AX38" s="21">
        <v>894.84975999999995</v>
      </c>
      <c r="AY38" s="21">
        <v>894.84975999999995</v>
      </c>
      <c r="AZ38" s="20">
        <v>383.50703999999996</v>
      </c>
      <c r="BA38" s="21">
        <v>383.50703999999996</v>
      </c>
      <c r="BB38" s="21">
        <v>383.50703999999996</v>
      </c>
      <c r="BC38" s="21">
        <v>383.50703999999996</v>
      </c>
      <c r="BD38" s="20">
        <v>383.50703999999996</v>
      </c>
      <c r="BE38" s="21">
        <v>383.50703999999996</v>
      </c>
      <c r="BF38" s="21">
        <v>383.50703999999996</v>
      </c>
      <c r="BG38" s="21">
        <v>383.50703999999996</v>
      </c>
      <c r="BH38" s="20">
        <v>383.50703999999996</v>
      </c>
      <c r="BI38" s="21">
        <v>383.50703999999996</v>
      </c>
      <c r="BJ38" s="21">
        <v>383.50703999999996</v>
      </c>
      <c r="BK38" s="21">
        <v>383.50703999999996</v>
      </c>
      <c r="BL38" s="20">
        <v>383.50703999999996</v>
      </c>
      <c r="BM38" s="21">
        <v>383.50703999999996</v>
      </c>
      <c r="BN38" s="21">
        <v>383.50703999999996</v>
      </c>
      <c r="BO38" s="21">
        <v>383.50703999999996</v>
      </c>
      <c r="BP38" s="20">
        <v>383.50703999999996</v>
      </c>
      <c r="BQ38" s="21">
        <v>383.50703999999996</v>
      </c>
      <c r="BR38" s="21">
        <v>383.50703999999996</v>
      </c>
      <c r="BS38" s="21">
        <v>383.50703999999996</v>
      </c>
      <c r="BT38" s="20">
        <v>4090.7417600000003</v>
      </c>
      <c r="BU38" s="21">
        <v>4090.7417600000003</v>
      </c>
      <c r="BV38" s="21">
        <v>4090.7417600000003</v>
      </c>
      <c r="BW38" s="21">
        <v>4090.7417600000003</v>
      </c>
      <c r="BX38" s="20">
        <v>7158.7980799999996</v>
      </c>
      <c r="BY38" s="21">
        <v>7158.7980799999996</v>
      </c>
      <c r="BZ38" s="21">
        <v>7158.7980799999996</v>
      </c>
      <c r="CA38" s="21">
        <v>7158.7980799999996</v>
      </c>
      <c r="CB38" s="20">
        <v>1406.1924799999999</v>
      </c>
      <c r="CC38" s="21">
        <v>1406.1924799999999</v>
      </c>
      <c r="CD38" s="21">
        <v>1406.1924799999999</v>
      </c>
      <c r="CE38" s="21">
        <v>1406.1924799999999</v>
      </c>
      <c r="CF38" s="20">
        <v>1917.5351999999998</v>
      </c>
      <c r="CG38" s="21">
        <v>1789.6995199999999</v>
      </c>
      <c r="CH38" s="21">
        <v>1661.86384</v>
      </c>
      <c r="CI38" s="21">
        <v>1661.86384</v>
      </c>
      <c r="CJ38" s="20">
        <v>511.34272000000004</v>
      </c>
      <c r="CK38" s="21">
        <v>383.50703999999996</v>
      </c>
      <c r="CL38" s="21">
        <v>255.67136000000002</v>
      </c>
      <c r="CM38" s="21">
        <v>255.67136000000002</v>
      </c>
      <c r="CN38" s="21">
        <f>0.877*1.099*1465</f>
        <v>1412.000695</v>
      </c>
      <c r="CO38" s="21">
        <f>0.877*1.099*1100</f>
        <v>1060.2053000000001</v>
      </c>
      <c r="CP38" s="21">
        <f>0.877*1.099*491</f>
        <v>473.23709300000002</v>
      </c>
      <c r="CQ38" s="20">
        <v>1278.3568</v>
      </c>
      <c r="CR38" s="21">
        <v>1150.5211200000001</v>
      </c>
      <c r="CS38" s="21">
        <v>1150.5211200000001</v>
      </c>
      <c r="CT38" s="21">
        <v>1150.5211200000001</v>
      </c>
      <c r="CU38" s="20">
        <v>1534.0281599999998</v>
      </c>
      <c r="CV38" s="21">
        <v>1406.1924799999999</v>
      </c>
      <c r="CW38" s="21">
        <v>1406.1924799999999</v>
      </c>
      <c r="CX38" s="21">
        <v>1406.1924799999999</v>
      </c>
      <c r="CY38" s="20">
        <v>1789.6995199999999</v>
      </c>
      <c r="CZ38" s="21">
        <v>1789.6995199999999</v>
      </c>
      <c r="DA38" s="21">
        <v>1789.6995199999999</v>
      </c>
      <c r="DB38" s="21">
        <v>1789.6995199999999</v>
      </c>
      <c r="DC38" s="20">
        <v>11760.88256</v>
      </c>
      <c r="DD38" s="21">
        <v>11633.04688</v>
      </c>
      <c r="DE38" s="21">
        <v>11505.2112</v>
      </c>
      <c r="DF38" s="21">
        <v>11505.2112</v>
      </c>
      <c r="DG38" s="20">
        <v>18152.666559999998</v>
      </c>
      <c r="DH38" s="21">
        <v>17896.995199999998</v>
      </c>
      <c r="DI38" s="21">
        <v>17769.159519999997</v>
      </c>
      <c r="DJ38" s="21">
        <v>17641.323840000001</v>
      </c>
      <c r="DK38" s="20">
        <v>5496.9342400000005</v>
      </c>
      <c r="DL38" s="21">
        <v>5496.9342400000005</v>
      </c>
      <c r="DM38" s="21">
        <v>5496.9342400000005</v>
      </c>
      <c r="DN38" s="21">
        <v>5496.9342400000005</v>
      </c>
      <c r="DO38" s="20">
        <v>6263.9483200000004</v>
      </c>
      <c r="DP38" s="21">
        <v>6263.9483200000004</v>
      </c>
      <c r="DQ38" s="21">
        <v>6263.9483200000004</v>
      </c>
      <c r="DR38" s="21">
        <v>6263.9483200000004</v>
      </c>
      <c r="DS38" s="20">
        <v>8309.3191999999999</v>
      </c>
      <c r="DT38" s="21">
        <v>7797.9764800000003</v>
      </c>
      <c r="DU38" s="21">
        <v>7670.1407999999992</v>
      </c>
      <c r="DV38" s="21">
        <v>7670.1407999999992</v>
      </c>
      <c r="DW38" s="20">
        <v>8820.6619200000005</v>
      </c>
      <c r="DX38" s="21">
        <v>8309.3191999999999</v>
      </c>
      <c r="DY38" s="21">
        <v>7925.8121600000004</v>
      </c>
      <c r="DZ38" s="21">
        <v>7797.9764800000003</v>
      </c>
      <c r="EA38" s="20">
        <v>10099.01872</v>
      </c>
      <c r="EB38" s="21">
        <v>9587.6759999999995</v>
      </c>
      <c r="EC38" s="21">
        <v>9076.3332799999989</v>
      </c>
      <c r="ED38" s="21">
        <v>8948.4975999999988</v>
      </c>
      <c r="EE38" s="20">
        <v>3195.8919999999998</v>
      </c>
      <c r="EF38" s="21">
        <v>3195.8919999999998</v>
      </c>
      <c r="EG38" s="21">
        <v>3195.8919999999998</v>
      </c>
      <c r="EH38" s="21">
        <v>3195.8919999999998</v>
      </c>
      <c r="EI38" s="20">
        <v>7414.4694399999998</v>
      </c>
      <c r="EJ38" s="21">
        <v>7414.4694399999998</v>
      </c>
      <c r="EK38" s="21">
        <v>7414.4694399999998</v>
      </c>
      <c r="EL38" s="21">
        <v>7414.4694399999998</v>
      </c>
      <c r="EM38" s="20">
        <v>9715.5116799999996</v>
      </c>
      <c r="EN38" s="21">
        <v>9587.6759999999995</v>
      </c>
      <c r="EO38" s="21">
        <v>9459.8403199999993</v>
      </c>
      <c r="EP38" s="21">
        <v>9459.8403199999993</v>
      </c>
      <c r="EQ38" s="20">
        <v>4729.9201599999997</v>
      </c>
      <c r="ER38" s="21">
        <v>4729.9201599999997</v>
      </c>
      <c r="ES38" s="21">
        <v>4729.9201599999997</v>
      </c>
      <c r="ET38" s="21">
        <v>4729.9201599999997</v>
      </c>
      <c r="EU38" s="20">
        <v>4346.4131200000002</v>
      </c>
      <c r="EV38" s="21">
        <v>4346.4131200000002</v>
      </c>
      <c r="EW38" s="21">
        <v>4346.4131200000002</v>
      </c>
      <c r="EX38" s="21">
        <v>4346.4131200000002</v>
      </c>
      <c r="EY38" s="20">
        <v>6647.4553599999999</v>
      </c>
      <c r="EZ38" s="21">
        <v>5113.4272000000001</v>
      </c>
      <c r="FA38" s="21">
        <v>4602.0844800000004</v>
      </c>
      <c r="FB38" s="21">
        <v>4602.0844800000004</v>
      </c>
      <c r="FC38" s="20">
        <v>894.84975999999995</v>
      </c>
      <c r="FD38" s="21">
        <v>894.84975999999995</v>
      </c>
      <c r="FE38" s="21">
        <v>894.84975999999995</v>
      </c>
      <c r="FF38" s="21">
        <v>0</v>
      </c>
      <c r="FG38" s="20">
        <v>0</v>
      </c>
      <c r="FH38" s="21">
        <v>0</v>
      </c>
      <c r="FI38" s="21">
        <v>0</v>
      </c>
      <c r="FJ38" s="21">
        <v>767.01407999999992</v>
      </c>
      <c r="FK38" s="6">
        <v>4441.17</v>
      </c>
      <c r="FL38" s="21">
        <v>4038.7</v>
      </c>
      <c r="FM38" s="42">
        <v>1523.2</v>
      </c>
      <c r="FN38" s="42">
        <v>1103.2</v>
      </c>
      <c r="FO38">
        <v>6544</v>
      </c>
    </row>
    <row r="39" spans="1:171">
      <c r="A39" s="6"/>
      <c r="B39" s="6" t="s">
        <v>643</v>
      </c>
      <c r="C39" s="6" t="s">
        <v>641</v>
      </c>
      <c r="D39" s="20">
        <v>894.84975999999995</v>
      </c>
      <c r="E39" s="21">
        <v>894.84975999999995</v>
      </c>
      <c r="F39" s="21">
        <v>894.84975999999995</v>
      </c>
      <c r="G39" s="22">
        <v>894.84975999999995</v>
      </c>
      <c r="H39" s="20">
        <v>1278.3568</v>
      </c>
      <c r="I39" s="21">
        <v>1278.3568</v>
      </c>
      <c r="J39" s="21">
        <v>1278.3568</v>
      </c>
      <c r="K39" s="21">
        <v>1278.3568</v>
      </c>
      <c r="L39" s="20">
        <v>383.50703999999996</v>
      </c>
      <c r="M39" s="21">
        <v>511.34272000000004</v>
      </c>
      <c r="N39" s="21">
        <v>511.34272000000004</v>
      </c>
      <c r="O39" s="21">
        <v>511.34272000000004</v>
      </c>
      <c r="P39" s="20">
        <v>511.34272000000004</v>
      </c>
      <c r="Q39" s="21">
        <v>511.34272000000004</v>
      </c>
      <c r="R39" s="21">
        <v>511.34272000000004</v>
      </c>
      <c r="S39" s="21">
        <v>511.34272000000004</v>
      </c>
      <c r="T39" s="20">
        <v>1022.6854400000001</v>
      </c>
      <c r="U39" s="21">
        <v>1022.6854400000001</v>
      </c>
      <c r="V39" s="21">
        <v>1022.6854400000001</v>
      </c>
      <c r="W39" s="21">
        <v>1022.6854400000001</v>
      </c>
      <c r="X39" s="20">
        <v>1022.6854400000001</v>
      </c>
      <c r="Y39" s="21">
        <v>1022.6854400000001</v>
      </c>
      <c r="Z39" s="21">
        <v>1022.6854400000001</v>
      </c>
      <c r="AA39" s="21">
        <v>1022.6854400000001</v>
      </c>
      <c r="AB39" s="20">
        <v>1150.5211200000001</v>
      </c>
      <c r="AC39" s="21">
        <v>1150.5211200000001</v>
      </c>
      <c r="AD39" s="21">
        <v>1150.5211200000001</v>
      </c>
      <c r="AE39" s="21">
        <v>1150.5211200000001</v>
      </c>
      <c r="AF39" s="20">
        <v>383.50703999999996</v>
      </c>
      <c r="AG39" s="21">
        <v>511.34272000000004</v>
      </c>
      <c r="AH39" s="21">
        <v>511.34272000000004</v>
      </c>
      <c r="AI39" s="21">
        <v>511.34272000000004</v>
      </c>
      <c r="AJ39" s="20">
        <v>511.34272000000004</v>
      </c>
      <c r="AK39" s="21">
        <v>511.34272000000004</v>
      </c>
      <c r="AL39" s="21">
        <v>511.34272000000004</v>
      </c>
      <c r="AM39" s="21">
        <v>511.34272000000004</v>
      </c>
      <c r="AN39" s="20">
        <v>1022.6854400000001</v>
      </c>
      <c r="AO39" s="21">
        <v>1022.6854400000001</v>
      </c>
      <c r="AP39" s="21">
        <v>1022.6854400000001</v>
      </c>
      <c r="AQ39" s="21">
        <v>1022.6854400000001</v>
      </c>
      <c r="AR39" s="20">
        <v>1022.6854400000001</v>
      </c>
      <c r="AS39" s="21">
        <v>1022.6854400000001</v>
      </c>
      <c r="AT39" s="21">
        <v>1022.6854400000001</v>
      </c>
      <c r="AU39" s="21">
        <v>1022.6854400000001</v>
      </c>
      <c r="AV39" s="20">
        <v>1150.5211200000001</v>
      </c>
      <c r="AW39" s="21">
        <v>1150.5211200000001</v>
      </c>
      <c r="AX39" s="21">
        <v>1150.5211200000001</v>
      </c>
      <c r="AY39" s="21">
        <v>1150.5211200000001</v>
      </c>
      <c r="AZ39" s="20">
        <v>383.50703999999996</v>
      </c>
      <c r="BA39" s="21">
        <v>383.50703999999996</v>
      </c>
      <c r="BB39" s="21">
        <v>383.50703999999996</v>
      </c>
      <c r="BC39" s="21">
        <v>383.50703999999996</v>
      </c>
      <c r="BD39" s="20">
        <v>383.50703999999996</v>
      </c>
      <c r="BE39" s="21">
        <v>383.50703999999996</v>
      </c>
      <c r="BF39" s="21">
        <v>383.50703999999996</v>
      </c>
      <c r="BG39" s="21">
        <v>383.50703999999996</v>
      </c>
      <c r="BH39" s="20">
        <v>383.50703999999996</v>
      </c>
      <c r="BI39" s="21">
        <v>383.50703999999996</v>
      </c>
      <c r="BJ39" s="21">
        <v>383.50703999999996</v>
      </c>
      <c r="BK39" s="21">
        <v>383.50703999999996</v>
      </c>
      <c r="BL39" s="20">
        <v>511.34272000000004</v>
      </c>
      <c r="BM39" s="21">
        <v>511.34272000000004</v>
      </c>
      <c r="BN39" s="21">
        <v>511.34272000000004</v>
      </c>
      <c r="BO39" s="21">
        <v>511.34272000000004</v>
      </c>
      <c r="BP39" s="20">
        <v>511.34272000000004</v>
      </c>
      <c r="BQ39" s="21">
        <v>511.34272000000004</v>
      </c>
      <c r="BR39" s="21">
        <v>511.34272000000004</v>
      </c>
      <c r="BS39" s="21">
        <v>511.34272000000004</v>
      </c>
      <c r="BT39" s="20">
        <v>4857.7558399999998</v>
      </c>
      <c r="BU39" s="21">
        <v>4729.9201599999997</v>
      </c>
      <c r="BV39" s="21">
        <v>4729.9201599999997</v>
      </c>
      <c r="BW39" s="21">
        <v>4729.9201599999997</v>
      </c>
      <c r="BX39" s="20">
        <v>8564.9905600000002</v>
      </c>
      <c r="BY39" s="21">
        <v>8564.9905600000002</v>
      </c>
      <c r="BZ39" s="21">
        <v>8437.15488</v>
      </c>
      <c r="CA39" s="21">
        <v>8437.15488</v>
      </c>
      <c r="CB39" s="20">
        <v>1534.0281599999998</v>
      </c>
      <c r="CC39" s="21">
        <v>1534.0281599999998</v>
      </c>
      <c r="CD39" s="21">
        <v>1534.0281599999998</v>
      </c>
      <c r="CE39" s="21">
        <v>1534.0281599999998</v>
      </c>
      <c r="CF39" s="20">
        <v>2556.7136</v>
      </c>
      <c r="CG39" s="21">
        <v>2173.2065600000001</v>
      </c>
      <c r="CH39" s="21">
        <v>1917.5351999999998</v>
      </c>
      <c r="CI39" s="21">
        <v>1917.5351999999998</v>
      </c>
      <c r="CJ39" s="20">
        <v>511.34272000000004</v>
      </c>
      <c r="CK39" s="21">
        <v>383.50703999999996</v>
      </c>
      <c r="CL39" s="21">
        <v>383.50703999999996</v>
      </c>
      <c r="CM39" s="21">
        <v>255.67136000000002</v>
      </c>
      <c r="CN39" s="21">
        <f>0.877*1.099*3123</f>
        <v>3010.019229</v>
      </c>
      <c r="CO39" s="21">
        <f>0.877*1.099*2626</f>
        <v>2530.999198</v>
      </c>
      <c r="CP39" s="21">
        <f>0.877*1.099*675</f>
        <v>650.58052499999997</v>
      </c>
      <c r="CQ39" s="20">
        <v>1534.0281599999998</v>
      </c>
      <c r="CR39" s="21">
        <v>1406.1924799999999</v>
      </c>
      <c r="CS39" s="21">
        <v>1406.1924799999999</v>
      </c>
      <c r="CT39" s="21">
        <v>1406.1924799999999</v>
      </c>
      <c r="CU39" s="20">
        <v>1917.5351999999998</v>
      </c>
      <c r="CV39" s="21">
        <v>1789.6995199999999</v>
      </c>
      <c r="CW39" s="21">
        <v>1789.6995199999999</v>
      </c>
      <c r="CX39" s="21">
        <v>1789.6995199999999</v>
      </c>
      <c r="CY39" s="20">
        <v>2301.0422400000002</v>
      </c>
      <c r="CZ39" s="21">
        <v>2173.2065600000001</v>
      </c>
      <c r="DA39" s="21">
        <v>2173.2065600000001</v>
      </c>
      <c r="DB39" s="21">
        <v>2173.2065600000001</v>
      </c>
      <c r="DC39" s="20">
        <v>17896.995199999998</v>
      </c>
      <c r="DD39" s="21">
        <v>17769.159519999997</v>
      </c>
      <c r="DE39" s="21">
        <v>17641.323840000001</v>
      </c>
      <c r="DF39" s="21">
        <v>17641.323840000001</v>
      </c>
      <c r="DG39" s="20">
        <v>22115.572639999999</v>
      </c>
      <c r="DH39" s="21">
        <v>21732.065600000002</v>
      </c>
      <c r="DI39" s="21">
        <v>21476.394239999998</v>
      </c>
      <c r="DJ39" s="21">
        <v>21348.558559999998</v>
      </c>
      <c r="DK39" s="20">
        <v>7158.7980799999996</v>
      </c>
      <c r="DL39" s="21">
        <v>7158.7980799999996</v>
      </c>
      <c r="DM39" s="21">
        <v>7158.7980799999996</v>
      </c>
      <c r="DN39" s="21">
        <v>7158.7980799999996</v>
      </c>
      <c r="DO39" s="20">
        <v>8181.4835200000007</v>
      </c>
      <c r="DP39" s="21">
        <v>8181.4835200000007</v>
      </c>
      <c r="DQ39" s="21">
        <v>8181.4835200000007</v>
      </c>
      <c r="DR39" s="21">
        <v>8181.4835200000007</v>
      </c>
      <c r="DS39" s="20">
        <v>9715.5116799999996</v>
      </c>
      <c r="DT39" s="21">
        <v>9204.1689600000009</v>
      </c>
      <c r="DU39" s="21">
        <v>8948.4975999999988</v>
      </c>
      <c r="DV39" s="21">
        <v>8948.4975999999988</v>
      </c>
      <c r="DW39" s="20">
        <v>12655.732319999999</v>
      </c>
      <c r="DX39" s="21">
        <v>11888.71824</v>
      </c>
      <c r="DY39" s="21">
        <v>11377.37552</v>
      </c>
      <c r="DZ39" s="21">
        <v>11121.704159999999</v>
      </c>
      <c r="EA39" s="20">
        <v>15212.44592</v>
      </c>
      <c r="EB39" s="21">
        <v>14317.596159999999</v>
      </c>
      <c r="EC39" s="21">
        <v>13678.41776</v>
      </c>
      <c r="ED39" s="21">
        <v>13294.91072</v>
      </c>
      <c r="EE39" s="20">
        <v>5241.2628800000002</v>
      </c>
      <c r="EF39" s="21">
        <v>5241.2628800000002</v>
      </c>
      <c r="EG39" s="21">
        <v>5241.2628800000002</v>
      </c>
      <c r="EH39" s="21">
        <v>5241.2628800000002</v>
      </c>
      <c r="EI39" s="20">
        <v>10226.8544</v>
      </c>
      <c r="EJ39" s="21">
        <v>10226.8544</v>
      </c>
      <c r="EK39" s="21">
        <v>10226.8544</v>
      </c>
      <c r="EL39" s="21">
        <v>10226.8544</v>
      </c>
      <c r="EM39" s="20">
        <v>13294.91072</v>
      </c>
      <c r="EN39" s="21">
        <v>13039.23936</v>
      </c>
      <c r="EO39" s="21">
        <v>12783.567999999999</v>
      </c>
      <c r="EP39" s="21">
        <v>12783.567999999999</v>
      </c>
      <c r="EQ39" s="20">
        <v>0</v>
      </c>
      <c r="ER39" s="21">
        <v>0</v>
      </c>
      <c r="ES39" s="21">
        <v>0</v>
      </c>
      <c r="ET39" s="21">
        <v>0</v>
      </c>
      <c r="EU39" s="20">
        <v>4474.2487999999994</v>
      </c>
      <c r="EV39" s="21">
        <v>4474.2487999999994</v>
      </c>
      <c r="EW39" s="21">
        <v>4474.2487999999994</v>
      </c>
      <c r="EX39" s="21">
        <v>4474.2487999999994</v>
      </c>
      <c r="EY39" s="20">
        <v>9076.3332799999989</v>
      </c>
      <c r="EZ39" s="21">
        <v>7030.9624000000003</v>
      </c>
      <c r="FA39" s="21">
        <v>6263.9483200000004</v>
      </c>
      <c r="FB39" s="21">
        <v>6263.9483200000004</v>
      </c>
      <c r="FC39" s="20">
        <v>1022.6854400000001</v>
      </c>
      <c r="FD39" s="21">
        <v>1022.6854400000001</v>
      </c>
      <c r="FE39" s="21">
        <v>1022.6854400000001</v>
      </c>
      <c r="FF39" s="21">
        <v>0</v>
      </c>
      <c r="FG39" s="20">
        <v>0</v>
      </c>
      <c r="FH39" s="21">
        <v>0</v>
      </c>
      <c r="FI39" s="21">
        <v>0</v>
      </c>
      <c r="FJ39" s="21">
        <v>767.01407999999992</v>
      </c>
      <c r="FK39" s="6"/>
      <c r="FO39">
        <v>9816</v>
      </c>
    </row>
    <row r="40" spans="1:171">
      <c r="A40" s="10" t="s">
        <v>28</v>
      </c>
      <c r="B40" s="10" t="s">
        <v>644</v>
      </c>
      <c r="C40" s="10" t="s">
        <v>639</v>
      </c>
      <c r="D40" s="11">
        <v>2</v>
      </c>
      <c r="E40" s="12">
        <v>2</v>
      </c>
      <c r="F40" s="12">
        <v>2</v>
      </c>
      <c r="G40" s="13">
        <v>2</v>
      </c>
      <c r="H40" s="11">
        <v>2</v>
      </c>
      <c r="I40" s="12">
        <v>2</v>
      </c>
      <c r="J40" s="12">
        <v>2</v>
      </c>
      <c r="K40" s="12">
        <v>2</v>
      </c>
      <c r="L40" s="11">
        <v>2</v>
      </c>
      <c r="M40" s="12">
        <v>2</v>
      </c>
      <c r="N40" s="12">
        <v>2</v>
      </c>
      <c r="O40" s="12">
        <v>2</v>
      </c>
      <c r="P40" s="11">
        <v>2</v>
      </c>
      <c r="Q40" s="12">
        <v>2</v>
      </c>
      <c r="R40" s="12">
        <v>2</v>
      </c>
      <c r="S40" s="12">
        <v>2</v>
      </c>
      <c r="T40" s="11">
        <v>2</v>
      </c>
      <c r="U40" s="12">
        <v>2</v>
      </c>
      <c r="V40" s="12">
        <v>2</v>
      </c>
      <c r="W40" s="12">
        <v>2</v>
      </c>
      <c r="X40" s="11">
        <v>2</v>
      </c>
      <c r="Y40" s="12">
        <v>2</v>
      </c>
      <c r="Z40" s="12">
        <v>2</v>
      </c>
      <c r="AA40" s="12">
        <v>2</v>
      </c>
      <c r="AB40" s="11">
        <v>2</v>
      </c>
      <c r="AC40" s="12">
        <v>2</v>
      </c>
      <c r="AD40" s="12">
        <v>2</v>
      </c>
      <c r="AE40" s="12">
        <v>2</v>
      </c>
      <c r="AF40" s="11">
        <v>2</v>
      </c>
      <c r="AG40" s="12">
        <v>2</v>
      </c>
      <c r="AH40" s="12">
        <v>2</v>
      </c>
      <c r="AI40" s="12">
        <v>2</v>
      </c>
      <c r="AJ40" s="11">
        <v>2</v>
      </c>
      <c r="AK40" s="12">
        <v>2</v>
      </c>
      <c r="AL40" s="12">
        <v>2</v>
      </c>
      <c r="AM40" s="12">
        <v>2</v>
      </c>
      <c r="AN40" s="11">
        <v>2</v>
      </c>
      <c r="AO40" s="12">
        <v>2</v>
      </c>
      <c r="AP40" s="12">
        <v>2</v>
      </c>
      <c r="AQ40" s="12">
        <v>2</v>
      </c>
      <c r="AR40" s="11">
        <v>2</v>
      </c>
      <c r="AS40" s="12">
        <v>2</v>
      </c>
      <c r="AT40" s="12">
        <v>2</v>
      </c>
      <c r="AU40" s="12">
        <v>2</v>
      </c>
      <c r="AV40" s="11">
        <v>2</v>
      </c>
      <c r="AW40" s="12">
        <v>2</v>
      </c>
      <c r="AX40" s="12">
        <v>2</v>
      </c>
      <c r="AY40" s="12">
        <v>2</v>
      </c>
      <c r="AZ40" s="11">
        <v>0</v>
      </c>
      <c r="BA40" s="12">
        <v>0</v>
      </c>
      <c r="BB40" s="12">
        <v>0</v>
      </c>
      <c r="BC40" s="12">
        <v>0</v>
      </c>
      <c r="BD40" s="11">
        <v>0</v>
      </c>
      <c r="BE40" s="12">
        <v>0</v>
      </c>
      <c r="BF40" s="12">
        <v>0</v>
      </c>
      <c r="BG40" s="12">
        <v>0</v>
      </c>
      <c r="BH40" s="11">
        <v>0</v>
      </c>
      <c r="BI40" s="12">
        <v>0</v>
      </c>
      <c r="BJ40" s="12">
        <v>0</v>
      </c>
      <c r="BK40" s="12">
        <v>0</v>
      </c>
      <c r="BL40" s="11">
        <v>0</v>
      </c>
      <c r="BM40" s="12">
        <v>0</v>
      </c>
      <c r="BN40" s="12">
        <v>0</v>
      </c>
      <c r="BO40" s="12">
        <v>0</v>
      </c>
      <c r="BP40" s="11">
        <v>0</v>
      </c>
      <c r="BQ40" s="12">
        <v>0</v>
      </c>
      <c r="BR40" s="12">
        <v>0</v>
      </c>
      <c r="BS40" s="12">
        <v>0</v>
      </c>
      <c r="BT40" s="11">
        <v>2</v>
      </c>
      <c r="BU40" s="12">
        <v>2</v>
      </c>
      <c r="BV40" s="12">
        <v>2</v>
      </c>
      <c r="BW40" s="12">
        <v>2</v>
      </c>
      <c r="BX40" s="11">
        <v>2</v>
      </c>
      <c r="BY40" s="12">
        <v>2</v>
      </c>
      <c r="BZ40" s="12">
        <v>2</v>
      </c>
      <c r="CA40" s="12">
        <v>2</v>
      </c>
      <c r="CB40" s="11">
        <v>1</v>
      </c>
      <c r="CC40" s="12">
        <v>1</v>
      </c>
      <c r="CD40" s="12">
        <v>1</v>
      </c>
      <c r="CE40" s="12">
        <v>1</v>
      </c>
      <c r="CF40" s="11">
        <v>2</v>
      </c>
      <c r="CG40" s="12">
        <v>2</v>
      </c>
      <c r="CH40" s="12">
        <v>2</v>
      </c>
      <c r="CI40" s="12">
        <v>2</v>
      </c>
      <c r="CJ40" s="11">
        <v>0</v>
      </c>
      <c r="CK40" s="12">
        <v>0</v>
      </c>
      <c r="CL40" s="12">
        <v>0</v>
      </c>
      <c r="CM40" s="12">
        <v>0</v>
      </c>
      <c r="CN40" s="11">
        <v>0</v>
      </c>
      <c r="CO40" s="11">
        <v>0</v>
      </c>
      <c r="CP40" s="11">
        <v>0</v>
      </c>
      <c r="CQ40" s="11">
        <v>1</v>
      </c>
      <c r="CR40" s="12">
        <v>1</v>
      </c>
      <c r="CS40" s="12">
        <v>1</v>
      </c>
      <c r="CT40" s="12">
        <v>1</v>
      </c>
      <c r="CU40" s="11">
        <v>1</v>
      </c>
      <c r="CV40" s="12">
        <v>1</v>
      </c>
      <c r="CW40" s="12">
        <v>1</v>
      </c>
      <c r="CX40" s="12">
        <v>1</v>
      </c>
      <c r="CY40" s="11">
        <v>1</v>
      </c>
      <c r="CZ40" s="12">
        <v>1</v>
      </c>
      <c r="DA40" s="12">
        <v>1</v>
      </c>
      <c r="DB40" s="12">
        <v>1</v>
      </c>
      <c r="DC40" s="11">
        <v>3</v>
      </c>
      <c r="DD40" s="12">
        <v>3</v>
      </c>
      <c r="DE40" s="12">
        <v>3</v>
      </c>
      <c r="DF40" s="12">
        <v>3</v>
      </c>
      <c r="DG40" s="11">
        <v>3</v>
      </c>
      <c r="DH40" s="12">
        <v>3</v>
      </c>
      <c r="DI40" s="12">
        <v>3</v>
      </c>
      <c r="DJ40" s="12">
        <v>3</v>
      </c>
      <c r="DK40" s="11">
        <v>1</v>
      </c>
      <c r="DL40" s="12">
        <v>1</v>
      </c>
      <c r="DM40" s="12">
        <v>1</v>
      </c>
      <c r="DN40" s="12">
        <v>1</v>
      </c>
      <c r="DO40" s="11">
        <v>1</v>
      </c>
      <c r="DP40" s="12">
        <v>1</v>
      </c>
      <c r="DQ40" s="12">
        <v>1</v>
      </c>
      <c r="DR40" s="12">
        <v>1</v>
      </c>
      <c r="DS40" s="11">
        <v>2</v>
      </c>
      <c r="DT40" s="12">
        <v>2</v>
      </c>
      <c r="DU40" s="12">
        <v>2</v>
      </c>
      <c r="DV40" s="12">
        <v>2</v>
      </c>
      <c r="DW40" s="11">
        <v>2</v>
      </c>
      <c r="DX40" s="12">
        <v>2</v>
      </c>
      <c r="DY40" s="12">
        <v>2</v>
      </c>
      <c r="DZ40" s="12">
        <v>2</v>
      </c>
      <c r="EA40" s="11">
        <v>2</v>
      </c>
      <c r="EB40" s="12">
        <v>2</v>
      </c>
      <c r="EC40" s="12">
        <v>2</v>
      </c>
      <c r="ED40" s="12">
        <v>2</v>
      </c>
      <c r="EE40" s="11">
        <v>0</v>
      </c>
      <c r="EF40" s="12">
        <v>0</v>
      </c>
      <c r="EG40" s="12">
        <v>0</v>
      </c>
      <c r="EH40" s="12">
        <v>0</v>
      </c>
      <c r="EI40" s="11">
        <v>2</v>
      </c>
      <c r="EJ40" s="12">
        <v>2</v>
      </c>
      <c r="EK40" s="12">
        <v>2</v>
      </c>
      <c r="EL40" s="12">
        <v>2</v>
      </c>
      <c r="EM40" s="11">
        <v>2</v>
      </c>
      <c r="EN40" s="12">
        <v>2</v>
      </c>
      <c r="EO40" s="12">
        <v>2</v>
      </c>
      <c r="EP40" s="12">
        <v>2</v>
      </c>
      <c r="EQ40" s="11">
        <v>0</v>
      </c>
      <c r="ER40" s="12">
        <v>0</v>
      </c>
      <c r="ES40" s="12">
        <v>0</v>
      </c>
      <c r="ET40" s="12">
        <v>0</v>
      </c>
      <c r="EU40" s="11">
        <v>1</v>
      </c>
      <c r="EV40" s="12">
        <v>1</v>
      </c>
      <c r="EW40" s="12">
        <v>1</v>
      </c>
      <c r="EX40" s="12">
        <v>1</v>
      </c>
      <c r="EY40" s="11">
        <v>2</v>
      </c>
      <c r="EZ40" s="12">
        <v>2</v>
      </c>
      <c r="FA40" s="12">
        <v>2</v>
      </c>
      <c r="FB40" s="12">
        <v>2</v>
      </c>
      <c r="FC40" s="11">
        <v>2</v>
      </c>
      <c r="FD40" s="12">
        <v>2</v>
      </c>
      <c r="FE40" s="12">
        <v>2</v>
      </c>
      <c r="FF40" s="12"/>
      <c r="FG40" s="11"/>
      <c r="FH40" s="12"/>
      <c r="FI40" s="12"/>
      <c r="FJ40" s="12">
        <v>2</v>
      </c>
      <c r="FK40" s="6"/>
      <c r="FO40">
        <v>5</v>
      </c>
    </row>
    <row r="41" spans="1:171">
      <c r="A41" s="10"/>
      <c r="B41" s="10" t="s">
        <v>80</v>
      </c>
      <c r="C41" s="10" t="s">
        <v>639</v>
      </c>
      <c r="D41" s="11">
        <v>3</v>
      </c>
      <c r="E41" s="12">
        <v>3</v>
      </c>
      <c r="F41" s="12">
        <v>3</v>
      </c>
      <c r="G41" s="13">
        <v>3</v>
      </c>
      <c r="H41" s="11">
        <v>3</v>
      </c>
      <c r="I41" s="12">
        <v>3</v>
      </c>
      <c r="J41" s="12">
        <v>3</v>
      </c>
      <c r="K41" s="12">
        <v>3</v>
      </c>
      <c r="L41" s="11">
        <v>2</v>
      </c>
      <c r="M41" s="12">
        <v>2</v>
      </c>
      <c r="N41" s="12">
        <v>2</v>
      </c>
      <c r="O41" s="12">
        <v>2</v>
      </c>
      <c r="P41" s="11">
        <v>2</v>
      </c>
      <c r="Q41" s="12">
        <v>2</v>
      </c>
      <c r="R41" s="12">
        <v>2</v>
      </c>
      <c r="S41" s="12">
        <v>2</v>
      </c>
      <c r="T41" s="11">
        <v>2</v>
      </c>
      <c r="U41" s="12">
        <v>2</v>
      </c>
      <c r="V41" s="12">
        <v>2</v>
      </c>
      <c r="W41" s="12">
        <v>2</v>
      </c>
      <c r="X41" s="11">
        <v>2</v>
      </c>
      <c r="Y41" s="12">
        <v>2</v>
      </c>
      <c r="Z41" s="12">
        <v>2</v>
      </c>
      <c r="AA41" s="12">
        <v>2</v>
      </c>
      <c r="AB41" s="11">
        <v>2</v>
      </c>
      <c r="AC41" s="12">
        <v>2</v>
      </c>
      <c r="AD41" s="12">
        <v>2</v>
      </c>
      <c r="AE41" s="12">
        <v>2</v>
      </c>
      <c r="AF41" s="11">
        <v>2</v>
      </c>
      <c r="AG41" s="12">
        <v>2</v>
      </c>
      <c r="AH41" s="12">
        <v>2</v>
      </c>
      <c r="AI41" s="12">
        <v>2</v>
      </c>
      <c r="AJ41" s="11">
        <v>2</v>
      </c>
      <c r="AK41" s="12">
        <v>2</v>
      </c>
      <c r="AL41" s="12">
        <v>2</v>
      </c>
      <c r="AM41" s="12">
        <v>2</v>
      </c>
      <c r="AN41" s="11">
        <v>2</v>
      </c>
      <c r="AO41" s="12">
        <v>2</v>
      </c>
      <c r="AP41" s="12">
        <v>2</v>
      </c>
      <c r="AQ41" s="12">
        <v>2</v>
      </c>
      <c r="AR41" s="11">
        <v>2</v>
      </c>
      <c r="AS41" s="12">
        <v>2</v>
      </c>
      <c r="AT41" s="12">
        <v>2</v>
      </c>
      <c r="AU41" s="12">
        <v>2</v>
      </c>
      <c r="AV41" s="11">
        <v>2</v>
      </c>
      <c r="AW41" s="12">
        <v>2</v>
      </c>
      <c r="AX41" s="12">
        <v>2</v>
      </c>
      <c r="AY41" s="12">
        <v>2</v>
      </c>
      <c r="AZ41" s="11">
        <v>1</v>
      </c>
      <c r="BA41" s="12">
        <v>1</v>
      </c>
      <c r="BB41" s="12">
        <v>1</v>
      </c>
      <c r="BC41" s="12">
        <v>1</v>
      </c>
      <c r="BD41" s="11">
        <v>1</v>
      </c>
      <c r="BE41" s="12">
        <v>1</v>
      </c>
      <c r="BF41" s="12">
        <v>1</v>
      </c>
      <c r="BG41" s="12">
        <v>1</v>
      </c>
      <c r="BH41" s="11">
        <v>1</v>
      </c>
      <c r="BI41" s="12">
        <v>1</v>
      </c>
      <c r="BJ41" s="12">
        <v>1</v>
      </c>
      <c r="BK41" s="12">
        <v>1</v>
      </c>
      <c r="BL41" s="11">
        <v>1</v>
      </c>
      <c r="BM41" s="12">
        <v>1</v>
      </c>
      <c r="BN41" s="12">
        <v>1</v>
      </c>
      <c r="BO41" s="12">
        <v>1</v>
      </c>
      <c r="BP41" s="11">
        <v>1</v>
      </c>
      <c r="BQ41" s="12">
        <v>1</v>
      </c>
      <c r="BR41" s="12">
        <v>1</v>
      </c>
      <c r="BS41" s="12">
        <v>1</v>
      </c>
      <c r="BT41" s="11">
        <v>2</v>
      </c>
      <c r="BU41" s="12">
        <v>2</v>
      </c>
      <c r="BV41" s="12">
        <v>2</v>
      </c>
      <c r="BW41" s="12">
        <v>2</v>
      </c>
      <c r="BX41" s="11">
        <v>2</v>
      </c>
      <c r="BY41" s="12">
        <v>2</v>
      </c>
      <c r="BZ41" s="12">
        <v>2</v>
      </c>
      <c r="CA41" s="12">
        <v>2</v>
      </c>
      <c r="CB41" s="11">
        <v>2</v>
      </c>
      <c r="CC41" s="12">
        <v>2</v>
      </c>
      <c r="CD41" s="12">
        <v>2</v>
      </c>
      <c r="CE41" s="12">
        <v>2</v>
      </c>
      <c r="CF41" s="11">
        <v>2</v>
      </c>
      <c r="CG41" s="12">
        <v>2</v>
      </c>
      <c r="CH41" s="12">
        <v>2</v>
      </c>
      <c r="CI41" s="12">
        <v>2</v>
      </c>
      <c r="CJ41" s="11">
        <v>1</v>
      </c>
      <c r="CK41" s="12">
        <v>1</v>
      </c>
      <c r="CL41" s="12">
        <v>1</v>
      </c>
      <c r="CM41" s="12">
        <v>1</v>
      </c>
      <c r="CN41" s="11">
        <v>1</v>
      </c>
      <c r="CO41" s="11">
        <v>1</v>
      </c>
      <c r="CP41" s="11">
        <v>1</v>
      </c>
      <c r="CQ41" s="11">
        <v>1</v>
      </c>
      <c r="CR41" s="12">
        <v>1</v>
      </c>
      <c r="CS41" s="12">
        <v>1</v>
      </c>
      <c r="CT41" s="12">
        <v>1</v>
      </c>
      <c r="CU41" s="11">
        <v>1</v>
      </c>
      <c r="CV41" s="12">
        <v>1</v>
      </c>
      <c r="CW41" s="12">
        <v>1</v>
      </c>
      <c r="CX41" s="12">
        <v>1</v>
      </c>
      <c r="CY41" s="11">
        <v>1</v>
      </c>
      <c r="CZ41" s="12">
        <v>1</v>
      </c>
      <c r="DA41" s="12">
        <v>1</v>
      </c>
      <c r="DB41" s="12">
        <v>1</v>
      </c>
      <c r="DC41" s="11">
        <v>3</v>
      </c>
      <c r="DD41" s="12">
        <v>3</v>
      </c>
      <c r="DE41" s="12">
        <v>3</v>
      </c>
      <c r="DF41" s="12">
        <v>3</v>
      </c>
      <c r="DG41" s="11">
        <v>3</v>
      </c>
      <c r="DH41" s="12">
        <v>3</v>
      </c>
      <c r="DI41" s="12">
        <v>3</v>
      </c>
      <c r="DJ41" s="12">
        <v>3</v>
      </c>
      <c r="DK41" s="11">
        <v>1</v>
      </c>
      <c r="DL41" s="12">
        <v>1</v>
      </c>
      <c r="DM41" s="12">
        <v>1</v>
      </c>
      <c r="DN41" s="12">
        <v>1</v>
      </c>
      <c r="DO41" s="11">
        <v>1</v>
      </c>
      <c r="DP41" s="12">
        <v>1</v>
      </c>
      <c r="DQ41" s="12">
        <v>1</v>
      </c>
      <c r="DR41" s="12">
        <v>1</v>
      </c>
      <c r="DS41" s="11">
        <v>2</v>
      </c>
      <c r="DT41" s="12">
        <v>2</v>
      </c>
      <c r="DU41" s="12">
        <v>2</v>
      </c>
      <c r="DV41" s="12">
        <v>2</v>
      </c>
      <c r="DW41" s="11">
        <v>2</v>
      </c>
      <c r="DX41" s="12">
        <v>2</v>
      </c>
      <c r="DY41" s="12">
        <v>2</v>
      </c>
      <c r="DZ41" s="12">
        <v>2</v>
      </c>
      <c r="EA41" s="11">
        <v>2</v>
      </c>
      <c r="EB41" s="12">
        <v>2</v>
      </c>
      <c r="EC41" s="12">
        <v>2</v>
      </c>
      <c r="ED41" s="12">
        <v>2</v>
      </c>
      <c r="EE41" s="11">
        <v>0</v>
      </c>
      <c r="EF41" s="12">
        <v>0</v>
      </c>
      <c r="EG41" s="12">
        <v>0</v>
      </c>
      <c r="EH41" s="12">
        <v>0</v>
      </c>
      <c r="EI41" s="11">
        <v>2</v>
      </c>
      <c r="EJ41" s="12">
        <v>2</v>
      </c>
      <c r="EK41" s="12">
        <v>2</v>
      </c>
      <c r="EL41" s="12">
        <v>2</v>
      </c>
      <c r="EM41" s="11">
        <v>3</v>
      </c>
      <c r="EN41" s="12">
        <v>3</v>
      </c>
      <c r="EO41" s="12">
        <v>3</v>
      </c>
      <c r="EP41" s="12">
        <v>3</v>
      </c>
      <c r="EQ41" s="11">
        <v>2</v>
      </c>
      <c r="ER41" s="12">
        <v>2</v>
      </c>
      <c r="ES41" s="12">
        <v>2</v>
      </c>
      <c r="ET41" s="12">
        <v>2</v>
      </c>
      <c r="EU41" s="11">
        <v>2</v>
      </c>
      <c r="EV41" s="12">
        <v>2</v>
      </c>
      <c r="EW41" s="12">
        <v>2</v>
      </c>
      <c r="EX41" s="12">
        <v>2</v>
      </c>
      <c r="EY41" s="11">
        <v>2</v>
      </c>
      <c r="EZ41" s="12">
        <v>2</v>
      </c>
      <c r="FA41" s="12">
        <v>2</v>
      </c>
      <c r="FB41" s="12">
        <v>2</v>
      </c>
      <c r="FC41" s="11">
        <v>3</v>
      </c>
      <c r="FD41" s="12">
        <v>3</v>
      </c>
      <c r="FE41" s="12">
        <v>3</v>
      </c>
      <c r="FF41" s="12"/>
      <c r="FG41" s="11"/>
      <c r="FH41" s="12"/>
      <c r="FI41" s="12"/>
      <c r="FJ41" s="12">
        <v>3</v>
      </c>
      <c r="FK41" s="6">
        <v>7</v>
      </c>
      <c r="FL41">
        <v>7</v>
      </c>
      <c r="FM41" s="12">
        <v>2</v>
      </c>
      <c r="FN41" s="12">
        <v>2</v>
      </c>
      <c r="FO41" s="12">
        <v>7</v>
      </c>
    </row>
    <row r="42" spans="1:171">
      <c r="A42" s="10"/>
      <c r="B42" s="10" t="s">
        <v>82</v>
      </c>
      <c r="C42" s="10" t="s">
        <v>639</v>
      </c>
      <c r="D42" s="11">
        <v>3</v>
      </c>
      <c r="E42" s="12">
        <v>3</v>
      </c>
      <c r="F42" s="12">
        <v>3</v>
      </c>
      <c r="G42" s="13">
        <v>3</v>
      </c>
      <c r="H42" s="11">
        <v>3</v>
      </c>
      <c r="I42" s="12">
        <v>3</v>
      </c>
      <c r="J42" s="12">
        <v>3</v>
      </c>
      <c r="K42" s="12">
        <v>3</v>
      </c>
      <c r="L42" s="11">
        <v>3</v>
      </c>
      <c r="M42" s="12">
        <v>3</v>
      </c>
      <c r="N42" s="12">
        <v>3</v>
      </c>
      <c r="O42" s="12">
        <v>3</v>
      </c>
      <c r="P42" s="11">
        <v>3</v>
      </c>
      <c r="Q42" s="12">
        <v>3</v>
      </c>
      <c r="R42" s="12">
        <v>3</v>
      </c>
      <c r="S42" s="12">
        <v>3</v>
      </c>
      <c r="T42" s="11">
        <v>3</v>
      </c>
      <c r="U42" s="12">
        <v>3</v>
      </c>
      <c r="V42" s="12">
        <v>3</v>
      </c>
      <c r="W42" s="12">
        <v>3</v>
      </c>
      <c r="X42" s="11">
        <v>3</v>
      </c>
      <c r="Y42" s="12">
        <v>3</v>
      </c>
      <c r="Z42" s="12">
        <v>3</v>
      </c>
      <c r="AA42" s="12">
        <v>3</v>
      </c>
      <c r="AB42" s="11">
        <v>3</v>
      </c>
      <c r="AC42" s="12">
        <v>3</v>
      </c>
      <c r="AD42" s="12">
        <v>3</v>
      </c>
      <c r="AE42" s="12">
        <v>3</v>
      </c>
      <c r="AF42" s="11">
        <v>3</v>
      </c>
      <c r="AG42" s="12">
        <v>3</v>
      </c>
      <c r="AH42" s="12">
        <v>3</v>
      </c>
      <c r="AI42" s="12">
        <v>3</v>
      </c>
      <c r="AJ42" s="11">
        <v>3</v>
      </c>
      <c r="AK42" s="12">
        <v>3</v>
      </c>
      <c r="AL42" s="12">
        <v>3</v>
      </c>
      <c r="AM42" s="12">
        <v>3</v>
      </c>
      <c r="AN42" s="11">
        <v>3</v>
      </c>
      <c r="AO42" s="12">
        <v>3</v>
      </c>
      <c r="AP42" s="12">
        <v>3</v>
      </c>
      <c r="AQ42" s="12">
        <v>3</v>
      </c>
      <c r="AR42" s="11">
        <v>3</v>
      </c>
      <c r="AS42" s="12">
        <v>3</v>
      </c>
      <c r="AT42" s="12">
        <v>3</v>
      </c>
      <c r="AU42" s="12">
        <v>3</v>
      </c>
      <c r="AV42" s="11">
        <v>3</v>
      </c>
      <c r="AW42" s="12">
        <v>3</v>
      </c>
      <c r="AX42" s="12">
        <v>3</v>
      </c>
      <c r="AY42" s="12">
        <v>3</v>
      </c>
      <c r="AZ42" s="11">
        <v>1</v>
      </c>
      <c r="BA42" s="12">
        <v>1</v>
      </c>
      <c r="BB42" s="12">
        <v>1</v>
      </c>
      <c r="BC42" s="12">
        <v>1</v>
      </c>
      <c r="BD42" s="11">
        <v>1</v>
      </c>
      <c r="BE42" s="12">
        <v>1</v>
      </c>
      <c r="BF42" s="12">
        <v>1</v>
      </c>
      <c r="BG42" s="12">
        <v>1</v>
      </c>
      <c r="BH42" s="11">
        <v>1</v>
      </c>
      <c r="BI42" s="12">
        <v>1</v>
      </c>
      <c r="BJ42" s="12">
        <v>1</v>
      </c>
      <c r="BK42" s="12">
        <v>1</v>
      </c>
      <c r="BL42" s="11">
        <v>1</v>
      </c>
      <c r="BM42" s="12">
        <v>1</v>
      </c>
      <c r="BN42" s="12">
        <v>1</v>
      </c>
      <c r="BO42" s="12">
        <v>1</v>
      </c>
      <c r="BP42" s="11">
        <v>1</v>
      </c>
      <c r="BQ42" s="12">
        <v>1</v>
      </c>
      <c r="BR42" s="12">
        <v>1</v>
      </c>
      <c r="BS42" s="12">
        <v>1</v>
      </c>
      <c r="BT42" s="11">
        <v>2</v>
      </c>
      <c r="BU42" s="12">
        <v>2</v>
      </c>
      <c r="BV42" s="12">
        <v>2</v>
      </c>
      <c r="BW42" s="12">
        <v>2</v>
      </c>
      <c r="BX42" s="11">
        <v>2</v>
      </c>
      <c r="BY42" s="12">
        <v>2</v>
      </c>
      <c r="BZ42" s="12">
        <v>2</v>
      </c>
      <c r="CA42" s="12">
        <v>2</v>
      </c>
      <c r="CB42" s="11">
        <v>3</v>
      </c>
      <c r="CC42" s="12">
        <v>3</v>
      </c>
      <c r="CD42" s="12">
        <v>3</v>
      </c>
      <c r="CE42" s="12">
        <v>3</v>
      </c>
      <c r="CF42" s="11">
        <v>5</v>
      </c>
      <c r="CG42" s="12">
        <v>5</v>
      </c>
      <c r="CH42" s="12">
        <v>5</v>
      </c>
      <c r="CI42" s="12">
        <v>5</v>
      </c>
      <c r="CJ42" s="11">
        <v>1</v>
      </c>
      <c r="CK42" s="12">
        <v>1</v>
      </c>
      <c r="CL42" s="12">
        <v>1</v>
      </c>
      <c r="CM42" s="12">
        <v>1</v>
      </c>
      <c r="CN42" s="11">
        <v>1</v>
      </c>
      <c r="CO42" s="11">
        <v>1</v>
      </c>
      <c r="CP42" s="11">
        <v>1</v>
      </c>
      <c r="CQ42" s="11">
        <v>1</v>
      </c>
      <c r="CR42" s="12">
        <v>1</v>
      </c>
      <c r="CS42" s="12">
        <v>1</v>
      </c>
      <c r="CT42" s="12">
        <v>1</v>
      </c>
      <c r="CU42" s="11">
        <v>1</v>
      </c>
      <c r="CV42" s="12">
        <v>1</v>
      </c>
      <c r="CW42" s="12">
        <v>1</v>
      </c>
      <c r="CX42" s="12">
        <v>1</v>
      </c>
      <c r="CY42" s="11">
        <v>1</v>
      </c>
      <c r="CZ42" s="12">
        <v>1</v>
      </c>
      <c r="DA42" s="12">
        <v>1</v>
      </c>
      <c r="DB42" s="12">
        <v>1</v>
      </c>
      <c r="DC42" s="11">
        <v>3</v>
      </c>
      <c r="DD42" s="12">
        <v>3</v>
      </c>
      <c r="DE42" s="12">
        <v>3</v>
      </c>
      <c r="DF42" s="12">
        <v>3</v>
      </c>
      <c r="DG42" s="11">
        <v>4</v>
      </c>
      <c r="DH42" s="12">
        <v>4</v>
      </c>
      <c r="DI42" s="12">
        <v>4</v>
      </c>
      <c r="DJ42" s="12">
        <v>4</v>
      </c>
      <c r="DK42" s="11">
        <v>1</v>
      </c>
      <c r="DL42" s="12">
        <v>1</v>
      </c>
      <c r="DM42" s="12">
        <v>1</v>
      </c>
      <c r="DN42" s="12">
        <v>1</v>
      </c>
      <c r="DO42" s="11">
        <v>1</v>
      </c>
      <c r="DP42" s="12">
        <v>1</v>
      </c>
      <c r="DQ42" s="12">
        <v>1</v>
      </c>
      <c r="DR42" s="12">
        <v>1</v>
      </c>
      <c r="DS42" s="11">
        <v>2</v>
      </c>
      <c r="DT42" s="12">
        <v>2</v>
      </c>
      <c r="DU42" s="12">
        <v>2</v>
      </c>
      <c r="DV42" s="12">
        <v>2</v>
      </c>
      <c r="DW42" s="11">
        <v>3</v>
      </c>
      <c r="DX42" s="12">
        <v>3</v>
      </c>
      <c r="DY42" s="12">
        <v>3</v>
      </c>
      <c r="DZ42" s="12">
        <v>3</v>
      </c>
      <c r="EA42" s="11">
        <v>3</v>
      </c>
      <c r="EB42" s="12">
        <v>3</v>
      </c>
      <c r="EC42" s="12">
        <v>3</v>
      </c>
      <c r="ED42" s="12">
        <v>3</v>
      </c>
      <c r="EE42" s="11">
        <v>1</v>
      </c>
      <c r="EF42" s="12">
        <v>1</v>
      </c>
      <c r="EG42" s="12">
        <v>1</v>
      </c>
      <c r="EH42" s="12">
        <v>1</v>
      </c>
      <c r="EI42" s="11">
        <v>2</v>
      </c>
      <c r="EJ42" s="12">
        <v>2</v>
      </c>
      <c r="EK42" s="12">
        <v>2</v>
      </c>
      <c r="EL42" s="12">
        <v>2</v>
      </c>
      <c r="EM42" s="11">
        <v>4</v>
      </c>
      <c r="EN42" s="12">
        <v>4</v>
      </c>
      <c r="EO42" s="12">
        <v>4</v>
      </c>
      <c r="EP42" s="12">
        <v>4</v>
      </c>
      <c r="EQ42" s="11">
        <v>0</v>
      </c>
      <c r="ER42" s="12">
        <v>0</v>
      </c>
      <c r="ES42" s="12">
        <v>0</v>
      </c>
      <c r="ET42" s="12">
        <v>0</v>
      </c>
      <c r="EU42" s="11">
        <v>2</v>
      </c>
      <c r="EV42" s="12">
        <v>2</v>
      </c>
      <c r="EW42" s="12">
        <v>2</v>
      </c>
      <c r="EX42" s="12">
        <v>2</v>
      </c>
      <c r="EY42" s="11">
        <v>2</v>
      </c>
      <c r="EZ42" s="12">
        <v>2</v>
      </c>
      <c r="FA42" s="12">
        <v>2</v>
      </c>
      <c r="FB42" s="12">
        <v>2</v>
      </c>
      <c r="FC42" s="11">
        <v>3</v>
      </c>
      <c r="FD42" s="12">
        <v>3</v>
      </c>
      <c r="FE42" s="12">
        <v>3</v>
      </c>
      <c r="FF42" s="12"/>
      <c r="FG42" s="11"/>
      <c r="FH42" s="12"/>
      <c r="FI42" s="12"/>
      <c r="FJ42" s="12">
        <v>3</v>
      </c>
      <c r="FK42" s="6"/>
      <c r="FO42">
        <v>8</v>
      </c>
    </row>
    <row r="43" spans="1:171">
      <c r="A43" s="27" t="s">
        <v>657</v>
      </c>
      <c r="B43" s="27" t="s">
        <v>646</v>
      </c>
      <c r="C43" s="27" t="s">
        <v>119</v>
      </c>
      <c r="D43" s="28">
        <v>0.4</v>
      </c>
      <c r="E43" s="27">
        <v>0.4</v>
      </c>
      <c r="F43" s="27">
        <v>0.4</v>
      </c>
      <c r="G43" s="29">
        <v>0.4</v>
      </c>
      <c r="H43" s="28">
        <v>0.4</v>
      </c>
      <c r="I43" s="27">
        <v>0.4</v>
      </c>
      <c r="J43" s="27">
        <v>0.4</v>
      </c>
      <c r="K43" s="27">
        <v>0.4</v>
      </c>
      <c r="L43" s="28">
        <v>0.5</v>
      </c>
      <c r="M43" s="27">
        <v>0.5</v>
      </c>
      <c r="N43" s="27">
        <v>0.5</v>
      </c>
      <c r="O43" s="27">
        <v>0.5</v>
      </c>
      <c r="P43" s="28">
        <v>0.5</v>
      </c>
      <c r="Q43" s="27">
        <v>0.5</v>
      </c>
      <c r="R43" s="27">
        <v>0.5</v>
      </c>
      <c r="S43" s="27">
        <v>0.5</v>
      </c>
      <c r="T43" s="28">
        <v>0.5</v>
      </c>
      <c r="U43" s="27">
        <v>0.5</v>
      </c>
      <c r="V43" s="27">
        <v>0.5</v>
      </c>
      <c r="W43" s="27">
        <v>0.5</v>
      </c>
      <c r="X43" s="28">
        <v>0.5</v>
      </c>
      <c r="Y43" s="27">
        <v>0.5</v>
      </c>
      <c r="Z43" s="27">
        <v>0.5</v>
      </c>
      <c r="AA43" s="27">
        <v>0.5</v>
      </c>
      <c r="AB43" s="28">
        <v>0.5</v>
      </c>
      <c r="AC43" s="27">
        <v>0.5</v>
      </c>
      <c r="AD43" s="27">
        <v>0.5</v>
      </c>
      <c r="AE43" s="27">
        <v>0.5</v>
      </c>
      <c r="AF43" s="28">
        <v>0.5</v>
      </c>
      <c r="AG43" s="27">
        <v>0.5</v>
      </c>
      <c r="AH43" s="27">
        <v>0.5</v>
      </c>
      <c r="AI43" s="27">
        <v>0.5</v>
      </c>
      <c r="AJ43" s="28">
        <v>0.5</v>
      </c>
      <c r="AK43" s="27">
        <v>0.5</v>
      </c>
      <c r="AL43" s="27">
        <v>0.5</v>
      </c>
      <c r="AM43" s="27">
        <v>0.5</v>
      </c>
      <c r="AN43" s="28">
        <v>0.5</v>
      </c>
      <c r="AO43" s="27">
        <v>0.5</v>
      </c>
      <c r="AP43" s="27">
        <v>0.5</v>
      </c>
      <c r="AQ43" s="27">
        <v>0.5</v>
      </c>
      <c r="AR43" s="28">
        <v>0.5</v>
      </c>
      <c r="AS43" s="27">
        <v>0.5</v>
      </c>
      <c r="AT43" s="27">
        <v>0.5</v>
      </c>
      <c r="AU43" s="27">
        <v>0.5</v>
      </c>
      <c r="AV43" s="28">
        <v>0.5</v>
      </c>
      <c r="AW43" s="27">
        <v>0.5</v>
      </c>
      <c r="AX43" s="27">
        <v>0.5</v>
      </c>
      <c r="AY43" s="27">
        <v>0.5</v>
      </c>
      <c r="AZ43" s="28">
        <v>1</v>
      </c>
      <c r="BA43" s="27">
        <v>1</v>
      </c>
      <c r="BB43" s="27">
        <v>1</v>
      </c>
      <c r="BC43" s="27">
        <v>1</v>
      </c>
      <c r="BD43" s="28">
        <v>1</v>
      </c>
      <c r="BE43" s="27">
        <v>1</v>
      </c>
      <c r="BF43" s="27">
        <v>1</v>
      </c>
      <c r="BG43" s="27">
        <v>1</v>
      </c>
      <c r="BH43" s="28">
        <v>1</v>
      </c>
      <c r="BI43" s="27">
        <v>1</v>
      </c>
      <c r="BJ43" s="27">
        <v>1</v>
      </c>
      <c r="BK43" s="27">
        <v>1</v>
      </c>
      <c r="BL43" s="28">
        <v>1</v>
      </c>
      <c r="BM43" s="27">
        <v>1</v>
      </c>
      <c r="BN43" s="27">
        <v>1</v>
      </c>
      <c r="BO43" s="27">
        <v>1</v>
      </c>
      <c r="BP43" s="28">
        <v>1</v>
      </c>
      <c r="BQ43" s="27">
        <v>1</v>
      </c>
      <c r="BR43" s="27">
        <v>1</v>
      </c>
      <c r="BS43" s="27">
        <v>1</v>
      </c>
      <c r="BT43" s="28">
        <v>0.46</v>
      </c>
      <c r="BU43" s="27">
        <v>0.46</v>
      </c>
      <c r="BV43" s="27">
        <v>0.46</v>
      </c>
      <c r="BW43" s="27">
        <v>0.46</v>
      </c>
      <c r="BX43" s="28">
        <v>0.47</v>
      </c>
      <c r="BY43" s="27">
        <v>0.47</v>
      </c>
      <c r="BZ43" s="27">
        <v>0.47</v>
      </c>
      <c r="CA43" s="27">
        <v>0.47</v>
      </c>
      <c r="CB43" s="28">
        <v>0.5</v>
      </c>
      <c r="CC43" s="27">
        <v>0.5</v>
      </c>
      <c r="CD43" s="27">
        <v>0.5</v>
      </c>
      <c r="CE43" s="27">
        <v>0.5</v>
      </c>
      <c r="CF43" s="28">
        <v>0.5</v>
      </c>
      <c r="CG43" s="27">
        <v>0.5</v>
      </c>
      <c r="CH43" s="27">
        <v>0.5</v>
      </c>
      <c r="CI43" s="27">
        <v>0.5</v>
      </c>
      <c r="CJ43" s="28">
        <v>1</v>
      </c>
      <c r="CK43" s="27">
        <v>1</v>
      </c>
      <c r="CL43" s="27">
        <v>1</v>
      </c>
      <c r="CM43" s="27">
        <v>1</v>
      </c>
      <c r="CN43" s="28">
        <v>1</v>
      </c>
      <c r="CO43" s="28">
        <v>1</v>
      </c>
      <c r="CP43" s="28">
        <v>1</v>
      </c>
      <c r="CQ43" s="28">
        <v>1</v>
      </c>
      <c r="CR43" s="27">
        <v>1</v>
      </c>
      <c r="CS43" s="27">
        <v>1</v>
      </c>
      <c r="CT43" s="27">
        <v>1</v>
      </c>
      <c r="CU43" s="28">
        <v>1</v>
      </c>
      <c r="CV43" s="27">
        <v>1</v>
      </c>
      <c r="CW43" s="27">
        <v>1</v>
      </c>
      <c r="CX43" s="27">
        <v>1</v>
      </c>
      <c r="CY43" s="28">
        <v>1</v>
      </c>
      <c r="CZ43" s="27">
        <v>1</v>
      </c>
      <c r="DA43" s="27">
        <v>1</v>
      </c>
      <c r="DB43" s="27">
        <v>1</v>
      </c>
      <c r="DC43" s="28">
        <v>0.34</v>
      </c>
      <c r="DD43" s="27">
        <v>0.34</v>
      </c>
      <c r="DE43" s="27">
        <v>0.34</v>
      </c>
      <c r="DF43" s="27">
        <v>0.34</v>
      </c>
      <c r="DG43" s="28">
        <v>0.34</v>
      </c>
      <c r="DH43" s="27">
        <v>0.34</v>
      </c>
      <c r="DI43" s="27">
        <v>0.34</v>
      </c>
      <c r="DJ43" s="27">
        <v>0.34</v>
      </c>
      <c r="DK43" s="28">
        <v>1</v>
      </c>
      <c r="DL43" s="27">
        <v>1</v>
      </c>
      <c r="DM43" s="27">
        <v>1</v>
      </c>
      <c r="DN43" s="27">
        <v>1</v>
      </c>
      <c r="DO43" s="28">
        <v>1</v>
      </c>
      <c r="DP43" s="27">
        <v>1</v>
      </c>
      <c r="DQ43" s="27">
        <v>1</v>
      </c>
      <c r="DR43" s="27">
        <v>1</v>
      </c>
      <c r="DS43" s="28">
        <v>0.5</v>
      </c>
      <c r="DT43" s="27">
        <v>0.5</v>
      </c>
      <c r="DU43" s="27">
        <v>0.5</v>
      </c>
      <c r="DV43" s="27">
        <v>0.5</v>
      </c>
      <c r="DW43" s="28">
        <v>0.44</v>
      </c>
      <c r="DX43" s="27">
        <v>0.44</v>
      </c>
      <c r="DY43" s="27">
        <v>0.44</v>
      </c>
      <c r="DZ43" s="27">
        <v>0.44</v>
      </c>
      <c r="EA43" s="28">
        <v>0.44</v>
      </c>
      <c r="EB43" s="27">
        <v>0.44</v>
      </c>
      <c r="EC43" s="27">
        <v>0.44</v>
      </c>
      <c r="ED43" s="27">
        <v>0.44</v>
      </c>
      <c r="EE43" s="28">
        <v>1</v>
      </c>
      <c r="EF43" s="27">
        <v>1</v>
      </c>
      <c r="EG43" s="27">
        <v>1</v>
      </c>
      <c r="EH43" s="27">
        <v>1</v>
      </c>
      <c r="EI43" s="28">
        <v>0.55000000000000004</v>
      </c>
      <c r="EJ43" s="27">
        <v>0.55000000000000004</v>
      </c>
      <c r="EK43" s="27">
        <v>0.55000000000000004</v>
      </c>
      <c r="EL43" s="27">
        <v>0.55000000000000004</v>
      </c>
      <c r="EM43" s="28">
        <v>0.33</v>
      </c>
      <c r="EN43" s="27">
        <v>0.33</v>
      </c>
      <c r="EO43" s="27">
        <v>0.33</v>
      </c>
      <c r="EP43" s="27">
        <v>0.33</v>
      </c>
      <c r="EQ43" s="28">
        <v>0.5</v>
      </c>
      <c r="ER43" s="27">
        <v>0.5</v>
      </c>
      <c r="ES43" s="27">
        <v>0.5</v>
      </c>
      <c r="ET43" s="27">
        <v>0.5</v>
      </c>
      <c r="EU43" s="28">
        <v>0.5</v>
      </c>
      <c r="EV43" s="27">
        <v>0.5</v>
      </c>
      <c r="EW43" s="27">
        <v>0.5</v>
      </c>
      <c r="EX43" s="27">
        <v>0.5</v>
      </c>
      <c r="EY43" s="28">
        <v>0.5</v>
      </c>
      <c r="EZ43" s="27">
        <v>0.5</v>
      </c>
      <c r="FA43" s="27">
        <v>0.5</v>
      </c>
      <c r="FB43" s="27">
        <v>0.5</v>
      </c>
      <c r="FC43" s="28">
        <v>0.4</v>
      </c>
      <c r="FD43" s="27">
        <v>0.4</v>
      </c>
      <c r="FE43" s="27">
        <v>0.4</v>
      </c>
      <c r="FF43" s="27"/>
      <c r="FG43" s="28"/>
      <c r="FH43" s="27"/>
      <c r="FI43" s="27"/>
      <c r="FJ43" s="27">
        <v>0.4</v>
      </c>
      <c r="FK43" s="15">
        <v>0.1</v>
      </c>
      <c r="FL43" s="15">
        <v>0.1</v>
      </c>
      <c r="FM43" s="45">
        <v>0.5</v>
      </c>
      <c r="FN43" s="45">
        <v>0.5</v>
      </c>
      <c r="FO43" s="71">
        <f>100%/7</f>
        <v>0.14285714285714285</v>
      </c>
    </row>
    <row r="44" spans="1:171">
      <c r="A44" s="27" t="s">
        <v>647</v>
      </c>
      <c r="B44" s="27" t="s">
        <v>648</v>
      </c>
      <c r="C44" s="27" t="s">
        <v>119</v>
      </c>
      <c r="D44" s="28">
        <v>0.4</v>
      </c>
      <c r="E44" s="27">
        <v>0.4</v>
      </c>
      <c r="F44" s="27">
        <v>0.4</v>
      </c>
      <c r="G44" s="29">
        <v>0.4</v>
      </c>
      <c r="H44" s="28">
        <v>0.4</v>
      </c>
      <c r="I44" s="27">
        <v>0.4</v>
      </c>
      <c r="J44" s="27">
        <v>0.4</v>
      </c>
      <c r="K44" s="27">
        <v>0.4</v>
      </c>
      <c r="L44" s="28">
        <v>0.5</v>
      </c>
      <c r="M44" s="27">
        <v>0.5</v>
      </c>
      <c r="N44" s="27">
        <v>0.5</v>
      </c>
      <c r="O44" s="27">
        <v>0.5</v>
      </c>
      <c r="P44" s="28">
        <v>0.5</v>
      </c>
      <c r="Q44" s="27">
        <v>0.5</v>
      </c>
      <c r="R44" s="27">
        <v>0.5</v>
      </c>
      <c r="S44" s="27">
        <v>0.5</v>
      </c>
      <c r="T44" s="28">
        <v>0.5</v>
      </c>
      <c r="U44" s="27">
        <v>0.5</v>
      </c>
      <c r="V44" s="27">
        <v>0.5</v>
      </c>
      <c r="W44" s="27">
        <v>0.5</v>
      </c>
      <c r="X44" s="28">
        <v>0.5</v>
      </c>
      <c r="Y44" s="27">
        <v>0.5</v>
      </c>
      <c r="Z44" s="27">
        <v>0.5</v>
      </c>
      <c r="AA44" s="27">
        <v>0.5</v>
      </c>
      <c r="AB44" s="28">
        <v>0.5</v>
      </c>
      <c r="AC44" s="27">
        <v>0.5</v>
      </c>
      <c r="AD44" s="27">
        <v>0.5</v>
      </c>
      <c r="AE44" s="27">
        <v>0.5</v>
      </c>
      <c r="AF44" s="28">
        <v>0.5</v>
      </c>
      <c r="AG44" s="27">
        <v>0.5</v>
      </c>
      <c r="AH44" s="27">
        <v>0.5</v>
      </c>
      <c r="AI44" s="27">
        <v>0.5</v>
      </c>
      <c r="AJ44" s="28">
        <v>0.5</v>
      </c>
      <c r="AK44" s="27">
        <v>0.5</v>
      </c>
      <c r="AL44" s="27">
        <v>0.5</v>
      </c>
      <c r="AM44" s="27">
        <v>0.5</v>
      </c>
      <c r="AN44" s="28">
        <v>0.5</v>
      </c>
      <c r="AO44" s="27">
        <v>0.5</v>
      </c>
      <c r="AP44" s="27">
        <v>0.5</v>
      </c>
      <c r="AQ44" s="27">
        <v>0.5</v>
      </c>
      <c r="AR44" s="28">
        <v>0.5</v>
      </c>
      <c r="AS44" s="27">
        <v>0.5</v>
      </c>
      <c r="AT44" s="27">
        <v>0.5</v>
      </c>
      <c r="AU44" s="27">
        <v>0.5</v>
      </c>
      <c r="AV44" s="28">
        <v>0.5</v>
      </c>
      <c r="AW44" s="27">
        <v>0.5</v>
      </c>
      <c r="AX44" s="27">
        <v>0.5</v>
      </c>
      <c r="AY44" s="27">
        <v>0.5</v>
      </c>
      <c r="AZ44" s="28"/>
      <c r="BA44" s="27"/>
      <c r="BB44" s="27"/>
      <c r="BC44" s="27"/>
      <c r="BD44" s="28"/>
      <c r="BE44" s="27"/>
      <c r="BF44" s="27"/>
      <c r="BG44" s="27"/>
      <c r="BH44" s="28"/>
      <c r="BI44" s="27"/>
      <c r="BJ44" s="27"/>
      <c r="BK44" s="27"/>
      <c r="BL44" s="28"/>
      <c r="BM44" s="27"/>
      <c r="BN44" s="27"/>
      <c r="BO44" s="27"/>
      <c r="BP44" s="28"/>
      <c r="BQ44" s="27"/>
      <c r="BR44" s="27"/>
      <c r="BS44" s="27"/>
      <c r="BT44" s="28">
        <v>0.54</v>
      </c>
      <c r="BU44" s="27">
        <v>0.54</v>
      </c>
      <c r="BV44" s="27">
        <v>0.54</v>
      </c>
      <c r="BW44" s="27">
        <v>0.54</v>
      </c>
      <c r="BX44" s="28">
        <v>0.53</v>
      </c>
      <c r="BY44" s="27">
        <v>0.53</v>
      </c>
      <c r="BZ44" s="27">
        <v>0.53</v>
      </c>
      <c r="CA44" s="27">
        <v>0.53</v>
      </c>
      <c r="CB44" s="28">
        <v>0.5</v>
      </c>
      <c r="CC44" s="27">
        <v>0.5</v>
      </c>
      <c r="CD44" s="27">
        <v>0.5</v>
      </c>
      <c r="CE44" s="27">
        <v>0.5</v>
      </c>
      <c r="CF44" s="28">
        <v>0.5</v>
      </c>
      <c r="CG44" s="27">
        <v>0.5</v>
      </c>
      <c r="CH44" s="27">
        <v>0.5</v>
      </c>
      <c r="CI44" s="27">
        <v>0.5</v>
      </c>
      <c r="CJ44" s="28"/>
      <c r="CK44" s="27"/>
      <c r="CL44" s="27"/>
      <c r="CM44" s="27"/>
      <c r="CN44" s="28"/>
      <c r="CO44" s="28"/>
      <c r="CP44" s="28"/>
      <c r="CQ44" s="28"/>
      <c r="CR44" s="27"/>
      <c r="CS44" s="27"/>
      <c r="CT44" s="27"/>
      <c r="CU44" s="28"/>
      <c r="CV44" s="27"/>
      <c r="CW44" s="27"/>
      <c r="CX44" s="27"/>
      <c r="CY44" s="28"/>
      <c r="CZ44" s="27"/>
      <c r="DA44" s="27"/>
      <c r="DB44" s="27"/>
      <c r="DC44" s="28">
        <v>0.34</v>
      </c>
      <c r="DD44" s="27">
        <v>0.34</v>
      </c>
      <c r="DE44" s="27">
        <v>0.34</v>
      </c>
      <c r="DF44" s="27">
        <v>0.34</v>
      </c>
      <c r="DG44" s="28">
        <v>0.34</v>
      </c>
      <c r="DH44" s="27">
        <v>0.34</v>
      </c>
      <c r="DI44" s="27">
        <v>0.34</v>
      </c>
      <c r="DJ44" s="27">
        <v>0.34</v>
      </c>
      <c r="DK44" s="28" t="s">
        <v>658</v>
      </c>
      <c r="DL44" s="27" t="s">
        <v>658</v>
      </c>
      <c r="DM44" s="27" t="s">
        <v>658</v>
      </c>
      <c r="DN44" s="27" t="s">
        <v>658</v>
      </c>
      <c r="DO44" s="28" t="s">
        <v>658</v>
      </c>
      <c r="DP44" s="27" t="s">
        <v>658</v>
      </c>
      <c r="DQ44" s="27" t="s">
        <v>658</v>
      </c>
      <c r="DR44" s="27" t="s">
        <v>658</v>
      </c>
      <c r="DS44" s="28">
        <v>0.5</v>
      </c>
      <c r="DT44" s="27">
        <v>0.5</v>
      </c>
      <c r="DU44" s="27">
        <v>0.5</v>
      </c>
      <c r="DV44" s="27">
        <v>0.5</v>
      </c>
      <c r="DW44" s="28">
        <v>0.56000000000000005</v>
      </c>
      <c r="DX44" s="27">
        <v>0.56000000000000005</v>
      </c>
      <c r="DY44" s="27">
        <v>0.56000000000000005</v>
      </c>
      <c r="DZ44" s="27">
        <v>0.56000000000000005</v>
      </c>
      <c r="EA44" s="28">
        <v>0.56000000000000005</v>
      </c>
      <c r="EB44" s="27">
        <v>0.56000000000000005</v>
      </c>
      <c r="EC44" s="27">
        <v>0.56000000000000005</v>
      </c>
      <c r="ED44" s="27">
        <v>0.56000000000000005</v>
      </c>
      <c r="EE44" s="28" t="s">
        <v>658</v>
      </c>
      <c r="EF44" s="27" t="s">
        <v>658</v>
      </c>
      <c r="EG44" s="27" t="s">
        <v>658</v>
      </c>
      <c r="EH44" s="27" t="s">
        <v>658</v>
      </c>
      <c r="EI44" s="28">
        <v>0.45</v>
      </c>
      <c r="EJ44" s="27">
        <v>0.45</v>
      </c>
      <c r="EK44" s="27">
        <v>0.45</v>
      </c>
      <c r="EL44" s="27">
        <v>0.45</v>
      </c>
      <c r="EM44" s="28">
        <v>0.33</v>
      </c>
      <c r="EN44" s="27">
        <v>0.33</v>
      </c>
      <c r="EO44" s="27">
        <v>0.33</v>
      </c>
      <c r="EP44" s="27">
        <v>0.33</v>
      </c>
      <c r="EQ44" s="28">
        <v>0.5</v>
      </c>
      <c r="ER44" s="27">
        <v>0.5</v>
      </c>
      <c r="ES44" s="27">
        <v>0.5</v>
      </c>
      <c r="ET44" s="27">
        <v>0.5</v>
      </c>
      <c r="EU44" s="28">
        <v>0.5</v>
      </c>
      <c r="EV44" s="27">
        <v>0.5</v>
      </c>
      <c r="EW44" s="27">
        <v>0.5</v>
      </c>
      <c r="EX44" s="27">
        <v>0.5</v>
      </c>
      <c r="EY44" s="28">
        <v>0.5</v>
      </c>
      <c r="EZ44" s="27">
        <v>0.5</v>
      </c>
      <c r="FA44" s="27">
        <v>0.5</v>
      </c>
      <c r="FB44" s="27">
        <v>0.5</v>
      </c>
      <c r="FC44" s="28">
        <v>0.4</v>
      </c>
      <c r="FD44" s="27">
        <v>0.4</v>
      </c>
      <c r="FE44" s="27">
        <v>0.4</v>
      </c>
      <c r="FF44" s="27"/>
      <c r="FG44" s="28"/>
      <c r="FH44" s="27"/>
      <c r="FI44" s="27"/>
      <c r="FJ44" s="27">
        <v>0.4</v>
      </c>
      <c r="FK44" s="15">
        <v>0.1</v>
      </c>
      <c r="FL44" s="15">
        <v>0.1</v>
      </c>
      <c r="FM44" s="45">
        <v>0.5</v>
      </c>
      <c r="FN44" s="45">
        <v>0.5</v>
      </c>
      <c r="FO44" s="71">
        <f t="shared" ref="FO44:FO49" si="0">100%/7</f>
        <v>0.14285714285714285</v>
      </c>
    </row>
    <row r="45" spans="1:171">
      <c r="A45" s="27"/>
      <c r="B45" s="27" t="s">
        <v>649</v>
      </c>
      <c r="C45" s="27" t="s">
        <v>119</v>
      </c>
      <c r="D45" s="28">
        <v>0.2</v>
      </c>
      <c r="E45" s="27">
        <v>0.2</v>
      </c>
      <c r="F45" s="27">
        <v>0.2</v>
      </c>
      <c r="G45" s="29">
        <v>0.2</v>
      </c>
      <c r="H45" s="28">
        <v>0.2</v>
      </c>
      <c r="I45" s="27">
        <v>0.2</v>
      </c>
      <c r="J45" s="27">
        <v>0.2</v>
      </c>
      <c r="K45" s="27">
        <v>0.2</v>
      </c>
      <c r="L45" s="28"/>
      <c r="M45" s="27"/>
      <c r="N45" s="27"/>
      <c r="O45" s="27"/>
      <c r="P45" s="28"/>
      <c r="Q45" s="27"/>
      <c r="R45" s="27"/>
      <c r="S45" s="27"/>
      <c r="T45" s="28"/>
      <c r="U45" s="27"/>
      <c r="V45" s="27"/>
      <c r="W45" s="27"/>
      <c r="X45" s="28"/>
      <c r="Y45" s="27"/>
      <c r="Z45" s="27"/>
      <c r="AA45" s="27"/>
      <c r="AB45" s="28"/>
      <c r="AC45" s="27"/>
      <c r="AD45" s="27"/>
      <c r="AE45" s="27"/>
      <c r="AF45" s="28"/>
      <c r="AG45" s="27"/>
      <c r="AH45" s="27"/>
      <c r="AI45" s="27"/>
      <c r="AJ45" s="28"/>
      <c r="AK45" s="27"/>
      <c r="AL45" s="27"/>
      <c r="AM45" s="27"/>
      <c r="AN45" s="28"/>
      <c r="AO45" s="27"/>
      <c r="AP45" s="27"/>
      <c r="AQ45" s="27"/>
      <c r="AR45" s="28"/>
      <c r="AS45" s="27"/>
      <c r="AT45" s="27"/>
      <c r="AU45" s="27"/>
      <c r="AV45" s="28"/>
      <c r="AW45" s="27"/>
      <c r="AX45" s="27"/>
      <c r="AY45" s="27"/>
      <c r="AZ45" s="28"/>
      <c r="BA45" s="27"/>
      <c r="BB45" s="27"/>
      <c r="BC45" s="27"/>
      <c r="BD45" s="28"/>
      <c r="BE45" s="27"/>
      <c r="BF45" s="27"/>
      <c r="BG45" s="27"/>
      <c r="BH45" s="28"/>
      <c r="BI45" s="27"/>
      <c r="BJ45" s="27"/>
      <c r="BK45" s="27"/>
      <c r="BL45" s="28"/>
      <c r="BM45" s="27"/>
      <c r="BN45" s="27"/>
      <c r="BO45" s="27"/>
      <c r="BP45" s="28"/>
      <c r="BQ45" s="27"/>
      <c r="BR45" s="27"/>
      <c r="BS45" s="27"/>
      <c r="BT45" s="28"/>
      <c r="BU45" s="27"/>
      <c r="BV45" s="27"/>
      <c r="BW45" s="27"/>
      <c r="BX45" s="28"/>
      <c r="BY45" s="27"/>
      <c r="BZ45" s="27"/>
      <c r="CA45" s="27"/>
      <c r="CB45" s="28"/>
      <c r="CC45" s="27"/>
      <c r="CD45" s="27"/>
      <c r="CE45" s="27"/>
      <c r="CF45" s="28"/>
      <c r="CG45" s="27"/>
      <c r="CH45" s="27"/>
      <c r="CI45" s="27"/>
      <c r="CJ45" s="28"/>
      <c r="CK45" s="27"/>
      <c r="CL45" s="27"/>
      <c r="CM45" s="27"/>
      <c r="CN45" s="28"/>
      <c r="CO45" s="28"/>
      <c r="CP45" s="28"/>
      <c r="CQ45" s="28"/>
      <c r="CR45" s="27"/>
      <c r="CS45" s="27"/>
      <c r="CT45" s="27"/>
      <c r="CU45" s="28"/>
      <c r="CV45" s="27"/>
      <c r="CW45" s="27"/>
      <c r="CX45" s="27"/>
      <c r="CY45" s="28"/>
      <c r="CZ45" s="27"/>
      <c r="DA45" s="27"/>
      <c r="DB45" s="27"/>
      <c r="DC45" s="28">
        <v>0.33</v>
      </c>
      <c r="DD45" s="27">
        <v>0.33</v>
      </c>
      <c r="DE45" s="27">
        <v>0.33</v>
      </c>
      <c r="DF45" s="27">
        <v>0.33</v>
      </c>
      <c r="DG45" s="28">
        <v>0.33</v>
      </c>
      <c r="DH45" s="27">
        <v>0.33</v>
      </c>
      <c r="DI45" s="27">
        <v>0.33</v>
      </c>
      <c r="DJ45" s="27">
        <v>0.33</v>
      </c>
      <c r="DK45" s="28" t="s">
        <v>658</v>
      </c>
      <c r="DL45" s="27" t="s">
        <v>658</v>
      </c>
      <c r="DM45" s="27" t="s">
        <v>658</v>
      </c>
      <c r="DN45" s="27" t="s">
        <v>658</v>
      </c>
      <c r="DO45" s="28" t="s">
        <v>658</v>
      </c>
      <c r="DP45" s="27" t="s">
        <v>658</v>
      </c>
      <c r="DQ45" s="27" t="s">
        <v>658</v>
      </c>
      <c r="DR45" s="27" t="s">
        <v>658</v>
      </c>
      <c r="DS45" s="28" t="s">
        <v>658</v>
      </c>
      <c r="DT45" s="27" t="s">
        <v>658</v>
      </c>
      <c r="DU45" s="27" t="s">
        <v>658</v>
      </c>
      <c r="DV45" s="27" t="s">
        <v>658</v>
      </c>
      <c r="DW45" s="28" t="s">
        <v>658</v>
      </c>
      <c r="DX45" s="27" t="s">
        <v>658</v>
      </c>
      <c r="DY45" s="27" t="s">
        <v>658</v>
      </c>
      <c r="DZ45" s="27" t="s">
        <v>658</v>
      </c>
      <c r="EA45" s="28" t="s">
        <v>658</v>
      </c>
      <c r="EB45" s="27" t="s">
        <v>658</v>
      </c>
      <c r="EC45" s="27" t="s">
        <v>658</v>
      </c>
      <c r="ED45" s="27" t="s">
        <v>658</v>
      </c>
      <c r="EE45" s="28" t="s">
        <v>658</v>
      </c>
      <c r="EF45" s="27" t="s">
        <v>658</v>
      </c>
      <c r="EG45" s="27" t="s">
        <v>658</v>
      </c>
      <c r="EH45" s="27" t="s">
        <v>658</v>
      </c>
      <c r="EI45" s="28" t="s">
        <v>658</v>
      </c>
      <c r="EJ45" s="27" t="s">
        <v>658</v>
      </c>
      <c r="EK45" s="27" t="s">
        <v>658</v>
      </c>
      <c r="EL45" s="27" t="s">
        <v>658</v>
      </c>
      <c r="EM45" s="28">
        <v>0.33</v>
      </c>
      <c r="EN45" s="27">
        <v>0.33</v>
      </c>
      <c r="EO45" s="27">
        <v>0.33</v>
      </c>
      <c r="EP45" s="27">
        <v>0.33</v>
      </c>
      <c r="EQ45" s="28" t="s">
        <v>658</v>
      </c>
      <c r="ER45" s="27" t="s">
        <v>658</v>
      </c>
      <c r="ES45" s="27" t="s">
        <v>658</v>
      </c>
      <c r="ET45" s="27" t="s">
        <v>658</v>
      </c>
      <c r="EU45" s="28" t="s">
        <v>658</v>
      </c>
      <c r="EV45" s="27" t="s">
        <v>658</v>
      </c>
      <c r="EW45" s="27" t="s">
        <v>658</v>
      </c>
      <c r="EX45" s="27" t="s">
        <v>658</v>
      </c>
      <c r="EY45" s="28" t="s">
        <v>658</v>
      </c>
      <c r="EZ45" s="27" t="s">
        <v>658</v>
      </c>
      <c r="FA45" s="27" t="s">
        <v>658</v>
      </c>
      <c r="FB45" s="27" t="s">
        <v>658</v>
      </c>
      <c r="FC45" s="28">
        <v>0.2</v>
      </c>
      <c r="FD45" s="27">
        <v>0.2</v>
      </c>
      <c r="FE45" s="27">
        <v>0.2</v>
      </c>
      <c r="FF45" s="27"/>
      <c r="FG45" s="28"/>
      <c r="FH45" s="27"/>
      <c r="FI45" s="27"/>
      <c r="FJ45" s="27">
        <v>0.2</v>
      </c>
      <c r="FK45" s="15">
        <v>0.15</v>
      </c>
      <c r="FL45" s="15">
        <v>0.15</v>
      </c>
      <c r="FO45" s="71">
        <f t="shared" si="0"/>
        <v>0.14285714285714285</v>
      </c>
    </row>
    <row r="46" spans="1:171">
      <c r="A46" s="27"/>
      <c r="B46" s="27" t="s">
        <v>650</v>
      </c>
      <c r="C46" s="27" t="s">
        <v>119</v>
      </c>
      <c r="D46" s="28"/>
      <c r="E46" s="27"/>
      <c r="F46" s="27"/>
      <c r="G46" s="29"/>
      <c r="H46" s="28"/>
      <c r="I46" s="27"/>
      <c r="J46" s="27"/>
      <c r="K46" s="27"/>
      <c r="L46" s="28"/>
      <c r="M46" s="27"/>
      <c r="N46" s="27"/>
      <c r="O46" s="27"/>
      <c r="P46" s="28"/>
      <c r="Q46" s="27"/>
      <c r="R46" s="27"/>
      <c r="S46" s="27"/>
      <c r="T46" s="28"/>
      <c r="U46" s="27"/>
      <c r="V46" s="27"/>
      <c r="W46" s="27"/>
      <c r="X46" s="28"/>
      <c r="Y46" s="27"/>
      <c r="Z46" s="27"/>
      <c r="AA46" s="27"/>
      <c r="AB46" s="28"/>
      <c r="AC46" s="27"/>
      <c r="AD46" s="27"/>
      <c r="AE46" s="27"/>
      <c r="AF46" s="28"/>
      <c r="AG46" s="27"/>
      <c r="AH46" s="27"/>
      <c r="AI46" s="27"/>
      <c r="AJ46" s="28"/>
      <c r="AK46" s="27"/>
      <c r="AL46" s="27"/>
      <c r="AM46" s="27"/>
      <c r="AN46" s="28"/>
      <c r="AO46" s="27"/>
      <c r="AP46" s="27"/>
      <c r="AQ46" s="27"/>
      <c r="AR46" s="28"/>
      <c r="AS46" s="27"/>
      <c r="AT46" s="27"/>
      <c r="AU46" s="27"/>
      <c r="AV46" s="28"/>
      <c r="AW46" s="27"/>
      <c r="AX46" s="27"/>
      <c r="AY46" s="27"/>
      <c r="AZ46" s="28"/>
      <c r="BA46" s="27"/>
      <c r="BB46" s="27"/>
      <c r="BC46" s="27"/>
      <c r="BD46" s="28"/>
      <c r="BE46" s="27"/>
      <c r="BF46" s="27"/>
      <c r="BG46" s="27"/>
      <c r="BH46" s="28"/>
      <c r="BI46" s="27"/>
      <c r="BJ46" s="27"/>
      <c r="BK46" s="27"/>
      <c r="BL46" s="28"/>
      <c r="BM46" s="27"/>
      <c r="BN46" s="27"/>
      <c r="BO46" s="27"/>
      <c r="BP46" s="28"/>
      <c r="BQ46" s="27"/>
      <c r="BR46" s="27"/>
      <c r="BS46" s="27"/>
      <c r="BT46" s="28"/>
      <c r="BU46" s="27"/>
      <c r="BV46" s="27"/>
      <c r="BW46" s="27"/>
      <c r="BX46" s="28"/>
      <c r="BY46" s="27"/>
      <c r="BZ46" s="27"/>
      <c r="CA46" s="27"/>
      <c r="CB46" s="28"/>
      <c r="CC46" s="27"/>
      <c r="CD46" s="27"/>
      <c r="CE46" s="27"/>
      <c r="CF46" s="28"/>
      <c r="CG46" s="27"/>
      <c r="CH46" s="27"/>
      <c r="CI46" s="27"/>
      <c r="CJ46" s="28"/>
      <c r="CK46" s="27"/>
      <c r="CL46" s="27"/>
      <c r="CM46" s="27"/>
      <c r="CN46" s="28"/>
      <c r="CO46" s="28"/>
      <c r="CP46" s="28"/>
      <c r="CQ46" s="28"/>
      <c r="CR46" s="27"/>
      <c r="CS46" s="27"/>
      <c r="CT46" s="27"/>
      <c r="CU46" s="28"/>
      <c r="CV46" s="27"/>
      <c r="CW46" s="27"/>
      <c r="CX46" s="27"/>
      <c r="CY46" s="28"/>
      <c r="CZ46" s="27"/>
      <c r="DA46" s="27"/>
      <c r="DB46" s="27"/>
      <c r="DC46" s="28"/>
      <c r="DD46" s="27"/>
      <c r="DE46" s="27"/>
      <c r="DF46" s="27"/>
      <c r="DG46" s="28"/>
      <c r="DH46" s="27"/>
      <c r="DI46" s="27"/>
      <c r="DJ46" s="27"/>
      <c r="DK46" s="28"/>
      <c r="DL46" s="27"/>
      <c r="DM46" s="27"/>
      <c r="DN46" s="27"/>
      <c r="DO46" s="28"/>
      <c r="DP46" s="27"/>
      <c r="DQ46" s="27"/>
      <c r="DR46" s="27"/>
      <c r="DS46" s="28"/>
      <c r="DT46" s="27"/>
      <c r="DU46" s="27"/>
      <c r="DV46" s="27"/>
      <c r="DW46" s="28"/>
      <c r="DX46" s="27"/>
      <c r="DY46" s="27"/>
      <c r="DZ46" s="27"/>
      <c r="EA46" s="28"/>
      <c r="EB46" s="27"/>
      <c r="EC46" s="27"/>
      <c r="ED46" s="27"/>
      <c r="EE46" s="28"/>
      <c r="EF46" s="27"/>
      <c r="EG46" s="27"/>
      <c r="EH46" s="27"/>
      <c r="EI46" s="28"/>
      <c r="EJ46" s="27"/>
      <c r="EK46" s="27"/>
      <c r="EL46" s="27"/>
      <c r="EM46" s="28"/>
      <c r="EN46" s="27"/>
      <c r="EO46" s="27"/>
      <c r="EP46" s="27"/>
      <c r="EQ46" s="28"/>
      <c r="ER46" s="27"/>
      <c r="ES46" s="27"/>
      <c r="ET46" s="27"/>
      <c r="EU46" s="28"/>
      <c r="EV46" s="27"/>
      <c r="EW46" s="27"/>
      <c r="EX46" s="27"/>
      <c r="EY46" s="28"/>
      <c r="EZ46" s="27"/>
      <c r="FA46" s="27"/>
      <c r="FB46" s="27"/>
      <c r="FC46" s="28"/>
      <c r="FD46" s="27"/>
      <c r="FE46" s="27"/>
      <c r="FF46" s="27"/>
      <c r="FG46" s="28"/>
      <c r="FH46" s="27"/>
      <c r="FI46" s="27"/>
      <c r="FJ46" s="27"/>
      <c r="FK46" s="15">
        <v>0.2</v>
      </c>
      <c r="FL46" s="15">
        <v>0.2</v>
      </c>
      <c r="FO46" s="71">
        <f t="shared" si="0"/>
        <v>0.14285714285714285</v>
      </c>
    </row>
    <row r="47" spans="1:171">
      <c r="A47" s="27"/>
      <c r="B47" s="27" t="s">
        <v>651</v>
      </c>
      <c r="C47" s="27" t="s">
        <v>119</v>
      </c>
      <c r="D47" s="28"/>
      <c r="E47" s="27"/>
      <c r="F47" s="27"/>
      <c r="G47" s="29"/>
      <c r="H47" s="28"/>
      <c r="I47" s="27"/>
      <c r="J47" s="27"/>
      <c r="K47" s="27"/>
      <c r="L47" s="28"/>
      <c r="M47" s="27"/>
      <c r="N47" s="27"/>
      <c r="O47" s="27"/>
      <c r="P47" s="28"/>
      <c r="Q47" s="27"/>
      <c r="R47" s="27"/>
      <c r="S47" s="27"/>
      <c r="T47" s="28"/>
      <c r="U47" s="27"/>
      <c r="V47" s="27"/>
      <c r="W47" s="27"/>
      <c r="X47" s="28"/>
      <c r="Y47" s="27"/>
      <c r="Z47" s="27"/>
      <c r="AA47" s="27"/>
      <c r="AB47" s="28"/>
      <c r="AC47" s="27"/>
      <c r="AD47" s="27"/>
      <c r="AE47" s="27"/>
      <c r="AF47" s="28"/>
      <c r="AG47" s="27"/>
      <c r="AH47" s="27"/>
      <c r="AI47" s="27"/>
      <c r="AJ47" s="28"/>
      <c r="AK47" s="27"/>
      <c r="AL47" s="27"/>
      <c r="AM47" s="27"/>
      <c r="AN47" s="28"/>
      <c r="AO47" s="27"/>
      <c r="AP47" s="27"/>
      <c r="AQ47" s="27"/>
      <c r="AR47" s="28"/>
      <c r="AS47" s="27"/>
      <c r="AT47" s="27"/>
      <c r="AU47" s="27"/>
      <c r="AV47" s="28"/>
      <c r="AW47" s="27"/>
      <c r="AX47" s="27"/>
      <c r="AY47" s="27"/>
      <c r="AZ47" s="28"/>
      <c r="BA47" s="27"/>
      <c r="BB47" s="27"/>
      <c r="BC47" s="27"/>
      <c r="BD47" s="28"/>
      <c r="BE47" s="27"/>
      <c r="BF47" s="27"/>
      <c r="BG47" s="27"/>
      <c r="BH47" s="28"/>
      <c r="BI47" s="27"/>
      <c r="BJ47" s="27"/>
      <c r="BK47" s="27"/>
      <c r="BL47" s="28"/>
      <c r="BM47" s="27"/>
      <c r="BN47" s="27"/>
      <c r="BO47" s="27"/>
      <c r="BP47" s="28"/>
      <c r="BQ47" s="27"/>
      <c r="BR47" s="27"/>
      <c r="BS47" s="27"/>
      <c r="BT47" s="28"/>
      <c r="BU47" s="27"/>
      <c r="BV47" s="27"/>
      <c r="BW47" s="27"/>
      <c r="BX47" s="28"/>
      <c r="BY47" s="27"/>
      <c r="BZ47" s="27"/>
      <c r="CA47" s="27"/>
      <c r="CB47" s="28"/>
      <c r="CC47" s="27"/>
      <c r="CD47" s="27"/>
      <c r="CE47" s="27"/>
      <c r="CF47" s="28"/>
      <c r="CG47" s="27"/>
      <c r="CH47" s="27"/>
      <c r="CI47" s="27"/>
      <c r="CJ47" s="28"/>
      <c r="CK47" s="27"/>
      <c r="CL47" s="27"/>
      <c r="CM47" s="27"/>
      <c r="CN47" s="28"/>
      <c r="CO47" s="28"/>
      <c r="CP47" s="28"/>
      <c r="CQ47" s="28"/>
      <c r="CR47" s="27"/>
      <c r="CS47" s="27"/>
      <c r="CT47" s="27"/>
      <c r="CU47" s="28"/>
      <c r="CV47" s="27"/>
      <c r="CW47" s="27"/>
      <c r="CX47" s="27"/>
      <c r="CY47" s="28"/>
      <c r="CZ47" s="27"/>
      <c r="DA47" s="27"/>
      <c r="DB47" s="27"/>
      <c r="DC47" s="28"/>
      <c r="DD47" s="27"/>
      <c r="DE47" s="27"/>
      <c r="DF47" s="27"/>
      <c r="DG47" s="28"/>
      <c r="DH47" s="27"/>
      <c r="DI47" s="27"/>
      <c r="DJ47" s="27"/>
      <c r="DK47" s="28"/>
      <c r="DL47" s="27"/>
      <c r="DM47" s="27"/>
      <c r="DN47" s="27"/>
      <c r="DO47" s="28"/>
      <c r="DP47" s="27"/>
      <c r="DQ47" s="27"/>
      <c r="DR47" s="27"/>
      <c r="DS47" s="28"/>
      <c r="DT47" s="27"/>
      <c r="DU47" s="27"/>
      <c r="DV47" s="27"/>
      <c r="DW47" s="28"/>
      <c r="DX47" s="27"/>
      <c r="DY47" s="27"/>
      <c r="DZ47" s="27"/>
      <c r="EA47" s="28"/>
      <c r="EB47" s="27"/>
      <c r="EC47" s="27"/>
      <c r="ED47" s="27"/>
      <c r="EE47" s="28"/>
      <c r="EF47" s="27"/>
      <c r="EG47" s="27"/>
      <c r="EH47" s="27"/>
      <c r="EI47" s="28"/>
      <c r="EJ47" s="27"/>
      <c r="EK47" s="27"/>
      <c r="EL47" s="27"/>
      <c r="EM47" s="28"/>
      <c r="EN47" s="27"/>
      <c r="EO47" s="27"/>
      <c r="EP47" s="27"/>
      <c r="EQ47" s="28"/>
      <c r="ER47" s="27"/>
      <c r="ES47" s="27"/>
      <c r="ET47" s="27"/>
      <c r="EU47" s="28"/>
      <c r="EV47" s="27"/>
      <c r="EW47" s="27"/>
      <c r="EX47" s="27"/>
      <c r="EY47" s="28"/>
      <c r="EZ47" s="27"/>
      <c r="FA47" s="27"/>
      <c r="FB47" s="27"/>
      <c r="FC47" s="28"/>
      <c r="FD47" s="27"/>
      <c r="FE47" s="27"/>
      <c r="FF47" s="27"/>
      <c r="FG47" s="28"/>
      <c r="FH47" s="27"/>
      <c r="FI47" s="27"/>
      <c r="FJ47" s="27"/>
      <c r="FK47" s="15">
        <v>0.2</v>
      </c>
      <c r="FL47" s="15">
        <v>0.2</v>
      </c>
      <c r="FO47" s="71">
        <f t="shared" si="0"/>
        <v>0.14285714285714285</v>
      </c>
    </row>
    <row r="48" spans="1:171">
      <c r="A48" s="27"/>
      <c r="B48" s="27" t="s">
        <v>652</v>
      </c>
      <c r="C48" s="27" t="s">
        <v>119</v>
      </c>
      <c r="D48" s="28"/>
      <c r="E48" s="27"/>
      <c r="F48" s="27"/>
      <c r="G48" s="29"/>
      <c r="H48" s="28"/>
      <c r="I48" s="27"/>
      <c r="J48" s="27"/>
      <c r="K48" s="27"/>
      <c r="L48" s="28"/>
      <c r="M48" s="27"/>
      <c r="N48" s="27"/>
      <c r="O48" s="27"/>
      <c r="P48" s="28"/>
      <c r="Q48" s="27"/>
      <c r="R48" s="27"/>
      <c r="S48" s="27"/>
      <c r="T48" s="28"/>
      <c r="U48" s="27"/>
      <c r="V48" s="27"/>
      <c r="W48" s="27"/>
      <c r="X48" s="28"/>
      <c r="Y48" s="27"/>
      <c r="Z48" s="27"/>
      <c r="AA48" s="27"/>
      <c r="AB48" s="28"/>
      <c r="AC48" s="27"/>
      <c r="AD48" s="27"/>
      <c r="AE48" s="27"/>
      <c r="AF48" s="28"/>
      <c r="AG48" s="27"/>
      <c r="AH48" s="27"/>
      <c r="AI48" s="27"/>
      <c r="AJ48" s="28"/>
      <c r="AK48" s="27"/>
      <c r="AL48" s="27"/>
      <c r="AM48" s="27"/>
      <c r="AN48" s="28"/>
      <c r="AO48" s="27"/>
      <c r="AP48" s="27"/>
      <c r="AQ48" s="27"/>
      <c r="AR48" s="28"/>
      <c r="AS48" s="27"/>
      <c r="AT48" s="27"/>
      <c r="AU48" s="27"/>
      <c r="AV48" s="28"/>
      <c r="AW48" s="27"/>
      <c r="AX48" s="27"/>
      <c r="AY48" s="27"/>
      <c r="AZ48" s="28"/>
      <c r="BA48" s="27"/>
      <c r="BB48" s="27"/>
      <c r="BC48" s="27"/>
      <c r="BD48" s="28"/>
      <c r="BE48" s="27"/>
      <c r="BF48" s="27"/>
      <c r="BG48" s="27"/>
      <c r="BH48" s="28"/>
      <c r="BI48" s="27"/>
      <c r="BJ48" s="27"/>
      <c r="BK48" s="27"/>
      <c r="BL48" s="28"/>
      <c r="BM48" s="27"/>
      <c r="BN48" s="27"/>
      <c r="BO48" s="27"/>
      <c r="BP48" s="28"/>
      <c r="BQ48" s="27"/>
      <c r="BR48" s="27"/>
      <c r="BS48" s="27"/>
      <c r="BT48" s="28"/>
      <c r="BU48" s="27"/>
      <c r="BV48" s="27"/>
      <c r="BW48" s="27"/>
      <c r="BX48" s="28"/>
      <c r="BY48" s="27"/>
      <c r="BZ48" s="27"/>
      <c r="CA48" s="27"/>
      <c r="CB48" s="28"/>
      <c r="CC48" s="27"/>
      <c r="CD48" s="27"/>
      <c r="CE48" s="27"/>
      <c r="CF48" s="28"/>
      <c r="CG48" s="27"/>
      <c r="CH48" s="27"/>
      <c r="CI48" s="27"/>
      <c r="CJ48" s="28"/>
      <c r="CK48" s="27"/>
      <c r="CL48" s="27"/>
      <c r="CM48" s="27"/>
      <c r="CN48" s="28"/>
      <c r="CO48" s="28"/>
      <c r="CP48" s="28"/>
      <c r="CQ48" s="28"/>
      <c r="CR48" s="27"/>
      <c r="CS48" s="27"/>
      <c r="CT48" s="27"/>
      <c r="CU48" s="28"/>
      <c r="CV48" s="27"/>
      <c r="CW48" s="27"/>
      <c r="CX48" s="27"/>
      <c r="CY48" s="28"/>
      <c r="CZ48" s="27"/>
      <c r="DA48" s="27"/>
      <c r="DB48" s="27"/>
      <c r="DC48" s="28"/>
      <c r="DD48" s="27"/>
      <c r="DE48" s="27"/>
      <c r="DF48" s="27"/>
      <c r="DG48" s="28"/>
      <c r="DH48" s="27"/>
      <c r="DI48" s="27"/>
      <c r="DJ48" s="27"/>
      <c r="DK48" s="28"/>
      <c r="DL48" s="27"/>
      <c r="DM48" s="27"/>
      <c r="DN48" s="27"/>
      <c r="DO48" s="28"/>
      <c r="DP48" s="27"/>
      <c r="DQ48" s="27"/>
      <c r="DR48" s="27"/>
      <c r="DS48" s="28"/>
      <c r="DT48" s="27"/>
      <c r="DU48" s="27"/>
      <c r="DV48" s="27"/>
      <c r="DW48" s="28"/>
      <c r="DX48" s="27"/>
      <c r="DY48" s="27"/>
      <c r="DZ48" s="27"/>
      <c r="EA48" s="28"/>
      <c r="EB48" s="27"/>
      <c r="EC48" s="27"/>
      <c r="ED48" s="27"/>
      <c r="EE48" s="28"/>
      <c r="EF48" s="27"/>
      <c r="EG48" s="27"/>
      <c r="EH48" s="27"/>
      <c r="EI48" s="28"/>
      <c r="EJ48" s="27"/>
      <c r="EK48" s="27"/>
      <c r="EL48" s="27"/>
      <c r="EM48" s="28"/>
      <c r="EN48" s="27"/>
      <c r="EO48" s="27"/>
      <c r="EP48" s="27"/>
      <c r="EQ48" s="28"/>
      <c r="ER48" s="27"/>
      <c r="ES48" s="27"/>
      <c r="ET48" s="27"/>
      <c r="EU48" s="28"/>
      <c r="EV48" s="27"/>
      <c r="EW48" s="27"/>
      <c r="EX48" s="27"/>
      <c r="EY48" s="28"/>
      <c r="EZ48" s="27"/>
      <c r="FA48" s="27"/>
      <c r="FB48" s="27"/>
      <c r="FC48" s="28"/>
      <c r="FD48" s="27"/>
      <c r="FE48" s="27"/>
      <c r="FF48" s="27"/>
      <c r="FG48" s="28"/>
      <c r="FH48" s="27"/>
      <c r="FI48" s="27"/>
      <c r="FJ48" s="27"/>
      <c r="FK48" s="15">
        <v>0.15</v>
      </c>
      <c r="FL48" s="15">
        <v>0.15</v>
      </c>
      <c r="FO48" s="71">
        <f t="shared" si="0"/>
        <v>0.14285714285714285</v>
      </c>
    </row>
    <row r="49" spans="1:171">
      <c r="A49" s="27"/>
      <c r="B49" s="27" t="s">
        <v>653</v>
      </c>
      <c r="C49" s="27" t="s">
        <v>119</v>
      </c>
      <c r="D49" s="28"/>
      <c r="E49" s="27"/>
      <c r="F49" s="27"/>
      <c r="G49" s="29"/>
      <c r="H49" s="28"/>
      <c r="I49" s="27"/>
      <c r="J49" s="27"/>
      <c r="K49" s="27"/>
      <c r="L49" s="28"/>
      <c r="M49" s="27"/>
      <c r="N49" s="27"/>
      <c r="O49" s="27"/>
      <c r="P49" s="28"/>
      <c r="Q49" s="27"/>
      <c r="R49" s="27"/>
      <c r="S49" s="27"/>
      <c r="T49" s="28"/>
      <c r="U49" s="27"/>
      <c r="V49" s="27"/>
      <c r="W49" s="27"/>
      <c r="X49" s="28"/>
      <c r="Y49" s="27"/>
      <c r="Z49" s="27"/>
      <c r="AA49" s="27"/>
      <c r="AB49" s="28"/>
      <c r="AC49" s="27"/>
      <c r="AD49" s="27"/>
      <c r="AE49" s="27"/>
      <c r="AF49" s="28"/>
      <c r="AG49" s="27"/>
      <c r="AH49" s="27"/>
      <c r="AI49" s="27"/>
      <c r="AJ49" s="28"/>
      <c r="AK49" s="27"/>
      <c r="AL49" s="27"/>
      <c r="AM49" s="27"/>
      <c r="AN49" s="28"/>
      <c r="AO49" s="27"/>
      <c r="AP49" s="27"/>
      <c r="AQ49" s="27"/>
      <c r="AR49" s="28"/>
      <c r="AS49" s="27"/>
      <c r="AT49" s="27"/>
      <c r="AU49" s="27"/>
      <c r="AV49" s="28"/>
      <c r="AW49" s="27"/>
      <c r="AX49" s="27"/>
      <c r="AY49" s="27"/>
      <c r="AZ49" s="28"/>
      <c r="BA49" s="27"/>
      <c r="BB49" s="27"/>
      <c r="BC49" s="27"/>
      <c r="BD49" s="28"/>
      <c r="BE49" s="27"/>
      <c r="BF49" s="27"/>
      <c r="BG49" s="27"/>
      <c r="BH49" s="28"/>
      <c r="BI49" s="27"/>
      <c r="BJ49" s="27"/>
      <c r="BK49" s="27"/>
      <c r="BL49" s="28"/>
      <c r="BM49" s="27"/>
      <c r="BN49" s="27"/>
      <c r="BO49" s="27"/>
      <c r="BP49" s="28"/>
      <c r="BQ49" s="27"/>
      <c r="BR49" s="27"/>
      <c r="BS49" s="27"/>
      <c r="BT49" s="28"/>
      <c r="BU49" s="27"/>
      <c r="BV49" s="27"/>
      <c r="BW49" s="27"/>
      <c r="BX49" s="28"/>
      <c r="BY49" s="27"/>
      <c r="BZ49" s="27"/>
      <c r="CA49" s="27"/>
      <c r="CB49" s="28"/>
      <c r="CC49" s="27"/>
      <c r="CD49" s="27"/>
      <c r="CE49" s="27"/>
      <c r="CF49" s="28"/>
      <c r="CG49" s="27"/>
      <c r="CH49" s="27"/>
      <c r="CI49" s="27"/>
      <c r="CJ49" s="28"/>
      <c r="CK49" s="27"/>
      <c r="CL49" s="27"/>
      <c r="CM49" s="27"/>
      <c r="CN49" s="28"/>
      <c r="CO49" s="28"/>
      <c r="CP49" s="28"/>
      <c r="CQ49" s="28"/>
      <c r="CR49" s="27"/>
      <c r="CS49" s="27"/>
      <c r="CT49" s="27"/>
      <c r="CU49" s="28"/>
      <c r="CV49" s="27"/>
      <c r="CW49" s="27"/>
      <c r="CX49" s="27"/>
      <c r="CY49" s="28"/>
      <c r="CZ49" s="27"/>
      <c r="DA49" s="27"/>
      <c r="DB49" s="27"/>
      <c r="DC49" s="28"/>
      <c r="DD49" s="27"/>
      <c r="DE49" s="27"/>
      <c r="DF49" s="27"/>
      <c r="DG49" s="28"/>
      <c r="DH49" s="27"/>
      <c r="DI49" s="27"/>
      <c r="DJ49" s="27"/>
      <c r="DK49" s="28"/>
      <c r="DL49" s="27"/>
      <c r="DM49" s="27"/>
      <c r="DN49" s="27"/>
      <c r="DO49" s="28"/>
      <c r="DP49" s="27"/>
      <c r="DQ49" s="27"/>
      <c r="DR49" s="27"/>
      <c r="DS49" s="28"/>
      <c r="DT49" s="27"/>
      <c r="DU49" s="27"/>
      <c r="DV49" s="27"/>
      <c r="DW49" s="28"/>
      <c r="DX49" s="27"/>
      <c r="DY49" s="27"/>
      <c r="DZ49" s="27"/>
      <c r="EA49" s="28"/>
      <c r="EB49" s="27"/>
      <c r="EC49" s="27"/>
      <c r="ED49" s="27"/>
      <c r="EE49" s="28"/>
      <c r="EF49" s="27"/>
      <c r="EG49" s="27"/>
      <c r="EH49" s="27"/>
      <c r="EI49" s="28"/>
      <c r="EJ49" s="27"/>
      <c r="EK49" s="27"/>
      <c r="EL49" s="27"/>
      <c r="EM49" s="28"/>
      <c r="EN49" s="27"/>
      <c r="EO49" s="27"/>
      <c r="EP49" s="27"/>
      <c r="EQ49" s="28"/>
      <c r="ER49" s="27"/>
      <c r="ES49" s="27"/>
      <c r="ET49" s="27"/>
      <c r="EU49" s="28"/>
      <c r="EV49" s="27"/>
      <c r="EW49" s="27"/>
      <c r="EX49" s="27"/>
      <c r="EY49" s="28"/>
      <c r="EZ49" s="27"/>
      <c r="FA49" s="27"/>
      <c r="FB49" s="27"/>
      <c r="FC49" s="28"/>
      <c r="FD49" s="27"/>
      <c r="FE49" s="27"/>
      <c r="FF49" s="27"/>
      <c r="FG49" s="28"/>
      <c r="FH49" s="27"/>
      <c r="FI49" s="27"/>
      <c r="FJ49" s="27"/>
      <c r="FK49" s="15">
        <v>0.1</v>
      </c>
      <c r="FL49" s="15">
        <v>0.1</v>
      </c>
      <c r="FO49" s="71">
        <f t="shared" si="0"/>
        <v>0.14285714285714285</v>
      </c>
    </row>
    <row r="50" spans="1:171">
      <c r="A50" s="27"/>
      <c r="B50" s="27" t="s">
        <v>654</v>
      </c>
      <c r="C50" s="27" t="s">
        <v>119</v>
      </c>
      <c r="D50" s="28"/>
      <c r="E50" s="27"/>
      <c r="F50" s="27"/>
      <c r="G50" s="29"/>
      <c r="H50" s="28"/>
      <c r="I50" s="27"/>
      <c r="J50" s="27"/>
      <c r="K50" s="27"/>
      <c r="L50" s="28"/>
      <c r="M50" s="27"/>
      <c r="N50" s="27"/>
      <c r="O50" s="27"/>
      <c r="P50" s="28"/>
      <c r="Q50" s="27"/>
      <c r="R50" s="27"/>
      <c r="S50" s="27"/>
      <c r="T50" s="28"/>
      <c r="U50" s="27"/>
      <c r="V50" s="27"/>
      <c r="W50" s="27"/>
      <c r="X50" s="28"/>
      <c r="Y50" s="27"/>
      <c r="Z50" s="27"/>
      <c r="AA50" s="27"/>
      <c r="AB50" s="28"/>
      <c r="AC50" s="27"/>
      <c r="AD50" s="27"/>
      <c r="AE50" s="27"/>
      <c r="AF50" s="28"/>
      <c r="AG50" s="27"/>
      <c r="AH50" s="27"/>
      <c r="AI50" s="27"/>
      <c r="AJ50" s="28"/>
      <c r="AK50" s="27"/>
      <c r="AL50" s="27"/>
      <c r="AM50" s="27"/>
      <c r="AN50" s="28"/>
      <c r="AO50" s="27"/>
      <c r="AP50" s="27"/>
      <c r="AQ50" s="27"/>
      <c r="AR50" s="28"/>
      <c r="AS50" s="27"/>
      <c r="AT50" s="27"/>
      <c r="AU50" s="27"/>
      <c r="AV50" s="28"/>
      <c r="AW50" s="27"/>
      <c r="AX50" s="27"/>
      <c r="AY50" s="27"/>
      <c r="AZ50" s="28"/>
      <c r="BA50" s="27"/>
      <c r="BB50" s="27"/>
      <c r="BC50" s="27"/>
      <c r="BD50" s="28"/>
      <c r="BE50" s="27"/>
      <c r="BF50" s="27"/>
      <c r="BG50" s="27"/>
      <c r="BH50" s="28"/>
      <c r="BI50" s="27"/>
      <c r="BJ50" s="27"/>
      <c r="BK50" s="27"/>
      <c r="BL50" s="28"/>
      <c r="BM50" s="27"/>
      <c r="BN50" s="27"/>
      <c r="BO50" s="27"/>
      <c r="BP50" s="28"/>
      <c r="BQ50" s="27"/>
      <c r="BR50" s="27"/>
      <c r="BS50" s="27"/>
      <c r="BT50" s="28"/>
      <c r="BU50" s="27"/>
      <c r="BV50" s="27"/>
      <c r="BW50" s="27"/>
      <c r="BX50" s="28"/>
      <c r="BY50" s="27"/>
      <c r="BZ50" s="27"/>
      <c r="CA50" s="27"/>
      <c r="CB50" s="28"/>
      <c r="CC50" s="27"/>
      <c r="CD50" s="27"/>
      <c r="CE50" s="27"/>
      <c r="CF50" s="28"/>
      <c r="CG50" s="27"/>
      <c r="CH50" s="27"/>
      <c r="CI50" s="27"/>
      <c r="CJ50" s="28"/>
      <c r="CK50" s="27"/>
      <c r="CL50" s="27"/>
      <c r="CM50" s="27"/>
      <c r="CN50" s="28"/>
      <c r="CO50" s="28"/>
      <c r="CP50" s="28"/>
      <c r="CQ50" s="28"/>
      <c r="CR50" s="27"/>
      <c r="CS50" s="27"/>
      <c r="CT50" s="27"/>
      <c r="CU50" s="28"/>
      <c r="CV50" s="27"/>
      <c r="CW50" s="27"/>
      <c r="CX50" s="27"/>
      <c r="CY50" s="28"/>
      <c r="CZ50" s="27"/>
      <c r="DA50" s="27"/>
      <c r="DB50" s="27"/>
      <c r="DC50" s="28"/>
      <c r="DD50" s="27"/>
      <c r="DE50" s="27"/>
      <c r="DF50" s="27"/>
      <c r="DG50" s="28"/>
      <c r="DH50" s="27"/>
      <c r="DI50" s="27"/>
      <c r="DJ50" s="27"/>
      <c r="DK50" s="28"/>
      <c r="DL50" s="27"/>
      <c r="DM50" s="27"/>
      <c r="DN50" s="27"/>
      <c r="DO50" s="28"/>
      <c r="DP50" s="27"/>
      <c r="DQ50" s="27"/>
      <c r="DR50" s="27"/>
      <c r="DS50" s="28"/>
      <c r="DT50" s="27"/>
      <c r="DU50" s="27"/>
      <c r="DV50" s="27"/>
      <c r="DW50" s="28"/>
      <c r="DX50" s="27"/>
      <c r="DY50" s="27"/>
      <c r="DZ50" s="27"/>
      <c r="EA50" s="28"/>
      <c r="EB50" s="27"/>
      <c r="EC50" s="27"/>
      <c r="ED50" s="27"/>
      <c r="EE50" s="28"/>
      <c r="EF50" s="27"/>
      <c r="EG50" s="27"/>
      <c r="EH50" s="27"/>
      <c r="EI50" s="28"/>
      <c r="EJ50" s="27"/>
      <c r="EK50" s="27"/>
      <c r="EL50" s="27"/>
      <c r="EM50" s="28"/>
      <c r="EN50" s="27"/>
      <c r="EO50" s="27"/>
      <c r="EP50" s="27"/>
      <c r="EQ50" s="28"/>
      <c r="ER50" s="27"/>
      <c r="ES50" s="27"/>
      <c r="ET50" s="27"/>
      <c r="EU50" s="28"/>
      <c r="EV50" s="27"/>
      <c r="EW50" s="27"/>
      <c r="EX50" s="27"/>
      <c r="EY50" s="28"/>
      <c r="EZ50" s="27"/>
      <c r="FA50" s="27"/>
      <c r="FB50" s="27"/>
      <c r="FC50" s="28"/>
      <c r="FD50" s="27"/>
      <c r="FE50" s="27"/>
      <c r="FF50" s="27"/>
      <c r="FG50" s="28"/>
      <c r="FH50" s="27"/>
      <c r="FI50" s="27"/>
      <c r="FJ50" s="27"/>
      <c r="FK50" s="6"/>
    </row>
    <row r="51" spans="1:171">
      <c r="A51" s="27"/>
      <c r="B51" s="27" t="s">
        <v>655</v>
      </c>
      <c r="C51" s="27" t="s">
        <v>119</v>
      </c>
      <c r="D51" s="28"/>
      <c r="E51" s="27"/>
      <c r="F51" s="27"/>
      <c r="G51" s="29"/>
      <c r="H51" s="28"/>
      <c r="I51" s="27"/>
      <c r="J51" s="27"/>
      <c r="K51" s="27"/>
      <c r="L51" s="28"/>
      <c r="M51" s="27"/>
      <c r="N51" s="27"/>
      <c r="O51" s="27"/>
      <c r="P51" s="28"/>
      <c r="Q51" s="27"/>
      <c r="R51" s="27"/>
      <c r="S51" s="27"/>
      <c r="T51" s="28"/>
      <c r="U51" s="27"/>
      <c r="V51" s="27"/>
      <c r="W51" s="27"/>
      <c r="X51" s="28"/>
      <c r="Y51" s="27"/>
      <c r="Z51" s="27"/>
      <c r="AA51" s="27"/>
      <c r="AB51" s="28"/>
      <c r="AC51" s="27"/>
      <c r="AD51" s="27"/>
      <c r="AE51" s="27"/>
      <c r="AF51" s="28"/>
      <c r="AG51" s="27"/>
      <c r="AH51" s="27"/>
      <c r="AI51" s="27"/>
      <c r="AJ51" s="28"/>
      <c r="AK51" s="27"/>
      <c r="AL51" s="27"/>
      <c r="AM51" s="27"/>
      <c r="AN51" s="28"/>
      <c r="AO51" s="27"/>
      <c r="AP51" s="27"/>
      <c r="AQ51" s="27"/>
      <c r="AR51" s="28"/>
      <c r="AS51" s="27"/>
      <c r="AT51" s="27"/>
      <c r="AU51" s="27"/>
      <c r="AV51" s="28"/>
      <c r="AW51" s="27"/>
      <c r="AX51" s="27"/>
      <c r="AY51" s="27"/>
      <c r="AZ51" s="28"/>
      <c r="BA51" s="27"/>
      <c r="BB51" s="27"/>
      <c r="BC51" s="27"/>
      <c r="BD51" s="28"/>
      <c r="BE51" s="27"/>
      <c r="BF51" s="27"/>
      <c r="BG51" s="27"/>
      <c r="BH51" s="28"/>
      <c r="BI51" s="27"/>
      <c r="BJ51" s="27"/>
      <c r="BK51" s="27"/>
      <c r="BL51" s="28"/>
      <c r="BM51" s="27"/>
      <c r="BN51" s="27"/>
      <c r="BO51" s="27"/>
      <c r="BP51" s="28"/>
      <c r="BQ51" s="27"/>
      <c r="BR51" s="27"/>
      <c r="BS51" s="27"/>
      <c r="BT51" s="28"/>
      <c r="BU51" s="27"/>
      <c r="BV51" s="27"/>
      <c r="BW51" s="27"/>
      <c r="BX51" s="28"/>
      <c r="BY51" s="27"/>
      <c r="BZ51" s="27"/>
      <c r="CA51" s="27"/>
      <c r="CB51" s="28"/>
      <c r="CC51" s="27"/>
      <c r="CD51" s="27"/>
      <c r="CE51" s="27"/>
      <c r="CF51" s="28"/>
      <c r="CG51" s="27"/>
      <c r="CH51" s="27"/>
      <c r="CI51" s="27"/>
      <c r="CJ51" s="28"/>
      <c r="CK51" s="27"/>
      <c r="CL51" s="27"/>
      <c r="CM51" s="27"/>
      <c r="CN51" s="28"/>
      <c r="CO51" s="28"/>
      <c r="CP51" s="28"/>
      <c r="CQ51" s="28"/>
      <c r="CR51" s="27"/>
      <c r="CS51" s="27"/>
      <c r="CT51" s="27"/>
      <c r="CU51" s="28"/>
      <c r="CV51" s="27"/>
      <c r="CW51" s="27"/>
      <c r="CX51" s="27"/>
      <c r="CY51" s="28"/>
      <c r="CZ51" s="27"/>
      <c r="DA51" s="27"/>
      <c r="DB51" s="27"/>
      <c r="DC51" s="28"/>
      <c r="DD51" s="27"/>
      <c r="DE51" s="27"/>
      <c r="DF51" s="27"/>
      <c r="DG51" s="28"/>
      <c r="DH51" s="27"/>
      <c r="DI51" s="27"/>
      <c r="DJ51" s="27"/>
      <c r="DK51" s="28"/>
      <c r="DL51" s="27"/>
      <c r="DM51" s="27"/>
      <c r="DN51" s="27"/>
      <c r="DO51" s="28"/>
      <c r="DP51" s="27"/>
      <c r="DQ51" s="27"/>
      <c r="DR51" s="27"/>
      <c r="DS51" s="28"/>
      <c r="DT51" s="27"/>
      <c r="DU51" s="27"/>
      <c r="DV51" s="27"/>
      <c r="DW51" s="28"/>
      <c r="DX51" s="27"/>
      <c r="DY51" s="27"/>
      <c r="DZ51" s="27"/>
      <c r="EA51" s="28"/>
      <c r="EB51" s="27"/>
      <c r="EC51" s="27"/>
      <c r="ED51" s="27"/>
      <c r="EE51" s="28"/>
      <c r="EF51" s="27"/>
      <c r="EG51" s="27"/>
      <c r="EH51" s="27"/>
      <c r="EI51" s="28"/>
      <c r="EJ51" s="27"/>
      <c r="EK51" s="27"/>
      <c r="EL51" s="27"/>
      <c r="EM51" s="28"/>
      <c r="EN51" s="27"/>
      <c r="EO51" s="27"/>
      <c r="EP51" s="27"/>
      <c r="EQ51" s="28"/>
      <c r="ER51" s="27"/>
      <c r="ES51" s="27"/>
      <c r="ET51" s="27"/>
      <c r="EU51" s="28"/>
      <c r="EV51" s="27"/>
      <c r="EW51" s="27"/>
      <c r="EX51" s="27"/>
      <c r="EY51" s="28"/>
      <c r="EZ51" s="27"/>
      <c r="FA51" s="27"/>
      <c r="FB51" s="27"/>
      <c r="FC51" s="28"/>
      <c r="FD51" s="27"/>
      <c r="FE51" s="27"/>
      <c r="FF51" s="27"/>
      <c r="FG51" s="28"/>
      <c r="FH51" s="27"/>
      <c r="FI51" s="27"/>
      <c r="FJ51" s="27"/>
      <c r="FK51" s="6"/>
    </row>
    <row r="52" spans="1:171">
      <c r="A52" s="27"/>
      <c r="B52" s="27" t="s">
        <v>656</v>
      </c>
      <c r="C52" s="27" t="s">
        <v>119</v>
      </c>
      <c r="D52" s="28"/>
      <c r="E52" s="27"/>
      <c r="F52" s="27"/>
      <c r="G52" s="29"/>
      <c r="H52" s="28"/>
      <c r="I52" s="27"/>
      <c r="J52" s="27"/>
      <c r="K52" s="27"/>
      <c r="L52" s="28"/>
      <c r="M52" s="27"/>
      <c r="N52" s="27"/>
      <c r="O52" s="27"/>
      <c r="P52" s="28"/>
      <c r="Q52" s="27"/>
      <c r="R52" s="27"/>
      <c r="S52" s="27"/>
      <c r="T52" s="28"/>
      <c r="U52" s="27"/>
      <c r="V52" s="27"/>
      <c r="W52" s="27"/>
      <c r="X52" s="28"/>
      <c r="Y52" s="27"/>
      <c r="Z52" s="27"/>
      <c r="AA52" s="27"/>
      <c r="AB52" s="28"/>
      <c r="AC52" s="27"/>
      <c r="AD52" s="27"/>
      <c r="AE52" s="27"/>
      <c r="AF52" s="28"/>
      <c r="AG52" s="27"/>
      <c r="AH52" s="27"/>
      <c r="AI52" s="27"/>
      <c r="AJ52" s="28"/>
      <c r="AK52" s="27"/>
      <c r="AL52" s="27"/>
      <c r="AM52" s="27"/>
      <c r="AN52" s="28"/>
      <c r="AO52" s="27"/>
      <c r="AP52" s="27"/>
      <c r="AQ52" s="27"/>
      <c r="AR52" s="28"/>
      <c r="AS52" s="27"/>
      <c r="AT52" s="27"/>
      <c r="AU52" s="27"/>
      <c r="AV52" s="28"/>
      <c r="AW52" s="27"/>
      <c r="AX52" s="27"/>
      <c r="AY52" s="27"/>
      <c r="AZ52" s="28"/>
      <c r="BA52" s="27"/>
      <c r="BB52" s="27"/>
      <c r="BC52" s="27"/>
      <c r="BD52" s="28"/>
      <c r="BE52" s="27"/>
      <c r="BF52" s="27"/>
      <c r="BG52" s="27"/>
      <c r="BH52" s="28"/>
      <c r="BI52" s="27"/>
      <c r="BJ52" s="27"/>
      <c r="BK52" s="27"/>
      <c r="BL52" s="28"/>
      <c r="BM52" s="27"/>
      <c r="BN52" s="27"/>
      <c r="BO52" s="27"/>
      <c r="BP52" s="28"/>
      <c r="BQ52" s="27"/>
      <c r="BR52" s="27"/>
      <c r="BS52" s="27"/>
      <c r="BT52" s="28"/>
      <c r="BU52" s="27"/>
      <c r="BV52" s="27"/>
      <c r="BW52" s="27"/>
      <c r="BX52" s="28"/>
      <c r="BY52" s="27"/>
      <c r="BZ52" s="27"/>
      <c r="CA52" s="27"/>
      <c r="CB52" s="28"/>
      <c r="CC52" s="27"/>
      <c r="CD52" s="27"/>
      <c r="CE52" s="27"/>
      <c r="CF52" s="28"/>
      <c r="CG52" s="27"/>
      <c r="CH52" s="27"/>
      <c r="CI52" s="27"/>
      <c r="CJ52" s="28"/>
      <c r="CK52" s="27"/>
      <c r="CL52" s="27"/>
      <c r="CM52" s="27"/>
      <c r="CN52" s="28"/>
      <c r="CO52" s="28"/>
      <c r="CP52" s="28"/>
      <c r="CQ52" s="28"/>
      <c r="CR52" s="27"/>
      <c r="CS52" s="27"/>
      <c r="CT52" s="27"/>
      <c r="CU52" s="28"/>
      <c r="CV52" s="27"/>
      <c r="CW52" s="27"/>
      <c r="CX52" s="27"/>
      <c r="CY52" s="28"/>
      <c r="CZ52" s="27"/>
      <c r="DA52" s="27"/>
      <c r="DB52" s="27"/>
      <c r="DC52" s="28"/>
      <c r="DD52" s="27"/>
      <c r="DE52" s="27"/>
      <c r="DF52" s="27"/>
      <c r="DG52" s="28"/>
      <c r="DH52" s="27"/>
      <c r="DI52" s="27"/>
      <c r="DJ52" s="27"/>
      <c r="DK52" s="28"/>
      <c r="DL52" s="27"/>
      <c r="DM52" s="27"/>
      <c r="DN52" s="27"/>
      <c r="DO52" s="28"/>
      <c r="DP52" s="27"/>
      <c r="DQ52" s="27"/>
      <c r="DR52" s="27"/>
      <c r="DS52" s="28"/>
      <c r="DT52" s="27"/>
      <c r="DU52" s="27"/>
      <c r="DV52" s="27"/>
      <c r="DW52" s="28"/>
      <c r="DX52" s="27"/>
      <c r="DY52" s="27"/>
      <c r="DZ52" s="27"/>
      <c r="EA52" s="28"/>
      <c r="EB52" s="27"/>
      <c r="EC52" s="27"/>
      <c r="ED52" s="27"/>
      <c r="EE52" s="28"/>
      <c r="EF52" s="27"/>
      <c r="EG52" s="27"/>
      <c r="EH52" s="27"/>
      <c r="EI52" s="28"/>
      <c r="EJ52" s="27"/>
      <c r="EK52" s="27"/>
      <c r="EL52" s="27"/>
      <c r="EM52" s="28"/>
      <c r="EN52" s="27"/>
      <c r="EO52" s="27"/>
      <c r="EP52" s="27"/>
      <c r="EQ52" s="28"/>
      <c r="ER52" s="27"/>
      <c r="ES52" s="27"/>
      <c r="ET52" s="27"/>
      <c r="EU52" s="28"/>
      <c r="EV52" s="27"/>
      <c r="EW52" s="27"/>
      <c r="EX52" s="27"/>
      <c r="EY52" s="28"/>
      <c r="EZ52" s="27"/>
      <c r="FA52" s="27"/>
      <c r="FB52" s="27"/>
      <c r="FC52" s="28"/>
      <c r="FD52" s="27"/>
      <c r="FE52" s="27"/>
      <c r="FF52" s="27"/>
      <c r="FG52" s="28"/>
      <c r="FH52" s="27"/>
      <c r="FI52" s="27"/>
      <c r="FJ52" s="27"/>
      <c r="FK52" s="6"/>
    </row>
    <row r="53" spans="1:171">
      <c r="A53" s="27"/>
      <c r="B53" s="27" t="s">
        <v>659</v>
      </c>
      <c r="C53" s="27" t="s">
        <v>119</v>
      </c>
      <c r="D53" s="28"/>
      <c r="E53" s="27"/>
      <c r="F53" s="27"/>
      <c r="G53" s="29"/>
      <c r="H53" s="28"/>
      <c r="I53" s="27"/>
      <c r="J53" s="27"/>
      <c r="K53" s="27"/>
      <c r="L53" s="28"/>
      <c r="M53" s="27"/>
      <c r="N53" s="27"/>
      <c r="O53" s="27"/>
      <c r="P53" s="28"/>
      <c r="Q53" s="27"/>
      <c r="R53" s="27"/>
      <c r="S53" s="27"/>
      <c r="T53" s="28"/>
      <c r="U53" s="27"/>
      <c r="V53" s="27"/>
      <c r="W53" s="27"/>
      <c r="X53" s="28"/>
      <c r="Y53" s="27"/>
      <c r="Z53" s="27"/>
      <c r="AA53" s="27"/>
      <c r="AB53" s="28"/>
      <c r="AC53" s="27"/>
      <c r="AD53" s="27"/>
      <c r="AE53" s="27"/>
      <c r="AF53" s="28"/>
      <c r="AG53" s="27"/>
      <c r="AH53" s="27"/>
      <c r="AI53" s="27"/>
      <c r="AJ53" s="28"/>
      <c r="AK53" s="27"/>
      <c r="AL53" s="27"/>
      <c r="AM53" s="27"/>
      <c r="AN53" s="28"/>
      <c r="AO53" s="27"/>
      <c r="AP53" s="27"/>
      <c r="AQ53" s="27"/>
      <c r="AR53" s="28"/>
      <c r="AS53" s="27"/>
      <c r="AT53" s="27"/>
      <c r="AU53" s="27"/>
      <c r="AV53" s="28"/>
      <c r="AW53" s="27"/>
      <c r="AX53" s="27"/>
      <c r="AY53" s="27"/>
      <c r="AZ53" s="28"/>
      <c r="BA53" s="27"/>
      <c r="BB53" s="27"/>
      <c r="BC53" s="27"/>
      <c r="BD53" s="28"/>
      <c r="BE53" s="27"/>
      <c r="BF53" s="27"/>
      <c r="BG53" s="27"/>
      <c r="BH53" s="28"/>
      <c r="BI53" s="27"/>
      <c r="BJ53" s="27"/>
      <c r="BK53" s="27"/>
      <c r="BL53" s="28"/>
      <c r="BM53" s="27"/>
      <c r="BN53" s="27"/>
      <c r="BO53" s="27"/>
      <c r="BP53" s="28"/>
      <c r="BQ53" s="27"/>
      <c r="BR53" s="27"/>
      <c r="BS53" s="27"/>
      <c r="BT53" s="28"/>
      <c r="BU53" s="27"/>
      <c r="BV53" s="27"/>
      <c r="BW53" s="27"/>
      <c r="BX53" s="28"/>
      <c r="BY53" s="27"/>
      <c r="BZ53" s="27"/>
      <c r="CA53" s="27"/>
      <c r="CB53" s="28"/>
      <c r="CC53" s="27"/>
      <c r="CD53" s="27"/>
      <c r="CE53" s="27"/>
      <c r="CF53" s="28"/>
      <c r="CG53" s="27"/>
      <c r="CH53" s="27"/>
      <c r="CI53" s="27"/>
      <c r="CJ53" s="28"/>
      <c r="CK53" s="27"/>
      <c r="CL53" s="27"/>
      <c r="CM53" s="27"/>
      <c r="CN53" s="28"/>
      <c r="CO53" s="28"/>
      <c r="CP53" s="28"/>
      <c r="CQ53" s="28"/>
      <c r="CR53" s="27"/>
      <c r="CS53" s="27"/>
      <c r="CT53" s="27"/>
      <c r="CU53" s="28"/>
      <c r="CV53" s="27"/>
      <c r="CW53" s="27"/>
      <c r="CX53" s="27"/>
      <c r="CY53" s="28"/>
      <c r="CZ53" s="27"/>
      <c r="DA53" s="27"/>
      <c r="DB53" s="27"/>
      <c r="DC53" s="28"/>
      <c r="DD53" s="27"/>
      <c r="DE53" s="27"/>
      <c r="DF53" s="27"/>
      <c r="DG53" s="28"/>
      <c r="DH53" s="27"/>
      <c r="DI53" s="27"/>
      <c r="DJ53" s="27"/>
      <c r="DK53" s="28"/>
      <c r="DL53" s="27"/>
      <c r="DM53" s="27"/>
      <c r="DN53" s="27"/>
      <c r="DO53" s="28"/>
      <c r="DP53" s="27"/>
      <c r="DQ53" s="27"/>
      <c r="DR53" s="27"/>
      <c r="DS53" s="28"/>
      <c r="DT53" s="27"/>
      <c r="DU53" s="27"/>
      <c r="DV53" s="27"/>
      <c r="DW53" s="28"/>
      <c r="DX53" s="27"/>
      <c r="DY53" s="27"/>
      <c r="DZ53" s="27"/>
      <c r="EA53" s="28"/>
      <c r="EB53" s="27"/>
      <c r="EC53" s="27"/>
      <c r="ED53" s="27"/>
      <c r="EE53" s="28"/>
      <c r="EF53" s="27"/>
      <c r="EG53" s="27"/>
      <c r="EH53" s="27"/>
      <c r="EI53" s="28"/>
      <c r="EJ53" s="27"/>
      <c r="EK53" s="27"/>
      <c r="EL53" s="27"/>
      <c r="EM53" s="28"/>
      <c r="EN53" s="27"/>
      <c r="EO53" s="27"/>
      <c r="EP53" s="27"/>
      <c r="EQ53" s="28"/>
      <c r="ER53" s="27"/>
      <c r="ES53" s="27"/>
      <c r="ET53" s="27"/>
      <c r="EU53" s="28"/>
      <c r="EV53" s="27"/>
      <c r="EW53" s="27"/>
      <c r="EX53" s="27"/>
      <c r="EY53" s="28"/>
      <c r="EZ53" s="27"/>
      <c r="FA53" s="27"/>
      <c r="FB53" s="27"/>
      <c r="FC53" s="28"/>
      <c r="FD53" s="27"/>
      <c r="FE53" s="27"/>
      <c r="FF53" s="27"/>
      <c r="FG53" s="28"/>
      <c r="FH53" s="27"/>
      <c r="FI53" s="27"/>
      <c r="FJ53" s="27"/>
      <c r="FK53" s="6"/>
    </row>
    <row r="54" spans="1:171">
      <c r="A54" s="27"/>
      <c r="B54" s="27" t="s">
        <v>660</v>
      </c>
      <c r="C54" s="27" t="s">
        <v>119</v>
      </c>
      <c r="D54" s="28"/>
      <c r="E54" s="27"/>
      <c r="F54" s="27"/>
      <c r="G54" s="29"/>
      <c r="H54" s="28"/>
      <c r="I54" s="27"/>
      <c r="J54" s="27"/>
      <c r="K54" s="27"/>
      <c r="L54" s="28"/>
      <c r="M54" s="27"/>
      <c r="N54" s="27"/>
      <c r="O54" s="27"/>
      <c r="P54" s="28"/>
      <c r="Q54" s="27"/>
      <c r="R54" s="27"/>
      <c r="S54" s="27"/>
      <c r="T54" s="28"/>
      <c r="U54" s="27"/>
      <c r="V54" s="27"/>
      <c r="W54" s="27"/>
      <c r="X54" s="28"/>
      <c r="Y54" s="27"/>
      <c r="Z54" s="27"/>
      <c r="AA54" s="27"/>
      <c r="AB54" s="28"/>
      <c r="AC54" s="27"/>
      <c r="AD54" s="27"/>
      <c r="AE54" s="27"/>
      <c r="AF54" s="28"/>
      <c r="AG54" s="27"/>
      <c r="AH54" s="27"/>
      <c r="AI54" s="27"/>
      <c r="AJ54" s="28"/>
      <c r="AK54" s="27"/>
      <c r="AL54" s="27"/>
      <c r="AM54" s="27"/>
      <c r="AN54" s="28"/>
      <c r="AO54" s="27"/>
      <c r="AP54" s="27"/>
      <c r="AQ54" s="27"/>
      <c r="AR54" s="28"/>
      <c r="AS54" s="27"/>
      <c r="AT54" s="27"/>
      <c r="AU54" s="27"/>
      <c r="AV54" s="28"/>
      <c r="AW54" s="27"/>
      <c r="AX54" s="27"/>
      <c r="AY54" s="27"/>
      <c r="AZ54" s="28"/>
      <c r="BA54" s="27"/>
      <c r="BB54" s="27"/>
      <c r="BC54" s="27"/>
      <c r="BD54" s="28"/>
      <c r="BE54" s="27"/>
      <c r="BF54" s="27"/>
      <c r="BG54" s="27"/>
      <c r="BH54" s="28"/>
      <c r="BI54" s="27"/>
      <c r="BJ54" s="27"/>
      <c r="BK54" s="27"/>
      <c r="BL54" s="28"/>
      <c r="BM54" s="27"/>
      <c r="BN54" s="27"/>
      <c r="BO54" s="27"/>
      <c r="BP54" s="28"/>
      <c r="BQ54" s="27"/>
      <c r="BR54" s="27"/>
      <c r="BS54" s="27"/>
      <c r="BT54" s="28"/>
      <c r="BU54" s="27"/>
      <c r="BV54" s="27"/>
      <c r="BW54" s="27"/>
      <c r="BX54" s="28"/>
      <c r="BY54" s="27"/>
      <c r="BZ54" s="27"/>
      <c r="CA54" s="27"/>
      <c r="CB54" s="28"/>
      <c r="CC54" s="27"/>
      <c r="CD54" s="27"/>
      <c r="CE54" s="27"/>
      <c r="CF54" s="28"/>
      <c r="CG54" s="27"/>
      <c r="CH54" s="27"/>
      <c r="CI54" s="27"/>
      <c r="CJ54" s="28"/>
      <c r="CK54" s="27"/>
      <c r="CL54" s="27"/>
      <c r="CM54" s="27"/>
      <c r="CN54" s="28"/>
      <c r="CO54" s="28"/>
      <c r="CP54" s="28"/>
      <c r="CQ54" s="28"/>
      <c r="CR54" s="27"/>
      <c r="CS54" s="27"/>
      <c r="CT54" s="27"/>
      <c r="CU54" s="28"/>
      <c r="CV54" s="27"/>
      <c r="CW54" s="27"/>
      <c r="CX54" s="27"/>
      <c r="CY54" s="28"/>
      <c r="CZ54" s="27"/>
      <c r="DA54" s="27"/>
      <c r="DB54" s="27"/>
      <c r="DC54" s="28"/>
      <c r="DD54" s="27"/>
      <c r="DE54" s="27"/>
      <c r="DF54" s="27"/>
      <c r="DG54" s="28"/>
      <c r="DH54" s="27"/>
      <c r="DI54" s="27"/>
      <c r="DJ54" s="27"/>
      <c r="DK54" s="28"/>
      <c r="DL54" s="27"/>
      <c r="DM54" s="27"/>
      <c r="DN54" s="27"/>
      <c r="DO54" s="28"/>
      <c r="DP54" s="27"/>
      <c r="DQ54" s="27"/>
      <c r="DR54" s="27"/>
      <c r="DS54" s="28"/>
      <c r="DT54" s="27"/>
      <c r="DU54" s="27"/>
      <c r="DV54" s="27"/>
      <c r="DW54" s="28"/>
      <c r="DX54" s="27"/>
      <c r="DY54" s="27"/>
      <c r="DZ54" s="27"/>
      <c r="EA54" s="28"/>
      <c r="EB54" s="27"/>
      <c r="EC54" s="27"/>
      <c r="ED54" s="27"/>
      <c r="EE54" s="28"/>
      <c r="EF54" s="27"/>
      <c r="EG54" s="27"/>
      <c r="EH54" s="27"/>
      <c r="EI54" s="28"/>
      <c r="EJ54" s="27"/>
      <c r="EK54" s="27"/>
      <c r="EL54" s="27"/>
      <c r="EM54" s="28"/>
      <c r="EN54" s="27"/>
      <c r="EO54" s="27"/>
      <c r="EP54" s="27"/>
      <c r="EQ54" s="28"/>
      <c r="ER54" s="27"/>
      <c r="ES54" s="27"/>
      <c r="ET54" s="27"/>
      <c r="EU54" s="28"/>
      <c r="EV54" s="27"/>
      <c r="EW54" s="27"/>
      <c r="EX54" s="27"/>
      <c r="EY54" s="28"/>
      <c r="EZ54" s="27"/>
      <c r="FA54" s="27"/>
      <c r="FB54" s="27"/>
      <c r="FC54" s="28"/>
      <c r="FD54" s="27"/>
      <c r="FE54" s="27"/>
      <c r="FF54" s="27"/>
      <c r="FG54" s="28"/>
      <c r="FH54" s="27"/>
      <c r="FI54" s="27"/>
      <c r="FJ54" s="27"/>
      <c r="FK54" s="6"/>
    </row>
    <row r="55" spans="1:171">
      <c r="A55" s="27"/>
      <c r="B55" s="27" t="s">
        <v>661</v>
      </c>
      <c r="C55" s="27" t="s">
        <v>119</v>
      </c>
      <c r="D55" s="28"/>
      <c r="E55" s="27"/>
      <c r="F55" s="27"/>
      <c r="G55" s="29"/>
      <c r="H55" s="28"/>
      <c r="I55" s="27"/>
      <c r="J55" s="27"/>
      <c r="K55" s="27"/>
      <c r="L55" s="28"/>
      <c r="M55" s="27"/>
      <c r="N55" s="27"/>
      <c r="O55" s="27"/>
      <c r="P55" s="28"/>
      <c r="Q55" s="27"/>
      <c r="R55" s="27"/>
      <c r="S55" s="27"/>
      <c r="T55" s="28"/>
      <c r="U55" s="27"/>
      <c r="V55" s="27"/>
      <c r="W55" s="27"/>
      <c r="X55" s="28"/>
      <c r="Y55" s="27"/>
      <c r="Z55" s="27"/>
      <c r="AA55" s="27"/>
      <c r="AB55" s="28"/>
      <c r="AC55" s="27"/>
      <c r="AD55" s="27"/>
      <c r="AE55" s="27"/>
      <c r="AF55" s="28"/>
      <c r="AG55" s="27"/>
      <c r="AH55" s="27"/>
      <c r="AI55" s="27"/>
      <c r="AJ55" s="28"/>
      <c r="AK55" s="27"/>
      <c r="AL55" s="27"/>
      <c r="AM55" s="27"/>
      <c r="AN55" s="28"/>
      <c r="AO55" s="27"/>
      <c r="AP55" s="27"/>
      <c r="AQ55" s="27"/>
      <c r="AR55" s="28"/>
      <c r="AS55" s="27"/>
      <c r="AT55" s="27"/>
      <c r="AU55" s="27"/>
      <c r="AV55" s="28"/>
      <c r="AW55" s="27"/>
      <c r="AX55" s="27"/>
      <c r="AY55" s="27"/>
      <c r="AZ55" s="28"/>
      <c r="BA55" s="27"/>
      <c r="BB55" s="27"/>
      <c r="BC55" s="27"/>
      <c r="BD55" s="28"/>
      <c r="BE55" s="27"/>
      <c r="BF55" s="27"/>
      <c r="BG55" s="27"/>
      <c r="BH55" s="28"/>
      <c r="BI55" s="27"/>
      <c r="BJ55" s="27"/>
      <c r="BK55" s="27"/>
      <c r="BL55" s="28"/>
      <c r="BM55" s="27"/>
      <c r="BN55" s="27"/>
      <c r="BO55" s="27"/>
      <c r="BP55" s="28"/>
      <c r="BQ55" s="27"/>
      <c r="BR55" s="27"/>
      <c r="BS55" s="27"/>
      <c r="BT55" s="28"/>
      <c r="BU55" s="27"/>
      <c r="BV55" s="27"/>
      <c r="BW55" s="27"/>
      <c r="BX55" s="28"/>
      <c r="BY55" s="27"/>
      <c r="BZ55" s="27"/>
      <c r="CA55" s="27"/>
      <c r="CB55" s="28"/>
      <c r="CC55" s="27"/>
      <c r="CD55" s="27"/>
      <c r="CE55" s="27"/>
      <c r="CF55" s="28"/>
      <c r="CG55" s="27"/>
      <c r="CH55" s="27"/>
      <c r="CI55" s="27"/>
      <c r="CJ55" s="28"/>
      <c r="CK55" s="27"/>
      <c r="CL55" s="27"/>
      <c r="CM55" s="27"/>
      <c r="CN55" s="28"/>
      <c r="CO55" s="28"/>
      <c r="CP55" s="28"/>
      <c r="CQ55" s="28"/>
      <c r="CR55" s="27"/>
      <c r="CS55" s="27"/>
      <c r="CT55" s="27"/>
      <c r="CU55" s="28"/>
      <c r="CV55" s="27"/>
      <c r="CW55" s="27"/>
      <c r="CX55" s="27"/>
      <c r="CY55" s="28"/>
      <c r="CZ55" s="27"/>
      <c r="DA55" s="27"/>
      <c r="DB55" s="27"/>
      <c r="DC55" s="28"/>
      <c r="DD55" s="27"/>
      <c r="DE55" s="27"/>
      <c r="DF55" s="27"/>
      <c r="DG55" s="28"/>
      <c r="DH55" s="27"/>
      <c r="DI55" s="27"/>
      <c r="DJ55" s="27"/>
      <c r="DK55" s="28"/>
      <c r="DL55" s="27"/>
      <c r="DM55" s="27"/>
      <c r="DN55" s="27"/>
      <c r="DO55" s="28"/>
      <c r="DP55" s="27"/>
      <c r="DQ55" s="27"/>
      <c r="DR55" s="27"/>
      <c r="DS55" s="28"/>
      <c r="DT55" s="27"/>
      <c r="DU55" s="27"/>
      <c r="DV55" s="27"/>
      <c r="DW55" s="28"/>
      <c r="DX55" s="27"/>
      <c r="DY55" s="27"/>
      <c r="DZ55" s="27"/>
      <c r="EA55" s="28"/>
      <c r="EB55" s="27"/>
      <c r="EC55" s="27"/>
      <c r="ED55" s="27"/>
      <c r="EE55" s="28"/>
      <c r="EF55" s="27"/>
      <c r="EG55" s="27"/>
      <c r="EH55" s="27"/>
      <c r="EI55" s="28"/>
      <c r="EJ55" s="27"/>
      <c r="EK55" s="27"/>
      <c r="EL55" s="27"/>
      <c r="EM55" s="28"/>
      <c r="EN55" s="27"/>
      <c r="EO55" s="27"/>
      <c r="EP55" s="27"/>
      <c r="EQ55" s="28"/>
      <c r="ER55" s="27"/>
      <c r="ES55" s="27"/>
      <c r="ET55" s="27"/>
      <c r="EU55" s="28"/>
      <c r="EV55" s="27"/>
      <c r="EW55" s="27"/>
      <c r="EX55" s="27"/>
      <c r="EY55" s="28"/>
      <c r="EZ55" s="27"/>
      <c r="FA55" s="27"/>
      <c r="FB55" s="27"/>
      <c r="FC55" s="28"/>
      <c r="FD55" s="27"/>
      <c r="FE55" s="27"/>
      <c r="FF55" s="27"/>
      <c r="FG55" s="28"/>
      <c r="FH55" s="27"/>
      <c r="FI55" s="27"/>
      <c r="FJ55" s="27"/>
      <c r="FK55" s="6"/>
    </row>
    <row r="56" spans="1:171">
      <c r="A56" s="27"/>
      <c r="B56" s="27" t="s">
        <v>662</v>
      </c>
      <c r="C56" s="27" t="s">
        <v>119</v>
      </c>
      <c r="D56" s="28"/>
      <c r="E56" s="27"/>
      <c r="F56" s="27"/>
      <c r="G56" s="29"/>
      <c r="H56" s="28"/>
      <c r="I56" s="27"/>
      <c r="J56" s="27"/>
      <c r="K56" s="27"/>
      <c r="L56" s="28"/>
      <c r="M56" s="27"/>
      <c r="N56" s="27"/>
      <c r="O56" s="27"/>
      <c r="P56" s="28"/>
      <c r="Q56" s="27"/>
      <c r="R56" s="27"/>
      <c r="S56" s="27"/>
      <c r="T56" s="28"/>
      <c r="U56" s="27"/>
      <c r="V56" s="27"/>
      <c r="W56" s="27"/>
      <c r="X56" s="28"/>
      <c r="Y56" s="27"/>
      <c r="Z56" s="27"/>
      <c r="AA56" s="27"/>
      <c r="AB56" s="28"/>
      <c r="AC56" s="27"/>
      <c r="AD56" s="27"/>
      <c r="AE56" s="27"/>
      <c r="AF56" s="28"/>
      <c r="AG56" s="27"/>
      <c r="AH56" s="27"/>
      <c r="AI56" s="27"/>
      <c r="AJ56" s="28"/>
      <c r="AK56" s="27"/>
      <c r="AL56" s="27"/>
      <c r="AM56" s="27"/>
      <c r="AN56" s="28"/>
      <c r="AO56" s="27"/>
      <c r="AP56" s="27"/>
      <c r="AQ56" s="27"/>
      <c r="AR56" s="28"/>
      <c r="AS56" s="27"/>
      <c r="AT56" s="27"/>
      <c r="AU56" s="27"/>
      <c r="AV56" s="28"/>
      <c r="AW56" s="27"/>
      <c r="AX56" s="27"/>
      <c r="AY56" s="27"/>
      <c r="AZ56" s="28"/>
      <c r="BA56" s="27"/>
      <c r="BB56" s="27"/>
      <c r="BC56" s="27"/>
      <c r="BD56" s="28"/>
      <c r="BE56" s="27"/>
      <c r="BF56" s="27"/>
      <c r="BG56" s="27"/>
      <c r="BH56" s="28"/>
      <c r="BI56" s="27"/>
      <c r="BJ56" s="27"/>
      <c r="BK56" s="27"/>
      <c r="BL56" s="28"/>
      <c r="BM56" s="27"/>
      <c r="BN56" s="27"/>
      <c r="BO56" s="27"/>
      <c r="BP56" s="28"/>
      <c r="BQ56" s="27"/>
      <c r="BR56" s="27"/>
      <c r="BS56" s="27"/>
      <c r="BT56" s="28"/>
      <c r="BU56" s="27"/>
      <c r="BV56" s="27"/>
      <c r="BW56" s="27"/>
      <c r="BX56" s="28"/>
      <c r="BY56" s="27"/>
      <c r="BZ56" s="27"/>
      <c r="CA56" s="27"/>
      <c r="CB56" s="28"/>
      <c r="CC56" s="27"/>
      <c r="CD56" s="27"/>
      <c r="CE56" s="27"/>
      <c r="CF56" s="28"/>
      <c r="CG56" s="27"/>
      <c r="CH56" s="27"/>
      <c r="CI56" s="27"/>
      <c r="CJ56" s="28"/>
      <c r="CK56" s="27"/>
      <c r="CL56" s="27"/>
      <c r="CM56" s="27"/>
      <c r="CN56" s="28"/>
      <c r="CO56" s="28"/>
      <c r="CP56" s="28"/>
      <c r="CQ56" s="28"/>
      <c r="CR56" s="27"/>
      <c r="CS56" s="27"/>
      <c r="CT56" s="27"/>
      <c r="CU56" s="28"/>
      <c r="CV56" s="27"/>
      <c r="CW56" s="27"/>
      <c r="CX56" s="27"/>
      <c r="CY56" s="28"/>
      <c r="CZ56" s="27"/>
      <c r="DA56" s="27"/>
      <c r="DB56" s="27"/>
      <c r="DC56" s="28"/>
      <c r="DD56" s="27"/>
      <c r="DE56" s="27"/>
      <c r="DF56" s="27"/>
      <c r="DG56" s="28"/>
      <c r="DH56" s="27"/>
      <c r="DI56" s="27"/>
      <c r="DJ56" s="27"/>
      <c r="DK56" s="28"/>
      <c r="DL56" s="27"/>
      <c r="DM56" s="27"/>
      <c r="DN56" s="27"/>
      <c r="DO56" s="28"/>
      <c r="DP56" s="27"/>
      <c r="DQ56" s="27"/>
      <c r="DR56" s="27"/>
      <c r="DS56" s="28"/>
      <c r="DT56" s="27"/>
      <c r="DU56" s="27"/>
      <c r="DV56" s="27"/>
      <c r="DW56" s="28"/>
      <c r="DX56" s="27"/>
      <c r="DY56" s="27"/>
      <c r="DZ56" s="27"/>
      <c r="EA56" s="28"/>
      <c r="EB56" s="27"/>
      <c r="EC56" s="27"/>
      <c r="ED56" s="27"/>
      <c r="EE56" s="28"/>
      <c r="EF56" s="27"/>
      <c r="EG56" s="27"/>
      <c r="EH56" s="27"/>
      <c r="EI56" s="28"/>
      <c r="EJ56" s="27"/>
      <c r="EK56" s="27"/>
      <c r="EL56" s="27"/>
      <c r="EM56" s="28"/>
      <c r="EN56" s="27"/>
      <c r="EO56" s="27"/>
      <c r="EP56" s="27"/>
      <c r="EQ56" s="28"/>
      <c r="ER56" s="27"/>
      <c r="ES56" s="27"/>
      <c r="ET56" s="27"/>
      <c r="EU56" s="28"/>
      <c r="EV56" s="27"/>
      <c r="EW56" s="27"/>
      <c r="EX56" s="27"/>
      <c r="EY56" s="28"/>
      <c r="EZ56" s="27"/>
      <c r="FA56" s="27"/>
      <c r="FB56" s="27"/>
      <c r="FC56" s="28"/>
      <c r="FD56" s="27"/>
      <c r="FE56" s="27"/>
      <c r="FF56" s="27"/>
      <c r="FG56" s="28"/>
      <c r="FH56" s="27"/>
      <c r="FI56" s="27"/>
      <c r="FJ56" s="27"/>
      <c r="FK56" s="6"/>
    </row>
    <row r="57" spans="1:171">
      <c r="A57" s="27"/>
      <c r="B57" s="27" t="s">
        <v>663</v>
      </c>
      <c r="C57" s="27" t="s">
        <v>119</v>
      </c>
      <c r="D57" s="28"/>
      <c r="E57" s="27"/>
      <c r="F57" s="27"/>
      <c r="G57" s="29"/>
      <c r="H57" s="28"/>
      <c r="I57" s="27"/>
      <c r="J57" s="27"/>
      <c r="K57" s="27"/>
      <c r="L57" s="28"/>
      <c r="M57" s="27"/>
      <c r="N57" s="27"/>
      <c r="O57" s="27"/>
      <c r="P57" s="28"/>
      <c r="Q57" s="27"/>
      <c r="R57" s="27"/>
      <c r="S57" s="27"/>
      <c r="T57" s="28"/>
      <c r="U57" s="27"/>
      <c r="V57" s="27"/>
      <c r="W57" s="27"/>
      <c r="X57" s="28"/>
      <c r="Y57" s="27"/>
      <c r="Z57" s="27"/>
      <c r="AA57" s="27"/>
      <c r="AB57" s="28"/>
      <c r="AC57" s="27"/>
      <c r="AD57" s="27"/>
      <c r="AE57" s="27"/>
      <c r="AF57" s="28"/>
      <c r="AG57" s="27"/>
      <c r="AH57" s="27"/>
      <c r="AI57" s="27"/>
      <c r="AJ57" s="28"/>
      <c r="AK57" s="27"/>
      <c r="AL57" s="27"/>
      <c r="AM57" s="27"/>
      <c r="AN57" s="28"/>
      <c r="AO57" s="27"/>
      <c r="AP57" s="27"/>
      <c r="AQ57" s="27"/>
      <c r="AR57" s="28"/>
      <c r="AS57" s="27"/>
      <c r="AT57" s="27"/>
      <c r="AU57" s="27"/>
      <c r="AV57" s="28"/>
      <c r="AW57" s="27"/>
      <c r="AX57" s="27"/>
      <c r="AY57" s="27"/>
      <c r="AZ57" s="28"/>
      <c r="BA57" s="27"/>
      <c r="BB57" s="27"/>
      <c r="BC57" s="27"/>
      <c r="BD57" s="28"/>
      <c r="BE57" s="27"/>
      <c r="BF57" s="27"/>
      <c r="BG57" s="27"/>
      <c r="BH57" s="28"/>
      <c r="BI57" s="27"/>
      <c r="BJ57" s="27"/>
      <c r="BK57" s="27"/>
      <c r="BL57" s="28"/>
      <c r="BM57" s="27"/>
      <c r="BN57" s="27"/>
      <c r="BO57" s="27"/>
      <c r="BP57" s="28"/>
      <c r="BQ57" s="27"/>
      <c r="BR57" s="27"/>
      <c r="BS57" s="27"/>
      <c r="BT57" s="28"/>
      <c r="BU57" s="27"/>
      <c r="BV57" s="27"/>
      <c r="BW57" s="27"/>
      <c r="BX57" s="28"/>
      <c r="BY57" s="27"/>
      <c r="BZ57" s="27"/>
      <c r="CA57" s="27"/>
      <c r="CB57" s="28"/>
      <c r="CC57" s="27"/>
      <c r="CD57" s="27"/>
      <c r="CE57" s="27"/>
      <c r="CF57" s="28"/>
      <c r="CG57" s="27"/>
      <c r="CH57" s="27"/>
      <c r="CI57" s="27"/>
      <c r="CJ57" s="28"/>
      <c r="CK57" s="27"/>
      <c r="CL57" s="27"/>
      <c r="CM57" s="27"/>
      <c r="CN57" s="28"/>
      <c r="CO57" s="28"/>
      <c r="CP57" s="28"/>
      <c r="CQ57" s="28"/>
      <c r="CR57" s="27"/>
      <c r="CS57" s="27"/>
      <c r="CT57" s="27"/>
      <c r="CU57" s="28"/>
      <c r="CV57" s="27"/>
      <c r="CW57" s="27"/>
      <c r="CX57" s="27"/>
      <c r="CY57" s="28"/>
      <c r="CZ57" s="27"/>
      <c r="DA57" s="27"/>
      <c r="DB57" s="27"/>
      <c r="DC57" s="28"/>
      <c r="DD57" s="27"/>
      <c r="DE57" s="27"/>
      <c r="DF57" s="27"/>
      <c r="DG57" s="28"/>
      <c r="DH57" s="27"/>
      <c r="DI57" s="27"/>
      <c r="DJ57" s="27"/>
      <c r="DK57" s="28"/>
      <c r="DL57" s="27"/>
      <c r="DM57" s="27"/>
      <c r="DN57" s="27"/>
      <c r="DO57" s="28"/>
      <c r="DP57" s="27"/>
      <c r="DQ57" s="27"/>
      <c r="DR57" s="27"/>
      <c r="DS57" s="28"/>
      <c r="DT57" s="27"/>
      <c r="DU57" s="27"/>
      <c r="DV57" s="27"/>
      <c r="DW57" s="28"/>
      <c r="DX57" s="27"/>
      <c r="DY57" s="27"/>
      <c r="DZ57" s="27"/>
      <c r="EA57" s="28"/>
      <c r="EB57" s="27"/>
      <c r="EC57" s="27"/>
      <c r="ED57" s="27"/>
      <c r="EE57" s="28"/>
      <c r="EF57" s="27"/>
      <c r="EG57" s="27"/>
      <c r="EH57" s="27"/>
      <c r="EI57" s="28"/>
      <c r="EJ57" s="27"/>
      <c r="EK57" s="27"/>
      <c r="EL57" s="27"/>
      <c r="EM57" s="28"/>
      <c r="EN57" s="27"/>
      <c r="EO57" s="27"/>
      <c r="EP57" s="27"/>
      <c r="EQ57" s="28"/>
      <c r="ER57" s="27"/>
      <c r="ES57" s="27"/>
      <c r="ET57" s="27"/>
      <c r="EU57" s="28"/>
      <c r="EV57" s="27"/>
      <c r="EW57" s="27"/>
      <c r="EX57" s="27"/>
      <c r="EY57" s="28"/>
      <c r="EZ57" s="27"/>
      <c r="FA57" s="27"/>
      <c r="FB57" s="27"/>
      <c r="FC57" s="28"/>
      <c r="FD57" s="27"/>
      <c r="FE57" s="27"/>
      <c r="FF57" s="27"/>
      <c r="FG57" s="28"/>
      <c r="FH57" s="27"/>
      <c r="FI57" s="27"/>
      <c r="FJ57" s="27"/>
      <c r="FK57" s="6"/>
    </row>
    <row r="58" spans="1:171">
      <c r="A58" s="10" t="s">
        <v>664</v>
      </c>
      <c r="B58" s="10" t="s">
        <v>642</v>
      </c>
      <c r="C58" s="30" t="s">
        <v>130</v>
      </c>
      <c r="D58" s="37">
        <v>10993868.48</v>
      </c>
      <c r="E58" s="37">
        <v>10993868.48</v>
      </c>
      <c r="F58" s="37">
        <v>10993868.48</v>
      </c>
      <c r="G58" s="37">
        <v>10993868.48</v>
      </c>
      <c r="H58" s="37">
        <v>9971183.040000001</v>
      </c>
      <c r="I58" s="37">
        <v>9971183.040000001</v>
      </c>
      <c r="J58" s="37">
        <v>9971183.040000001</v>
      </c>
      <c r="K58" s="37">
        <v>9971183.040000001</v>
      </c>
      <c r="L58" s="37">
        <v>10993868.48</v>
      </c>
      <c r="M58" s="37">
        <v>10993868.48</v>
      </c>
      <c r="N58" s="37">
        <v>10993868.48</v>
      </c>
      <c r="O58" s="37">
        <v>10993868.48</v>
      </c>
      <c r="P58" s="37">
        <v>10993868.48</v>
      </c>
      <c r="Q58" s="37">
        <v>10993868.48</v>
      </c>
      <c r="R58" s="37">
        <v>10993868.48</v>
      </c>
      <c r="S58" s="37">
        <v>10993868.48</v>
      </c>
      <c r="T58" s="37">
        <v>9971183.040000001</v>
      </c>
      <c r="U58" s="37">
        <v>9971183.040000001</v>
      </c>
      <c r="V58" s="37">
        <v>9971183.040000001</v>
      </c>
      <c r="W58" s="37">
        <v>9971183.040000001</v>
      </c>
      <c r="X58" s="37">
        <v>9971183.040000001</v>
      </c>
      <c r="Y58" s="37">
        <v>9971183.040000001</v>
      </c>
      <c r="Z58" s="37">
        <v>9971183.040000001</v>
      </c>
      <c r="AA58" s="37">
        <v>9971183.040000001</v>
      </c>
      <c r="AB58" s="37">
        <v>9204168.9600000009</v>
      </c>
      <c r="AC58" s="37">
        <v>9204168.9600000009</v>
      </c>
      <c r="AD58" s="37">
        <v>9204168.9600000009</v>
      </c>
      <c r="AE58" s="37">
        <v>9204168.9600000009</v>
      </c>
      <c r="AF58" s="37">
        <v>10993868.48</v>
      </c>
      <c r="AG58" s="37">
        <v>10993868.48</v>
      </c>
      <c r="AH58" s="37">
        <v>10993868.48</v>
      </c>
      <c r="AI58" s="37">
        <v>10993868.48</v>
      </c>
      <c r="AJ58" s="37">
        <v>10993868.48</v>
      </c>
      <c r="AK58" s="37">
        <v>10993868.48</v>
      </c>
      <c r="AL58" s="37">
        <v>10993868.48</v>
      </c>
      <c r="AM58" s="37">
        <v>10993868.48</v>
      </c>
      <c r="AN58" s="37">
        <v>9971183.040000001</v>
      </c>
      <c r="AO58" s="37">
        <v>9971183.040000001</v>
      </c>
      <c r="AP58" s="37">
        <v>9971183.040000001</v>
      </c>
      <c r="AQ58" s="37">
        <v>9971183.040000001</v>
      </c>
      <c r="AR58" s="37">
        <v>9971183.040000001</v>
      </c>
      <c r="AS58" s="37">
        <v>9971183.040000001</v>
      </c>
      <c r="AT58" s="37">
        <v>9971183.040000001</v>
      </c>
      <c r="AU58" s="37">
        <v>9971183.040000001</v>
      </c>
      <c r="AV58" s="37">
        <v>9204168.9600000009</v>
      </c>
      <c r="AW58" s="37">
        <v>9204168.9600000009</v>
      </c>
      <c r="AX58" s="37">
        <v>9204168.9600000009</v>
      </c>
      <c r="AY58" s="37">
        <v>9204168.9600000009</v>
      </c>
      <c r="AZ58" s="37">
        <v>639178.4</v>
      </c>
      <c r="BA58" s="37">
        <v>639178.4</v>
      </c>
      <c r="BB58" s="37">
        <v>639178.4</v>
      </c>
      <c r="BC58" s="37">
        <v>639178.4</v>
      </c>
      <c r="BD58" s="37">
        <v>639178.4</v>
      </c>
      <c r="BE58" s="37">
        <v>639178.4</v>
      </c>
      <c r="BF58" s="37">
        <v>639178.4</v>
      </c>
      <c r="BG58" s="37">
        <v>639178.4</v>
      </c>
      <c r="BH58" s="37">
        <v>639178.4</v>
      </c>
      <c r="BI58" s="37">
        <v>639178.4</v>
      </c>
      <c r="BJ58" s="37">
        <v>639178.4</v>
      </c>
      <c r="BK58" s="37">
        <v>639178.4</v>
      </c>
      <c r="BL58" s="37">
        <v>1022685.4400000001</v>
      </c>
      <c r="BM58" s="37">
        <v>1022685.4400000001</v>
      </c>
      <c r="BN58" s="37">
        <v>1022685.4400000001</v>
      </c>
      <c r="BO58" s="37">
        <v>1022685.4400000001</v>
      </c>
      <c r="BP58" s="37">
        <v>1022685.4400000001</v>
      </c>
      <c r="BQ58" s="37">
        <v>1022685.4400000001</v>
      </c>
      <c r="BR58" s="37">
        <v>1022685.4400000001</v>
      </c>
      <c r="BS58" s="37">
        <v>1022685.4400000001</v>
      </c>
      <c r="BT58" s="37">
        <v>255671.36000000002</v>
      </c>
      <c r="BU58" s="37">
        <v>255671.36000000002</v>
      </c>
      <c r="BV58" s="37">
        <v>255671.36000000002</v>
      </c>
      <c r="BW58" s="37">
        <v>255671.36000000002</v>
      </c>
      <c r="BX58" s="37">
        <v>1022685.4400000001</v>
      </c>
      <c r="BY58" s="37">
        <v>1022685.4400000001</v>
      </c>
      <c r="BZ58" s="37">
        <v>1022685.4400000001</v>
      </c>
      <c r="CA58" s="37">
        <v>1022685.4400000001</v>
      </c>
      <c r="CB58" s="37">
        <v>3451563.36</v>
      </c>
      <c r="CC58" s="37">
        <v>3451563.36</v>
      </c>
      <c r="CD58" s="37">
        <v>3451563.36</v>
      </c>
      <c r="CE58" s="37">
        <v>3451563.36</v>
      </c>
      <c r="CF58" s="37">
        <v>71587980.799999997</v>
      </c>
      <c r="CG58" s="37">
        <v>71587980.799999997</v>
      </c>
      <c r="CH58" s="37">
        <v>71587980.799999997</v>
      </c>
      <c r="CI58" s="37">
        <v>71587980.799999997</v>
      </c>
      <c r="CJ58" s="37">
        <v>1661863.84</v>
      </c>
      <c r="CK58" s="37">
        <v>1661863.84</v>
      </c>
      <c r="CL58" s="37">
        <v>1661863.84</v>
      </c>
      <c r="CM58" s="37">
        <v>1661863.84</v>
      </c>
      <c r="CN58" s="37">
        <v>1661863.84</v>
      </c>
      <c r="CO58" s="37">
        <v>1661863.84</v>
      </c>
      <c r="CP58" s="37">
        <v>1661863.84</v>
      </c>
      <c r="CQ58" s="37">
        <v>0</v>
      </c>
      <c r="CR58" s="37">
        <v>0</v>
      </c>
      <c r="CS58" s="37">
        <v>0</v>
      </c>
      <c r="CT58" s="37">
        <v>0</v>
      </c>
      <c r="CU58" s="37">
        <v>0</v>
      </c>
      <c r="CV58" s="37">
        <v>0</v>
      </c>
      <c r="CW58" s="37">
        <v>0</v>
      </c>
      <c r="CX58" s="37">
        <v>0</v>
      </c>
      <c r="CY58" s="37">
        <v>0</v>
      </c>
      <c r="CZ58" s="37">
        <v>0</v>
      </c>
      <c r="DA58" s="37">
        <v>0</v>
      </c>
      <c r="DB58" s="37">
        <v>0</v>
      </c>
      <c r="DC58" s="37">
        <v>3707234.7199999997</v>
      </c>
      <c r="DD58" s="37">
        <v>3707234.7199999997</v>
      </c>
      <c r="DE58" s="37">
        <v>3707234.7199999997</v>
      </c>
      <c r="DF58" s="37">
        <v>3707234.7199999997</v>
      </c>
      <c r="DG58" s="37">
        <v>4346413.12</v>
      </c>
      <c r="DH58" s="37">
        <v>4346413.12</v>
      </c>
      <c r="DI58" s="37">
        <v>4346413.12</v>
      </c>
      <c r="DJ58" s="37">
        <v>4346413.12</v>
      </c>
      <c r="DK58" s="37">
        <v>639178.4</v>
      </c>
      <c r="DL58" s="37">
        <v>639178.4</v>
      </c>
      <c r="DM58" s="37">
        <v>639178.4</v>
      </c>
      <c r="DN58" s="37">
        <v>639178.4</v>
      </c>
      <c r="DO58" s="37">
        <v>639178.4</v>
      </c>
      <c r="DP58" s="37">
        <v>639178.4</v>
      </c>
      <c r="DQ58" s="37">
        <v>639178.4</v>
      </c>
      <c r="DR58" s="37">
        <v>639178.4</v>
      </c>
      <c r="DS58" s="37">
        <v>1406192.48</v>
      </c>
      <c r="DT58" s="37">
        <v>1406192.48</v>
      </c>
      <c r="DU58" s="37">
        <v>1406192.48</v>
      </c>
      <c r="DV58" s="37">
        <v>1406192.48</v>
      </c>
      <c r="DW58" s="37">
        <v>1406192.48</v>
      </c>
      <c r="DX58" s="37">
        <v>1406192.48</v>
      </c>
      <c r="DY58" s="37">
        <v>1406192.48</v>
      </c>
      <c r="DZ58" s="37">
        <v>1406192.48</v>
      </c>
      <c r="EA58" s="37">
        <v>1406192.48</v>
      </c>
      <c r="EB58" s="37">
        <v>1406192.48</v>
      </c>
      <c r="EC58" s="37">
        <v>1406192.48</v>
      </c>
      <c r="ED58" s="37">
        <v>1406192.48</v>
      </c>
      <c r="EE58" s="37">
        <v>639178.4</v>
      </c>
      <c r="EF58" s="37">
        <v>639178.4</v>
      </c>
      <c r="EG58" s="37">
        <v>639178.4</v>
      </c>
      <c r="EH58" s="37">
        <v>639178.4</v>
      </c>
      <c r="EI58" s="37">
        <v>127835.68000000001</v>
      </c>
      <c r="EJ58" s="37">
        <v>127835.68000000001</v>
      </c>
      <c r="EK58" s="37">
        <v>127835.68000000001</v>
      </c>
      <c r="EL58" s="37">
        <v>127835.68000000001</v>
      </c>
      <c r="EM58" s="37">
        <v>255671.36000000002</v>
      </c>
      <c r="EN58" s="37">
        <v>255671.36000000002</v>
      </c>
      <c r="EO58" s="37">
        <v>255671.36000000002</v>
      </c>
      <c r="EP58" s="37">
        <v>255671.36000000002</v>
      </c>
      <c r="EQ58" s="37">
        <v>0</v>
      </c>
      <c r="ER58" s="37">
        <v>0</v>
      </c>
      <c r="ES58" s="37">
        <v>0</v>
      </c>
      <c r="ET58" s="37">
        <v>0</v>
      </c>
      <c r="EU58" s="37">
        <v>0</v>
      </c>
      <c r="EV58" s="37">
        <v>0</v>
      </c>
      <c r="EW58" s="37">
        <v>0</v>
      </c>
      <c r="EX58" s="37">
        <v>0</v>
      </c>
      <c r="EY58" s="37">
        <v>4346413.12</v>
      </c>
      <c r="EZ58" s="37">
        <v>4346413.12</v>
      </c>
      <c r="FA58" s="37">
        <v>4346413.12</v>
      </c>
      <c r="FB58" s="37">
        <v>4346413.12</v>
      </c>
      <c r="FC58" s="37">
        <v>22754751.039999999</v>
      </c>
      <c r="FD58" s="37">
        <v>22754751.039999999</v>
      </c>
      <c r="FE58" s="37">
        <v>22754751.039999999</v>
      </c>
      <c r="FF58" s="37">
        <v>0</v>
      </c>
      <c r="FG58" s="37">
        <v>0</v>
      </c>
      <c r="FH58" s="37">
        <v>0</v>
      </c>
      <c r="FI58" s="37">
        <v>0</v>
      </c>
      <c r="FJ58" s="37">
        <v>22115572.639999997</v>
      </c>
      <c r="FK58" s="6">
        <v>0</v>
      </c>
      <c r="FM58" s="37">
        <v>0</v>
      </c>
      <c r="FN58" s="37">
        <v>0</v>
      </c>
      <c r="FO58" s="37">
        <v>0</v>
      </c>
    </row>
    <row r="59" spans="1:171">
      <c r="A59" s="10"/>
      <c r="B59" s="10" t="s">
        <v>80</v>
      </c>
      <c r="C59" s="30" t="s">
        <v>130</v>
      </c>
      <c r="D59" s="37">
        <v>22115572.639999997</v>
      </c>
      <c r="E59" s="37">
        <v>22115572.639999997</v>
      </c>
      <c r="F59" s="37">
        <v>22115572.639999997</v>
      </c>
      <c r="G59" s="37">
        <v>22115572.639999997</v>
      </c>
      <c r="H59" s="37">
        <v>19814530.399999999</v>
      </c>
      <c r="I59" s="37">
        <v>19814530.399999999</v>
      </c>
      <c r="J59" s="37">
        <v>19814530.399999999</v>
      </c>
      <c r="K59" s="37">
        <v>19814530.399999999</v>
      </c>
      <c r="L59" s="37">
        <v>22115572.639999997</v>
      </c>
      <c r="M59" s="37">
        <v>22115572.639999997</v>
      </c>
      <c r="N59" s="37">
        <v>22115572.639999997</v>
      </c>
      <c r="O59" s="37">
        <v>22115572.639999997</v>
      </c>
      <c r="P59" s="37">
        <v>22115572.639999997</v>
      </c>
      <c r="Q59" s="37">
        <v>22115572.639999997</v>
      </c>
      <c r="R59" s="37">
        <v>22115572.639999997</v>
      </c>
      <c r="S59" s="37">
        <v>22115572.639999997</v>
      </c>
      <c r="T59" s="37">
        <v>19814530.399999999</v>
      </c>
      <c r="U59" s="37">
        <v>19814530.399999999</v>
      </c>
      <c r="V59" s="37">
        <v>19814530.399999999</v>
      </c>
      <c r="W59" s="37">
        <v>19814530.399999999</v>
      </c>
      <c r="X59" s="37">
        <v>19814530.399999999</v>
      </c>
      <c r="Y59" s="37">
        <v>19814530.399999999</v>
      </c>
      <c r="Z59" s="37">
        <v>19814530.399999999</v>
      </c>
      <c r="AA59" s="37">
        <v>19814530.399999999</v>
      </c>
      <c r="AB59" s="37">
        <v>18408337.920000002</v>
      </c>
      <c r="AC59" s="37">
        <v>18408337.920000002</v>
      </c>
      <c r="AD59" s="37">
        <v>18408337.920000002</v>
      </c>
      <c r="AE59" s="37">
        <v>18408337.920000002</v>
      </c>
      <c r="AF59" s="37">
        <v>22115572.639999997</v>
      </c>
      <c r="AG59" s="37">
        <v>22115572.639999997</v>
      </c>
      <c r="AH59" s="37">
        <v>22115572.639999997</v>
      </c>
      <c r="AI59" s="37">
        <v>22115572.639999997</v>
      </c>
      <c r="AJ59" s="37">
        <v>22115572.639999997</v>
      </c>
      <c r="AK59" s="37">
        <v>22115572.639999997</v>
      </c>
      <c r="AL59" s="37">
        <v>22115572.639999997</v>
      </c>
      <c r="AM59" s="37">
        <v>22115572.639999997</v>
      </c>
      <c r="AN59" s="37">
        <v>19814530.399999999</v>
      </c>
      <c r="AO59" s="37">
        <v>19814530.399999999</v>
      </c>
      <c r="AP59" s="37">
        <v>19814530.399999999</v>
      </c>
      <c r="AQ59" s="37">
        <v>19814530.399999999</v>
      </c>
      <c r="AR59" s="37">
        <v>19814530.399999999</v>
      </c>
      <c r="AS59" s="37">
        <v>19814530.399999999</v>
      </c>
      <c r="AT59" s="37">
        <v>19814530.399999999</v>
      </c>
      <c r="AU59" s="37">
        <v>19814530.399999999</v>
      </c>
      <c r="AV59" s="37">
        <v>18408337.920000002</v>
      </c>
      <c r="AW59" s="37">
        <v>18408337.920000002</v>
      </c>
      <c r="AX59" s="37">
        <v>18408337.920000002</v>
      </c>
      <c r="AY59" s="37">
        <v>18408337.920000002</v>
      </c>
      <c r="AZ59" s="37">
        <v>3195892</v>
      </c>
      <c r="BA59" s="37">
        <v>3195892</v>
      </c>
      <c r="BB59" s="37">
        <v>3195892</v>
      </c>
      <c r="BC59" s="37">
        <v>3195892</v>
      </c>
      <c r="BD59" s="37">
        <v>3195892</v>
      </c>
      <c r="BE59" s="37">
        <v>3195892</v>
      </c>
      <c r="BF59" s="37">
        <v>3195892</v>
      </c>
      <c r="BG59" s="37">
        <v>3195892</v>
      </c>
      <c r="BH59" s="37">
        <v>3195892</v>
      </c>
      <c r="BI59" s="37">
        <v>3195892</v>
      </c>
      <c r="BJ59" s="37">
        <v>3195892</v>
      </c>
      <c r="BK59" s="37">
        <v>3195892</v>
      </c>
      <c r="BL59" s="37">
        <v>4985591.5200000005</v>
      </c>
      <c r="BM59" s="37">
        <v>4985591.5200000005</v>
      </c>
      <c r="BN59" s="37">
        <v>4985591.5200000005</v>
      </c>
      <c r="BO59" s="37">
        <v>4985591.5200000005</v>
      </c>
      <c r="BP59" s="37">
        <v>4985591.5200000005</v>
      </c>
      <c r="BQ59" s="37">
        <v>4985591.5200000005</v>
      </c>
      <c r="BR59" s="37">
        <v>4985591.5200000005</v>
      </c>
      <c r="BS59" s="37">
        <v>4985591.5200000005</v>
      </c>
      <c r="BT59" s="37">
        <v>639178.4</v>
      </c>
      <c r="BU59" s="37">
        <v>639178.4</v>
      </c>
      <c r="BV59" s="37">
        <v>639178.4</v>
      </c>
      <c r="BW59" s="37">
        <v>639178.4</v>
      </c>
      <c r="BX59" s="37">
        <v>1278356.8</v>
      </c>
      <c r="BY59" s="37">
        <v>1278356.8</v>
      </c>
      <c r="BZ59" s="37">
        <v>1278356.8</v>
      </c>
      <c r="CA59" s="37">
        <v>1278356.8</v>
      </c>
      <c r="CB59" s="37">
        <v>4857755.84</v>
      </c>
      <c r="CC59" s="37">
        <v>4857755.84</v>
      </c>
      <c r="CD59" s="37">
        <v>4857755.84</v>
      </c>
      <c r="CE59" s="37">
        <v>4857755.84</v>
      </c>
      <c r="CF59" s="37">
        <v>82198342.239999995</v>
      </c>
      <c r="CG59" s="37">
        <v>82198342.239999995</v>
      </c>
      <c r="CH59" s="37">
        <v>82198342.239999995</v>
      </c>
      <c r="CI59" s="37">
        <v>82198342.239999995</v>
      </c>
      <c r="CJ59" s="37">
        <v>1789699.5199999998</v>
      </c>
      <c r="CK59" s="37">
        <v>1789699.5199999998</v>
      </c>
      <c r="CL59" s="37">
        <v>1789699.5199999998</v>
      </c>
      <c r="CM59" s="37">
        <v>1789699.5199999998</v>
      </c>
      <c r="CN59" s="37">
        <v>1789699.5199999998</v>
      </c>
      <c r="CO59" s="37">
        <v>1789699.5199999998</v>
      </c>
      <c r="CP59" s="37">
        <v>1789699.5199999998</v>
      </c>
      <c r="CQ59" s="37">
        <v>0</v>
      </c>
      <c r="CR59" s="37">
        <v>0</v>
      </c>
      <c r="CS59" s="37">
        <v>0</v>
      </c>
      <c r="CT59" s="37">
        <v>0</v>
      </c>
      <c r="CU59" s="37">
        <v>0</v>
      </c>
      <c r="CV59" s="37">
        <v>0</v>
      </c>
      <c r="CW59" s="37">
        <v>0</v>
      </c>
      <c r="CX59" s="37">
        <v>0</v>
      </c>
      <c r="CY59" s="37">
        <v>0</v>
      </c>
      <c r="CZ59" s="37">
        <v>0</v>
      </c>
      <c r="DA59" s="37">
        <v>0</v>
      </c>
      <c r="DB59" s="37">
        <v>0</v>
      </c>
      <c r="DC59" s="37">
        <v>6775291.04</v>
      </c>
      <c r="DD59" s="37">
        <v>6775291.04</v>
      </c>
      <c r="DE59" s="37">
        <v>6775291.04</v>
      </c>
      <c r="DF59" s="37">
        <v>6775291.04</v>
      </c>
      <c r="DG59" s="37">
        <v>8692826.2400000002</v>
      </c>
      <c r="DH59" s="37">
        <v>8692826.2400000002</v>
      </c>
      <c r="DI59" s="37">
        <v>8692826.2400000002</v>
      </c>
      <c r="DJ59" s="37">
        <v>8692826.2400000002</v>
      </c>
      <c r="DK59" s="37">
        <v>1022685.4400000001</v>
      </c>
      <c r="DL59" s="37">
        <v>1022685.4400000001</v>
      </c>
      <c r="DM59" s="37">
        <v>1022685.4400000001</v>
      </c>
      <c r="DN59" s="37">
        <v>1022685.4400000001</v>
      </c>
      <c r="DO59" s="37">
        <v>1022685.4400000001</v>
      </c>
      <c r="DP59" s="37">
        <v>1022685.4400000001</v>
      </c>
      <c r="DQ59" s="37">
        <v>1022685.4400000001</v>
      </c>
      <c r="DR59" s="37">
        <v>1022685.4400000001</v>
      </c>
      <c r="DS59" s="37">
        <v>2045370.8800000001</v>
      </c>
      <c r="DT59" s="37">
        <v>2045370.8800000001</v>
      </c>
      <c r="DU59" s="37">
        <v>2045370.8800000001</v>
      </c>
      <c r="DV59" s="37">
        <v>2045370.8800000001</v>
      </c>
      <c r="DW59" s="37">
        <v>2045370.8800000001</v>
      </c>
      <c r="DX59" s="37">
        <v>2045370.8800000001</v>
      </c>
      <c r="DY59" s="37">
        <v>2045370.8800000001</v>
      </c>
      <c r="DZ59" s="37">
        <v>2045370.8800000001</v>
      </c>
      <c r="EA59" s="37">
        <v>2045370.8800000001</v>
      </c>
      <c r="EB59" s="37">
        <v>2045370.8800000001</v>
      </c>
      <c r="EC59" s="37">
        <v>2045370.8800000001</v>
      </c>
      <c r="ED59" s="37">
        <v>2045370.8800000001</v>
      </c>
      <c r="EE59" s="37">
        <v>1022685.4400000001</v>
      </c>
      <c r="EF59" s="37">
        <v>1022685.4400000001</v>
      </c>
      <c r="EG59" s="37">
        <v>1022685.4400000001</v>
      </c>
      <c r="EH59" s="37">
        <v>1022685.4400000001</v>
      </c>
      <c r="EI59" s="37">
        <v>255671.36000000002</v>
      </c>
      <c r="EJ59" s="37">
        <v>255671.36000000002</v>
      </c>
      <c r="EK59" s="37">
        <v>255671.36000000002</v>
      </c>
      <c r="EL59" s="37">
        <v>255671.36000000002</v>
      </c>
      <c r="EM59" s="37">
        <v>511342.72000000003</v>
      </c>
      <c r="EN59" s="37">
        <v>511342.72000000003</v>
      </c>
      <c r="EO59" s="37">
        <v>511342.72000000003</v>
      </c>
      <c r="EP59" s="37">
        <v>511342.72000000003</v>
      </c>
      <c r="EQ59" s="37">
        <v>0</v>
      </c>
      <c r="ER59" s="37">
        <v>0</v>
      </c>
      <c r="ES59" s="37">
        <v>0</v>
      </c>
      <c r="ET59" s="37">
        <v>0</v>
      </c>
      <c r="EU59" s="37">
        <v>0</v>
      </c>
      <c r="EV59" s="37">
        <v>0</v>
      </c>
      <c r="EW59" s="37">
        <v>0</v>
      </c>
      <c r="EX59" s="37">
        <v>0</v>
      </c>
      <c r="EY59" s="37">
        <v>7414469.4399999995</v>
      </c>
      <c r="EZ59" s="37">
        <v>7414469.4399999995</v>
      </c>
      <c r="FA59" s="37">
        <v>7414469.4399999995</v>
      </c>
      <c r="FB59" s="37">
        <v>7414469.4399999995</v>
      </c>
      <c r="FC59" s="37">
        <v>25694971.68</v>
      </c>
      <c r="FD59" s="37">
        <v>25694971.68</v>
      </c>
      <c r="FE59" s="37">
        <v>25694971.68</v>
      </c>
      <c r="FF59" s="37">
        <v>0</v>
      </c>
      <c r="FG59" s="37">
        <v>0</v>
      </c>
      <c r="FH59" s="37">
        <v>0</v>
      </c>
      <c r="FI59" s="37">
        <v>0</v>
      </c>
      <c r="FJ59" s="37">
        <v>23138258.080000002</v>
      </c>
      <c r="FK59" s="6">
        <v>0</v>
      </c>
      <c r="FM59" s="37">
        <v>0</v>
      </c>
      <c r="FN59" s="37">
        <v>0</v>
      </c>
      <c r="FO59" s="37">
        <v>0</v>
      </c>
    </row>
    <row r="60" spans="1:171">
      <c r="A60" s="10"/>
      <c r="B60" s="10" t="s">
        <v>643</v>
      </c>
      <c r="C60" s="30" t="s">
        <v>130</v>
      </c>
      <c r="D60" s="37">
        <v>44231145.279999994</v>
      </c>
      <c r="E60" s="37">
        <v>44231145.279999994</v>
      </c>
      <c r="F60" s="37">
        <v>44231145.279999994</v>
      </c>
      <c r="G60" s="37">
        <v>44231145.279999994</v>
      </c>
      <c r="H60" s="37">
        <v>39629060.799999997</v>
      </c>
      <c r="I60" s="37">
        <v>39629060.799999997</v>
      </c>
      <c r="J60" s="37">
        <v>39629060.799999997</v>
      </c>
      <c r="K60" s="37">
        <v>39629060.799999997</v>
      </c>
      <c r="L60" s="37">
        <v>44231145.279999994</v>
      </c>
      <c r="M60" s="37">
        <v>44231145.279999994</v>
      </c>
      <c r="N60" s="37">
        <v>44231145.279999994</v>
      </c>
      <c r="O60" s="37">
        <v>44231145.279999994</v>
      </c>
      <c r="P60" s="37">
        <v>44231145.279999994</v>
      </c>
      <c r="Q60" s="37">
        <v>44231145.279999994</v>
      </c>
      <c r="R60" s="37">
        <v>44231145.279999994</v>
      </c>
      <c r="S60" s="37">
        <v>44231145.279999994</v>
      </c>
      <c r="T60" s="37">
        <v>39629060.799999997</v>
      </c>
      <c r="U60" s="37">
        <v>39629060.799999997</v>
      </c>
      <c r="V60" s="37">
        <v>39629060.799999997</v>
      </c>
      <c r="W60" s="37">
        <v>39629060.799999997</v>
      </c>
      <c r="X60" s="37">
        <v>39629060.799999997</v>
      </c>
      <c r="Y60" s="37">
        <v>39629060.799999997</v>
      </c>
      <c r="Z60" s="37">
        <v>39629060.799999997</v>
      </c>
      <c r="AA60" s="37">
        <v>39629060.799999997</v>
      </c>
      <c r="AB60" s="37">
        <v>36688840.160000004</v>
      </c>
      <c r="AC60" s="37">
        <v>36688840.160000004</v>
      </c>
      <c r="AD60" s="37">
        <v>36688840.160000004</v>
      </c>
      <c r="AE60" s="37">
        <v>36688840.160000004</v>
      </c>
      <c r="AF60" s="37">
        <v>44231145.279999994</v>
      </c>
      <c r="AG60" s="37">
        <v>44231145.279999994</v>
      </c>
      <c r="AH60" s="37">
        <v>44231145.279999994</v>
      </c>
      <c r="AI60" s="37">
        <v>44231145.279999994</v>
      </c>
      <c r="AJ60" s="37">
        <v>44231145.279999994</v>
      </c>
      <c r="AK60" s="37">
        <v>44231145.279999994</v>
      </c>
      <c r="AL60" s="37">
        <v>44231145.279999994</v>
      </c>
      <c r="AM60" s="37">
        <v>44231145.279999994</v>
      </c>
      <c r="AN60" s="37">
        <v>39629060.799999997</v>
      </c>
      <c r="AO60" s="37">
        <v>39629060.799999997</v>
      </c>
      <c r="AP60" s="37">
        <v>39629060.799999997</v>
      </c>
      <c r="AQ60" s="37">
        <v>39629060.799999997</v>
      </c>
      <c r="AR60" s="37">
        <v>39629060.799999997</v>
      </c>
      <c r="AS60" s="37">
        <v>39629060.799999997</v>
      </c>
      <c r="AT60" s="37">
        <v>39629060.799999997</v>
      </c>
      <c r="AU60" s="37">
        <v>39629060.799999997</v>
      </c>
      <c r="AV60" s="37">
        <v>36688840.160000004</v>
      </c>
      <c r="AW60" s="37">
        <v>36688840.160000004</v>
      </c>
      <c r="AX60" s="37">
        <v>36688840.160000004</v>
      </c>
      <c r="AY60" s="37">
        <v>36688840.160000004</v>
      </c>
      <c r="AZ60" s="37">
        <v>9459840.3199999984</v>
      </c>
      <c r="BA60" s="37">
        <v>9459840.3199999984</v>
      </c>
      <c r="BB60" s="37">
        <v>9459840.3199999984</v>
      </c>
      <c r="BC60" s="37">
        <v>9459840.3199999984</v>
      </c>
      <c r="BD60" s="37">
        <v>9459840.3199999984</v>
      </c>
      <c r="BE60" s="37">
        <v>9459840.3199999984</v>
      </c>
      <c r="BF60" s="37">
        <v>9459840.3199999984</v>
      </c>
      <c r="BG60" s="37">
        <v>9459840.3199999984</v>
      </c>
      <c r="BH60" s="37">
        <v>9459840.3199999984</v>
      </c>
      <c r="BI60" s="37">
        <v>9459840.3199999984</v>
      </c>
      <c r="BJ60" s="37">
        <v>9459840.3199999984</v>
      </c>
      <c r="BK60" s="37">
        <v>9459840.3199999984</v>
      </c>
      <c r="BL60" s="37">
        <v>15084610.24</v>
      </c>
      <c r="BM60" s="37">
        <v>15084610.24</v>
      </c>
      <c r="BN60" s="37">
        <v>15084610.24</v>
      </c>
      <c r="BO60" s="37">
        <v>15084610.24</v>
      </c>
      <c r="BP60" s="37">
        <v>15084610.24</v>
      </c>
      <c r="BQ60" s="37">
        <v>15084610.24</v>
      </c>
      <c r="BR60" s="37">
        <v>15084610.24</v>
      </c>
      <c r="BS60" s="37">
        <v>15084610.24</v>
      </c>
      <c r="BT60" s="37">
        <v>767014.08</v>
      </c>
      <c r="BU60" s="37">
        <v>767014.08</v>
      </c>
      <c r="BV60" s="37">
        <v>767014.08</v>
      </c>
      <c r="BW60" s="37">
        <v>767014.08</v>
      </c>
      <c r="BX60" s="37">
        <v>1661863.84</v>
      </c>
      <c r="BY60" s="37">
        <v>1661863.84</v>
      </c>
      <c r="BZ60" s="37">
        <v>1661863.84</v>
      </c>
      <c r="CA60" s="37">
        <v>1661863.84</v>
      </c>
      <c r="CB60" s="37">
        <v>6008276.96</v>
      </c>
      <c r="CC60" s="37">
        <v>6008276.96</v>
      </c>
      <c r="CD60" s="37">
        <v>6008276.96</v>
      </c>
      <c r="CE60" s="37">
        <v>6008276.96</v>
      </c>
      <c r="CF60" s="37">
        <v>94726238.879999995</v>
      </c>
      <c r="CG60" s="37">
        <v>94726238.879999995</v>
      </c>
      <c r="CH60" s="37">
        <v>94726238.879999995</v>
      </c>
      <c r="CI60" s="37">
        <v>94726238.879999995</v>
      </c>
      <c r="CJ60" s="37">
        <v>1917535.1999999997</v>
      </c>
      <c r="CK60" s="37">
        <v>1917535.1999999997</v>
      </c>
      <c r="CL60" s="37">
        <v>1917535.1999999997</v>
      </c>
      <c r="CM60" s="37">
        <v>1917535.1999999997</v>
      </c>
      <c r="CN60" s="37">
        <v>1917535.1999999997</v>
      </c>
      <c r="CO60" s="37">
        <v>1917535.1999999997</v>
      </c>
      <c r="CP60" s="37">
        <v>1917535.1999999997</v>
      </c>
      <c r="CQ60" s="37">
        <v>0</v>
      </c>
      <c r="CR60" s="37">
        <v>0</v>
      </c>
      <c r="CS60" s="37">
        <v>0</v>
      </c>
      <c r="CT60" s="37">
        <v>0</v>
      </c>
      <c r="CU60" s="37">
        <v>0</v>
      </c>
      <c r="CV60" s="37">
        <v>0</v>
      </c>
      <c r="CW60" s="37">
        <v>0</v>
      </c>
      <c r="CX60" s="37">
        <v>0</v>
      </c>
      <c r="CY60" s="37">
        <v>0</v>
      </c>
      <c r="CZ60" s="37">
        <v>0</v>
      </c>
      <c r="DA60" s="37">
        <v>0</v>
      </c>
      <c r="DB60" s="37">
        <v>0</v>
      </c>
      <c r="DC60" s="37">
        <v>9587676</v>
      </c>
      <c r="DD60" s="37">
        <v>9587676</v>
      </c>
      <c r="DE60" s="37">
        <v>9587676</v>
      </c>
      <c r="DF60" s="37">
        <v>9587676</v>
      </c>
      <c r="DG60" s="37">
        <v>12400060.960000001</v>
      </c>
      <c r="DH60" s="37">
        <v>12400060.960000001</v>
      </c>
      <c r="DI60" s="37">
        <v>12400060.960000001</v>
      </c>
      <c r="DJ60" s="37">
        <v>12400060.960000001</v>
      </c>
      <c r="DK60" s="37">
        <v>1534028.16</v>
      </c>
      <c r="DL60" s="37">
        <v>1534028.16</v>
      </c>
      <c r="DM60" s="37">
        <v>1534028.16</v>
      </c>
      <c r="DN60" s="37">
        <v>1534028.16</v>
      </c>
      <c r="DO60" s="37">
        <v>1534028.16</v>
      </c>
      <c r="DP60" s="37">
        <v>1534028.16</v>
      </c>
      <c r="DQ60" s="37">
        <v>1534028.16</v>
      </c>
      <c r="DR60" s="37">
        <v>1534028.16</v>
      </c>
      <c r="DS60" s="37">
        <v>2301042.2400000002</v>
      </c>
      <c r="DT60" s="37">
        <v>2301042.2400000002</v>
      </c>
      <c r="DU60" s="37">
        <v>2301042.2400000002</v>
      </c>
      <c r="DV60" s="37">
        <v>2301042.2400000002</v>
      </c>
      <c r="DW60" s="37">
        <v>2301042.2400000002</v>
      </c>
      <c r="DX60" s="37">
        <v>2301042.2400000002</v>
      </c>
      <c r="DY60" s="37">
        <v>2301042.2400000002</v>
      </c>
      <c r="DZ60" s="37">
        <v>2301042.2400000002</v>
      </c>
      <c r="EA60" s="37">
        <v>2301042.2400000002</v>
      </c>
      <c r="EB60" s="37">
        <v>2301042.2400000002</v>
      </c>
      <c r="EC60" s="37">
        <v>2301042.2400000002</v>
      </c>
      <c r="ED60" s="37">
        <v>2301042.2400000002</v>
      </c>
      <c r="EE60" s="37">
        <v>1534028.16</v>
      </c>
      <c r="EF60" s="37">
        <v>1534028.16</v>
      </c>
      <c r="EG60" s="37">
        <v>1534028.16</v>
      </c>
      <c r="EH60" s="37">
        <v>1534028.16</v>
      </c>
      <c r="EI60" s="37">
        <v>383507.04</v>
      </c>
      <c r="EJ60" s="37">
        <v>383507.04</v>
      </c>
      <c r="EK60" s="37">
        <v>383507.04</v>
      </c>
      <c r="EL60" s="37">
        <v>383507.04</v>
      </c>
      <c r="EM60" s="37">
        <v>639178.4</v>
      </c>
      <c r="EN60" s="37">
        <v>639178.4</v>
      </c>
      <c r="EO60" s="37">
        <v>639178.4</v>
      </c>
      <c r="EP60" s="37">
        <v>639178.4</v>
      </c>
      <c r="EQ60" s="37">
        <v>0</v>
      </c>
      <c r="ER60" s="37">
        <v>0</v>
      </c>
      <c r="ES60" s="37">
        <v>0</v>
      </c>
      <c r="ET60" s="37">
        <v>0</v>
      </c>
      <c r="EU60" s="37">
        <v>0</v>
      </c>
      <c r="EV60" s="37">
        <v>0</v>
      </c>
      <c r="EW60" s="37">
        <v>0</v>
      </c>
      <c r="EX60" s="37">
        <v>0</v>
      </c>
      <c r="EY60" s="37">
        <v>10226854.4</v>
      </c>
      <c r="EZ60" s="37">
        <v>10226854.4</v>
      </c>
      <c r="FA60" s="37">
        <v>10226854.4</v>
      </c>
      <c r="FB60" s="37">
        <v>10226854.4</v>
      </c>
      <c r="FC60" s="37">
        <v>28763028</v>
      </c>
      <c r="FD60" s="37">
        <v>28763028</v>
      </c>
      <c r="FE60" s="37">
        <v>28763028</v>
      </c>
      <c r="FF60" s="37">
        <v>0</v>
      </c>
      <c r="FG60" s="37">
        <v>0</v>
      </c>
      <c r="FH60" s="37">
        <v>0</v>
      </c>
      <c r="FI60" s="37">
        <v>0</v>
      </c>
      <c r="FJ60" s="37">
        <v>24288779.199999996</v>
      </c>
      <c r="FK60" s="6">
        <v>0</v>
      </c>
      <c r="FM60" s="37">
        <v>0</v>
      </c>
      <c r="FN60" s="37">
        <v>0</v>
      </c>
      <c r="FO60" s="37">
        <v>0</v>
      </c>
    </row>
    <row r="61" spans="1:171">
      <c r="A61" s="6" t="s">
        <v>665</v>
      </c>
      <c r="B61" s="6"/>
      <c r="C61" s="6" t="s">
        <v>666</v>
      </c>
      <c r="D61" s="38">
        <v>17896.995199999998</v>
      </c>
      <c r="E61" s="38">
        <v>17896.995199999998</v>
      </c>
      <c r="F61" s="38">
        <v>17896.995199999998</v>
      </c>
      <c r="G61" s="38">
        <v>17896.995199999998</v>
      </c>
      <c r="H61" s="38">
        <v>41290.924639999997</v>
      </c>
      <c r="I61" s="38">
        <v>41290.924639999997</v>
      </c>
      <c r="J61" s="38">
        <v>41290.924639999997</v>
      </c>
      <c r="K61" s="38">
        <v>41290.924639999997</v>
      </c>
      <c r="L61" s="38">
        <v>6647.4553599999999</v>
      </c>
      <c r="M61" s="38">
        <v>6647.4553599999999</v>
      </c>
      <c r="N61" s="38">
        <v>6647.4553599999999</v>
      </c>
      <c r="O61" s="38">
        <v>6647.4553599999999</v>
      </c>
      <c r="P61" s="38">
        <v>7670.1407999999992</v>
      </c>
      <c r="Q61" s="38">
        <v>7670.1407999999992</v>
      </c>
      <c r="R61" s="38">
        <v>7670.1407999999992</v>
      </c>
      <c r="S61" s="38">
        <v>7670.1407999999992</v>
      </c>
      <c r="T61" s="38">
        <v>9332.004640000001</v>
      </c>
      <c r="U61" s="38">
        <v>9332.004640000001</v>
      </c>
      <c r="V61" s="38">
        <v>9332.004640000001</v>
      </c>
      <c r="W61" s="38">
        <v>9332.004640000001</v>
      </c>
      <c r="X61" s="38">
        <v>9332.004640000001</v>
      </c>
      <c r="Y61" s="38">
        <v>9332.004640000001</v>
      </c>
      <c r="Z61" s="38">
        <v>9332.004640000001</v>
      </c>
      <c r="AA61" s="38">
        <v>9332.004640000001</v>
      </c>
      <c r="AB61" s="38">
        <v>14445.431839999999</v>
      </c>
      <c r="AC61" s="38">
        <v>14445.431839999999</v>
      </c>
      <c r="AD61" s="38">
        <v>14445.431839999999</v>
      </c>
      <c r="AE61" s="38">
        <v>14445.431839999999</v>
      </c>
      <c r="AF61" s="38">
        <v>9971.1830400000017</v>
      </c>
      <c r="AG61" s="38">
        <v>9971.1830400000017</v>
      </c>
      <c r="AH61" s="38">
        <v>9971.1830400000017</v>
      </c>
      <c r="AI61" s="38">
        <v>9971.1830400000017</v>
      </c>
      <c r="AJ61" s="38">
        <v>11377.37552</v>
      </c>
      <c r="AK61" s="38">
        <v>11377.37552</v>
      </c>
      <c r="AL61" s="38">
        <v>11377.37552</v>
      </c>
      <c r="AM61" s="38">
        <v>11377.37552</v>
      </c>
      <c r="AN61" s="38">
        <v>13934.089120000001</v>
      </c>
      <c r="AO61" s="38">
        <v>13934.089120000001</v>
      </c>
      <c r="AP61" s="38">
        <v>13934.089120000001</v>
      </c>
      <c r="AQ61" s="38">
        <v>13934.089120000001</v>
      </c>
      <c r="AR61" s="38">
        <v>13934.089120000001</v>
      </c>
      <c r="AS61" s="38">
        <v>13934.089120000001</v>
      </c>
      <c r="AT61" s="38">
        <v>13934.089120000001</v>
      </c>
      <c r="AU61" s="38">
        <v>13934.089120000001</v>
      </c>
      <c r="AV61" s="38">
        <v>21604.229920000002</v>
      </c>
      <c r="AW61" s="38">
        <v>21604.229920000002</v>
      </c>
      <c r="AX61" s="38">
        <v>21604.229920000002</v>
      </c>
      <c r="AY61" s="38">
        <v>21604.229920000002</v>
      </c>
      <c r="AZ61" s="38">
        <v>14573.267519999999</v>
      </c>
      <c r="BA61" s="38">
        <v>14573.267519999999</v>
      </c>
      <c r="BB61" s="38">
        <v>14573.267519999999</v>
      </c>
      <c r="BC61" s="38">
        <v>14573.267519999999</v>
      </c>
      <c r="BD61" s="38">
        <v>14573.267519999999</v>
      </c>
      <c r="BE61" s="38">
        <v>14573.267519999999</v>
      </c>
      <c r="BF61" s="38">
        <v>14573.267519999999</v>
      </c>
      <c r="BG61" s="38">
        <v>14573.267519999999</v>
      </c>
      <c r="BH61" s="38">
        <v>14573.267519999999</v>
      </c>
      <c r="BI61" s="38">
        <v>14573.267519999999</v>
      </c>
      <c r="BJ61" s="38">
        <v>14573.267519999999</v>
      </c>
      <c r="BK61" s="38">
        <v>14573.267519999999</v>
      </c>
      <c r="BL61" s="38">
        <v>14573.267519999999</v>
      </c>
      <c r="BM61" s="38">
        <v>14573.267519999999</v>
      </c>
      <c r="BN61" s="38">
        <v>14573.267519999999</v>
      </c>
      <c r="BO61" s="38">
        <v>14573.267519999999</v>
      </c>
      <c r="BP61" s="38">
        <v>14573.267519999999</v>
      </c>
      <c r="BQ61" s="38">
        <v>14573.267519999999</v>
      </c>
      <c r="BR61" s="38">
        <v>14573.267519999999</v>
      </c>
      <c r="BS61" s="38">
        <v>14573.267519999999</v>
      </c>
      <c r="BT61" s="38">
        <v>95748.924320000006</v>
      </c>
      <c r="BU61" s="38">
        <v>95748.924320000006</v>
      </c>
      <c r="BV61" s="38">
        <v>95748.924320000006</v>
      </c>
      <c r="BW61" s="38">
        <v>95748.924320000006</v>
      </c>
      <c r="BX61" s="38">
        <v>351675.95568000001</v>
      </c>
      <c r="BY61" s="38">
        <v>351292.44863999996</v>
      </c>
      <c r="BZ61" s="38">
        <v>351292.44863999996</v>
      </c>
      <c r="CA61" s="38">
        <v>351292.44863999996</v>
      </c>
      <c r="CB61" s="38">
        <v>32470.262719999999</v>
      </c>
      <c r="CC61" s="38">
        <v>32598.098399999999</v>
      </c>
      <c r="CD61" s="38">
        <v>32853.769760000003</v>
      </c>
      <c r="CE61" s="38">
        <v>33109.441120000003</v>
      </c>
      <c r="CF61" s="38">
        <v>55352.849439999998</v>
      </c>
      <c r="CG61" s="38">
        <v>53818.821280000004</v>
      </c>
      <c r="CH61" s="38">
        <v>53946.65696</v>
      </c>
      <c r="CI61" s="38">
        <v>54202.328320000001</v>
      </c>
      <c r="CJ61" s="38">
        <v>7670.1407999999992</v>
      </c>
      <c r="CK61" s="38">
        <v>7158.7980799999996</v>
      </c>
      <c r="CL61" s="38">
        <v>6775.2910400000001</v>
      </c>
      <c r="CM61" s="38">
        <v>6263.9483200000004</v>
      </c>
      <c r="CN61" s="38">
        <v>7670.1407999999992</v>
      </c>
      <c r="CO61" s="38">
        <v>7670.1407999999992</v>
      </c>
      <c r="CP61" s="38">
        <v>7670.1407999999992</v>
      </c>
      <c r="CQ61" s="38">
        <v>9843.3473599999998</v>
      </c>
      <c r="CR61" s="38">
        <v>8948.4975999999988</v>
      </c>
      <c r="CS61" s="38">
        <v>8948.4975999999988</v>
      </c>
      <c r="CT61" s="38">
        <v>8948.4975999999988</v>
      </c>
      <c r="CU61" s="38">
        <v>9843.3473599999998</v>
      </c>
      <c r="CV61" s="38">
        <v>9587.6759999999995</v>
      </c>
      <c r="CW61" s="38">
        <v>9587.6759999999995</v>
      </c>
      <c r="CX61" s="38">
        <v>9587.6759999999995</v>
      </c>
      <c r="CY61" s="38">
        <v>24416.614879999997</v>
      </c>
      <c r="CZ61" s="38">
        <v>23649.6008</v>
      </c>
      <c r="DA61" s="38">
        <v>23649.6008</v>
      </c>
      <c r="DB61" s="38">
        <v>23649.6008</v>
      </c>
      <c r="DC61" s="38">
        <v>195332.91903999998</v>
      </c>
      <c r="DD61" s="38">
        <v>192392.69839999999</v>
      </c>
      <c r="DE61" s="38">
        <v>192392.69839999999</v>
      </c>
      <c r="DF61" s="38">
        <v>192392.69839999999</v>
      </c>
      <c r="DG61" s="38">
        <v>214252.59968000001</v>
      </c>
      <c r="DH61" s="38">
        <v>211056.70767999999</v>
      </c>
      <c r="DI61" s="38">
        <v>211056.70767999999</v>
      </c>
      <c r="DJ61" s="38">
        <v>211056.70767999999</v>
      </c>
      <c r="DK61" s="38">
        <v>114157.26224</v>
      </c>
      <c r="DL61" s="38">
        <v>114157.26224</v>
      </c>
      <c r="DM61" s="38">
        <v>114157.26224</v>
      </c>
      <c r="DN61" s="38">
        <v>114157.26224</v>
      </c>
      <c r="DO61" s="38">
        <v>193031.8768</v>
      </c>
      <c r="DP61" s="38">
        <v>193031.8768</v>
      </c>
      <c r="DQ61" s="38">
        <v>193031.8768</v>
      </c>
      <c r="DR61" s="38">
        <v>193031.8768</v>
      </c>
      <c r="DS61" s="38">
        <v>322785.092</v>
      </c>
      <c r="DT61" s="38">
        <v>313580.92304000002</v>
      </c>
      <c r="DU61" s="38">
        <v>313580.92304000002</v>
      </c>
      <c r="DV61" s="38">
        <v>313580.92304000002</v>
      </c>
      <c r="DW61" s="38">
        <v>219110.35552000001</v>
      </c>
      <c r="DX61" s="38">
        <v>212846.40719999999</v>
      </c>
      <c r="DY61" s="38">
        <v>212846.40719999999</v>
      </c>
      <c r="DZ61" s="38">
        <v>212846.40719999999</v>
      </c>
      <c r="EA61" s="38">
        <v>219110.35552000001</v>
      </c>
      <c r="EB61" s="38">
        <v>212846.40719999999</v>
      </c>
      <c r="EC61" s="38">
        <v>212846.40719999999</v>
      </c>
      <c r="ED61" s="38">
        <v>212846.40719999999</v>
      </c>
      <c r="EE61" s="38">
        <v>118503.67535999999</v>
      </c>
      <c r="EF61" s="38">
        <v>118503.67535999999</v>
      </c>
      <c r="EG61" s="38">
        <v>118503.67535999999</v>
      </c>
      <c r="EH61" s="38">
        <v>118503.67535999999</v>
      </c>
      <c r="EI61" s="38">
        <v>71076.63807999999</v>
      </c>
      <c r="EJ61" s="38">
        <v>71076.63807999999</v>
      </c>
      <c r="EK61" s="38">
        <v>71076.63807999999</v>
      </c>
      <c r="EL61" s="38">
        <v>71076.63807999999</v>
      </c>
      <c r="EM61" s="38">
        <v>118503.67535999999</v>
      </c>
      <c r="EN61" s="38">
        <v>118503.67535999999</v>
      </c>
      <c r="EO61" s="38">
        <v>118503.67535999999</v>
      </c>
      <c r="EP61" s="38">
        <v>118503.67535999999</v>
      </c>
      <c r="EQ61" s="38">
        <v>37455.854240000001</v>
      </c>
      <c r="ER61" s="38">
        <v>37455.854240000001</v>
      </c>
      <c r="ES61" s="38">
        <v>37455.854240000001</v>
      </c>
      <c r="ET61" s="38">
        <v>37455.854240000001</v>
      </c>
      <c r="EU61" s="38">
        <v>65835.375199999995</v>
      </c>
      <c r="EV61" s="38">
        <v>65835.375199999995</v>
      </c>
      <c r="EW61" s="38">
        <v>65835.375199999995</v>
      </c>
      <c r="EX61" s="38">
        <v>65835.375199999995</v>
      </c>
      <c r="EY61" s="38">
        <v>52668.300160000006</v>
      </c>
      <c r="EZ61" s="38">
        <v>36177.497439999999</v>
      </c>
      <c r="FA61" s="38">
        <v>36177.497439999999</v>
      </c>
      <c r="FB61" s="38">
        <v>36177.497439999999</v>
      </c>
      <c r="FC61" s="38">
        <v>19814.5304</v>
      </c>
      <c r="FD61" s="38">
        <v>19814.5304</v>
      </c>
      <c r="FE61" s="38">
        <v>19814.5304</v>
      </c>
      <c r="FF61" s="38">
        <v>0</v>
      </c>
      <c r="FG61" s="38">
        <v>0</v>
      </c>
      <c r="FH61" s="38">
        <v>0</v>
      </c>
      <c r="FI61" s="38">
        <v>0</v>
      </c>
      <c r="FJ61" s="38">
        <v>17896.995199999998</v>
      </c>
      <c r="FK61" s="6"/>
      <c r="FL61" s="58"/>
    </row>
    <row r="62" spans="1:171">
      <c r="A62" s="10" t="s">
        <v>667</v>
      </c>
      <c r="B62" s="10"/>
      <c r="C62" s="10" t="s">
        <v>166</v>
      </c>
      <c r="D62">
        <v>2.5567136000000001</v>
      </c>
      <c r="E62">
        <v>2.5567136000000001</v>
      </c>
      <c r="F62">
        <v>2.5567136000000001</v>
      </c>
      <c r="G62">
        <v>2.5567136000000001</v>
      </c>
      <c r="H62">
        <v>5.1134272000000003</v>
      </c>
      <c r="I62">
        <v>5.1134272000000003</v>
      </c>
      <c r="J62">
        <v>5.1134272000000003</v>
      </c>
      <c r="K62">
        <v>5.1134272000000003</v>
      </c>
      <c r="L62">
        <v>1.2783568000000001</v>
      </c>
      <c r="M62">
        <v>1.2783568000000001</v>
      </c>
      <c r="N62">
        <v>1.2783568000000001</v>
      </c>
      <c r="O62">
        <v>1.2783568000000001</v>
      </c>
      <c r="P62">
        <v>1.2783568000000001</v>
      </c>
      <c r="Q62">
        <v>1.2783568000000001</v>
      </c>
      <c r="R62">
        <v>1.2783568000000001</v>
      </c>
      <c r="S62">
        <v>1.2783568000000001</v>
      </c>
      <c r="T62">
        <v>1.2783568000000001</v>
      </c>
      <c r="U62">
        <v>1.2783568000000001</v>
      </c>
      <c r="V62">
        <v>1.2783568000000001</v>
      </c>
      <c r="W62">
        <v>1.2783568000000001</v>
      </c>
      <c r="X62">
        <v>1.2783568000000001</v>
      </c>
      <c r="Y62">
        <v>1.2783568000000001</v>
      </c>
      <c r="Z62">
        <v>1.2783568000000001</v>
      </c>
      <c r="AA62">
        <v>1.2783568000000001</v>
      </c>
      <c r="AB62">
        <v>2.5567136000000001</v>
      </c>
      <c r="AC62">
        <v>2.5567136000000001</v>
      </c>
      <c r="AD62">
        <v>2.5567136000000001</v>
      </c>
      <c r="AE62">
        <v>2.5567136000000001</v>
      </c>
      <c r="AF62">
        <v>1.2783568000000001</v>
      </c>
      <c r="AG62">
        <v>1.2783568000000001</v>
      </c>
      <c r="AH62">
        <v>1.2783568000000001</v>
      </c>
      <c r="AI62">
        <v>1.2783568000000001</v>
      </c>
      <c r="AJ62">
        <v>1.2783568000000001</v>
      </c>
      <c r="AK62">
        <v>1.2783568000000001</v>
      </c>
      <c r="AL62">
        <v>1.2783568000000001</v>
      </c>
      <c r="AM62">
        <v>1.2783568000000001</v>
      </c>
      <c r="AN62">
        <v>1.2783568000000001</v>
      </c>
      <c r="AO62">
        <v>1.2783568000000001</v>
      </c>
      <c r="AP62">
        <v>1.2783568000000001</v>
      </c>
      <c r="AQ62">
        <v>1.2783568000000001</v>
      </c>
      <c r="AR62">
        <v>1.2783568000000001</v>
      </c>
      <c r="AS62">
        <v>1.2783568000000001</v>
      </c>
      <c r="AT62">
        <v>1.2783568000000001</v>
      </c>
      <c r="AU62">
        <v>1.2783568000000001</v>
      </c>
      <c r="AV62">
        <v>2.5567136000000001</v>
      </c>
      <c r="AW62">
        <v>2.5567136000000001</v>
      </c>
      <c r="AX62">
        <v>2.5567136000000001</v>
      </c>
      <c r="AY62">
        <v>2.5567136000000001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8.9484975999999996</v>
      </c>
      <c r="BU62">
        <v>8.9484975999999996</v>
      </c>
      <c r="BV62">
        <v>8.9484975999999996</v>
      </c>
      <c r="BW62">
        <v>8.9484975999999996</v>
      </c>
      <c r="BX62">
        <v>12.783568000000001</v>
      </c>
      <c r="BY62">
        <v>12.783568000000001</v>
      </c>
      <c r="BZ62">
        <v>12.783568000000001</v>
      </c>
      <c r="CA62">
        <v>12.783568000000001</v>
      </c>
      <c r="CB62">
        <v>7.6701408000000004</v>
      </c>
      <c r="CC62">
        <v>7.6701408000000004</v>
      </c>
      <c r="CD62">
        <v>7.6701408000000004</v>
      </c>
      <c r="CE62">
        <v>7.6701408000000004</v>
      </c>
      <c r="CF62">
        <v>1.2783568000000001</v>
      </c>
      <c r="CG62">
        <v>1.2783568000000001</v>
      </c>
      <c r="CH62">
        <v>1.2783568000000001</v>
      </c>
      <c r="CI62">
        <v>1.2783568000000001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34.515633600000001</v>
      </c>
      <c r="DD62">
        <v>34.515633600000001</v>
      </c>
      <c r="DE62">
        <v>34.515633600000001</v>
      </c>
      <c r="DF62">
        <v>34.515633600000001</v>
      </c>
      <c r="DG62">
        <v>77.979764799999998</v>
      </c>
      <c r="DH62">
        <v>77.979764799999998</v>
      </c>
      <c r="DI62">
        <v>77.979764799999998</v>
      </c>
      <c r="DJ62">
        <v>77.979764799999998</v>
      </c>
      <c r="DK62">
        <v>75.423051200000003</v>
      </c>
      <c r="DL62">
        <v>75.423051200000003</v>
      </c>
      <c r="DM62">
        <v>75.423051200000003</v>
      </c>
      <c r="DN62">
        <v>75.423051200000003</v>
      </c>
      <c r="DO62">
        <v>75.423051200000003</v>
      </c>
      <c r="DP62">
        <v>75.423051200000003</v>
      </c>
      <c r="DQ62">
        <v>75.423051200000003</v>
      </c>
      <c r="DR62">
        <v>75.423051200000003</v>
      </c>
      <c r="DS62">
        <v>28.1238496</v>
      </c>
      <c r="DT62">
        <v>28.1238496</v>
      </c>
      <c r="DU62">
        <v>28.1238496</v>
      </c>
      <c r="DV62">
        <v>28.1238496</v>
      </c>
      <c r="DW62">
        <v>56.2476992</v>
      </c>
      <c r="DX62">
        <v>56.2476992</v>
      </c>
      <c r="DY62">
        <v>56.2476992</v>
      </c>
      <c r="DZ62">
        <v>56.2476992</v>
      </c>
      <c r="EA62">
        <v>56.2476992</v>
      </c>
      <c r="EB62">
        <v>56.2476992</v>
      </c>
      <c r="EC62">
        <v>56.2476992</v>
      </c>
      <c r="ED62">
        <v>56.2476992</v>
      </c>
      <c r="EE62">
        <v>12.783568000000001</v>
      </c>
      <c r="EF62">
        <v>12.783568000000001</v>
      </c>
      <c r="EG62">
        <v>12.783568000000001</v>
      </c>
      <c r="EH62">
        <v>12.783568000000001</v>
      </c>
      <c r="EI62">
        <v>15.340281600000001</v>
      </c>
      <c r="EJ62">
        <v>15.340281600000001</v>
      </c>
      <c r="EK62">
        <v>15.340281600000001</v>
      </c>
      <c r="EL62">
        <v>15.340281600000001</v>
      </c>
      <c r="EM62">
        <v>14.0619248</v>
      </c>
      <c r="EN62">
        <v>14.0619248</v>
      </c>
      <c r="EO62">
        <v>14.0619248</v>
      </c>
      <c r="EP62">
        <v>14.0619248</v>
      </c>
      <c r="EQ62">
        <v>8.9484975999999996</v>
      </c>
      <c r="ER62">
        <v>8.9484975999999996</v>
      </c>
      <c r="ES62">
        <v>8.9484975999999996</v>
      </c>
      <c r="ET62">
        <v>8.9484975999999996</v>
      </c>
      <c r="EU62">
        <v>5.1134272000000003</v>
      </c>
      <c r="EV62">
        <v>5.1134272000000003</v>
      </c>
      <c r="EW62">
        <v>5.1134272000000003</v>
      </c>
      <c r="EX62">
        <v>5.1134272000000003</v>
      </c>
      <c r="EY62">
        <v>47.299201600000004</v>
      </c>
      <c r="EZ62">
        <v>47.299201600000004</v>
      </c>
      <c r="FA62">
        <v>47.299201600000004</v>
      </c>
      <c r="FB62">
        <v>47.299201600000004</v>
      </c>
      <c r="FC62">
        <v>2.5567136000000001</v>
      </c>
      <c r="FD62">
        <v>2.5567136000000001</v>
      </c>
      <c r="FE62">
        <v>2.5567136000000001</v>
      </c>
      <c r="FF62">
        <v>0</v>
      </c>
      <c r="FG62">
        <v>0</v>
      </c>
      <c r="FH62">
        <v>0</v>
      </c>
      <c r="FI62">
        <v>0</v>
      </c>
      <c r="FJ62">
        <v>2.5567136000000001</v>
      </c>
      <c r="FK62" s="6"/>
      <c r="FL62" s="58">
        <v>11.66</v>
      </c>
      <c r="FM62" s="36">
        <v>8.6</v>
      </c>
      <c r="FN62" s="36">
        <v>7.87</v>
      </c>
      <c r="FO62" s="72">
        <v>16.52</v>
      </c>
    </row>
    <row r="63" spans="1:171">
      <c r="A63" s="6" t="s">
        <v>151</v>
      </c>
      <c r="B63" s="6"/>
      <c r="C63" s="6" t="s">
        <v>666</v>
      </c>
      <c r="D63" s="38">
        <v>3068.0563199999997</v>
      </c>
      <c r="E63" s="38">
        <v>3068.0563199999997</v>
      </c>
      <c r="F63" s="38">
        <v>3068.0563199999997</v>
      </c>
      <c r="G63" s="38">
        <v>3068.0563199999997</v>
      </c>
      <c r="H63" s="38">
        <v>4218.57744</v>
      </c>
      <c r="I63" s="38">
        <v>4218.57744</v>
      </c>
      <c r="J63" s="38">
        <v>4218.57744</v>
      </c>
      <c r="K63" s="38">
        <v>4218.57744</v>
      </c>
      <c r="L63" s="38">
        <v>1661.86384</v>
      </c>
      <c r="M63" s="38">
        <v>1661.86384</v>
      </c>
      <c r="N63" s="38">
        <v>1661.86384</v>
      </c>
      <c r="O63" s="38">
        <v>1661.86384</v>
      </c>
      <c r="P63" s="38">
        <v>1917.5351999999998</v>
      </c>
      <c r="Q63" s="38">
        <v>1917.5351999999998</v>
      </c>
      <c r="R63" s="38">
        <v>1917.5351999999998</v>
      </c>
      <c r="S63" s="38">
        <v>1917.5351999999998</v>
      </c>
      <c r="T63" s="38">
        <v>2301.0422400000002</v>
      </c>
      <c r="U63" s="38">
        <v>2301.0422400000002</v>
      </c>
      <c r="V63" s="38">
        <v>2301.0422400000002</v>
      </c>
      <c r="W63" s="38">
        <v>2301.0422400000002</v>
      </c>
      <c r="X63" s="38">
        <v>2301.0422400000002</v>
      </c>
      <c r="Y63" s="38">
        <v>2301.0422400000002</v>
      </c>
      <c r="Z63" s="38">
        <v>2301.0422400000002</v>
      </c>
      <c r="AA63" s="38">
        <v>2301.0422400000002</v>
      </c>
      <c r="AB63" s="38">
        <v>3707.2347199999999</v>
      </c>
      <c r="AC63" s="38">
        <v>3707.2347199999999</v>
      </c>
      <c r="AD63" s="38">
        <v>3707.2347199999999</v>
      </c>
      <c r="AE63" s="38">
        <v>3707.2347199999999</v>
      </c>
      <c r="AF63" s="38">
        <v>1661.86384</v>
      </c>
      <c r="AG63" s="38">
        <v>1661.86384</v>
      </c>
      <c r="AH63" s="38">
        <v>1661.86384</v>
      </c>
      <c r="AI63" s="38">
        <v>1661.86384</v>
      </c>
      <c r="AJ63" s="38">
        <v>1917.5351999999998</v>
      </c>
      <c r="AK63" s="38">
        <v>1917.5351999999998</v>
      </c>
      <c r="AL63" s="38">
        <v>1917.5351999999998</v>
      </c>
      <c r="AM63" s="38">
        <v>1917.5351999999998</v>
      </c>
      <c r="AN63" s="38">
        <v>2301.0422400000002</v>
      </c>
      <c r="AO63" s="38">
        <v>2301.0422400000002</v>
      </c>
      <c r="AP63" s="38">
        <v>2301.0422400000002</v>
      </c>
      <c r="AQ63" s="38">
        <v>2301.0422400000002</v>
      </c>
      <c r="AR63" s="38">
        <v>2301.0422400000002</v>
      </c>
      <c r="AS63" s="38">
        <v>2301.0422400000002</v>
      </c>
      <c r="AT63" s="38">
        <v>2301.0422400000002</v>
      </c>
      <c r="AU63" s="38">
        <v>2301.0422400000002</v>
      </c>
      <c r="AV63" s="38">
        <v>3707.2347199999999</v>
      </c>
      <c r="AW63" s="38">
        <v>3707.2347199999999</v>
      </c>
      <c r="AX63" s="38">
        <v>3707.2347199999999</v>
      </c>
      <c r="AY63" s="38">
        <v>3707.2347199999999</v>
      </c>
      <c r="AZ63" s="38">
        <v>1406.1924799999999</v>
      </c>
      <c r="BA63" s="38">
        <v>1406.1924799999999</v>
      </c>
      <c r="BB63" s="38">
        <v>1406.1924799999999</v>
      </c>
      <c r="BC63" s="38">
        <v>1406.1924799999999</v>
      </c>
      <c r="BD63" s="38">
        <v>1406.1924799999999</v>
      </c>
      <c r="BE63" s="38">
        <v>1406.1924799999999</v>
      </c>
      <c r="BF63" s="38">
        <v>1406.1924799999999</v>
      </c>
      <c r="BG63" s="38">
        <v>1406.1924799999999</v>
      </c>
      <c r="BH63" s="38">
        <v>1406.1924799999999</v>
      </c>
      <c r="BI63" s="38">
        <v>1406.1924799999999</v>
      </c>
      <c r="BJ63" s="38">
        <v>1406.1924799999999</v>
      </c>
      <c r="BK63" s="38">
        <v>1406.1924799999999</v>
      </c>
      <c r="BL63" s="38">
        <v>1406.1924799999999</v>
      </c>
      <c r="BM63" s="38">
        <v>1406.1924799999999</v>
      </c>
      <c r="BN63" s="38">
        <v>1406.1924799999999</v>
      </c>
      <c r="BO63" s="38">
        <v>1406.1924799999999</v>
      </c>
      <c r="BP63" s="38">
        <v>1406.1924799999999</v>
      </c>
      <c r="BQ63" s="38">
        <v>1406.1924799999999</v>
      </c>
      <c r="BR63" s="38">
        <v>1406.1924799999999</v>
      </c>
      <c r="BS63" s="38">
        <v>1406.1924799999999</v>
      </c>
      <c r="BT63" s="38">
        <v>16874.30976</v>
      </c>
      <c r="BU63" s="38">
        <v>16874.30976</v>
      </c>
      <c r="BV63" s="38">
        <v>16874.30976</v>
      </c>
      <c r="BW63" s="38">
        <v>16874.30976</v>
      </c>
      <c r="BX63" s="38">
        <v>69286.938559999995</v>
      </c>
      <c r="BY63" s="38">
        <v>69159.102880000006</v>
      </c>
      <c r="BZ63" s="38">
        <v>69159.102880000006</v>
      </c>
      <c r="CA63" s="38">
        <v>69159.102880000006</v>
      </c>
      <c r="CB63" s="38">
        <v>2173.2065600000001</v>
      </c>
      <c r="CC63" s="38">
        <v>2173.2065600000001</v>
      </c>
      <c r="CD63" s="38">
        <v>2173.2065600000001</v>
      </c>
      <c r="CE63" s="38">
        <v>2173.2065600000001</v>
      </c>
      <c r="CF63" s="38">
        <v>3835.0703999999996</v>
      </c>
      <c r="CG63" s="38">
        <v>3707.2347199999999</v>
      </c>
      <c r="CH63" s="38">
        <v>3707.2347199999999</v>
      </c>
      <c r="CI63" s="38">
        <v>3707.2347199999999</v>
      </c>
      <c r="CJ63" s="38">
        <v>2556.7136</v>
      </c>
      <c r="CK63" s="38">
        <v>2428.8779199999999</v>
      </c>
      <c r="CL63" s="38">
        <v>2301.0422400000002</v>
      </c>
      <c r="CM63" s="38">
        <v>2173.2065600000001</v>
      </c>
      <c r="CN63" s="38">
        <v>2556.7136</v>
      </c>
      <c r="CO63" s="38">
        <v>2556.7136</v>
      </c>
      <c r="CP63" s="38">
        <v>2556.7136</v>
      </c>
      <c r="CQ63" s="38">
        <v>0</v>
      </c>
      <c r="CR63" s="38">
        <v>0</v>
      </c>
      <c r="CS63" s="38">
        <v>0</v>
      </c>
      <c r="CT63" s="38">
        <v>0</v>
      </c>
      <c r="CU63" s="38">
        <v>0</v>
      </c>
      <c r="CV63" s="38">
        <v>0</v>
      </c>
      <c r="CW63" s="38">
        <v>0</v>
      </c>
      <c r="CX63" s="38">
        <v>0</v>
      </c>
      <c r="CY63" s="38">
        <v>0</v>
      </c>
      <c r="CZ63" s="38">
        <v>0</v>
      </c>
      <c r="DA63" s="38">
        <v>0</v>
      </c>
      <c r="DB63" s="38">
        <v>0</v>
      </c>
      <c r="DC63" s="38">
        <v>42697.117119999995</v>
      </c>
      <c r="DD63" s="38">
        <v>42057.938719999998</v>
      </c>
      <c r="DE63" s="38">
        <v>42057.938719999998</v>
      </c>
      <c r="DF63" s="38">
        <v>42057.938719999998</v>
      </c>
      <c r="DG63" s="38">
        <v>119398.52512000001</v>
      </c>
      <c r="DH63" s="38">
        <v>117608.8256</v>
      </c>
      <c r="DI63" s="38">
        <v>117608.8256</v>
      </c>
      <c r="DJ63" s="38">
        <v>117608.8256</v>
      </c>
      <c r="DK63" s="38">
        <v>79258.121599999999</v>
      </c>
      <c r="DL63" s="38">
        <v>79258.121599999999</v>
      </c>
      <c r="DM63" s="38">
        <v>79258.121599999999</v>
      </c>
      <c r="DN63" s="38">
        <v>79258.121599999999</v>
      </c>
      <c r="DO63" s="38">
        <v>79258.121599999999</v>
      </c>
      <c r="DP63" s="38">
        <v>79258.121599999999</v>
      </c>
      <c r="DQ63" s="38">
        <v>79258.121599999999</v>
      </c>
      <c r="DR63" s="38">
        <v>79258.121599999999</v>
      </c>
      <c r="DS63" s="38">
        <v>78746.778879999998</v>
      </c>
      <c r="DT63" s="38">
        <v>76445.736640000003</v>
      </c>
      <c r="DU63" s="38">
        <v>76445.736640000003</v>
      </c>
      <c r="DV63" s="38">
        <v>76445.736640000003</v>
      </c>
      <c r="DW63" s="38">
        <v>115819.12608</v>
      </c>
      <c r="DX63" s="38">
        <v>112495.39840000001</v>
      </c>
      <c r="DY63" s="38">
        <v>112495.39840000001</v>
      </c>
      <c r="DZ63" s="38">
        <v>112495.39840000001</v>
      </c>
      <c r="EA63" s="38">
        <v>115819.12608</v>
      </c>
      <c r="EB63" s="38">
        <v>112495.39840000001</v>
      </c>
      <c r="EC63" s="38">
        <v>112495.39840000001</v>
      </c>
      <c r="ED63" s="38">
        <v>112495.39840000001</v>
      </c>
      <c r="EE63" s="38">
        <v>2428.8779199999999</v>
      </c>
      <c r="EF63" s="38">
        <v>2428.8779199999999</v>
      </c>
      <c r="EG63" s="38">
        <v>2428.8779199999999</v>
      </c>
      <c r="EH63" s="38">
        <v>2428.8779199999999</v>
      </c>
      <c r="EI63" s="38">
        <v>53435.31424</v>
      </c>
      <c r="EJ63" s="38">
        <v>53435.31424</v>
      </c>
      <c r="EK63" s="38">
        <v>53435.31424</v>
      </c>
      <c r="EL63" s="38">
        <v>53435.31424</v>
      </c>
      <c r="EM63" s="38">
        <v>2428.8779199999999</v>
      </c>
      <c r="EN63" s="38">
        <v>2428.8779199999999</v>
      </c>
      <c r="EO63" s="38">
        <v>2428.8779199999999</v>
      </c>
      <c r="EP63" s="38">
        <v>2428.8779199999999</v>
      </c>
      <c r="EQ63" s="38">
        <v>1406.1924799999999</v>
      </c>
      <c r="ER63" s="38">
        <v>1406.1924799999999</v>
      </c>
      <c r="ES63" s="38">
        <v>1406.1924799999999</v>
      </c>
      <c r="ET63" s="38">
        <v>1406.1924799999999</v>
      </c>
      <c r="EU63" s="38">
        <v>0</v>
      </c>
      <c r="EV63" s="38">
        <v>0</v>
      </c>
      <c r="EW63" s="38">
        <v>0</v>
      </c>
      <c r="EX63" s="38">
        <v>0</v>
      </c>
      <c r="EY63" s="38">
        <v>15468.117279999999</v>
      </c>
      <c r="EZ63" s="38">
        <v>10610.361439999999</v>
      </c>
      <c r="FA63" s="38">
        <v>10610.361439999999</v>
      </c>
      <c r="FB63" s="38">
        <v>10610.361439999999</v>
      </c>
      <c r="FC63" s="38">
        <v>3579.3990399999998</v>
      </c>
      <c r="FD63" s="38">
        <v>3579.3990399999998</v>
      </c>
      <c r="FE63" s="38">
        <v>3579.3990399999998</v>
      </c>
      <c r="FF63" s="38">
        <v>0</v>
      </c>
      <c r="FG63" s="38">
        <v>0</v>
      </c>
      <c r="FH63" s="38">
        <v>0</v>
      </c>
      <c r="FI63" s="38">
        <v>0</v>
      </c>
      <c r="FJ63" s="38">
        <v>3195.8919999999998</v>
      </c>
      <c r="FK63" s="6"/>
    </row>
    <row r="64" spans="1:171">
      <c r="A64" s="10" t="s">
        <v>668</v>
      </c>
      <c r="B64" s="10"/>
      <c r="C64" s="10" t="s">
        <v>666</v>
      </c>
      <c r="D64" s="37">
        <v>4857.7558399999998</v>
      </c>
      <c r="E64" s="37">
        <v>4857.7558399999998</v>
      </c>
      <c r="F64" s="37">
        <v>4857.7558399999998</v>
      </c>
      <c r="G64" s="37">
        <v>4857.7558399999998</v>
      </c>
      <c r="H64" s="37">
        <v>4857.7558399999998</v>
      </c>
      <c r="I64" s="37">
        <v>4857.7558399999998</v>
      </c>
      <c r="J64" s="37">
        <v>4857.7558399999998</v>
      </c>
      <c r="K64" s="37">
        <v>4857.7558399999998</v>
      </c>
      <c r="L64" s="37">
        <v>3451.5633599999996</v>
      </c>
      <c r="M64" s="37">
        <v>3451.5633599999996</v>
      </c>
      <c r="N64" s="37">
        <v>3451.5633599999996</v>
      </c>
      <c r="O64" s="37">
        <v>3451.5633599999996</v>
      </c>
      <c r="P64" s="37">
        <v>3451.5633599999996</v>
      </c>
      <c r="Q64" s="37">
        <v>3451.5633599999996</v>
      </c>
      <c r="R64" s="37">
        <v>3451.5633599999996</v>
      </c>
      <c r="S64" s="37">
        <v>3451.5633599999996</v>
      </c>
      <c r="T64" s="37">
        <v>3451.5633599999996</v>
      </c>
      <c r="U64" s="37">
        <v>3451.5633599999996</v>
      </c>
      <c r="V64" s="37">
        <v>3451.5633599999996</v>
      </c>
      <c r="W64" s="37">
        <v>3451.5633599999996</v>
      </c>
      <c r="X64" s="37">
        <v>3451.5633599999996</v>
      </c>
      <c r="Y64" s="37">
        <v>3451.5633599999996</v>
      </c>
      <c r="Z64" s="37">
        <v>3451.5633599999996</v>
      </c>
      <c r="AA64" s="37">
        <v>3451.5633599999996</v>
      </c>
      <c r="AB64" s="37">
        <v>3451.5633599999996</v>
      </c>
      <c r="AC64" s="37">
        <v>3451.5633599999996</v>
      </c>
      <c r="AD64" s="37">
        <v>3451.5633599999996</v>
      </c>
      <c r="AE64" s="37">
        <v>3451.5633599999996</v>
      </c>
      <c r="AF64" s="37">
        <v>3707.2347199999999</v>
      </c>
      <c r="AG64" s="37">
        <v>3707.2347199999999</v>
      </c>
      <c r="AH64" s="37">
        <v>3707.2347199999999</v>
      </c>
      <c r="AI64" s="37">
        <v>3707.2347199999999</v>
      </c>
      <c r="AJ64" s="37">
        <v>3707.2347199999999</v>
      </c>
      <c r="AK64" s="37">
        <v>3707.2347199999999</v>
      </c>
      <c r="AL64" s="37">
        <v>3707.2347199999999</v>
      </c>
      <c r="AM64" s="37">
        <v>3707.2347199999999</v>
      </c>
      <c r="AN64" s="37">
        <v>3707.2347199999999</v>
      </c>
      <c r="AO64" s="37">
        <v>3707.2347199999999</v>
      </c>
      <c r="AP64" s="37">
        <v>3707.2347199999999</v>
      </c>
      <c r="AQ64" s="37">
        <v>3707.2347199999999</v>
      </c>
      <c r="AR64" s="37">
        <v>3707.2347199999999</v>
      </c>
      <c r="AS64" s="37">
        <v>3707.2347199999999</v>
      </c>
      <c r="AT64" s="37">
        <v>3707.2347199999999</v>
      </c>
      <c r="AU64" s="37">
        <v>3707.2347199999999</v>
      </c>
      <c r="AV64" s="37">
        <v>3707.2347199999999</v>
      </c>
      <c r="AW64" s="37">
        <v>3707.2347199999999</v>
      </c>
      <c r="AX64" s="37">
        <v>3707.2347199999999</v>
      </c>
      <c r="AY64" s="37">
        <v>3707.2347199999999</v>
      </c>
      <c r="AZ64" s="37">
        <v>-46660.023200000003</v>
      </c>
      <c r="BA64" s="37">
        <v>-46660.023200000003</v>
      </c>
      <c r="BB64" s="37">
        <v>-46660.023200000003</v>
      </c>
      <c r="BC64" s="37">
        <v>-46660.023200000003</v>
      </c>
      <c r="BD64" s="37">
        <v>-41674.431680000002</v>
      </c>
      <c r="BE64" s="37">
        <v>-41674.431680000002</v>
      </c>
      <c r="BF64" s="37">
        <v>-41674.431680000002</v>
      </c>
      <c r="BG64" s="37">
        <v>-41674.431680000002</v>
      </c>
      <c r="BH64" s="37">
        <v>-40907.417600000001</v>
      </c>
      <c r="BI64" s="37">
        <v>-40907.417600000001</v>
      </c>
      <c r="BJ64" s="37">
        <v>-40907.417600000001</v>
      </c>
      <c r="BK64" s="37">
        <v>-40907.417600000001</v>
      </c>
      <c r="BL64" s="37">
        <v>-46660.023200000003</v>
      </c>
      <c r="BM64" s="37">
        <v>-46660.023200000003</v>
      </c>
      <c r="BN64" s="37">
        <v>-46660.023200000003</v>
      </c>
      <c r="BO64" s="37">
        <v>-46660.023200000003</v>
      </c>
      <c r="BP64" s="37">
        <v>-41674.431680000002</v>
      </c>
      <c r="BQ64" s="37">
        <v>-41674.431680000002</v>
      </c>
      <c r="BR64" s="37">
        <v>-41674.431680000002</v>
      </c>
      <c r="BS64" s="37">
        <v>-41674.431680000002</v>
      </c>
      <c r="BT64" s="37">
        <v>18919.680639999999</v>
      </c>
      <c r="BU64" s="37">
        <v>18919.680639999999</v>
      </c>
      <c r="BV64" s="37">
        <v>18919.680639999999</v>
      </c>
      <c r="BW64" s="37">
        <v>18919.680639999999</v>
      </c>
      <c r="BX64" s="37">
        <v>24416.614879999997</v>
      </c>
      <c r="BY64" s="37">
        <v>24416.614879999997</v>
      </c>
      <c r="BZ64" s="37">
        <v>24416.614879999997</v>
      </c>
      <c r="CA64" s="37">
        <v>24416.614879999997</v>
      </c>
      <c r="CB64" s="37">
        <v>4602.0844800000004</v>
      </c>
      <c r="CC64" s="37">
        <v>4602.0844800000004</v>
      </c>
      <c r="CD64" s="37">
        <v>4602.0844800000004</v>
      </c>
      <c r="CE64" s="37">
        <v>4729.9201599999997</v>
      </c>
      <c r="CF64" s="37">
        <v>57270.384639999997</v>
      </c>
      <c r="CG64" s="37">
        <v>55736.356480000002</v>
      </c>
      <c r="CH64" s="37">
        <v>55736.356480000002</v>
      </c>
      <c r="CI64" s="37">
        <v>56119.863519999999</v>
      </c>
      <c r="CJ64" s="37">
        <v>1661.86384</v>
      </c>
      <c r="CK64" s="37">
        <v>1534.0281599999998</v>
      </c>
      <c r="CL64" s="37">
        <v>1534.0281599999998</v>
      </c>
      <c r="CM64" s="37">
        <v>1406.1924799999999</v>
      </c>
      <c r="CN64" s="37">
        <v>1661.86384</v>
      </c>
      <c r="CO64" s="37">
        <v>1661.86384</v>
      </c>
      <c r="CP64" s="37">
        <v>1661.86384</v>
      </c>
      <c r="CQ64" s="37">
        <v>0</v>
      </c>
      <c r="CR64" s="37">
        <v>0</v>
      </c>
      <c r="CS64" s="37">
        <v>0</v>
      </c>
      <c r="CT64" s="37">
        <v>0</v>
      </c>
      <c r="CU64" s="37">
        <v>0</v>
      </c>
      <c r="CV64" s="37">
        <v>0</v>
      </c>
      <c r="CW64" s="37">
        <v>0</v>
      </c>
      <c r="CX64" s="37">
        <v>0</v>
      </c>
      <c r="CY64" s="37">
        <v>0</v>
      </c>
      <c r="CZ64" s="37">
        <v>0</v>
      </c>
      <c r="DA64" s="37">
        <v>0</v>
      </c>
      <c r="DB64" s="37">
        <v>0</v>
      </c>
      <c r="DC64" s="37">
        <v>23393.92944</v>
      </c>
      <c r="DD64" s="37">
        <v>23010.422399999999</v>
      </c>
      <c r="DE64" s="37">
        <v>23010.422399999999</v>
      </c>
      <c r="DF64" s="37">
        <v>23010.422399999999</v>
      </c>
      <c r="DG64" s="37">
        <v>23393.92944</v>
      </c>
      <c r="DH64" s="37">
        <v>23010.422399999999</v>
      </c>
      <c r="DI64" s="37">
        <v>23010.422399999999</v>
      </c>
      <c r="DJ64" s="37">
        <v>23010.422399999999</v>
      </c>
      <c r="DK64" s="37">
        <v>18919.680639999999</v>
      </c>
      <c r="DL64" s="37">
        <v>18919.680639999999</v>
      </c>
      <c r="DM64" s="37">
        <v>18919.680639999999</v>
      </c>
      <c r="DN64" s="37">
        <v>18919.680639999999</v>
      </c>
      <c r="DO64" s="37">
        <v>18919.680639999999</v>
      </c>
      <c r="DP64" s="37">
        <v>18919.680639999999</v>
      </c>
      <c r="DQ64" s="37">
        <v>18919.680639999999</v>
      </c>
      <c r="DR64" s="37">
        <v>18919.680639999999</v>
      </c>
      <c r="DS64" s="37">
        <v>17641.323840000001</v>
      </c>
      <c r="DT64" s="37">
        <v>17129.98112</v>
      </c>
      <c r="DU64" s="37">
        <v>17129.98112</v>
      </c>
      <c r="DV64" s="37">
        <v>17129.98112</v>
      </c>
      <c r="DW64" s="37">
        <v>17641.323840000001</v>
      </c>
      <c r="DX64" s="37">
        <v>17129.98112</v>
      </c>
      <c r="DY64" s="37">
        <v>17129.98112</v>
      </c>
      <c r="DZ64" s="37">
        <v>17129.98112</v>
      </c>
      <c r="EA64" s="37">
        <v>17641.323840000001</v>
      </c>
      <c r="EB64" s="37">
        <v>17129.98112</v>
      </c>
      <c r="EC64" s="37">
        <v>17129.98112</v>
      </c>
      <c r="ED64" s="37">
        <v>17129.98112</v>
      </c>
      <c r="EE64" s="37">
        <v>9459.8403199999993</v>
      </c>
      <c r="EF64" s="37">
        <v>9459.8403199999993</v>
      </c>
      <c r="EG64" s="37">
        <v>9459.8403199999993</v>
      </c>
      <c r="EH64" s="37">
        <v>9459.8403199999993</v>
      </c>
      <c r="EI64" s="37">
        <v>18919.680639999999</v>
      </c>
      <c r="EJ64" s="37">
        <v>18919.680639999999</v>
      </c>
      <c r="EK64" s="37">
        <v>18919.680639999999</v>
      </c>
      <c r="EL64" s="37">
        <v>18919.680639999999</v>
      </c>
      <c r="EM64" s="37">
        <v>18919.680639999999</v>
      </c>
      <c r="EN64" s="37">
        <v>18919.680639999999</v>
      </c>
      <c r="EO64" s="37">
        <v>18919.680639999999</v>
      </c>
      <c r="EP64" s="37">
        <v>18919.680639999999</v>
      </c>
      <c r="EQ64" s="37">
        <v>11121.704159999999</v>
      </c>
      <c r="ER64" s="37">
        <v>11121.704159999999</v>
      </c>
      <c r="ES64" s="37">
        <v>11121.704159999999</v>
      </c>
      <c r="ET64" s="37">
        <v>11121.704159999999</v>
      </c>
      <c r="EU64" s="37">
        <v>0</v>
      </c>
      <c r="EV64" s="37">
        <v>0</v>
      </c>
      <c r="EW64" s="37">
        <v>0</v>
      </c>
      <c r="EX64" s="37">
        <v>0</v>
      </c>
      <c r="EY64" s="37">
        <v>41930.103040000002</v>
      </c>
      <c r="EZ64" s="37">
        <v>28763.027999999998</v>
      </c>
      <c r="FA64" s="37">
        <v>28763.027999999998</v>
      </c>
      <c r="FB64" s="37">
        <v>28763.027999999998</v>
      </c>
      <c r="FC64" s="37">
        <v>4857.7558399999998</v>
      </c>
      <c r="FD64" s="37">
        <v>4857.7558399999998</v>
      </c>
      <c r="FE64" s="37">
        <v>4857.7558399999998</v>
      </c>
      <c r="FF64" s="37">
        <v>0</v>
      </c>
      <c r="FG64" s="37">
        <v>0</v>
      </c>
      <c r="FH64" s="37">
        <v>0</v>
      </c>
      <c r="FI64" s="37">
        <v>0</v>
      </c>
      <c r="FJ64" s="37">
        <v>4857.7558399999998</v>
      </c>
      <c r="FK64" s="6"/>
    </row>
    <row r="65" spans="1:171">
      <c r="A65" s="10" t="s">
        <v>669</v>
      </c>
      <c r="B65" s="10"/>
      <c r="C65" s="10" t="s">
        <v>639</v>
      </c>
      <c r="D65" s="12">
        <v>20</v>
      </c>
      <c r="E65" s="37"/>
      <c r="F65" s="37"/>
      <c r="G65" s="37"/>
      <c r="H65" s="12">
        <v>20</v>
      </c>
      <c r="I65" s="12">
        <v>20</v>
      </c>
      <c r="J65" s="12">
        <v>20</v>
      </c>
      <c r="K65" s="12">
        <v>20</v>
      </c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  <c r="AU65" s="37"/>
      <c r="AV65" s="37"/>
      <c r="AW65" s="37"/>
      <c r="AX65" s="37"/>
      <c r="AY65" s="37"/>
      <c r="AZ65" s="37"/>
      <c r="BA65" s="37"/>
      <c r="BB65" s="37"/>
      <c r="BC65" s="37"/>
      <c r="BD65" s="37"/>
      <c r="BE65" s="37"/>
      <c r="BF65" s="37"/>
      <c r="BG65" s="37"/>
      <c r="BH65" s="37"/>
      <c r="BI65" s="37"/>
      <c r="BJ65" s="37"/>
      <c r="BK65" s="37"/>
      <c r="BL65" s="37"/>
      <c r="BM65" s="37"/>
      <c r="BN65" s="37"/>
      <c r="BO65" s="37"/>
      <c r="BP65" s="37"/>
      <c r="BQ65" s="37"/>
      <c r="BR65" s="37"/>
      <c r="BS65" s="37"/>
      <c r="BT65" s="37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37"/>
      <c r="CG65" s="37"/>
      <c r="CH65" s="37"/>
      <c r="CI65" s="37"/>
      <c r="CJ65" s="37"/>
      <c r="CK65" s="37"/>
      <c r="CL65" s="37"/>
      <c r="CM65" s="37"/>
      <c r="CN65" s="37"/>
      <c r="CO65" s="37"/>
      <c r="CP65" s="37"/>
      <c r="CQ65" s="37"/>
      <c r="CR65" s="37"/>
      <c r="CS65" s="37"/>
      <c r="CT65" s="37"/>
      <c r="CU65" s="37"/>
      <c r="CV65" s="37"/>
      <c r="CW65" s="37"/>
      <c r="CX65" s="37"/>
      <c r="CY65" s="37"/>
      <c r="CZ65" s="37"/>
      <c r="DA65" s="37"/>
      <c r="DB65" s="37"/>
      <c r="DC65" s="37"/>
      <c r="DD65" s="37"/>
      <c r="DE65" s="37"/>
      <c r="DF65" s="37"/>
      <c r="DG65" s="37"/>
      <c r="DH65" s="37"/>
      <c r="DI65" s="37"/>
      <c r="DJ65" s="37"/>
      <c r="DK65" s="37"/>
      <c r="DL65" s="37"/>
      <c r="DM65" s="37"/>
      <c r="DN65" s="37"/>
      <c r="DO65" s="37"/>
      <c r="DP65" s="37"/>
      <c r="DQ65" s="37"/>
      <c r="DR65" s="37"/>
      <c r="DS65" s="37"/>
      <c r="DT65" s="37"/>
      <c r="DU65" s="37"/>
      <c r="DV65" s="37"/>
      <c r="DW65" s="37"/>
      <c r="DX65" s="37"/>
      <c r="DY65" s="37"/>
      <c r="DZ65" s="37"/>
      <c r="EA65" s="37"/>
      <c r="EB65" s="37"/>
      <c r="EC65" s="37"/>
      <c r="ED65" s="37"/>
      <c r="EE65" s="37"/>
      <c r="EF65" s="37"/>
      <c r="EG65" s="37"/>
      <c r="EH65" s="37"/>
      <c r="EI65" s="37"/>
      <c r="EJ65" s="37"/>
      <c r="EK65" s="37"/>
      <c r="EL65" s="37"/>
      <c r="EM65" s="37"/>
      <c r="EN65" s="37"/>
      <c r="EO65" s="37"/>
      <c r="EP65" s="37"/>
      <c r="EQ65" s="37"/>
      <c r="ER65" s="37"/>
      <c r="ES65" s="37"/>
      <c r="ET65" s="37"/>
      <c r="EU65" s="37"/>
      <c r="EV65" s="37"/>
      <c r="EW65" s="37"/>
      <c r="EX65" s="37"/>
      <c r="EY65" s="37"/>
      <c r="EZ65" s="37"/>
      <c r="FA65" s="37"/>
      <c r="FB65" s="37"/>
      <c r="FC65" s="37"/>
      <c r="FD65" s="37"/>
      <c r="FE65" s="37"/>
      <c r="FF65" s="37"/>
      <c r="FG65" s="37"/>
      <c r="FH65" s="37"/>
      <c r="FI65" s="37"/>
      <c r="FJ65" s="37"/>
      <c r="FK65" s="6"/>
    </row>
    <row r="66" spans="1:171">
      <c r="A66" s="6" t="s">
        <v>62</v>
      </c>
      <c r="B66" s="6"/>
      <c r="C66" s="6" t="s">
        <v>119</v>
      </c>
      <c r="D66" s="31">
        <v>7.4999999999999997E-2</v>
      </c>
      <c r="E66" s="32">
        <v>7.4999999999999997E-2</v>
      </c>
      <c r="F66" s="32">
        <v>7.4999999999999997E-2</v>
      </c>
      <c r="G66" s="33">
        <v>7.4999999999999997E-2</v>
      </c>
      <c r="H66" s="31">
        <v>0.09</v>
      </c>
      <c r="I66" s="32">
        <v>0.09</v>
      </c>
      <c r="J66" s="32">
        <v>0.09</v>
      </c>
      <c r="K66" s="32">
        <v>0.09</v>
      </c>
      <c r="L66" s="31">
        <v>7.0999999999999994E-2</v>
      </c>
      <c r="M66" s="32">
        <v>7.0999999999999994E-2</v>
      </c>
      <c r="N66" s="32">
        <v>7.0999999999999994E-2</v>
      </c>
      <c r="O66" s="32">
        <v>7.0999999999999994E-2</v>
      </c>
      <c r="P66" s="31">
        <v>7.0999999999999994E-2</v>
      </c>
      <c r="Q66" s="32">
        <v>7.0999999999999994E-2</v>
      </c>
      <c r="R66" s="32">
        <v>7.0999999999999994E-2</v>
      </c>
      <c r="S66" s="32">
        <v>7.0999999999999994E-2</v>
      </c>
      <c r="T66" s="31">
        <v>7.0999999999999994E-2</v>
      </c>
      <c r="U66" s="32">
        <v>7.0999999999999994E-2</v>
      </c>
      <c r="V66" s="32">
        <v>7.0999999999999994E-2</v>
      </c>
      <c r="W66" s="32">
        <v>7.0999999999999994E-2</v>
      </c>
      <c r="X66" s="31">
        <v>6.8000000000000005E-2</v>
      </c>
      <c r="Y66" s="32">
        <v>6.8000000000000005E-2</v>
      </c>
      <c r="Z66" s="32">
        <v>6.8000000000000005E-2</v>
      </c>
      <c r="AA66" s="32">
        <v>6.8000000000000005E-2</v>
      </c>
      <c r="AB66" s="31">
        <v>7.0999999999999994E-2</v>
      </c>
      <c r="AC66" s="32">
        <v>7.0999999999999994E-2</v>
      </c>
      <c r="AD66" s="32">
        <v>7.0999999999999994E-2</v>
      </c>
      <c r="AE66" s="32">
        <v>7.0999999999999994E-2</v>
      </c>
      <c r="AF66" s="31">
        <v>7.0999999999999994E-2</v>
      </c>
      <c r="AG66" s="32">
        <v>7.0999999999999994E-2</v>
      </c>
      <c r="AH66" s="32">
        <v>7.0999999999999994E-2</v>
      </c>
      <c r="AI66" s="32">
        <v>7.0999999999999994E-2</v>
      </c>
      <c r="AJ66" s="31">
        <v>7.0999999999999994E-2</v>
      </c>
      <c r="AK66" s="32">
        <v>7.0999999999999994E-2</v>
      </c>
      <c r="AL66" s="32">
        <v>7.0999999999999994E-2</v>
      </c>
      <c r="AM66" s="32">
        <v>7.0999999999999994E-2</v>
      </c>
      <c r="AN66" s="31">
        <v>7.0999999999999994E-2</v>
      </c>
      <c r="AO66" s="32">
        <v>7.0999999999999994E-2</v>
      </c>
      <c r="AP66" s="32">
        <v>7.0999999999999994E-2</v>
      </c>
      <c r="AQ66" s="32">
        <v>7.0999999999999994E-2</v>
      </c>
      <c r="AR66" s="31">
        <v>6.8000000000000005E-2</v>
      </c>
      <c r="AS66" s="32">
        <v>6.8000000000000005E-2</v>
      </c>
      <c r="AT66" s="32">
        <v>6.8000000000000005E-2</v>
      </c>
      <c r="AU66" s="32">
        <v>6.8000000000000005E-2</v>
      </c>
      <c r="AV66" s="31">
        <v>7.0999999999999994E-2</v>
      </c>
      <c r="AW66" s="32">
        <v>7.0999999999999994E-2</v>
      </c>
      <c r="AX66" s="32">
        <v>7.0999999999999994E-2</v>
      </c>
      <c r="AY66" s="32">
        <v>7.0999999999999994E-2</v>
      </c>
      <c r="AZ66" s="31">
        <v>7.0999999999999994E-2</v>
      </c>
      <c r="BA66" s="32">
        <v>7.0999999999999994E-2</v>
      </c>
      <c r="BB66" s="32">
        <v>7.0999999999999994E-2</v>
      </c>
      <c r="BC66" s="32">
        <v>7.0999999999999994E-2</v>
      </c>
      <c r="BD66" s="31">
        <v>7.0999999999999994E-2</v>
      </c>
      <c r="BE66" s="32">
        <v>7.0999999999999994E-2</v>
      </c>
      <c r="BF66" s="32">
        <v>7.0999999999999994E-2</v>
      </c>
      <c r="BG66" s="32">
        <v>7.0999999999999994E-2</v>
      </c>
      <c r="BH66" s="31">
        <v>7.0999999999999994E-2</v>
      </c>
      <c r="BI66" s="32">
        <v>7.0999999999999994E-2</v>
      </c>
      <c r="BJ66" s="32">
        <v>7.0999999999999994E-2</v>
      </c>
      <c r="BK66" s="32">
        <v>7.0999999999999994E-2</v>
      </c>
      <c r="BL66" s="31">
        <v>7.0999999999999994E-2</v>
      </c>
      <c r="BM66" s="32">
        <v>7.0999999999999994E-2</v>
      </c>
      <c r="BN66" s="32">
        <v>7.0999999999999994E-2</v>
      </c>
      <c r="BO66" s="32">
        <v>7.0999999999999994E-2</v>
      </c>
      <c r="BP66" s="31">
        <v>7.0999999999999994E-2</v>
      </c>
      <c r="BQ66" s="32">
        <v>7.0999999999999994E-2</v>
      </c>
      <c r="BR66" s="32">
        <v>7.0999999999999994E-2</v>
      </c>
      <c r="BS66" s="32">
        <v>7.0999999999999994E-2</v>
      </c>
      <c r="BT66" s="31">
        <v>7.9000000000000001E-2</v>
      </c>
      <c r="BU66" s="32">
        <v>7.9000000000000001E-2</v>
      </c>
      <c r="BV66" s="32">
        <v>7.9000000000000001E-2</v>
      </c>
      <c r="BW66" s="32">
        <v>7.9000000000000001E-2</v>
      </c>
      <c r="BX66" s="31">
        <v>9.9000000000000005E-2</v>
      </c>
      <c r="BY66" s="32">
        <v>9.9000000000000005E-2</v>
      </c>
      <c r="BZ66" s="32">
        <v>9.9000000000000005E-2</v>
      </c>
      <c r="CA66" s="32">
        <v>9.9000000000000005E-2</v>
      </c>
      <c r="CB66" s="31">
        <v>5.1999999999999998E-2</v>
      </c>
      <c r="CC66" s="32">
        <v>5.1999999999999998E-2</v>
      </c>
      <c r="CD66" s="32">
        <v>5.1999999999999998E-2</v>
      </c>
      <c r="CE66" s="32">
        <v>5.1999999999999998E-2</v>
      </c>
      <c r="CF66" s="31">
        <v>6.3E-2</v>
      </c>
      <c r="CG66" s="32">
        <v>6.3E-2</v>
      </c>
      <c r="CH66" s="32">
        <v>6.3E-2</v>
      </c>
      <c r="CI66" s="32">
        <v>6.3E-2</v>
      </c>
      <c r="CJ66" s="31">
        <v>0.05</v>
      </c>
      <c r="CK66" s="32">
        <v>0.05</v>
      </c>
      <c r="CL66" s="32">
        <v>0.05</v>
      </c>
      <c r="CM66" s="32">
        <v>0.05</v>
      </c>
      <c r="CN66" s="31">
        <v>0.05</v>
      </c>
      <c r="CO66" s="31">
        <v>0.05</v>
      </c>
      <c r="CP66" s="31">
        <v>0.05</v>
      </c>
      <c r="CQ66" s="31">
        <v>5.6000000000000001E-2</v>
      </c>
      <c r="CR66" s="32">
        <v>5.6000000000000001E-2</v>
      </c>
      <c r="CS66" s="32">
        <v>5.6000000000000001E-2</v>
      </c>
      <c r="CT66" s="32">
        <v>5.6000000000000001E-2</v>
      </c>
      <c r="CU66" s="31">
        <v>5.0999999999999997E-2</v>
      </c>
      <c r="CV66" s="32">
        <v>5.0999999999999997E-2</v>
      </c>
      <c r="CW66" s="32">
        <v>5.0999999999999997E-2</v>
      </c>
      <c r="CX66" s="32">
        <v>5.0999999999999997E-2</v>
      </c>
      <c r="CY66" s="31">
        <v>5.0999999999999997E-2</v>
      </c>
      <c r="CZ66" s="32">
        <v>5.0999999999999997E-2</v>
      </c>
      <c r="DA66" s="32">
        <v>5.0999999999999997E-2</v>
      </c>
      <c r="DB66" s="32">
        <v>5.0999999999999997E-2</v>
      </c>
      <c r="DC66" s="31">
        <v>6.5000000000000002E-2</v>
      </c>
      <c r="DD66" s="32">
        <v>6.5000000000000002E-2</v>
      </c>
      <c r="DE66" s="32">
        <v>6.5000000000000002E-2</v>
      </c>
      <c r="DF66" s="32">
        <v>6.5000000000000002E-2</v>
      </c>
      <c r="DG66" s="31">
        <v>7.5999999999999998E-2</v>
      </c>
      <c r="DH66" s="32">
        <v>7.5999999999999998E-2</v>
      </c>
      <c r="DI66" s="32">
        <v>7.5999999999999998E-2</v>
      </c>
      <c r="DJ66" s="32">
        <v>7.5999999999999998E-2</v>
      </c>
      <c r="DK66" s="31">
        <v>8.3000000000000004E-2</v>
      </c>
      <c r="DL66" s="32">
        <v>8.3000000000000004E-2</v>
      </c>
      <c r="DM66" s="32">
        <v>8.3000000000000004E-2</v>
      </c>
      <c r="DN66" s="32">
        <v>8.3000000000000004E-2</v>
      </c>
      <c r="DO66" s="31">
        <v>9.9000000000000005E-2</v>
      </c>
      <c r="DP66" s="32">
        <v>9.9000000000000005E-2</v>
      </c>
      <c r="DQ66" s="32">
        <v>9.9000000000000005E-2</v>
      </c>
      <c r="DR66" s="32">
        <v>9.9000000000000005E-2</v>
      </c>
      <c r="DS66" s="31">
        <v>7.1999999999999995E-2</v>
      </c>
      <c r="DT66" s="32">
        <v>7.1999999999999995E-2</v>
      </c>
      <c r="DU66" s="32">
        <v>7.1999999999999995E-2</v>
      </c>
      <c r="DV66" s="32">
        <v>7.1999999999999995E-2</v>
      </c>
      <c r="DW66" s="31">
        <v>8.1000000000000003E-2</v>
      </c>
      <c r="DX66" s="32">
        <v>8.1000000000000003E-2</v>
      </c>
      <c r="DY66" s="32">
        <v>8.1000000000000003E-2</v>
      </c>
      <c r="DZ66" s="32">
        <v>8.1000000000000003E-2</v>
      </c>
      <c r="EA66" s="31">
        <v>8.8999999999999996E-2</v>
      </c>
      <c r="EB66" s="32">
        <v>8.8999999999999996E-2</v>
      </c>
      <c r="EC66" s="32">
        <v>8.8999999999999996E-2</v>
      </c>
      <c r="ED66" s="32">
        <v>8.8999999999999996E-2</v>
      </c>
      <c r="EE66" s="31">
        <v>6.0999999999999999E-2</v>
      </c>
      <c r="EF66" s="32">
        <v>6.0999999999999999E-2</v>
      </c>
      <c r="EG66" s="32">
        <v>6.0999999999999999E-2</v>
      </c>
      <c r="EH66" s="32">
        <v>6.0999999999999999E-2</v>
      </c>
      <c r="EI66" s="31">
        <v>7.0999999999999994E-2</v>
      </c>
      <c r="EJ66" s="32">
        <v>7.0999999999999994E-2</v>
      </c>
      <c r="EK66" s="32">
        <v>7.0999999999999994E-2</v>
      </c>
      <c r="EL66" s="32">
        <v>7.0999999999999994E-2</v>
      </c>
      <c r="EM66" s="31">
        <v>0.188</v>
      </c>
      <c r="EN66" s="32">
        <v>0.188</v>
      </c>
      <c r="EO66" s="32">
        <v>0.188</v>
      </c>
      <c r="EP66" s="32">
        <v>0.188</v>
      </c>
      <c r="EQ66" s="31">
        <v>5.3999999999999999E-2</v>
      </c>
      <c r="ER66" s="32">
        <v>5.3999999999999999E-2</v>
      </c>
      <c r="ES66" s="32">
        <v>5.3999999999999999E-2</v>
      </c>
      <c r="ET66" s="32">
        <v>5.3999999999999999E-2</v>
      </c>
      <c r="EU66" s="31">
        <v>5.3999999999999999E-2</v>
      </c>
      <c r="EV66" s="32">
        <v>5.3999999999999999E-2</v>
      </c>
      <c r="EW66" s="32">
        <v>5.3999999999999999E-2</v>
      </c>
      <c r="EX66" s="32">
        <v>5.3999999999999999E-2</v>
      </c>
      <c r="EY66" s="31">
        <v>8.5999999999999993E-2</v>
      </c>
      <c r="EZ66" s="32">
        <v>8.5999999999999993E-2</v>
      </c>
      <c r="FA66" s="32">
        <v>8.5999999999999993E-2</v>
      </c>
      <c r="FB66" s="32">
        <v>8.5999999999999993E-2</v>
      </c>
      <c r="FC66" s="31">
        <v>0.09</v>
      </c>
      <c r="FD66" s="32">
        <v>0.09</v>
      </c>
      <c r="FE66" s="32">
        <v>0.09</v>
      </c>
      <c r="FF66" s="32">
        <v>0.09</v>
      </c>
      <c r="FG66" s="32">
        <v>7.4999999999999997E-2</v>
      </c>
      <c r="FH66" s="32">
        <v>7.4999999999999997E-2</v>
      </c>
      <c r="FI66" s="32">
        <v>7.4999999999999997E-2</v>
      </c>
      <c r="FJ66" s="32">
        <v>7.4999999999999997E-2</v>
      </c>
      <c r="FK66" s="57">
        <v>7.4999999999999997E-2</v>
      </c>
      <c r="FL66" s="45">
        <v>0.05</v>
      </c>
      <c r="FM66" s="32">
        <v>0.05</v>
      </c>
      <c r="FN66" s="32">
        <v>0.05</v>
      </c>
      <c r="FO66" s="59">
        <v>0.04</v>
      </c>
    </row>
    <row r="67" spans="1:171">
      <c r="A67" s="6" t="s">
        <v>176</v>
      </c>
      <c r="B67" s="6"/>
      <c r="C67" s="6" t="s">
        <v>166</v>
      </c>
      <c r="D67" s="53">
        <v>0</v>
      </c>
      <c r="E67" s="53">
        <v>0</v>
      </c>
      <c r="F67" s="53">
        <v>0</v>
      </c>
      <c r="G67" s="53">
        <v>0</v>
      </c>
      <c r="H67" s="53">
        <v>0</v>
      </c>
      <c r="I67" s="53">
        <v>0</v>
      </c>
      <c r="J67" s="53">
        <v>0</v>
      </c>
      <c r="K67" s="53">
        <v>0</v>
      </c>
      <c r="L67" s="53">
        <v>0</v>
      </c>
      <c r="M67" s="53">
        <v>0</v>
      </c>
      <c r="N67" s="53">
        <v>0</v>
      </c>
      <c r="O67" s="53">
        <v>0</v>
      </c>
      <c r="P67" s="53">
        <v>0</v>
      </c>
      <c r="Q67" s="53">
        <v>0</v>
      </c>
      <c r="R67" s="53">
        <v>0</v>
      </c>
      <c r="S67" s="53">
        <v>0</v>
      </c>
      <c r="T67" s="53">
        <v>0</v>
      </c>
      <c r="U67" s="53">
        <v>0</v>
      </c>
      <c r="V67" s="53">
        <v>0</v>
      </c>
      <c r="W67" s="53">
        <v>0</v>
      </c>
      <c r="X67" s="53">
        <v>0</v>
      </c>
      <c r="Y67" s="53">
        <v>0</v>
      </c>
      <c r="Z67" s="53">
        <v>0</v>
      </c>
      <c r="AA67" s="53">
        <v>0</v>
      </c>
      <c r="AB67" s="53">
        <v>0</v>
      </c>
      <c r="AC67" s="53">
        <v>0</v>
      </c>
      <c r="AD67" s="53">
        <v>0</v>
      </c>
      <c r="AE67" s="53">
        <v>0</v>
      </c>
      <c r="AF67" s="53">
        <v>0</v>
      </c>
      <c r="AG67" s="53">
        <v>0</v>
      </c>
      <c r="AH67" s="53">
        <v>0</v>
      </c>
      <c r="AI67" s="53">
        <v>0</v>
      </c>
      <c r="AJ67" s="53">
        <v>0</v>
      </c>
      <c r="AK67" s="53">
        <v>0</v>
      </c>
      <c r="AL67" s="53">
        <v>0</v>
      </c>
      <c r="AM67" s="53">
        <v>0</v>
      </c>
      <c r="AN67" s="53">
        <v>0</v>
      </c>
      <c r="AO67" s="53">
        <v>0</v>
      </c>
      <c r="AP67" s="53">
        <v>0</v>
      </c>
      <c r="AQ67" s="53">
        <v>0</v>
      </c>
      <c r="AR67" s="53">
        <v>0</v>
      </c>
      <c r="AS67" s="53">
        <v>0</v>
      </c>
      <c r="AT67" s="53">
        <v>0</v>
      </c>
      <c r="AU67" s="53">
        <v>0</v>
      </c>
      <c r="AV67" s="53">
        <v>0</v>
      </c>
      <c r="AW67" s="53">
        <v>0</v>
      </c>
      <c r="AX67" s="53">
        <v>0</v>
      </c>
      <c r="AY67" s="53">
        <v>0</v>
      </c>
      <c r="AZ67" s="53">
        <v>0</v>
      </c>
      <c r="BA67" s="53">
        <v>0</v>
      </c>
      <c r="BB67" s="53">
        <v>0</v>
      </c>
      <c r="BC67" s="53">
        <v>0</v>
      </c>
      <c r="BD67" s="53">
        <v>0</v>
      </c>
      <c r="BE67" s="53">
        <v>0</v>
      </c>
      <c r="BF67" s="53">
        <v>0</v>
      </c>
      <c r="BG67" s="53">
        <v>0</v>
      </c>
      <c r="BH67" s="53">
        <v>0</v>
      </c>
      <c r="BI67" s="53">
        <v>0</v>
      </c>
      <c r="BJ67" s="53">
        <v>0</v>
      </c>
      <c r="BK67" s="53">
        <v>0</v>
      </c>
      <c r="BL67" s="53">
        <v>0</v>
      </c>
      <c r="BM67" s="53">
        <v>0</v>
      </c>
      <c r="BN67" s="53">
        <v>0</v>
      </c>
      <c r="BO67" s="53">
        <v>0</v>
      </c>
      <c r="BP67" s="53">
        <v>0</v>
      </c>
      <c r="BQ67" s="53">
        <v>0</v>
      </c>
      <c r="BR67" s="53">
        <v>0</v>
      </c>
      <c r="BS67" s="53">
        <v>0</v>
      </c>
      <c r="BT67" s="53">
        <v>0</v>
      </c>
      <c r="BU67" s="53">
        <v>0</v>
      </c>
      <c r="BV67" s="53">
        <v>0</v>
      </c>
      <c r="BW67" s="53">
        <v>0</v>
      </c>
      <c r="BX67" s="53">
        <v>0</v>
      </c>
      <c r="BY67" s="53">
        <v>0</v>
      </c>
      <c r="BZ67" s="53">
        <v>0</v>
      </c>
      <c r="CA67" s="53">
        <v>0</v>
      </c>
      <c r="CB67" s="53">
        <v>0</v>
      </c>
      <c r="CC67" s="53">
        <v>0</v>
      </c>
      <c r="CD67" s="53">
        <v>0</v>
      </c>
      <c r="CE67" s="53">
        <v>0</v>
      </c>
      <c r="CF67" s="53">
        <v>0</v>
      </c>
      <c r="CG67" s="53">
        <v>0</v>
      </c>
      <c r="CH67" s="53">
        <v>0</v>
      </c>
      <c r="CI67" s="53">
        <v>0</v>
      </c>
      <c r="CJ67" s="53">
        <v>0</v>
      </c>
      <c r="CK67" s="53">
        <v>0</v>
      </c>
      <c r="CL67" s="53">
        <v>0</v>
      </c>
      <c r="CM67" s="53">
        <v>0</v>
      </c>
      <c r="CN67" s="53">
        <v>0</v>
      </c>
      <c r="CO67" s="53">
        <v>0</v>
      </c>
      <c r="CP67" s="53">
        <v>0</v>
      </c>
      <c r="CQ67" s="53">
        <v>0</v>
      </c>
      <c r="CR67" s="53">
        <v>0</v>
      </c>
      <c r="CS67" s="53">
        <v>0</v>
      </c>
      <c r="CT67" s="53">
        <v>0</v>
      </c>
      <c r="CU67" s="53">
        <v>0</v>
      </c>
      <c r="CV67" s="53">
        <v>0</v>
      </c>
      <c r="CW67" s="53">
        <v>0</v>
      </c>
      <c r="CX67" s="53">
        <v>0</v>
      </c>
      <c r="CY67" s="53">
        <v>0</v>
      </c>
      <c r="CZ67" s="53">
        <v>0</v>
      </c>
      <c r="DA67" s="53">
        <v>0</v>
      </c>
      <c r="DB67" s="53">
        <v>0</v>
      </c>
      <c r="DC67" s="53">
        <v>0</v>
      </c>
      <c r="DD67" s="53">
        <v>0</v>
      </c>
      <c r="DE67" s="53">
        <v>0</v>
      </c>
      <c r="DF67" s="53">
        <v>0</v>
      </c>
      <c r="DG67" s="53">
        <v>0</v>
      </c>
      <c r="DH67" s="53">
        <v>0</v>
      </c>
      <c r="DI67" s="53">
        <v>0</v>
      </c>
      <c r="DJ67" s="53">
        <v>0</v>
      </c>
      <c r="DK67" s="53">
        <v>0</v>
      </c>
      <c r="DL67" s="53">
        <v>0</v>
      </c>
      <c r="DM67" s="53">
        <v>0</v>
      </c>
      <c r="DN67" s="53">
        <v>0</v>
      </c>
      <c r="DO67" s="53">
        <v>0</v>
      </c>
      <c r="DP67" s="53">
        <v>0</v>
      </c>
      <c r="DQ67" s="53">
        <v>0</v>
      </c>
      <c r="DR67" s="53">
        <v>0</v>
      </c>
      <c r="DS67" s="53">
        <v>0</v>
      </c>
      <c r="DT67" s="53">
        <v>0</v>
      </c>
      <c r="DU67" s="53">
        <v>0</v>
      </c>
      <c r="DV67" s="53">
        <v>0</v>
      </c>
      <c r="DW67" s="53">
        <v>0</v>
      </c>
      <c r="DX67" s="53">
        <v>0</v>
      </c>
      <c r="DY67" s="53">
        <v>0</v>
      </c>
      <c r="DZ67" s="53">
        <v>0</v>
      </c>
      <c r="EA67" s="53">
        <v>0</v>
      </c>
      <c r="EB67" s="53">
        <v>0</v>
      </c>
      <c r="EC67" s="53">
        <v>0</v>
      </c>
      <c r="ED67" s="53">
        <v>0</v>
      </c>
      <c r="EE67" s="53">
        <v>0</v>
      </c>
      <c r="EF67" s="53">
        <v>0</v>
      </c>
      <c r="EG67" s="53">
        <v>0</v>
      </c>
      <c r="EH67" s="53">
        <v>0</v>
      </c>
      <c r="EI67" s="53">
        <v>0</v>
      </c>
      <c r="EJ67" s="53">
        <v>0</v>
      </c>
      <c r="EK67" s="53">
        <v>0</v>
      </c>
      <c r="EL67" s="53">
        <v>0</v>
      </c>
      <c r="EM67" s="53">
        <v>0</v>
      </c>
      <c r="EN67" s="53">
        <v>0</v>
      </c>
      <c r="EO67" s="53">
        <v>0</v>
      </c>
      <c r="EP67" s="53">
        <v>0</v>
      </c>
      <c r="EQ67" s="53">
        <v>0</v>
      </c>
      <c r="ER67" s="53">
        <v>0</v>
      </c>
      <c r="ES67" s="53">
        <v>0</v>
      </c>
      <c r="ET67" s="53">
        <v>0</v>
      </c>
      <c r="EU67" s="53">
        <v>0</v>
      </c>
      <c r="EV67" s="53">
        <v>0</v>
      </c>
      <c r="EW67" s="53">
        <v>0</v>
      </c>
      <c r="EX67" s="53">
        <v>0</v>
      </c>
      <c r="EY67" s="53">
        <v>0</v>
      </c>
      <c r="EZ67" s="53">
        <v>0</v>
      </c>
      <c r="FA67" s="53">
        <v>0</v>
      </c>
      <c r="FB67" s="53">
        <v>0</v>
      </c>
      <c r="FC67" s="53">
        <v>0</v>
      </c>
      <c r="FD67" s="53">
        <v>0</v>
      </c>
      <c r="FE67" s="53">
        <v>0</v>
      </c>
      <c r="FF67" s="53">
        <v>0</v>
      </c>
      <c r="FG67" s="53">
        <v>0</v>
      </c>
      <c r="FH67" s="53">
        <v>0</v>
      </c>
      <c r="FI67" s="53">
        <v>0</v>
      </c>
      <c r="FJ67" s="53">
        <v>0</v>
      </c>
      <c r="FK67" s="6"/>
    </row>
    <row r="68" spans="1:171">
      <c r="A68" s="6" t="s">
        <v>670</v>
      </c>
      <c r="B68" s="6"/>
      <c r="C68" s="6" t="s">
        <v>119</v>
      </c>
      <c r="D68" s="31">
        <v>0</v>
      </c>
      <c r="E68" s="31">
        <v>0</v>
      </c>
      <c r="F68" s="31">
        <v>0</v>
      </c>
      <c r="G68" s="31">
        <v>0</v>
      </c>
      <c r="H68" s="31">
        <v>0</v>
      </c>
      <c r="I68" s="31">
        <v>0</v>
      </c>
      <c r="J68" s="31">
        <v>0</v>
      </c>
      <c r="K68" s="31">
        <v>0</v>
      </c>
      <c r="L68" s="31">
        <v>0</v>
      </c>
      <c r="M68" s="31">
        <v>0</v>
      </c>
      <c r="N68" s="31">
        <v>0</v>
      </c>
      <c r="O68" s="31">
        <v>0</v>
      </c>
      <c r="P68" s="31">
        <v>0</v>
      </c>
      <c r="Q68" s="31">
        <v>0</v>
      </c>
      <c r="R68" s="31">
        <v>0</v>
      </c>
      <c r="S68" s="31">
        <v>0</v>
      </c>
      <c r="T68" s="31">
        <v>0</v>
      </c>
      <c r="U68" s="31">
        <v>0</v>
      </c>
      <c r="V68" s="31">
        <v>0</v>
      </c>
      <c r="W68" s="31">
        <v>0</v>
      </c>
      <c r="X68" s="31">
        <v>0</v>
      </c>
      <c r="Y68" s="31">
        <v>0</v>
      </c>
      <c r="Z68" s="31">
        <v>0</v>
      </c>
      <c r="AA68" s="31">
        <v>0</v>
      </c>
      <c r="AB68" s="31">
        <v>0</v>
      </c>
      <c r="AC68" s="31">
        <v>0</v>
      </c>
      <c r="AD68" s="31">
        <v>0</v>
      </c>
      <c r="AE68" s="31">
        <v>0</v>
      </c>
      <c r="AF68" s="31">
        <v>0</v>
      </c>
      <c r="AG68" s="31">
        <v>0</v>
      </c>
      <c r="AH68" s="31">
        <v>0</v>
      </c>
      <c r="AI68" s="31">
        <v>0</v>
      </c>
      <c r="AJ68" s="31">
        <v>0</v>
      </c>
      <c r="AK68" s="31">
        <v>0</v>
      </c>
      <c r="AL68" s="31">
        <v>0</v>
      </c>
      <c r="AM68" s="31">
        <v>0</v>
      </c>
      <c r="AN68" s="31">
        <v>0</v>
      </c>
      <c r="AO68" s="31">
        <v>0</v>
      </c>
      <c r="AP68" s="31">
        <v>0</v>
      </c>
      <c r="AQ68" s="31">
        <v>0</v>
      </c>
      <c r="AR68" s="31">
        <v>0</v>
      </c>
      <c r="AS68" s="31">
        <v>0</v>
      </c>
      <c r="AT68" s="31">
        <v>0</v>
      </c>
      <c r="AU68" s="31">
        <v>0</v>
      </c>
      <c r="AV68" s="31">
        <v>0</v>
      </c>
      <c r="AW68" s="31">
        <v>0</v>
      </c>
      <c r="AX68" s="31">
        <v>0</v>
      </c>
      <c r="AY68" s="31">
        <v>0</v>
      </c>
      <c r="AZ68" s="31">
        <v>0</v>
      </c>
      <c r="BA68" s="31">
        <v>0</v>
      </c>
      <c r="BB68" s="31">
        <v>0</v>
      </c>
      <c r="BC68" s="31">
        <v>0</v>
      </c>
      <c r="BD68" s="31">
        <v>0</v>
      </c>
      <c r="BE68" s="31">
        <v>0</v>
      </c>
      <c r="BF68" s="31">
        <v>0</v>
      </c>
      <c r="BG68" s="31">
        <v>0</v>
      </c>
      <c r="BH68" s="31">
        <v>0</v>
      </c>
      <c r="BI68" s="31">
        <v>0</v>
      </c>
      <c r="BJ68" s="31">
        <v>0</v>
      </c>
      <c r="BK68" s="31">
        <v>0</v>
      </c>
      <c r="BL68" s="31">
        <v>0</v>
      </c>
      <c r="BM68" s="31">
        <v>0</v>
      </c>
      <c r="BN68" s="31">
        <v>0</v>
      </c>
      <c r="BO68" s="31">
        <v>0</v>
      </c>
      <c r="BP68" s="31">
        <v>0</v>
      </c>
      <c r="BQ68" s="31">
        <v>0</v>
      </c>
      <c r="BR68" s="31">
        <v>0</v>
      </c>
      <c r="BS68" s="31">
        <v>0</v>
      </c>
      <c r="BT68" s="31">
        <v>0</v>
      </c>
      <c r="BU68" s="31">
        <v>0</v>
      </c>
      <c r="BV68" s="31">
        <v>0</v>
      </c>
      <c r="BW68" s="31">
        <v>0</v>
      </c>
      <c r="BX68" s="31">
        <v>0</v>
      </c>
      <c r="BY68" s="31">
        <v>0</v>
      </c>
      <c r="BZ68" s="31">
        <v>0</v>
      </c>
      <c r="CA68" s="31">
        <v>0</v>
      </c>
      <c r="CB68" s="31">
        <v>0</v>
      </c>
      <c r="CC68" s="31">
        <v>0</v>
      </c>
      <c r="CD68" s="31">
        <v>0</v>
      </c>
      <c r="CE68" s="31">
        <v>0</v>
      </c>
      <c r="CF68" s="31">
        <v>0</v>
      </c>
      <c r="CG68" s="31">
        <v>0</v>
      </c>
      <c r="CH68" s="31">
        <v>0</v>
      </c>
      <c r="CI68" s="31">
        <v>0</v>
      </c>
      <c r="CJ68" s="31">
        <v>0</v>
      </c>
      <c r="CK68" s="31">
        <v>0</v>
      </c>
      <c r="CL68" s="31">
        <v>0</v>
      </c>
      <c r="CM68" s="31">
        <v>0</v>
      </c>
      <c r="CN68" s="31">
        <v>0</v>
      </c>
      <c r="CO68" s="31">
        <v>0</v>
      </c>
      <c r="CP68" s="31">
        <v>0</v>
      </c>
      <c r="CQ68" s="31">
        <v>0</v>
      </c>
      <c r="CR68" s="31">
        <v>0</v>
      </c>
      <c r="CS68" s="31">
        <v>0</v>
      </c>
      <c r="CT68" s="31">
        <v>0</v>
      </c>
      <c r="CU68" s="31">
        <v>0</v>
      </c>
      <c r="CV68" s="31">
        <v>0</v>
      </c>
      <c r="CW68" s="31">
        <v>0</v>
      </c>
      <c r="CX68" s="31">
        <v>0</v>
      </c>
      <c r="CY68" s="31">
        <v>0</v>
      </c>
      <c r="CZ68" s="31">
        <v>0</v>
      </c>
      <c r="DA68" s="31">
        <v>0</v>
      </c>
      <c r="DB68" s="31">
        <v>0</v>
      </c>
      <c r="DC68" s="31">
        <v>0</v>
      </c>
      <c r="DD68" s="31">
        <v>0</v>
      </c>
      <c r="DE68" s="31">
        <v>0</v>
      </c>
      <c r="DF68" s="31">
        <v>0</v>
      </c>
      <c r="DG68" s="31">
        <v>0</v>
      </c>
      <c r="DH68" s="31">
        <v>0</v>
      </c>
      <c r="DI68" s="31">
        <v>0</v>
      </c>
      <c r="DJ68" s="31">
        <v>0</v>
      </c>
      <c r="DK68" s="31">
        <v>0</v>
      </c>
      <c r="DL68" s="31">
        <v>0</v>
      </c>
      <c r="DM68" s="31">
        <v>0</v>
      </c>
      <c r="DN68" s="31">
        <v>0</v>
      </c>
      <c r="DO68" s="31">
        <v>0</v>
      </c>
      <c r="DP68" s="31">
        <v>0</v>
      </c>
      <c r="DQ68" s="31">
        <v>0</v>
      </c>
      <c r="DR68" s="31">
        <v>0</v>
      </c>
      <c r="DS68" s="31">
        <v>0</v>
      </c>
      <c r="DT68" s="31">
        <v>0</v>
      </c>
      <c r="DU68" s="31">
        <v>0</v>
      </c>
      <c r="DV68" s="31">
        <v>0</v>
      </c>
      <c r="DW68" s="31">
        <v>0</v>
      </c>
      <c r="DX68" s="31">
        <v>0</v>
      </c>
      <c r="DY68" s="31">
        <v>0</v>
      </c>
      <c r="DZ68" s="31">
        <v>0</v>
      </c>
      <c r="EA68" s="31">
        <v>0</v>
      </c>
      <c r="EB68" s="31">
        <v>0</v>
      </c>
      <c r="EC68" s="31">
        <v>0</v>
      </c>
      <c r="ED68" s="31">
        <v>0</v>
      </c>
      <c r="EE68" s="31">
        <v>0</v>
      </c>
      <c r="EF68" s="31">
        <v>0</v>
      </c>
      <c r="EG68" s="31">
        <v>0</v>
      </c>
      <c r="EH68" s="31">
        <v>0</v>
      </c>
      <c r="EI68" s="31">
        <v>0</v>
      </c>
      <c r="EJ68" s="31">
        <v>0</v>
      </c>
      <c r="EK68" s="31">
        <v>0</v>
      </c>
      <c r="EL68" s="31">
        <v>0</v>
      </c>
      <c r="EM68" s="31">
        <v>0</v>
      </c>
      <c r="EN68" s="31">
        <v>0</v>
      </c>
      <c r="EO68" s="31">
        <v>0</v>
      </c>
      <c r="EP68" s="31">
        <v>0</v>
      </c>
      <c r="EQ68" s="31">
        <v>0</v>
      </c>
      <c r="ER68" s="31">
        <v>0</v>
      </c>
      <c r="ES68" s="31">
        <v>0</v>
      </c>
      <c r="ET68" s="31">
        <v>0</v>
      </c>
      <c r="EU68" s="31">
        <v>0</v>
      </c>
      <c r="EV68" s="31">
        <v>0</v>
      </c>
      <c r="EW68" s="31">
        <v>0</v>
      </c>
      <c r="EX68" s="31">
        <v>0</v>
      </c>
      <c r="EY68" s="31">
        <v>0</v>
      </c>
      <c r="EZ68" s="31">
        <v>0</v>
      </c>
      <c r="FA68" s="31">
        <v>0</v>
      </c>
      <c r="FB68" s="31">
        <v>0</v>
      </c>
      <c r="FC68" s="31">
        <v>0</v>
      </c>
      <c r="FD68" s="31">
        <v>0</v>
      </c>
      <c r="FE68" s="31">
        <v>0</v>
      </c>
      <c r="FF68" s="31">
        <v>0</v>
      </c>
      <c r="FG68" s="31">
        <v>0</v>
      </c>
      <c r="FH68" s="31">
        <v>0</v>
      </c>
      <c r="FI68" s="31">
        <v>0</v>
      </c>
      <c r="FJ68" s="31">
        <v>0</v>
      </c>
      <c r="FK68" s="6">
        <v>0</v>
      </c>
      <c r="FL68" s="32">
        <v>0</v>
      </c>
      <c r="FM68" s="32">
        <v>0</v>
      </c>
      <c r="FN68" s="32">
        <v>0</v>
      </c>
    </row>
    <row r="69" spans="1:171">
      <c r="A69" s="51" t="s">
        <v>671</v>
      </c>
      <c r="B69" s="51"/>
      <c r="C69" s="51" t="s">
        <v>202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X69" s="52">
        <v>0</v>
      </c>
      <c r="Y69" s="52">
        <v>0</v>
      </c>
      <c r="Z69" s="52">
        <v>0</v>
      </c>
      <c r="AA69" s="52">
        <v>0</v>
      </c>
      <c r="AB69" s="52">
        <v>0</v>
      </c>
      <c r="AC69" s="52">
        <v>0</v>
      </c>
      <c r="AD69" s="52">
        <v>0</v>
      </c>
      <c r="AE69" s="52">
        <v>0</v>
      </c>
      <c r="AF69" s="52">
        <v>0</v>
      </c>
      <c r="AG69" s="52">
        <v>0</v>
      </c>
      <c r="AH69" s="52">
        <v>0</v>
      </c>
      <c r="AI69" s="52">
        <v>0</v>
      </c>
      <c r="AJ69" s="52">
        <v>0</v>
      </c>
      <c r="AK69" s="52">
        <v>0</v>
      </c>
      <c r="AL69" s="52">
        <v>0</v>
      </c>
      <c r="AM69" s="52">
        <v>0</v>
      </c>
      <c r="AN69" s="52">
        <v>0</v>
      </c>
      <c r="AO69" s="52">
        <v>0</v>
      </c>
      <c r="AP69" s="52">
        <v>0</v>
      </c>
      <c r="AQ69" s="52">
        <v>0</v>
      </c>
      <c r="AR69" s="52">
        <v>0</v>
      </c>
      <c r="AS69" s="52">
        <v>0</v>
      </c>
      <c r="AT69" s="52">
        <v>0</v>
      </c>
      <c r="AU69" s="52">
        <v>0</v>
      </c>
      <c r="AV69" s="52">
        <v>0</v>
      </c>
      <c r="AW69" s="52">
        <v>0</v>
      </c>
      <c r="AX69" s="52">
        <v>0</v>
      </c>
      <c r="AY69" s="52">
        <v>0</v>
      </c>
      <c r="AZ69" s="52">
        <v>0</v>
      </c>
      <c r="BA69" s="52">
        <v>0</v>
      </c>
      <c r="BB69" s="52">
        <v>0</v>
      </c>
      <c r="BC69" s="52">
        <v>0</v>
      </c>
      <c r="BD69" s="52">
        <v>0</v>
      </c>
      <c r="BE69" s="52">
        <v>0</v>
      </c>
      <c r="BF69" s="52">
        <v>0</v>
      </c>
      <c r="BG69" s="52">
        <v>0</v>
      </c>
      <c r="BH69" s="52">
        <v>0</v>
      </c>
      <c r="BI69" s="52">
        <v>0</v>
      </c>
      <c r="BJ69" s="52">
        <v>0</v>
      </c>
      <c r="BK69" s="52">
        <v>0</v>
      </c>
      <c r="BL69" s="52">
        <v>0</v>
      </c>
      <c r="BM69" s="52">
        <v>0</v>
      </c>
      <c r="BN69" s="52">
        <v>0</v>
      </c>
      <c r="BO69" s="52">
        <v>0</v>
      </c>
      <c r="BP69" s="52">
        <v>0</v>
      </c>
      <c r="BQ69" s="52">
        <v>0</v>
      </c>
      <c r="BR69" s="52">
        <v>0</v>
      </c>
      <c r="BS69" s="52">
        <v>0</v>
      </c>
      <c r="BT69" s="52">
        <v>0</v>
      </c>
      <c r="BU69" s="52">
        <v>0</v>
      </c>
      <c r="BV69" s="52">
        <v>0</v>
      </c>
      <c r="BW69" s="52">
        <v>0</v>
      </c>
      <c r="BX69" s="52">
        <v>0</v>
      </c>
      <c r="BY69" s="52">
        <v>0</v>
      </c>
      <c r="BZ69" s="52">
        <v>0</v>
      </c>
      <c r="CA69" s="52">
        <v>0</v>
      </c>
      <c r="CB69" s="52">
        <v>0</v>
      </c>
      <c r="CC69" s="52">
        <v>0</v>
      </c>
      <c r="CD69" s="52">
        <v>0</v>
      </c>
      <c r="CE69" s="52">
        <v>0</v>
      </c>
      <c r="CF69" s="52">
        <v>0</v>
      </c>
      <c r="CG69" s="52">
        <v>0</v>
      </c>
      <c r="CH69" s="52">
        <v>0</v>
      </c>
      <c r="CI69" s="52">
        <v>0</v>
      </c>
      <c r="CJ69" s="52">
        <v>0</v>
      </c>
      <c r="CK69" s="52">
        <v>0</v>
      </c>
      <c r="CL69" s="52">
        <v>0</v>
      </c>
      <c r="CM69" s="52">
        <v>0</v>
      </c>
      <c r="CN69" s="52">
        <v>0</v>
      </c>
      <c r="CO69" s="52">
        <v>0</v>
      </c>
      <c r="CP69" s="52">
        <v>0</v>
      </c>
      <c r="CQ69" s="52">
        <v>0</v>
      </c>
      <c r="CR69" s="52">
        <v>0</v>
      </c>
      <c r="CS69" s="52">
        <v>0</v>
      </c>
      <c r="CT69" s="52">
        <v>0</v>
      </c>
      <c r="CU69" s="52">
        <v>0</v>
      </c>
      <c r="CV69" s="52">
        <v>0</v>
      </c>
      <c r="CW69" s="52">
        <v>0</v>
      </c>
      <c r="CX69" s="52">
        <v>0</v>
      </c>
      <c r="CY69" s="52">
        <v>0</v>
      </c>
      <c r="CZ69" s="52">
        <v>0</v>
      </c>
      <c r="DA69" s="52">
        <v>0</v>
      </c>
      <c r="DB69" s="52">
        <v>0</v>
      </c>
      <c r="DC69" s="52">
        <v>0</v>
      </c>
      <c r="DD69" s="52">
        <v>0</v>
      </c>
      <c r="DE69" s="52">
        <v>0</v>
      </c>
      <c r="DF69" s="52">
        <v>0</v>
      </c>
      <c r="DG69" s="52">
        <v>0</v>
      </c>
      <c r="DH69" s="52">
        <v>0</v>
      </c>
      <c r="DI69" s="52">
        <v>0</v>
      </c>
      <c r="DJ69" s="52">
        <v>0</v>
      </c>
      <c r="DK69" s="52">
        <v>0</v>
      </c>
      <c r="DL69" s="52">
        <v>0</v>
      </c>
      <c r="DM69" s="52">
        <v>0</v>
      </c>
      <c r="DN69" s="52">
        <v>0</v>
      </c>
      <c r="DO69" s="52">
        <v>0</v>
      </c>
      <c r="DP69" s="52">
        <v>0</v>
      </c>
      <c r="DQ69" s="52">
        <v>0</v>
      </c>
      <c r="DR69" s="52">
        <v>0</v>
      </c>
      <c r="DS69" s="52">
        <v>0</v>
      </c>
      <c r="DT69" s="52">
        <v>0</v>
      </c>
      <c r="DU69" s="52">
        <v>0</v>
      </c>
      <c r="DV69" s="52">
        <v>0</v>
      </c>
      <c r="DW69" s="52">
        <v>0</v>
      </c>
      <c r="DX69" s="52">
        <v>0</v>
      </c>
      <c r="DY69" s="52">
        <v>0</v>
      </c>
      <c r="DZ69" s="52">
        <v>0</v>
      </c>
      <c r="EA69" s="52">
        <v>0</v>
      </c>
      <c r="EB69" s="52">
        <v>0</v>
      </c>
      <c r="EC69" s="52">
        <v>0</v>
      </c>
      <c r="ED69" s="52">
        <v>0</v>
      </c>
      <c r="EE69" s="52">
        <v>0</v>
      </c>
      <c r="EF69" s="52">
        <v>0</v>
      </c>
      <c r="EG69" s="52">
        <v>0</v>
      </c>
      <c r="EH69" s="52">
        <v>0</v>
      </c>
      <c r="EI69" s="52">
        <v>0</v>
      </c>
      <c r="EJ69" s="52">
        <v>0</v>
      </c>
      <c r="EK69" s="52">
        <v>0</v>
      </c>
      <c r="EL69" s="52">
        <v>0</v>
      </c>
      <c r="EM69" s="52">
        <v>0</v>
      </c>
      <c r="EN69" s="52">
        <v>0</v>
      </c>
      <c r="EO69" s="52">
        <v>0</v>
      </c>
      <c r="EP69" s="52">
        <v>0</v>
      </c>
      <c r="EQ69" s="52">
        <v>0</v>
      </c>
      <c r="ER69" s="52">
        <v>0</v>
      </c>
      <c r="ES69" s="52">
        <v>0</v>
      </c>
      <c r="ET69" s="52">
        <v>0</v>
      </c>
      <c r="EU69" s="52">
        <v>0</v>
      </c>
      <c r="EV69" s="52">
        <v>0</v>
      </c>
      <c r="EW69" s="52">
        <v>0</v>
      </c>
      <c r="EX69" s="52">
        <v>0</v>
      </c>
      <c r="EY69" s="52">
        <v>0</v>
      </c>
      <c r="EZ69" s="52">
        <v>0</v>
      </c>
      <c r="FA69" s="52">
        <v>0</v>
      </c>
      <c r="FB69" s="52">
        <v>0</v>
      </c>
      <c r="FC69" s="52">
        <v>0</v>
      </c>
      <c r="FD69" s="52">
        <v>0</v>
      </c>
      <c r="FE69" s="52">
        <v>0</v>
      </c>
      <c r="FF69" s="52">
        <v>0</v>
      </c>
      <c r="FG69" s="52">
        <v>0</v>
      </c>
      <c r="FH69" s="52">
        <v>0</v>
      </c>
      <c r="FI69" s="52">
        <v>0</v>
      </c>
      <c r="FJ69" s="52">
        <v>0</v>
      </c>
      <c r="FK69" s="6">
        <v>0</v>
      </c>
      <c r="FL69" s="58">
        <v>0</v>
      </c>
      <c r="FM69" s="58">
        <v>0</v>
      </c>
      <c r="FN69" s="58">
        <v>0</v>
      </c>
    </row>
    <row r="70" spans="1:171">
      <c r="A70" t="s">
        <v>180</v>
      </c>
      <c r="B70" s="6" t="s">
        <v>642</v>
      </c>
      <c r="C70" t="s">
        <v>119</v>
      </c>
      <c r="D70" s="45">
        <v>0.03</v>
      </c>
      <c r="E70" s="45">
        <v>0.03</v>
      </c>
      <c r="F70" s="45">
        <v>0.03</v>
      </c>
      <c r="G70" s="45">
        <v>0.03</v>
      </c>
      <c r="H70" s="45">
        <v>0.03</v>
      </c>
      <c r="I70" s="45">
        <v>0.03</v>
      </c>
      <c r="J70" s="45">
        <v>0.03</v>
      </c>
      <c r="K70" s="45">
        <v>0.03</v>
      </c>
      <c r="L70" s="45">
        <v>0.03</v>
      </c>
      <c r="M70" s="45">
        <v>0.03</v>
      </c>
      <c r="N70" s="45">
        <v>0.03</v>
      </c>
      <c r="O70" s="45">
        <v>0.03</v>
      </c>
      <c r="P70" s="45">
        <v>0.03</v>
      </c>
      <c r="Q70" s="45">
        <v>0.03</v>
      </c>
      <c r="R70" s="45">
        <v>0.03</v>
      </c>
      <c r="S70" s="45">
        <v>0.03</v>
      </c>
      <c r="T70" s="45">
        <v>0.03</v>
      </c>
      <c r="U70" s="45">
        <v>0.03</v>
      </c>
      <c r="V70" s="45">
        <v>0.03</v>
      </c>
      <c r="W70" s="45">
        <v>0.03</v>
      </c>
      <c r="X70" s="45">
        <v>0.03</v>
      </c>
      <c r="Y70" s="45">
        <v>0.03</v>
      </c>
      <c r="Z70" s="45">
        <v>0.03</v>
      </c>
      <c r="AA70" s="45">
        <v>0.03</v>
      </c>
      <c r="AB70" s="45">
        <v>0.03</v>
      </c>
      <c r="AC70" s="45">
        <v>0.03</v>
      </c>
      <c r="AD70" s="45">
        <v>0.03</v>
      </c>
      <c r="AE70" s="45">
        <v>0.03</v>
      </c>
      <c r="AF70" s="45">
        <v>0.03</v>
      </c>
      <c r="AG70" s="45">
        <v>0.03</v>
      </c>
      <c r="AH70" s="45">
        <v>0.03</v>
      </c>
      <c r="AI70" s="45">
        <v>0.03</v>
      </c>
      <c r="AJ70" s="45">
        <v>0.03</v>
      </c>
      <c r="AK70" s="45">
        <v>0.03</v>
      </c>
      <c r="AL70" s="45">
        <v>0.03</v>
      </c>
      <c r="AM70" s="45">
        <v>0.03</v>
      </c>
      <c r="AN70" s="45">
        <v>0.03</v>
      </c>
      <c r="AO70" s="45">
        <v>0.03</v>
      </c>
      <c r="AP70" s="45">
        <v>0.03</v>
      </c>
      <c r="AQ70" s="45">
        <v>0.03</v>
      </c>
      <c r="AR70" s="45">
        <v>0.03</v>
      </c>
      <c r="AS70" s="45">
        <v>0.03</v>
      </c>
      <c r="AT70" s="45">
        <v>0.03</v>
      </c>
      <c r="AU70" s="45">
        <v>0.03</v>
      </c>
      <c r="AV70" s="45">
        <v>0.03</v>
      </c>
      <c r="AW70" s="45">
        <v>0.03</v>
      </c>
      <c r="AX70" s="45">
        <v>0.03</v>
      </c>
      <c r="AY70" s="45">
        <v>0.03</v>
      </c>
      <c r="AZ70" s="45">
        <v>0.03</v>
      </c>
      <c r="BA70" s="45">
        <v>0.03</v>
      </c>
      <c r="BB70" s="45">
        <v>0.03</v>
      </c>
      <c r="BC70" s="45">
        <v>0.03</v>
      </c>
      <c r="BD70" s="45">
        <v>0.03</v>
      </c>
      <c r="BE70" s="45">
        <v>0.03</v>
      </c>
      <c r="BF70" s="45">
        <v>0.03</v>
      </c>
      <c r="BG70" s="45">
        <v>0.03</v>
      </c>
      <c r="BH70" s="45">
        <v>0.03</v>
      </c>
      <c r="BI70" s="45">
        <v>0.03</v>
      </c>
      <c r="BJ70" s="45">
        <v>0.03</v>
      </c>
      <c r="BK70" s="45">
        <v>0.03</v>
      </c>
      <c r="BL70" s="45">
        <v>0.03</v>
      </c>
      <c r="BM70" s="45">
        <v>0.03</v>
      </c>
      <c r="BN70" s="45">
        <v>0.03</v>
      </c>
      <c r="BO70" s="45">
        <v>0.03</v>
      </c>
      <c r="BP70" s="45">
        <v>0.03</v>
      </c>
      <c r="BQ70" s="45">
        <v>0.03</v>
      </c>
      <c r="BR70" s="45">
        <v>0.03</v>
      </c>
      <c r="BS70" s="45">
        <v>0.03</v>
      </c>
      <c r="BT70" s="45">
        <v>0.03</v>
      </c>
      <c r="BU70" s="45">
        <v>0.03</v>
      </c>
      <c r="BV70" s="45">
        <v>0.03</v>
      </c>
      <c r="BW70" s="45">
        <v>0.03</v>
      </c>
      <c r="BX70" s="45">
        <v>0.03</v>
      </c>
      <c r="BY70" s="45">
        <v>0.03</v>
      </c>
      <c r="BZ70" s="45">
        <v>0.03</v>
      </c>
      <c r="CA70" s="45">
        <v>0.03</v>
      </c>
      <c r="CB70" s="45">
        <v>0.03</v>
      </c>
      <c r="CC70" s="45">
        <v>0.03</v>
      </c>
      <c r="CD70" s="45">
        <v>0.03</v>
      </c>
      <c r="CE70" s="45">
        <v>0.03</v>
      </c>
      <c r="CF70" s="45">
        <v>0.03</v>
      </c>
      <c r="CG70" s="45">
        <v>0.03</v>
      </c>
      <c r="CH70" s="45">
        <v>0.03</v>
      </c>
      <c r="CI70" s="45">
        <v>0.03</v>
      </c>
      <c r="CJ70" s="45">
        <v>0.03</v>
      </c>
      <c r="CK70" s="45">
        <v>0.03</v>
      </c>
      <c r="CL70" s="45">
        <v>0.03</v>
      </c>
      <c r="CM70" s="45">
        <v>0.03</v>
      </c>
      <c r="CN70" s="45">
        <v>0.03</v>
      </c>
      <c r="CO70" s="45">
        <v>0.03</v>
      </c>
      <c r="CP70" s="45">
        <v>0.03</v>
      </c>
      <c r="CQ70" s="45">
        <v>0.03</v>
      </c>
      <c r="CR70" s="45">
        <v>0.03</v>
      </c>
      <c r="CS70" s="45">
        <v>0.03</v>
      </c>
      <c r="CT70" s="45">
        <v>0.03</v>
      </c>
      <c r="CU70" s="45">
        <v>0.03</v>
      </c>
      <c r="CV70" s="45">
        <v>0.03</v>
      </c>
      <c r="CW70" s="45">
        <v>0.03</v>
      </c>
      <c r="CX70" s="45">
        <v>0.03</v>
      </c>
      <c r="CY70" s="45">
        <v>0.03</v>
      </c>
      <c r="CZ70" s="45">
        <v>0.03</v>
      </c>
      <c r="DA70" s="45">
        <v>0.03</v>
      </c>
      <c r="DB70" s="45">
        <v>0.03</v>
      </c>
      <c r="DC70" s="45">
        <v>0.03</v>
      </c>
      <c r="DD70" s="45">
        <v>0.03</v>
      </c>
      <c r="DE70" s="45">
        <v>0.03</v>
      </c>
      <c r="DF70" s="45">
        <v>0.03</v>
      </c>
      <c r="DG70" s="45">
        <v>0.03</v>
      </c>
      <c r="DH70" s="45">
        <v>0.03</v>
      </c>
      <c r="DI70" s="45">
        <v>0.03</v>
      </c>
      <c r="DJ70" s="45">
        <v>0.03</v>
      </c>
      <c r="DK70" s="45">
        <v>0.03</v>
      </c>
      <c r="DL70" s="45">
        <v>0.03</v>
      </c>
      <c r="DM70" s="45">
        <v>0.03</v>
      </c>
      <c r="DN70" s="45">
        <v>0.03</v>
      </c>
      <c r="DO70" s="45">
        <v>0.03</v>
      </c>
      <c r="DP70" s="45">
        <v>0.03</v>
      </c>
      <c r="DQ70" s="45">
        <v>0.03</v>
      </c>
      <c r="DR70" s="45">
        <v>0.03</v>
      </c>
      <c r="DS70" s="45">
        <v>0.03</v>
      </c>
      <c r="DT70" s="45">
        <v>0.03</v>
      </c>
      <c r="DU70" s="45">
        <v>0.03</v>
      </c>
      <c r="DV70" s="45">
        <v>0.03</v>
      </c>
      <c r="DW70" s="45">
        <v>0.03</v>
      </c>
      <c r="DX70" s="45">
        <v>0.03</v>
      </c>
      <c r="DY70" s="45">
        <v>0.03</v>
      </c>
      <c r="DZ70" s="45">
        <v>0.03</v>
      </c>
      <c r="EA70" s="45">
        <v>0.03</v>
      </c>
      <c r="EB70" s="45">
        <v>0.03</v>
      </c>
      <c r="EC70" s="45">
        <v>0.03</v>
      </c>
      <c r="ED70" s="45">
        <v>0.03</v>
      </c>
      <c r="EE70" s="45">
        <v>0.03</v>
      </c>
      <c r="EF70" s="45">
        <v>0.03</v>
      </c>
      <c r="EG70" s="45">
        <v>0.03</v>
      </c>
      <c r="EH70" s="45">
        <v>0.03</v>
      </c>
      <c r="EI70" s="45">
        <v>0.03</v>
      </c>
      <c r="EJ70" s="45">
        <v>0.03</v>
      </c>
      <c r="EK70" s="45">
        <v>0.03</v>
      </c>
      <c r="EL70" s="45">
        <v>0.03</v>
      </c>
      <c r="EM70" s="45">
        <v>0.03</v>
      </c>
      <c r="EN70" s="45">
        <v>0.03</v>
      </c>
      <c r="EO70" s="45">
        <v>0.03</v>
      </c>
      <c r="EP70" s="45">
        <v>0.03</v>
      </c>
      <c r="EQ70" s="45">
        <v>0.03</v>
      </c>
      <c r="ER70" s="45">
        <v>0.03</v>
      </c>
      <c r="ES70" s="45">
        <v>0.03</v>
      </c>
      <c r="ET70" s="45">
        <v>0.03</v>
      </c>
      <c r="EU70" s="45">
        <v>0.03</v>
      </c>
      <c r="EV70" s="45">
        <v>0.03</v>
      </c>
      <c r="EW70" s="45">
        <v>0.03</v>
      </c>
      <c r="EX70" s="45">
        <v>0.03</v>
      </c>
      <c r="EY70" s="45">
        <v>0.03</v>
      </c>
      <c r="EZ70" s="45">
        <v>0.03</v>
      </c>
      <c r="FA70" s="45">
        <v>0.03</v>
      </c>
      <c r="FB70" s="45">
        <v>0.03</v>
      </c>
      <c r="FC70" s="45">
        <v>0.03</v>
      </c>
      <c r="FD70" s="45">
        <v>0.03</v>
      </c>
      <c r="FE70" s="45">
        <v>0.03</v>
      </c>
      <c r="FF70" s="45">
        <v>0.03</v>
      </c>
      <c r="FG70" s="45">
        <v>0.03</v>
      </c>
      <c r="FH70" s="45">
        <v>0.03</v>
      </c>
      <c r="FI70" s="45">
        <v>0.03</v>
      </c>
      <c r="FJ70" s="45">
        <v>0.03</v>
      </c>
    </row>
    <row r="71" spans="1:171">
      <c r="B71" s="6" t="s">
        <v>80</v>
      </c>
      <c r="C71" t="s">
        <v>119</v>
      </c>
      <c r="D71" s="45">
        <v>0.05</v>
      </c>
      <c r="E71" s="45">
        <v>0.05</v>
      </c>
      <c r="F71" s="45">
        <v>0.05</v>
      </c>
      <c r="G71" s="45">
        <v>0.05</v>
      </c>
      <c r="H71" s="45">
        <v>0.05</v>
      </c>
      <c r="I71" s="45">
        <v>0.05</v>
      </c>
      <c r="J71" s="45">
        <v>0.05</v>
      </c>
      <c r="K71" s="45">
        <v>0.05</v>
      </c>
      <c r="L71" s="45">
        <v>0.05</v>
      </c>
      <c r="M71" s="45">
        <v>0.05</v>
      </c>
      <c r="N71" s="45">
        <v>0.05</v>
      </c>
      <c r="O71" s="45">
        <v>0.05</v>
      </c>
      <c r="P71" s="45">
        <v>0.05</v>
      </c>
      <c r="Q71" s="45">
        <v>0.05</v>
      </c>
      <c r="R71" s="45">
        <v>0.05</v>
      </c>
      <c r="S71" s="45">
        <v>0.05</v>
      </c>
      <c r="T71" s="45">
        <v>0.05</v>
      </c>
      <c r="U71" s="45">
        <v>0.05</v>
      </c>
      <c r="V71" s="45">
        <v>0.05</v>
      </c>
      <c r="W71" s="45">
        <v>0.05</v>
      </c>
      <c r="X71" s="45">
        <v>0.05</v>
      </c>
      <c r="Y71" s="45">
        <v>0.05</v>
      </c>
      <c r="Z71" s="45">
        <v>0.05</v>
      </c>
      <c r="AA71" s="45">
        <v>0.05</v>
      </c>
      <c r="AB71" s="45">
        <v>0.05</v>
      </c>
      <c r="AC71" s="45">
        <v>0.05</v>
      </c>
      <c r="AD71" s="45">
        <v>0.05</v>
      </c>
      <c r="AE71" s="45">
        <v>0.05</v>
      </c>
      <c r="AF71" s="45">
        <v>0.05</v>
      </c>
      <c r="AG71" s="45">
        <v>0.05</v>
      </c>
      <c r="AH71" s="45">
        <v>0.05</v>
      </c>
      <c r="AI71" s="45">
        <v>0.05</v>
      </c>
      <c r="AJ71" s="45">
        <v>0.05</v>
      </c>
      <c r="AK71" s="45">
        <v>0.05</v>
      </c>
      <c r="AL71" s="45">
        <v>0.05</v>
      </c>
      <c r="AM71" s="45">
        <v>0.05</v>
      </c>
      <c r="AN71" s="45">
        <v>0.05</v>
      </c>
      <c r="AO71" s="45">
        <v>0.05</v>
      </c>
      <c r="AP71" s="45">
        <v>0.05</v>
      </c>
      <c r="AQ71" s="45">
        <v>0.05</v>
      </c>
      <c r="AR71" s="45">
        <v>0.05</v>
      </c>
      <c r="AS71" s="45">
        <v>0.05</v>
      </c>
      <c r="AT71" s="45">
        <v>0.05</v>
      </c>
      <c r="AU71" s="45">
        <v>0.05</v>
      </c>
      <c r="AV71" s="45">
        <v>0.05</v>
      </c>
      <c r="AW71" s="45">
        <v>0.05</v>
      </c>
      <c r="AX71" s="45">
        <v>0.05</v>
      </c>
      <c r="AY71" s="45">
        <v>0.05</v>
      </c>
      <c r="AZ71" s="45">
        <v>0.05</v>
      </c>
      <c r="BA71" s="45">
        <v>0.05</v>
      </c>
      <c r="BB71" s="45">
        <v>0.05</v>
      </c>
      <c r="BC71" s="45">
        <v>0.05</v>
      </c>
      <c r="BD71" s="45">
        <v>0.05</v>
      </c>
      <c r="BE71" s="45">
        <v>0.05</v>
      </c>
      <c r="BF71" s="45">
        <v>0.05</v>
      </c>
      <c r="BG71" s="45">
        <v>0.05</v>
      </c>
      <c r="BH71" s="45">
        <v>0.05</v>
      </c>
      <c r="BI71" s="45">
        <v>0.05</v>
      </c>
      <c r="BJ71" s="45">
        <v>0.05</v>
      </c>
      <c r="BK71" s="45">
        <v>0.05</v>
      </c>
      <c r="BL71" s="45">
        <v>0.05</v>
      </c>
      <c r="BM71" s="45">
        <v>0.05</v>
      </c>
      <c r="BN71" s="45">
        <v>0.05</v>
      </c>
      <c r="BO71" s="45">
        <v>0.05</v>
      </c>
      <c r="BP71" s="45">
        <v>0.05</v>
      </c>
      <c r="BQ71" s="45">
        <v>0.05</v>
      </c>
      <c r="BR71" s="45">
        <v>0.05</v>
      </c>
      <c r="BS71" s="45">
        <v>0.05</v>
      </c>
      <c r="BT71" s="45">
        <v>0.05</v>
      </c>
      <c r="BU71" s="45">
        <v>0.05</v>
      </c>
      <c r="BV71" s="45">
        <v>0.05</v>
      </c>
      <c r="BW71" s="45">
        <v>0.05</v>
      </c>
      <c r="BX71" s="45">
        <v>0.05</v>
      </c>
      <c r="BY71" s="45">
        <v>0.05</v>
      </c>
      <c r="BZ71" s="45">
        <v>0.05</v>
      </c>
      <c r="CA71" s="45">
        <v>0.05</v>
      </c>
      <c r="CB71" s="45">
        <v>0.05</v>
      </c>
      <c r="CC71" s="45">
        <v>0.05</v>
      </c>
      <c r="CD71" s="45">
        <v>0.05</v>
      </c>
      <c r="CE71" s="45">
        <v>0.05</v>
      </c>
      <c r="CF71" s="45">
        <v>0.05</v>
      </c>
      <c r="CG71" s="45">
        <v>0.05</v>
      </c>
      <c r="CH71" s="45">
        <v>0.05</v>
      </c>
      <c r="CI71" s="45">
        <v>0.05</v>
      </c>
      <c r="CJ71" s="45">
        <v>0.05</v>
      </c>
      <c r="CK71" s="45">
        <v>0.05</v>
      </c>
      <c r="CL71" s="45">
        <v>0.05</v>
      </c>
      <c r="CM71" s="45">
        <v>0.05</v>
      </c>
      <c r="CN71" s="45">
        <v>0.05</v>
      </c>
      <c r="CO71" s="45">
        <v>0.05</v>
      </c>
      <c r="CP71" s="45">
        <v>0.05</v>
      </c>
      <c r="CQ71" s="45">
        <v>0.05</v>
      </c>
      <c r="CR71" s="45">
        <v>0.05</v>
      </c>
      <c r="CS71" s="45">
        <v>0.05</v>
      </c>
      <c r="CT71" s="45">
        <v>0.05</v>
      </c>
      <c r="CU71" s="45">
        <v>0.05</v>
      </c>
      <c r="CV71" s="45">
        <v>0.05</v>
      </c>
      <c r="CW71" s="45">
        <v>0.05</v>
      </c>
      <c r="CX71" s="45">
        <v>0.05</v>
      </c>
      <c r="CY71" s="45">
        <v>0.05</v>
      </c>
      <c r="CZ71" s="45">
        <v>0.05</v>
      </c>
      <c r="DA71" s="45">
        <v>0.05</v>
      </c>
      <c r="DB71" s="45">
        <v>0.05</v>
      </c>
      <c r="DC71" s="45">
        <v>0.05</v>
      </c>
      <c r="DD71" s="45">
        <v>0.05</v>
      </c>
      <c r="DE71" s="45">
        <v>0.05</v>
      </c>
      <c r="DF71" s="45">
        <v>0.05</v>
      </c>
      <c r="DG71" s="45">
        <v>0.05</v>
      </c>
      <c r="DH71" s="45">
        <v>0.05</v>
      </c>
      <c r="DI71" s="45">
        <v>0.05</v>
      </c>
      <c r="DJ71" s="45">
        <v>0.05</v>
      </c>
      <c r="DK71" s="45">
        <v>0.05</v>
      </c>
      <c r="DL71" s="45">
        <v>0.05</v>
      </c>
      <c r="DM71" s="45">
        <v>0.05</v>
      </c>
      <c r="DN71" s="45">
        <v>0.05</v>
      </c>
      <c r="DO71" s="45">
        <v>0.05</v>
      </c>
      <c r="DP71" s="45">
        <v>0.05</v>
      </c>
      <c r="DQ71" s="45">
        <v>0.05</v>
      </c>
      <c r="DR71" s="45">
        <v>0.05</v>
      </c>
      <c r="DS71" s="45">
        <v>0.05</v>
      </c>
      <c r="DT71" s="45">
        <v>0.05</v>
      </c>
      <c r="DU71" s="45">
        <v>0.05</v>
      </c>
      <c r="DV71" s="45">
        <v>0.05</v>
      </c>
      <c r="DW71" s="45">
        <v>0.05</v>
      </c>
      <c r="DX71" s="45">
        <v>0.05</v>
      </c>
      <c r="DY71" s="45">
        <v>0.05</v>
      </c>
      <c r="DZ71" s="45">
        <v>0.05</v>
      </c>
      <c r="EA71" s="45">
        <v>0.05</v>
      </c>
      <c r="EB71" s="45">
        <v>0.05</v>
      </c>
      <c r="EC71" s="45">
        <v>0.05</v>
      </c>
      <c r="ED71" s="45">
        <v>0.05</v>
      </c>
      <c r="EE71" s="45">
        <v>0.05</v>
      </c>
      <c r="EF71" s="45">
        <v>0.05</v>
      </c>
      <c r="EG71" s="45">
        <v>0.05</v>
      </c>
      <c r="EH71" s="45">
        <v>0.05</v>
      </c>
      <c r="EI71" s="45">
        <v>0.05</v>
      </c>
      <c r="EJ71" s="45">
        <v>0.05</v>
      </c>
      <c r="EK71" s="45">
        <v>0.05</v>
      </c>
      <c r="EL71" s="45">
        <v>0.05</v>
      </c>
      <c r="EM71" s="45">
        <v>0.05</v>
      </c>
      <c r="EN71" s="45">
        <v>0.05</v>
      </c>
      <c r="EO71" s="45">
        <v>0.05</v>
      </c>
      <c r="EP71" s="45">
        <v>0.05</v>
      </c>
      <c r="EQ71" s="45">
        <v>0.05</v>
      </c>
      <c r="ER71" s="45">
        <v>0.05</v>
      </c>
      <c r="ES71" s="45">
        <v>0.05</v>
      </c>
      <c r="ET71" s="45">
        <v>0.05</v>
      </c>
      <c r="EU71" s="45">
        <v>0.05</v>
      </c>
      <c r="EV71" s="45">
        <v>0.05</v>
      </c>
      <c r="EW71" s="45">
        <v>0.05</v>
      </c>
      <c r="EX71" s="45">
        <v>0.05</v>
      </c>
      <c r="EY71" s="45">
        <v>0.05</v>
      </c>
      <c r="EZ71" s="45">
        <v>0.05</v>
      </c>
      <c r="FA71" s="45">
        <v>0.05</v>
      </c>
      <c r="FB71" s="45">
        <v>0.05</v>
      </c>
      <c r="FC71" s="45">
        <v>0.05</v>
      </c>
      <c r="FD71" s="45">
        <v>0.05</v>
      </c>
      <c r="FE71" s="45">
        <v>0.05</v>
      </c>
      <c r="FF71" s="45">
        <v>0.05</v>
      </c>
      <c r="FG71" s="45">
        <v>0.05</v>
      </c>
      <c r="FH71" s="45">
        <v>0.05</v>
      </c>
      <c r="FI71" s="45">
        <v>0.05</v>
      </c>
      <c r="FJ71" s="45">
        <v>0.05</v>
      </c>
      <c r="FK71" s="15">
        <v>0.15</v>
      </c>
      <c r="FL71" s="15">
        <v>0.15</v>
      </c>
      <c r="FM71" s="45">
        <v>0.05</v>
      </c>
      <c r="FN71" s="45">
        <v>0.05</v>
      </c>
    </row>
    <row r="72" spans="1:171">
      <c r="B72" s="6" t="s">
        <v>643</v>
      </c>
      <c r="C72" t="s">
        <v>119</v>
      </c>
      <c r="D72" s="45">
        <v>0.1</v>
      </c>
      <c r="E72" s="45">
        <v>0.1</v>
      </c>
      <c r="F72" s="45">
        <v>0.1</v>
      </c>
      <c r="G72" s="45">
        <v>0.1</v>
      </c>
      <c r="H72" s="45">
        <v>0.1</v>
      </c>
      <c r="I72" s="45">
        <v>0.1</v>
      </c>
      <c r="J72" s="45">
        <v>0.1</v>
      </c>
      <c r="K72" s="45">
        <v>0.1</v>
      </c>
      <c r="L72" s="45">
        <v>0.1</v>
      </c>
      <c r="M72" s="45">
        <v>0.1</v>
      </c>
      <c r="N72" s="45">
        <v>0.1</v>
      </c>
      <c r="O72" s="45">
        <v>0.1</v>
      </c>
      <c r="P72" s="45">
        <v>0.1</v>
      </c>
      <c r="Q72" s="45">
        <v>0.1</v>
      </c>
      <c r="R72" s="45">
        <v>0.1</v>
      </c>
      <c r="S72" s="45">
        <v>0.1</v>
      </c>
      <c r="T72" s="45">
        <v>0.1</v>
      </c>
      <c r="U72" s="45">
        <v>0.1</v>
      </c>
      <c r="V72" s="45">
        <v>0.1</v>
      </c>
      <c r="W72" s="45">
        <v>0.1</v>
      </c>
      <c r="X72" s="45">
        <v>0.1</v>
      </c>
      <c r="Y72" s="45">
        <v>0.1</v>
      </c>
      <c r="Z72" s="45">
        <v>0.1</v>
      </c>
      <c r="AA72" s="45">
        <v>0.1</v>
      </c>
      <c r="AB72" s="45">
        <v>0.1</v>
      </c>
      <c r="AC72" s="45">
        <v>0.1</v>
      </c>
      <c r="AD72" s="45">
        <v>0.1</v>
      </c>
      <c r="AE72" s="45">
        <v>0.1</v>
      </c>
      <c r="AF72" s="45">
        <v>0.1</v>
      </c>
      <c r="AG72" s="45">
        <v>0.1</v>
      </c>
      <c r="AH72" s="45">
        <v>0.1</v>
      </c>
      <c r="AI72" s="45">
        <v>0.1</v>
      </c>
      <c r="AJ72" s="45">
        <v>0.1</v>
      </c>
      <c r="AK72" s="45">
        <v>0.1</v>
      </c>
      <c r="AL72" s="45">
        <v>0.1</v>
      </c>
      <c r="AM72" s="45">
        <v>0.1</v>
      </c>
      <c r="AN72" s="45">
        <v>0.1</v>
      </c>
      <c r="AO72" s="45">
        <v>0.1</v>
      </c>
      <c r="AP72" s="45">
        <v>0.1</v>
      </c>
      <c r="AQ72" s="45">
        <v>0.1</v>
      </c>
      <c r="AR72" s="45">
        <v>0.1</v>
      </c>
      <c r="AS72" s="45">
        <v>0.1</v>
      </c>
      <c r="AT72" s="45">
        <v>0.1</v>
      </c>
      <c r="AU72" s="45">
        <v>0.1</v>
      </c>
      <c r="AV72" s="45">
        <v>0.1</v>
      </c>
      <c r="AW72" s="45">
        <v>0.1</v>
      </c>
      <c r="AX72" s="45">
        <v>0.1</v>
      </c>
      <c r="AY72" s="45">
        <v>0.1</v>
      </c>
      <c r="AZ72" s="45">
        <v>0.1</v>
      </c>
      <c r="BA72" s="45">
        <v>0.1</v>
      </c>
      <c r="BB72" s="45">
        <v>0.1</v>
      </c>
      <c r="BC72" s="45">
        <v>0.1</v>
      </c>
      <c r="BD72" s="45">
        <v>0.1</v>
      </c>
      <c r="BE72" s="45">
        <v>0.1</v>
      </c>
      <c r="BF72" s="45">
        <v>0.1</v>
      </c>
      <c r="BG72" s="45">
        <v>0.1</v>
      </c>
      <c r="BH72" s="45">
        <v>0.1</v>
      </c>
      <c r="BI72" s="45">
        <v>0.1</v>
      </c>
      <c r="BJ72" s="45">
        <v>0.1</v>
      </c>
      <c r="BK72" s="45">
        <v>0.1</v>
      </c>
      <c r="BL72" s="45">
        <v>0.1</v>
      </c>
      <c r="BM72" s="45">
        <v>0.1</v>
      </c>
      <c r="BN72" s="45">
        <v>0.1</v>
      </c>
      <c r="BO72" s="45">
        <v>0.1</v>
      </c>
      <c r="BP72" s="45">
        <v>0.1</v>
      </c>
      <c r="BQ72" s="45">
        <v>0.1</v>
      </c>
      <c r="BR72" s="45">
        <v>0.1</v>
      </c>
      <c r="BS72" s="45">
        <v>0.1</v>
      </c>
      <c r="BT72" s="45">
        <v>0.1</v>
      </c>
      <c r="BU72" s="45">
        <v>0.1</v>
      </c>
      <c r="BV72" s="45">
        <v>0.1</v>
      </c>
      <c r="BW72" s="45">
        <v>0.1</v>
      </c>
      <c r="BX72" s="45">
        <v>0.1</v>
      </c>
      <c r="BY72" s="45">
        <v>0.1</v>
      </c>
      <c r="BZ72" s="45">
        <v>0.1</v>
      </c>
      <c r="CA72" s="45">
        <v>0.1</v>
      </c>
      <c r="CB72" s="45">
        <v>0.1</v>
      </c>
      <c r="CC72" s="45">
        <v>0.1</v>
      </c>
      <c r="CD72" s="45">
        <v>0.1</v>
      </c>
      <c r="CE72" s="45">
        <v>0.1</v>
      </c>
      <c r="CF72" s="45">
        <v>0.1</v>
      </c>
      <c r="CG72" s="45">
        <v>0.1</v>
      </c>
      <c r="CH72" s="45">
        <v>0.1</v>
      </c>
      <c r="CI72" s="45">
        <v>0.1</v>
      </c>
      <c r="CJ72" s="45">
        <v>0.1</v>
      </c>
      <c r="CK72" s="45">
        <v>0.1</v>
      </c>
      <c r="CL72" s="45">
        <v>0.1</v>
      </c>
      <c r="CM72" s="45">
        <v>0.1</v>
      </c>
      <c r="CN72" s="45">
        <v>0.1</v>
      </c>
      <c r="CO72" s="45">
        <v>0.1</v>
      </c>
      <c r="CP72" s="45">
        <v>0.1</v>
      </c>
      <c r="CQ72" s="45">
        <v>0.1</v>
      </c>
      <c r="CR72" s="45">
        <v>0.1</v>
      </c>
      <c r="CS72" s="45">
        <v>0.1</v>
      </c>
      <c r="CT72" s="45">
        <v>0.1</v>
      </c>
      <c r="CU72" s="45">
        <v>0.1</v>
      </c>
      <c r="CV72" s="45">
        <v>0.1</v>
      </c>
      <c r="CW72" s="45">
        <v>0.1</v>
      </c>
      <c r="CX72" s="45">
        <v>0.1</v>
      </c>
      <c r="CY72" s="45">
        <v>0.1</v>
      </c>
      <c r="CZ72" s="45">
        <v>0.1</v>
      </c>
      <c r="DA72" s="45">
        <v>0.1</v>
      </c>
      <c r="DB72" s="45">
        <v>0.1</v>
      </c>
      <c r="DC72" s="45">
        <v>0.1</v>
      </c>
      <c r="DD72" s="45">
        <v>0.1</v>
      </c>
      <c r="DE72" s="45">
        <v>0.1</v>
      </c>
      <c r="DF72" s="45">
        <v>0.1</v>
      </c>
      <c r="DG72" s="45">
        <v>0.1</v>
      </c>
      <c r="DH72" s="45">
        <v>0.1</v>
      </c>
      <c r="DI72" s="45">
        <v>0.1</v>
      </c>
      <c r="DJ72" s="45">
        <v>0.1</v>
      </c>
      <c r="DK72" s="45">
        <v>0.1</v>
      </c>
      <c r="DL72" s="45">
        <v>0.1</v>
      </c>
      <c r="DM72" s="45">
        <v>0.1</v>
      </c>
      <c r="DN72" s="45">
        <v>0.1</v>
      </c>
      <c r="DO72" s="45">
        <v>0.1</v>
      </c>
      <c r="DP72" s="45">
        <v>0.1</v>
      </c>
      <c r="DQ72" s="45">
        <v>0.1</v>
      </c>
      <c r="DR72" s="45">
        <v>0.1</v>
      </c>
      <c r="DS72" s="45">
        <v>0.1</v>
      </c>
      <c r="DT72" s="45">
        <v>0.1</v>
      </c>
      <c r="DU72" s="45">
        <v>0.1</v>
      </c>
      <c r="DV72" s="45">
        <v>0.1</v>
      </c>
      <c r="DW72" s="45">
        <v>0.1</v>
      </c>
      <c r="DX72" s="45">
        <v>0.1</v>
      </c>
      <c r="DY72" s="45">
        <v>0.1</v>
      </c>
      <c r="DZ72" s="45">
        <v>0.1</v>
      </c>
      <c r="EA72" s="45">
        <v>0.1</v>
      </c>
      <c r="EB72" s="45">
        <v>0.1</v>
      </c>
      <c r="EC72" s="45">
        <v>0.1</v>
      </c>
      <c r="ED72" s="45">
        <v>0.1</v>
      </c>
      <c r="EE72" s="45">
        <v>0.1</v>
      </c>
      <c r="EF72" s="45">
        <v>0.1</v>
      </c>
      <c r="EG72" s="45">
        <v>0.1</v>
      </c>
      <c r="EH72" s="45">
        <v>0.1</v>
      </c>
      <c r="EI72" s="45">
        <v>0.1</v>
      </c>
      <c r="EJ72" s="45">
        <v>0.1</v>
      </c>
      <c r="EK72" s="45">
        <v>0.1</v>
      </c>
      <c r="EL72" s="45">
        <v>0.1</v>
      </c>
      <c r="EM72" s="45">
        <v>0.1</v>
      </c>
      <c r="EN72" s="45">
        <v>0.1</v>
      </c>
      <c r="EO72" s="45">
        <v>0.1</v>
      </c>
      <c r="EP72" s="45">
        <v>0.1</v>
      </c>
      <c r="EQ72" s="45">
        <v>0.1</v>
      </c>
      <c r="ER72" s="45">
        <v>0.1</v>
      </c>
      <c r="ES72" s="45">
        <v>0.1</v>
      </c>
      <c r="ET72" s="45">
        <v>0.1</v>
      </c>
      <c r="EU72" s="45">
        <v>0.1</v>
      </c>
      <c r="EV72" s="45">
        <v>0.1</v>
      </c>
      <c r="EW72" s="45">
        <v>0.1</v>
      </c>
      <c r="EX72" s="45">
        <v>0.1</v>
      </c>
      <c r="EY72" s="45">
        <v>0.1</v>
      </c>
      <c r="EZ72" s="45">
        <v>0.1</v>
      </c>
      <c r="FA72" s="45">
        <v>0.1</v>
      </c>
      <c r="FB72" s="45">
        <v>0.1</v>
      </c>
      <c r="FC72" s="45">
        <v>0.1</v>
      </c>
      <c r="FD72" s="45">
        <v>0.1</v>
      </c>
      <c r="FE72" s="45">
        <v>0.1</v>
      </c>
      <c r="FF72" s="45">
        <v>0.1</v>
      </c>
      <c r="FG72" s="45">
        <v>0.1</v>
      </c>
      <c r="FH72" s="45">
        <v>0.1</v>
      </c>
      <c r="FI72" s="45">
        <v>0.1</v>
      </c>
      <c r="FJ72" s="45">
        <v>0.1</v>
      </c>
    </row>
    <row r="73" spans="1:171">
      <c r="A73" t="s">
        <v>672</v>
      </c>
      <c r="C73" t="s">
        <v>639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 s="6">
        <v>10</v>
      </c>
      <c r="FL73">
        <v>10</v>
      </c>
      <c r="FM73">
        <v>0</v>
      </c>
      <c r="FN73">
        <v>0</v>
      </c>
    </row>
    <row r="75" spans="1:171">
      <c r="A75" t="s">
        <v>673</v>
      </c>
      <c r="B75" s="10" t="s">
        <v>674</v>
      </c>
      <c r="C75" s="10" t="s">
        <v>641</v>
      </c>
      <c r="D75" s="34">
        <v>9813.5190346666659</v>
      </c>
      <c r="E75" s="34">
        <v>9674.340634666667</v>
      </c>
      <c r="F75" s="34">
        <v>9674.340634666667</v>
      </c>
      <c r="G75" s="34">
        <v>9674.340634666667</v>
      </c>
      <c r="H75" s="34">
        <v>60103.414272000009</v>
      </c>
      <c r="I75" s="34">
        <v>60103.414272000009</v>
      </c>
      <c r="J75" s="34">
        <v>60103.414272000009</v>
      </c>
      <c r="K75" s="34">
        <v>60103.414272000009</v>
      </c>
      <c r="L75" s="34">
        <v>17915.756704000003</v>
      </c>
      <c r="M75" s="34">
        <v>17915.756704000003</v>
      </c>
      <c r="N75" s="34">
        <v>17915.756704000003</v>
      </c>
      <c r="O75" s="34">
        <v>17915.756704000003</v>
      </c>
      <c r="P75" s="34">
        <v>27823.021904000001</v>
      </c>
      <c r="Q75" s="34">
        <v>27823.021904000001</v>
      </c>
      <c r="R75" s="34">
        <v>27823.021904000001</v>
      </c>
      <c r="S75" s="34">
        <v>27823.021904000001</v>
      </c>
      <c r="T75" s="34">
        <v>32400.032504643092</v>
      </c>
      <c r="U75" s="34">
        <v>32400.032504643092</v>
      </c>
      <c r="V75" s="34">
        <v>32400.032504643092</v>
      </c>
      <c r="W75" s="34">
        <v>32400.032504643092</v>
      </c>
      <c r="X75" s="34">
        <v>33686.788964869564</v>
      </c>
      <c r="Y75" s="34">
        <v>33686.788964869564</v>
      </c>
      <c r="Z75" s="34">
        <v>33686.788964869564</v>
      </c>
      <c r="AA75" s="34">
        <v>33686.788964869564</v>
      </c>
      <c r="AB75" s="34">
        <v>96579.028544000015</v>
      </c>
      <c r="AC75" s="34">
        <v>96579.028544000015</v>
      </c>
      <c r="AD75" s="34">
        <v>96579.028544000015</v>
      </c>
      <c r="AE75" s="34">
        <v>96579.028544000015</v>
      </c>
      <c r="AF75" s="34">
        <v>17915.756704000003</v>
      </c>
      <c r="AG75" s="34">
        <v>17915.756704000003</v>
      </c>
      <c r="AH75" s="34">
        <v>17915.756704000003</v>
      </c>
      <c r="AI75" s="34">
        <v>17915.756704000003</v>
      </c>
      <c r="AJ75" s="34">
        <v>27823.021904000001</v>
      </c>
      <c r="AK75" s="34">
        <v>27823.021904000001</v>
      </c>
      <c r="AL75" s="34">
        <v>27823.021904000001</v>
      </c>
      <c r="AM75" s="34">
        <v>27823.021904000001</v>
      </c>
      <c r="AN75" s="34">
        <v>32400.032504643092</v>
      </c>
      <c r="AO75" s="34">
        <v>32400.032504643092</v>
      </c>
      <c r="AP75" s="34">
        <v>32400.032504643092</v>
      </c>
      <c r="AQ75" s="34">
        <v>32400.032504643092</v>
      </c>
      <c r="AR75" s="34">
        <v>33686.788964869564</v>
      </c>
      <c r="AS75" s="34">
        <v>33686.788964869564</v>
      </c>
      <c r="AT75" s="34">
        <v>33686.788964869564</v>
      </c>
      <c r="AU75" s="34">
        <v>33686.788964869564</v>
      </c>
      <c r="AV75" s="34">
        <v>96579.028544000015</v>
      </c>
      <c r="AW75" s="34">
        <v>96579.028544000015</v>
      </c>
      <c r="AX75" s="34">
        <v>96579.028544000015</v>
      </c>
      <c r="AY75" s="34">
        <v>96579.028544000015</v>
      </c>
      <c r="AZ75" s="34">
        <v>32171.703568000001</v>
      </c>
      <c r="BA75" s="34">
        <v>32171.703568000001</v>
      </c>
      <c r="BB75" s="34">
        <v>32171.703568000001</v>
      </c>
      <c r="BC75" s="34">
        <v>32171.703568000001</v>
      </c>
      <c r="BD75" s="34">
        <v>32171.703568000001</v>
      </c>
      <c r="BE75" s="34">
        <v>32171.703568000001</v>
      </c>
      <c r="BF75" s="34">
        <v>32171.703568000001</v>
      </c>
      <c r="BG75" s="34">
        <v>32171.703568000001</v>
      </c>
      <c r="BH75" s="34">
        <v>32171.703568000001</v>
      </c>
      <c r="BI75" s="34">
        <v>32171.703568000001</v>
      </c>
      <c r="BJ75" s="34">
        <v>32171.703568000001</v>
      </c>
      <c r="BK75" s="34">
        <v>32171.703568000001</v>
      </c>
      <c r="BL75" s="34">
        <v>51447.055568000003</v>
      </c>
      <c r="BM75" s="34">
        <v>51447.055568000003</v>
      </c>
      <c r="BN75" s="34">
        <v>51447.055568000003</v>
      </c>
      <c r="BO75" s="34">
        <v>51447.055568000003</v>
      </c>
      <c r="BP75" s="34">
        <v>51447.055568000003</v>
      </c>
      <c r="BQ75" s="34">
        <v>51447.055568000003</v>
      </c>
      <c r="BR75" s="34">
        <v>51447.055568000003</v>
      </c>
      <c r="BS75" s="34">
        <v>51447.055568000003</v>
      </c>
      <c r="BT75" s="34">
        <v>13831.198198956521</v>
      </c>
      <c r="BU75" s="34">
        <v>13831.198198956521</v>
      </c>
      <c r="BV75" s="34">
        <v>13831.198198956521</v>
      </c>
      <c r="BW75" s="34">
        <v>13831.198198956521</v>
      </c>
      <c r="BX75" s="34">
        <v>77312.877840000001</v>
      </c>
      <c r="BY75" s="34">
        <v>77312.877840000001</v>
      </c>
      <c r="BZ75" s="34">
        <v>77312.877840000001</v>
      </c>
      <c r="CA75" s="34">
        <v>77312.877840000001</v>
      </c>
      <c r="CB75" s="34">
        <v>68628.847213176457</v>
      </c>
      <c r="CC75" s="34">
        <v>68628.847213176457</v>
      </c>
      <c r="CD75" s="34">
        <v>68628.847213176457</v>
      </c>
      <c r="CE75" s="34">
        <v>68628.847213176457</v>
      </c>
      <c r="CF75" s="34">
        <v>72964.682207999984</v>
      </c>
      <c r="CG75" s="34">
        <v>72864.682207999984</v>
      </c>
      <c r="CH75" s="34">
        <v>72764.682207999984</v>
      </c>
      <c r="CI75" s="34">
        <v>72764.682207999984</v>
      </c>
      <c r="CJ75" s="34">
        <v>83405.975568000009</v>
      </c>
      <c r="CK75" s="34">
        <v>83405.975568000009</v>
      </c>
      <c r="CL75" s="34">
        <v>83305.975568000009</v>
      </c>
      <c r="CM75" s="34">
        <v>83305.975568000009</v>
      </c>
      <c r="CN75" s="34"/>
      <c r="CO75" s="34"/>
      <c r="CP75" s="34"/>
      <c r="CQ75" s="34">
        <v>700</v>
      </c>
      <c r="CR75" s="34">
        <v>700</v>
      </c>
      <c r="CS75" s="34">
        <v>700</v>
      </c>
      <c r="CT75" s="34">
        <v>700</v>
      </c>
      <c r="CU75" s="34">
        <v>900</v>
      </c>
      <c r="CV75" s="34">
        <v>900</v>
      </c>
      <c r="CW75" s="34">
        <v>900</v>
      </c>
      <c r="CX75" s="34">
        <v>900</v>
      </c>
      <c r="CY75" s="34">
        <v>1100</v>
      </c>
      <c r="CZ75" s="34">
        <v>1000</v>
      </c>
      <c r="DA75" s="34">
        <v>1000</v>
      </c>
      <c r="DB75" s="34">
        <v>1000</v>
      </c>
      <c r="DC75" s="34">
        <v>128940.67705066667</v>
      </c>
      <c r="DD75" s="34">
        <v>128840.67705066667</v>
      </c>
      <c r="DE75" s="34">
        <v>128840.67705066667</v>
      </c>
      <c r="DF75" s="34">
        <v>128840.67705066667</v>
      </c>
      <c r="DG75" s="34">
        <v>182148.27832000001</v>
      </c>
      <c r="DH75" s="34">
        <v>182048.27832000001</v>
      </c>
      <c r="DI75" s="34">
        <v>181948.27832000001</v>
      </c>
      <c r="DJ75" s="34">
        <v>181948.27832000001</v>
      </c>
      <c r="DK75" s="34">
        <v>323272.70704000001</v>
      </c>
      <c r="DL75" s="34">
        <v>323272.70704000001</v>
      </c>
      <c r="DM75" s="34">
        <v>323272.70704000001</v>
      </c>
      <c r="DN75" s="34">
        <v>323272.70704000001</v>
      </c>
      <c r="DO75" s="34">
        <v>323772.70704000001</v>
      </c>
      <c r="DP75" s="34">
        <v>323772.70704000001</v>
      </c>
      <c r="DQ75" s="34">
        <v>323772.70704000001</v>
      </c>
      <c r="DR75" s="34">
        <v>323772.70704000001</v>
      </c>
      <c r="DS75" s="34">
        <v>121746.62450666666</v>
      </c>
      <c r="DT75" s="34">
        <v>121446.62450666666</v>
      </c>
      <c r="DU75" s="34">
        <v>121346.62450666666</v>
      </c>
      <c r="DV75" s="34">
        <v>121346.62450666666</v>
      </c>
      <c r="DW75" s="34">
        <v>97274.001013333342</v>
      </c>
      <c r="DX75" s="34">
        <v>97074.001013333342</v>
      </c>
      <c r="DY75" s="34">
        <v>96974.001013333342</v>
      </c>
      <c r="DZ75" s="34">
        <v>96874.001013333342</v>
      </c>
      <c r="EA75" s="34">
        <v>204912.47567999997</v>
      </c>
      <c r="EB75" s="34">
        <v>204712.47567999997</v>
      </c>
      <c r="EC75" s="34">
        <v>204512.47567999997</v>
      </c>
      <c r="ED75" s="34">
        <v>204512.47567999997</v>
      </c>
      <c r="EE75" s="34">
        <v>320527.55070399999</v>
      </c>
      <c r="EF75" s="34">
        <v>320527.55070399999</v>
      </c>
      <c r="EG75" s="34">
        <v>320527.55070399999</v>
      </c>
      <c r="EH75" s="34">
        <v>320527.55070399999</v>
      </c>
      <c r="EI75" s="34">
        <v>45312.721029333334</v>
      </c>
      <c r="EJ75" s="34">
        <v>45312.721029333334</v>
      </c>
      <c r="EK75" s="34">
        <v>45312.721029333334</v>
      </c>
      <c r="EL75" s="34">
        <v>45312.721029333334</v>
      </c>
      <c r="EM75" s="34">
        <v>88638.838778666672</v>
      </c>
      <c r="EN75" s="34">
        <v>88538.838778666672</v>
      </c>
      <c r="EO75" s="34">
        <v>88538.838778666672</v>
      </c>
      <c r="EP75" s="34">
        <v>88538.838778666672</v>
      </c>
      <c r="EQ75" s="34">
        <v>0</v>
      </c>
      <c r="ER75" s="34">
        <v>0</v>
      </c>
      <c r="ES75" s="34">
        <v>0</v>
      </c>
      <c r="ET75" s="34">
        <v>0</v>
      </c>
      <c r="EU75" s="34">
        <v>1863.9178400000001</v>
      </c>
      <c r="EV75" s="34">
        <v>1863.9178400000001</v>
      </c>
      <c r="EW75" s="34">
        <v>1863.9178400000001</v>
      </c>
      <c r="EX75" s="34">
        <v>1863.9178400000001</v>
      </c>
      <c r="EY75" s="34">
        <v>485998.70895111113</v>
      </c>
      <c r="EZ75" s="34">
        <v>485298.70895111113</v>
      </c>
      <c r="FA75" s="34">
        <v>485098.70895111113</v>
      </c>
      <c r="FB75" s="34">
        <v>485098.70895111113</v>
      </c>
      <c r="FC75" s="34">
        <v>19575.076101333332</v>
      </c>
      <c r="FD75" s="34">
        <v>19575.076101333332</v>
      </c>
      <c r="FE75" s="34">
        <v>19575.076101333332</v>
      </c>
      <c r="FF75" s="34" t="e">
        <v>#DIV/0!</v>
      </c>
      <c r="FG75" s="34" t="e">
        <v>#DIV/0!</v>
      </c>
      <c r="FH75" s="34" t="e">
        <v>#DIV/0!</v>
      </c>
      <c r="FI75" s="34" t="e">
        <v>#DIV/0!</v>
      </c>
      <c r="FJ75" s="34">
        <v>19042.427434666664</v>
      </c>
    </row>
    <row r="76" spans="1:171">
      <c r="A76" t="s">
        <v>675</v>
      </c>
      <c r="B76" s="10" t="s">
        <v>676</v>
      </c>
      <c r="C76" s="10" t="s">
        <v>641</v>
      </c>
      <c r="D76" s="34">
        <v>19209.441514666665</v>
      </c>
      <c r="E76" s="34">
        <v>19042.427434666664</v>
      </c>
      <c r="F76" s="34">
        <v>19042.427434666664</v>
      </c>
      <c r="G76" s="34">
        <v>19042.427434666664</v>
      </c>
      <c r="H76" s="34">
        <v>118833.11830933334</v>
      </c>
      <c r="I76" s="34">
        <v>118833.11830933334</v>
      </c>
      <c r="J76" s="34">
        <v>118833.11830933334</v>
      </c>
      <c r="K76" s="34">
        <v>118833.11830933334</v>
      </c>
      <c r="L76" s="34">
        <v>35710.483359999991</v>
      </c>
      <c r="M76" s="34">
        <v>35710.483359999991</v>
      </c>
      <c r="N76" s="34">
        <v>35710.483359999991</v>
      </c>
      <c r="O76" s="34">
        <v>35710.483359999991</v>
      </c>
      <c r="P76" s="34">
        <v>55727.282303999986</v>
      </c>
      <c r="Q76" s="34">
        <v>55727.282303999986</v>
      </c>
      <c r="R76" s="34">
        <v>55727.282303999986</v>
      </c>
      <c r="S76" s="34">
        <v>55727.282303999986</v>
      </c>
      <c r="T76" s="34">
        <v>64250.667102713822</v>
      </c>
      <c r="U76" s="34">
        <v>64250.667102713822</v>
      </c>
      <c r="V76" s="34">
        <v>64250.667102713822</v>
      </c>
      <c r="W76" s="34">
        <v>64250.667102713822</v>
      </c>
      <c r="X76" s="34">
        <v>66820.466713471556</v>
      </c>
      <c r="Y76" s="34">
        <v>66820.466713471556</v>
      </c>
      <c r="Z76" s="34">
        <v>66820.466713471556</v>
      </c>
      <c r="AA76" s="34">
        <v>66820.466713471556</v>
      </c>
      <c r="AB76" s="34">
        <v>192568.57211200002</v>
      </c>
      <c r="AC76" s="34">
        <v>192568.57211200002</v>
      </c>
      <c r="AD76" s="34">
        <v>192568.57211200002</v>
      </c>
      <c r="AE76" s="34">
        <v>192568.57211200002</v>
      </c>
      <c r="AF76" s="34">
        <v>35710.483359999991</v>
      </c>
      <c r="AG76" s="34">
        <v>35710.483359999991</v>
      </c>
      <c r="AH76" s="34">
        <v>35710.483359999991</v>
      </c>
      <c r="AI76" s="34">
        <v>35710.483359999991</v>
      </c>
      <c r="AJ76" s="34">
        <v>55727.282303999986</v>
      </c>
      <c r="AK76" s="34">
        <v>55727.282303999986</v>
      </c>
      <c r="AL76" s="34">
        <v>55727.282303999986</v>
      </c>
      <c r="AM76" s="34">
        <v>55727.282303999986</v>
      </c>
      <c r="AN76" s="34">
        <v>64250.667102713822</v>
      </c>
      <c r="AO76" s="34">
        <v>64250.667102713822</v>
      </c>
      <c r="AP76" s="34">
        <v>64250.667102713822</v>
      </c>
      <c r="AQ76" s="34">
        <v>64250.667102713822</v>
      </c>
      <c r="AR76" s="34">
        <v>66820.466713471556</v>
      </c>
      <c r="AS76" s="34">
        <v>66820.466713471556</v>
      </c>
      <c r="AT76" s="34">
        <v>66820.466713471556</v>
      </c>
      <c r="AU76" s="34">
        <v>66820.466713471556</v>
      </c>
      <c r="AV76" s="34">
        <v>192568.57211200002</v>
      </c>
      <c r="AW76" s="34">
        <v>192568.57211200002</v>
      </c>
      <c r="AX76" s="34">
        <v>192568.57211200002</v>
      </c>
      <c r="AY76" s="34">
        <v>192568.57211200002</v>
      </c>
      <c r="AZ76" s="34">
        <v>160107.38356800002</v>
      </c>
      <c r="BA76" s="34">
        <v>160107.38356800002</v>
      </c>
      <c r="BB76" s="34">
        <v>160107.38356800002</v>
      </c>
      <c r="BC76" s="34">
        <v>160107.38356800002</v>
      </c>
      <c r="BD76" s="34">
        <v>160107.38356800002</v>
      </c>
      <c r="BE76" s="34">
        <v>160107.38356800002</v>
      </c>
      <c r="BF76" s="34">
        <v>160107.38356800002</v>
      </c>
      <c r="BG76" s="34">
        <v>160107.38356800002</v>
      </c>
      <c r="BH76" s="34">
        <v>160107.38356800002</v>
      </c>
      <c r="BI76" s="34">
        <v>160107.38356800002</v>
      </c>
      <c r="BJ76" s="34">
        <v>160107.38356800002</v>
      </c>
      <c r="BK76" s="34">
        <v>160107.38356800002</v>
      </c>
      <c r="BL76" s="34">
        <v>249592.35956800004</v>
      </c>
      <c r="BM76" s="34">
        <v>249592.35956800004</v>
      </c>
      <c r="BN76" s="34">
        <v>249592.35956800004</v>
      </c>
      <c r="BO76" s="34">
        <v>249592.35956800004</v>
      </c>
      <c r="BP76" s="34">
        <v>249592.35956800004</v>
      </c>
      <c r="BQ76" s="34">
        <v>249592.35956800004</v>
      </c>
      <c r="BR76" s="34">
        <v>249592.35956800004</v>
      </c>
      <c r="BS76" s="34">
        <v>249592.35956800004</v>
      </c>
      <c r="BT76" s="34">
        <v>31156.551601391307</v>
      </c>
      <c r="BU76" s="34">
        <v>31156.551601391307</v>
      </c>
      <c r="BV76" s="34">
        <v>31156.551601391307</v>
      </c>
      <c r="BW76" s="34">
        <v>31156.551601391307</v>
      </c>
      <c r="BX76" s="34">
        <v>97294.707039999994</v>
      </c>
      <c r="BY76" s="34">
        <v>97294.707039999994</v>
      </c>
      <c r="BZ76" s="34">
        <v>97294.707039999994</v>
      </c>
      <c r="CA76" s="34">
        <v>97294.707039999994</v>
      </c>
      <c r="CB76" s="34">
        <v>96516.300893803913</v>
      </c>
      <c r="CC76" s="34">
        <v>96516.300893803913</v>
      </c>
      <c r="CD76" s="34">
        <v>96516.300893803913</v>
      </c>
      <c r="CE76" s="34">
        <v>96516.300893803913</v>
      </c>
      <c r="CF76" s="34">
        <v>83864.528623999999</v>
      </c>
      <c r="CG76" s="34">
        <v>84122.468527999998</v>
      </c>
      <c r="CH76" s="34">
        <v>84086.386367999992</v>
      </c>
      <c r="CI76" s="34">
        <v>84086.386367999992</v>
      </c>
      <c r="CJ76" s="34">
        <v>89948.89383999999</v>
      </c>
      <c r="CK76" s="34">
        <v>89848.89383999999</v>
      </c>
      <c r="CL76" s="34">
        <v>89748.89383999999</v>
      </c>
      <c r="CM76" s="34">
        <v>89748.89383999999</v>
      </c>
      <c r="CN76" s="34"/>
      <c r="CO76" s="34"/>
      <c r="CP76" s="34"/>
      <c r="CQ76" s="34">
        <v>1000</v>
      </c>
      <c r="CR76" s="34">
        <v>900</v>
      </c>
      <c r="CS76" s="34">
        <v>900</v>
      </c>
      <c r="CT76" s="34">
        <v>900</v>
      </c>
      <c r="CU76" s="34">
        <v>1200</v>
      </c>
      <c r="CV76" s="34">
        <v>1100</v>
      </c>
      <c r="CW76" s="34">
        <v>1100</v>
      </c>
      <c r="CX76" s="34">
        <v>1100</v>
      </c>
      <c r="CY76" s="34">
        <v>1400</v>
      </c>
      <c r="CZ76" s="34">
        <v>1400</v>
      </c>
      <c r="DA76" s="34">
        <v>1400</v>
      </c>
      <c r="DB76" s="34">
        <v>1400</v>
      </c>
      <c r="DC76" s="34">
        <v>235375.40743466667</v>
      </c>
      <c r="DD76" s="34">
        <v>235275.40743466667</v>
      </c>
      <c r="DE76" s="34">
        <v>235175.40743466667</v>
      </c>
      <c r="DF76" s="34">
        <v>235175.40743466667</v>
      </c>
      <c r="DG76" s="34">
        <v>362219.855232</v>
      </c>
      <c r="DH76" s="34">
        <v>362019.855232</v>
      </c>
      <c r="DI76" s="34">
        <v>361919.855232</v>
      </c>
      <c r="DJ76" s="34">
        <v>361819.855232</v>
      </c>
      <c r="DK76" s="34">
        <v>516141.27915200003</v>
      </c>
      <c r="DL76" s="34">
        <v>516141.27915200003</v>
      </c>
      <c r="DM76" s="34">
        <v>516141.27915200003</v>
      </c>
      <c r="DN76" s="34">
        <v>516141.27915200003</v>
      </c>
      <c r="DO76" s="34">
        <v>516741.27915200003</v>
      </c>
      <c r="DP76" s="34">
        <v>516741.27915200003</v>
      </c>
      <c r="DQ76" s="34">
        <v>516741.27915200003</v>
      </c>
      <c r="DR76" s="34">
        <v>516741.27915200003</v>
      </c>
      <c r="DS76" s="34">
        <v>177216.02826133333</v>
      </c>
      <c r="DT76" s="34">
        <v>176816.02826133333</v>
      </c>
      <c r="DU76" s="34">
        <v>176716.02826133333</v>
      </c>
      <c r="DV76" s="34">
        <v>176716.02826133333</v>
      </c>
      <c r="DW76" s="34">
        <v>143846.10279466669</v>
      </c>
      <c r="DX76" s="34">
        <v>143446.10279466669</v>
      </c>
      <c r="DY76" s="34">
        <v>143146.10279466669</v>
      </c>
      <c r="DZ76" s="34">
        <v>143046.10279466669</v>
      </c>
      <c r="EA76" s="34">
        <v>300683.88412800001</v>
      </c>
      <c r="EB76" s="34">
        <v>300283.88412800001</v>
      </c>
      <c r="EC76" s="34">
        <v>299883.88412800001</v>
      </c>
      <c r="ED76" s="34">
        <v>299783.88412800001</v>
      </c>
      <c r="EE76" s="34">
        <v>513906.63784000004</v>
      </c>
      <c r="EF76" s="34">
        <v>513906.63784000004</v>
      </c>
      <c r="EG76" s="34">
        <v>513906.63784000004</v>
      </c>
      <c r="EH76" s="34">
        <v>513906.63784000004</v>
      </c>
      <c r="EI76" s="34">
        <v>91637.397930666673</v>
      </c>
      <c r="EJ76" s="34">
        <v>91637.397930666673</v>
      </c>
      <c r="EK76" s="34">
        <v>91637.397930666673</v>
      </c>
      <c r="EL76" s="34">
        <v>91637.397930666673</v>
      </c>
      <c r="EM76" s="34">
        <v>178200.97614933332</v>
      </c>
      <c r="EN76" s="34">
        <v>178100.97614933332</v>
      </c>
      <c r="EO76" s="34">
        <v>178000.97614933332</v>
      </c>
      <c r="EP76" s="34">
        <v>178000.97614933332</v>
      </c>
      <c r="EQ76" s="34">
        <v>3776.7014079999999</v>
      </c>
      <c r="ER76" s="34">
        <v>3776.7014079999999</v>
      </c>
      <c r="ES76" s="34">
        <v>3776.7014079999999</v>
      </c>
      <c r="ET76" s="34">
        <v>3776.7014079999999</v>
      </c>
      <c r="EU76" s="34">
        <v>3476.7014079999999</v>
      </c>
      <c r="EV76" s="34">
        <v>3476.7014079999999</v>
      </c>
      <c r="EW76" s="34">
        <v>3476.7014079999999</v>
      </c>
      <c r="EX76" s="34">
        <v>3476.7014079999999</v>
      </c>
      <c r="EY76" s="34">
        <v>829221.6912977777</v>
      </c>
      <c r="EZ76" s="34">
        <v>828021.6912977777</v>
      </c>
      <c r="FA76" s="34">
        <v>827621.6912977777</v>
      </c>
      <c r="FB76" s="34">
        <v>827621.6912977777</v>
      </c>
      <c r="FC76" s="34">
        <v>22125.259967999998</v>
      </c>
      <c r="FD76" s="34">
        <v>22125.259967999998</v>
      </c>
      <c r="FE76" s="34">
        <v>22125.259967999998</v>
      </c>
      <c r="FF76" s="34" t="e">
        <v>#DIV/0!</v>
      </c>
      <c r="FG76" s="34" t="e">
        <v>#DIV/0!</v>
      </c>
      <c r="FH76" s="34" t="e">
        <v>#DIV/0!</v>
      </c>
      <c r="FI76" s="34" t="e">
        <v>#DIV/0!</v>
      </c>
      <c r="FJ76" s="34">
        <v>19894.665301333334</v>
      </c>
    </row>
    <row r="77" spans="1:171">
      <c r="B77" s="10" t="s">
        <v>677</v>
      </c>
      <c r="C77" s="10" t="s">
        <v>641</v>
      </c>
      <c r="D77" s="34">
        <v>37779.704629333333</v>
      </c>
      <c r="E77" s="34">
        <v>37584.854869333329</v>
      </c>
      <c r="F77" s="34">
        <v>37584.854869333329</v>
      </c>
      <c r="G77" s="34">
        <v>37584.854869333329</v>
      </c>
      <c r="H77" s="34">
        <v>237002.31877866667</v>
      </c>
      <c r="I77" s="34">
        <v>237002.31877866667</v>
      </c>
      <c r="J77" s="34">
        <v>237002.31877866667</v>
      </c>
      <c r="K77" s="34">
        <v>237002.31877866667</v>
      </c>
      <c r="L77" s="34">
        <v>71108.183151999983</v>
      </c>
      <c r="M77" s="34">
        <v>71208.183151999983</v>
      </c>
      <c r="N77" s="34">
        <v>71208.183151999983</v>
      </c>
      <c r="O77" s="34">
        <v>71208.183151999983</v>
      </c>
      <c r="P77" s="34">
        <v>111028.99747199997</v>
      </c>
      <c r="Q77" s="34">
        <v>111028.99747199997</v>
      </c>
      <c r="R77" s="34">
        <v>111028.99747199997</v>
      </c>
      <c r="S77" s="34">
        <v>111028.99747199997</v>
      </c>
      <c r="T77" s="34">
        <v>128275.76706942765</v>
      </c>
      <c r="U77" s="34">
        <v>128275.76706942765</v>
      </c>
      <c r="V77" s="34">
        <v>128275.76706942765</v>
      </c>
      <c r="W77" s="34">
        <v>128275.76706942765</v>
      </c>
      <c r="X77" s="34">
        <v>133389.79915494312</v>
      </c>
      <c r="Y77" s="34">
        <v>133389.79915494312</v>
      </c>
      <c r="Z77" s="34">
        <v>133389.79915494312</v>
      </c>
      <c r="AA77" s="34">
        <v>133389.79915494312</v>
      </c>
      <c r="AB77" s="34">
        <v>383216.03758133337</v>
      </c>
      <c r="AC77" s="34">
        <v>383216.03758133337</v>
      </c>
      <c r="AD77" s="34">
        <v>383216.03758133337</v>
      </c>
      <c r="AE77" s="34">
        <v>383216.03758133337</v>
      </c>
      <c r="AF77" s="34">
        <v>71108.183151999983</v>
      </c>
      <c r="AG77" s="34">
        <v>71208.183151999983</v>
      </c>
      <c r="AH77" s="34">
        <v>71208.183151999983</v>
      </c>
      <c r="AI77" s="34">
        <v>71208.183151999983</v>
      </c>
      <c r="AJ77" s="34">
        <v>111028.99747199997</v>
      </c>
      <c r="AK77" s="34">
        <v>111028.99747199997</v>
      </c>
      <c r="AL77" s="34">
        <v>111028.99747199997</v>
      </c>
      <c r="AM77" s="34">
        <v>111028.99747199997</v>
      </c>
      <c r="AN77" s="34">
        <v>128275.76706942765</v>
      </c>
      <c r="AO77" s="34">
        <v>128275.76706942765</v>
      </c>
      <c r="AP77" s="34">
        <v>128275.76706942765</v>
      </c>
      <c r="AQ77" s="34">
        <v>128275.76706942765</v>
      </c>
      <c r="AR77" s="34">
        <v>133389.79915494312</v>
      </c>
      <c r="AS77" s="34">
        <v>133389.79915494312</v>
      </c>
      <c r="AT77" s="34">
        <v>133389.79915494312</v>
      </c>
      <c r="AU77" s="34">
        <v>133389.79915494312</v>
      </c>
      <c r="AV77" s="34">
        <v>383216.03758133337</v>
      </c>
      <c r="AW77" s="34">
        <v>383216.03758133337</v>
      </c>
      <c r="AX77" s="34">
        <v>383216.03758133337</v>
      </c>
      <c r="AY77" s="34">
        <v>383216.03758133337</v>
      </c>
      <c r="AZ77" s="34">
        <v>473317.58313599997</v>
      </c>
      <c r="BA77" s="34">
        <v>473317.58313599997</v>
      </c>
      <c r="BB77" s="34">
        <v>473317.58313599997</v>
      </c>
      <c r="BC77" s="34">
        <v>473317.58313599997</v>
      </c>
      <c r="BD77" s="34">
        <v>473317.58313599997</v>
      </c>
      <c r="BE77" s="34">
        <v>473317.58313599997</v>
      </c>
      <c r="BF77" s="34">
        <v>473317.58313599997</v>
      </c>
      <c r="BG77" s="34">
        <v>473317.58313599997</v>
      </c>
      <c r="BH77" s="34">
        <v>473317.58313599997</v>
      </c>
      <c r="BI77" s="34">
        <v>473317.58313599997</v>
      </c>
      <c r="BJ77" s="34">
        <v>473317.58313599997</v>
      </c>
      <c r="BK77" s="34">
        <v>473317.58313599997</v>
      </c>
      <c r="BL77" s="34">
        <v>754656.07913600001</v>
      </c>
      <c r="BM77" s="34">
        <v>754656.07913600001</v>
      </c>
      <c r="BN77" s="34">
        <v>754656.07913600001</v>
      </c>
      <c r="BO77" s="34">
        <v>754656.07913600001</v>
      </c>
      <c r="BP77" s="34">
        <v>754656.07913600001</v>
      </c>
      <c r="BQ77" s="34">
        <v>754656.07913600001</v>
      </c>
      <c r="BR77" s="34">
        <v>754656.07913600001</v>
      </c>
      <c r="BS77" s="34">
        <v>754656.07913600001</v>
      </c>
      <c r="BT77" s="34">
        <v>37378.542484869569</v>
      </c>
      <c r="BU77" s="34">
        <v>37278.542484869569</v>
      </c>
      <c r="BV77" s="34">
        <v>37278.542484869569</v>
      </c>
      <c r="BW77" s="34">
        <v>37278.542484869569</v>
      </c>
      <c r="BX77" s="34">
        <v>126261.05905600001</v>
      </c>
      <c r="BY77" s="34">
        <v>126261.05905600001</v>
      </c>
      <c r="BZ77" s="34">
        <v>126161.05905600001</v>
      </c>
      <c r="CA77" s="34">
        <v>126161.05905600001</v>
      </c>
      <c r="CB77" s="34">
        <v>119277.80708486275</v>
      </c>
      <c r="CC77" s="34">
        <v>119277.80708486275</v>
      </c>
      <c r="CD77" s="34">
        <v>119277.80708486275</v>
      </c>
      <c r="CE77" s="34">
        <v>119277.80708486275</v>
      </c>
      <c r="CF77" s="34">
        <v>96981.910239999983</v>
      </c>
      <c r="CG77" s="34">
        <v>96975.932303999987</v>
      </c>
      <c r="CH77" s="34">
        <v>97453.461407999988</v>
      </c>
      <c r="CI77" s="34">
        <v>97453.461407999988</v>
      </c>
      <c r="CJ77" s="34">
        <v>96417.379247999983</v>
      </c>
      <c r="CK77" s="34">
        <v>96317.379247999983</v>
      </c>
      <c r="CL77" s="34">
        <v>96317.379247999983</v>
      </c>
      <c r="CM77" s="34">
        <v>96217.379247999983</v>
      </c>
      <c r="CN77" s="34"/>
      <c r="CO77" s="34"/>
      <c r="CP77" s="34"/>
      <c r="CQ77" s="34">
        <v>1200</v>
      </c>
      <c r="CR77" s="34">
        <v>1100</v>
      </c>
      <c r="CS77" s="34">
        <v>1100</v>
      </c>
      <c r="CT77" s="34">
        <v>1100</v>
      </c>
      <c r="CU77" s="34">
        <v>1500</v>
      </c>
      <c r="CV77" s="34">
        <v>1400</v>
      </c>
      <c r="CW77" s="34">
        <v>1400</v>
      </c>
      <c r="CX77" s="34">
        <v>1400</v>
      </c>
      <c r="CY77" s="34">
        <v>1800</v>
      </c>
      <c r="CZ77" s="34">
        <v>1700</v>
      </c>
      <c r="DA77" s="34">
        <v>1700</v>
      </c>
      <c r="DB77" s="34">
        <v>1700</v>
      </c>
      <c r="DC77" s="34">
        <v>334164.46056000004</v>
      </c>
      <c r="DD77" s="34">
        <v>334064.46056000004</v>
      </c>
      <c r="DE77" s="34">
        <v>333964.46056000004</v>
      </c>
      <c r="DF77" s="34">
        <v>333964.46056000004</v>
      </c>
      <c r="DG77" s="34">
        <v>513737.07971200004</v>
      </c>
      <c r="DH77" s="34">
        <v>513437.07971200004</v>
      </c>
      <c r="DI77" s="34">
        <v>513237.07971200004</v>
      </c>
      <c r="DJ77" s="34">
        <v>513137.07971200004</v>
      </c>
      <c r="DK77" s="34">
        <v>773266.041968</v>
      </c>
      <c r="DL77" s="34">
        <v>773266.041968</v>
      </c>
      <c r="DM77" s="34">
        <v>773266.041968</v>
      </c>
      <c r="DN77" s="34">
        <v>773266.041968</v>
      </c>
      <c r="DO77" s="34">
        <v>774066.041968</v>
      </c>
      <c r="DP77" s="34">
        <v>774066.041968</v>
      </c>
      <c r="DQ77" s="34">
        <v>774066.041968</v>
      </c>
      <c r="DR77" s="34">
        <v>774066.041968</v>
      </c>
      <c r="DS77" s="34">
        <v>199800.94488000002</v>
      </c>
      <c r="DT77" s="34">
        <v>199400.94488000002</v>
      </c>
      <c r="DU77" s="34">
        <v>199200.94488000002</v>
      </c>
      <c r="DV77" s="34">
        <v>199200.94488000002</v>
      </c>
      <c r="DW77" s="34">
        <v>164734.57561600002</v>
      </c>
      <c r="DX77" s="34">
        <v>164134.57561600002</v>
      </c>
      <c r="DY77" s="34">
        <v>163734.57561600002</v>
      </c>
      <c r="DZ77" s="34">
        <v>163534.57561600002</v>
      </c>
      <c r="EA77" s="34">
        <v>342052.079616</v>
      </c>
      <c r="EB77" s="34">
        <v>341352.079616</v>
      </c>
      <c r="EC77" s="34">
        <v>340852.079616</v>
      </c>
      <c r="ED77" s="34">
        <v>340552.079616</v>
      </c>
      <c r="EE77" s="34">
        <v>771190.78140799992</v>
      </c>
      <c r="EF77" s="34">
        <v>771190.78140799992</v>
      </c>
      <c r="EG77" s="34">
        <v>771190.78140799992</v>
      </c>
      <c r="EH77" s="34">
        <v>771190.78140799992</v>
      </c>
      <c r="EI77" s="34">
        <v>136449.291264</v>
      </c>
      <c r="EJ77" s="34">
        <v>136449.291264</v>
      </c>
      <c r="EK77" s="34">
        <v>136449.291264</v>
      </c>
      <c r="EL77" s="34">
        <v>136449.291264</v>
      </c>
      <c r="EM77" s="34">
        <v>223651.22018666667</v>
      </c>
      <c r="EN77" s="34">
        <v>223451.22018666667</v>
      </c>
      <c r="EO77" s="34">
        <v>223251.22018666667</v>
      </c>
      <c r="EP77" s="34">
        <v>223251.22018666667</v>
      </c>
      <c r="EQ77" s="34">
        <v>0</v>
      </c>
      <c r="ER77" s="34">
        <v>0</v>
      </c>
      <c r="ES77" s="34">
        <v>0</v>
      </c>
      <c r="ET77" s="34">
        <v>0</v>
      </c>
      <c r="EU77" s="34">
        <v>3947.42488</v>
      </c>
      <c r="EV77" s="34">
        <v>3947.42488</v>
      </c>
      <c r="EW77" s="34">
        <v>3947.42488</v>
      </c>
      <c r="EX77" s="34">
        <v>3947.42488</v>
      </c>
      <c r="EY77" s="34">
        <v>1143800.6625955557</v>
      </c>
      <c r="EZ77" s="34">
        <v>1142200.6625955557</v>
      </c>
      <c r="FA77" s="34">
        <v>1141600.6625955557</v>
      </c>
      <c r="FB77" s="34">
        <v>1141600.6625955557</v>
      </c>
      <c r="FC77" s="34">
        <v>24794.757136</v>
      </c>
      <c r="FD77" s="34">
        <v>24794.757136</v>
      </c>
      <c r="FE77" s="34">
        <v>24794.757136</v>
      </c>
      <c r="FF77" s="34" t="e">
        <v>#DIV/0!</v>
      </c>
      <c r="FG77" s="34" t="e">
        <v>#DIV/0!</v>
      </c>
      <c r="FH77" s="34" t="e">
        <v>#DIV/0!</v>
      </c>
      <c r="FI77" s="34" t="e">
        <v>#DIV/0!</v>
      </c>
      <c r="FJ77" s="34">
        <v>20853.43290133333</v>
      </c>
    </row>
    <row r="78" spans="1:171">
      <c r="A78" t="s">
        <v>678</v>
      </c>
      <c r="C78" s="10" t="s">
        <v>641</v>
      </c>
      <c r="D78">
        <v>25.822807359999999</v>
      </c>
      <c r="E78">
        <v>25.822807359999999</v>
      </c>
      <c r="F78">
        <v>25.822807359999999</v>
      </c>
      <c r="G78">
        <v>25.822807359999999</v>
      </c>
      <c r="H78">
        <v>50.367257919999993</v>
      </c>
      <c r="I78">
        <v>50.367257919999993</v>
      </c>
      <c r="J78">
        <v>50.367257919999993</v>
      </c>
      <c r="K78">
        <v>50.367257919999993</v>
      </c>
      <c r="L78">
        <v>11.760882560000001</v>
      </c>
      <c r="M78">
        <v>11.760882560000001</v>
      </c>
      <c r="N78">
        <v>11.760882560000001</v>
      </c>
      <c r="O78">
        <v>11.760882560000001</v>
      </c>
      <c r="P78">
        <v>13.03923936</v>
      </c>
      <c r="Q78">
        <v>13.03923936</v>
      </c>
      <c r="R78">
        <v>13.03923936</v>
      </c>
      <c r="S78">
        <v>13.03923936</v>
      </c>
      <c r="T78">
        <v>15.084610240000002</v>
      </c>
      <c r="U78">
        <v>15.084610240000002</v>
      </c>
      <c r="V78">
        <v>15.084610240000002</v>
      </c>
      <c r="W78">
        <v>15.084610240000002</v>
      </c>
      <c r="X78">
        <v>15.084610240000002</v>
      </c>
      <c r="Y78">
        <v>15.084610240000002</v>
      </c>
      <c r="Z78">
        <v>15.084610240000002</v>
      </c>
      <c r="AA78">
        <v>15.084610240000002</v>
      </c>
      <c r="AB78">
        <v>21.604229919999998</v>
      </c>
      <c r="AC78">
        <v>21.604229919999998</v>
      </c>
      <c r="AD78">
        <v>21.604229919999998</v>
      </c>
      <c r="AE78">
        <v>21.604229919999998</v>
      </c>
      <c r="AF78">
        <v>15.340281600000003</v>
      </c>
      <c r="AG78">
        <v>15.340281600000003</v>
      </c>
      <c r="AH78">
        <v>15.340281600000003</v>
      </c>
      <c r="AI78">
        <v>15.340281600000003</v>
      </c>
      <c r="AJ78">
        <v>17.00214544</v>
      </c>
      <c r="AK78">
        <v>17.00214544</v>
      </c>
      <c r="AL78">
        <v>17.00214544</v>
      </c>
      <c r="AM78">
        <v>17.00214544</v>
      </c>
      <c r="AN78">
        <v>19.942366079999999</v>
      </c>
      <c r="AO78">
        <v>19.942366079999999</v>
      </c>
      <c r="AP78">
        <v>19.942366079999999</v>
      </c>
      <c r="AQ78">
        <v>19.942366079999999</v>
      </c>
      <c r="AR78">
        <v>19.942366079999999</v>
      </c>
      <c r="AS78">
        <v>19.942366079999999</v>
      </c>
      <c r="AT78">
        <v>19.942366079999999</v>
      </c>
      <c r="AU78">
        <v>19.942366079999999</v>
      </c>
      <c r="AV78">
        <v>29.018699360000003</v>
      </c>
      <c r="AW78">
        <v>29.018699360000003</v>
      </c>
      <c r="AX78">
        <v>29.018699360000003</v>
      </c>
      <c r="AY78">
        <v>29.018699360000003</v>
      </c>
      <c r="AZ78">
        <v>-30.680563200000005</v>
      </c>
      <c r="BA78">
        <v>-30.680563200000005</v>
      </c>
      <c r="BB78">
        <v>-30.680563200000005</v>
      </c>
      <c r="BC78">
        <v>-30.680563200000005</v>
      </c>
      <c r="BD78">
        <v>-25.694971680000002</v>
      </c>
      <c r="BE78">
        <v>-25.694971680000002</v>
      </c>
      <c r="BF78">
        <v>-25.694971680000002</v>
      </c>
      <c r="BG78">
        <v>-25.694971680000002</v>
      </c>
      <c r="BH78">
        <v>-24.927957600000003</v>
      </c>
      <c r="BI78">
        <v>-24.927957600000003</v>
      </c>
      <c r="BJ78">
        <v>-24.927957600000003</v>
      </c>
      <c r="BK78">
        <v>-24.927957600000003</v>
      </c>
      <c r="BL78">
        <v>-30.680563200000005</v>
      </c>
      <c r="BM78">
        <v>-30.680563200000005</v>
      </c>
      <c r="BN78">
        <v>-30.680563200000005</v>
      </c>
      <c r="BO78">
        <v>-30.680563200000005</v>
      </c>
      <c r="BP78">
        <v>-25.694971680000002</v>
      </c>
      <c r="BQ78">
        <v>-25.694971680000002</v>
      </c>
      <c r="BR78">
        <v>-25.694971680000002</v>
      </c>
      <c r="BS78">
        <v>-25.694971680000002</v>
      </c>
      <c r="BT78">
        <v>131.54291472</v>
      </c>
      <c r="BU78">
        <v>131.54291472</v>
      </c>
      <c r="BV78">
        <v>131.54291472</v>
      </c>
      <c r="BW78">
        <v>131.54291472</v>
      </c>
      <c r="BX78">
        <v>445.37950912000002</v>
      </c>
      <c r="BY78">
        <v>444.86816640000001</v>
      </c>
      <c r="BZ78">
        <v>444.86816640000001</v>
      </c>
      <c r="CA78">
        <v>444.86816640000001</v>
      </c>
      <c r="CB78">
        <v>39.245553759999993</v>
      </c>
      <c r="CC78">
        <v>39.373389439999997</v>
      </c>
      <c r="CD78">
        <v>39.629060799999998</v>
      </c>
      <c r="CE78">
        <v>40.012567840000003</v>
      </c>
      <c r="CF78">
        <v>116.45830448</v>
      </c>
      <c r="CG78">
        <v>113.26241247999999</v>
      </c>
      <c r="CH78">
        <v>113.39024816</v>
      </c>
      <c r="CI78">
        <v>114.02942655999999</v>
      </c>
      <c r="CJ78">
        <v>11.888718239999999</v>
      </c>
      <c r="CK78">
        <v>11.12170416</v>
      </c>
      <c r="CL78">
        <v>10.61036144</v>
      </c>
      <c r="CM78">
        <v>9.8433473599999992</v>
      </c>
      <c r="CQ78">
        <v>9.8433473599999992</v>
      </c>
      <c r="CR78">
        <v>8.9484975999999996</v>
      </c>
      <c r="CS78">
        <v>8.9484975999999996</v>
      </c>
      <c r="CT78">
        <v>8.9484975999999996</v>
      </c>
      <c r="CU78">
        <v>9.8433473599999992</v>
      </c>
      <c r="CV78">
        <v>9.5876760000000001</v>
      </c>
      <c r="CW78">
        <v>9.5876760000000001</v>
      </c>
      <c r="CX78">
        <v>9.5876760000000001</v>
      </c>
      <c r="CY78">
        <v>24.416614879999997</v>
      </c>
      <c r="CZ78">
        <v>23.649600800000002</v>
      </c>
      <c r="DA78">
        <v>23.649600800000002</v>
      </c>
      <c r="DB78">
        <v>23.649600800000002</v>
      </c>
      <c r="DC78">
        <v>261.42396559999997</v>
      </c>
      <c r="DD78">
        <v>257.46105951999999</v>
      </c>
      <c r="DE78">
        <v>257.46105951999999</v>
      </c>
      <c r="DF78">
        <v>257.46105951999999</v>
      </c>
      <c r="DG78">
        <v>357.04505423999996</v>
      </c>
      <c r="DH78">
        <v>351.67595567999996</v>
      </c>
      <c r="DI78">
        <v>351.67595567999996</v>
      </c>
      <c r="DJ78">
        <v>351.67595567999996</v>
      </c>
      <c r="DK78">
        <v>212.33506448</v>
      </c>
      <c r="DL78">
        <v>212.33506448</v>
      </c>
      <c r="DM78">
        <v>212.33506448</v>
      </c>
      <c r="DN78">
        <v>212.33506448</v>
      </c>
      <c r="DO78">
        <v>291.20967903999997</v>
      </c>
      <c r="DP78">
        <v>291.20967903999997</v>
      </c>
      <c r="DQ78">
        <v>291.20967903999997</v>
      </c>
      <c r="DR78">
        <v>291.20967903999997</v>
      </c>
      <c r="DS78">
        <v>419.17319472000003</v>
      </c>
      <c r="DT78">
        <v>407.15664080000005</v>
      </c>
      <c r="DU78">
        <v>407.15664080000005</v>
      </c>
      <c r="DV78">
        <v>407.15664080000005</v>
      </c>
      <c r="DW78">
        <v>352.57080544000002</v>
      </c>
      <c r="DX78">
        <v>342.47178671999995</v>
      </c>
      <c r="DY78">
        <v>342.47178671999995</v>
      </c>
      <c r="DZ78">
        <v>342.47178671999995</v>
      </c>
      <c r="EA78">
        <v>352.57080544000002</v>
      </c>
      <c r="EB78">
        <v>342.47178671999995</v>
      </c>
      <c r="EC78">
        <v>342.47178671999995</v>
      </c>
      <c r="ED78">
        <v>342.47178671999995</v>
      </c>
      <c r="EE78">
        <v>130.39239359999999</v>
      </c>
      <c r="EF78">
        <v>130.39239359999999</v>
      </c>
      <c r="EG78">
        <v>130.39239359999999</v>
      </c>
      <c r="EH78">
        <v>130.39239359999999</v>
      </c>
      <c r="EI78">
        <v>143.43163296</v>
      </c>
      <c r="EJ78">
        <v>143.43163296</v>
      </c>
      <c r="EK78">
        <v>143.43163296</v>
      </c>
      <c r="EL78">
        <v>143.43163296</v>
      </c>
      <c r="EM78">
        <v>139.85223392</v>
      </c>
      <c r="EN78">
        <v>139.85223392</v>
      </c>
      <c r="EO78">
        <v>139.85223392</v>
      </c>
      <c r="EP78">
        <v>139.85223392</v>
      </c>
      <c r="EQ78">
        <v>49.983750880000002</v>
      </c>
      <c r="ER78">
        <v>49.983750880000002</v>
      </c>
      <c r="ES78">
        <v>49.983750880000002</v>
      </c>
      <c r="ET78">
        <v>49.983750880000002</v>
      </c>
      <c r="EU78">
        <v>65.835375200000001</v>
      </c>
      <c r="EV78">
        <v>65.835375200000001</v>
      </c>
      <c r="EW78">
        <v>65.835375200000001</v>
      </c>
      <c r="EX78">
        <v>65.835375200000001</v>
      </c>
      <c r="EY78">
        <v>110.06652048000001</v>
      </c>
      <c r="EZ78">
        <v>75.550886880000007</v>
      </c>
      <c r="FA78">
        <v>75.550886880000007</v>
      </c>
      <c r="FB78">
        <v>75.550886880000007</v>
      </c>
      <c r="FC78">
        <v>28.251685279999997</v>
      </c>
      <c r="FD78">
        <v>28.251685279999997</v>
      </c>
      <c r="FE78">
        <v>28.251685279999997</v>
      </c>
      <c r="FF78">
        <v>0</v>
      </c>
      <c r="FG78">
        <v>0</v>
      </c>
      <c r="FH78">
        <v>0</v>
      </c>
      <c r="FI78">
        <v>0</v>
      </c>
      <c r="FJ78">
        <v>25.950643039999996</v>
      </c>
    </row>
    <row r="79" spans="1:171">
      <c r="A79" t="s">
        <v>679</v>
      </c>
      <c r="B79" s="10" t="s">
        <v>674</v>
      </c>
      <c r="C79" s="10" t="s">
        <v>641</v>
      </c>
      <c r="D79">
        <v>418.36356874666666</v>
      </c>
      <c r="E79">
        <v>412.79643274666671</v>
      </c>
      <c r="F79">
        <v>412.79643274666671</v>
      </c>
      <c r="G79">
        <v>412.79643274666671</v>
      </c>
      <c r="H79">
        <v>2454.5038288000005</v>
      </c>
      <c r="I79">
        <v>2454.5038288000005</v>
      </c>
      <c r="J79">
        <v>2454.5038288000005</v>
      </c>
      <c r="K79">
        <v>2454.5038288000005</v>
      </c>
      <c r="L79">
        <v>728.39115072000016</v>
      </c>
      <c r="M79">
        <v>728.39115072000016</v>
      </c>
      <c r="N79">
        <v>728.39115072000016</v>
      </c>
      <c r="O79">
        <v>728.39115072000016</v>
      </c>
      <c r="P79">
        <v>1125.96011552</v>
      </c>
      <c r="Q79">
        <v>1125.96011552</v>
      </c>
      <c r="R79">
        <v>1125.96011552</v>
      </c>
      <c r="S79">
        <v>1125.96011552</v>
      </c>
      <c r="T79">
        <v>1311.0859104257238</v>
      </c>
      <c r="U79">
        <v>1311.0859104257238</v>
      </c>
      <c r="V79">
        <v>1311.0859104257238</v>
      </c>
      <c r="W79">
        <v>1311.0859104257238</v>
      </c>
      <c r="X79">
        <v>1362.5561688347825</v>
      </c>
      <c r="Y79">
        <v>1362.5561688347825</v>
      </c>
      <c r="Z79">
        <v>1362.5561688347825</v>
      </c>
      <c r="AA79">
        <v>1362.5561688347825</v>
      </c>
      <c r="AB79">
        <v>3884.7653716800005</v>
      </c>
      <c r="AC79">
        <v>3884.7653716800005</v>
      </c>
      <c r="AD79">
        <v>3884.7653716800005</v>
      </c>
      <c r="AE79">
        <v>3884.7653716800005</v>
      </c>
      <c r="AF79">
        <v>731.97054976000015</v>
      </c>
      <c r="AG79">
        <v>731.97054976000015</v>
      </c>
      <c r="AH79">
        <v>731.97054976000015</v>
      </c>
      <c r="AI79">
        <v>731.97054976000015</v>
      </c>
      <c r="AJ79">
        <v>1129.9230216000001</v>
      </c>
      <c r="AK79">
        <v>1129.9230216000001</v>
      </c>
      <c r="AL79">
        <v>1129.9230216000001</v>
      </c>
      <c r="AM79">
        <v>1129.9230216000001</v>
      </c>
      <c r="AN79">
        <v>1315.9436662657238</v>
      </c>
      <c r="AO79">
        <v>1315.9436662657238</v>
      </c>
      <c r="AP79">
        <v>1315.9436662657238</v>
      </c>
      <c r="AQ79">
        <v>1315.9436662657238</v>
      </c>
      <c r="AR79">
        <v>1367.4139246747825</v>
      </c>
      <c r="AS79">
        <v>1367.4139246747825</v>
      </c>
      <c r="AT79">
        <v>1367.4139246747825</v>
      </c>
      <c r="AU79">
        <v>1367.4139246747825</v>
      </c>
      <c r="AV79">
        <v>3892.1798411200007</v>
      </c>
      <c r="AW79">
        <v>3892.1798411200007</v>
      </c>
      <c r="AX79">
        <v>3892.1798411200007</v>
      </c>
      <c r="AY79">
        <v>3892.1798411200007</v>
      </c>
      <c r="AZ79">
        <v>2114.0996746666665</v>
      </c>
      <c r="BA79">
        <v>2114.0996746666665</v>
      </c>
      <c r="BB79">
        <v>2114.0996746666665</v>
      </c>
      <c r="BC79">
        <v>2114.0996746666665</v>
      </c>
      <c r="BD79">
        <v>2119.0852661866666</v>
      </c>
      <c r="BE79">
        <v>2119.0852661866666</v>
      </c>
      <c r="BF79">
        <v>2119.0852661866666</v>
      </c>
      <c r="BG79">
        <v>2119.0852661866666</v>
      </c>
      <c r="BH79">
        <v>2119.8522802666666</v>
      </c>
      <c r="BI79">
        <v>2119.8522802666666</v>
      </c>
      <c r="BJ79">
        <v>2119.8522802666666</v>
      </c>
      <c r="BK79">
        <v>2119.8522802666666</v>
      </c>
      <c r="BL79">
        <v>3399.1231413333335</v>
      </c>
      <c r="BM79">
        <v>3399.1231413333335</v>
      </c>
      <c r="BN79">
        <v>3399.1231413333335</v>
      </c>
      <c r="BO79">
        <v>3399.1231413333335</v>
      </c>
      <c r="BP79">
        <v>3404.1087328533335</v>
      </c>
      <c r="BQ79">
        <v>3404.1087328533335</v>
      </c>
      <c r="BR79">
        <v>3404.1087328533335</v>
      </c>
      <c r="BS79">
        <v>3404.1087328533335</v>
      </c>
      <c r="BT79">
        <v>684.79084267826079</v>
      </c>
      <c r="BU79">
        <v>684.79084267826079</v>
      </c>
      <c r="BV79">
        <v>684.79084267826079</v>
      </c>
      <c r="BW79">
        <v>684.79084267826079</v>
      </c>
      <c r="BX79">
        <v>3666.7494191199999</v>
      </c>
      <c r="BY79">
        <v>3666.2380764</v>
      </c>
      <c r="BZ79">
        <v>3666.2380764</v>
      </c>
      <c r="CA79">
        <v>3666.2380764</v>
      </c>
      <c r="CB79">
        <v>2784.3994422870583</v>
      </c>
      <c r="CC79">
        <v>2784.5272779670586</v>
      </c>
      <c r="CD79">
        <v>2784.7829493270583</v>
      </c>
      <c r="CE79">
        <v>2785.1664563670583</v>
      </c>
      <c r="CF79">
        <v>2548.6143780799998</v>
      </c>
      <c r="CG79">
        <v>2542.0851527466662</v>
      </c>
      <c r="CH79">
        <v>2538.8796550933325</v>
      </c>
      <c r="CI79">
        <v>2539.5188334933327</v>
      </c>
      <c r="CJ79">
        <v>2394.9165916114289</v>
      </c>
      <c r="CK79">
        <v>2394.1495775314288</v>
      </c>
      <c r="CL79">
        <v>2390.7810919542858</v>
      </c>
      <c r="CM79">
        <v>2390.0140778742857</v>
      </c>
      <c r="CQ79">
        <v>33.176680693333331</v>
      </c>
      <c r="CR79">
        <v>32.281830933333332</v>
      </c>
      <c r="CS79">
        <v>32.281830933333332</v>
      </c>
      <c r="CT79">
        <v>32.281830933333332</v>
      </c>
      <c r="CU79">
        <v>39.843347359999996</v>
      </c>
      <c r="CV79">
        <v>39.587676000000002</v>
      </c>
      <c r="CW79">
        <v>39.587676000000002</v>
      </c>
      <c r="CX79">
        <v>39.587676000000002</v>
      </c>
      <c r="CY79">
        <v>61.083281546666662</v>
      </c>
      <c r="CZ79">
        <v>56.982934133333337</v>
      </c>
      <c r="DA79">
        <v>56.982934133333337</v>
      </c>
      <c r="DB79">
        <v>56.982934133333337</v>
      </c>
      <c r="DC79">
        <v>3945.4433099047619</v>
      </c>
      <c r="DD79">
        <v>3938.623260967619</v>
      </c>
      <c r="DE79">
        <v>3938.623260967619</v>
      </c>
      <c r="DF79">
        <v>3938.623260967619</v>
      </c>
      <c r="DG79">
        <v>7103.2775846103714</v>
      </c>
      <c r="DH79">
        <v>7094.2047823466673</v>
      </c>
      <c r="DI79">
        <v>7090.501078642963</v>
      </c>
      <c r="DJ79">
        <v>7090.501078642963</v>
      </c>
      <c r="DK79">
        <v>16375.97041648</v>
      </c>
      <c r="DL79">
        <v>16375.97041648</v>
      </c>
      <c r="DM79">
        <v>16375.97041648</v>
      </c>
      <c r="DN79">
        <v>16375.97041648</v>
      </c>
      <c r="DO79">
        <v>16479.84503104</v>
      </c>
      <c r="DP79">
        <v>16479.84503104</v>
      </c>
      <c r="DQ79">
        <v>16479.84503104</v>
      </c>
      <c r="DR79">
        <v>16479.84503104</v>
      </c>
      <c r="DS79">
        <v>5289.0381749866656</v>
      </c>
      <c r="DT79">
        <v>5265.0216210666658</v>
      </c>
      <c r="DU79">
        <v>5261.0216210666658</v>
      </c>
      <c r="DV79">
        <v>5261.0216210666658</v>
      </c>
      <c r="DW79">
        <v>3955.3115837116056</v>
      </c>
      <c r="DX79">
        <v>3937.8051575841982</v>
      </c>
      <c r="DY79">
        <v>3934.1014538804939</v>
      </c>
      <c r="DZ79">
        <v>3930.3977501767904</v>
      </c>
      <c r="EA79">
        <v>8549.0698326399997</v>
      </c>
      <c r="EB79">
        <v>8530.9708139199993</v>
      </c>
      <c r="EC79">
        <v>8522.9708139199993</v>
      </c>
      <c r="ED79">
        <v>8522.9708139199993</v>
      </c>
      <c r="EE79">
        <v>11577.804918742857</v>
      </c>
      <c r="EF79">
        <v>11577.804918742857</v>
      </c>
      <c r="EG79">
        <v>11577.804918742857</v>
      </c>
      <c r="EH79">
        <v>11577.804918742857</v>
      </c>
      <c r="EI79">
        <v>2409.0676844266668</v>
      </c>
      <c r="EJ79">
        <v>2409.0676844266668</v>
      </c>
      <c r="EK79">
        <v>2409.0676844266668</v>
      </c>
      <c r="EL79">
        <v>2409.0676844266668</v>
      </c>
      <c r="EM79">
        <v>3685.4057850666668</v>
      </c>
      <c r="EN79">
        <v>3681.4057850666668</v>
      </c>
      <c r="EO79">
        <v>3681.4057850666668</v>
      </c>
      <c r="EP79">
        <v>3681.4057850666668</v>
      </c>
      <c r="EQ79">
        <v>49.983750880000002</v>
      </c>
      <c r="ER79">
        <v>49.983750880000002</v>
      </c>
      <c r="ES79">
        <v>49.983750880000002</v>
      </c>
      <c r="ET79">
        <v>49.983750880000002</v>
      </c>
      <c r="EU79">
        <v>111.29678593170732</v>
      </c>
      <c r="EV79">
        <v>111.29678593170732</v>
      </c>
      <c r="EW79">
        <v>111.29678593170732</v>
      </c>
      <c r="EX79">
        <v>111.29678593170732</v>
      </c>
      <c r="EY79">
        <v>24410.001968035554</v>
      </c>
      <c r="EZ79">
        <v>24340.486334435554</v>
      </c>
      <c r="FA79">
        <v>24330.486334435554</v>
      </c>
      <c r="FB79">
        <v>24330.486334435554</v>
      </c>
      <c r="FC79">
        <v>811.25472933333322</v>
      </c>
      <c r="FD79">
        <v>811.25472933333322</v>
      </c>
      <c r="FE79">
        <v>811.25472933333322</v>
      </c>
      <c r="FF79" t="e">
        <v>#DIV/0!</v>
      </c>
      <c r="FG79" t="e">
        <v>#DIV/0!</v>
      </c>
      <c r="FH79" t="e">
        <v>#DIV/0!</v>
      </c>
      <c r="FI79" t="e">
        <v>#DIV/0!</v>
      </c>
      <c r="FJ79">
        <v>787.64774042666659</v>
      </c>
    </row>
    <row r="80" spans="1:171">
      <c r="B80" s="10" t="s">
        <v>676</v>
      </c>
      <c r="C80" s="10" t="s">
        <v>641</v>
      </c>
      <c r="D80">
        <v>794.20046794666655</v>
      </c>
      <c r="E80">
        <v>787.5199047466665</v>
      </c>
      <c r="F80">
        <v>787.5199047466665</v>
      </c>
      <c r="G80">
        <v>787.5199047466665</v>
      </c>
      <c r="H80">
        <v>4803.6919902933341</v>
      </c>
      <c r="I80">
        <v>4803.6919902933341</v>
      </c>
      <c r="J80">
        <v>4803.6919902933341</v>
      </c>
      <c r="K80">
        <v>4803.6919902933341</v>
      </c>
      <c r="L80">
        <v>1440.1802169599996</v>
      </c>
      <c r="M80">
        <v>1440.1802169599996</v>
      </c>
      <c r="N80">
        <v>1440.1802169599996</v>
      </c>
      <c r="O80">
        <v>1440.1802169599996</v>
      </c>
      <c r="P80">
        <v>2242.1305315199993</v>
      </c>
      <c r="Q80">
        <v>2242.1305315199993</v>
      </c>
      <c r="R80">
        <v>2242.1305315199993</v>
      </c>
      <c r="S80">
        <v>2242.1305315199993</v>
      </c>
      <c r="T80">
        <v>2585.1112943485527</v>
      </c>
      <c r="U80">
        <v>2585.1112943485527</v>
      </c>
      <c r="V80">
        <v>2585.1112943485527</v>
      </c>
      <c r="W80">
        <v>2585.1112943485527</v>
      </c>
      <c r="X80">
        <v>2687.9032787788624</v>
      </c>
      <c r="Y80">
        <v>2687.9032787788624</v>
      </c>
      <c r="Z80">
        <v>2687.9032787788624</v>
      </c>
      <c r="AA80">
        <v>2687.9032787788624</v>
      </c>
      <c r="AB80">
        <v>7724.3471144000005</v>
      </c>
      <c r="AC80">
        <v>7724.3471144000005</v>
      </c>
      <c r="AD80">
        <v>7724.3471144000005</v>
      </c>
      <c r="AE80">
        <v>7724.3471144000005</v>
      </c>
      <c r="AF80">
        <v>1443.7596159999996</v>
      </c>
      <c r="AG80">
        <v>1443.7596159999996</v>
      </c>
      <c r="AH80">
        <v>1443.7596159999996</v>
      </c>
      <c r="AI80">
        <v>1443.7596159999996</v>
      </c>
      <c r="AJ80">
        <v>2246.0934375999991</v>
      </c>
      <c r="AK80">
        <v>2246.0934375999991</v>
      </c>
      <c r="AL80">
        <v>2246.0934375999991</v>
      </c>
      <c r="AM80">
        <v>2246.0934375999991</v>
      </c>
      <c r="AN80">
        <v>2589.9690501885525</v>
      </c>
      <c r="AO80">
        <v>2589.9690501885525</v>
      </c>
      <c r="AP80">
        <v>2589.9690501885525</v>
      </c>
      <c r="AQ80">
        <v>2589.9690501885525</v>
      </c>
      <c r="AR80">
        <v>2692.7610346188621</v>
      </c>
      <c r="AS80">
        <v>2692.7610346188621</v>
      </c>
      <c r="AT80">
        <v>2692.7610346188621</v>
      </c>
      <c r="AU80">
        <v>2692.7610346188621</v>
      </c>
      <c r="AV80">
        <v>7731.7615838400006</v>
      </c>
      <c r="AW80">
        <v>7731.7615838400006</v>
      </c>
      <c r="AX80">
        <v>7731.7615838400006</v>
      </c>
      <c r="AY80">
        <v>7731.7615838400006</v>
      </c>
      <c r="AZ80">
        <v>10643.145008000001</v>
      </c>
      <c r="BA80">
        <v>10643.145008000001</v>
      </c>
      <c r="BB80">
        <v>10643.145008000001</v>
      </c>
      <c r="BC80">
        <v>10643.145008000001</v>
      </c>
      <c r="BD80">
        <v>10648.13059952</v>
      </c>
      <c r="BE80">
        <v>10648.13059952</v>
      </c>
      <c r="BF80">
        <v>10648.13059952</v>
      </c>
      <c r="BG80">
        <v>10648.13059952</v>
      </c>
      <c r="BH80">
        <v>10648.8976136</v>
      </c>
      <c r="BI80">
        <v>10648.8976136</v>
      </c>
      <c r="BJ80">
        <v>10648.8976136</v>
      </c>
      <c r="BK80">
        <v>10648.8976136</v>
      </c>
      <c r="BL80">
        <v>16608.810074666671</v>
      </c>
      <c r="BM80">
        <v>16608.810074666671</v>
      </c>
      <c r="BN80">
        <v>16608.810074666671</v>
      </c>
      <c r="BO80">
        <v>16608.810074666671</v>
      </c>
      <c r="BP80">
        <v>16613.79566618667</v>
      </c>
      <c r="BQ80">
        <v>16613.79566618667</v>
      </c>
      <c r="BR80">
        <v>16613.79566618667</v>
      </c>
      <c r="BS80">
        <v>16613.79566618667</v>
      </c>
      <c r="BT80">
        <v>1377.8049787756522</v>
      </c>
      <c r="BU80">
        <v>1377.8049787756522</v>
      </c>
      <c r="BV80">
        <v>1377.8049787756522</v>
      </c>
      <c r="BW80">
        <v>1377.8049787756522</v>
      </c>
      <c r="BX80">
        <v>4499.3256357866667</v>
      </c>
      <c r="BY80">
        <v>4498.8142930666663</v>
      </c>
      <c r="BZ80">
        <v>4498.8142930666663</v>
      </c>
      <c r="CA80">
        <v>4498.8142930666663</v>
      </c>
      <c r="CB80">
        <v>3899.8975895121566</v>
      </c>
      <c r="CC80">
        <v>3900.0254251921569</v>
      </c>
      <c r="CD80">
        <v>3900.2810965521567</v>
      </c>
      <c r="CE80">
        <v>3900.6646035921567</v>
      </c>
      <c r="CF80">
        <v>2911.9425919466667</v>
      </c>
      <c r="CG80">
        <v>2917.3446967466666</v>
      </c>
      <c r="CH80">
        <v>2916.2697937599996</v>
      </c>
      <c r="CI80">
        <v>2916.9089721599998</v>
      </c>
      <c r="CJ80">
        <v>2581.8571136685709</v>
      </c>
      <c r="CK80">
        <v>2578.2329567314282</v>
      </c>
      <c r="CL80">
        <v>2574.8644711542852</v>
      </c>
      <c r="CM80">
        <v>2574.0974570742851</v>
      </c>
      <c r="CQ80">
        <v>43.176680693333338</v>
      </c>
      <c r="CR80">
        <v>38.948497599999996</v>
      </c>
      <c r="CS80">
        <v>38.948497599999996</v>
      </c>
      <c r="CT80">
        <v>38.948497599999996</v>
      </c>
      <c r="CU80">
        <v>49.843347359999996</v>
      </c>
      <c r="CV80">
        <v>46.254342666666666</v>
      </c>
      <c r="CW80">
        <v>46.254342666666666</v>
      </c>
      <c r="CX80">
        <v>46.254342666666666</v>
      </c>
      <c r="CY80">
        <v>71.083281546666655</v>
      </c>
      <c r="CZ80">
        <v>70.316267466666659</v>
      </c>
      <c r="DA80">
        <v>70.316267466666659</v>
      </c>
      <c r="DB80">
        <v>70.316267466666659</v>
      </c>
      <c r="DC80">
        <v>6986.4356065904767</v>
      </c>
      <c r="DD80">
        <v>6979.6155576533338</v>
      </c>
      <c r="DE80">
        <v>6976.7584147961907</v>
      </c>
      <c r="DF80">
        <v>6976.7584147961907</v>
      </c>
      <c r="DG80">
        <v>13772.595248017777</v>
      </c>
      <c r="DH80">
        <v>13759.818742050371</v>
      </c>
      <c r="DI80">
        <v>13756.115038346667</v>
      </c>
      <c r="DJ80">
        <v>13752.411334642964</v>
      </c>
      <c r="DK80">
        <v>26019.399022080004</v>
      </c>
      <c r="DL80">
        <v>26019.399022080004</v>
      </c>
      <c r="DM80">
        <v>26019.399022080004</v>
      </c>
      <c r="DN80">
        <v>26019.399022080004</v>
      </c>
      <c r="DO80">
        <v>26128.273636640002</v>
      </c>
      <c r="DP80">
        <v>26128.273636640002</v>
      </c>
      <c r="DQ80">
        <v>26128.273636640002</v>
      </c>
      <c r="DR80">
        <v>26128.273636640002</v>
      </c>
      <c r="DS80">
        <v>7507.8143251733327</v>
      </c>
      <c r="DT80">
        <v>7479.7977712533329</v>
      </c>
      <c r="DU80">
        <v>7475.7977712533329</v>
      </c>
      <c r="DV80">
        <v>7475.7977712533329</v>
      </c>
      <c r="DW80">
        <v>5680.2042422795075</v>
      </c>
      <c r="DX80">
        <v>5655.2904087446923</v>
      </c>
      <c r="DY80">
        <v>5644.179297633581</v>
      </c>
      <c r="DZ80">
        <v>5640.4755939298766</v>
      </c>
      <c r="EA80">
        <v>12379.92617056</v>
      </c>
      <c r="EB80">
        <v>12353.82715184</v>
      </c>
      <c r="EC80">
        <v>12337.82715184</v>
      </c>
      <c r="ED80">
        <v>12333.82715184</v>
      </c>
      <c r="EE80">
        <v>18484.200887885716</v>
      </c>
      <c r="EF80">
        <v>18484.200887885716</v>
      </c>
      <c r="EG80">
        <v>18484.200887885716</v>
      </c>
      <c r="EH80">
        <v>18484.200887885716</v>
      </c>
      <c r="EI80">
        <v>4725.301529493333</v>
      </c>
      <c r="EJ80">
        <v>4725.301529493333</v>
      </c>
      <c r="EK80">
        <v>4725.301529493333</v>
      </c>
      <c r="EL80">
        <v>4725.301529493333</v>
      </c>
      <c r="EM80">
        <v>7267.8912798933325</v>
      </c>
      <c r="EN80">
        <v>7263.8912798933325</v>
      </c>
      <c r="EO80">
        <v>7259.8912798933325</v>
      </c>
      <c r="EP80">
        <v>7259.8912798933325</v>
      </c>
      <c r="EQ80">
        <v>142.09841936780487</v>
      </c>
      <c r="ER80">
        <v>142.09841936780487</v>
      </c>
      <c r="ES80">
        <v>142.09841936780487</v>
      </c>
      <c r="ET80">
        <v>142.09841936780487</v>
      </c>
      <c r="EU80">
        <v>150.63297051707318</v>
      </c>
      <c r="EV80">
        <v>150.63297051707318</v>
      </c>
      <c r="EW80">
        <v>150.63297051707318</v>
      </c>
      <c r="EX80">
        <v>150.63297051707318</v>
      </c>
      <c r="EY80">
        <v>41571.151085368889</v>
      </c>
      <c r="EZ80">
        <v>41476.635451768889</v>
      </c>
      <c r="FA80">
        <v>41456.635451768889</v>
      </c>
      <c r="FB80">
        <v>41456.635451768889</v>
      </c>
      <c r="FC80">
        <v>913.26208399999985</v>
      </c>
      <c r="FD80">
        <v>913.26208399999985</v>
      </c>
      <c r="FE80">
        <v>913.26208399999985</v>
      </c>
      <c r="FF80" t="e">
        <v>#DIV/0!</v>
      </c>
      <c r="FG80" t="e">
        <v>#DIV/0!</v>
      </c>
      <c r="FH80" t="e">
        <v>#DIV/0!</v>
      </c>
      <c r="FI80" t="e">
        <v>#DIV/0!</v>
      </c>
      <c r="FJ80">
        <v>821.73725509333337</v>
      </c>
    </row>
    <row r="81" spans="2:166">
      <c r="B81" s="10" t="s">
        <v>677</v>
      </c>
      <c r="C81" s="10" t="s">
        <v>641</v>
      </c>
      <c r="D81">
        <v>1537.0109925333334</v>
      </c>
      <c r="E81">
        <v>1529.2170021333332</v>
      </c>
      <c r="F81">
        <v>1529.2170021333332</v>
      </c>
      <c r="G81">
        <v>1529.2170021333332</v>
      </c>
      <c r="H81">
        <v>9530.4600090666663</v>
      </c>
      <c r="I81">
        <v>9530.4600090666663</v>
      </c>
      <c r="J81">
        <v>9530.4600090666663</v>
      </c>
      <c r="K81">
        <v>9530.4600090666663</v>
      </c>
      <c r="L81">
        <v>2856.0882086399993</v>
      </c>
      <c r="M81">
        <v>2860.0882086399993</v>
      </c>
      <c r="N81">
        <v>2860.0882086399993</v>
      </c>
      <c r="O81">
        <v>2860.0882086399993</v>
      </c>
      <c r="P81">
        <v>4454.1991382399983</v>
      </c>
      <c r="Q81">
        <v>4454.1991382399983</v>
      </c>
      <c r="R81">
        <v>4454.1991382399983</v>
      </c>
      <c r="S81">
        <v>4454.1991382399983</v>
      </c>
      <c r="T81">
        <v>5146.1152930171056</v>
      </c>
      <c r="U81">
        <v>5146.1152930171056</v>
      </c>
      <c r="V81">
        <v>5146.1152930171056</v>
      </c>
      <c r="W81">
        <v>5146.1152930171056</v>
      </c>
      <c r="X81">
        <v>5350.6765764377251</v>
      </c>
      <c r="Y81">
        <v>5350.6765764377251</v>
      </c>
      <c r="Z81">
        <v>5350.6765764377251</v>
      </c>
      <c r="AA81">
        <v>5350.6765764377251</v>
      </c>
      <c r="AB81">
        <v>15350.245733173335</v>
      </c>
      <c r="AC81">
        <v>15350.245733173335</v>
      </c>
      <c r="AD81">
        <v>15350.245733173335</v>
      </c>
      <c r="AE81">
        <v>15350.245733173335</v>
      </c>
      <c r="AF81">
        <v>2859.667607679999</v>
      </c>
      <c r="AG81">
        <v>2863.667607679999</v>
      </c>
      <c r="AH81">
        <v>2863.667607679999</v>
      </c>
      <c r="AI81">
        <v>2863.667607679999</v>
      </c>
      <c r="AJ81">
        <v>4458.162044319999</v>
      </c>
      <c r="AK81">
        <v>4458.162044319999</v>
      </c>
      <c r="AL81">
        <v>4458.162044319999</v>
      </c>
      <c r="AM81">
        <v>4458.162044319999</v>
      </c>
      <c r="AN81">
        <v>5150.9730488571058</v>
      </c>
      <c r="AO81">
        <v>5150.9730488571058</v>
      </c>
      <c r="AP81">
        <v>5150.9730488571058</v>
      </c>
      <c r="AQ81">
        <v>5150.9730488571058</v>
      </c>
      <c r="AR81">
        <v>5355.5343322777253</v>
      </c>
      <c r="AS81">
        <v>5355.5343322777253</v>
      </c>
      <c r="AT81">
        <v>5355.5343322777253</v>
      </c>
      <c r="AU81">
        <v>5355.5343322777253</v>
      </c>
      <c r="AV81">
        <v>15357.660202613335</v>
      </c>
      <c r="AW81">
        <v>15357.660202613335</v>
      </c>
      <c r="AX81">
        <v>15357.660202613335</v>
      </c>
      <c r="AY81">
        <v>15357.660202613335</v>
      </c>
      <c r="AZ81">
        <v>31523.824979199999</v>
      </c>
      <c r="BA81">
        <v>31523.824979199999</v>
      </c>
      <c r="BB81">
        <v>31523.824979199999</v>
      </c>
      <c r="BC81">
        <v>31523.824979199999</v>
      </c>
      <c r="BD81">
        <v>31528.810570719997</v>
      </c>
      <c r="BE81">
        <v>31528.810570719997</v>
      </c>
      <c r="BF81">
        <v>31528.810570719997</v>
      </c>
      <c r="BG81">
        <v>31528.810570719997</v>
      </c>
      <c r="BH81">
        <v>31529.577584799998</v>
      </c>
      <c r="BI81">
        <v>31529.577584799998</v>
      </c>
      <c r="BJ81">
        <v>31529.577584799998</v>
      </c>
      <c r="BK81">
        <v>31529.577584799998</v>
      </c>
      <c r="BL81">
        <v>50279.724712533331</v>
      </c>
      <c r="BM81">
        <v>50279.724712533331</v>
      </c>
      <c r="BN81">
        <v>50279.724712533331</v>
      </c>
      <c r="BO81">
        <v>50279.724712533331</v>
      </c>
      <c r="BP81">
        <v>50284.710304053333</v>
      </c>
      <c r="BQ81">
        <v>50284.710304053333</v>
      </c>
      <c r="BR81">
        <v>50284.710304053333</v>
      </c>
      <c r="BS81">
        <v>50284.710304053333</v>
      </c>
      <c r="BT81">
        <v>1626.6846141147828</v>
      </c>
      <c r="BU81">
        <v>1622.6846141147828</v>
      </c>
      <c r="BV81">
        <v>1622.6846141147828</v>
      </c>
      <c r="BW81">
        <v>1622.6846141147828</v>
      </c>
      <c r="BX81">
        <v>5706.2569697866675</v>
      </c>
      <c r="BY81">
        <v>5705.7456270666671</v>
      </c>
      <c r="BZ81">
        <v>5701.5789604000001</v>
      </c>
      <c r="CA81">
        <v>5701.5789604000001</v>
      </c>
      <c r="CB81">
        <v>4810.35783715451</v>
      </c>
      <c r="CC81">
        <v>4810.4856728345103</v>
      </c>
      <c r="CD81">
        <v>4810.74134419451</v>
      </c>
      <c r="CE81">
        <v>4811.1248512345101</v>
      </c>
      <c r="CF81">
        <v>3349.1886458133331</v>
      </c>
      <c r="CG81">
        <v>3345.7934892799994</v>
      </c>
      <c r="CH81">
        <v>3361.8389617599996</v>
      </c>
      <c r="CI81">
        <v>3362.4781401599998</v>
      </c>
      <c r="CJ81">
        <v>2766.6709824685709</v>
      </c>
      <c r="CK81">
        <v>2763.0468255314281</v>
      </c>
      <c r="CL81">
        <v>2762.5354828114282</v>
      </c>
      <c r="CM81">
        <v>2758.911325874285</v>
      </c>
      <c r="CQ81">
        <v>49.843347359999996</v>
      </c>
      <c r="CR81">
        <v>45.615164266666667</v>
      </c>
      <c r="CS81">
        <v>45.615164266666667</v>
      </c>
      <c r="CT81">
        <v>45.615164266666667</v>
      </c>
      <c r="CU81">
        <v>59.843347359999996</v>
      </c>
      <c r="CV81">
        <v>56.254342666666666</v>
      </c>
      <c r="CW81">
        <v>56.254342666666666</v>
      </c>
      <c r="CX81">
        <v>56.254342666666666</v>
      </c>
      <c r="CY81">
        <v>84.416614879999997</v>
      </c>
      <c r="CZ81">
        <v>80.316267466666659</v>
      </c>
      <c r="DA81">
        <v>80.316267466666659</v>
      </c>
      <c r="DB81">
        <v>80.316267466666659</v>
      </c>
      <c r="DC81">
        <v>9808.9799816000013</v>
      </c>
      <c r="DD81">
        <v>9802.1599326628566</v>
      </c>
      <c r="DE81">
        <v>9799.3027898057153</v>
      </c>
      <c r="DF81">
        <v>9799.3027898057153</v>
      </c>
      <c r="DG81">
        <v>19384.344302832593</v>
      </c>
      <c r="DH81">
        <v>19367.864093161483</v>
      </c>
      <c r="DI81">
        <v>19360.456685754074</v>
      </c>
      <c r="DJ81">
        <v>19356.75298205037</v>
      </c>
      <c r="DK81">
        <v>38875.637162880004</v>
      </c>
      <c r="DL81">
        <v>38875.637162880004</v>
      </c>
      <c r="DM81">
        <v>38875.637162880004</v>
      </c>
      <c r="DN81">
        <v>38875.637162880004</v>
      </c>
      <c r="DO81">
        <v>38994.511777440006</v>
      </c>
      <c r="DP81">
        <v>38994.511777440006</v>
      </c>
      <c r="DQ81">
        <v>38994.511777440006</v>
      </c>
      <c r="DR81">
        <v>38994.511777440006</v>
      </c>
      <c r="DS81">
        <v>8411.2109899200004</v>
      </c>
      <c r="DT81">
        <v>8383.1944360000016</v>
      </c>
      <c r="DU81">
        <v>8375.1944360000016</v>
      </c>
      <c r="DV81">
        <v>8375.1944360000016</v>
      </c>
      <c r="DW81">
        <v>6453.8513838103709</v>
      </c>
      <c r="DX81">
        <v>6421.5301428681487</v>
      </c>
      <c r="DY81">
        <v>6406.7153280533339</v>
      </c>
      <c r="DZ81">
        <v>6399.3079206459261</v>
      </c>
      <c r="EA81">
        <v>14034.65399008</v>
      </c>
      <c r="EB81">
        <v>13996.554971359999</v>
      </c>
      <c r="EC81">
        <v>13976.554971359999</v>
      </c>
      <c r="ED81">
        <v>13964.554971359999</v>
      </c>
      <c r="EE81">
        <v>27672.920301028567</v>
      </c>
      <c r="EF81">
        <v>27672.920301028567</v>
      </c>
      <c r="EG81">
        <v>27672.920301028567</v>
      </c>
      <c r="EH81">
        <v>27672.920301028567</v>
      </c>
      <c r="EI81">
        <v>6965.8961961599998</v>
      </c>
      <c r="EJ81">
        <v>6965.8961961599998</v>
      </c>
      <c r="EK81">
        <v>6965.8961961599998</v>
      </c>
      <c r="EL81">
        <v>6965.8961961599998</v>
      </c>
      <c r="EM81">
        <v>9085.9010413866672</v>
      </c>
      <c r="EN81">
        <v>9077.9010413866672</v>
      </c>
      <c r="EO81">
        <v>9069.9010413866672</v>
      </c>
      <c r="EP81">
        <v>9069.9010413866672</v>
      </c>
      <c r="EQ81">
        <v>49.983750880000002</v>
      </c>
      <c r="ER81">
        <v>49.983750880000002</v>
      </c>
      <c r="ES81">
        <v>49.983750880000002</v>
      </c>
      <c r="ET81">
        <v>49.983750880000002</v>
      </c>
      <c r="EU81">
        <v>162.11403080975612</v>
      </c>
      <c r="EV81">
        <v>162.11403080975612</v>
      </c>
      <c r="EW81">
        <v>162.11403080975612</v>
      </c>
      <c r="EX81">
        <v>162.11403080975612</v>
      </c>
      <c r="EY81">
        <v>57300.099650257784</v>
      </c>
      <c r="EZ81">
        <v>57185.584016657784</v>
      </c>
      <c r="FA81">
        <v>57155.584016657784</v>
      </c>
      <c r="FB81">
        <v>57155.584016657784</v>
      </c>
      <c r="FC81">
        <v>1020.04197072</v>
      </c>
      <c r="FD81">
        <v>1020.04197072</v>
      </c>
      <c r="FE81">
        <v>1020.04197072</v>
      </c>
      <c r="FF81" t="e">
        <v>#DIV/0!</v>
      </c>
      <c r="FG81" t="e">
        <v>#DIV/0!</v>
      </c>
      <c r="FH81" t="e">
        <v>#DIV/0!</v>
      </c>
      <c r="FI81" t="e">
        <v>#DIV/0!</v>
      </c>
      <c r="FJ81">
        <v>860.08795909333321</v>
      </c>
    </row>
    <row r="85" spans="2:166">
      <c r="E85">
        <f>1.1632*1.099</f>
        <v>1.2783568000000001</v>
      </c>
      <c r="F85">
        <v>1.2783568000000001</v>
      </c>
    </row>
  </sheetData>
  <phoneticPr fontId="6" type="noConversion"/>
  <hyperlinks>
    <hyperlink ref="D2" r:id="rId1" xr:uid="{4A7650D4-DC59-C84A-A86E-898D719298EC}"/>
    <hyperlink ref="CN2" r:id="rId2" display="https://doi.org/10.1016/j.joule.2022.08.009" xr:uid="{99511D12-94E7-9B4D-B778-51ABB384C9A1}"/>
    <hyperlink ref="CO2" r:id="rId3" display="https://doi.org/10.1016/j.joule.2022.08.009" xr:uid="{1351383A-B7BF-714C-A196-39212CD9BB2F}"/>
    <hyperlink ref="CP2" r:id="rId4" display="https://doi.org/10.1016/j.joule.2022.08.009" xr:uid="{39C10E37-D3D6-7743-8B69-68BA0A005CB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122DD-0E2B-9849-9799-D88AF2358AE7}">
  <sheetPr>
    <tabColor rgb="FFEBF4F7"/>
  </sheetPr>
  <dimension ref="A3:DF155"/>
  <sheetViews>
    <sheetView workbookViewId="0">
      <pane xSplit="5" ySplit="3" topLeftCell="F4" activePane="bottomRight" state="frozenSplit"/>
      <selection pane="bottomRight" activeCell="J29" sqref="J29"/>
      <selection pane="bottomLeft" activeCell="A2" sqref="A2"/>
      <selection pane="topRight" activeCell="E1" sqref="E1"/>
    </sheetView>
    <sheetView workbookViewId="1">
      <selection activeCell="I27" sqref="I27"/>
    </sheetView>
  </sheetViews>
  <sheetFormatPr defaultColWidth="11.42578125" defaultRowHeight="15"/>
  <cols>
    <col min="3" max="3" width="31.140625" customWidth="1"/>
    <col min="4" max="4" width="9.140625" customWidth="1"/>
    <col min="5" max="5" width="16.7109375" bestFit="1" customWidth="1"/>
    <col min="8" max="8" width="27.85546875" customWidth="1"/>
    <col min="10" max="110" width="11.7109375" bestFit="1" customWidth="1"/>
  </cols>
  <sheetData>
    <row r="3" spans="1:110" s="3" customFormat="1">
      <c r="A3" s="3" t="s">
        <v>680</v>
      </c>
      <c r="B3" s="3" t="s">
        <v>78</v>
      </c>
      <c r="C3" s="3" t="s">
        <v>610</v>
      </c>
      <c r="D3" s="3" t="s">
        <v>681</v>
      </c>
      <c r="E3" s="3" t="s">
        <v>682</v>
      </c>
      <c r="F3" s="3" t="s">
        <v>226</v>
      </c>
      <c r="G3" s="3" t="s">
        <v>683</v>
      </c>
      <c r="H3" s="3" t="s">
        <v>684</v>
      </c>
      <c r="I3" s="3" t="s">
        <v>116</v>
      </c>
      <c r="J3" s="3">
        <v>2020</v>
      </c>
      <c r="K3" s="3">
        <v>2021</v>
      </c>
      <c r="L3" s="3">
        <v>2022</v>
      </c>
      <c r="M3" s="3">
        <v>2023</v>
      </c>
      <c r="N3" s="3">
        <v>2024</v>
      </c>
      <c r="O3" s="3">
        <v>2025</v>
      </c>
      <c r="P3" s="3">
        <v>2026</v>
      </c>
      <c r="Q3" s="3">
        <v>2027</v>
      </c>
      <c r="R3" s="3">
        <v>2028</v>
      </c>
      <c r="S3" s="3">
        <v>2029</v>
      </c>
      <c r="T3" s="3">
        <v>2030</v>
      </c>
      <c r="U3" s="3">
        <v>2031</v>
      </c>
      <c r="V3" s="3">
        <v>2032</v>
      </c>
      <c r="W3" s="3">
        <v>2033</v>
      </c>
      <c r="X3" s="3">
        <v>2034</v>
      </c>
      <c r="Y3" s="3">
        <v>2035</v>
      </c>
      <c r="Z3" s="3">
        <v>2036</v>
      </c>
      <c r="AA3" s="3">
        <v>2037</v>
      </c>
      <c r="AB3" s="3">
        <v>2038</v>
      </c>
      <c r="AC3" s="3">
        <v>2039</v>
      </c>
      <c r="AD3" s="3">
        <v>2040</v>
      </c>
      <c r="AE3" s="3">
        <v>2041</v>
      </c>
      <c r="AF3" s="3">
        <v>2042</v>
      </c>
      <c r="AG3" s="3">
        <v>2043</v>
      </c>
      <c r="AH3" s="3">
        <v>2044</v>
      </c>
      <c r="AI3" s="3">
        <v>2045</v>
      </c>
      <c r="AJ3" s="3">
        <v>2046</v>
      </c>
      <c r="AK3" s="3">
        <v>2047</v>
      </c>
      <c r="AL3" s="3">
        <v>2048</v>
      </c>
      <c r="AM3" s="3">
        <v>2049</v>
      </c>
      <c r="AN3" s="3">
        <v>2050</v>
      </c>
      <c r="AO3" s="3">
        <v>2051</v>
      </c>
      <c r="AP3" s="3">
        <v>2052</v>
      </c>
      <c r="AQ3" s="3">
        <v>2053</v>
      </c>
      <c r="AR3" s="3">
        <v>2054</v>
      </c>
      <c r="AS3" s="3">
        <v>2055</v>
      </c>
      <c r="AT3" s="3">
        <v>2056</v>
      </c>
      <c r="AU3" s="3">
        <v>2057</v>
      </c>
      <c r="AV3" s="3">
        <v>2058</v>
      </c>
      <c r="AW3" s="3">
        <v>2059</v>
      </c>
      <c r="AX3" s="3">
        <v>2060</v>
      </c>
      <c r="AY3" s="3">
        <v>2061</v>
      </c>
      <c r="AZ3" s="3">
        <v>2062</v>
      </c>
      <c r="BA3" s="3">
        <v>2063</v>
      </c>
      <c r="BB3" s="3">
        <v>2064</v>
      </c>
      <c r="BC3" s="3">
        <v>2065</v>
      </c>
      <c r="BD3" s="3">
        <v>2066</v>
      </c>
      <c r="BE3" s="3">
        <v>2067</v>
      </c>
      <c r="BF3" s="3">
        <v>2068</v>
      </c>
      <c r="BG3" s="3">
        <v>2069</v>
      </c>
      <c r="BH3" s="3">
        <v>2070</v>
      </c>
      <c r="BI3" s="3">
        <v>2071</v>
      </c>
      <c r="BJ3" s="3">
        <v>2072</v>
      </c>
      <c r="BK3" s="3">
        <v>2073</v>
      </c>
      <c r="BL3" s="3">
        <v>2074</v>
      </c>
      <c r="BM3" s="3">
        <v>2075</v>
      </c>
      <c r="BN3" s="3">
        <v>2076</v>
      </c>
      <c r="BO3" s="3">
        <v>2077</v>
      </c>
      <c r="BP3" s="3">
        <v>2078</v>
      </c>
      <c r="BQ3" s="3">
        <v>2079</v>
      </c>
      <c r="BR3" s="3">
        <v>2080</v>
      </c>
      <c r="BS3" s="3">
        <v>2081</v>
      </c>
      <c r="BT3" s="3">
        <v>2082</v>
      </c>
      <c r="BU3" s="3">
        <v>2083</v>
      </c>
      <c r="BV3" s="3">
        <v>2084</v>
      </c>
      <c r="BW3" s="3">
        <v>2085</v>
      </c>
      <c r="BX3" s="3">
        <v>2086</v>
      </c>
      <c r="BY3" s="3">
        <v>2087</v>
      </c>
      <c r="BZ3" s="3">
        <v>2088</v>
      </c>
      <c r="CA3" s="3">
        <v>2089</v>
      </c>
      <c r="CB3" s="3">
        <v>2090</v>
      </c>
      <c r="CC3" s="3">
        <v>2091</v>
      </c>
      <c r="CD3" s="3">
        <v>2092</v>
      </c>
      <c r="CE3" s="3">
        <v>2093</v>
      </c>
      <c r="CF3" s="3">
        <v>2094</v>
      </c>
      <c r="CG3" s="3">
        <v>2095</v>
      </c>
      <c r="CH3" s="3">
        <v>2096</v>
      </c>
      <c r="CI3" s="3">
        <v>2097</v>
      </c>
      <c r="CJ3" s="3">
        <v>2098</v>
      </c>
      <c r="CK3" s="3">
        <v>2099</v>
      </c>
      <c r="CL3" s="3">
        <v>2100</v>
      </c>
      <c r="CM3" s="3">
        <v>2101</v>
      </c>
      <c r="CN3" s="3">
        <v>2102</v>
      </c>
      <c r="CO3" s="3">
        <v>2103</v>
      </c>
      <c r="CP3" s="3">
        <v>2104</v>
      </c>
      <c r="CQ3" s="3">
        <v>2105</v>
      </c>
      <c r="CR3" s="3">
        <v>2106</v>
      </c>
      <c r="CS3" s="3">
        <v>2107</v>
      </c>
      <c r="CT3" s="3">
        <v>2108</v>
      </c>
      <c r="CU3" s="3">
        <v>2109</v>
      </c>
      <c r="CV3" s="3">
        <v>2110</v>
      </c>
      <c r="CW3" s="3">
        <v>2111</v>
      </c>
      <c r="CX3" s="3">
        <v>2112</v>
      </c>
      <c r="CY3" s="3">
        <v>2113</v>
      </c>
      <c r="CZ3" s="3">
        <v>2114</v>
      </c>
      <c r="DA3" s="3">
        <v>2115</v>
      </c>
      <c r="DB3" s="3">
        <v>2116</v>
      </c>
      <c r="DC3" s="3">
        <v>2117</v>
      </c>
      <c r="DD3" s="3">
        <v>2118</v>
      </c>
      <c r="DE3" s="3">
        <v>2119</v>
      </c>
      <c r="DF3" s="3">
        <v>2120</v>
      </c>
    </row>
    <row r="4" spans="1:110">
      <c r="B4" t="s">
        <v>620</v>
      </c>
      <c r="C4" t="s">
        <v>685</v>
      </c>
      <c r="D4">
        <v>6</v>
      </c>
      <c r="E4" t="str">
        <f>_xlfn.CONCAT(B4,", ",C4)</f>
        <v>Uraani, Suomi, 2010 hinnat</v>
      </c>
      <c r="H4" t="s">
        <v>389</v>
      </c>
      <c r="I4" t="s">
        <v>686</v>
      </c>
      <c r="J4">
        <v>2.3519999999999999</v>
      </c>
      <c r="K4">
        <v>2.3519999999999999</v>
      </c>
      <c r="L4">
        <v>2.3519999999999999</v>
      </c>
      <c r="M4">
        <v>2.3519999999999999</v>
      </c>
      <c r="N4">
        <v>2.3519999999999999</v>
      </c>
      <c r="O4">
        <v>2.3519999999999999</v>
      </c>
      <c r="P4">
        <v>2.3519999999999999</v>
      </c>
      <c r="Q4">
        <v>2.3519999999999999</v>
      </c>
      <c r="R4">
        <v>2.3519999999999999</v>
      </c>
      <c r="S4">
        <v>2.3519999999999999</v>
      </c>
      <c r="T4">
        <v>2.3519999999999999</v>
      </c>
      <c r="U4">
        <v>2.3519999999999999</v>
      </c>
      <c r="V4">
        <v>2.3519999999999999</v>
      </c>
      <c r="W4">
        <v>2.3519999999999999</v>
      </c>
      <c r="X4">
        <v>2.3519999999999999</v>
      </c>
      <c r="Y4">
        <v>2.3519999999999999</v>
      </c>
      <c r="Z4">
        <v>2.3519999999999999</v>
      </c>
      <c r="AA4">
        <v>2.3519999999999999</v>
      </c>
      <c r="AB4">
        <v>2.3519999999999999</v>
      </c>
      <c r="AC4">
        <v>2.3519999999999999</v>
      </c>
      <c r="AD4">
        <v>2.3519999999999999</v>
      </c>
      <c r="AE4">
        <v>2.3519999999999999</v>
      </c>
      <c r="AF4">
        <v>2.3519999999999999</v>
      </c>
      <c r="AG4">
        <v>2.3519999999999999</v>
      </c>
      <c r="AH4">
        <v>2.3519999999999999</v>
      </c>
      <c r="AI4">
        <v>2.3519999999999999</v>
      </c>
      <c r="AJ4">
        <v>2.3519999999999999</v>
      </c>
      <c r="AK4">
        <v>2.3519999999999999</v>
      </c>
      <c r="AL4">
        <v>2.3519999999999999</v>
      </c>
      <c r="AM4">
        <v>2.3519999999999999</v>
      </c>
      <c r="AN4">
        <v>2.3519999999999999</v>
      </c>
      <c r="AO4">
        <v>2.3519999999999999</v>
      </c>
      <c r="AP4">
        <v>2.3519999999999999</v>
      </c>
      <c r="AQ4">
        <v>2.3519999999999999</v>
      </c>
      <c r="AR4">
        <v>2.3519999999999999</v>
      </c>
      <c r="AS4">
        <v>2.3519999999999999</v>
      </c>
      <c r="AT4">
        <v>2.3519999999999999</v>
      </c>
      <c r="AU4">
        <v>2.3519999999999999</v>
      </c>
      <c r="AV4">
        <v>2.3519999999999999</v>
      </c>
      <c r="AW4">
        <v>2.3519999999999999</v>
      </c>
      <c r="AX4">
        <v>2.3519999999999999</v>
      </c>
      <c r="AY4">
        <v>2.3519999999999999</v>
      </c>
      <c r="AZ4">
        <v>2.3519999999999999</v>
      </c>
      <c r="BA4">
        <v>2.3519999999999999</v>
      </c>
      <c r="BB4">
        <v>2.3519999999999999</v>
      </c>
      <c r="BC4">
        <v>2.3519999999999999</v>
      </c>
      <c r="BD4">
        <v>2.3519999999999999</v>
      </c>
      <c r="BE4">
        <v>2.3519999999999999</v>
      </c>
      <c r="BF4">
        <v>2.3519999999999999</v>
      </c>
      <c r="BG4">
        <v>2.3519999999999999</v>
      </c>
      <c r="BH4">
        <v>2.3519999999999999</v>
      </c>
      <c r="BI4">
        <v>2.3519999999999999</v>
      </c>
      <c r="BJ4">
        <v>2.3519999999999999</v>
      </c>
      <c r="BK4">
        <v>2.3519999999999999</v>
      </c>
      <c r="BL4">
        <v>2.3519999999999999</v>
      </c>
      <c r="BM4">
        <v>2.3519999999999999</v>
      </c>
      <c r="BN4">
        <v>2.3519999999999999</v>
      </c>
      <c r="BO4">
        <v>2.3519999999999999</v>
      </c>
      <c r="BP4">
        <v>2.3519999999999999</v>
      </c>
      <c r="BQ4">
        <v>2.3519999999999999</v>
      </c>
      <c r="BR4">
        <v>2.3519999999999999</v>
      </c>
      <c r="BS4">
        <v>2.3519999999999999</v>
      </c>
      <c r="BT4">
        <v>2.3519999999999999</v>
      </c>
      <c r="BU4">
        <v>2.3519999999999999</v>
      </c>
      <c r="BV4">
        <v>2.3519999999999999</v>
      </c>
      <c r="BW4">
        <v>2.3519999999999999</v>
      </c>
      <c r="BX4">
        <v>2.3519999999999999</v>
      </c>
      <c r="BY4">
        <v>2.3519999999999999</v>
      </c>
      <c r="BZ4">
        <v>2.3519999999999999</v>
      </c>
      <c r="CA4">
        <v>2.3519999999999999</v>
      </c>
      <c r="CB4">
        <v>2.3519999999999999</v>
      </c>
      <c r="CC4">
        <v>2.3519999999999999</v>
      </c>
      <c r="CD4">
        <v>2.3519999999999999</v>
      </c>
      <c r="CE4">
        <v>2.3519999999999999</v>
      </c>
      <c r="CF4">
        <v>2.3519999999999999</v>
      </c>
      <c r="CG4">
        <v>2.3519999999999999</v>
      </c>
      <c r="CH4">
        <v>2.3519999999999999</v>
      </c>
      <c r="CI4">
        <v>2.3519999999999999</v>
      </c>
      <c r="CJ4">
        <v>2.3519999999999999</v>
      </c>
      <c r="CK4">
        <v>2.3519999999999999</v>
      </c>
      <c r="CL4">
        <v>2.3519999999999999</v>
      </c>
      <c r="CM4">
        <v>2.3519999999999999</v>
      </c>
      <c r="CN4">
        <v>2.3519999999999999</v>
      </c>
      <c r="CO4">
        <v>2.3519999999999999</v>
      </c>
      <c r="CP4">
        <v>2.3519999999999999</v>
      </c>
      <c r="CQ4">
        <v>2.3519999999999999</v>
      </c>
      <c r="CR4">
        <v>2.3519999999999999</v>
      </c>
      <c r="CS4">
        <v>2.3519999999999999</v>
      </c>
      <c r="CT4">
        <v>2.3519999999999999</v>
      </c>
      <c r="CU4">
        <v>2.3519999999999999</v>
      </c>
      <c r="CV4">
        <v>2.3519999999999999</v>
      </c>
      <c r="CW4">
        <v>2.3519999999999999</v>
      </c>
      <c r="CX4">
        <v>2.3519999999999999</v>
      </c>
      <c r="CY4">
        <v>2.3519999999999999</v>
      </c>
      <c r="CZ4">
        <v>2.3519999999999999</v>
      </c>
      <c r="DA4">
        <v>2.3519999999999999</v>
      </c>
      <c r="DB4">
        <v>2.3519999999999999</v>
      </c>
      <c r="DC4">
        <v>2.3519999999999999</v>
      </c>
      <c r="DD4">
        <v>2.3519999999999999</v>
      </c>
      <c r="DE4">
        <v>2.3519999999999999</v>
      </c>
      <c r="DF4">
        <v>2.3519999999999999</v>
      </c>
    </row>
    <row r="5" spans="1:110">
      <c r="A5" t="s">
        <v>611</v>
      </c>
      <c r="B5" t="s">
        <v>611</v>
      </c>
      <c r="C5" t="s">
        <v>642</v>
      </c>
      <c r="D5">
        <v>1</v>
      </c>
      <c r="E5" t="s">
        <v>687</v>
      </c>
      <c r="F5" t="s">
        <v>688</v>
      </c>
      <c r="G5">
        <v>2021</v>
      </c>
      <c r="H5" t="s">
        <v>689</v>
      </c>
      <c r="I5" t="s">
        <v>686</v>
      </c>
      <c r="J5" s="43">
        <v>28.434999999999999</v>
      </c>
      <c r="K5" s="43">
        <v>28.434999999999999</v>
      </c>
      <c r="L5" s="43">
        <v>28.434999999999999</v>
      </c>
      <c r="M5" s="43">
        <v>28.434999999999999</v>
      </c>
      <c r="N5" s="43">
        <v>28.434999999999999</v>
      </c>
      <c r="O5" s="43">
        <v>28.434999999999999</v>
      </c>
      <c r="P5" s="43">
        <v>26.387679999999996</v>
      </c>
      <c r="Q5" s="43">
        <v>24.340359999999997</v>
      </c>
      <c r="R5" s="43">
        <v>22.293039999999998</v>
      </c>
      <c r="S5" s="43">
        <v>20.245719999999995</v>
      </c>
      <c r="T5" s="43">
        <v>18.198399999999999</v>
      </c>
      <c r="U5" s="43">
        <v>18.198399999999999</v>
      </c>
      <c r="V5" s="43">
        <v>18.198399999999999</v>
      </c>
      <c r="W5" s="43">
        <v>18.198399999999999</v>
      </c>
      <c r="X5" s="43">
        <v>18.198399999999999</v>
      </c>
      <c r="Y5" s="43">
        <v>18.198399999999999</v>
      </c>
      <c r="Z5" s="43">
        <v>18.425879999999999</v>
      </c>
      <c r="AA5" s="43">
        <v>18.653359999999999</v>
      </c>
      <c r="AB5" s="43">
        <v>18.880839999999999</v>
      </c>
      <c r="AC5" s="43">
        <v>19.108320000000003</v>
      </c>
      <c r="AD5" s="43">
        <v>19.335799999999999</v>
      </c>
      <c r="AE5" s="43">
        <v>19.335799999999999</v>
      </c>
      <c r="AF5" s="43">
        <v>19.335799999999999</v>
      </c>
      <c r="AG5" s="43">
        <v>19.335799999999999</v>
      </c>
      <c r="AH5" s="43">
        <v>19.335799999999999</v>
      </c>
      <c r="AI5" s="43">
        <v>19.335799999999999</v>
      </c>
      <c r="AJ5" s="43">
        <v>19.335799999999999</v>
      </c>
      <c r="AK5" s="43">
        <v>19.335799999999999</v>
      </c>
      <c r="AL5" s="43">
        <v>19.335799999999999</v>
      </c>
      <c r="AM5" s="43">
        <v>19.335799999999999</v>
      </c>
      <c r="AN5" s="43">
        <v>19.335799999999999</v>
      </c>
      <c r="AO5" s="43">
        <v>19.335799999999999</v>
      </c>
      <c r="AP5" s="43">
        <v>19.335799999999999</v>
      </c>
      <c r="AQ5" s="43">
        <v>19.335799999999999</v>
      </c>
      <c r="AR5" s="43">
        <v>19.335799999999999</v>
      </c>
      <c r="AS5" s="43">
        <v>19.335799999999999</v>
      </c>
      <c r="AT5" s="43">
        <v>19.335799999999999</v>
      </c>
      <c r="AU5" s="43">
        <v>19.335799999999999</v>
      </c>
      <c r="AV5" s="43">
        <v>19.335799999999999</v>
      </c>
      <c r="AW5" s="43">
        <v>19.335799999999999</v>
      </c>
      <c r="AX5" s="43">
        <v>19.335799999999999</v>
      </c>
      <c r="AY5" s="43">
        <v>19.335799999999999</v>
      </c>
      <c r="AZ5" s="43">
        <v>19.335799999999999</v>
      </c>
      <c r="BA5" s="43">
        <v>19.335799999999999</v>
      </c>
      <c r="BB5" s="43">
        <v>19.335799999999999</v>
      </c>
      <c r="BC5" s="43">
        <v>19.335799999999999</v>
      </c>
      <c r="BD5" s="43">
        <v>19.335799999999999</v>
      </c>
      <c r="BE5" s="43">
        <v>19.335799999999999</v>
      </c>
      <c r="BF5" s="43">
        <v>19.335799999999999</v>
      </c>
      <c r="BG5" s="43">
        <v>19.335799999999999</v>
      </c>
      <c r="BH5" s="43">
        <v>19.335799999999999</v>
      </c>
      <c r="BI5" s="43">
        <v>19.335799999999999</v>
      </c>
      <c r="BJ5" s="43">
        <v>19.335799999999999</v>
      </c>
      <c r="BK5" s="43">
        <v>19.335799999999999</v>
      </c>
      <c r="BL5" s="43">
        <v>19.335799999999999</v>
      </c>
      <c r="BM5" s="43">
        <v>19.335799999999999</v>
      </c>
      <c r="BN5" s="43">
        <v>19.335799999999999</v>
      </c>
      <c r="BO5" s="43">
        <v>19.335799999999999</v>
      </c>
      <c r="BP5" s="43">
        <v>19.335799999999999</v>
      </c>
      <c r="BQ5" s="43">
        <v>19.335799999999999</v>
      </c>
      <c r="BR5" s="43">
        <v>19.335799999999999</v>
      </c>
      <c r="BS5" s="43">
        <v>19.335799999999999</v>
      </c>
      <c r="BT5" s="43">
        <v>19.335799999999999</v>
      </c>
      <c r="BU5" s="43">
        <v>19.335799999999999</v>
      </c>
      <c r="BV5" s="43">
        <v>19.335799999999999</v>
      </c>
      <c r="BW5" s="43">
        <v>19.335799999999999</v>
      </c>
      <c r="BX5" s="43">
        <v>19.335799999999999</v>
      </c>
      <c r="BY5" s="43">
        <v>19.335799999999999</v>
      </c>
      <c r="BZ5" s="43">
        <v>19.335799999999999</v>
      </c>
      <c r="CA5" s="43">
        <v>19.335799999999999</v>
      </c>
      <c r="CB5" s="43">
        <v>19.335799999999999</v>
      </c>
      <c r="CC5" s="43">
        <v>19.335799999999999</v>
      </c>
      <c r="CD5" s="43">
        <v>19.335799999999999</v>
      </c>
      <c r="CE5" s="43">
        <v>19.335799999999999</v>
      </c>
      <c r="CF5" s="43">
        <v>19.335799999999999</v>
      </c>
      <c r="CG5" s="43">
        <v>19.335799999999999</v>
      </c>
      <c r="CH5" s="43">
        <v>19.335799999999999</v>
      </c>
      <c r="CI5" s="43">
        <v>19.335799999999999</v>
      </c>
      <c r="CJ5" s="43">
        <v>19.335799999999999</v>
      </c>
      <c r="CK5" s="43">
        <v>19.335799999999999</v>
      </c>
      <c r="CL5" s="43">
        <v>19.335799999999999</v>
      </c>
      <c r="CM5" s="43">
        <v>19.335799999999999</v>
      </c>
      <c r="CN5" s="43">
        <v>19.335799999999999</v>
      </c>
      <c r="CO5" s="43">
        <v>19.335799999999999</v>
      </c>
      <c r="CP5" s="43">
        <v>19.335799999999999</v>
      </c>
      <c r="CQ5" s="43">
        <v>19.335799999999999</v>
      </c>
      <c r="CR5" s="43">
        <v>19.335799999999999</v>
      </c>
      <c r="CS5" s="43">
        <v>19.335799999999999</v>
      </c>
      <c r="CT5" s="43">
        <v>19.335799999999999</v>
      </c>
      <c r="CU5" s="43">
        <v>19.335799999999999</v>
      </c>
      <c r="CV5" s="43">
        <v>19.335799999999999</v>
      </c>
      <c r="CW5" s="43">
        <v>19.335799999999999</v>
      </c>
      <c r="CX5" s="43">
        <v>19.335799999999999</v>
      </c>
      <c r="CY5" s="43">
        <v>19.335799999999999</v>
      </c>
      <c r="CZ5" s="43">
        <v>19.335799999999999</v>
      </c>
      <c r="DA5" s="43">
        <v>19.335799999999999</v>
      </c>
      <c r="DB5" s="43">
        <v>19.335799999999999</v>
      </c>
      <c r="DC5" s="43">
        <v>19.335799999999999</v>
      </c>
      <c r="DD5" s="43">
        <v>19.335799999999999</v>
      </c>
      <c r="DE5" s="43">
        <v>19.335799999999999</v>
      </c>
      <c r="DF5" s="43">
        <v>19.335799999999999</v>
      </c>
    </row>
    <row r="6" spans="1:110">
      <c r="B6" t="s">
        <v>611</v>
      </c>
      <c r="C6" t="s">
        <v>80</v>
      </c>
      <c r="D6">
        <v>2</v>
      </c>
      <c r="E6" t="s">
        <v>690</v>
      </c>
      <c r="F6" t="s">
        <v>691</v>
      </c>
      <c r="G6">
        <v>2023</v>
      </c>
      <c r="H6" t="s">
        <v>692</v>
      </c>
      <c r="I6" t="s">
        <v>686</v>
      </c>
      <c r="J6">
        <v>11.797000000000001</v>
      </c>
      <c r="K6">
        <v>52.480199999999996</v>
      </c>
      <c r="L6">
        <v>139.03539999999998</v>
      </c>
      <c r="M6">
        <v>41.209600000000002</v>
      </c>
      <c r="N6">
        <v>47.554600000000001</v>
      </c>
      <c r="O6">
        <v>43.804000000000002</v>
      </c>
      <c r="P6">
        <v>34.968000000000004</v>
      </c>
      <c r="Q6" s="43">
        <v>26.29107180555205</v>
      </c>
      <c r="R6" s="43">
        <v>26.729256335644578</v>
      </c>
      <c r="S6" s="43">
        <v>27.605625395829652</v>
      </c>
      <c r="T6" s="43">
        <v>28.043809925922179</v>
      </c>
      <c r="U6" s="43">
        <v>28.481994456014711</v>
      </c>
      <c r="V6" s="43">
        <v>28.920178986107249</v>
      </c>
      <c r="W6" s="43">
        <v>29.358363516199784</v>
      </c>
      <c r="X6" s="43">
        <v>29.796548046292315</v>
      </c>
      <c r="Y6" s="43">
        <v>30.234732576384847</v>
      </c>
      <c r="Z6" s="43">
        <v>30.234732576384847</v>
      </c>
      <c r="AA6" s="43">
        <v>30.234732576384847</v>
      </c>
      <c r="AB6" s="43">
        <v>30.234732576384847</v>
      </c>
      <c r="AC6" s="43">
        <v>30.234732576384847</v>
      </c>
      <c r="AD6" s="43">
        <v>30.234732576384847</v>
      </c>
      <c r="AE6" s="43">
        <v>30.234732576384847</v>
      </c>
      <c r="AF6" s="43">
        <v>30.234732576384847</v>
      </c>
      <c r="AG6" s="43">
        <v>30.234732576384847</v>
      </c>
      <c r="AH6" s="43">
        <v>30.234732576384847</v>
      </c>
      <c r="AI6" s="43">
        <v>30.234732576384847</v>
      </c>
      <c r="AJ6" s="43">
        <v>30.234732576384847</v>
      </c>
      <c r="AK6" s="43">
        <v>30.234732576384847</v>
      </c>
      <c r="AL6" s="43">
        <v>30.234732576384847</v>
      </c>
      <c r="AM6" s="43">
        <v>30.234732576384847</v>
      </c>
      <c r="AN6" s="43">
        <v>30.234732576384847</v>
      </c>
      <c r="AO6" s="43">
        <v>30.234732576384847</v>
      </c>
      <c r="AP6" s="43">
        <v>30.234732576384847</v>
      </c>
      <c r="AQ6" s="43">
        <v>30.234732576384847</v>
      </c>
      <c r="AR6" s="43">
        <v>30.234732576384847</v>
      </c>
      <c r="AS6" s="43">
        <v>30.234732576384847</v>
      </c>
      <c r="AT6" s="43">
        <v>30.234732576384847</v>
      </c>
      <c r="AU6" s="43">
        <v>30.234732576384847</v>
      </c>
      <c r="AV6" s="43">
        <v>30.234732576384847</v>
      </c>
      <c r="AW6" s="43">
        <v>30.234732576384847</v>
      </c>
      <c r="AX6" s="43">
        <v>30.234732576384847</v>
      </c>
      <c r="AY6" s="43">
        <v>30.234732576384847</v>
      </c>
      <c r="AZ6" s="43">
        <v>30.234732576384847</v>
      </c>
      <c r="BA6" s="43">
        <v>30.234732576384847</v>
      </c>
      <c r="BB6" s="43">
        <v>30.234732576384847</v>
      </c>
      <c r="BC6" s="43">
        <v>30.234732576384847</v>
      </c>
      <c r="BD6" s="43">
        <v>30.234732576384847</v>
      </c>
      <c r="BE6" s="43">
        <v>30.234732576384847</v>
      </c>
      <c r="BF6" s="43">
        <v>30.234732576384847</v>
      </c>
      <c r="BG6" s="43">
        <v>30.234732576384847</v>
      </c>
      <c r="BH6" s="43">
        <v>30.234732576384847</v>
      </c>
      <c r="BI6" s="43">
        <v>30.234732576384847</v>
      </c>
      <c r="BJ6" s="43">
        <v>30.234732576384847</v>
      </c>
      <c r="BK6" s="43">
        <v>30.234732576384847</v>
      </c>
      <c r="BL6" s="43">
        <v>30.234732576384847</v>
      </c>
      <c r="BM6" s="43">
        <v>30.234732576384847</v>
      </c>
      <c r="BN6" s="43">
        <v>30.234732576384847</v>
      </c>
      <c r="BO6" s="43">
        <v>30.234732576384847</v>
      </c>
      <c r="BP6" s="43">
        <v>30.234732576384847</v>
      </c>
      <c r="BQ6" s="43">
        <v>30.234732576384847</v>
      </c>
      <c r="BR6" s="43">
        <v>30.234732576384847</v>
      </c>
      <c r="BS6" s="43">
        <v>30.234732576384847</v>
      </c>
      <c r="BT6" s="43">
        <v>30.234732576384847</v>
      </c>
      <c r="BU6" s="43">
        <v>30.234732576384847</v>
      </c>
      <c r="BV6" s="43">
        <v>30.234732576384847</v>
      </c>
      <c r="BW6" s="43">
        <v>30.234732576384847</v>
      </c>
      <c r="BX6" s="43">
        <v>30.234732576384847</v>
      </c>
      <c r="BY6" s="43">
        <v>30.234732576384847</v>
      </c>
      <c r="BZ6" s="43">
        <v>30.234732576384847</v>
      </c>
      <c r="CA6" s="43">
        <v>30.234732576384847</v>
      </c>
      <c r="CB6" s="43">
        <v>30.234732576384847</v>
      </c>
      <c r="CC6" s="43">
        <v>30.234732576384847</v>
      </c>
      <c r="CD6" s="43">
        <v>30.234732576384847</v>
      </c>
      <c r="CE6" s="43">
        <v>30.234732576384847</v>
      </c>
      <c r="CF6" s="43">
        <v>30.234732576384847</v>
      </c>
      <c r="CG6" s="43">
        <v>30.234732576384847</v>
      </c>
      <c r="CH6" s="43">
        <v>30.234732576384847</v>
      </c>
      <c r="CI6" s="43">
        <v>30.234732576384847</v>
      </c>
      <c r="CJ6" s="43">
        <v>30.234732576384847</v>
      </c>
      <c r="CK6" s="43">
        <v>30.234732576384847</v>
      </c>
      <c r="CL6" s="43">
        <v>30.234732576384847</v>
      </c>
      <c r="CM6" s="43">
        <v>30.234732576384847</v>
      </c>
      <c r="CN6" s="43">
        <v>30.234732576384847</v>
      </c>
      <c r="CO6" s="43">
        <v>30.234732576384847</v>
      </c>
      <c r="CP6" s="43">
        <v>30.234732576384847</v>
      </c>
      <c r="CQ6" s="43">
        <v>30.234732576384847</v>
      </c>
      <c r="CR6" s="43">
        <v>30.234732576384847</v>
      </c>
      <c r="CS6" s="43">
        <v>30.234732576384847</v>
      </c>
      <c r="CT6" s="43">
        <v>30.234732576384847</v>
      </c>
      <c r="CU6" s="43">
        <v>30.234732576384847</v>
      </c>
      <c r="CV6" s="43">
        <v>30.234732576384847</v>
      </c>
      <c r="CW6" s="43">
        <v>30.234732576384847</v>
      </c>
      <c r="CX6" s="43">
        <v>30.234732576384847</v>
      </c>
      <c r="CY6" s="43">
        <v>30.234732576384847</v>
      </c>
      <c r="CZ6" s="43">
        <v>30.234732576384847</v>
      </c>
      <c r="DA6" s="43">
        <v>30.234732576384847</v>
      </c>
      <c r="DB6" s="43">
        <v>30.234732576384847</v>
      </c>
      <c r="DC6" s="43">
        <v>30.234732576384847</v>
      </c>
      <c r="DD6" s="43">
        <v>30.234732576384847</v>
      </c>
      <c r="DE6" s="43">
        <v>30.234732576384847</v>
      </c>
      <c r="DF6" s="43">
        <v>30.234732576384847</v>
      </c>
    </row>
    <row r="7" spans="1:110">
      <c r="B7" t="s">
        <v>611</v>
      </c>
      <c r="C7" t="s">
        <v>643</v>
      </c>
      <c r="D7">
        <v>3</v>
      </c>
      <c r="E7" t="s">
        <v>693</v>
      </c>
      <c r="F7" t="s">
        <v>694</v>
      </c>
      <c r="G7">
        <v>2023</v>
      </c>
      <c r="H7" t="s">
        <v>695</v>
      </c>
      <c r="I7" t="s">
        <v>686</v>
      </c>
      <c r="J7" s="43">
        <v>17.695500000000003</v>
      </c>
      <c r="K7" s="43">
        <v>78.720299999999995</v>
      </c>
      <c r="L7" s="43">
        <v>208.5531</v>
      </c>
      <c r="M7" s="43">
        <v>61.814399999999999</v>
      </c>
      <c r="N7" s="43">
        <v>71.331900000000005</v>
      </c>
      <c r="O7" s="43">
        <v>65.706000000000003</v>
      </c>
      <c r="P7" s="43">
        <v>52.451999999999998</v>
      </c>
      <c r="Q7" s="43">
        <v>39.436607708328069</v>
      </c>
      <c r="R7" s="43">
        <v>40.093884503466867</v>
      </c>
      <c r="S7" s="43">
        <v>41.408438093744479</v>
      </c>
      <c r="T7" s="43">
        <v>42.065714888883271</v>
      </c>
      <c r="U7" s="43">
        <v>42.72299168402207</v>
      </c>
      <c r="V7" s="43">
        <v>43.380268479160875</v>
      </c>
      <c r="W7" s="43">
        <v>44.037545274299681</v>
      </c>
      <c r="X7" s="43">
        <v>44.694822069438473</v>
      </c>
      <c r="Y7" s="43">
        <v>45.352098864577265</v>
      </c>
      <c r="Z7" s="43">
        <v>45.352098864577265</v>
      </c>
      <c r="AA7" s="43">
        <v>45.352098864577265</v>
      </c>
      <c r="AB7" s="43">
        <v>45.352098864577265</v>
      </c>
      <c r="AC7" s="43">
        <v>45.352098864577265</v>
      </c>
      <c r="AD7" s="43">
        <v>45.352098864577265</v>
      </c>
      <c r="AE7" s="43">
        <v>45.352098864577265</v>
      </c>
      <c r="AF7" s="43">
        <v>45.352098864577265</v>
      </c>
      <c r="AG7" s="43">
        <v>45.352098864577265</v>
      </c>
      <c r="AH7" s="43">
        <v>45.352098864577265</v>
      </c>
      <c r="AI7" s="43">
        <v>45.352098864577265</v>
      </c>
      <c r="AJ7" s="43">
        <v>45.352098864577265</v>
      </c>
      <c r="AK7" s="43">
        <v>45.352098864577265</v>
      </c>
      <c r="AL7" s="43">
        <v>45.352098864577265</v>
      </c>
      <c r="AM7" s="43">
        <v>45.352098864577265</v>
      </c>
      <c r="AN7" s="43">
        <v>45.352098864577265</v>
      </c>
      <c r="AO7" s="43">
        <v>45.352098864577265</v>
      </c>
      <c r="AP7" s="43">
        <v>45.352098864577265</v>
      </c>
      <c r="AQ7" s="43">
        <v>45.352098864577265</v>
      </c>
      <c r="AR7" s="43">
        <v>45.352098864577265</v>
      </c>
      <c r="AS7" s="43">
        <v>45.352098864577265</v>
      </c>
      <c r="AT7" s="43">
        <v>45.352098864577265</v>
      </c>
      <c r="AU7" s="43">
        <v>45.352098864577265</v>
      </c>
      <c r="AV7" s="43">
        <v>45.352098864577265</v>
      </c>
      <c r="AW7" s="43">
        <v>45.352098864577265</v>
      </c>
      <c r="AX7" s="43">
        <v>45.352098864577265</v>
      </c>
      <c r="AY7" s="43">
        <v>45.352098864577265</v>
      </c>
      <c r="AZ7" s="43">
        <v>45.352098864577265</v>
      </c>
      <c r="BA7" s="43">
        <v>45.352098864577265</v>
      </c>
      <c r="BB7" s="43">
        <v>45.352098864577265</v>
      </c>
      <c r="BC7" s="43">
        <v>45.352098864577265</v>
      </c>
      <c r="BD7" s="43">
        <v>45.352098864577265</v>
      </c>
      <c r="BE7" s="43">
        <v>45.352098864577265</v>
      </c>
      <c r="BF7" s="43">
        <v>45.352098864577265</v>
      </c>
      <c r="BG7" s="43">
        <v>45.352098864577265</v>
      </c>
      <c r="BH7" s="43">
        <v>45.352098864577265</v>
      </c>
      <c r="BI7" s="43">
        <v>45.352098864577265</v>
      </c>
      <c r="BJ7" s="43">
        <v>45.352098864577265</v>
      </c>
      <c r="BK7" s="43">
        <v>45.352098864577265</v>
      </c>
      <c r="BL7" s="43">
        <v>45.352098864577265</v>
      </c>
      <c r="BM7" s="43">
        <v>45.352098864577265</v>
      </c>
      <c r="BN7" s="43">
        <v>45.352098864577265</v>
      </c>
      <c r="BO7" s="43">
        <v>45.352098864577265</v>
      </c>
      <c r="BP7" s="43">
        <v>45.352098864577265</v>
      </c>
      <c r="BQ7" s="43">
        <v>45.352098864577265</v>
      </c>
      <c r="BR7" s="43">
        <v>45.352098864577265</v>
      </c>
      <c r="BS7" s="43">
        <v>45.352098864577265</v>
      </c>
      <c r="BT7" s="43">
        <v>45.352098864577265</v>
      </c>
      <c r="BU7" s="43">
        <v>45.352098864577265</v>
      </c>
      <c r="BV7" s="43">
        <v>45.352098864577265</v>
      </c>
      <c r="BW7" s="43">
        <v>45.352098864577265</v>
      </c>
      <c r="BX7" s="43">
        <v>45.352098864577265</v>
      </c>
      <c r="BY7" s="43">
        <v>45.352098864577265</v>
      </c>
      <c r="BZ7" s="43">
        <v>45.352098864577265</v>
      </c>
      <c r="CA7" s="43">
        <v>45.352098864577265</v>
      </c>
      <c r="CB7" s="43">
        <v>45.352098864577265</v>
      </c>
      <c r="CC7" s="43">
        <v>45.352098864577265</v>
      </c>
      <c r="CD7" s="43">
        <v>45.352098864577265</v>
      </c>
      <c r="CE7" s="43">
        <v>45.352098864577265</v>
      </c>
      <c r="CF7" s="43">
        <v>45.352098864577265</v>
      </c>
      <c r="CG7" s="43">
        <v>45.352098864577265</v>
      </c>
      <c r="CH7" s="43">
        <v>45.352098864577265</v>
      </c>
      <c r="CI7" s="43">
        <v>45.352098864577265</v>
      </c>
      <c r="CJ7" s="43">
        <v>45.352098864577265</v>
      </c>
      <c r="CK7" s="43">
        <v>45.352098864577265</v>
      </c>
      <c r="CL7" s="43">
        <v>45.352098864577265</v>
      </c>
      <c r="CM7" s="43">
        <v>45.352098864577265</v>
      </c>
      <c r="CN7" s="43">
        <v>45.352098864577265</v>
      </c>
      <c r="CO7" s="43">
        <v>45.352098864577265</v>
      </c>
      <c r="CP7" s="43">
        <v>45.352098864577265</v>
      </c>
      <c r="CQ7" s="43">
        <v>45.352098864577265</v>
      </c>
      <c r="CR7" s="43">
        <v>45.352098864577265</v>
      </c>
      <c r="CS7" s="43">
        <v>45.352098864577265</v>
      </c>
      <c r="CT7" s="43">
        <v>45.352098864577265</v>
      </c>
      <c r="CU7" s="43">
        <v>45.352098864577265</v>
      </c>
      <c r="CV7" s="43">
        <v>45.352098864577265</v>
      </c>
      <c r="CW7" s="43">
        <v>45.352098864577265</v>
      </c>
      <c r="CX7" s="43">
        <v>45.352098864577265</v>
      </c>
      <c r="CY7" s="43">
        <v>45.352098864577265</v>
      </c>
      <c r="CZ7" s="43">
        <v>45.352098864577265</v>
      </c>
      <c r="DA7" s="43">
        <v>45.352098864577265</v>
      </c>
      <c r="DB7" s="43">
        <v>45.352098864577265</v>
      </c>
      <c r="DC7" s="43">
        <v>45.352098864577265</v>
      </c>
      <c r="DD7" s="43">
        <v>45.352098864577265</v>
      </c>
      <c r="DE7" s="43">
        <v>45.352098864577265</v>
      </c>
      <c r="DF7" s="43">
        <v>45.352098864577265</v>
      </c>
    </row>
    <row r="8" spans="1:110">
      <c r="B8" t="s">
        <v>611</v>
      </c>
      <c r="C8" t="s">
        <v>696</v>
      </c>
      <c r="D8">
        <v>4</v>
      </c>
      <c r="E8" t="s">
        <v>697</v>
      </c>
      <c r="F8" t="s">
        <v>698</v>
      </c>
      <c r="G8">
        <v>2023</v>
      </c>
      <c r="H8" t="s">
        <v>699</v>
      </c>
      <c r="I8" t="s">
        <v>686</v>
      </c>
      <c r="J8">
        <v>26.6678</v>
      </c>
      <c r="K8">
        <v>26.6678</v>
      </c>
      <c r="L8">
        <v>26.6678</v>
      </c>
      <c r="M8">
        <v>26.6678</v>
      </c>
      <c r="N8">
        <v>26.6678</v>
      </c>
      <c r="O8">
        <v>26.6678</v>
      </c>
      <c r="P8">
        <v>26.6678</v>
      </c>
      <c r="Q8">
        <v>26.6678</v>
      </c>
      <c r="R8">
        <v>26.6678</v>
      </c>
      <c r="S8">
        <v>26.6678</v>
      </c>
      <c r="T8">
        <v>26.6678</v>
      </c>
      <c r="U8">
        <v>26.6678</v>
      </c>
      <c r="V8">
        <v>26.6678</v>
      </c>
      <c r="W8">
        <v>26.6678</v>
      </c>
      <c r="X8">
        <v>26.6678</v>
      </c>
      <c r="Y8">
        <v>26.6678</v>
      </c>
      <c r="Z8">
        <v>26.6678</v>
      </c>
      <c r="AA8">
        <v>26.6678</v>
      </c>
      <c r="AB8">
        <v>26.6678</v>
      </c>
      <c r="AC8">
        <v>26.6678</v>
      </c>
      <c r="AD8">
        <v>26.6678</v>
      </c>
      <c r="AE8">
        <v>26.6678</v>
      </c>
      <c r="AF8">
        <v>26.6678</v>
      </c>
      <c r="AG8">
        <v>26.6678</v>
      </c>
      <c r="AH8">
        <v>26.6678</v>
      </c>
      <c r="AI8">
        <v>26.6678</v>
      </c>
      <c r="AJ8">
        <v>26.6678</v>
      </c>
      <c r="AK8">
        <v>26.6678</v>
      </c>
      <c r="AL8">
        <v>26.6678</v>
      </c>
      <c r="AM8">
        <v>26.6678</v>
      </c>
      <c r="AN8">
        <v>26.6678</v>
      </c>
      <c r="AO8">
        <v>26.6678</v>
      </c>
      <c r="AP8">
        <v>26.6678</v>
      </c>
      <c r="AQ8">
        <v>26.6678</v>
      </c>
      <c r="AR8">
        <v>26.6678</v>
      </c>
      <c r="AS8">
        <v>26.6678</v>
      </c>
      <c r="AT8">
        <v>26.6678</v>
      </c>
      <c r="AU8">
        <v>26.6678</v>
      </c>
      <c r="AV8">
        <v>26.6678</v>
      </c>
      <c r="AW8">
        <v>26.6678</v>
      </c>
      <c r="AX8">
        <v>26.6678</v>
      </c>
      <c r="AY8">
        <v>26.6678</v>
      </c>
      <c r="AZ8">
        <v>26.6678</v>
      </c>
      <c r="BA8">
        <v>26.6678</v>
      </c>
      <c r="BB8">
        <v>26.6678</v>
      </c>
      <c r="BC8">
        <v>26.6678</v>
      </c>
      <c r="BD8">
        <v>26.6678</v>
      </c>
      <c r="BE8">
        <v>26.6678</v>
      </c>
      <c r="BF8">
        <v>26.6678</v>
      </c>
      <c r="BG8">
        <v>26.6678</v>
      </c>
      <c r="BH8">
        <v>26.6678</v>
      </c>
      <c r="BI8">
        <v>26.6678</v>
      </c>
      <c r="BJ8">
        <v>26.6678</v>
      </c>
      <c r="BK8">
        <v>26.6678</v>
      </c>
      <c r="BL8">
        <v>26.6678</v>
      </c>
      <c r="BM8">
        <v>26.6678</v>
      </c>
      <c r="BN8">
        <v>26.6678</v>
      </c>
      <c r="BO8">
        <v>26.6678</v>
      </c>
      <c r="BP8">
        <v>26.6678</v>
      </c>
      <c r="BQ8">
        <v>26.6678</v>
      </c>
      <c r="BR8">
        <v>26.6678</v>
      </c>
      <c r="BS8">
        <v>26.6678</v>
      </c>
      <c r="BT8">
        <v>26.6678</v>
      </c>
      <c r="BU8">
        <v>26.6678</v>
      </c>
      <c r="BV8">
        <v>26.6678</v>
      </c>
      <c r="BW8">
        <v>26.6678</v>
      </c>
      <c r="BX8">
        <v>26.6678</v>
      </c>
      <c r="BY8">
        <v>26.6678</v>
      </c>
      <c r="BZ8">
        <v>26.6678</v>
      </c>
      <c r="CA8">
        <v>26.6678</v>
      </c>
      <c r="CB8">
        <v>26.6678</v>
      </c>
      <c r="CC8">
        <v>26.6678</v>
      </c>
      <c r="CD8">
        <v>26.6678</v>
      </c>
      <c r="CE8">
        <v>26.6678</v>
      </c>
      <c r="CF8">
        <v>26.6678</v>
      </c>
      <c r="CG8">
        <v>26.6678</v>
      </c>
      <c r="CH8">
        <v>26.6678</v>
      </c>
      <c r="CI8">
        <v>26.6678</v>
      </c>
      <c r="CJ8">
        <v>26.6678</v>
      </c>
      <c r="CK8">
        <v>26.6678</v>
      </c>
      <c r="CL8">
        <v>26.6678</v>
      </c>
      <c r="CM8">
        <v>26.6678</v>
      </c>
      <c r="CN8">
        <v>26.6678</v>
      </c>
      <c r="CO8">
        <v>26.6678</v>
      </c>
      <c r="CP8">
        <v>26.6678</v>
      </c>
      <c r="CQ8">
        <v>26.6678</v>
      </c>
      <c r="CR8">
        <v>26.6678</v>
      </c>
      <c r="CS8">
        <v>26.6678</v>
      </c>
      <c r="CT8">
        <v>26.6678</v>
      </c>
      <c r="CU8">
        <v>26.6678</v>
      </c>
      <c r="CV8">
        <v>26.6678</v>
      </c>
      <c r="CW8">
        <v>26.6678</v>
      </c>
      <c r="CX8">
        <v>26.6678</v>
      </c>
      <c r="CY8">
        <v>26.6678</v>
      </c>
      <c r="CZ8">
        <v>26.6678</v>
      </c>
      <c r="DA8">
        <v>26.6678</v>
      </c>
      <c r="DB8">
        <v>26.6678</v>
      </c>
      <c r="DC8">
        <v>26.6678</v>
      </c>
      <c r="DD8">
        <v>26.6678</v>
      </c>
      <c r="DE8">
        <v>26.6678</v>
      </c>
      <c r="DF8">
        <v>26.6678</v>
      </c>
    </row>
    <row r="9" spans="1:110">
      <c r="B9" t="s">
        <v>611</v>
      </c>
      <c r="C9" t="s">
        <v>700</v>
      </c>
      <c r="D9">
        <v>5</v>
      </c>
      <c r="E9" t="s">
        <v>701</v>
      </c>
      <c r="F9" t="s">
        <v>702</v>
      </c>
      <c r="G9">
        <v>2023</v>
      </c>
      <c r="H9" t="s">
        <v>703</v>
      </c>
      <c r="I9" t="s">
        <v>686</v>
      </c>
      <c r="J9">
        <v>28.387999999999998</v>
      </c>
      <c r="K9">
        <v>28.387999999999998</v>
      </c>
      <c r="L9">
        <v>28.387999999999998</v>
      </c>
      <c r="M9">
        <v>28.387999999999998</v>
      </c>
      <c r="N9">
        <v>28.387999999999998</v>
      </c>
      <c r="O9">
        <v>28.387999999999998</v>
      </c>
      <c r="P9">
        <v>28.387999999999998</v>
      </c>
      <c r="Q9">
        <v>28.387999999999998</v>
      </c>
      <c r="R9">
        <v>28.387999999999998</v>
      </c>
      <c r="S9">
        <v>28.387999999999998</v>
      </c>
      <c r="T9">
        <v>28.387999999999998</v>
      </c>
      <c r="U9">
        <v>28.387999999999998</v>
      </c>
      <c r="V9">
        <v>28.387999999999998</v>
      </c>
      <c r="W9">
        <v>28.387999999999998</v>
      </c>
      <c r="X9">
        <v>28.387999999999998</v>
      </c>
      <c r="Y9">
        <v>28.387999999999998</v>
      </c>
      <c r="Z9">
        <v>28.387999999999998</v>
      </c>
      <c r="AA9">
        <v>28.387999999999998</v>
      </c>
      <c r="AB9">
        <v>28.387999999999998</v>
      </c>
      <c r="AC9">
        <v>28.387999999999998</v>
      </c>
      <c r="AD9">
        <v>28.387999999999998</v>
      </c>
      <c r="AE9">
        <v>28.387999999999998</v>
      </c>
      <c r="AF9">
        <v>28.387999999999998</v>
      </c>
      <c r="AG9">
        <v>28.387999999999998</v>
      </c>
      <c r="AH9">
        <v>28.387999999999998</v>
      </c>
      <c r="AI9">
        <v>28.387999999999998</v>
      </c>
      <c r="AJ9">
        <v>28.387999999999998</v>
      </c>
      <c r="AK9">
        <v>28.387999999999998</v>
      </c>
      <c r="AL9">
        <v>28.387999999999998</v>
      </c>
      <c r="AM9">
        <v>28.387999999999998</v>
      </c>
      <c r="AN9">
        <v>28.387999999999998</v>
      </c>
      <c r="AO9">
        <v>28.387999999999998</v>
      </c>
      <c r="AP9">
        <v>28.387999999999998</v>
      </c>
      <c r="AQ9">
        <v>28.387999999999998</v>
      </c>
      <c r="AR9">
        <v>28.387999999999998</v>
      </c>
      <c r="AS9">
        <v>28.387999999999998</v>
      </c>
      <c r="AT9">
        <v>28.387999999999998</v>
      </c>
      <c r="AU9">
        <v>28.387999999999998</v>
      </c>
      <c r="AV9">
        <v>28.387999999999998</v>
      </c>
      <c r="AW9">
        <v>28.387999999999998</v>
      </c>
      <c r="AX9">
        <v>28.387999999999998</v>
      </c>
      <c r="AY9">
        <v>28.387999999999998</v>
      </c>
      <c r="AZ9">
        <v>28.387999999999998</v>
      </c>
      <c r="BA9">
        <v>28.387999999999998</v>
      </c>
      <c r="BB9">
        <v>28.387999999999998</v>
      </c>
      <c r="BC9">
        <v>28.387999999999998</v>
      </c>
      <c r="BD9">
        <v>28.387999999999998</v>
      </c>
      <c r="BE9">
        <v>28.387999999999998</v>
      </c>
      <c r="BF9">
        <v>28.387999999999998</v>
      </c>
      <c r="BG9">
        <v>28.387999999999998</v>
      </c>
      <c r="BH9">
        <v>28.387999999999998</v>
      </c>
      <c r="BI9">
        <v>28.387999999999998</v>
      </c>
      <c r="BJ9">
        <v>28.387999999999998</v>
      </c>
      <c r="BK9">
        <v>28.387999999999998</v>
      </c>
      <c r="BL9">
        <v>28.387999999999998</v>
      </c>
      <c r="BM9">
        <v>28.387999999999998</v>
      </c>
      <c r="BN9">
        <v>28.387999999999998</v>
      </c>
      <c r="BO9">
        <v>28.387999999999998</v>
      </c>
      <c r="BP9">
        <v>28.387999999999998</v>
      </c>
      <c r="BQ9">
        <v>28.387999999999998</v>
      </c>
      <c r="BR9">
        <v>28.387999999999998</v>
      </c>
      <c r="BS9">
        <v>28.387999999999998</v>
      </c>
      <c r="BT9">
        <v>28.387999999999998</v>
      </c>
      <c r="BU9">
        <v>28.387999999999998</v>
      </c>
      <c r="BV9">
        <v>28.387999999999998</v>
      </c>
      <c r="BW9">
        <v>28.387999999999998</v>
      </c>
      <c r="BX9">
        <v>28.387999999999998</v>
      </c>
      <c r="BY9">
        <v>28.387999999999998</v>
      </c>
      <c r="BZ9">
        <v>28.387999999999998</v>
      </c>
      <c r="CA9">
        <v>28.387999999999998</v>
      </c>
      <c r="CB9">
        <v>28.387999999999998</v>
      </c>
      <c r="CC9">
        <v>28.387999999999998</v>
      </c>
      <c r="CD9">
        <v>28.387999999999998</v>
      </c>
      <c r="CE9">
        <v>28.387999999999998</v>
      </c>
      <c r="CF9">
        <v>28.387999999999998</v>
      </c>
      <c r="CG9">
        <v>28.387999999999998</v>
      </c>
      <c r="CH9">
        <v>28.387999999999998</v>
      </c>
      <c r="CI9">
        <v>28.387999999999998</v>
      </c>
      <c r="CJ9">
        <v>28.387999999999998</v>
      </c>
      <c r="CK9">
        <v>28.387999999999998</v>
      </c>
      <c r="CL9">
        <v>28.387999999999998</v>
      </c>
      <c r="CM9">
        <v>28.387999999999998</v>
      </c>
      <c r="CN9">
        <v>28.387999999999998</v>
      </c>
      <c r="CO9">
        <v>28.387999999999998</v>
      </c>
      <c r="CP9">
        <v>28.387999999999998</v>
      </c>
      <c r="CQ9">
        <v>28.387999999999998</v>
      </c>
      <c r="CR9">
        <v>28.387999999999998</v>
      </c>
      <c r="CS9">
        <v>28.387999999999998</v>
      </c>
      <c r="CT9">
        <v>28.387999999999998</v>
      </c>
      <c r="CU9">
        <v>28.387999999999998</v>
      </c>
      <c r="CV9">
        <v>28.387999999999998</v>
      </c>
      <c r="CW9">
        <v>28.387999999999998</v>
      </c>
      <c r="CX9">
        <v>28.387999999999998</v>
      </c>
      <c r="CY9">
        <v>28.387999999999998</v>
      </c>
      <c r="CZ9">
        <v>28.387999999999998</v>
      </c>
      <c r="DA9">
        <v>28.387999999999998</v>
      </c>
      <c r="DB9">
        <v>28.387999999999998</v>
      </c>
      <c r="DC9">
        <v>28.387999999999998</v>
      </c>
      <c r="DD9">
        <v>28.387999999999998</v>
      </c>
      <c r="DE9">
        <v>28.387999999999998</v>
      </c>
      <c r="DF9">
        <v>28.387999999999998</v>
      </c>
    </row>
    <row r="10" spans="1:110">
      <c r="B10" t="s">
        <v>611</v>
      </c>
      <c r="C10" t="s">
        <v>685</v>
      </c>
      <c r="D10">
        <v>6</v>
      </c>
      <c r="E10" t="s">
        <v>704</v>
      </c>
      <c r="F10" s="2" t="s">
        <v>705</v>
      </c>
      <c r="G10">
        <v>2023</v>
      </c>
      <c r="H10" t="s">
        <v>706</v>
      </c>
      <c r="I10" t="s">
        <v>686</v>
      </c>
      <c r="J10">
        <v>47</v>
      </c>
      <c r="K10">
        <v>47</v>
      </c>
      <c r="L10">
        <v>47</v>
      </c>
      <c r="M10">
        <v>47</v>
      </c>
      <c r="N10">
        <v>47</v>
      </c>
      <c r="O10">
        <v>47</v>
      </c>
      <c r="P10">
        <v>47</v>
      </c>
      <c r="Q10">
        <v>47</v>
      </c>
      <c r="R10">
        <v>47</v>
      </c>
      <c r="S10">
        <v>47</v>
      </c>
      <c r="T10">
        <v>47</v>
      </c>
      <c r="U10">
        <v>47</v>
      </c>
      <c r="V10">
        <v>47</v>
      </c>
      <c r="W10">
        <v>47</v>
      </c>
      <c r="X10">
        <v>47</v>
      </c>
      <c r="Y10">
        <v>47</v>
      </c>
      <c r="Z10">
        <v>47</v>
      </c>
      <c r="AA10">
        <v>47</v>
      </c>
      <c r="AB10">
        <v>47</v>
      </c>
      <c r="AC10">
        <v>47</v>
      </c>
      <c r="AD10">
        <v>47</v>
      </c>
      <c r="AE10">
        <v>47</v>
      </c>
      <c r="AF10">
        <v>47</v>
      </c>
      <c r="AG10">
        <v>47</v>
      </c>
      <c r="AH10">
        <v>47</v>
      </c>
      <c r="AI10">
        <v>47</v>
      </c>
      <c r="AJ10">
        <v>47</v>
      </c>
      <c r="AK10">
        <v>47</v>
      </c>
      <c r="AL10">
        <v>47</v>
      </c>
      <c r="AM10">
        <v>47</v>
      </c>
      <c r="AN10">
        <v>47</v>
      </c>
      <c r="AO10">
        <v>47</v>
      </c>
      <c r="AP10">
        <v>47</v>
      </c>
      <c r="AQ10">
        <v>47</v>
      </c>
      <c r="AR10">
        <v>47</v>
      </c>
      <c r="AS10">
        <v>47</v>
      </c>
      <c r="AT10">
        <v>47</v>
      </c>
      <c r="AU10">
        <v>47</v>
      </c>
      <c r="AV10">
        <v>47</v>
      </c>
      <c r="AW10">
        <v>47</v>
      </c>
      <c r="AX10">
        <v>47</v>
      </c>
      <c r="AY10">
        <v>47</v>
      </c>
      <c r="AZ10">
        <v>47</v>
      </c>
      <c r="BA10">
        <v>47</v>
      </c>
      <c r="BB10">
        <v>47</v>
      </c>
      <c r="BC10">
        <v>47</v>
      </c>
      <c r="BD10">
        <v>47</v>
      </c>
      <c r="BE10">
        <v>47</v>
      </c>
      <c r="BF10">
        <v>47</v>
      </c>
      <c r="BG10">
        <v>47</v>
      </c>
      <c r="BH10">
        <v>47</v>
      </c>
      <c r="BI10">
        <v>47</v>
      </c>
      <c r="BJ10">
        <v>47</v>
      </c>
      <c r="BK10">
        <v>47</v>
      </c>
      <c r="BL10">
        <v>47</v>
      </c>
      <c r="BM10">
        <v>47</v>
      </c>
      <c r="BN10">
        <v>47</v>
      </c>
      <c r="BO10">
        <v>47</v>
      </c>
      <c r="BP10">
        <v>47</v>
      </c>
      <c r="BQ10">
        <v>47</v>
      </c>
      <c r="BR10">
        <v>47</v>
      </c>
      <c r="BS10">
        <v>47</v>
      </c>
      <c r="BT10">
        <v>47</v>
      </c>
      <c r="BU10">
        <v>47</v>
      </c>
      <c r="BV10">
        <v>47</v>
      </c>
      <c r="BW10">
        <v>47</v>
      </c>
      <c r="BX10">
        <v>47</v>
      </c>
      <c r="BY10">
        <v>47</v>
      </c>
      <c r="BZ10">
        <v>47</v>
      </c>
      <c r="CA10">
        <v>47</v>
      </c>
      <c r="CB10">
        <v>47</v>
      </c>
      <c r="CC10">
        <v>47</v>
      </c>
      <c r="CD10">
        <v>47</v>
      </c>
      <c r="CE10">
        <v>47</v>
      </c>
      <c r="CF10">
        <v>47</v>
      </c>
      <c r="CG10">
        <v>47</v>
      </c>
      <c r="CH10">
        <v>47</v>
      </c>
      <c r="CI10">
        <v>47</v>
      </c>
      <c r="CJ10">
        <v>47</v>
      </c>
      <c r="CK10">
        <v>47</v>
      </c>
      <c r="CL10">
        <v>47</v>
      </c>
      <c r="CM10">
        <v>47</v>
      </c>
      <c r="CN10">
        <v>47</v>
      </c>
      <c r="CO10">
        <v>47</v>
      </c>
      <c r="CP10">
        <v>47</v>
      </c>
      <c r="CQ10">
        <v>47</v>
      </c>
      <c r="CR10">
        <v>47</v>
      </c>
      <c r="CS10">
        <v>47</v>
      </c>
      <c r="CT10">
        <v>47</v>
      </c>
      <c r="CU10">
        <v>47</v>
      </c>
      <c r="CV10">
        <v>47</v>
      </c>
      <c r="CW10">
        <v>47</v>
      </c>
      <c r="CX10">
        <v>47</v>
      </c>
      <c r="CY10">
        <v>47</v>
      </c>
      <c r="CZ10">
        <v>47</v>
      </c>
      <c r="DA10">
        <v>47</v>
      </c>
      <c r="DB10">
        <v>47</v>
      </c>
      <c r="DC10">
        <v>47</v>
      </c>
      <c r="DD10">
        <v>47</v>
      </c>
      <c r="DE10">
        <v>47</v>
      </c>
      <c r="DF10">
        <v>47</v>
      </c>
    </row>
    <row r="11" spans="1:110">
      <c r="B11" t="s">
        <v>611</v>
      </c>
      <c r="C11" t="s">
        <v>707</v>
      </c>
      <c r="D11">
        <v>7</v>
      </c>
      <c r="E11" t="s">
        <v>708</v>
      </c>
      <c r="F11" s="2" t="s">
        <v>709</v>
      </c>
      <c r="G11">
        <v>2010</v>
      </c>
      <c r="H11" t="s">
        <v>710</v>
      </c>
      <c r="I11" t="s">
        <v>686</v>
      </c>
      <c r="J11" s="43">
        <v>27.697600079999997</v>
      </c>
      <c r="K11" s="43">
        <v>27.697600079999997</v>
      </c>
      <c r="L11" s="43">
        <v>27.697600079999997</v>
      </c>
      <c r="M11" s="43">
        <v>27.697600079999997</v>
      </c>
      <c r="N11" s="43">
        <v>27.697600079999997</v>
      </c>
      <c r="O11" s="43">
        <v>27.697600079999997</v>
      </c>
      <c r="P11" s="43">
        <v>27.697600079999997</v>
      </c>
      <c r="Q11" s="43">
        <v>27.697600079999997</v>
      </c>
      <c r="R11" s="43">
        <v>27.697600079999997</v>
      </c>
      <c r="S11" s="43">
        <v>27.697600079999997</v>
      </c>
      <c r="T11" s="43">
        <v>27.697600079999997</v>
      </c>
      <c r="U11" s="43">
        <v>27.697600079999997</v>
      </c>
      <c r="V11" s="43">
        <v>27.697600079999997</v>
      </c>
      <c r="W11" s="43">
        <v>27.697600079999997</v>
      </c>
      <c r="X11" s="43">
        <v>27.697600079999997</v>
      </c>
      <c r="Y11" s="43">
        <v>27.697600079999997</v>
      </c>
      <c r="Z11" s="43">
        <v>27.697600079999997</v>
      </c>
      <c r="AA11" s="43">
        <v>27.697600079999997</v>
      </c>
      <c r="AB11" s="43">
        <v>27.697600079999997</v>
      </c>
      <c r="AC11" s="43">
        <v>27.697600079999997</v>
      </c>
      <c r="AD11" s="43">
        <v>27.697600079999997</v>
      </c>
      <c r="AE11" s="43">
        <v>27.697600079999997</v>
      </c>
      <c r="AF11" s="43">
        <v>27.697600079999997</v>
      </c>
      <c r="AG11" s="43">
        <v>27.697600079999997</v>
      </c>
      <c r="AH11" s="43">
        <v>27.697600079999997</v>
      </c>
      <c r="AI11" s="43">
        <v>27.697600079999997</v>
      </c>
      <c r="AJ11" s="43">
        <v>27.697600079999997</v>
      </c>
      <c r="AK11" s="43">
        <v>27.697600079999997</v>
      </c>
      <c r="AL11" s="43">
        <v>27.697600079999997</v>
      </c>
      <c r="AM11" s="43">
        <v>27.697600079999997</v>
      </c>
      <c r="AN11" s="43">
        <v>27.697600079999997</v>
      </c>
      <c r="AO11" s="43">
        <v>27.697600079999997</v>
      </c>
      <c r="AP11" s="43">
        <v>27.697600079999997</v>
      </c>
      <c r="AQ11" s="43">
        <v>27.697600079999997</v>
      </c>
      <c r="AR11" s="43">
        <v>27.697600079999997</v>
      </c>
      <c r="AS11" s="43">
        <v>27.697600079999997</v>
      </c>
      <c r="AT11" s="43">
        <v>27.697600079999997</v>
      </c>
      <c r="AU11" s="43">
        <v>27.697600079999997</v>
      </c>
      <c r="AV11" s="43">
        <v>27.697600079999997</v>
      </c>
      <c r="AW11" s="43">
        <v>27.697600079999997</v>
      </c>
      <c r="AX11" s="43">
        <v>27.697600079999997</v>
      </c>
      <c r="AY11" s="43">
        <v>27.697600079999997</v>
      </c>
      <c r="AZ11" s="43">
        <v>27.697600079999997</v>
      </c>
      <c r="BA11" s="43">
        <v>27.697600079999997</v>
      </c>
      <c r="BB11" s="43">
        <v>27.697600079999997</v>
      </c>
      <c r="BC11" s="43">
        <v>27.697600079999997</v>
      </c>
      <c r="BD11" s="43">
        <v>27.697600079999997</v>
      </c>
      <c r="BE11" s="43">
        <v>27.697600079999997</v>
      </c>
      <c r="BF11" s="43">
        <v>27.697600079999997</v>
      </c>
      <c r="BG11" s="43">
        <v>27.697600079999997</v>
      </c>
      <c r="BH11" s="43">
        <v>27.697600079999997</v>
      </c>
      <c r="BI11" s="43">
        <v>27.697600079999997</v>
      </c>
      <c r="BJ11" s="43">
        <v>27.697600079999997</v>
      </c>
      <c r="BK11" s="43">
        <v>27.697600079999997</v>
      </c>
      <c r="BL11" s="43">
        <v>27.697600079999997</v>
      </c>
      <c r="BM11" s="43">
        <v>27.697600079999997</v>
      </c>
      <c r="BN11" s="43">
        <v>27.697600079999997</v>
      </c>
      <c r="BO11" s="43">
        <v>27.697600079999997</v>
      </c>
      <c r="BP11" s="43">
        <v>27.697600079999997</v>
      </c>
      <c r="BQ11" s="43">
        <v>27.697600079999997</v>
      </c>
      <c r="BR11" s="43">
        <v>27.697600079999997</v>
      </c>
      <c r="BS11" s="43">
        <v>27.697600079999997</v>
      </c>
      <c r="BT11" s="43">
        <v>27.697600079999997</v>
      </c>
      <c r="BU11" s="43">
        <v>27.697600079999997</v>
      </c>
      <c r="BV11" s="43">
        <v>27.697600079999997</v>
      </c>
      <c r="BW11" s="43">
        <v>27.697600079999997</v>
      </c>
      <c r="BX11" s="43">
        <v>27.697600079999997</v>
      </c>
      <c r="BY11" s="43">
        <v>27.697600079999997</v>
      </c>
      <c r="BZ11" s="43">
        <v>27.697600079999997</v>
      </c>
      <c r="CA11" s="43">
        <v>27.697600079999997</v>
      </c>
      <c r="CB11" s="43">
        <v>27.697600079999997</v>
      </c>
      <c r="CC11" s="43">
        <v>27.697600079999997</v>
      </c>
      <c r="CD11" s="43">
        <v>27.697600079999997</v>
      </c>
      <c r="CE11" s="43">
        <v>27.697600079999997</v>
      </c>
      <c r="CF11" s="43">
        <v>27.697600079999997</v>
      </c>
      <c r="CG11" s="43">
        <v>27.697600079999997</v>
      </c>
      <c r="CH11" s="43">
        <v>27.697600079999997</v>
      </c>
      <c r="CI11" s="43">
        <v>27.697600079999997</v>
      </c>
      <c r="CJ11" s="43">
        <v>27.697600079999997</v>
      </c>
      <c r="CK11" s="43">
        <v>27.697600079999997</v>
      </c>
      <c r="CL11" s="43">
        <v>27.697600079999997</v>
      </c>
      <c r="CM11" s="43">
        <v>27.697600079999997</v>
      </c>
      <c r="CN11" s="43">
        <v>27.697600079999997</v>
      </c>
      <c r="CO11" s="43">
        <v>27.697600079999997</v>
      </c>
      <c r="CP11" s="43">
        <v>27.697600079999997</v>
      </c>
      <c r="CQ11" s="43">
        <v>27.697600079999997</v>
      </c>
      <c r="CR11" s="43">
        <v>27.697600079999997</v>
      </c>
      <c r="CS11" s="43">
        <v>27.697600079999997</v>
      </c>
      <c r="CT11" s="43">
        <v>27.697600079999997</v>
      </c>
      <c r="CU11" s="43">
        <v>27.697600079999997</v>
      </c>
      <c r="CV11" s="43">
        <v>27.697600079999997</v>
      </c>
      <c r="CW11" s="43">
        <v>27.697600079999997</v>
      </c>
      <c r="CX11" s="43">
        <v>27.697600079999997</v>
      </c>
      <c r="CY11" s="43">
        <v>27.697600079999997</v>
      </c>
      <c r="CZ11" s="43">
        <v>27.697600079999997</v>
      </c>
      <c r="DA11" s="43">
        <v>27.697600079999997</v>
      </c>
      <c r="DB11" s="43">
        <v>27.697600079999997</v>
      </c>
      <c r="DC11" s="43">
        <v>27.697600079999997</v>
      </c>
      <c r="DD11" s="43">
        <v>27.697600079999997</v>
      </c>
      <c r="DE11" s="43">
        <v>27.697600079999997</v>
      </c>
      <c r="DF11" s="43">
        <v>27.697600079999997</v>
      </c>
    </row>
    <row r="12" spans="1:110">
      <c r="B12" t="s">
        <v>611</v>
      </c>
      <c r="C12" t="s">
        <v>85</v>
      </c>
      <c r="D12">
        <v>8</v>
      </c>
      <c r="E12" t="s">
        <v>711</v>
      </c>
      <c r="F12" s="2" t="s">
        <v>712</v>
      </c>
      <c r="G12">
        <v>2020</v>
      </c>
      <c r="H12" t="s">
        <v>713</v>
      </c>
      <c r="I12" t="s">
        <v>686</v>
      </c>
      <c r="J12" s="43">
        <v>15.013679999999999</v>
      </c>
      <c r="K12" s="43">
        <v>16.901763999999996</v>
      </c>
      <c r="L12" s="43">
        <v>18.789847999999999</v>
      </c>
      <c r="M12" s="43">
        <v>20.677931999999998</v>
      </c>
      <c r="N12" s="43">
        <v>22.566015999999998</v>
      </c>
      <c r="O12" s="43">
        <v>24.4541</v>
      </c>
      <c r="P12" s="43">
        <v>24.727075999999997</v>
      </c>
      <c r="Q12" s="43">
        <v>25.000051999999997</v>
      </c>
      <c r="R12" s="43">
        <v>25.273027999999993</v>
      </c>
      <c r="S12" s="43">
        <v>25.546003999999989</v>
      </c>
      <c r="T12" s="43">
        <v>25.818979999999996</v>
      </c>
      <c r="U12" s="43">
        <v>26.50142</v>
      </c>
      <c r="V12" s="43">
        <v>27.183859999999999</v>
      </c>
      <c r="W12" s="43">
        <v>27.866300000000003</v>
      </c>
      <c r="X12" s="43">
        <v>28.548740000000002</v>
      </c>
      <c r="Y12" s="43">
        <v>29.231179999999995</v>
      </c>
      <c r="Z12" s="43">
        <v>30.436823999999994</v>
      </c>
      <c r="AA12" s="43">
        <v>31.642467999999997</v>
      </c>
      <c r="AB12" s="43">
        <v>32.848111999999993</v>
      </c>
      <c r="AC12" s="43">
        <v>34.053755999999986</v>
      </c>
      <c r="AD12" s="43">
        <v>35.259399999999999</v>
      </c>
      <c r="AE12" s="43">
        <v>35.259399999999999</v>
      </c>
      <c r="AF12" s="43">
        <v>35.259399999999999</v>
      </c>
      <c r="AG12" s="43">
        <v>35.259399999999999</v>
      </c>
      <c r="AH12" s="43">
        <v>35.259399999999999</v>
      </c>
      <c r="AI12" s="43">
        <v>35.259399999999999</v>
      </c>
      <c r="AJ12" s="43">
        <v>35.259399999999999</v>
      </c>
      <c r="AK12" s="43">
        <v>35.259399999999999</v>
      </c>
      <c r="AL12" s="43">
        <v>35.259399999999999</v>
      </c>
      <c r="AM12" s="43">
        <v>35.259399999999999</v>
      </c>
      <c r="AN12" s="43">
        <v>35.259399999999999</v>
      </c>
      <c r="AO12" s="43">
        <v>35.259399999999999</v>
      </c>
      <c r="AP12" s="43">
        <v>35.259399999999999</v>
      </c>
      <c r="AQ12" s="43">
        <v>35.259399999999999</v>
      </c>
      <c r="AR12" s="43">
        <v>35.259399999999999</v>
      </c>
      <c r="AS12" s="43">
        <v>35.259399999999999</v>
      </c>
      <c r="AT12" s="43">
        <v>35.259399999999999</v>
      </c>
      <c r="AU12" s="43">
        <v>35.259399999999999</v>
      </c>
      <c r="AV12" s="43">
        <v>35.259399999999999</v>
      </c>
      <c r="AW12" s="43">
        <v>35.259399999999999</v>
      </c>
      <c r="AX12" s="43">
        <v>35.259399999999999</v>
      </c>
      <c r="AY12" s="43">
        <v>35.259399999999999</v>
      </c>
      <c r="AZ12" s="43">
        <v>35.259399999999999</v>
      </c>
      <c r="BA12" s="43">
        <v>35.259399999999999</v>
      </c>
      <c r="BB12" s="43">
        <v>35.259399999999999</v>
      </c>
      <c r="BC12" s="43">
        <v>35.259399999999999</v>
      </c>
      <c r="BD12" s="43">
        <v>35.259399999999999</v>
      </c>
      <c r="BE12" s="43">
        <v>35.259399999999999</v>
      </c>
      <c r="BF12" s="43">
        <v>35.259399999999999</v>
      </c>
      <c r="BG12" s="43">
        <v>35.259399999999999</v>
      </c>
      <c r="BH12" s="43">
        <v>35.259399999999999</v>
      </c>
      <c r="BI12" s="43">
        <v>35.259399999999999</v>
      </c>
      <c r="BJ12" s="43">
        <v>35.259399999999999</v>
      </c>
      <c r="BK12" s="43">
        <v>35.259399999999999</v>
      </c>
      <c r="BL12" s="43">
        <v>35.259399999999999</v>
      </c>
      <c r="BM12" s="43">
        <v>35.259399999999999</v>
      </c>
      <c r="BN12" s="43">
        <v>35.259399999999999</v>
      </c>
      <c r="BO12" s="43">
        <v>35.259399999999999</v>
      </c>
      <c r="BP12" s="43">
        <v>35.259399999999999</v>
      </c>
      <c r="BQ12" s="43">
        <v>35.259399999999999</v>
      </c>
      <c r="BR12" s="43">
        <v>35.259399999999999</v>
      </c>
      <c r="BS12" s="43">
        <v>35.259399999999999</v>
      </c>
      <c r="BT12" s="43">
        <v>35.259399999999999</v>
      </c>
      <c r="BU12" s="43">
        <v>35.259399999999999</v>
      </c>
      <c r="BV12" s="43">
        <v>35.259399999999999</v>
      </c>
      <c r="BW12" s="43">
        <v>35.259399999999999</v>
      </c>
      <c r="BX12" s="43">
        <v>35.259399999999999</v>
      </c>
      <c r="BY12" s="43">
        <v>35.259399999999999</v>
      </c>
      <c r="BZ12" s="43">
        <v>35.259399999999999</v>
      </c>
      <c r="CA12" s="43">
        <v>35.259399999999999</v>
      </c>
      <c r="CB12" s="43">
        <v>35.259399999999999</v>
      </c>
      <c r="CC12" s="43">
        <v>35.259399999999999</v>
      </c>
      <c r="CD12" s="43">
        <v>35.259399999999999</v>
      </c>
      <c r="CE12" s="43">
        <v>35.259399999999999</v>
      </c>
      <c r="CF12" s="43">
        <v>35.259399999999999</v>
      </c>
      <c r="CG12" s="43">
        <v>35.259399999999999</v>
      </c>
      <c r="CH12" s="43">
        <v>35.259399999999999</v>
      </c>
      <c r="CI12" s="43">
        <v>35.259399999999999</v>
      </c>
      <c r="CJ12" s="43">
        <v>35.259399999999999</v>
      </c>
      <c r="CK12" s="43">
        <v>35.259399999999999</v>
      </c>
      <c r="CL12" s="43">
        <v>35.259399999999999</v>
      </c>
      <c r="CM12" s="43">
        <v>35.259399999999999</v>
      </c>
      <c r="CN12" s="43">
        <v>35.259399999999999</v>
      </c>
      <c r="CO12" s="43">
        <v>35.259399999999999</v>
      </c>
      <c r="CP12" s="43">
        <v>35.259399999999999</v>
      </c>
      <c r="CQ12" s="43">
        <v>35.259399999999999</v>
      </c>
      <c r="CR12" s="43">
        <v>35.259399999999999</v>
      </c>
      <c r="CS12" s="43">
        <v>35.259399999999999</v>
      </c>
      <c r="CT12" s="43">
        <v>35.259399999999999</v>
      </c>
      <c r="CU12" s="43">
        <v>35.259399999999999</v>
      </c>
      <c r="CV12" s="43">
        <v>35.259399999999999</v>
      </c>
      <c r="CW12" s="43">
        <v>35.259399999999999</v>
      </c>
      <c r="CX12" s="43">
        <v>35.259399999999999</v>
      </c>
      <c r="CY12" s="43">
        <v>35.259399999999999</v>
      </c>
      <c r="CZ12" s="43">
        <v>35.259399999999999</v>
      </c>
      <c r="DA12" s="43">
        <v>35.259399999999999</v>
      </c>
      <c r="DB12" s="43">
        <v>35.259399999999999</v>
      </c>
      <c r="DC12" s="43">
        <v>35.259399999999999</v>
      </c>
      <c r="DD12" s="43">
        <v>35.259399999999999</v>
      </c>
      <c r="DE12" s="43">
        <v>35.259399999999999</v>
      </c>
      <c r="DF12" s="43">
        <v>35.259399999999999</v>
      </c>
    </row>
    <row r="13" spans="1:110">
      <c r="B13" t="s">
        <v>714</v>
      </c>
      <c r="C13" t="s">
        <v>80</v>
      </c>
      <c r="D13">
        <v>2</v>
      </c>
      <c r="E13" t="str">
        <f>_xlfn.CONCAT(B13,", ",C13)</f>
        <v>Kivihiili, Keski</v>
      </c>
      <c r="F13" t="s">
        <v>688</v>
      </c>
      <c r="G13">
        <v>2021</v>
      </c>
      <c r="H13" t="s">
        <v>715</v>
      </c>
      <c r="I13" t="s">
        <v>686</v>
      </c>
      <c r="J13">
        <v>11.373999999999999</v>
      </c>
      <c r="K13">
        <v>11.373999999999999</v>
      </c>
      <c r="L13">
        <v>11.373999999999999</v>
      </c>
      <c r="M13">
        <v>11.373999999999999</v>
      </c>
      <c r="N13">
        <v>11.373999999999999</v>
      </c>
      <c r="O13">
        <v>11.373999999999999</v>
      </c>
      <c r="P13">
        <v>11.373999999999999</v>
      </c>
      <c r="Q13">
        <v>11.373999999999999</v>
      </c>
      <c r="R13">
        <v>11.373999999999999</v>
      </c>
      <c r="S13">
        <v>11.373999999999999</v>
      </c>
      <c r="T13">
        <v>11.373999999999999</v>
      </c>
      <c r="U13">
        <v>11.373999999999999</v>
      </c>
      <c r="V13">
        <v>11.373999999999999</v>
      </c>
      <c r="W13">
        <v>11.373999999999999</v>
      </c>
      <c r="X13">
        <v>11.373999999999999</v>
      </c>
      <c r="Y13">
        <v>11.373999999999999</v>
      </c>
      <c r="Z13">
        <v>11.373999999999999</v>
      </c>
      <c r="AA13">
        <v>11.373999999999999</v>
      </c>
      <c r="AB13">
        <v>11.373999999999999</v>
      </c>
      <c r="AC13">
        <v>11.373999999999999</v>
      </c>
      <c r="AD13">
        <v>11.373999999999999</v>
      </c>
      <c r="AE13">
        <v>11.373999999999999</v>
      </c>
      <c r="AF13">
        <v>11.373999999999999</v>
      </c>
      <c r="AG13">
        <v>11.373999999999999</v>
      </c>
      <c r="AH13">
        <v>11.373999999999999</v>
      </c>
      <c r="AI13">
        <v>11.373999999999999</v>
      </c>
      <c r="AJ13">
        <v>11.373999999999999</v>
      </c>
      <c r="AK13">
        <v>11.373999999999999</v>
      </c>
      <c r="AL13">
        <v>11.373999999999999</v>
      </c>
      <c r="AM13">
        <v>11.373999999999999</v>
      </c>
      <c r="AN13">
        <v>11.373999999999999</v>
      </c>
      <c r="AO13">
        <v>11.373999999999999</v>
      </c>
      <c r="AP13">
        <v>11.373999999999999</v>
      </c>
      <c r="AQ13">
        <v>11.373999999999999</v>
      </c>
      <c r="AR13">
        <v>11.373999999999999</v>
      </c>
      <c r="AS13">
        <v>11.373999999999999</v>
      </c>
      <c r="AT13">
        <v>11.373999999999999</v>
      </c>
      <c r="AU13">
        <v>11.373999999999999</v>
      </c>
      <c r="AV13">
        <v>11.373999999999999</v>
      </c>
      <c r="AW13">
        <v>11.373999999999999</v>
      </c>
      <c r="AX13">
        <v>11.373999999999999</v>
      </c>
      <c r="AY13">
        <v>11.373999999999999</v>
      </c>
      <c r="AZ13">
        <v>11.373999999999999</v>
      </c>
      <c r="BA13">
        <v>11.373999999999999</v>
      </c>
      <c r="BB13">
        <v>11.373999999999999</v>
      </c>
      <c r="BC13">
        <v>11.373999999999999</v>
      </c>
      <c r="BD13">
        <v>11.373999999999999</v>
      </c>
      <c r="BE13">
        <v>11.373999999999999</v>
      </c>
      <c r="BF13">
        <v>11.373999999999999</v>
      </c>
      <c r="BG13">
        <v>11.373999999999999</v>
      </c>
      <c r="BH13">
        <v>11.373999999999999</v>
      </c>
      <c r="BI13">
        <v>11.373999999999999</v>
      </c>
      <c r="BJ13">
        <v>11.373999999999999</v>
      </c>
      <c r="BK13">
        <v>11.373999999999999</v>
      </c>
      <c r="BL13">
        <v>11.373999999999999</v>
      </c>
      <c r="BM13">
        <v>11.373999999999999</v>
      </c>
      <c r="BN13">
        <v>11.373999999999999</v>
      </c>
      <c r="BO13">
        <v>11.373999999999999</v>
      </c>
      <c r="BP13">
        <v>11.373999999999999</v>
      </c>
      <c r="BQ13">
        <v>11.373999999999999</v>
      </c>
      <c r="BR13">
        <v>11.373999999999999</v>
      </c>
      <c r="BS13">
        <v>11.373999999999999</v>
      </c>
      <c r="BT13">
        <v>11.373999999999999</v>
      </c>
      <c r="BU13">
        <v>11.373999999999999</v>
      </c>
      <c r="BV13">
        <v>11.373999999999999</v>
      </c>
      <c r="BW13">
        <v>11.373999999999999</v>
      </c>
      <c r="BX13">
        <v>11.373999999999999</v>
      </c>
      <c r="BY13">
        <v>11.373999999999999</v>
      </c>
      <c r="BZ13">
        <v>11.373999999999999</v>
      </c>
      <c r="CA13">
        <v>11.373999999999999</v>
      </c>
      <c r="CB13">
        <v>11.373999999999999</v>
      </c>
      <c r="CC13">
        <v>11.373999999999999</v>
      </c>
      <c r="CD13">
        <v>11.373999999999999</v>
      </c>
      <c r="CE13">
        <v>11.373999999999999</v>
      </c>
      <c r="CF13">
        <v>11.373999999999999</v>
      </c>
      <c r="CG13">
        <v>11.373999999999999</v>
      </c>
      <c r="CH13">
        <v>11.373999999999999</v>
      </c>
      <c r="CI13">
        <v>11.373999999999999</v>
      </c>
      <c r="CJ13">
        <v>11.373999999999999</v>
      </c>
      <c r="CK13">
        <v>11.373999999999999</v>
      </c>
      <c r="CL13">
        <v>11.373999999999999</v>
      </c>
      <c r="CM13">
        <v>11.373999999999999</v>
      </c>
      <c r="CN13">
        <v>11.373999999999999</v>
      </c>
      <c r="CO13">
        <v>11.373999999999999</v>
      </c>
      <c r="CP13">
        <v>11.373999999999999</v>
      </c>
      <c r="CQ13">
        <v>11.373999999999999</v>
      </c>
      <c r="CR13">
        <v>11.373999999999999</v>
      </c>
      <c r="CS13">
        <v>11.373999999999999</v>
      </c>
      <c r="CT13">
        <v>11.373999999999999</v>
      </c>
      <c r="CU13">
        <v>11.373999999999999</v>
      </c>
      <c r="CV13">
        <v>11.373999999999999</v>
      </c>
      <c r="CW13">
        <v>11.373999999999999</v>
      </c>
      <c r="CX13">
        <v>11.373999999999999</v>
      </c>
      <c r="CY13">
        <v>11.373999999999999</v>
      </c>
      <c r="CZ13">
        <v>11.373999999999999</v>
      </c>
      <c r="DA13">
        <v>11.373999999999999</v>
      </c>
      <c r="DB13">
        <v>11.373999999999999</v>
      </c>
      <c r="DC13">
        <v>11.373999999999999</v>
      </c>
      <c r="DD13">
        <v>11.373999999999999</v>
      </c>
      <c r="DE13">
        <v>11.373999999999999</v>
      </c>
      <c r="DF13">
        <v>11.373999999999999</v>
      </c>
    </row>
    <row r="14" spans="1:110">
      <c r="B14" t="s">
        <v>714</v>
      </c>
      <c r="C14" t="s">
        <v>85</v>
      </c>
      <c r="D14">
        <v>8</v>
      </c>
      <c r="E14" t="str">
        <f>_xlfn.CONCAT(B14,", ",C14)</f>
        <v>Kivihiili, Suomi, Ilmasto- ja energiastrategia (2021)</v>
      </c>
      <c r="F14" s="2" t="s">
        <v>712</v>
      </c>
      <c r="G14">
        <v>2020</v>
      </c>
      <c r="H14" t="s">
        <v>713</v>
      </c>
      <c r="I14" t="s">
        <v>686</v>
      </c>
      <c r="J14" s="43">
        <v>7.7343199999999994</v>
      </c>
      <c r="K14" s="43">
        <v>8.5077519999999982</v>
      </c>
      <c r="L14" s="43">
        <v>9.2811839999999997</v>
      </c>
      <c r="M14" s="43">
        <v>10.054615999999998</v>
      </c>
      <c r="N14" s="43">
        <v>10.828047999999999</v>
      </c>
      <c r="O14" s="43">
        <v>11.601479999999999</v>
      </c>
      <c r="P14" s="43">
        <v>11.760715999999999</v>
      </c>
      <c r="Q14" s="43">
        <v>11.919951999999999</v>
      </c>
      <c r="R14" s="43">
        <v>12.079188</v>
      </c>
      <c r="S14" s="43">
        <v>12.238424000000002</v>
      </c>
      <c r="T14" s="43">
        <v>12.39766</v>
      </c>
      <c r="U14" s="43">
        <v>12.579644</v>
      </c>
      <c r="V14" s="43">
        <v>12.761628</v>
      </c>
      <c r="W14" s="43">
        <v>12.943612</v>
      </c>
      <c r="X14" s="43">
        <v>13.125596</v>
      </c>
      <c r="Y14" s="43">
        <v>13.307579999999998</v>
      </c>
      <c r="Z14" s="43">
        <v>13.489563999999998</v>
      </c>
      <c r="AA14" s="43">
        <v>13.671547999999998</v>
      </c>
      <c r="AB14" s="43">
        <v>13.853532</v>
      </c>
      <c r="AC14" s="43">
        <v>14.035515999999999</v>
      </c>
      <c r="AD14" s="43">
        <v>14.217499999999999</v>
      </c>
      <c r="AE14" s="43">
        <v>14.217499999999999</v>
      </c>
      <c r="AF14" s="43">
        <v>14.217499999999999</v>
      </c>
      <c r="AG14" s="43">
        <v>14.217499999999999</v>
      </c>
      <c r="AH14" s="43">
        <v>14.217499999999999</v>
      </c>
      <c r="AI14" s="43">
        <v>14.217499999999999</v>
      </c>
      <c r="AJ14" s="43">
        <v>14.217499999999999</v>
      </c>
      <c r="AK14" s="43">
        <v>14.217499999999999</v>
      </c>
      <c r="AL14" s="43">
        <v>14.217499999999999</v>
      </c>
      <c r="AM14" s="43">
        <v>14.217499999999999</v>
      </c>
      <c r="AN14" s="43">
        <v>14.217499999999999</v>
      </c>
      <c r="AO14" s="43">
        <v>14.217499999999999</v>
      </c>
      <c r="AP14" s="43">
        <v>14.217499999999999</v>
      </c>
      <c r="AQ14" s="43">
        <v>14.217499999999999</v>
      </c>
      <c r="AR14" s="43">
        <v>14.217499999999999</v>
      </c>
      <c r="AS14" s="43">
        <v>14.217499999999999</v>
      </c>
      <c r="AT14" s="43">
        <v>14.217499999999999</v>
      </c>
      <c r="AU14" s="43">
        <v>14.217499999999999</v>
      </c>
      <c r="AV14" s="43">
        <v>14.217499999999999</v>
      </c>
      <c r="AW14" s="43">
        <v>14.217499999999999</v>
      </c>
      <c r="AX14" s="43">
        <v>14.217499999999999</v>
      </c>
      <c r="AY14" s="43">
        <v>14.217499999999999</v>
      </c>
      <c r="AZ14" s="43">
        <v>14.217499999999999</v>
      </c>
      <c r="BA14" s="43">
        <v>14.217499999999999</v>
      </c>
      <c r="BB14" s="43">
        <v>14.217499999999999</v>
      </c>
      <c r="BC14" s="43">
        <v>14.217499999999999</v>
      </c>
      <c r="BD14" s="43">
        <v>14.217499999999999</v>
      </c>
      <c r="BE14" s="43">
        <v>14.217499999999999</v>
      </c>
      <c r="BF14" s="43">
        <v>14.217499999999999</v>
      </c>
      <c r="BG14" s="43">
        <v>14.217499999999999</v>
      </c>
      <c r="BH14" s="43">
        <v>14.217499999999999</v>
      </c>
      <c r="BI14" s="43">
        <v>14.217499999999999</v>
      </c>
      <c r="BJ14" s="43">
        <v>14.217499999999999</v>
      </c>
      <c r="BK14" s="43">
        <v>14.217499999999999</v>
      </c>
      <c r="BL14" s="43">
        <v>14.217499999999999</v>
      </c>
      <c r="BM14" s="43">
        <v>14.217499999999999</v>
      </c>
      <c r="BN14" s="43">
        <v>14.217499999999999</v>
      </c>
      <c r="BO14" s="43">
        <v>14.217499999999999</v>
      </c>
      <c r="BP14" s="43">
        <v>14.217499999999999</v>
      </c>
      <c r="BQ14" s="43">
        <v>14.217499999999999</v>
      </c>
      <c r="BR14" s="43">
        <v>14.217499999999999</v>
      </c>
      <c r="BS14" s="43">
        <v>14.217499999999999</v>
      </c>
      <c r="BT14" s="43">
        <v>14.217499999999999</v>
      </c>
      <c r="BU14" s="43">
        <v>14.217499999999999</v>
      </c>
      <c r="BV14" s="43">
        <v>14.217499999999999</v>
      </c>
      <c r="BW14" s="43">
        <v>14.217499999999999</v>
      </c>
      <c r="BX14" s="43">
        <v>14.217499999999999</v>
      </c>
      <c r="BY14" s="43">
        <v>14.217499999999999</v>
      </c>
      <c r="BZ14" s="43">
        <v>14.217499999999999</v>
      </c>
      <c r="CA14" s="43">
        <v>14.217499999999999</v>
      </c>
      <c r="CB14" s="43">
        <v>14.217499999999999</v>
      </c>
      <c r="CC14" s="43">
        <v>14.217499999999999</v>
      </c>
      <c r="CD14" s="43">
        <v>14.217499999999999</v>
      </c>
      <c r="CE14" s="43">
        <v>14.217499999999999</v>
      </c>
      <c r="CF14" s="43">
        <v>14.217499999999999</v>
      </c>
      <c r="CG14" s="43">
        <v>14.217499999999999</v>
      </c>
      <c r="CH14" s="43">
        <v>14.217499999999999</v>
      </c>
      <c r="CI14" s="43">
        <v>14.217499999999999</v>
      </c>
      <c r="CJ14" s="43">
        <v>14.217499999999999</v>
      </c>
      <c r="CK14" s="43">
        <v>14.217499999999999</v>
      </c>
      <c r="CL14" s="43">
        <v>14.217499999999999</v>
      </c>
      <c r="CM14" s="43">
        <v>14.217499999999999</v>
      </c>
      <c r="CN14" s="43">
        <v>14.217499999999999</v>
      </c>
      <c r="CO14" s="43">
        <v>14.217499999999999</v>
      </c>
      <c r="CP14" s="43">
        <v>14.217499999999999</v>
      </c>
      <c r="CQ14" s="43">
        <v>14.217499999999999</v>
      </c>
      <c r="CR14" s="43">
        <v>14.217499999999999</v>
      </c>
      <c r="CS14" s="43">
        <v>14.217499999999999</v>
      </c>
      <c r="CT14" s="43">
        <v>14.217499999999999</v>
      </c>
      <c r="CU14" s="43">
        <v>14.217499999999999</v>
      </c>
      <c r="CV14" s="43">
        <v>14.217499999999999</v>
      </c>
      <c r="CW14" s="43">
        <v>14.217499999999999</v>
      </c>
      <c r="CX14" s="43">
        <v>14.217499999999999</v>
      </c>
      <c r="CY14" s="43">
        <v>14.217499999999999</v>
      </c>
      <c r="CZ14" s="43">
        <v>14.217499999999999</v>
      </c>
      <c r="DA14" s="43">
        <v>14.217499999999999</v>
      </c>
      <c r="DB14" s="43">
        <v>14.217499999999999</v>
      </c>
      <c r="DC14" s="43">
        <v>14.217499999999999</v>
      </c>
      <c r="DD14" s="43">
        <v>14.217499999999999</v>
      </c>
      <c r="DE14" s="43">
        <v>14.217499999999999</v>
      </c>
      <c r="DF14" s="43">
        <v>14.217499999999999</v>
      </c>
    </row>
    <row r="15" spans="1:110">
      <c r="B15" t="s">
        <v>620</v>
      </c>
      <c r="C15" t="s">
        <v>80</v>
      </c>
      <c r="D15">
        <v>2</v>
      </c>
      <c r="E15" t="str">
        <f>_xlfn.CONCAT(B15,", ",C15)</f>
        <v>Uraani, Keski</v>
      </c>
      <c r="H15" t="s">
        <v>716</v>
      </c>
      <c r="I15" t="s">
        <v>686</v>
      </c>
      <c r="J15">
        <v>9.3999999999999986</v>
      </c>
      <c r="K15">
        <v>9.3999999999999986</v>
      </c>
      <c r="L15">
        <v>9.3999999999999986</v>
      </c>
      <c r="M15">
        <v>9.3999999999999986</v>
      </c>
      <c r="N15">
        <v>9.3999999999999986</v>
      </c>
      <c r="O15">
        <v>9.3999999999999986</v>
      </c>
      <c r="P15">
        <v>9.3999999999999986</v>
      </c>
      <c r="Q15">
        <v>9.3999999999999986</v>
      </c>
      <c r="R15">
        <v>9.3999999999999986</v>
      </c>
      <c r="S15">
        <v>9.3999999999999986</v>
      </c>
      <c r="T15">
        <v>9.3999999999999986</v>
      </c>
      <c r="U15">
        <v>9.3999999999999986</v>
      </c>
      <c r="V15">
        <v>9.3999999999999986</v>
      </c>
      <c r="W15">
        <v>9.3999999999999986</v>
      </c>
      <c r="X15">
        <v>9.3999999999999986</v>
      </c>
      <c r="Y15">
        <v>9.3999999999999986</v>
      </c>
      <c r="Z15">
        <v>9.3999999999999986</v>
      </c>
      <c r="AA15">
        <v>9.3999999999999986</v>
      </c>
      <c r="AB15">
        <v>9.3999999999999986</v>
      </c>
      <c r="AC15">
        <v>9.3999999999999986</v>
      </c>
      <c r="AD15">
        <v>9.3999999999999986</v>
      </c>
      <c r="AE15">
        <v>9.3999999999999986</v>
      </c>
      <c r="AF15">
        <v>9.3999999999999986</v>
      </c>
      <c r="AG15">
        <v>9.3999999999999986</v>
      </c>
      <c r="AH15">
        <v>9.3999999999999986</v>
      </c>
      <c r="AI15">
        <v>9.3999999999999986</v>
      </c>
      <c r="AJ15">
        <v>9.3999999999999986</v>
      </c>
      <c r="AK15">
        <v>9.3999999999999986</v>
      </c>
      <c r="AL15">
        <v>9.3999999999999986</v>
      </c>
      <c r="AM15">
        <v>9.3999999999999986</v>
      </c>
      <c r="AN15">
        <v>9.3999999999999986</v>
      </c>
      <c r="AO15">
        <v>9.3999999999999986</v>
      </c>
      <c r="AP15">
        <v>9.3999999999999986</v>
      </c>
      <c r="AQ15">
        <v>9.3999999999999986</v>
      </c>
      <c r="AR15">
        <v>9.3999999999999986</v>
      </c>
      <c r="AS15">
        <v>9.3999999999999986</v>
      </c>
      <c r="AT15">
        <v>9.3999999999999986</v>
      </c>
      <c r="AU15">
        <v>9.3999999999999986</v>
      </c>
      <c r="AV15">
        <v>9.3999999999999986</v>
      </c>
      <c r="AW15">
        <v>9.3999999999999986</v>
      </c>
      <c r="AX15">
        <v>9.3999999999999986</v>
      </c>
      <c r="AY15">
        <v>9.3999999999999986</v>
      </c>
      <c r="AZ15">
        <v>9.3999999999999986</v>
      </c>
      <c r="BA15">
        <v>9.3999999999999986</v>
      </c>
      <c r="BB15">
        <v>9.3999999999999986</v>
      </c>
      <c r="BC15">
        <v>9.3999999999999986</v>
      </c>
      <c r="BD15">
        <v>9.3999999999999986</v>
      </c>
      <c r="BE15">
        <v>9.3999999999999986</v>
      </c>
      <c r="BF15">
        <v>9.3999999999999986</v>
      </c>
      <c r="BG15">
        <v>9.3999999999999986</v>
      </c>
      <c r="BH15">
        <v>9.3999999999999986</v>
      </c>
      <c r="BI15">
        <v>9.3999999999999986</v>
      </c>
      <c r="BJ15">
        <v>9.3999999999999986</v>
      </c>
      <c r="BK15">
        <v>9.3999999999999986</v>
      </c>
      <c r="BL15">
        <v>9.3999999999999986</v>
      </c>
      <c r="BM15">
        <v>9.3999999999999986</v>
      </c>
      <c r="BN15">
        <v>9.3999999999999986</v>
      </c>
      <c r="BO15">
        <v>9.3999999999999986</v>
      </c>
      <c r="BP15">
        <v>9.3999999999999986</v>
      </c>
      <c r="BQ15">
        <v>9.3999999999999986</v>
      </c>
      <c r="BR15">
        <v>9.3999999999999986</v>
      </c>
      <c r="BS15">
        <v>9.3999999999999986</v>
      </c>
      <c r="BT15">
        <v>9.3999999999999986</v>
      </c>
      <c r="BU15">
        <v>9.3999999999999986</v>
      </c>
      <c r="BV15">
        <v>9.3999999999999986</v>
      </c>
      <c r="BW15">
        <v>9.3999999999999986</v>
      </c>
      <c r="BX15">
        <v>9.3999999999999986</v>
      </c>
      <c r="BY15">
        <v>9.3999999999999986</v>
      </c>
      <c r="BZ15">
        <v>9.3999999999999986</v>
      </c>
      <c r="CA15">
        <v>9.3999999999999986</v>
      </c>
      <c r="CB15">
        <v>9.3999999999999986</v>
      </c>
      <c r="CC15">
        <v>9.3999999999999986</v>
      </c>
      <c r="CD15">
        <v>9.3999999999999986</v>
      </c>
      <c r="CE15">
        <v>9.3999999999999986</v>
      </c>
      <c r="CF15">
        <v>9.3999999999999986</v>
      </c>
      <c r="CG15">
        <v>9.3999999999999986</v>
      </c>
      <c r="CH15">
        <v>9.3999999999999986</v>
      </c>
      <c r="CI15">
        <v>9.3999999999999986</v>
      </c>
      <c r="CJ15">
        <v>9.3999999999999986</v>
      </c>
      <c r="CK15">
        <v>9.3999999999999986</v>
      </c>
      <c r="CL15">
        <v>9.3999999999999986</v>
      </c>
      <c r="CM15">
        <v>9.3999999999999986</v>
      </c>
      <c r="CN15">
        <v>9.3999999999999986</v>
      </c>
      <c r="CO15">
        <v>9.3999999999999986</v>
      </c>
      <c r="CP15">
        <v>9.3999999999999986</v>
      </c>
      <c r="CQ15">
        <v>9.3999999999999986</v>
      </c>
      <c r="CR15">
        <v>9.3999999999999986</v>
      </c>
      <c r="CS15">
        <v>9.3999999999999986</v>
      </c>
      <c r="CT15">
        <v>9.3999999999999986</v>
      </c>
      <c r="CU15">
        <v>9.3999999999999986</v>
      </c>
      <c r="CV15">
        <v>9.3999999999999986</v>
      </c>
      <c r="CW15">
        <v>9.3999999999999986</v>
      </c>
      <c r="CX15">
        <v>9.3999999999999986</v>
      </c>
      <c r="CY15">
        <v>9.3999999999999986</v>
      </c>
      <c r="CZ15">
        <v>9.3999999999999986</v>
      </c>
      <c r="DA15">
        <v>9.3999999999999986</v>
      </c>
      <c r="DB15">
        <v>9.3999999999999986</v>
      </c>
      <c r="DC15">
        <v>9.3999999999999986</v>
      </c>
      <c r="DD15">
        <v>9.3999999999999986</v>
      </c>
      <c r="DE15">
        <v>9.3999999999999986</v>
      </c>
      <c r="DF15">
        <v>9.3999999999999986</v>
      </c>
    </row>
    <row r="16" spans="1:110">
      <c r="B16" t="s">
        <v>717</v>
      </c>
      <c r="C16" t="s">
        <v>80</v>
      </c>
      <c r="D16">
        <v>2</v>
      </c>
      <c r="E16" t="str">
        <f>_xlfn.CONCAT(B16,", ",C16)</f>
        <v>Biokaasu, Keski</v>
      </c>
      <c r="F16" t="s">
        <v>688</v>
      </c>
      <c r="G16">
        <v>2021</v>
      </c>
      <c r="H16" t="s">
        <v>715</v>
      </c>
      <c r="I16" t="s">
        <v>686</v>
      </c>
      <c r="J16">
        <v>43.672399999999996</v>
      </c>
      <c r="K16">
        <v>43.672399999999996</v>
      </c>
      <c r="L16">
        <v>43.672399999999996</v>
      </c>
      <c r="M16">
        <v>43.672399999999996</v>
      </c>
      <c r="N16">
        <v>43.672399999999996</v>
      </c>
      <c r="O16">
        <v>43.672399999999996</v>
      </c>
      <c r="P16">
        <v>43.672399999999996</v>
      </c>
      <c r="Q16">
        <v>43.672399999999996</v>
      </c>
      <c r="R16">
        <v>43.672399999999996</v>
      </c>
      <c r="S16">
        <v>43.672399999999996</v>
      </c>
      <c r="T16">
        <v>43.672399999999996</v>
      </c>
      <c r="U16">
        <v>43.672399999999996</v>
      </c>
      <c r="V16">
        <v>43.672399999999996</v>
      </c>
      <c r="W16">
        <v>43.672399999999996</v>
      </c>
      <c r="X16">
        <v>43.672399999999996</v>
      </c>
      <c r="Y16">
        <v>43.672399999999996</v>
      </c>
      <c r="Z16">
        <v>43.672399999999996</v>
      </c>
      <c r="AA16">
        <v>43.672399999999996</v>
      </c>
      <c r="AB16">
        <v>43.672399999999996</v>
      </c>
      <c r="AC16">
        <v>43.672399999999996</v>
      </c>
      <c r="AD16">
        <v>43.672399999999996</v>
      </c>
      <c r="AE16">
        <v>43.672399999999996</v>
      </c>
      <c r="AF16">
        <v>43.672399999999996</v>
      </c>
      <c r="AG16">
        <v>43.672399999999996</v>
      </c>
      <c r="AH16">
        <v>43.672399999999996</v>
      </c>
      <c r="AI16">
        <v>43.672399999999996</v>
      </c>
      <c r="AJ16">
        <v>43.672399999999996</v>
      </c>
      <c r="AK16">
        <v>43.672399999999996</v>
      </c>
      <c r="AL16">
        <v>43.672399999999996</v>
      </c>
      <c r="AM16">
        <v>43.672399999999996</v>
      </c>
      <c r="AN16">
        <v>43.672399999999996</v>
      </c>
      <c r="AO16">
        <v>43.672399999999996</v>
      </c>
      <c r="AP16">
        <v>43.672399999999996</v>
      </c>
      <c r="AQ16">
        <v>43.672399999999996</v>
      </c>
      <c r="AR16">
        <v>43.672399999999996</v>
      </c>
      <c r="AS16">
        <v>43.672399999999996</v>
      </c>
      <c r="AT16">
        <v>43.672399999999996</v>
      </c>
      <c r="AU16">
        <v>43.672399999999996</v>
      </c>
      <c r="AV16">
        <v>43.672399999999996</v>
      </c>
      <c r="AW16">
        <v>43.672399999999996</v>
      </c>
      <c r="AX16">
        <v>43.672399999999996</v>
      </c>
      <c r="AY16">
        <v>43.672399999999996</v>
      </c>
      <c r="AZ16">
        <v>43.672399999999996</v>
      </c>
      <c r="BA16">
        <v>43.672399999999996</v>
      </c>
      <c r="BB16">
        <v>43.672399999999996</v>
      </c>
      <c r="BC16">
        <v>43.672399999999996</v>
      </c>
      <c r="BD16">
        <v>43.672399999999996</v>
      </c>
      <c r="BE16">
        <v>43.672399999999996</v>
      </c>
      <c r="BF16">
        <v>43.672399999999996</v>
      </c>
      <c r="BG16">
        <v>43.672399999999996</v>
      </c>
      <c r="BH16">
        <v>43.672399999999996</v>
      </c>
      <c r="BI16">
        <v>43.672399999999996</v>
      </c>
      <c r="BJ16">
        <v>43.672399999999996</v>
      </c>
      <c r="BK16">
        <v>43.672399999999996</v>
      </c>
      <c r="BL16">
        <v>43.672399999999996</v>
      </c>
      <c r="BM16">
        <v>43.672399999999996</v>
      </c>
      <c r="BN16">
        <v>43.672399999999996</v>
      </c>
      <c r="BO16">
        <v>43.672399999999996</v>
      </c>
      <c r="BP16">
        <v>43.672399999999996</v>
      </c>
      <c r="BQ16">
        <v>43.672399999999996</v>
      </c>
      <c r="BR16">
        <v>43.672399999999996</v>
      </c>
      <c r="BS16">
        <v>43.672399999999996</v>
      </c>
      <c r="BT16">
        <v>43.672399999999996</v>
      </c>
      <c r="BU16">
        <v>43.672399999999996</v>
      </c>
      <c r="BV16">
        <v>43.672399999999996</v>
      </c>
      <c r="BW16">
        <v>43.672399999999996</v>
      </c>
      <c r="BX16">
        <v>43.672399999999996</v>
      </c>
      <c r="BY16">
        <v>43.672399999999996</v>
      </c>
      <c r="BZ16">
        <v>43.672399999999996</v>
      </c>
      <c r="CA16">
        <v>43.672399999999996</v>
      </c>
      <c r="CB16">
        <v>43.672399999999996</v>
      </c>
      <c r="CC16">
        <v>43.672399999999996</v>
      </c>
      <c r="CD16">
        <v>43.672399999999996</v>
      </c>
      <c r="CE16">
        <v>43.672399999999996</v>
      </c>
      <c r="CF16">
        <v>43.672399999999996</v>
      </c>
      <c r="CG16">
        <v>43.672399999999996</v>
      </c>
      <c r="CH16">
        <v>43.672399999999996</v>
      </c>
      <c r="CI16">
        <v>43.672399999999996</v>
      </c>
      <c r="CJ16">
        <v>43.672399999999996</v>
      </c>
      <c r="CK16">
        <v>43.672399999999996</v>
      </c>
      <c r="CL16">
        <v>43.672399999999996</v>
      </c>
      <c r="CM16">
        <v>43.672399999999996</v>
      </c>
      <c r="CN16">
        <v>43.672399999999996</v>
      </c>
      <c r="CO16">
        <v>43.672399999999996</v>
      </c>
      <c r="CP16">
        <v>43.672399999999996</v>
      </c>
      <c r="CQ16">
        <v>43.672399999999996</v>
      </c>
      <c r="CR16">
        <v>43.672399999999996</v>
      </c>
      <c r="CS16">
        <v>43.672399999999996</v>
      </c>
      <c r="CT16">
        <v>43.672399999999996</v>
      </c>
      <c r="CU16">
        <v>43.672399999999996</v>
      </c>
      <c r="CV16">
        <v>43.672399999999996</v>
      </c>
      <c r="CW16">
        <v>43.672399999999996</v>
      </c>
      <c r="CX16">
        <v>43.672399999999996</v>
      </c>
      <c r="CY16">
        <v>43.672399999999996</v>
      </c>
      <c r="CZ16">
        <v>43.672399999999996</v>
      </c>
      <c r="DA16">
        <v>43.672399999999996</v>
      </c>
      <c r="DB16">
        <v>43.672399999999996</v>
      </c>
      <c r="DC16">
        <v>43.672399999999996</v>
      </c>
      <c r="DD16">
        <v>43.672399999999996</v>
      </c>
      <c r="DE16">
        <v>43.672399999999996</v>
      </c>
      <c r="DF16">
        <v>43.672399999999996</v>
      </c>
    </row>
    <row r="17" spans="1:110">
      <c r="B17" t="s">
        <v>613</v>
      </c>
      <c r="C17" t="s">
        <v>80</v>
      </c>
      <c r="D17">
        <v>2</v>
      </c>
      <c r="E17" t="str">
        <f>_xlfn.CONCAT(B17,", ",C17)</f>
        <v>Biomassa, Keski</v>
      </c>
      <c r="F17" t="s">
        <v>688</v>
      </c>
      <c r="G17">
        <v>2021</v>
      </c>
      <c r="H17" t="s">
        <v>715</v>
      </c>
      <c r="I17" t="s">
        <v>686</v>
      </c>
      <c r="J17">
        <v>17.060999999999996</v>
      </c>
      <c r="K17">
        <v>17.060999999999996</v>
      </c>
      <c r="L17">
        <v>17.060999999999996</v>
      </c>
      <c r="M17">
        <v>17.060999999999996</v>
      </c>
      <c r="N17">
        <v>17.060999999999996</v>
      </c>
      <c r="O17">
        <v>17.060999999999996</v>
      </c>
      <c r="P17">
        <v>17.060999999999996</v>
      </c>
      <c r="Q17">
        <v>17.060999999999996</v>
      </c>
      <c r="R17">
        <v>17.060999999999996</v>
      </c>
      <c r="S17">
        <v>17.060999999999996</v>
      </c>
      <c r="T17">
        <v>17.060999999999996</v>
      </c>
      <c r="U17">
        <v>17.060999999999996</v>
      </c>
      <c r="V17">
        <v>17.060999999999996</v>
      </c>
      <c r="W17">
        <v>17.060999999999996</v>
      </c>
      <c r="X17">
        <v>17.060999999999996</v>
      </c>
      <c r="Y17">
        <v>17.060999999999996</v>
      </c>
      <c r="Z17">
        <v>17.060999999999996</v>
      </c>
      <c r="AA17">
        <v>17.060999999999996</v>
      </c>
      <c r="AB17">
        <v>17.060999999999996</v>
      </c>
      <c r="AC17">
        <v>17.060999999999996</v>
      </c>
      <c r="AD17">
        <v>17.060999999999996</v>
      </c>
      <c r="AE17">
        <v>17.060999999999996</v>
      </c>
      <c r="AF17">
        <v>17.060999999999996</v>
      </c>
      <c r="AG17">
        <v>17.060999999999996</v>
      </c>
      <c r="AH17">
        <v>17.060999999999996</v>
      </c>
      <c r="AI17">
        <v>17.060999999999996</v>
      </c>
      <c r="AJ17">
        <v>17.060999999999996</v>
      </c>
      <c r="AK17">
        <v>17.060999999999996</v>
      </c>
      <c r="AL17">
        <v>17.060999999999996</v>
      </c>
      <c r="AM17">
        <v>17.060999999999996</v>
      </c>
      <c r="AN17">
        <v>17.060999999999996</v>
      </c>
      <c r="AO17">
        <v>17.060999999999996</v>
      </c>
      <c r="AP17">
        <v>17.060999999999996</v>
      </c>
      <c r="AQ17">
        <v>17.060999999999996</v>
      </c>
      <c r="AR17">
        <v>17.060999999999996</v>
      </c>
      <c r="AS17">
        <v>17.060999999999996</v>
      </c>
      <c r="AT17">
        <v>17.060999999999996</v>
      </c>
      <c r="AU17">
        <v>17.060999999999996</v>
      </c>
      <c r="AV17">
        <v>17.060999999999996</v>
      </c>
      <c r="AW17">
        <v>17.060999999999996</v>
      </c>
      <c r="AX17">
        <v>17.060999999999996</v>
      </c>
      <c r="AY17">
        <v>17.060999999999996</v>
      </c>
      <c r="AZ17">
        <v>17.060999999999996</v>
      </c>
      <c r="BA17">
        <v>17.060999999999996</v>
      </c>
      <c r="BB17">
        <v>17.060999999999996</v>
      </c>
      <c r="BC17">
        <v>17.060999999999996</v>
      </c>
      <c r="BD17">
        <v>17.060999999999996</v>
      </c>
      <c r="BE17">
        <v>17.060999999999996</v>
      </c>
      <c r="BF17">
        <v>17.060999999999996</v>
      </c>
      <c r="BG17">
        <v>17.060999999999996</v>
      </c>
      <c r="BH17">
        <v>17.060999999999996</v>
      </c>
      <c r="BI17">
        <v>17.060999999999996</v>
      </c>
      <c r="BJ17">
        <v>17.060999999999996</v>
      </c>
      <c r="BK17">
        <v>17.060999999999996</v>
      </c>
      <c r="BL17">
        <v>17.060999999999996</v>
      </c>
      <c r="BM17">
        <v>17.060999999999996</v>
      </c>
      <c r="BN17">
        <v>17.060999999999996</v>
      </c>
      <c r="BO17">
        <v>17.060999999999996</v>
      </c>
      <c r="BP17">
        <v>17.060999999999996</v>
      </c>
      <c r="BQ17">
        <v>17.060999999999996</v>
      </c>
      <c r="BR17">
        <v>17.060999999999996</v>
      </c>
      <c r="BS17">
        <v>17.060999999999996</v>
      </c>
      <c r="BT17">
        <v>17.060999999999996</v>
      </c>
      <c r="BU17">
        <v>17.060999999999996</v>
      </c>
      <c r="BV17">
        <v>17.060999999999996</v>
      </c>
      <c r="BW17">
        <v>17.060999999999996</v>
      </c>
      <c r="BX17">
        <v>17.060999999999996</v>
      </c>
      <c r="BY17">
        <v>17.060999999999996</v>
      </c>
      <c r="BZ17">
        <v>17.060999999999996</v>
      </c>
      <c r="CA17">
        <v>17.060999999999996</v>
      </c>
      <c r="CB17">
        <v>17.060999999999996</v>
      </c>
      <c r="CC17">
        <v>17.060999999999996</v>
      </c>
      <c r="CD17">
        <v>17.060999999999996</v>
      </c>
      <c r="CE17">
        <v>17.060999999999996</v>
      </c>
      <c r="CF17">
        <v>17.060999999999996</v>
      </c>
      <c r="CG17">
        <v>17.060999999999996</v>
      </c>
      <c r="CH17">
        <v>17.060999999999996</v>
      </c>
      <c r="CI17">
        <v>17.060999999999996</v>
      </c>
      <c r="CJ17">
        <v>17.060999999999996</v>
      </c>
      <c r="CK17">
        <v>17.060999999999996</v>
      </c>
      <c r="CL17">
        <v>17.060999999999996</v>
      </c>
      <c r="CM17">
        <v>17.060999999999996</v>
      </c>
      <c r="CN17">
        <v>17.060999999999996</v>
      </c>
      <c r="CO17">
        <v>17.060999999999996</v>
      </c>
      <c r="CP17">
        <v>17.060999999999996</v>
      </c>
      <c r="CQ17">
        <v>17.060999999999996</v>
      </c>
      <c r="CR17">
        <v>17.060999999999996</v>
      </c>
      <c r="CS17">
        <v>17.060999999999996</v>
      </c>
      <c r="CT17">
        <v>17.060999999999996</v>
      </c>
      <c r="CU17">
        <v>17.060999999999996</v>
      </c>
      <c r="CV17">
        <v>17.060999999999996</v>
      </c>
      <c r="CW17">
        <v>17.060999999999996</v>
      </c>
      <c r="CX17">
        <v>17.060999999999996</v>
      </c>
      <c r="CY17">
        <v>17.060999999999996</v>
      </c>
      <c r="CZ17">
        <v>17.060999999999996</v>
      </c>
      <c r="DA17">
        <v>17.060999999999996</v>
      </c>
      <c r="DB17">
        <v>17.060999999999996</v>
      </c>
      <c r="DC17">
        <v>17.060999999999996</v>
      </c>
      <c r="DD17">
        <v>17.060999999999996</v>
      </c>
      <c r="DE17">
        <v>17.060999999999996</v>
      </c>
      <c r="DF17">
        <v>17.060999999999996</v>
      </c>
    </row>
    <row r="18" spans="1:110">
      <c r="B18" t="s">
        <v>613</v>
      </c>
      <c r="C18" s="6" t="s">
        <v>85</v>
      </c>
      <c r="D18">
        <v>8</v>
      </c>
      <c r="E18" t="str">
        <f>_xlfn.CONCAT(B18,", ",C18)</f>
        <v>Biomassa, Suomi, Ilmasto- ja energiastrategia (2021)</v>
      </c>
      <c r="F18" s="2" t="s">
        <v>712</v>
      </c>
      <c r="G18">
        <v>2020</v>
      </c>
      <c r="H18" t="s">
        <v>713</v>
      </c>
      <c r="I18" t="s">
        <v>686</v>
      </c>
      <c r="J18">
        <v>23.885399999999997</v>
      </c>
      <c r="K18">
        <v>24.340359999999997</v>
      </c>
      <c r="L18">
        <v>24.795319999999997</v>
      </c>
      <c r="M18">
        <v>25.250279999999993</v>
      </c>
      <c r="N18">
        <v>25.705239999999993</v>
      </c>
      <c r="O18">
        <v>26.160199999999996</v>
      </c>
      <c r="P18">
        <v>26.615159999999996</v>
      </c>
      <c r="Q18">
        <v>27.070119999999992</v>
      </c>
      <c r="R18">
        <v>27.525079999999992</v>
      </c>
      <c r="S18">
        <v>27.980039999999992</v>
      </c>
      <c r="T18">
        <v>28.434999999999999</v>
      </c>
      <c r="U18">
        <v>28.434999999999999</v>
      </c>
      <c r="V18">
        <v>28.434999999999999</v>
      </c>
      <c r="W18">
        <v>28.434999999999999</v>
      </c>
      <c r="X18">
        <v>28.434999999999999</v>
      </c>
      <c r="Y18">
        <v>28.434999999999999</v>
      </c>
      <c r="Z18">
        <v>28.434999999999999</v>
      </c>
      <c r="AA18">
        <v>28.434999999999999</v>
      </c>
      <c r="AB18">
        <v>28.434999999999999</v>
      </c>
      <c r="AC18">
        <v>28.434999999999999</v>
      </c>
      <c r="AD18">
        <v>28.434999999999999</v>
      </c>
      <c r="AE18">
        <v>28.434999999999999</v>
      </c>
      <c r="AF18">
        <v>28.434999999999999</v>
      </c>
      <c r="AG18">
        <v>28.434999999999999</v>
      </c>
      <c r="AH18">
        <v>28.434999999999999</v>
      </c>
      <c r="AI18">
        <v>28.434999999999999</v>
      </c>
      <c r="AJ18">
        <v>28.434999999999999</v>
      </c>
      <c r="AK18">
        <v>28.434999999999999</v>
      </c>
      <c r="AL18">
        <v>28.434999999999999</v>
      </c>
      <c r="AM18">
        <v>28.434999999999999</v>
      </c>
      <c r="AN18">
        <v>28.434999999999999</v>
      </c>
      <c r="AO18">
        <v>28.434999999999999</v>
      </c>
      <c r="AP18">
        <v>28.434999999999999</v>
      </c>
      <c r="AQ18">
        <v>28.434999999999999</v>
      </c>
      <c r="AR18">
        <v>28.434999999999999</v>
      </c>
      <c r="AS18">
        <v>28.434999999999999</v>
      </c>
      <c r="AT18">
        <v>28.434999999999999</v>
      </c>
      <c r="AU18">
        <v>28.434999999999999</v>
      </c>
      <c r="AV18">
        <v>28.434999999999999</v>
      </c>
      <c r="AW18">
        <v>28.434999999999999</v>
      </c>
      <c r="AX18">
        <v>28.434999999999999</v>
      </c>
      <c r="AY18">
        <v>28.434999999999999</v>
      </c>
      <c r="AZ18">
        <v>28.434999999999999</v>
      </c>
      <c r="BA18">
        <v>28.434999999999999</v>
      </c>
      <c r="BB18">
        <v>28.434999999999999</v>
      </c>
      <c r="BC18">
        <v>28.434999999999999</v>
      </c>
      <c r="BD18">
        <v>28.434999999999999</v>
      </c>
      <c r="BE18">
        <v>28.434999999999999</v>
      </c>
      <c r="BF18">
        <v>28.434999999999999</v>
      </c>
      <c r="BG18">
        <v>28.434999999999999</v>
      </c>
      <c r="BH18">
        <v>28.434999999999999</v>
      </c>
      <c r="BI18">
        <v>28.434999999999999</v>
      </c>
      <c r="BJ18">
        <v>28.434999999999999</v>
      </c>
      <c r="BK18">
        <v>28.434999999999999</v>
      </c>
      <c r="BL18">
        <v>28.434999999999999</v>
      </c>
      <c r="BM18">
        <v>28.434999999999999</v>
      </c>
      <c r="BN18">
        <v>28.434999999999999</v>
      </c>
      <c r="BO18">
        <v>28.434999999999999</v>
      </c>
      <c r="BP18">
        <v>28.434999999999999</v>
      </c>
      <c r="BQ18">
        <v>28.434999999999999</v>
      </c>
      <c r="BR18">
        <v>28.434999999999999</v>
      </c>
      <c r="BS18">
        <v>28.434999999999999</v>
      </c>
      <c r="BT18">
        <v>28.434999999999999</v>
      </c>
      <c r="BU18">
        <v>28.434999999999999</v>
      </c>
      <c r="BV18">
        <v>28.434999999999999</v>
      </c>
      <c r="BW18">
        <v>28.434999999999999</v>
      </c>
      <c r="BX18">
        <v>28.434999999999999</v>
      </c>
      <c r="BY18">
        <v>28.434999999999999</v>
      </c>
      <c r="BZ18">
        <v>28.434999999999999</v>
      </c>
      <c r="CA18">
        <v>28.434999999999999</v>
      </c>
      <c r="CB18">
        <v>28.434999999999999</v>
      </c>
      <c r="CC18">
        <v>28.434999999999999</v>
      </c>
      <c r="CD18">
        <v>28.434999999999999</v>
      </c>
      <c r="CE18">
        <v>28.434999999999999</v>
      </c>
      <c r="CF18">
        <v>28.434999999999999</v>
      </c>
      <c r="CG18">
        <v>28.434999999999999</v>
      </c>
      <c r="CH18">
        <v>28.434999999999999</v>
      </c>
      <c r="CI18">
        <v>28.434999999999999</v>
      </c>
      <c r="CJ18">
        <v>28.434999999999999</v>
      </c>
      <c r="CK18">
        <v>28.434999999999999</v>
      </c>
      <c r="CL18">
        <v>28.434999999999999</v>
      </c>
      <c r="CM18">
        <v>28.434999999999999</v>
      </c>
      <c r="CN18">
        <v>28.434999999999999</v>
      </c>
      <c r="CO18">
        <v>28.434999999999999</v>
      </c>
      <c r="CP18">
        <v>28.434999999999999</v>
      </c>
      <c r="CQ18">
        <v>28.434999999999999</v>
      </c>
      <c r="CR18">
        <v>28.434999999999999</v>
      </c>
      <c r="CS18">
        <v>28.434999999999999</v>
      </c>
      <c r="CT18">
        <v>28.434999999999999</v>
      </c>
      <c r="CU18">
        <v>28.434999999999999</v>
      </c>
      <c r="CV18">
        <v>28.434999999999999</v>
      </c>
      <c r="CW18">
        <v>28.434999999999999</v>
      </c>
      <c r="CX18">
        <v>28.434999999999999</v>
      </c>
      <c r="CY18">
        <v>28.434999999999999</v>
      </c>
      <c r="CZ18">
        <v>28.434999999999999</v>
      </c>
      <c r="DA18">
        <v>28.434999999999999</v>
      </c>
      <c r="DB18">
        <v>28.434999999999999</v>
      </c>
      <c r="DC18">
        <v>28.434999999999999</v>
      </c>
      <c r="DD18">
        <v>28.434999999999999</v>
      </c>
      <c r="DE18">
        <v>28.434999999999999</v>
      </c>
      <c r="DF18">
        <v>28.434999999999999</v>
      </c>
    </row>
    <row r="19" spans="1:110">
      <c r="B19" t="s">
        <v>718</v>
      </c>
      <c r="C19" t="s">
        <v>80</v>
      </c>
      <c r="D19">
        <v>2</v>
      </c>
      <c r="E19" t="str">
        <f>_xlfn.CONCAT(B19,", ",C19)</f>
        <v>Ruskohiili, Keski</v>
      </c>
      <c r="F19" t="s">
        <v>688</v>
      </c>
      <c r="G19">
        <v>2021</v>
      </c>
      <c r="H19" t="s">
        <v>715</v>
      </c>
      <c r="I19" t="s">
        <v>686</v>
      </c>
      <c r="J19">
        <v>0</v>
      </c>
      <c r="K19">
        <v>2.2747999999999999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</row>
    <row r="20" spans="1:110">
      <c r="A20" t="s">
        <v>714</v>
      </c>
      <c r="B20" t="s">
        <v>714</v>
      </c>
      <c r="C20" t="s">
        <v>642</v>
      </c>
      <c r="D20">
        <v>1</v>
      </c>
      <c r="E20" t="str">
        <f>_xlfn.CONCAT(B20,", ",C20)</f>
        <v>Kivihiili, Matala</v>
      </c>
    </row>
    <row r="21" spans="1:110">
      <c r="B21" t="s">
        <v>714</v>
      </c>
      <c r="C21" t="s">
        <v>643</v>
      </c>
      <c r="D21">
        <v>3</v>
      </c>
      <c r="E21" t="str">
        <f>_xlfn.CONCAT(B21,", ",C21)</f>
        <v>Kivihiili, Korkea</v>
      </c>
    </row>
    <row r="22" spans="1:110">
      <c r="B22" t="s">
        <v>714</v>
      </c>
      <c r="C22" t="s">
        <v>696</v>
      </c>
      <c r="D22">
        <v>4</v>
      </c>
      <c r="E22" t="str">
        <f>_xlfn.CONCAT(B22,", ",C22)</f>
        <v>Kivihiili, Viimeisin (2023)</v>
      </c>
    </row>
    <row r="23" spans="1:110">
      <c r="B23" t="s">
        <v>714</v>
      </c>
      <c r="C23" t="s">
        <v>700</v>
      </c>
      <c r="D23">
        <v>5</v>
      </c>
      <c r="E23" t="str">
        <f>_xlfn.CONCAT(B23,", ",C23)</f>
        <v>Kivihiili, Vuoden 2010 hinnat</v>
      </c>
    </row>
    <row r="24" spans="1:110">
      <c r="B24" t="s">
        <v>714</v>
      </c>
      <c r="C24" t="s">
        <v>685</v>
      </c>
      <c r="D24">
        <v>6</v>
      </c>
      <c r="E24" t="str">
        <f>_xlfn.CONCAT(B24,", ",C24)</f>
        <v>Kivihiili, Suomi, 2010 hinnat</v>
      </c>
    </row>
    <row r="25" spans="1:110">
      <c r="B25" t="s">
        <v>714</v>
      </c>
      <c r="C25" t="s">
        <v>707</v>
      </c>
      <c r="D25">
        <v>7</v>
      </c>
      <c r="E25" t="str">
        <f>_xlfn.CONCAT(B25,", ",C25)</f>
        <v>Kivihiili, Suomi, viimeisin (2023)</v>
      </c>
    </row>
    <row r="26" spans="1:110">
      <c r="A26" t="s">
        <v>618</v>
      </c>
      <c r="B26" t="s">
        <v>618</v>
      </c>
      <c r="C26" t="s">
        <v>642</v>
      </c>
      <c r="D26">
        <v>1</v>
      </c>
      <c r="E26" t="str">
        <f>_xlfn.CONCAT(B26,", ",C26)</f>
        <v>Vesi, Matala</v>
      </c>
    </row>
    <row r="27" spans="1:110">
      <c r="B27" t="s">
        <v>618</v>
      </c>
      <c r="C27" t="s">
        <v>80</v>
      </c>
      <c r="D27">
        <v>2</v>
      </c>
      <c r="E27" t="str">
        <f>_xlfn.CONCAT(B27,", ",C27)</f>
        <v>Vesi, Keski</v>
      </c>
    </row>
    <row r="28" spans="1:110">
      <c r="B28" t="s">
        <v>618</v>
      </c>
      <c r="C28" t="s">
        <v>643</v>
      </c>
      <c r="D28">
        <v>3</v>
      </c>
      <c r="E28" t="str">
        <f>_xlfn.CONCAT(B28,", ",C28)</f>
        <v>Vesi, Korkea</v>
      </c>
    </row>
    <row r="29" spans="1:110">
      <c r="B29" t="s">
        <v>618</v>
      </c>
      <c r="C29" t="s">
        <v>696</v>
      </c>
      <c r="D29">
        <v>4</v>
      </c>
      <c r="E29" t="str">
        <f>_xlfn.CONCAT(B29,", ",C29)</f>
        <v>Vesi, Viimeisin (2023)</v>
      </c>
    </row>
    <row r="30" spans="1:110">
      <c r="B30" t="s">
        <v>618</v>
      </c>
      <c r="C30" t="s">
        <v>700</v>
      </c>
      <c r="D30">
        <v>5</v>
      </c>
      <c r="E30" t="str">
        <f>_xlfn.CONCAT(B30,", ",C30)</f>
        <v>Vesi, Vuoden 2010 hinnat</v>
      </c>
    </row>
    <row r="31" spans="1:110">
      <c r="B31" t="s">
        <v>618</v>
      </c>
      <c r="C31" t="s">
        <v>685</v>
      </c>
      <c r="D31">
        <v>6</v>
      </c>
      <c r="E31" t="str">
        <f>_xlfn.CONCAT(B31,", ",C31)</f>
        <v>Vesi, Suomi, 2010 hinnat</v>
      </c>
    </row>
    <row r="32" spans="1:110">
      <c r="B32" t="s">
        <v>618</v>
      </c>
      <c r="C32" t="s">
        <v>707</v>
      </c>
      <c r="D32">
        <v>7</v>
      </c>
      <c r="E32" t="str">
        <f>_xlfn.CONCAT(B32,", ",C32)</f>
        <v>Vesi, Suomi, viimeisin (2023)</v>
      </c>
    </row>
    <row r="33" spans="1:5">
      <c r="B33" t="s">
        <v>618</v>
      </c>
      <c r="C33" t="s">
        <v>85</v>
      </c>
      <c r="D33">
        <v>8</v>
      </c>
      <c r="E33" t="str">
        <f>_xlfn.CONCAT(B33,", ",C33)</f>
        <v>Vesi, Suomi, Ilmasto- ja energiastrategia (2021)</v>
      </c>
    </row>
    <row r="34" spans="1:5">
      <c r="A34" t="s">
        <v>614</v>
      </c>
      <c r="B34" t="s">
        <v>614</v>
      </c>
      <c r="C34" t="s">
        <v>642</v>
      </c>
      <c r="D34">
        <v>1</v>
      </c>
      <c r="E34" t="str">
        <f>_xlfn.CONCAT(B34,", ",C34)</f>
        <v>Tuuli, Matala</v>
      </c>
    </row>
    <row r="35" spans="1:5">
      <c r="B35" t="s">
        <v>614</v>
      </c>
      <c r="C35" t="s">
        <v>80</v>
      </c>
      <c r="D35">
        <v>2</v>
      </c>
      <c r="E35" t="str">
        <f>_xlfn.CONCAT(B35,", ",C35)</f>
        <v>Tuuli, Keski</v>
      </c>
    </row>
    <row r="36" spans="1:5">
      <c r="B36" t="s">
        <v>614</v>
      </c>
      <c r="C36" t="s">
        <v>643</v>
      </c>
      <c r="D36">
        <v>3</v>
      </c>
      <c r="E36" t="str">
        <f>_xlfn.CONCAT(B36,", ",C36)</f>
        <v>Tuuli, Korkea</v>
      </c>
    </row>
    <row r="37" spans="1:5">
      <c r="B37" t="s">
        <v>614</v>
      </c>
      <c r="C37" t="s">
        <v>696</v>
      </c>
      <c r="D37">
        <v>4</v>
      </c>
      <c r="E37" t="str">
        <f>_xlfn.CONCAT(B37,", ",C37)</f>
        <v>Tuuli, Viimeisin (2023)</v>
      </c>
    </row>
    <row r="38" spans="1:5">
      <c r="B38" t="s">
        <v>614</v>
      </c>
      <c r="C38" t="s">
        <v>700</v>
      </c>
      <c r="D38">
        <v>5</v>
      </c>
      <c r="E38" t="str">
        <f>_xlfn.CONCAT(B38,", ",C38)</f>
        <v>Tuuli, Vuoden 2010 hinnat</v>
      </c>
    </row>
    <row r="39" spans="1:5">
      <c r="B39" t="s">
        <v>614</v>
      </c>
      <c r="C39" t="s">
        <v>685</v>
      </c>
      <c r="D39">
        <v>6</v>
      </c>
      <c r="E39" t="str">
        <f>_xlfn.CONCAT(B39,", ",C39)</f>
        <v>Tuuli, Suomi, 2010 hinnat</v>
      </c>
    </row>
    <row r="40" spans="1:5">
      <c r="B40" t="s">
        <v>614</v>
      </c>
      <c r="C40" t="s">
        <v>707</v>
      </c>
      <c r="D40">
        <v>7</v>
      </c>
      <c r="E40" t="str">
        <f>_xlfn.CONCAT(B40,", ",C40)</f>
        <v>Tuuli, Suomi, viimeisin (2023)</v>
      </c>
    </row>
    <row r="41" spans="1:5">
      <c r="B41" t="s">
        <v>614</v>
      </c>
      <c r="C41" t="s">
        <v>85</v>
      </c>
      <c r="D41">
        <v>8</v>
      </c>
      <c r="E41" t="str">
        <f>_xlfn.CONCAT(B41,", ",C41)</f>
        <v>Tuuli, Suomi, Ilmasto- ja energiastrategia (2021)</v>
      </c>
    </row>
    <row r="42" spans="1:5">
      <c r="A42" t="s">
        <v>615</v>
      </c>
      <c r="B42" t="s">
        <v>615</v>
      </c>
      <c r="C42" t="s">
        <v>642</v>
      </c>
      <c r="D42">
        <v>1</v>
      </c>
      <c r="E42" t="str">
        <f>_xlfn.CONCAT(B42,", ",C42)</f>
        <v>Aurinko, Matala</v>
      </c>
    </row>
    <row r="43" spans="1:5">
      <c r="B43" t="s">
        <v>615</v>
      </c>
      <c r="C43" t="s">
        <v>80</v>
      </c>
      <c r="D43">
        <v>2</v>
      </c>
      <c r="E43" t="str">
        <f>_xlfn.CONCAT(B43,", ",C43)</f>
        <v>Aurinko, Keski</v>
      </c>
    </row>
    <row r="44" spans="1:5">
      <c r="B44" t="s">
        <v>615</v>
      </c>
      <c r="C44" t="s">
        <v>643</v>
      </c>
      <c r="D44">
        <v>3</v>
      </c>
      <c r="E44" t="str">
        <f>_xlfn.CONCAT(B44,", ",C44)</f>
        <v>Aurinko, Korkea</v>
      </c>
    </row>
    <row r="45" spans="1:5">
      <c r="B45" t="s">
        <v>615</v>
      </c>
      <c r="C45" t="s">
        <v>696</v>
      </c>
      <c r="D45">
        <v>4</v>
      </c>
      <c r="E45" t="str">
        <f>_xlfn.CONCAT(B45,", ",C45)</f>
        <v>Aurinko, Viimeisin (2023)</v>
      </c>
    </row>
    <row r="46" spans="1:5">
      <c r="B46" t="s">
        <v>615</v>
      </c>
      <c r="C46" t="s">
        <v>700</v>
      </c>
      <c r="D46">
        <v>5</v>
      </c>
      <c r="E46" t="str">
        <f>_xlfn.CONCAT(B46,", ",C46)</f>
        <v>Aurinko, Vuoden 2010 hinnat</v>
      </c>
    </row>
    <row r="47" spans="1:5">
      <c r="B47" t="s">
        <v>615</v>
      </c>
      <c r="C47" t="s">
        <v>685</v>
      </c>
      <c r="D47">
        <v>6</v>
      </c>
      <c r="E47" t="str">
        <f>_xlfn.CONCAT(B47,", ",C47)</f>
        <v>Aurinko, Suomi, 2010 hinnat</v>
      </c>
    </row>
    <row r="48" spans="1:5">
      <c r="B48" t="s">
        <v>615</v>
      </c>
      <c r="C48" t="s">
        <v>707</v>
      </c>
      <c r="D48">
        <v>7</v>
      </c>
      <c r="E48" t="str">
        <f>_xlfn.CONCAT(B48,", ",C48)</f>
        <v>Aurinko, Suomi, viimeisin (2023)</v>
      </c>
    </row>
    <row r="49" spans="1:5">
      <c r="B49" t="s">
        <v>615</v>
      </c>
      <c r="C49" t="s">
        <v>85</v>
      </c>
      <c r="D49">
        <v>8</v>
      </c>
      <c r="E49" t="str">
        <f>_xlfn.CONCAT(B49,", ",C49)</f>
        <v>Aurinko, Suomi, Ilmasto- ja energiastrategia (2021)</v>
      </c>
    </row>
    <row r="50" spans="1:5">
      <c r="A50" t="s">
        <v>620</v>
      </c>
      <c r="B50" t="s">
        <v>620</v>
      </c>
      <c r="C50" t="s">
        <v>642</v>
      </c>
      <c r="D50">
        <v>1</v>
      </c>
      <c r="E50" t="str">
        <f>_xlfn.CONCAT(B50,", ",C50)</f>
        <v>Uraani, Matala</v>
      </c>
    </row>
    <row r="51" spans="1:5">
      <c r="B51" t="s">
        <v>620</v>
      </c>
      <c r="C51" t="s">
        <v>643</v>
      </c>
      <c r="D51">
        <v>3</v>
      </c>
      <c r="E51" t="str">
        <f>_xlfn.CONCAT(B51,", ",C51)</f>
        <v>Uraani, Korkea</v>
      </c>
    </row>
    <row r="52" spans="1:5">
      <c r="B52" t="s">
        <v>620</v>
      </c>
      <c r="C52" t="s">
        <v>696</v>
      </c>
      <c r="D52">
        <v>4</v>
      </c>
      <c r="E52" t="str">
        <f>_xlfn.CONCAT(B52,", ",C52)</f>
        <v>Uraani, Viimeisin (2023)</v>
      </c>
    </row>
    <row r="53" spans="1:5">
      <c r="B53" t="s">
        <v>620</v>
      </c>
      <c r="C53" t="s">
        <v>700</v>
      </c>
      <c r="D53">
        <v>5</v>
      </c>
      <c r="E53" t="str">
        <f>_xlfn.CONCAT(B53,", ",C53)</f>
        <v>Uraani, Vuoden 2010 hinnat</v>
      </c>
    </row>
    <row r="54" spans="1:5">
      <c r="B54" t="s">
        <v>620</v>
      </c>
      <c r="C54" t="s">
        <v>707</v>
      </c>
      <c r="D54">
        <v>7</v>
      </c>
      <c r="E54" t="str">
        <f>_xlfn.CONCAT(B54,", ",C54)</f>
        <v>Uraani, Suomi, viimeisin (2023)</v>
      </c>
    </row>
    <row r="55" spans="1:5">
      <c r="B55" t="s">
        <v>620</v>
      </c>
      <c r="C55" t="s">
        <v>85</v>
      </c>
      <c r="D55">
        <v>8</v>
      </c>
      <c r="E55" t="str">
        <f>_xlfn.CONCAT(B55,", ",C55)</f>
        <v>Uraani, Suomi, Ilmasto- ja energiastrategia (2021)</v>
      </c>
    </row>
    <row r="56" spans="1:5">
      <c r="A56" t="s">
        <v>719</v>
      </c>
      <c r="B56" t="s">
        <v>719</v>
      </c>
      <c r="C56" t="s">
        <v>642</v>
      </c>
      <c r="D56">
        <v>1</v>
      </c>
      <c r="E56" t="str">
        <f>_xlfn.CONCAT(B56,", ",C56)</f>
        <v>Hake, Matala</v>
      </c>
    </row>
    <row r="57" spans="1:5">
      <c r="B57" t="s">
        <v>719</v>
      </c>
      <c r="C57" t="s">
        <v>80</v>
      </c>
      <c r="D57">
        <v>2</v>
      </c>
      <c r="E57" t="str">
        <f>_xlfn.CONCAT(B57,", ",C57)</f>
        <v>Hake, Keski</v>
      </c>
    </row>
    <row r="58" spans="1:5">
      <c r="B58" t="s">
        <v>719</v>
      </c>
      <c r="C58" t="s">
        <v>643</v>
      </c>
      <c r="D58">
        <v>3</v>
      </c>
      <c r="E58" t="str">
        <f>_xlfn.CONCAT(B58,", ",C58)</f>
        <v>Hake, Korkea</v>
      </c>
    </row>
    <row r="59" spans="1:5">
      <c r="B59" t="s">
        <v>719</v>
      </c>
      <c r="C59" t="s">
        <v>696</v>
      </c>
      <c r="D59">
        <v>4</v>
      </c>
      <c r="E59" t="str">
        <f>_xlfn.CONCAT(B59,", ",C59)</f>
        <v>Hake, Viimeisin (2023)</v>
      </c>
    </row>
    <row r="60" spans="1:5">
      <c r="B60" t="s">
        <v>719</v>
      </c>
      <c r="C60" t="s">
        <v>700</v>
      </c>
      <c r="D60">
        <v>5</v>
      </c>
      <c r="E60" t="str">
        <f>_xlfn.CONCAT(B60,", ",C60)</f>
        <v>Hake, Vuoden 2010 hinnat</v>
      </c>
    </row>
    <row r="61" spans="1:5">
      <c r="B61" t="s">
        <v>719</v>
      </c>
      <c r="C61" t="s">
        <v>685</v>
      </c>
      <c r="D61">
        <v>6</v>
      </c>
      <c r="E61" t="str">
        <f>_xlfn.CONCAT(B61,", ",C61)</f>
        <v>Hake, Suomi, 2010 hinnat</v>
      </c>
    </row>
    <row r="62" spans="1:5">
      <c r="B62" t="s">
        <v>719</v>
      </c>
      <c r="C62" t="s">
        <v>707</v>
      </c>
      <c r="D62">
        <v>7</v>
      </c>
      <c r="E62" t="str">
        <f>_xlfn.CONCAT(B62,", ",C62)</f>
        <v>Hake, Suomi, viimeisin (2023)</v>
      </c>
    </row>
    <row r="63" spans="1:5">
      <c r="B63" t="s">
        <v>719</v>
      </c>
      <c r="C63" t="s">
        <v>85</v>
      </c>
      <c r="D63">
        <v>8</v>
      </c>
      <c r="E63" t="str">
        <f>_xlfn.CONCAT(B63,", ",C63)</f>
        <v>Hake, Suomi, Ilmasto- ja energiastrategia (2021)</v>
      </c>
    </row>
    <row r="64" spans="1:5">
      <c r="A64" t="s">
        <v>720</v>
      </c>
      <c r="B64" t="s">
        <v>720</v>
      </c>
      <c r="C64" t="s">
        <v>642</v>
      </c>
      <c r="D64">
        <v>1</v>
      </c>
      <c r="E64" t="str">
        <f>_xlfn.CONCAT(B64,", ",C64)</f>
        <v>Sähkö, Matala</v>
      </c>
    </row>
    <row r="65" spans="1:5">
      <c r="B65" t="s">
        <v>720</v>
      </c>
      <c r="C65" t="s">
        <v>80</v>
      </c>
      <c r="D65">
        <v>2</v>
      </c>
      <c r="E65" t="str">
        <f>_xlfn.CONCAT(B65,", ",C65)</f>
        <v>Sähkö, Keski</v>
      </c>
    </row>
    <row r="66" spans="1:5">
      <c r="B66" t="s">
        <v>720</v>
      </c>
      <c r="C66" t="s">
        <v>643</v>
      </c>
      <c r="D66">
        <v>3</v>
      </c>
      <c r="E66" t="str">
        <f>_xlfn.CONCAT(B66,", ",C66)</f>
        <v>Sähkö, Korkea</v>
      </c>
    </row>
    <row r="67" spans="1:5">
      <c r="B67" t="s">
        <v>720</v>
      </c>
      <c r="C67" t="s">
        <v>696</v>
      </c>
      <c r="D67">
        <v>4</v>
      </c>
      <c r="E67" t="str">
        <f>_xlfn.CONCAT(B67,", ",C67)</f>
        <v>Sähkö, Viimeisin (2023)</v>
      </c>
    </row>
    <row r="68" spans="1:5">
      <c r="B68" t="s">
        <v>720</v>
      </c>
      <c r="C68" t="s">
        <v>700</v>
      </c>
      <c r="D68">
        <v>5</v>
      </c>
      <c r="E68" t="str">
        <f>_xlfn.CONCAT(B68,", ",C68)</f>
        <v>Sähkö, Vuoden 2010 hinnat</v>
      </c>
    </row>
    <row r="69" spans="1:5">
      <c r="B69" t="s">
        <v>720</v>
      </c>
      <c r="C69" t="s">
        <v>685</v>
      </c>
      <c r="D69">
        <v>6</v>
      </c>
      <c r="E69" t="str">
        <f>_xlfn.CONCAT(B69,", ",C69)</f>
        <v>Sähkö, Suomi, 2010 hinnat</v>
      </c>
    </row>
    <row r="70" spans="1:5">
      <c r="B70" t="s">
        <v>720</v>
      </c>
      <c r="C70" t="s">
        <v>707</v>
      </c>
      <c r="D70">
        <v>7</v>
      </c>
      <c r="E70" t="str">
        <f>_xlfn.CONCAT(B70,", ",C70)</f>
        <v>Sähkö, Suomi, viimeisin (2023)</v>
      </c>
    </row>
    <row r="71" spans="1:5">
      <c r="B71" t="s">
        <v>720</v>
      </c>
      <c r="C71" t="s">
        <v>85</v>
      </c>
      <c r="D71">
        <v>8</v>
      </c>
      <c r="E71" t="str">
        <f>_xlfn.CONCAT(B71,", ",C71)</f>
        <v>Sähkö, Suomi, Ilmasto- ja energiastrategia (2021)</v>
      </c>
    </row>
    <row r="72" spans="1:5">
      <c r="A72" t="s">
        <v>717</v>
      </c>
      <c r="B72" t="s">
        <v>717</v>
      </c>
      <c r="C72" t="s">
        <v>642</v>
      </c>
      <c r="D72">
        <v>1</v>
      </c>
      <c r="E72" t="str">
        <f>_xlfn.CONCAT(B72,", ",C72)</f>
        <v>Biokaasu, Matala</v>
      </c>
    </row>
    <row r="73" spans="1:5">
      <c r="B73" t="s">
        <v>717</v>
      </c>
      <c r="C73" t="s">
        <v>643</v>
      </c>
      <c r="D73">
        <v>3</v>
      </c>
      <c r="E73" t="str">
        <f>_xlfn.CONCAT(B73,", ",C73)</f>
        <v>Biokaasu, Korkea</v>
      </c>
    </row>
    <row r="74" spans="1:5">
      <c r="B74" t="s">
        <v>717</v>
      </c>
      <c r="C74" t="s">
        <v>696</v>
      </c>
      <c r="D74">
        <v>4</v>
      </c>
      <c r="E74" t="str">
        <f>_xlfn.CONCAT(B74,", ",C74)</f>
        <v>Biokaasu, Viimeisin (2023)</v>
      </c>
    </row>
    <row r="75" spans="1:5">
      <c r="B75" t="s">
        <v>717</v>
      </c>
      <c r="C75" t="s">
        <v>700</v>
      </c>
      <c r="D75">
        <v>5</v>
      </c>
      <c r="E75" t="str">
        <f>_xlfn.CONCAT(B75,", ",C75)</f>
        <v>Biokaasu, Vuoden 2010 hinnat</v>
      </c>
    </row>
    <row r="76" spans="1:5">
      <c r="B76" t="s">
        <v>717</v>
      </c>
      <c r="C76" t="s">
        <v>685</v>
      </c>
      <c r="D76">
        <v>6</v>
      </c>
      <c r="E76" t="str">
        <f>_xlfn.CONCAT(B76,", ",C76)</f>
        <v>Biokaasu, Suomi, 2010 hinnat</v>
      </c>
    </row>
    <row r="77" spans="1:5">
      <c r="B77" t="s">
        <v>717</v>
      </c>
      <c r="C77" t="s">
        <v>707</v>
      </c>
      <c r="D77">
        <v>7</v>
      </c>
      <c r="E77" t="str">
        <f>_xlfn.CONCAT(B77,", ",C77)</f>
        <v>Biokaasu, Suomi, viimeisin (2023)</v>
      </c>
    </row>
    <row r="78" spans="1:5">
      <c r="B78" t="s">
        <v>717</v>
      </c>
      <c r="C78" t="s">
        <v>85</v>
      </c>
      <c r="D78">
        <v>8</v>
      </c>
      <c r="E78" t="str">
        <f>_xlfn.CONCAT(B78,", ",C78)</f>
        <v>Biokaasu, Suomi, Ilmasto- ja energiastrategia (2021)</v>
      </c>
    </row>
    <row r="79" spans="1:5">
      <c r="A79" t="s">
        <v>613</v>
      </c>
      <c r="B79" t="s">
        <v>613</v>
      </c>
      <c r="C79" t="s">
        <v>642</v>
      </c>
      <c r="D79">
        <v>1</v>
      </c>
      <c r="E79" t="str">
        <f>_xlfn.CONCAT(B79,", ",C79)</f>
        <v>Biomassa, Matala</v>
      </c>
    </row>
    <row r="80" spans="1:5">
      <c r="B80" t="s">
        <v>613</v>
      </c>
      <c r="C80" t="s">
        <v>643</v>
      </c>
      <c r="D80">
        <v>3</v>
      </c>
      <c r="E80" t="str">
        <f>_xlfn.CONCAT(B80,", ",C80)</f>
        <v>Biomassa, Korkea</v>
      </c>
    </row>
    <row r="81" spans="1:5">
      <c r="B81" t="s">
        <v>613</v>
      </c>
      <c r="C81" t="s">
        <v>696</v>
      </c>
      <c r="D81">
        <v>4</v>
      </c>
      <c r="E81" t="str">
        <f>_xlfn.CONCAT(B81,", ",C81)</f>
        <v>Biomassa, Viimeisin (2023)</v>
      </c>
    </row>
    <row r="82" spans="1:5">
      <c r="B82" t="s">
        <v>613</v>
      </c>
      <c r="C82" t="s">
        <v>700</v>
      </c>
      <c r="D82">
        <v>5</v>
      </c>
      <c r="E82" t="str">
        <f>_xlfn.CONCAT(B82,", ",C82)</f>
        <v>Biomassa, Vuoden 2010 hinnat</v>
      </c>
    </row>
    <row r="83" spans="1:5">
      <c r="B83" t="s">
        <v>613</v>
      </c>
      <c r="C83" t="s">
        <v>685</v>
      </c>
      <c r="D83">
        <v>6</v>
      </c>
      <c r="E83" t="str">
        <f>_xlfn.CONCAT(B83,", ",C83)</f>
        <v>Biomassa, Suomi, 2010 hinnat</v>
      </c>
    </row>
    <row r="84" spans="1:5">
      <c r="B84" t="s">
        <v>613</v>
      </c>
      <c r="C84" t="s">
        <v>707</v>
      </c>
      <c r="D84">
        <v>7</v>
      </c>
      <c r="E84" t="str">
        <f>_xlfn.CONCAT(B84,", ",C84)</f>
        <v>Biomassa, Suomi, viimeisin (2023)</v>
      </c>
    </row>
    <row r="85" spans="1:5">
      <c r="A85" t="s">
        <v>721</v>
      </c>
      <c r="B85" t="s">
        <v>721</v>
      </c>
      <c r="C85" t="s">
        <v>642</v>
      </c>
      <c r="D85">
        <v>1</v>
      </c>
      <c r="E85" t="str">
        <f>_xlfn.CONCAT(B85,", ",C85)</f>
        <v>Aalto, Matala</v>
      </c>
    </row>
    <row r="86" spans="1:5">
      <c r="B86" t="s">
        <v>721</v>
      </c>
      <c r="C86" t="s">
        <v>80</v>
      </c>
      <c r="D86">
        <v>2</v>
      </c>
      <c r="E86" t="str">
        <f>_xlfn.CONCAT(B86,", ",C86)</f>
        <v>Aalto, Keski</v>
      </c>
    </row>
    <row r="87" spans="1:5">
      <c r="B87" t="s">
        <v>721</v>
      </c>
      <c r="C87" t="s">
        <v>643</v>
      </c>
      <c r="D87">
        <v>3</v>
      </c>
      <c r="E87" t="str">
        <f>_xlfn.CONCAT(B87,", ",C87)</f>
        <v>Aalto, Korkea</v>
      </c>
    </row>
    <row r="88" spans="1:5">
      <c r="B88" t="s">
        <v>721</v>
      </c>
      <c r="C88" t="s">
        <v>696</v>
      </c>
      <c r="D88">
        <v>4</v>
      </c>
      <c r="E88" t="str">
        <f>_xlfn.CONCAT(B88,", ",C88)</f>
        <v>Aalto, Viimeisin (2023)</v>
      </c>
    </row>
    <row r="89" spans="1:5">
      <c r="B89" t="s">
        <v>721</v>
      </c>
      <c r="C89" t="s">
        <v>700</v>
      </c>
      <c r="D89">
        <v>5</v>
      </c>
      <c r="E89" t="str">
        <f>_xlfn.CONCAT(B89,", ",C89)</f>
        <v>Aalto, Vuoden 2010 hinnat</v>
      </c>
    </row>
    <row r="90" spans="1:5">
      <c r="B90" t="s">
        <v>721</v>
      </c>
      <c r="C90" t="s">
        <v>685</v>
      </c>
      <c r="D90">
        <v>6</v>
      </c>
      <c r="E90" t="str">
        <f>_xlfn.CONCAT(B90,", ",C90)</f>
        <v>Aalto, Suomi, 2010 hinnat</v>
      </c>
    </row>
    <row r="91" spans="1:5">
      <c r="B91" t="s">
        <v>721</v>
      </c>
      <c r="C91" t="s">
        <v>707</v>
      </c>
      <c r="D91">
        <v>7</v>
      </c>
      <c r="E91" t="str">
        <f>_xlfn.CONCAT(B91,", ",C91)</f>
        <v>Aalto, Suomi, viimeisin (2023)</v>
      </c>
    </row>
    <row r="92" spans="1:5">
      <c r="B92" t="s">
        <v>721</v>
      </c>
      <c r="C92" t="s">
        <v>85</v>
      </c>
      <c r="D92">
        <v>8</v>
      </c>
      <c r="E92" t="str">
        <f>_xlfn.CONCAT(B92,", ",C92)</f>
        <v>Aalto, Suomi, Ilmasto- ja energiastrategia (2021)</v>
      </c>
    </row>
    <row r="93" spans="1:5">
      <c r="A93" t="s">
        <v>617</v>
      </c>
      <c r="B93" t="s">
        <v>617</v>
      </c>
      <c r="C93" t="s">
        <v>642</v>
      </c>
      <c r="D93">
        <v>1</v>
      </c>
      <c r="E93" t="str">
        <f>_xlfn.CONCAT(B93,", ",C93)</f>
        <v>Geoterminen, Matala</v>
      </c>
    </row>
    <row r="94" spans="1:5">
      <c r="B94" t="s">
        <v>617</v>
      </c>
      <c r="C94" t="s">
        <v>80</v>
      </c>
      <c r="D94">
        <v>2</v>
      </c>
      <c r="E94" t="str">
        <f>_xlfn.CONCAT(B94,", ",C94)</f>
        <v>Geoterminen, Keski</v>
      </c>
    </row>
    <row r="95" spans="1:5">
      <c r="B95" t="s">
        <v>617</v>
      </c>
      <c r="C95" t="s">
        <v>643</v>
      </c>
      <c r="D95">
        <v>3</v>
      </c>
      <c r="E95" t="str">
        <f>_xlfn.CONCAT(B95,", ",C95)</f>
        <v>Geoterminen, Korkea</v>
      </c>
    </row>
    <row r="96" spans="1:5">
      <c r="B96" t="s">
        <v>617</v>
      </c>
      <c r="C96" t="s">
        <v>696</v>
      </c>
      <c r="D96">
        <v>4</v>
      </c>
      <c r="E96" t="str">
        <f>_xlfn.CONCAT(B96,", ",C96)</f>
        <v>Geoterminen, Viimeisin (2023)</v>
      </c>
    </row>
    <row r="97" spans="1:5">
      <c r="B97" t="s">
        <v>617</v>
      </c>
      <c r="C97" t="s">
        <v>700</v>
      </c>
      <c r="D97">
        <v>5</v>
      </c>
      <c r="E97" t="str">
        <f>_xlfn.CONCAT(B97,", ",C97)</f>
        <v>Geoterminen, Vuoden 2010 hinnat</v>
      </c>
    </row>
    <row r="98" spans="1:5">
      <c r="B98" t="s">
        <v>617</v>
      </c>
      <c r="C98" t="s">
        <v>685</v>
      </c>
      <c r="D98">
        <v>6</v>
      </c>
      <c r="E98" t="str">
        <f>_xlfn.CONCAT(B98,", ",C98)</f>
        <v>Geoterminen, Suomi, 2010 hinnat</v>
      </c>
    </row>
    <row r="99" spans="1:5">
      <c r="B99" t="s">
        <v>617</v>
      </c>
      <c r="C99" t="s">
        <v>707</v>
      </c>
      <c r="D99">
        <v>7</v>
      </c>
      <c r="E99" t="str">
        <f>_xlfn.CONCAT(B99,", ",C99)</f>
        <v>Geoterminen, Suomi, viimeisin (2023)</v>
      </c>
    </row>
    <row r="100" spans="1:5">
      <c r="B100" t="s">
        <v>617</v>
      </c>
      <c r="C100" t="s">
        <v>85</v>
      </c>
      <c r="D100">
        <v>8</v>
      </c>
      <c r="E100" t="str">
        <f>_xlfn.CONCAT(B100,", ",C100)</f>
        <v>Geoterminen, Suomi, Ilmasto- ja energiastrategia (2021)</v>
      </c>
    </row>
    <row r="101" spans="1:5">
      <c r="A101" t="s">
        <v>722</v>
      </c>
      <c r="B101" t="s">
        <v>722</v>
      </c>
      <c r="C101" t="s">
        <v>642</v>
      </c>
      <c r="D101">
        <v>1</v>
      </c>
      <c r="E101" t="str">
        <f>_xlfn.CONCAT(B101,", ",C101)</f>
        <v>Turve, Matala</v>
      </c>
    </row>
    <row r="102" spans="1:5">
      <c r="B102" t="s">
        <v>722</v>
      </c>
      <c r="C102" t="s">
        <v>80</v>
      </c>
      <c r="D102">
        <v>2</v>
      </c>
      <c r="E102" t="str">
        <f>_xlfn.CONCAT(B102,", ",C102)</f>
        <v>Turve, Keski</v>
      </c>
    </row>
    <row r="103" spans="1:5">
      <c r="B103" t="s">
        <v>722</v>
      </c>
      <c r="C103" t="s">
        <v>643</v>
      </c>
      <c r="D103">
        <v>3</v>
      </c>
      <c r="E103" t="str">
        <f>_xlfn.CONCAT(B103,", ",C103)</f>
        <v>Turve, Korkea</v>
      </c>
    </row>
    <row r="104" spans="1:5">
      <c r="B104" t="s">
        <v>722</v>
      </c>
      <c r="C104" t="s">
        <v>696</v>
      </c>
      <c r="D104">
        <v>4</v>
      </c>
      <c r="E104" t="str">
        <f>_xlfn.CONCAT(B104,", ",C104)</f>
        <v>Turve, Viimeisin (2023)</v>
      </c>
    </row>
    <row r="105" spans="1:5">
      <c r="B105" t="s">
        <v>722</v>
      </c>
      <c r="C105" t="s">
        <v>700</v>
      </c>
      <c r="D105">
        <v>5</v>
      </c>
      <c r="E105" t="str">
        <f>_xlfn.CONCAT(B105,", ",C105)</f>
        <v>Turve, Vuoden 2010 hinnat</v>
      </c>
    </row>
    <row r="106" spans="1:5">
      <c r="B106" t="s">
        <v>722</v>
      </c>
      <c r="C106" t="s">
        <v>685</v>
      </c>
      <c r="D106">
        <v>6</v>
      </c>
      <c r="E106" t="str">
        <f>_xlfn.CONCAT(B106,", ",C106)</f>
        <v>Turve, Suomi, 2010 hinnat</v>
      </c>
    </row>
    <row r="107" spans="1:5">
      <c r="B107" t="s">
        <v>722</v>
      </c>
      <c r="C107" t="s">
        <v>707</v>
      </c>
      <c r="D107">
        <v>7</v>
      </c>
      <c r="E107" t="str">
        <f>_xlfn.CONCAT(B107,", ",C107)</f>
        <v>Turve, Suomi, viimeisin (2023)</v>
      </c>
    </row>
    <row r="108" spans="1:5">
      <c r="B108" t="s">
        <v>722</v>
      </c>
      <c r="C108" t="s">
        <v>85</v>
      </c>
      <c r="D108">
        <v>8</v>
      </c>
      <c r="E108" t="str">
        <f>_xlfn.CONCAT(B108,", ",C108)</f>
        <v>Turve, Suomi, Ilmasto- ja energiastrategia (2021)</v>
      </c>
    </row>
    <row r="109" spans="1:5">
      <c r="A109" t="s">
        <v>723</v>
      </c>
      <c r="B109" t="s">
        <v>723</v>
      </c>
      <c r="C109" t="s">
        <v>642</v>
      </c>
      <c r="D109">
        <v>1</v>
      </c>
      <c r="E109" t="str">
        <f>_xlfn.CONCAT(B109,", ",C109)</f>
        <v>Raskas polttoöljy, Matala</v>
      </c>
    </row>
    <row r="110" spans="1:5">
      <c r="B110" t="s">
        <v>723</v>
      </c>
      <c r="C110" t="s">
        <v>80</v>
      </c>
      <c r="D110">
        <v>2</v>
      </c>
      <c r="E110" t="str">
        <f>_xlfn.CONCAT(B110,", ",C110)</f>
        <v>Raskas polttoöljy, Keski</v>
      </c>
    </row>
    <row r="111" spans="1:5">
      <c r="B111" t="s">
        <v>723</v>
      </c>
      <c r="C111" t="s">
        <v>643</v>
      </c>
      <c r="D111">
        <v>3</v>
      </c>
      <c r="E111" t="str">
        <f>_xlfn.CONCAT(B111,", ",C111)</f>
        <v>Raskas polttoöljy, Korkea</v>
      </c>
    </row>
    <row r="112" spans="1:5">
      <c r="B112" t="s">
        <v>723</v>
      </c>
      <c r="C112" t="s">
        <v>696</v>
      </c>
      <c r="D112">
        <v>4</v>
      </c>
      <c r="E112" t="str">
        <f>_xlfn.CONCAT(B112,", ",C112)</f>
        <v>Raskas polttoöljy, Viimeisin (2023)</v>
      </c>
    </row>
    <row r="113" spans="1:5">
      <c r="B113" t="s">
        <v>723</v>
      </c>
      <c r="C113" t="s">
        <v>700</v>
      </c>
      <c r="D113">
        <v>5</v>
      </c>
      <c r="E113" t="str">
        <f>_xlfn.CONCAT(B113,", ",C113)</f>
        <v>Raskas polttoöljy, Vuoden 2010 hinnat</v>
      </c>
    </row>
    <row r="114" spans="1:5">
      <c r="B114" t="s">
        <v>723</v>
      </c>
      <c r="C114" t="s">
        <v>685</v>
      </c>
      <c r="D114">
        <v>6</v>
      </c>
      <c r="E114" t="str">
        <f>_xlfn.CONCAT(B114,", ",C114)</f>
        <v>Raskas polttoöljy, Suomi, 2010 hinnat</v>
      </c>
    </row>
    <row r="115" spans="1:5">
      <c r="B115" t="s">
        <v>723</v>
      </c>
      <c r="C115" t="s">
        <v>707</v>
      </c>
      <c r="D115">
        <v>7</v>
      </c>
      <c r="E115" t="str">
        <f>_xlfn.CONCAT(B115,", ",C115)</f>
        <v>Raskas polttoöljy, Suomi, viimeisin (2023)</v>
      </c>
    </row>
    <row r="116" spans="1:5">
      <c r="B116" t="s">
        <v>723</v>
      </c>
      <c r="C116" t="s">
        <v>85</v>
      </c>
      <c r="D116">
        <v>8</v>
      </c>
      <c r="E116" t="str">
        <f>_xlfn.CONCAT(B116,", ",C116)</f>
        <v>Raskas polttoöljy, Suomi, Ilmasto- ja energiastrategia (2021)</v>
      </c>
    </row>
    <row r="117" spans="1:5">
      <c r="A117" t="s">
        <v>612</v>
      </c>
      <c r="B117" t="s">
        <v>612</v>
      </c>
      <c r="C117" t="s">
        <v>642</v>
      </c>
      <c r="D117">
        <v>1</v>
      </c>
      <c r="E117" t="str">
        <f>_xlfn.CONCAT(B117,", ",C117)</f>
        <v>Diesel, Matala</v>
      </c>
    </row>
    <row r="118" spans="1:5">
      <c r="B118" t="s">
        <v>612</v>
      </c>
      <c r="C118" t="s">
        <v>80</v>
      </c>
      <c r="D118">
        <v>2</v>
      </c>
      <c r="E118" t="str">
        <f>_xlfn.CONCAT(B118,", ",C118)</f>
        <v>Diesel, Keski</v>
      </c>
    </row>
    <row r="119" spans="1:5">
      <c r="B119" t="s">
        <v>612</v>
      </c>
      <c r="C119" t="s">
        <v>643</v>
      </c>
      <c r="D119">
        <v>3</v>
      </c>
      <c r="E119" t="str">
        <f>_xlfn.CONCAT(B119,", ",C119)</f>
        <v>Diesel, Korkea</v>
      </c>
    </row>
    <row r="120" spans="1:5">
      <c r="B120" t="s">
        <v>612</v>
      </c>
      <c r="C120" t="s">
        <v>696</v>
      </c>
      <c r="D120">
        <v>4</v>
      </c>
      <c r="E120" t="str">
        <f>_xlfn.CONCAT(B120,", ",C120)</f>
        <v>Diesel, Viimeisin (2023)</v>
      </c>
    </row>
    <row r="121" spans="1:5">
      <c r="B121" t="s">
        <v>612</v>
      </c>
      <c r="C121" t="s">
        <v>700</v>
      </c>
      <c r="D121">
        <v>5</v>
      </c>
      <c r="E121" t="str">
        <f>_xlfn.CONCAT(B121,", ",C121)</f>
        <v>Diesel, Vuoden 2010 hinnat</v>
      </c>
    </row>
    <row r="122" spans="1:5">
      <c r="B122" t="s">
        <v>612</v>
      </c>
      <c r="C122" t="s">
        <v>685</v>
      </c>
      <c r="D122">
        <v>6</v>
      </c>
      <c r="E122" t="str">
        <f>_xlfn.CONCAT(B122,", ",C122)</f>
        <v>Diesel, Suomi, 2010 hinnat</v>
      </c>
    </row>
    <row r="123" spans="1:5">
      <c r="B123" t="s">
        <v>612</v>
      </c>
      <c r="C123" t="s">
        <v>707</v>
      </c>
      <c r="D123">
        <v>7</v>
      </c>
      <c r="E123" t="str">
        <f>_xlfn.CONCAT(B123,", ",C123)</f>
        <v>Diesel, Suomi, viimeisin (2023)</v>
      </c>
    </row>
    <row r="124" spans="1:5">
      <c r="B124" t="s">
        <v>612</v>
      </c>
      <c r="C124" t="s">
        <v>85</v>
      </c>
      <c r="D124">
        <v>8</v>
      </c>
      <c r="E124" t="str">
        <f>_xlfn.CONCAT(B124,", ",C124)</f>
        <v>Diesel, Suomi, Ilmasto- ja energiastrategia (2021)</v>
      </c>
    </row>
    <row r="125" spans="1:5">
      <c r="A125" t="s">
        <v>718</v>
      </c>
      <c r="B125" t="s">
        <v>718</v>
      </c>
      <c r="C125" t="s">
        <v>642</v>
      </c>
      <c r="D125">
        <v>1</v>
      </c>
      <c r="E125" t="str">
        <f>_xlfn.CONCAT(B125,", ",C125)</f>
        <v>Ruskohiili, Matala</v>
      </c>
    </row>
    <row r="126" spans="1:5">
      <c r="B126" t="s">
        <v>718</v>
      </c>
      <c r="C126" t="s">
        <v>643</v>
      </c>
      <c r="D126">
        <v>3</v>
      </c>
      <c r="E126" t="str">
        <f>_xlfn.CONCAT(B126,", ",C126)</f>
        <v>Ruskohiili, Korkea</v>
      </c>
    </row>
    <row r="127" spans="1:5">
      <c r="B127" t="s">
        <v>718</v>
      </c>
      <c r="C127" t="s">
        <v>696</v>
      </c>
      <c r="D127">
        <v>4</v>
      </c>
      <c r="E127" t="str">
        <f>_xlfn.CONCAT(B127,", ",C127)</f>
        <v>Ruskohiili, Viimeisin (2023)</v>
      </c>
    </row>
    <row r="128" spans="1:5">
      <c r="B128" t="s">
        <v>718</v>
      </c>
      <c r="C128" t="s">
        <v>700</v>
      </c>
      <c r="D128">
        <v>5</v>
      </c>
      <c r="E128" t="str">
        <f>_xlfn.CONCAT(B128,", ",C128)</f>
        <v>Ruskohiili, Vuoden 2010 hinnat</v>
      </c>
    </row>
    <row r="129" spans="1:5">
      <c r="B129" t="s">
        <v>718</v>
      </c>
      <c r="C129" t="s">
        <v>685</v>
      </c>
      <c r="D129">
        <v>6</v>
      </c>
      <c r="E129" t="str">
        <f>_xlfn.CONCAT(B129,", ",C129)</f>
        <v>Ruskohiili, Suomi, 2010 hinnat</v>
      </c>
    </row>
    <row r="130" spans="1:5">
      <c r="B130" t="s">
        <v>718</v>
      </c>
      <c r="C130" t="s">
        <v>707</v>
      </c>
      <c r="D130">
        <v>7</v>
      </c>
      <c r="E130" t="str">
        <f>_xlfn.CONCAT(B130,", ",C130)</f>
        <v>Ruskohiili, Suomi, viimeisin (2023)</v>
      </c>
    </row>
    <row r="131" spans="1:5">
      <c r="B131" t="s">
        <v>718</v>
      </c>
      <c r="C131" t="s">
        <v>85</v>
      </c>
      <c r="D131">
        <v>8</v>
      </c>
      <c r="E131" t="str">
        <f>_xlfn.CONCAT(B131,", ",C131)</f>
        <v>Ruskohiili, Suomi, Ilmasto- ja energiastrategia (2021)</v>
      </c>
    </row>
    <row r="132" spans="1:5">
      <c r="A132" t="s">
        <v>724</v>
      </c>
      <c r="B132" t="s">
        <v>724</v>
      </c>
      <c r="C132" t="s">
        <v>642</v>
      </c>
      <c r="D132">
        <v>1</v>
      </c>
      <c r="E132" t="str">
        <f>_xlfn.CONCAT(B132,", ",C132)</f>
        <v>Puu 80 %/turve 20 %, Suomi, Matala</v>
      </c>
    </row>
    <row r="133" spans="1:5">
      <c r="B133" t="s">
        <v>724</v>
      </c>
      <c r="C133" t="s">
        <v>80</v>
      </c>
      <c r="D133">
        <v>2</v>
      </c>
      <c r="E133" t="str">
        <f>_xlfn.CONCAT(B133,", ",C133)</f>
        <v>Puu 80 %/turve 20 %, Suomi, Keski</v>
      </c>
    </row>
    <row r="134" spans="1:5">
      <c r="B134" t="s">
        <v>724</v>
      </c>
      <c r="C134" t="s">
        <v>643</v>
      </c>
      <c r="D134">
        <v>3</v>
      </c>
      <c r="E134" t="str">
        <f>_xlfn.CONCAT(B134,", ",C134)</f>
        <v>Puu 80 %/turve 20 %, Suomi, Korkea</v>
      </c>
    </row>
    <row r="135" spans="1:5">
      <c r="B135" t="s">
        <v>724</v>
      </c>
      <c r="C135" t="s">
        <v>696</v>
      </c>
      <c r="D135">
        <v>4</v>
      </c>
      <c r="E135" t="str">
        <f>_xlfn.CONCAT(B135,", ",C135)</f>
        <v>Puu 80 %/turve 20 %, Suomi, Viimeisin (2023)</v>
      </c>
    </row>
    <row r="136" spans="1:5">
      <c r="B136" t="s">
        <v>724</v>
      </c>
      <c r="C136" t="s">
        <v>700</v>
      </c>
      <c r="D136">
        <v>5</v>
      </c>
      <c r="E136" t="str">
        <f>_xlfn.CONCAT(B136,", ",C136)</f>
        <v>Puu 80 %/turve 20 %, Suomi, Vuoden 2010 hinnat</v>
      </c>
    </row>
    <row r="137" spans="1:5">
      <c r="B137" t="s">
        <v>724</v>
      </c>
      <c r="C137" t="s">
        <v>685</v>
      </c>
      <c r="D137">
        <v>6</v>
      </c>
      <c r="E137" t="str">
        <f>_xlfn.CONCAT(B137,", ",C137)</f>
        <v>Puu 80 %/turve 20 %, Suomi, Suomi, 2010 hinnat</v>
      </c>
    </row>
    <row r="138" spans="1:5">
      <c r="B138" t="s">
        <v>724</v>
      </c>
      <c r="C138" t="s">
        <v>707</v>
      </c>
      <c r="D138">
        <v>7</v>
      </c>
      <c r="E138" t="str">
        <f>_xlfn.CONCAT(B138,", ",C138)</f>
        <v>Puu 80 %/turve 20 %, Suomi, Suomi, viimeisin (2023)</v>
      </c>
    </row>
    <row r="139" spans="1:5">
      <c r="B139" t="s">
        <v>724</v>
      </c>
      <c r="C139" t="s">
        <v>85</v>
      </c>
      <c r="D139">
        <v>8</v>
      </c>
      <c r="E139" t="str">
        <f>_xlfn.CONCAT(B139,", ",C139)</f>
        <v>Puu 80 %/turve 20 %, Suomi, Suomi, Ilmasto- ja energiastrategia (2021)</v>
      </c>
    </row>
    <row r="140" spans="1:5">
      <c r="A140" t="s">
        <v>619</v>
      </c>
      <c r="B140" t="s">
        <v>619</v>
      </c>
      <c r="C140" t="s">
        <v>642</v>
      </c>
      <c r="D140">
        <v>1</v>
      </c>
      <c r="E140" t="str">
        <f>_xlfn.CONCAT(B140,", ",C140)</f>
        <v>Vety, Matala</v>
      </c>
    </row>
    <row r="141" spans="1:5">
      <c r="B141" t="s">
        <v>619</v>
      </c>
      <c r="C141" t="s">
        <v>80</v>
      </c>
      <c r="D141">
        <v>2</v>
      </c>
      <c r="E141" t="str">
        <f>_xlfn.CONCAT(B141,", ",C141)</f>
        <v>Vety, Keski</v>
      </c>
    </row>
    <row r="142" spans="1:5">
      <c r="B142" t="s">
        <v>619</v>
      </c>
      <c r="C142" t="s">
        <v>643</v>
      </c>
      <c r="D142">
        <v>3</v>
      </c>
      <c r="E142" t="str">
        <f>_xlfn.CONCAT(B142,", ",C142)</f>
        <v>Vety, Korkea</v>
      </c>
    </row>
    <row r="143" spans="1:5">
      <c r="B143" t="s">
        <v>619</v>
      </c>
      <c r="C143" t="s">
        <v>696</v>
      </c>
      <c r="D143">
        <v>4</v>
      </c>
      <c r="E143" t="str">
        <f>_xlfn.CONCAT(B143,", ",C143)</f>
        <v>Vety, Viimeisin (2023)</v>
      </c>
    </row>
    <row r="144" spans="1:5">
      <c r="B144" t="s">
        <v>619</v>
      </c>
      <c r="C144" t="s">
        <v>700</v>
      </c>
      <c r="D144">
        <v>5</v>
      </c>
      <c r="E144" t="str">
        <f>_xlfn.CONCAT(B144,", ",C144)</f>
        <v>Vety, Vuoden 2010 hinnat</v>
      </c>
    </row>
    <row r="145" spans="1:5">
      <c r="B145" t="s">
        <v>619</v>
      </c>
      <c r="C145" t="s">
        <v>685</v>
      </c>
      <c r="D145">
        <v>6</v>
      </c>
      <c r="E145" t="str">
        <f>_xlfn.CONCAT(B145,", ",C145)</f>
        <v>Vety, Suomi, 2010 hinnat</v>
      </c>
    </row>
    <row r="146" spans="1:5">
      <c r="B146" t="s">
        <v>619</v>
      </c>
      <c r="C146" t="s">
        <v>707</v>
      </c>
      <c r="D146">
        <v>7</v>
      </c>
      <c r="E146" t="str">
        <f>_xlfn.CONCAT(B146,", ",C146)</f>
        <v>Vety, Suomi, viimeisin (2023)</v>
      </c>
    </row>
    <row r="147" spans="1:5">
      <c r="B147" t="s">
        <v>619</v>
      </c>
      <c r="C147" t="s">
        <v>85</v>
      </c>
      <c r="D147">
        <v>8</v>
      </c>
      <c r="E147" t="str">
        <f>_xlfn.CONCAT(B147,", ",C147)</f>
        <v>Vety, Suomi, Ilmasto- ja energiastrategia (2021)</v>
      </c>
    </row>
    <row r="148" spans="1:5">
      <c r="A148" t="s">
        <v>725</v>
      </c>
      <c r="B148" t="str">
        <f>IF(ISBLANK(A148),B144,A148)</f>
        <v>Testi</v>
      </c>
      <c r="C148" t="str">
        <f>C140</f>
        <v>Matala</v>
      </c>
      <c r="D148">
        <v>1</v>
      </c>
      <c r="E148" t="str">
        <f>_xlfn.CONCAT(B148,", ",C148)</f>
        <v>Testi, Matala</v>
      </c>
    </row>
    <row r="149" spans="1:5">
      <c r="B149" t="str">
        <f>IF(ISBLANK(A149),B148,A149)</f>
        <v>Testi</v>
      </c>
      <c r="C149" t="str">
        <f>C141</f>
        <v>Keski</v>
      </c>
      <c r="D149">
        <v>2</v>
      </c>
      <c r="E149" t="str">
        <f>_xlfn.CONCAT(B149,", ",C149)</f>
        <v>Testi, Keski</v>
      </c>
    </row>
    <row r="150" spans="1:5">
      <c r="B150" t="str">
        <f>IF(ISBLANK(A150),B149,A150)</f>
        <v>Testi</v>
      </c>
      <c r="C150" t="str">
        <f>C142</f>
        <v>Korkea</v>
      </c>
      <c r="D150">
        <v>3</v>
      </c>
      <c r="E150" t="str">
        <f>_xlfn.CONCAT(B150,", ",C150)</f>
        <v>Testi, Korkea</v>
      </c>
    </row>
    <row r="151" spans="1:5">
      <c r="B151" t="str">
        <f>IF(ISBLANK(A151),B150,A151)</f>
        <v>Testi</v>
      </c>
      <c r="C151" t="str">
        <f>C143</f>
        <v>Viimeisin (2023)</v>
      </c>
      <c r="D151">
        <v>4</v>
      </c>
      <c r="E151" t="str">
        <f>_xlfn.CONCAT(B151,", ",C151)</f>
        <v>Testi, Viimeisin (2023)</v>
      </c>
    </row>
    <row r="152" spans="1:5">
      <c r="B152" t="str">
        <f>IF(ISBLANK(A152),B151,A152)</f>
        <v>Testi</v>
      </c>
      <c r="C152" t="str">
        <f>C144</f>
        <v>Vuoden 2010 hinnat</v>
      </c>
      <c r="D152">
        <v>5</v>
      </c>
      <c r="E152" t="str">
        <f>_xlfn.CONCAT(B152,", ",C152)</f>
        <v>Testi, Vuoden 2010 hinnat</v>
      </c>
    </row>
    <row r="153" spans="1:5">
      <c r="B153" t="str">
        <f>IF(ISBLANK(A153),B152,A153)</f>
        <v>Testi</v>
      </c>
      <c r="C153" t="str">
        <f>C145</f>
        <v>Suomi, 2010 hinnat</v>
      </c>
      <c r="D153">
        <v>6</v>
      </c>
      <c r="E153" t="str">
        <f>_xlfn.CONCAT(B153,", ",C153)</f>
        <v>Testi, Suomi, 2010 hinnat</v>
      </c>
    </row>
    <row r="154" spans="1:5">
      <c r="B154" t="str">
        <f>IF(ISBLANK(A154),B153,A154)</f>
        <v>Testi</v>
      </c>
      <c r="C154" t="str">
        <f>C146</f>
        <v>Suomi, viimeisin (2023)</v>
      </c>
      <c r="D154">
        <v>7</v>
      </c>
      <c r="E154" t="str">
        <f>_xlfn.CONCAT(B154,", ",C154)</f>
        <v>Testi, Suomi, viimeisin (2023)</v>
      </c>
    </row>
    <row r="155" spans="1:5">
      <c r="B155" t="str">
        <f>IF(ISBLANK(A155),B154,A155)</f>
        <v>Testi</v>
      </c>
      <c r="C155" t="s">
        <v>85</v>
      </c>
      <c r="D155">
        <v>8</v>
      </c>
      <c r="E155" t="str">
        <f>_xlfn.CONCAT(B155,", ",C155)</f>
        <v>Testi, Suomi, Ilmasto- ja energiastrategia (2021)</v>
      </c>
    </row>
  </sheetData>
  <autoFilter ref="A3:DF3" xr:uid="{6F5122DD-0E2B-9849-9799-D88AF2358AE7}">
    <sortState xmlns:xlrd2="http://schemas.microsoft.com/office/spreadsheetml/2017/richdata2" ref="A4:DF155">
      <sortCondition ref="I3:I155"/>
    </sortState>
  </autoFilter>
  <phoneticPr fontId="6" type="noConversion"/>
  <hyperlinks>
    <hyperlink ref="F5" r:id="rId1" display="https://www.gov.uk/government/publications/electricity-generation-costs-2023" xr:uid="{646237B7-D948-2446-9D25-BC8E496F566D}"/>
    <hyperlink ref="F11" r:id="rId2" xr:uid="{86B3407B-0DA4-EB4A-B3B8-EFADDB910018}"/>
    <hyperlink ref="F10" r:id="rId3" xr:uid="{A331BA47-0977-A148-8596-FC550E4CA7A8}"/>
    <hyperlink ref="F12" r:id="rId4" display="http://urn.fi/URN:ISBN:978-952-383-029-5" xr:uid="{5030276D-59A1-CC4F-BAF7-2EF0200AB783}"/>
    <hyperlink ref="F14" r:id="rId5" display="http://urn.fi/URN:ISBN:978-952-383-029-5" xr:uid="{1739B389-13D8-7949-AD99-08F8B80BC889}"/>
    <hyperlink ref="F18" r:id="rId6" display="http://urn.fi/URN:ISBN:978-952-383-029-5" xr:uid="{501BF9FC-C0E7-D84A-A3A8-03205D6FA7B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8EB7-7135-2949-A08A-22E917F46204}">
  <sheetPr>
    <tabColor rgb="FFEBF4F7"/>
  </sheetPr>
  <dimension ref="A1:DF77"/>
  <sheetViews>
    <sheetView workbookViewId="0">
      <pane xSplit="5" ySplit="1" topLeftCell="F2" activePane="bottomRight" state="frozenSplit"/>
      <selection pane="bottomRight" activeCell="D26" sqref="D26"/>
      <selection pane="bottomLeft" activeCell="A2" sqref="A2"/>
      <selection pane="topRight" activeCell="E1" sqref="E1"/>
    </sheetView>
    <sheetView workbookViewId="1"/>
  </sheetViews>
  <sheetFormatPr defaultColWidth="11.42578125" defaultRowHeight="15"/>
  <cols>
    <col min="5" max="5" width="16.7109375" bestFit="1" customWidth="1"/>
    <col min="8" max="8" width="27.85546875" customWidth="1"/>
  </cols>
  <sheetData>
    <row r="1" spans="1:110" s="47" customFormat="1">
      <c r="A1" s="47" t="s">
        <v>680</v>
      </c>
      <c r="B1" s="47" t="s">
        <v>78</v>
      </c>
      <c r="C1" s="47" t="s">
        <v>610</v>
      </c>
      <c r="E1" s="47" t="s">
        <v>682</v>
      </c>
      <c r="F1" s="47" t="s">
        <v>226</v>
      </c>
      <c r="G1" s="47" t="s">
        <v>683</v>
      </c>
      <c r="H1" s="47" t="s">
        <v>684</v>
      </c>
      <c r="I1" s="47" t="s">
        <v>116</v>
      </c>
      <c r="J1" s="47">
        <v>2020</v>
      </c>
      <c r="K1" s="47">
        <v>2021</v>
      </c>
      <c r="L1" s="47">
        <v>2022</v>
      </c>
      <c r="M1" s="47">
        <v>2023</v>
      </c>
      <c r="N1" s="47">
        <v>2024</v>
      </c>
      <c r="O1" s="47">
        <v>2025</v>
      </c>
      <c r="P1" s="47">
        <v>2026</v>
      </c>
      <c r="Q1" s="47">
        <v>2027</v>
      </c>
      <c r="R1" s="47">
        <v>2028</v>
      </c>
      <c r="S1" s="47">
        <v>2029</v>
      </c>
      <c r="T1" s="47">
        <v>2030</v>
      </c>
      <c r="U1" s="47">
        <v>2031</v>
      </c>
      <c r="V1" s="47">
        <v>2032</v>
      </c>
      <c r="W1" s="47">
        <v>2033</v>
      </c>
      <c r="X1" s="47">
        <v>2034</v>
      </c>
      <c r="Y1" s="47">
        <v>2035</v>
      </c>
      <c r="Z1" s="47">
        <v>2036</v>
      </c>
      <c r="AA1" s="47">
        <v>2037</v>
      </c>
      <c r="AB1" s="47">
        <v>2038</v>
      </c>
      <c r="AC1" s="47">
        <v>2039</v>
      </c>
      <c r="AD1" s="47">
        <v>2040</v>
      </c>
      <c r="AE1" s="47">
        <v>2041</v>
      </c>
      <c r="AF1" s="47">
        <v>2042</v>
      </c>
      <c r="AG1" s="47">
        <v>2043</v>
      </c>
      <c r="AH1" s="47">
        <v>2044</v>
      </c>
      <c r="AI1" s="47">
        <v>2045</v>
      </c>
      <c r="AJ1" s="47">
        <v>2046</v>
      </c>
      <c r="AK1" s="47">
        <v>2047</v>
      </c>
      <c r="AL1" s="47">
        <v>2048</v>
      </c>
      <c r="AM1" s="47">
        <v>2049</v>
      </c>
      <c r="AN1" s="47">
        <v>2050</v>
      </c>
      <c r="AO1" s="47">
        <v>2051</v>
      </c>
      <c r="AP1" s="47">
        <v>2052</v>
      </c>
      <c r="AQ1" s="47">
        <v>2053</v>
      </c>
      <c r="AR1" s="47">
        <v>2054</v>
      </c>
      <c r="AS1" s="47">
        <v>2055</v>
      </c>
      <c r="AT1" s="47">
        <v>2056</v>
      </c>
      <c r="AU1" s="47">
        <v>2057</v>
      </c>
      <c r="AV1" s="47">
        <v>2058</v>
      </c>
      <c r="AW1" s="47">
        <v>2059</v>
      </c>
      <c r="AX1" s="47">
        <v>2060</v>
      </c>
      <c r="AY1" s="47">
        <v>2061</v>
      </c>
      <c r="AZ1" s="47">
        <v>2062</v>
      </c>
      <c r="BA1" s="47">
        <v>2063</v>
      </c>
      <c r="BB1" s="47">
        <v>2064</v>
      </c>
      <c r="BC1" s="47">
        <v>2065</v>
      </c>
      <c r="BD1" s="47">
        <v>2066</v>
      </c>
      <c r="BE1" s="47">
        <v>2067</v>
      </c>
      <c r="BF1" s="47">
        <v>2068</v>
      </c>
      <c r="BG1" s="47">
        <v>2069</v>
      </c>
      <c r="BH1" s="47">
        <v>2070</v>
      </c>
      <c r="BI1" s="47">
        <v>2071</v>
      </c>
      <c r="BJ1" s="47">
        <v>2072</v>
      </c>
      <c r="BK1" s="47">
        <v>2073</v>
      </c>
      <c r="BL1" s="47">
        <v>2074</v>
      </c>
      <c r="BM1" s="47">
        <v>2075</v>
      </c>
      <c r="BN1" s="47">
        <v>2076</v>
      </c>
      <c r="BO1" s="47">
        <v>2077</v>
      </c>
      <c r="BP1" s="47">
        <v>2078</v>
      </c>
      <c r="BQ1" s="47">
        <v>2079</v>
      </c>
      <c r="BR1" s="47">
        <v>2080</v>
      </c>
      <c r="BS1" s="47">
        <v>2081</v>
      </c>
      <c r="BT1" s="47">
        <v>2082</v>
      </c>
      <c r="BU1" s="47">
        <v>2083</v>
      </c>
      <c r="BV1" s="47">
        <v>2084</v>
      </c>
      <c r="BW1" s="47">
        <v>2085</v>
      </c>
      <c r="BX1" s="47">
        <v>2086</v>
      </c>
      <c r="BY1" s="47">
        <v>2087</v>
      </c>
      <c r="BZ1" s="47">
        <v>2088</v>
      </c>
      <c r="CA1" s="47">
        <v>2089</v>
      </c>
      <c r="CB1" s="47">
        <v>2090</v>
      </c>
      <c r="CC1" s="47">
        <v>2091</v>
      </c>
      <c r="CD1" s="47">
        <v>2092</v>
      </c>
      <c r="CE1" s="47">
        <v>2093</v>
      </c>
      <c r="CF1" s="47">
        <v>2094</v>
      </c>
      <c r="CG1" s="47">
        <v>2095</v>
      </c>
      <c r="CH1" s="47">
        <v>2096</v>
      </c>
      <c r="CI1" s="47">
        <v>2097</v>
      </c>
      <c r="CJ1" s="47">
        <v>2098</v>
      </c>
      <c r="CK1" s="47">
        <v>2099</v>
      </c>
      <c r="CL1" s="47">
        <v>2100</v>
      </c>
      <c r="CM1" s="47">
        <v>2101</v>
      </c>
      <c r="CN1" s="47">
        <v>2102</v>
      </c>
      <c r="CO1" s="47">
        <v>2103</v>
      </c>
      <c r="CP1" s="47">
        <v>2104</v>
      </c>
      <c r="CQ1" s="47">
        <v>2105</v>
      </c>
      <c r="CR1" s="47">
        <v>2106</v>
      </c>
      <c r="CS1" s="47">
        <v>2107</v>
      </c>
      <c r="CT1" s="47">
        <v>2108</v>
      </c>
      <c r="CU1" s="47">
        <v>2109</v>
      </c>
      <c r="CV1" s="47">
        <v>2110</v>
      </c>
      <c r="CW1" s="47">
        <v>2111</v>
      </c>
      <c r="CX1" s="47">
        <v>2112</v>
      </c>
      <c r="CY1" s="47">
        <v>2113</v>
      </c>
      <c r="CZ1" s="47">
        <v>2114</v>
      </c>
      <c r="DA1" s="47">
        <v>2115</v>
      </c>
      <c r="DB1" s="47">
        <v>2116</v>
      </c>
      <c r="DC1" s="47">
        <v>2117</v>
      </c>
      <c r="DD1" s="47">
        <v>2118</v>
      </c>
      <c r="DE1" s="47">
        <v>2119</v>
      </c>
      <c r="DF1" s="47">
        <v>2120</v>
      </c>
    </row>
    <row r="2" spans="1:110">
      <c r="A2" t="s">
        <v>611</v>
      </c>
      <c r="B2" t="str">
        <f>A2</f>
        <v>Maakaasu</v>
      </c>
      <c r="C2" t="s">
        <v>642</v>
      </c>
      <c r="E2" t="str">
        <f>_xlfn.CONCAT(B2,", ",C2)</f>
        <v>Maakaasu, Matala</v>
      </c>
      <c r="I2" s="1" t="s">
        <v>102</v>
      </c>
    </row>
    <row r="3" spans="1:110">
      <c r="B3" t="str">
        <f>IF(ISBLANK(A3),B2,A3)</f>
        <v>Maakaasu</v>
      </c>
      <c r="C3" t="s">
        <v>84</v>
      </c>
      <c r="E3" t="str">
        <f t="shared" ref="E3:E44" si="0">_xlfn.CONCAT(B3,", ",C3)</f>
        <v>Maakaasu, Keski (IPCC)</v>
      </c>
      <c r="F3" t="s">
        <v>726</v>
      </c>
      <c r="H3" t="s">
        <v>727</v>
      </c>
      <c r="I3" s="1" t="s">
        <v>102</v>
      </c>
      <c r="J3">
        <v>201.96</v>
      </c>
      <c r="K3">
        <v>201.96</v>
      </c>
      <c r="L3">
        <v>201.96</v>
      </c>
      <c r="M3">
        <v>201.96</v>
      </c>
      <c r="N3">
        <v>201.96</v>
      </c>
      <c r="O3">
        <v>201.96</v>
      </c>
      <c r="P3">
        <v>201.96</v>
      </c>
      <c r="Q3">
        <v>201.96</v>
      </c>
      <c r="R3">
        <v>201.96</v>
      </c>
      <c r="S3">
        <v>201.96</v>
      </c>
      <c r="T3">
        <v>201.96</v>
      </c>
      <c r="U3">
        <v>201.96</v>
      </c>
      <c r="V3">
        <v>201.96</v>
      </c>
      <c r="W3">
        <v>201.96</v>
      </c>
      <c r="X3">
        <v>201.96</v>
      </c>
      <c r="Y3">
        <v>201.96</v>
      </c>
      <c r="Z3">
        <v>201.96</v>
      </c>
      <c r="AA3">
        <v>201.96</v>
      </c>
      <c r="AB3">
        <v>201.96</v>
      </c>
      <c r="AC3">
        <v>201.96</v>
      </c>
      <c r="AD3">
        <v>201.96</v>
      </c>
      <c r="AE3">
        <v>201.96</v>
      </c>
      <c r="AF3">
        <v>201.96</v>
      </c>
      <c r="AG3">
        <v>201.96</v>
      </c>
      <c r="AH3">
        <v>201.96</v>
      </c>
      <c r="AI3">
        <v>201.96</v>
      </c>
      <c r="AJ3">
        <v>201.96</v>
      </c>
      <c r="AK3">
        <v>201.96</v>
      </c>
      <c r="AL3">
        <v>201.96</v>
      </c>
      <c r="AM3">
        <v>201.96</v>
      </c>
      <c r="AN3">
        <v>201.96</v>
      </c>
      <c r="AO3">
        <v>201.96</v>
      </c>
      <c r="AP3">
        <v>201.96</v>
      </c>
      <c r="AQ3">
        <v>201.96</v>
      </c>
      <c r="AR3">
        <v>201.96</v>
      </c>
      <c r="AS3">
        <v>201.96</v>
      </c>
      <c r="AT3">
        <v>201.96</v>
      </c>
      <c r="AU3">
        <v>201.96</v>
      </c>
      <c r="AV3">
        <v>201.96</v>
      </c>
      <c r="AW3">
        <v>201.96</v>
      </c>
      <c r="AX3">
        <v>201.96</v>
      </c>
      <c r="AY3">
        <v>201.96</v>
      </c>
      <c r="AZ3">
        <v>201.96</v>
      </c>
      <c r="BA3">
        <v>201.96</v>
      </c>
      <c r="BB3">
        <v>201.96</v>
      </c>
      <c r="BC3">
        <v>201.96</v>
      </c>
      <c r="BD3">
        <v>201.96</v>
      </c>
      <c r="BE3">
        <v>201.96</v>
      </c>
      <c r="BF3">
        <v>201.96</v>
      </c>
      <c r="BG3">
        <v>201.96</v>
      </c>
      <c r="BH3">
        <v>201.96</v>
      </c>
      <c r="BI3">
        <v>201.96</v>
      </c>
      <c r="BJ3">
        <v>201.96</v>
      </c>
      <c r="BK3">
        <v>201.96</v>
      </c>
      <c r="BL3">
        <v>201.96</v>
      </c>
      <c r="BM3">
        <v>201.96</v>
      </c>
      <c r="BN3">
        <v>201.96</v>
      </c>
      <c r="BO3">
        <v>201.96</v>
      </c>
      <c r="BP3">
        <v>201.96</v>
      </c>
      <c r="BQ3">
        <v>201.96</v>
      </c>
      <c r="BR3">
        <v>201.96</v>
      </c>
      <c r="BS3">
        <v>201.96</v>
      </c>
      <c r="BT3">
        <v>201.96</v>
      </c>
      <c r="BU3">
        <v>201.96</v>
      </c>
      <c r="BV3">
        <v>201.96</v>
      </c>
      <c r="BW3">
        <v>201.96</v>
      </c>
      <c r="BX3">
        <v>201.96</v>
      </c>
      <c r="BY3">
        <v>201.96</v>
      </c>
      <c r="BZ3">
        <v>201.96</v>
      </c>
      <c r="CA3">
        <v>201.96</v>
      </c>
      <c r="CB3">
        <v>201.96</v>
      </c>
      <c r="CC3">
        <v>201.96</v>
      </c>
      <c r="CD3">
        <v>201.96</v>
      </c>
      <c r="CE3">
        <v>201.96</v>
      </c>
      <c r="CF3">
        <v>201.96</v>
      </c>
      <c r="CG3">
        <v>201.96</v>
      </c>
      <c r="CH3">
        <v>201.96</v>
      </c>
      <c r="CI3">
        <v>201.96</v>
      </c>
      <c r="CJ3">
        <v>201.96</v>
      </c>
      <c r="CK3">
        <v>201.96</v>
      </c>
      <c r="CL3">
        <v>201.96</v>
      </c>
      <c r="CM3">
        <v>201.96</v>
      </c>
      <c r="CN3">
        <v>201.96</v>
      </c>
      <c r="CO3">
        <v>201.96</v>
      </c>
      <c r="CP3">
        <v>201.96</v>
      </c>
      <c r="CQ3">
        <v>201.96</v>
      </c>
      <c r="CR3">
        <v>201.96</v>
      </c>
      <c r="CS3">
        <v>201.96</v>
      </c>
      <c r="CT3">
        <v>201.96</v>
      </c>
      <c r="CU3">
        <v>201.96</v>
      </c>
      <c r="CV3">
        <v>201.96</v>
      </c>
      <c r="CW3">
        <v>201.96</v>
      </c>
      <c r="CX3">
        <v>201.96</v>
      </c>
      <c r="CY3">
        <v>201.96</v>
      </c>
      <c r="CZ3">
        <v>201.96</v>
      </c>
      <c r="DA3">
        <v>201.96</v>
      </c>
      <c r="DB3">
        <v>201.96</v>
      </c>
      <c r="DC3">
        <v>201.96</v>
      </c>
      <c r="DD3">
        <v>201.96</v>
      </c>
      <c r="DE3">
        <v>201.96</v>
      </c>
      <c r="DF3">
        <v>201.96</v>
      </c>
    </row>
    <row r="4" spans="1:110">
      <c r="B4" t="str">
        <f t="shared" ref="B4:B67" si="1">IF(ISBLANK(A4),B3,A4)</f>
        <v>Maakaasu</v>
      </c>
      <c r="C4" t="s">
        <v>643</v>
      </c>
      <c r="E4" t="str">
        <f t="shared" si="0"/>
        <v>Maakaasu, Korkea</v>
      </c>
      <c r="I4" s="1" t="s">
        <v>102</v>
      </c>
    </row>
    <row r="5" spans="1:110">
      <c r="B5" t="str">
        <f t="shared" si="1"/>
        <v>Maakaasu</v>
      </c>
      <c r="C5">
        <v>0</v>
      </c>
      <c r="E5" t="str">
        <f t="shared" si="0"/>
        <v>Maakaasu, 0</v>
      </c>
      <c r="I5" s="1" t="s">
        <v>102</v>
      </c>
    </row>
    <row r="6" spans="1:110">
      <c r="A6" t="s">
        <v>714</v>
      </c>
      <c r="B6" t="str">
        <f t="shared" si="1"/>
        <v>Kivihiili</v>
      </c>
      <c r="C6" t="str">
        <f t="shared" ref="C6:C37" si="2">C2</f>
        <v>Matala</v>
      </c>
      <c r="E6" t="str">
        <f t="shared" si="0"/>
        <v>Kivihiili, Matala</v>
      </c>
      <c r="I6" s="1" t="s">
        <v>102</v>
      </c>
    </row>
    <row r="7" spans="1:110">
      <c r="B7" t="str">
        <f t="shared" si="1"/>
        <v>Kivihiili</v>
      </c>
      <c r="C7" t="str">
        <f t="shared" si="2"/>
        <v>Keski (IPCC)</v>
      </c>
      <c r="E7" t="str">
        <f t="shared" si="0"/>
        <v>Kivihiili, Keski (IPCC)</v>
      </c>
      <c r="H7" t="s">
        <v>728</v>
      </c>
      <c r="I7" s="1" t="s">
        <v>102</v>
      </c>
      <c r="J7">
        <v>353.88</v>
      </c>
      <c r="K7">
        <v>353.88</v>
      </c>
      <c r="L7">
        <v>353.88</v>
      </c>
      <c r="M7">
        <v>353.88</v>
      </c>
      <c r="N7">
        <v>353.88</v>
      </c>
      <c r="O7">
        <v>353.88</v>
      </c>
      <c r="P7">
        <v>353.88</v>
      </c>
      <c r="Q7">
        <v>353.88</v>
      </c>
      <c r="R7">
        <v>353.88</v>
      </c>
      <c r="S7">
        <v>353.88</v>
      </c>
      <c r="T7">
        <v>353.88</v>
      </c>
      <c r="U7">
        <v>353.88</v>
      </c>
      <c r="V7">
        <v>353.88</v>
      </c>
      <c r="W7">
        <v>353.88</v>
      </c>
      <c r="X7">
        <v>353.88</v>
      </c>
      <c r="Y7">
        <v>353.88</v>
      </c>
      <c r="Z7">
        <v>353.88</v>
      </c>
      <c r="AA7">
        <v>353.88</v>
      </c>
      <c r="AB7">
        <v>353.88</v>
      </c>
      <c r="AC7">
        <v>353.88</v>
      </c>
      <c r="AD7">
        <v>353.88</v>
      </c>
      <c r="AE7">
        <v>353.88</v>
      </c>
      <c r="AF7">
        <v>353.88</v>
      </c>
      <c r="AG7">
        <v>353.88</v>
      </c>
      <c r="AH7">
        <v>353.88</v>
      </c>
      <c r="AI7">
        <v>353.88</v>
      </c>
      <c r="AJ7">
        <v>353.88</v>
      </c>
      <c r="AK7">
        <v>353.88</v>
      </c>
      <c r="AL7">
        <v>353.88</v>
      </c>
      <c r="AM7">
        <v>353.88</v>
      </c>
      <c r="AN7">
        <v>353.88</v>
      </c>
      <c r="AO7">
        <v>353.88</v>
      </c>
      <c r="AP7">
        <v>353.88</v>
      </c>
      <c r="AQ7">
        <v>353.88</v>
      </c>
      <c r="AR7">
        <v>353.88</v>
      </c>
      <c r="AS7">
        <v>353.88</v>
      </c>
      <c r="AT7">
        <v>353.88</v>
      </c>
      <c r="AU7">
        <v>353.88</v>
      </c>
      <c r="AV7">
        <v>353.88</v>
      </c>
      <c r="AW7">
        <v>353.88</v>
      </c>
      <c r="AX7">
        <v>353.88</v>
      </c>
      <c r="AY7">
        <v>353.88</v>
      </c>
      <c r="AZ7">
        <v>353.88</v>
      </c>
      <c r="BA7">
        <v>353.88</v>
      </c>
      <c r="BB7">
        <v>353.88</v>
      </c>
      <c r="BC7">
        <v>353.88</v>
      </c>
      <c r="BD7">
        <v>353.88</v>
      </c>
      <c r="BE7">
        <v>353.88</v>
      </c>
      <c r="BF7">
        <v>353.88</v>
      </c>
      <c r="BG7">
        <v>353.88</v>
      </c>
      <c r="BH7">
        <v>353.88</v>
      </c>
      <c r="BI7">
        <v>353.88</v>
      </c>
      <c r="BJ7">
        <v>353.88</v>
      </c>
      <c r="BK7">
        <v>353.88</v>
      </c>
      <c r="BL7">
        <v>353.88</v>
      </c>
      <c r="BM7">
        <v>353.88</v>
      </c>
      <c r="BN7">
        <v>353.88</v>
      </c>
      <c r="BO7">
        <v>353.88</v>
      </c>
      <c r="BP7">
        <v>353.88</v>
      </c>
      <c r="BQ7">
        <v>353.88</v>
      </c>
      <c r="BR7">
        <v>353.88</v>
      </c>
      <c r="BS7">
        <v>353.88</v>
      </c>
      <c r="BT7">
        <v>353.88</v>
      </c>
      <c r="BU7">
        <v>353.88</v>
      </c>
      <c r="BV7">
        <v>353.88</v>
      </c>
      <c r="BW7">
        <v>353.88</v>
      </c>
      <c r="BX7">
        <v>353.88</v>
      </c>
      <c r="BY7">
        <v>353.88</v>
      </c>
      <c r="BZ7">
        <v>353.88</v>
      </c>
      <c r="CA7">
        <v>353.88</v>
      </c>
      <c r="CB7">
        <v>353.88</v>
      </c>
      <c r="CC7">
        <v>353.88</v>
      </c>
      <c r="CD7">
        <v>353.88</v>
      </c>
      <c r="CE7">
        <v>353.88</v>
      </c>
      <c r="CF7">
        <v>353.88</v>
      </c>
      <c r="CG7">
        <v>353.88</v>
      </c>
      <c r="CH7">
        <v>353.88</v>
      </c>
      <c r="CI7">
        <v>353.88</v>
      </c>
      <c r="CJ7">
        <v>353.88</v>
      </c>
      <c r="CK7">
        <v>353.88</v>
      </c>
      <c r="CL7">
        <v>353.88</v>
      </c>
      <c r="CM7">
        <v>353.88</v>
      </c>
      <c r="CN7">
        <v>353.88</v>
      </c>
      <c r="CO7">
        <v>353.88</v>
      </c>
      <c r="CP7">
        <v>353.88</v>
      </c>
      <c r="CQ7">
        <v>353.88</v>
      </c>
      <c r="CR7">
        <v>353.88</v>
      </c>
      <c r="CS7">
        <v>353.88</v>
      </c>
      <c r="CT7">
        <v>353.88</v>
      </c>
      <c r="CU7">
        <v>353.88</v>
      </c>
      <c r="CV7">
        <v>353.88</v>
      </c>
      <c r="CW7">
        <v>353.88</v>
      </c>
      <c r="CX7">
        <v>353.88</v>
      </c>
      <c r="CY7">
        <v>353.88</v>
      </c>
      <c r="CZ7">
        <v>353.88</v>
      </c>
      <c r="DA7">
        <v>353.88</v>
      </c>
      <c r="DB7">
        <v>353.88</v>
      </c>
      <c r="DC7">
        <v>353.88</v>
      </c>
      <c r="DD7">
        <v>353.88</v>
      </c>
      <c r="DE7">
        <v>353.88</v>
      </c>
      <c r="DF7">
        <v>353.88</v>
      </c>
    </row>
    <row r="8" spans="1:110">
      <c r="B8" t="str">
        <f t="shared" si="1"/>
        <v>Kivihiili</v>
      </c>
      <c r="C8" t="str">
        <f t="shared" si="2"/>
        <v>Korkea</v>
      </c>
      <c r="E8" t="str">
        <f t="shared" si="0"/>
        <v>Kivihiili, Korkea</v>
      </c>
      <c r="I8" s="1" t="s">
        <v>102</v>
      </c>
    </row>
    <row r="9" spans="1:110">
      <c r="B9" t="str">
        <f t="shared" si="1"/>
        <v>Kivihiili</v>
      </c>
      <c r="C9">
        <f t="shared" si="2"/>
        <v>0</v>
      </c>
      <c r="E9" t="str">
        <f t="shared" si="0"/>
        <v>Kivihiili, 0</v>
      </c>
      <c r="I9" s="1" t="s">
        <v>102</v>
      </c>
    </row>
    <row r="10" spans="1:110">
      <c r="A10" t="s">
        <v>618</v>
      </c>
      <c r="B10" t="str">
        <f t="shared" si="1"/>
        <v>Vesi</v>
      </c>
      <c r="C10" t="str">
        <f t="shared" si="2"/>
        <v>Matala</v>
      </c>
      <c r="E10" t="str">
        <f t="shared" si="0"/>
        <v>Vesi, Matala</v>
      </c>
      <c r="I10" s="1" t="s">
        <v>102</v>
      </c>
    </row>
    <row r="11" spans="1:110">
      <c r="B11" t="str">
        <f t="shared" si="1"/>
        <v>Vesi</v>
      </c>
      <c r="C11" t="str">
        <f t="shared" si="2"/>
        <v>Keski (IPCC)</v>
      </c>
      <c r="E11" t="str">
        <f t="shared" si="0"/>
        <v>Vesi, Keski (IPCC)</v>
      </c>
      <c r="I11" s="1" t="s">
        <v>102</v>
      </c>
    </row>
    <row r="12" spans="1:110">
      <c r="B12" t="str">
        <f t="shared" si="1"/>
        <v>Vesi</v>
      </c>
      <c r="C12" t="str">
        <f t="shared" si="2"/>
        <v>Korkea</v>
      </c>
      <c r="E12" t="str">
        <f t="shared" si="0"/>
        <v>Vesi, Korkea</v>
      </c>
      <c r="I12" s="1" t="s">
        <v>102</v>
      </c>
    </row>
    <row r="13" spans="1:110">
      <c r="B13" t="str">
        <f t="shared" si="1"/>
        <v>Vesi</v>
      </c>
      <c r="C13">
        <f t="shared" si="2"/>
        <v>0</v>
      </c>
      <c r="E13" t="str">
        <f t="shared" si="0"/>
        <v>Vesi, 0</v>
      </c>
      <c r="I13" s="1" t="s">
        <v>102</v>
      </c>
    </row>
    <row r="14" spans="1:110">
      <c r="A14" t="s">
        <v>614</v>
      </c>
      <c r="B14" t="str">
        <f t="shared" si="1"/>
        <v>Tuuli</v>
      </c>
      <c r="C14" t="str">
        <f t="shared" si="2"/>
        <v>Matala</v>
      </c>
      <c r="E14" t="str">
        <f t="shared" si="0"/>
        <v>Tuuli, Matala</v>
      </c>
      <c r="I14" s="1" t="s">
        <v>102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</row>
    <row r="15" spans="1:110">
      <c r="B15" t="str">
        <f t="shared" si="1"/>
        <v>Tuuli</v>
      </c>
      <c r="C15" t="str">
        <f t="shared" si="2"/>
        <v>Keski (IPCC)</v>
      </c>
      <c r="E15" t="str">
        <f t="shared" si="0"/>
        <v>Tuuli, Keski (IPCC)</v>
      </c>
      <c r="I15" s="1" t="s">
        <v>102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</row>
    <row r="16" spans="1:110">
      <c r="B16" t="str">
        <f t="shared" si="1"/>
        <v>Tuuli</v>
      </c>
      <c r="C16" t="str">
        <f t="shared" si="2"/>
        <v>Korkea</v>
      </c>
      <c r="E16" t="str">
        <f t="shared" si="0"/>
        <v>Tuuli, Korkea</v>
      </c>
      <c r="I16" s="1" t="s">
        <v>102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</row>
    <row r="17" spans="1:110">
      <c r="B17" t="str">
        <f t="shared" si="1"/>
        <v>Tuuli</v>
      </c>
      <c r="C17">
        <f t="shared" si="2"/>
        <v>0</v>
      </c>
      <c r="E17" t="str">
        <f t="shared" si="0"/>
        <v>Tuuli, 0</v>
      </c>
      <c r="I17" s="1" t="s">
        <v>102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</row>
    <row r="18" spans="1:110">
      <c r="A18" t="s">
        <v>615</v>
      </c>
      <c r="B18" t="str">
        <f t="shared" si="1"/>
        <v>Aurinko</v>
      </c>
      <c r="C18" t="str">
        <f t="shared" si="2"/>
        <v>Matala</v>
      </c>
      <c r="E18" t="str">
        <f t="shared" si="0"/>
        <v>Aurinko, Matala</v>
      </c>
      <c r="I18" s="1" t="s">
        <v>102</v>
      </c>
    </row>
    <row r="19" spans="1:110">
      <c r="B19" t="str">
        <f t="shared" si="1"/>
        <v>Aurinko</v>
      </c>
      <c r="C19" t="str">
        <f t="shared" si="2"/>
        <v>Keski (IPCC)</v>
      </c>
      <c r="E19" t="str">
        <f t="shared" si="0"/>
        <v>Aurinko, Keski (IPCC)</v>
      </c>
      <c r="I19" s="1" t="s">
        <v>102</v>
      </c>
    </row>
    <row r="20" spans="1:110">
      <c r="B20" t="str">
        <f t="shared" si="1"/>
        <v>Aurinko</v>
      </c>
      <c r="C20" t="str">
        <f t="shared" si="2"/>
        <v>Korkea</v>
      </c>
      <c r="E20" t="str">
        <f t="shared" si="0"/>
        <v>Aurinko, Korkea</v>
      </c>
      <c r="I20" s="1" t="s">
        <v>102</v>
      </c>
    </row>
    <row r="21" spans="1:110">
      <c r="B21" t="str">
        <f t="shared" si="1"/>
        <v>Aurinko</v>
      </c>
      <c r="C21">
        <f t="shared" si="2"/>
        <v>0</v>
      </c>
      <c r="E21" t="str">
        <f t="shared" si="0"/>
        <v>Aurinko, 0</v>
      </c>
      <c r="I21" s="1" t="s">
        <v>102</v>
      </c>
    </row>
    <row r="22" spans="1:110">
      <c r="A22" t="s">
        <v>620</v>
      </c>
      <c r="B22" t="str">
        <f t="shared" si="1"/>
        <v>Uraani</v>
      </c>
      <c r="C22" t="str">
        <f t="shared" si="2"/>
        <v>Matala</v>
      </c>
      <c r="E22" t="str">
        <f t="shared" si="0"/>
        <v>Uraani, Matala</v>
      </c>
      <c r="I22" s="1" t="s">
        <v>102</v>
      </c>
    </row>
    <row r="23" spans="1:110">
      <c r="B23" t="str">
        <f t="shared" si="1"/>
        <v>Uraani</v>
      </c>
      <c r="C23" t="str">
        <f t="shared" si="2"/>
        <v>Keski (IPCC)</v>
      </c>
      <c r="E23" t="str">
        <f t="shared" si="0"/>
        <v>Uraani, Keski (IPCC)</v>
      </c>
      <c r="I23" s="1" t="s">
        <v>102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</row>
    <row r="24" spans="1:110">
      <c r="B24" t="str">
        <f t="shared" si="1"/>
        <v>Uraani</v>
      </c>
      <c r="C24" t="str">
        <f t="shared" si="2"/>
        <v>Korkea</v>
      </c>
      <c r="E24" t="str">
        <f t="shared" si="0"/>
        <v>Uraani, Korkea</v>
      </c>
      <c r="I24" s="1" t="s">
        <v>102</v>
      </c>
    </row>
    <row r="25" spans="1:110">
      <c r="B25" t="str">
        <f t="shared" si="1"/>
        <v>Uraani</v>
      </c>
      <c r="C25">
        <f t="shared" si="2"/>
        <v>0</v>
      </c>
      <c r="E25" t="str">
        <f t="shared" si="0"/>
        <v>Uraani, 0</v>
      </c>
      <c r="I25" s="1" t="s">
        <v>102</v>
      </c>
    </row>
    <row r="26" spans="1:110">
      <c r="A26" t="s">
        <v>719</v>
      </c>
      <c r="B26" t="str">
        <f t="shared" si="1"/>
        <v>Hake</v>
      </c>
      <c r="C26" t="str">
        <f t="shared" si="2"/>
        <v>Matala</v>
      </c>
      <c r="E26" t="str">
        <f t="shared" si="0"/>
        <v>Hake, Matala</v>
      </c>
      <c r="I26" s="1" t="s">
        <v>102</v>
      </c>
    </row>
    <row r="27" spans="1:110">
      <c r="B27" t="str">
        <f t="shared" si="1"/>
        <v>Hake</v>
      </c>
      <c r="C27" t="str">
        <f t="shared" si="2"/>
        <v>Keski (IPCC)</v>
      </c>
      <c r="E27" t="str">
        <f t="shared" si="0"/>
        <v>Hake, Keski (IPCC)</v>
      </c>
      <c r="I27" s="1" t="s">
        <v>102</v>
      </c>
    </row>
    <row r="28" spans="1:110">
      <c r="B28" t="str">
        <f t="shared" si="1"/>
        <v>Hake</v>
      </c>
      <c r="C28" t="str">
        <f t="shared" si="2"/>
        <v>Korkea</v>
      </c>
      <c r="E28" t="str">
        <f t="shared" si="0"/>
        <v>Hake, Korkea</v>
      </c>
      <c r="I28" s="1" t="s">
        <v>102</v>
      </c>
    </row>
    <row r="29" spans="1:110">
      <c r="B29" t="str">
        <f t="shared" si="1"/>
        <v>Hake</v>
      </c>
      <c r="C29">
        <f t="shared" si="2"/>
        <v>0</v>
      </c>
      <c r="E29" t="str">
        <f t="shared" si="0"/>
        <v>Hake, 0</v>
      </c>
      <c r="I29" s="1" t="s">
        <v>102</v>
      </c>
    </row>
    <row r="30" spans="1:110">
      <c r="A30" t="s">
        <v>720</v>
      </c>
      <c r="B30" t="str">
        <f t="shared" si="1"/>
        <v>Sähkö</v>
      </c>
      <c r="C30" t="str">
        <f t="shared" si="2"/>
        <v>Matala</v>
      </c>
      <c r="E30" t="str">
        <f t="shared" si="0"/>
        <v>Sähkö, Matala</v>
      </c>
      <c r="I30" s="1" t="s">
        <v>102</v>
      </c>
    </row>
    <row r="31" spans="1:110">
      <c r="B31" t="str">
        <f t="shared" si="1"/>
        <v>Sähkö</v>
      </c>
      <c r="C31" t="str">
        <f t="shared" si="2"/>
        <v>Keski (IPCC)</v>
      </c>
      <c r="E31" t="str">
        <f t="shared" si="0"/>
        <v>Sähkö, Keski (IPCC)</v>
      </c>
      <c r="I31" s="1" t="s">
        <v>102</v>
      </c>
    </row>
    <row r="32" spans="1:110">
      <c r="B32" t="str">
        <f t="shared" si="1"/>
        <v>Sähkö</v>
      </c>
      <c r="C32" t="str">
        <f t="shared" si="2"/>
        <v>Korkea</v>
      </c>
      <c r="E32" t="str">
        <f t="shared" si="0"/>
        <v>Sähkö, Korkea</v>
      </c>
      <c r="I32" s="1" t="s">
        <v>102</v>
      </c>
    </row>
    <row r="33" spans="1:110">
      <c r="B33" t="str">
        <f t="shared" si="1"/>
        <v>Sähkö</v>
      </c>
      <c r="C33">
        <f t="shared" si="2"/>
        <v>0</v>
      </c>
      <c r="E33" t="str">
        <f t="shared" si="0"/>
        <v>Sähkö, 0</v>
      </c>
      <c r="I33" s="1" t="s">
        <v>102</v>
      </c>
    </row>
    <row r="34" spans="1:110">
      <c r="A34" t="s">
        <v>717</v>
      </c>
      <c r="B34" t="str">
        <f t="shared" si="1"/>
        <v>Biokaasu</v>
      </c>
      <c r="C34" t="str">
        <f t="shared" si="2"/>
        <v>Matala</v>
      </c>
      <c r="E34" t="str">
        <f t="shared" si="0"/>
        <v>Biokaasu, Matala</v>
      </c>
      <c r="I34" s="1" t="s">
        <v>102</v>
      </c>
    </row>
    <row r="35" spans="1:110">
      <c r="B35" t="str">
        <f t="shared" si="1"/>
        <v>Biokaasu</v>
      </c>
      <c r="C35" t="str">
        <f t="shared" si="2"/>
        <v>Keski (IPCC)</v>
      </c>
      <c r="E35" t="str">
        <f t="shared" si="0"/>
        <v>Biokaasu, Keski (IPCC)</v>
      </c>
      <c r="I35" s="1" t="s">
        <v>102</v>
      </c>
    </row>
    <row r="36" spans="1:110">
      <c r="B36" t="str">
        <f t="shared" si="1"/>
        <v>Biokaasu</v>
      </c>
      <c r="C36" t="str">
        <f t="shared" si="2"/>
        <v>Korkea</v>
      </c>
      <c r="E36" t="str">
        <f t="shared" si="0"/>
        <v>Biokaasu, Korkea</v>
      </c>
      <c r="I36" s="1" t="s">
        <v>102</v>
      </c>
    </row>
    <row r="37" spans="1:110">
      <c r="B37" t="str">
        <f t="shared" si="1"/>
        <v>Biokaasu</v>
      </c>
      <c r="C37">
        <f t="shared" si="2"/>
        <v>0</v>
      </c>
      <c r="E37" t="str">
        <f t="shared" si="0"/>
        <v>Biokaasu, 0</v>
      </c>
      <c r="I37" s="1" t="s">
        <v>102</v>
      </c>
    </row>
    <row r="38" spans="1:110">
      <c r="A38" t="s">
        <v>613</v>
      </c>
      <c r="B38" t="str">
        <f t="shared" si="1"/>
        <v>Biomassa</v>
      </c>
      <c r="C38" t="str">
        <f t="shared" ref="C38:C69" si="3">C34</f>
        <v>Matala</v>
      </c>
      <c r="E38" t="str">
        <f t="shared" si="0"/>
        <v>Biomassa, Matala</v>
      </c>
      <c r="I38" s="1" t="s">
        <v>102</v>
      </c>
    </row>
    <row r="39" spans="1:110">
      <c r="B39" t="str">
        <f t="shared" si="1"/>
        <v>Biomassa</v>
      </c>
      <c r="C39" t="str">
        <f t="shared" si="3"/>
        <v>Keski (IPCC)</v>
      </c>
      <c r="E39" t="str">
        <f t="shared" si="0"/>
        <v>Biomassa, Keski (IPCC)</v>
      </c>
      <c r="I39" s="1" t="s">
        <v>102</v>
      </c>
    </row>
    <row r="40" spans="1:110">
      <c r="B40" t="str">
        <f t="shared" si="1"/>
        <v>Biomassa</v>
      </c>
      <c r="C40" t="str">
        <f t="shared" si="3"/>
        <v>Korkea</v>
      </c>
      <c r="E40" t="str">
        <f t="shared" si="0"/>
        <v>Biomassa, Korkea</v>
      </c>
      <c r="I40" s="1" t="s">
        <v>102</v>
      </c>
    </row>
    <row r="41" spans="1:110">
      <c r="B41" t="str">
        <f t="shared" si="1"/>
        <v>Biomassa</v>
      </c>
      <c r="C41">
        <f t="shared" si="3"/>
        <v>0</v>
      </c>
      <c r="E41" t="str">
        <f t="shared" si="0"/>
        <v>Biomassa, 0</v>
      </c>
      <c r="I41" s="1" t="s">
        <v>102</v>
      </c>
    </row>
    <row r="42" spans="1:110">
      <c r="A42" t="s">
        <v>617</v>
      </c>
      <c r="B42" t="str">
        <f t="shared" si="1"/>
        <v>Geoterminen</v>
      </c>
      <c r="C42" t="str">
        <f t="shared" si="3"/>
        <v>Matala</v>
      </c>
      <c r="E42" t="str">
        <f t="shared" si="0"/>
        <v>Geoterminen, Matala</v>
      </c>
      <c r="I42" s="1" t="s">
        <v>102</v>
      </c>
    </row>
    <row r="43" spans="1:110">
      <c r="B43" t="str">
        <f t="shared" si="1"/>
        <v>Geoterminen</v>
      </c>
      <c r="C43" t="str">
        <f t="shared" si="3"/>
        <v>Keski (IPCC)</v>
      </c>
      <c r="E43" t="str">
        <f t="shared" si="0"/>
        <v>Geoterminen, Keski (IPCC)</v>
      </c>
      <c r="I43" s="1" t="s">
        <v>102</v>
      </c>
    </row>
    <row r="44" spans="1:110">
      <c r="B44" t="str">
        <f t="shared" si="1"/>
        <v>Geoterminen</v>
      </c>
      <c r="C44" t="str">
        <f t="shared" si="3"/>
        <v>Korkea</v>
      </c>
      <c r="E44" t="str">
        <f t="shared" si="0"/>
        <v>Geoterminen, Korkea</v>
      </c>
      <c r="I44" s="1" t="s">
        <v>102</v>
      </c>
    </row>
    <row r="45" spans="1:110">
      <c r="B45" t="str">
        <f t="shared" si="1"/>
        <v>Geoterminen</v>
      </c>
      <c r="C45">
        <f t="shared" si="3"/>
        <v>0</v>
      </c>
      <c r="E45" t="str">
        <f t="shared" ref="E45:E61" si="4">_xlfn.CONCAT(B45,", ",C45)</f>
        <v>Geoterminen, 0</v>
      </c>
      <c r="I45" s="1" t="s">
        <v>102</v>
      </c>
    </row>
    <row r="46" spans="1:110">
      <c r="A46" t="s">
        <v>722</v>
      </c>
      <c r="B46" t="str">
        <f t="shared" si="1"/>
        <v>Turve</v>
      </c>
      <c r="C46" t="str">
        <f t="shared" si="3"/>
        <v>Matala</v>
      </c>
      <c r="E46" t="str">
        <f t="shared" si="4"/>
        <v>Turve, Matala</v>
      </c>
      <c r="I46" s="1" t="s">
        <v>102</v>
      </c>
    </row>
    <row r="47" spans="1:110">
      <c r="B47" t="str">
        <f t="shared" si="1"/>
        <v>Turve</v>
      </c>
      <c r="C47" t="str">
        <f t="shared" si="3"/>
        <v>Keski (IPCC)</v>
      </c>
      <c r="E47" t="str">
        <f t="shared" si="4"/>
        <v>Turve, Keski (IPCC)</v>
      </c>
      <c r="F47" s="6" t="s">
        <v>726</v>
      </c>
      <c r="G47" s="6"/>
      <c r="H47" s="6" t="s">
        <v>727</v>
      </c>
      <c r="I47" s="1" t="s">
        <v>102</v>
      </c>
      <c r="J47">
        <v>381.6</v>
      </c>
      <c r="K47">
        <v>381.6</v>
      </c>
      <c r="L47">
        <v>381.6</v>
      </c>
      <c r="M47">
        <v>381.6</v>
      </c>
      <c r="N47">
        <v>381.6</v>
      </c>
      <c r="O47">
        <v>381.6</v>
      </c>
      <c r="P47">
        <v>381.6</v>
      </c>
      <c r="Q47">
        <v>381.6</v>
      </c>
      <c r="R47">
        <v>381.6</v>
      </c>
      <c r="S47">
        <v>381.6</v>
      </c>
      <c r="T47">
        <v>381.6</v>
      </c>
      <c r="U47">
        <v>381.6</v>
      </c>
      <c r="V47">
        <v>381.6</v>
      </c>
      <c r="W47">
        <v>381.6</v>
      </c>
      <c r="X47">
        <v>381.6</v>
      </c>
      <c r="Y47">
        <v>381.6</v>
      </c>
      <c r="Z47">
        <v>381.6</v>
      </c>
      <c r="AA47">
        <v>381.6</v>
      </c>
      <c r="AB47">
        <v>381.6</v>
      </c>
      <c r="AC47">
        <v>381.6</v>
      </c>
      <c r="AD47">
        <v>381.6</v>
      </c>
      <c r="AE47">
        <v>381.6</v>
      </c>
      <c r="AF47">
        <v>381.6</v>
      </c>
      <c r="AG47">
        <v>381.6</v>
      </c>
      <c r="AH47">
        <v>381.6</v>
      </c>
      <c r="AI47">
        <v>381.6</v>
      </c>
      <c r="AJ47">
        <v>381.6</v>
      </c>
      <c r="AK47">
        <v>381.6</v>
      </c>
      <c r="AL47">
        <v>381.6</v>
      </c>
      <c r="AM47">
        <v>381.6</v>
      </c>
      <c r="AN47">
        <v>381.6</v>
      </c>
      <c r="AO47">
        <v>381.6</v>
      </c>
      <c r="AP47">
        <v>381.6</v>
      </c>
      <c r="AQ47">
        <v>381.6</v>
      </c>
      <c r="AR47">
        <v>381.6</v>
      </c>
      <c r="AS47">
        <v>381.6</v>
      </c>
      <c r="AT47">
        <v>381.6</v>
      </c>
      <c r="AU47">
        <v>381.6</v>
      </c>
      <c r="AV47">
        <v>381.6</v>
      </c>
      <c r="AW47">
        <v>381.6</v>
      </c>
      <c r="AX47">
        <v>381.6</v>
      </c>
      <c r="AY47">
        <v>381.6</v>
      </c>
      <c r="AZ47">
        <v>381.6</v>
      </c>
      <c r="BA47">
        <v>381.6</v>
      </c>
      <c r="BB47">
        <v>381.6</v>
      </c>
      <c r="BC47">
        <v>381.6</v>
      </c>
      <c r="BD47">
        <v>381.6</v>
      </c>
      <c r="BE47">
        <v>381.6</v>
      </c>
      <c r="BF47">
        <v>381.6</v>
      </c>
      <c r="BG47">
        <v>381.6</v>
      </c>
      <c r="BH47">
        <v>381.6</v>
      </c>
      <c r="BI47">
        <v>381.6</v>
      </c>
      <c r="BJ47">
        <v>381.6</v>
      </c>
      <c r="BK47">
        <v>381.6</v>
      </c>
      <c r="BL47">
        <v>381.6</v>
      </c>
      <c r="BM47">
        <v>381.6</v>
      </c>
      <c r="BN47">
        <v>381.6</v>
      </c>
      <c r="BO47">
        <v>381.6</v>
      </c>
      <c r="BP47">
        <v>381.6</v>
      </c>
      <c r="BQ47">
        <v>381.6</v>
      </c>
      <c r="BR47">
        <v>381.6</v>
      </c>
      <c r="BS47">
        <v>381.6</v>
      </c>
      <c r="BT47">
        <v>381.6</v>
      </c>
      <c r="BU47">
        <v>381.6</v>
      </c>
      <c r="BV47">
        <v>381.6</v>
      </c>
      <c r="BW47">
        <v>381.6</v>
      </c>
      <c r="BX47">
        <v>381.6</v>
      </c>
      <c r="BY47">
        <v>381.6</v>
      </c>
      <c r="BZ47">
        <v>381.6</v>
      </c>
      <c r="CA47">
        <v>381.6</v>
      </c>
      <c r="CB47">
        <v>381.6</v>
      </c>
      <c r="CC47">
        <v>381.6</v>
      </c>
      <c r="CD47">
        <v>381.6</v>
      </c>
      <c r="CE47">
        <v>381.6</v>
      </c>
      <c r="CF47">
        <v>381.6</v>
      </c>
      <c r="CG47">
        <v>381.6</v>
      </c>
      <c r="CH47">
        <v>381.6</v>
      </c>
      <c r="CI47">
        <v>381.6</v>
      </c>
      <c r="CJ47">
        <v>381.6</v>
      </c>
      <c r="CK47">
        <v>381.6</v>
      </c>
      <c r="CL47">
        <v>381.6</v>
      </c>
      <c r="CM47">
        <v>381.6</v>
      </c>
      <c r="CN47">
        <v>381.6</v>
      </c>
      <c r="CO47">
        <v>381.6</v>
      </c>
      <c r="CP47">
        <v>381.6</v>
      </c>
      <c r="CQ47">
        <v>381.6</v>
      </c>
      <c r="CR47">
        <v>381.6</v>
      </c>
      <c r="CS47">
        <v>381.6</v>
      </c>
      <c r="CT47">
        <v>381.6</v>
      </c>
      <c r="CU47">
        <v>381.6</v>
      </c>
      <c r="CV47">
        <v>381.6</v>
      </c>
      <c r="CW47">
        <v>381.6</v>
      </c>
      <c r="CX47">
        <v>381.6</v>
      </c>
      <c r="CY47">
        <v>381.6</v>
      </c>
      <c r="CZ47">
        <v>381.6</v>
      </c>
      <c r="DA47">
        <v>381.6</v>
      </c>
      <c r="DB47">
        <v>381.6</v>
      </c>
      <c r="DC47">
        <v>381.6</v>
      </c>
      <c r="DD47">
        <v>381.6</v>
      </c>
      <c r="DE47">
        <v>381.6</v>
      </c>
      <c r="DF47">
        <v>381.6</v>
      </c>
    </row>
    <row r="48" spans="1:110">
      <c r="B48" t="str">
        <f t="shared" si="1"/>
        <v>Turve</v>
      </c>
      <c r="C48" t="str">
        <f t="shared" si="3"/>
        <v>Korkea</v>
      </c>
      <c r="E48" t="str">
        <f t="shared" si="4"/>
        <v>Turve, Korkea</v>
      </c>
      <c r="I48" s="1" t="s">
        <v>102</v>
      </c>
    </row>
    <row r="49" spans="1:110">
      <c r="B49" t="str">
        <f t="shared" si="1"/>
        <v>Turve</v>
      </c>
      <c r="C49">
        <f t="shared" si="3"/>
        <v>0</v>
      </c>
      <c r="E49" t="str">
        <f t="shared" si="4"/>
        <v>Turve, 0</v>
      </c>
      <c r="I49" s="1" t="s">
        <v>102</v>
      </c>
    </row>
    <row r="50" spans="1:110">
      <c r="A50" t="s">
        <v>723</v>
      </c>
      <c r="B50" t="str">
        <f t="shared" si="1"/>
        <v>Raskas polttoöljy</v>
      </c>
      <c r="C50" t="str">
        <f t="shared" si="3"/>
        <v>Matala</v>
      </c>
      <c r="E50" t="str">
        <f t="shared" si="4"/>
        <v>Raskas polttoöljy, Matala</v>
      </c>
      <c r="I50" s="1" t="s">
        <v>102</v>
      </c>
    </row>
    <row r="51" spans="1:110">
      <c r="B51" t="str">
        <f t="shared" si="1"/>
        <v>Raskas polttoöljy</v>
      </c>
      <c r="C51" t="str">
        <f t="shared" si="3"/>
        <v>Keski (IPCC)</v>
      </c>
      <c r="E51" t="str">
        <f t="shared" si="4"/>
        <v>Raskas polttoöljy, Keski (IPCC)</v>
      </c>
      <c r="F51" t="s">
        <v>726</v>
      </c>
      <c r="H51" t="s">
        <v>729</v>
      </c>
      <c r="I51" s="1" t="s">
        <v>102</v>
      </c>
      <c r="J51">
        <v>263.88</v>
      </c>
      <c r="K51">
        <v>263.88</v>
      </c>
      <c r="L51">
        <v>263.88</v>
      </c>
      <c r="M51">
        <v>263.88</v>
      </c>
      <c r="N51">
        <v>263.88</v>
      </c>
      <c r="O51">
        <v>263.88</v>
      </c>
      <c r="P51">
        <v>263.88</v>
      </c>
      <c r="Q51">
        <v>263.88</v>
      </c>
      <c r="R51">
        <v>263.88</v>
      </c>
      <c r="S51">
        <v>263.88</v>
      </c>
      <c r="T51">
        <v>263.88</v>
      </c>
      <c r="U51">
        <v>263.88</v>
      </c>
      <c r="V51">
        <v>263.88</v>
      </c>
      <c r="W51">
        <v>263.88</v>
      </c>
      <c r="X51">
        <v>263.88</v>
      </c>
      <c r="Y51">
        <v>263.88</v>
      </c>
      <c r="Z51">
        <v>263.88</v>
      </c>
      <c r="AA51">
        <v>263.88</v>
      </c>
      <c r="AB51">
        <v>263.88</v>
      </c>
      <c r="AC51">
        <v>263.88</v>
      </c>
      <c r="AD51">
        <v>263.88</v>
      </c>
      <c r="AE51">
        <v>263.88</v>
      </c>
      <c r="AF51">
        <v>263.88</v>
      </c>
      <c r="AG51">
        <v>263.88</v>
      </c>
      <c r="AH51">
        <v>263.88</v>
      </c>
      <c r="AI51">
        <v>263.88</v>
      </c>
      <c r="AJ51">
        <v>263.88</v>
      </c>
      <c r="AK51">
        <v>263.88</v>
      </c>
      <c r="AL51">
        <v>263.88</v>
      </c>
      <c r="AM51">
        <v>263.88</v>
      </c>
      <c r="AN51">
        <v>263.88</v>
      </c>
      <c r="AO51">
        <v>263.88</v>
      </c>
      <c r="AP51">
        <v>263.88</v>
      </c>
      <c r="AQ51">
        <v>263.88</v>
      </c>
      <c r="AR51">
        <v>263.88</v>
      </c>
      <c r="AS51">
        <v>263.88</v>
      </c>
      <c r="AT51">
        <v>263.88</v>
      </c>
      <c r="AU51">
        <v>263.88</v>
      </c>
      <c r="AV51">
        <v>263.88</v>
      </c>
      <c r="AW51">
        <v>263.88</v>
      </c>
      <c r="AX51">
        <v>263.88</v>
      </c>
      <c r="AY51">
        <v>263.88</v>
      </c>
      <c r="AZ51">
        <v>263.88</v>
      </c>
      <c r="BA51">
        <v>263.88</v>
      </c>
      <c r="BB51">
        <v>263.88</v>
      </c>
      <c r="BC51">
        <v>263.88</v>
      </c>
      <c r="BD51">
        <v>263.88</v>
      </c>
      <c r="BE51">
        <v>263.88</v>
      </c>
      <c r="BF51">
        <v>263.88</v>
      </c>
      <c r="BG51">
        <v>263.88</v>
      </c>
      <c r="BH51">
        <v>263.88</v>
      </c>
      <c r="BI51">
        <v>263.88</v>
      </c>
      <c r="BJ51">
        <v>263.88</v>
      </c>
      <c r="BK51">
        <v>263.88</v>
      </c>
      <c r="BL51">
        <v>263.88</v>
      </c>
      <c r="BM51">
        <v>263.88</v>
      </c>
      <c r="BN51">
        <v>263.88</v>
      </c>
      <c r="BO51">
        <v>263.88</v>
      </c>
      <c r="BP51">
        <v>263.88</v>
      </c>
      <c r="BQ51">
        <v>263.88</v>
      </c>
      <c r="BR51">
        <v>263.88</v>
      </c>
      <c r="BS51">
        <v>263.88</v>
      </c>
      <c r="BT51">
        <v>263.88</v>
      </c>
      <c r="BU51">
        <v>263.88</v>
      </c>
      <c r="BV51">
        <v>263.88</v>
      </c>
      <c r="BW51">
        <v>263.88</v>
      </c>
      <c r="BX51">
        <v>263.88</v>
      </c>
      <c r="BY51">
        <v>263.88</v>
      </c>
      <c r="BZ51">
        <v>263.88</v>
      </c>
      <c r="CA51">
        <v>263.88</v>
      </c>
      <c r="CB51">
        <v>263.88</v>
      </c>
      <c r="CC51">
        <v>263.88</v>
      </c>
      <c r="CD51">
        <v>263.88</v>
      </c>
      <c r="CE51">
        <v>263.88</v>
      </c>
      <c r="CF51">
        <v>263.88</v>
      </c>
      <c r="CG51">
        <v>263.88</v>
      </c>
      <c r="CH51">
        <v>263.88</v>
      </c>
      <c r="CI51">
        <v>263.88</v>
      </c>
      <c r="CJ51">
        <v>263.88</v>
      </c>
      <c r="CK51">
        <v>263.88</v>
      </c>
      <c r="CL51">
        <v>263.88</v>
      </c>
      <c r="CM51">
        <v>263.88</v>
      </c>
      <c r="CN51">
        <v>263.88</v>
      </c>
      <c r="CO51">
        <v>263.88</v>
      </c>
      <c r="CP51">
        <v>263.88</v>
      </c>
      <c r="CQ51">
        <v>263.88</v>
      </c>
      <c r="CR51">
        <v>263.88</v>
      </c>
      <c r="CS51">
        <v>263.88</v>
      </c>
      <c r="CT51">
        <v>263.88</v>
      </c>
      <c r="CU51">
        <v>263.88</v>
      </c>
      <c r="CV51">
        <v>263.88</v>
      </c>
      <c r="CW51">
        <v>263.88</v>
      </c>
      <c r="CX51">
        <v>263.88</v>
      </c>
      <c r="CY51">
        <v>263.88</v>
      </c>
      <c r="CZ51">
        <v>263.88</v>
      </c>
      <c r="DA51">
        <v>263.88</v>
      </c>
      <c r="DB51">
        <v>263.88</v>
      </c>
      <c r="DC51">
        <v>263.88</v>
      </c>
      <c r="DD51">
        <v>263.88</v>
      </c>
      <c r="DE51">
        <v>263.88</v>
      </c>
      <c r="DF51">
        <v>263.88</v>
      </c>
    </row>
    <row r="52" spans="1:110">
      <c r="B52" t="str">
        <f t="shared" si="1"/>
        <v>Raskas polttoöljy</v>
      </c>
      <c r="C52" t="str">
        <f t="shared" si="3"/>
        <v>Korkea</v>
      </c>
      <c r="E52" t="str">
        <f t="shared" si="4"/>
        <v>Raskas polttoöljy, Korkea</v>
      </c>
      <c r="I52" s="1" t="s">
        <v>102</v>
      </c>
    </row>
    <row r="53" spans="1:110">
      <c r="B53" t="str">
        <f t="shared" si="1"/>
        <v>Raskas polttoöljy</v>
      </c>
      <c r="C53">
        <f t="shared" si="3"/>
        <v>0</v>
      </c>
      <c r="E53" t="str">
        <f t="shared" si="4"/>
        <v>Raskas polttoöljy, 0</v>
      </c>
      <c r="I53" s="1" t="s">
        <v>102</v>
      </c>
    </row>
    <row r="54" spans="1:110">
      <c r="A54" t="s">
        <v>612</v>
      </c>
      <c r="B54" t="str">
        <f t="shared" si="1"/>
        <v>Diesel</v>
      </c>
      <c r="C54" t="str">
        <f t="shared" si="3"/>
        <v>Matala</v>
      </c>
      <c r="E54" t="str">
        <f t="shared" si="4"/>
        <v>Diesel, Matala</v>
      </c>
      <c r="I54" s="1" t="s">
        <v>102</v>
      </c>
    </row>
    <row r="55" spans="1:110">
      <c r="B55" t="str">
        <f t="shared" si="1"/>
        <v>Diesel</v>
      </c>
      <c r="C55" t="str">
        <f t="shared" si="3"/>
        <v>Keski (IPCC)</v>
      </c>
      <c r="E55" t="str">
        <f t="shared" si="4"/>
        <v>Diesel, Keski (IPCC)</v>
      </c>
      <c r="F55" t="s">
        <v>726</v>
      </c>
      <c r="H55" t="s">
        <v>727</v>
      </c>
      <c r="I55" s="1" t="s">
        <v>102</v>
      </c>
      <c r="J55">
        <v>266.76</v>
      </c>
      <c r="K55">
        <v>266.76</v>
      </c>
      <c r="L55">
        <v>266.76</v>
      </c>
      <c r="M55">
        <v>266.76</v>
      </c>
      <c r="N55">
        <v>266.76</v>
      </c>
      <c r="O55">
        <v>266.76</v>
      </c>
      <c r="P55">
        <v>266.76</v>
      </c>
      <c r="Q55">
        <v>266.76</v>
      </c>
      <c r="R55">
        <v>266.76</v>
      </c>
      <c r="S55">
        <v>266.76</v>
      </c>
      <c r="T55">
        <v>266.76</v>
      </c>
      <c r="U55">
        <v>266.76</v>
      </c>
      <c r="V55">
        <v>266.76</v>
      </c>
      <c r="W55">
        <v>266.76</v>
      </c>
      <c r="X55">
        <v>266.76</v>
      </c>
      <c r="Y55">
        <v>266.76</v>
      </c>
      <c r="Z55">
        <v>266.76</v>
      </c>
      <c r="AA55">
        <v>266.76</v>
      </c>
      <c r="AB55">
        <v>266.76</v>
      </c>
      <c r="AC55">
        <v>266.76</v>
      </c>
      <c r="AD55">
        <v>266.76</v>
      </c>
      <c r="AE55">
        <v>266.76</v>
      </c>
      <c r="AF55">
        <v>266.76</v>
      </c>
      <c r="AG55">
        <v>266.76</v>
      </c>
      <c r="AH55">
        <v>266.76</v>
      </c>
      <c r="AI55">
        <v>266.76</v>
      </c>
      <c r="AJ55">
        <v>266.76</v>
      </c>
      <c r="AK55">
        <v>266.76</v>
      </c>
      <c r="AL55">
        <v>266.76</v>
      </c>
      <c r="AM55">
        <v>266.76</v>
      </c>
      <c r="AN55">
        <v>266.76</v>
      </c>
      <c r="AO55">
        <v>266.76</v>
      </c>
      <c r="AP55">
        <v>266.76</v>
      </c>
      <c r="AQ55">
        <v>266.76</v>
      </c>
      <c r="AR55">
        <v>266.76</v>
      </c>
      <c r="AS55">
        <v>266.76</v>
      </c>
      <c r="AT55">
        <v>266.76</v>
      </c>
      <c r="AU55">
        <v>266.76</v>
      </c>
      <c r="AV55">
        <v>266.76</v>
      </c>
      <c r="AW55">
        <v>266.76</v>
      </c>
      <c r="AX55">
        <v>266.76</v>
      </c>
      <c r="AY55">
        <v>266.76</v>
      </c>
      <c r="AZ55">
        <v>266.76</v>
      </c>
      <c r="BA55">
        <v>266.76</v>
      </c>
      <c r="BB55">
        <v>266.76</v>
      </c>
      <c r="BC55">
        <v>266.76</v>
      </c>
      <c r="BD55">
        <v>266.76</v>
      </c>
      <c r="BE55">
        <v>266.76</v>
      </c>
      <c r="BF55">
        <v>266.76</v>
      </c>
      <c r="BG55">
        <v>266.76</v>
      </c>
      <c r="BH55">
        <v>266.76</v>
      </c>
      <c r="BI55">
        <v>266.76</v>
      </c>
      <c r="BJ55">
        <v>266.76</v>
      </c>
      <c r="BK55">
        <v>266.76</v>
      </c>
      <c r="BL55">
        <v>266.76</v>
      </c>
      <c r="BM55">
        <v>266.76</v>
      </c>
      <c r="BN55">
        <v>266.76</v>
      </c>
      <c r="BO55">
        <v>266.76</v>
      </c>
      <c r="BP55">
        <v>266.76</v>
      </c>
      <c r="BQ55">
        <v>266.76</v>
      </c>
      <c r="BR55">
        <v>266.76</v>
      </c>
      <c r="BS55">
        <v>266.76</v>
      </c>
      <c r="BT55">
        <v>266.76</v>
      </c>
      <c r="BU55">
        <v>266.76</v>
      </c>
      <c r="BV55">
        <v>266.76</v>
      </c>
      <c r="BW55">
        <v>266.76</v>
      </c>
      <c r="BX55">
        <v>266.76</v>
      </c>
      <c r="BY55">
        <v>266.76</v>
      </c>
      <c r="BZ55">
        <v>266.76</v>
      </c>
      <c r="CA55">
        <v>266.76</v>
      </c>
      <c r="CB55">
        <v>266.76</v>
      </c>
      <c r="CC55">
        <v>266.76</v>
      </c>
      <c r="CD55">
        <v>266.76</v>
      </c>
      <c r="CE55">
        <v>266.76</v>
      </c>
      <c r="CF55">
        <v>266.76</v>
      </c>
      <c r="CG55">
        <v>266.76</v>
      </c>
      <c r="CH55">
        <v>266.76</v>
      </c>
      <c r="CI55">
        <v>266.76</v>
      </c>
      <c r="CJ55">
        <v>266.76</v>
      </c>
      <c r="CK55">
        <v>266.76</v>
      </c>
      <c r="CL55">
        <v>266.76</v>
      </c>
      <c r="CM55">
        <v>266.76</v>
      </c>
      <c r="CN55">
        <v>266.76</v>
      </c>
      <c r="CO55">
        <v>266.76</v>
      </c>
      <c r="CP55">
        <v>266.76</v>
      </c>
      <c r="CQ55">
        <v>266.76</v>
      </c>
      <c r="CR55">
        <v>266.76</v>
      </c>
      <c r="CS55">
        <v>266.76</v>
      </c>
      <c r="CT55">
        <v>266.76</v>
      </c>
      <c r="CU55">
        <v>266.76</v>
      </c>
      <c r="CV55">
        <v>266.76</v>
      </c>
      <c r="CW55">
        <v>266.76</v>
      </c>
      <c r="CX55">
        <v>266.76</v>
      </c>
      <c r="CY55">
        <v>266.76</v>
      </c>
      <c r="CZ55">
        <v>266.76</v>
      </c>
      <c r="DA55">
        <v>266.76</v>
      </c>
      <c r="DB55">
        <v>266.76</v>
      </c>
      <c r="DC55">
        <v>266.76</v>
      </c>
      <c r="DD55">
        <v>266.76</v>
      </c>
      <c r="DE55">
        <v>266.76</v>
      </c>
      <c r="DF55">
        <v>266.76</v>
      </c>
    </row>
    <row r="56" spans="1:110">
      <c r="B56" t="str">
        <f t="shared" si="1"/>
        <v>Diesel</v>
      </c>
      <c r="C56" t="str">
        <f t="shared" si="3"/>
        <v>Korkea</v>
      </c>
      <c r="E56" t="str">
        <f t="shared" si="4"/>
        <v>Diesel, Korkea</v>
      </c>
      <c r="I56" s="1" t="s">
        <v>102</v>
      </c>
    </row>
    <row r="57" spans="1:110">
      <c r="B57" t="str">
        <f t="shared" si="1"/>
        <v>Diesel</v>
      </c>
      <c r="C57">
        <f t="shared" si="3"/>
        <v>0</v>
      </c>
      <c r="E57" t="str">
        <f t="shared" si="4"/>
        <v>Diesel, 0</v>
      </c>
      <c r="I57" s="1" t="s">
        <v>102</v>
      </c>
    </row>
    <row r="58" spans="1:110">
      <c r="A58" t="s">
        <v>718</v>
      </c>
      <c r="B58" t="str">
        <f t="shared" si="1"/>
        <v>Ruskohiili</v>
      </c>
      <c r="C58" t="str">
        <f t="shared" si="3"/>
        <v>Matala</v>
      </c>
      <c r="E58" t="str">
        <f t="shared" si="4"/>
        <v>Ruskohiili, Matala</v>
      </c>
      <c r="I58" s="1" t="s">
        <v>102</v>
      </c>
    </row>
    <row r="59" spans="1:110">
      <c r="B59" t="str">
        <f t="shared" si="1"/>
        <v>Ruskohiili</v>
      </c>
      <c r="C59" t="str">
        <f t="shared" si="3"/>
        <v>Keski (IPCC)</v>
      </c>
      <c r="E59" t="str">
        <f t="shared" si="4"/>
        <v>Ruskohiili, Keski (IPCC)</v>
      </c>
      <c r="I59" s="1" t="s">
        <v>102</v>
      </c>
    </row>
    <row r="60" spans="1:110">
      <c r="B60" t="str">
        <f t="shared" si="1"/>
        <v>Ruskohiili</v>
      </c>
      <c r="C60" t="str">
        <f t="shared" si="3"/>
        <v>Korkea</v>
      </c>
      <c r="E60" t="str">
        <f t="shared" si="4"/>
        <v>Ruskohiili, Korkea</v>
      </c>
      <c r="I60" s="1" t="s">
        <v>102</v>
      </c>
    </row>
    <row r="61" spans="1:110">
      <c r="B61" t="str">
        <f t="shared" si="1"/>
        <v>Ruskohiili</v>
      </c>
      <c r="C61">
        <f t="shared" si="3"/>
        <v>0</v>
      </c>
      <c r="E61" t="str">
        <f t="shared" si="4"/>
        <v>Ruskohiili, 0</v>
      </c>
      <c r="I61" s="1" t="s">
        <v>102</v>
      </c>
    </row>
    <row r="62" spans="1:110">
      <c r="A62" t="s">
        <v>720</v>
      </c>
      <c r="B62" t="str">
        <f t="shared" si="1"/>
        <v>Sähkö</v>
      </c>
      <c r="C62" t="str">
        <f t="shared" si="3"/>
        <v>Matala</v>
      </c>
      <c r="E62" t="str">
        <f t="shared" ref="E62:E69" si="5">_xlfn.CONCAT(B62,", ",C62)</f>
        <v>Sähkö, Matala</v>
      </c>
      <c r="I62" s="1" t="s">
        <v>102</v>
      </c>
    </row>
    <row r="63" spans="1:110">
      <c r="B63" t="str">
        <f t="shared" si="1"/>
        <v>Sähkö</v>
      </c>
      <c r="C63" t="str">
        <f t="shared" si="3"/>
        <v>Keski (IPCC)</v>
      </c>
      <c r="E63" t="str">
        <f t="shared" si="5"/>
        <v>Sähkö, Keski (IPCC)</v>
      </c>
      <c r="I63" s="1" t="s">
        <v>102</v>
      </c>
    </row>
    <row r="64" spans="1:110">
      <c r="B64" t="str">
        <f t="shared" si="1"/>
        <v>Sähkö</v>
      </c>
      <c r="C64" t="str">
        <f t="shared" si="3"/>
        <v>Korkea</v>
      </c>
      <c r="E64" t="str">
        <f t="shared" si="5"/>
        <v>Sähkö, Korkea</v>
      </c>
      <c r="I64" s="1" t="s">
        <v>102</v>
      </c>
    </row>
    <row r="65" spans="1:9">
      <c r="B65" t="str">
        <f t="shared" si="1"/>
        <v>Sähkö</v>
      </c>
      <c r="C65">
        <f t="shared" si="3"/>
        <v>0</v>
      </c>
      <c r="E65" t="str">
        <f t="shared" si="5"/>
        <v>Sähkö, 0</v>
      </c>
      <c r="I65" s="1" t="s">
        <v>102</v>
      </c>
    </row>
    <row r="66" spans="1:9">
      <c r="A66" t="s">
        <v>721</v>
      </c>
      <c r="B66" t="str">
        <f t="shared" si="1"/>
        <v>Aalto</v>
      </c>
      <c r="C66" t="str">
        <f t="shared" si="3"/>
        <v>Matala</v>
      </c>
      <c r="E66" t="str">
        <f t="shared" si="5"/>
        <v>Aalto, Matala</v>
      </c>
      <c r="I66" s="1" t="s">
        <v>102</v>
      </c>
    </row>
    <row r="67" spans="1:9">
      <c r="B67" t="str">
        <f t="shared" si="1"/>
        <v>Aalto</v>
      </c>
      <c r="C67" t="str">
        <f t="shared" si="3"/>
        <v>Keski (IPCC)</v>
      </c>
      <c r="E67" t="str">
        <f t="shared" si="5"/>
        <v>Aalto, Keski (IPCC)</v>
      </c>
      <c r="I67" s="1" t="s">
        <v>102</v>
      </c>
    </row>
    <row r="68" spans="1:9">
      <c r="B68" t="str">
        <f t="shared" ref="B68:B76" si="6">IF(ISBLANK(A68),B67,A68)</f>
        <v>Aalto</v>
      </c>
      <c r="C68" t="str">
        <f t="shared" si="3"/>
        <v>Korkea</v>
      </c>
      <c r="E68" t="str">
        <f t="shared" si="5"/>
        <v>Aalto, Korkea</v>
      </c>
      <c r="I68" s="1" t="s">
        <v>102</v>
      </c>
    </row>
    <row r="69" spans="1:9">
      <c r="B69" t="str">
        <f t="shared" si="6"/>
        <v>Aalto</v>
      </c>
      <c r="C69">
        <f t="shared" si="3"/>
        <v>0</v>
      </c>
      <c r="E69" t="str">
        <f t="shared" si="5"/>
        <v>Aalto, 0</v>
      </c>
      <c r="I69" s="1" t="s">
        <v>102</v>
      </c>
    </row>
    <row r="70" spans="1:9">
      <c r="A70" t="s">
        <v>730</v>
      </c>
      <c r="B70" t="str">
        <f t="shared" si="6"/>
        <v>Puu 80 %/turve 20 %</v>
      </c>
      <c r="C70" t="str">
        <f t="shared" ref="C70:C73" si="7">C66</f>
        <v>Matala</v>
      </c>
      <c r="E70" t="str">
        <f t="shared" ref="E70:E73" si="8">_xlfn.CONCAT(B70,", ",C70)</f>
        <v>Puu 80 %/turve 20 %, Matala</v>
      </c>
      <c r="I70" s="1" t="s">
        <v>102</v>
      </c>
    </row>
    <row r="71" spans="1:9">
      <c r="B71" t="str">
        <f t="shared" si="6"/>
        <v>Puu 80 %/turve 20 %</v>
      </c>
      <c r="C71" t="str">
        <f t="shared" si="7"/>
        <v>Keski (IPCC)</v>
      </c>
      <c r="E71" t="str">
        <f t="shared" si="8"/>
        <v>Puu 80 %/turve 20 %, Keski (IPCC)</v>
      </c>
      <c r="I71" s="1" t="s">
        <v>102</v>
      </c>
    </row>
    <row r="72" spans="1:9">
      <c r="B72" t="str">
        <f t="shared" si="6"/>
        <v>Puu 80 %/turve 20 %</v>
      </c>
      <c r="C72" t="str">
        <f t="shared" si="7"/>
        <v>Korkea</v>
      </c>
      <c r="E72" t="str">
        <f t="shared" si="8"/>
        <v>Puu 80 %/turve 20 %, Korkea</v>
      </c>
      <c r="I72" s="1" t="s">
        <v>102</v>
      </c>
    </row>
    <row r="73" spans="1:9">
      <c r="B73" t="str">
        <f t="shared" si="6"/>
        <v>Puu 80 %/turve 20 %</v>
      </c>
      <c r="C73">
        <f t="shared" si="7"/>
        <v>0</v>
      </c>
      <c r="E73" t="str">
        <f t="shared" si="8"/>
        <v>Puu 80 %/turve 20 %, 0</v>
      </c>
      <c r="I73" s="1" t="s">
        <v>102</v>
      </c>
    </row>
    <row r="74" spans="1:9">
      <c r="A74" t="s">
        <v>619</v>
      </c>
      <c r="B74" t="str">
        <f>IF(ISBLANK(A74),#REF!,A74)</f>
        <v>Vety</v>
      </c>
      <c r="C74" t="e">
        <f>#REF!</f>
        <v>#REF!</v>
      </c>
      <c r="E74" t="e">
        <f t="shared" ref="E74:E76" si="9">_xlfn.CONCAT(B74,", ",C74)</f>
        <v>#REF!</v>
      </c>
      <c r="I74" s="1" t="s">
        <v>102</v>
      </c>
    </row>
    <row r="75" spans="1:9">
      <c r="B75" t="str">
        <f t="shared" si="6"/>
        <v>Vety</v>
      </c>
      <c r="C75" t="e">
        <f>#REF!</f>
        <v>#REF!</v>
      </c>
      <c r="E75" t="e">
        <f t="shared" si="9"/>
        <v>#REF!</v>
      </c>
      <c r="I75" s="1" t="s">
        <v>102</v>
      </c>
    </row>
    <row r="76" spans="1:9">
      <c r="B76" t="str">
        <f t="shared" si="6"/>
        <v>Vety</v>
      </c>
      <c r="C76" t="e">
        <f>#REF!</f>
        <v>#REF!</v>
      </c>
      <c r="E76" t="e">
        <f t="shared" si="9"/>
        <v>#REF!</v>
      </c>
      <c r="I76" s="1" t="s">
        <v>102</v>
      </c>
    </row>
    <row r="77" spans="1:9">
      <c r="B77" t="str">
        <f t="shared" ref="B77" si="10">IF(ISBLANK(A77),B76,A77)</f>
        <v>Vety</v>
      </c>
      <c r="C77" t="e">
        <f>#REF!</f>
        <v>#REF!</v>
      </c>
      <c r="E77" t="e">
        <f t="shared" ref="E77" si="11">_xlfn.CONCAT(B77,", ",C77)</f>
        <v>#REF!</v>
      </c>
      <c r="I77" s="1" t="s">
        <v>102</v>
      </c>
    </row>
  </sheetData>
  <autoFilter ref="A1:DF76" xr:uid="{05AA8EB7-7135-2949-A08A-22E917F46204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9CDC8-C201-194A-BBA7-EED28A9C4224}">
  <sheetPr>
    <tabColor rgb="FFEBF4F7"/>
  </sheetPr>
  <dimension ref="A4:DF13"/>
  <sheetViews>
    <sheetView workbookViewId="0">
      <selection activeCell="H6" sqref="H6"/>
    </sheetView>
    <sheetView workbookViewId="1">
      <selection activeCell="L27" sqref="L27"/>
    </sheetView>
  </sheetViews>
  <sheetFormatPr defaultColWidth="11.42578125" defaultRowHeight="15"/>
  <sheetData>
    <row r="4" spans="1:110" s="3" customFormat="1">
      <c r="A4" s="3" t="s">
        <v>680</v>
      </c>
      <c r="B4" s="3" t="s">
        <v>78</v>
      </c>
      <c r="C4" s="3" t="s">
        <v>610</v>
      </c>
      <c r="E4" s="3" t="s">
        <v>682</v>
      </c>
      <c r="F4" s="3" t="s">
        <v>226</v>
      </c>
      <c r="G4" s="3" t="s">
        <v>683</v>
      </c>
      <c r="H4" s="3" t="s">
        <v>684</v>
      </c>
      <c r="I4" s="3" t="s">
        <v>116</v>
      </c>
      <c r="J4" s="3">
        <v>2020</v>
      </c>
      <c r="K4" s="3">
        <v>2021</v>
      </c>
      <c r="L4" s="3">
        <v>2022</v>
      </c>
      <c r="M4" s="3">
        <v>2023</v>
      </c>
      <c r="N4" s="3">
        <v>2024</v>
      </c>
      <c r="O4" s="3">
        <v>2025</v>
      </c>
      <c r="P4" s="3">
        <v>2026</v>
      </c>
      <c r="Q4" s="3">
        <v>2027</v>
      </c>
      <c r="R4" s="3">
        <v>2028</v>
      </c>
      <c r="S4" s="3">
        <v>2029</v>
      </c>
      <c r="T4" s="3">
        <v>2030</v>
      </c>
      <c r="U4" s="3">
        <v>2031</v>
      </c>
      <c r="V4" s="3">
        <v>2032</v>
      </c>
      <c r="W4" s="3">
        <v>2033</v>
      </c>
      <c r="X4" s="3">
        <v>2034</v>
      </c>
      <c r="Y4" s="3">
        <v>2035</v>
      </c>
      <c r="Z4" s="3">
        <v>2036</v>
      </c>
      <c r="AA4" s="3">
        <v>2037</v>
      </c>
      <c r="AB4" s="3">
        <v>2038</v>
      </c>
      <c r="AC4" s="3">
        <v>2039</v>
      </c>
      <c r="AD4" s="3">
        <v>2040</v>
      </c>
      <c r="AE4" s="3">
        <v>2041</v>
      </c>
      <c r="AF4" s="3">
        <v>2042</v>
      </c>
      <c r="AG4" s="3">
        <v>2043</v>
      </c>
      <c r="AH4" s="3">
        <v>2044</v>
      </c>
      <c r="AI4" s="3">
        <v>2045</v>
      </c>
      <c r="AJ4" s="3">
        <v>2046</v>
      </c>
      <c r="AK4" s="3">
        <v>2047</v>
      </c>
      <c r="AL4" s="3">
        <v>2048</v>
      </c>
      <c r="AM4" s="3">
        <v>2049</v>
      </c>
      <c r="AN4" s="3">
        <v>2050</v>
      </c>
      <c r="AO4" s="3">
        <v>2051</v>
      </c>
      <c r="AP4" s="3">
        <v>2052</v>
      </c>
      <c r="AQ4" s="3">
        <v>2053</v>
      </c>
      <c r="AR4" s="3">
        <v>2054</v>
      </c>
      <c r="AS4" s="3">
        <v>2055</v>
      </c>
      <c r="AT4" s="3">
        <v>2056</v>
      </c>
      <c r="AU4" s="3">
        <v>2057</v>
      </c>
      <c r="AV4" s="3">
        <v>2058</v>
      </c>
      <c r="AW4" s="3">
        <v>2059</v>
      </c>
      <c r="AX4" s="3">
        <v>2060</v>
      </c>
      <c r="AY4" s="3">
        <v>2061</v>
      </c>
      <c r="AZ4" s="3">
        <v>2062</v>
      </c>
      <c r="BA4" s="3">
        <v>2063</v>
      </c>
      <c r="BB4" s="3">
        <v>2064</v>
      </c>
      <c r="BC4" s="3">
        <v>2065</v>
      </c>
      <c r="BD4" s="3">
        <v>2066</v>
      </c>
      <c r="BE4" s="3">
        <v>2067</v>
      </c>
      <c r="BF4" s="3">
        <v>2068</v>
      </c>
      <c r="BG4" s="3">
        <v>2069</v>
      </c>
      <c r="BH4" s="3">
        <v>2070</v>
      </c>
      <c r="BI4" s="3">
        <v>2071</v>
      </c>
      <c r="BJ4" s="3">
        <v>2072</v>
      </c>
      <c r="BK4" s="3">
        <v>2073</v>
      </c>
      <c r="BL4" s="3">
        <v>2074</v>
      </c>
      <c r="BM4" s="3">
        <v>2075</v>
      </c>
      <c r="BN4" s="3">
        <v>2076</v>
      </c>
      <c r="BO4" s="3">
        <v>2077</v>
      </c>
      <c r="BP4" s="3">
        <v>2078</v>
      </c>
      <c r="BQ4" s="3">
        <v>2079</v>
      </c>
      <c r="BR4" s="3">
        <v>2080</v>
      </c>
      <c r="BS4" s="3">
        <v>2081</v>
      </c>
      <c r="BT4" s="3">
        <v>2082</v>
      </c>
      <c r="BU4" s="3">
        <v>2083</v>
      </c>
      <c r="BV4" s="3">
        <v>2084</v>
      </c>
      <c r="BW4" s="3">
        <v>2085</v>
      </c>
      <c r="BX4" s="3">
        <v>2086</v>
      </c>
      <c r="BY4" s="3">
        <v>2087</v>
      </c>
      <c r="BZ4" s="3">
        <v>2088</v>
      </c>
      <c r="CA4" s="3">
        <v>2089</v>
      </c>
      <c r="CB4" s="3">
        <v>2090</v>
      </c>
      <c r="CC4" s="3">
        <v>2091</v>
      </c>
      <c r="CD4" s="3">
        <v>2092</v>
      </c>
      <c r="CE4" s="3">
        <v>2093</v>
      </c>
      <c r="CF4" s="3">
        <v>2094</v>
      </c>
      <c r="CG4" s="3">
        <v>2095</v>
      </c>
      <c r="CH4" s="3">
        <v>2096</v>
      </c>
      <c r="CI4" s="3">
        <v>2097</v>
      </c>
      <c r="CJ4" s="3">
        <v>2098</v>
      </c>
      <c r="CK4" s="3">
        <v>2099</v>
      </c>
      <c r="CL4" s="3">
        <v>2100</v>
      </c>
      <c r="CM4" s="3">
        <v>2101</v>
      </c>
      <c r="CN4" s="3">
        <v>2102</v>
      </c>
      <c r="CO4" s="3">
        <v>2103</v>
      </c>
      <c r="CP4" s="3">
        <v>2104</v>
      </c>
      <c r="CQ4" s="3">
        <v>2105</v>
      </c>
      <c r="CR4" s="3">
        <v>2106</v>
      </c>
      <c r="CS4" s="3">
        <v>2107</v>
      </c>
      <c r="CT4" s="3">
        <v>2108</v>
      </c>
      <c r="CU4" s="3">
        <v>2109</v>
      </c>
      <c r="CV4" s="3">
        <v>2110</v>
      </c>
      <c r="CW4" s="3">
        <v>2111</v>
      </c>
      <c r="CX4" s="3">
        <v>2112</v>
      </c>
      <c r="CY4" s="3">
        <v>2113</v>
      </c>
      <c r="CZ4" s="3">
        <v>2114</v>
      </c>
      <c r="DA4" s="3">
        <v>2115</v>
      </c>
      <c r="DB4" s="3">
        <v>2116</v>
      </c>
      <c r="DC4" s="3">
        <v>2117</v>
      </c>
      <c r="DD4" s="3">
        <v>2118</v>
      </c>
      <c r="DE4" s="3">
        <v>2119</v>
      </c>
      <c r="DF4" s="3">
        <v>2120</v>
      </c>
    </row>
    <row r="5" spans="1:110">
      <c r="E5" t="s">
        <v>642</v>
      </c>
      <c r="F5" t="s">
        <v>688</v>
      </c>
      <c r="H5" t="s">
        <v>715</v>
      </c>
      <c r="I5" t="s">
        <v>731</v>
      </c>
      <c r="J5">
        <v>36.396799999999999</v>
      </c>
      <c r="K5">
        <v>36.396799999999999</v>
      </c>
      <c r="L5" s="46">
        <v>38.671599999999998</v>
      </c>
      <c r="M5" s="46">
        <v>40.946399999999997</v>
      </c>
      <c r="N5" s="46">
        <v>43.221200000000003</v>
      </c>
      <c r="O5">
        <v>45.495999999999995</v>
      </c>
      <c r="P5" s="46">
        <v>54.595199999999998</v>
      </c>
      <c r="Q5" s="46">
        <v>63.694399999999987</v>
      </c>
      <c r="R5" s="46">
        <v>72.793599999999998</v>
      </c>
      <c r="S5" s="46">
        <v>81.892799999999994</v>
      </c>
      <c r="T5">
        <v>90.99199999999999</v>
      </c>
      <c r="U5" s="46">
        <v>100.09119999999999</v>
      </c>
      <c r="V5" s="46">
        <v>109.19039999999998</v>
      </c>
      <c r="W5" s="46">
        <v>118.28959999999996</v>
      </c>
      <c r="X5" s="46">
        <v>127.38879999999997</v>
      </c>
      <c r="Y5">
        <v>136.48799999999997</v>
      </c>
      <c r="Z5" s="46">
        <v>143.31239999999997</v>
      </c>
      <c r="AA5" s="46">
        <v>150.13679999999997</v>
      </c>
      <c r="AB5" s="46">
        <v>156.96119999999996</v>
      </c>
      <c r="AC5" s="46">
        <v>163.78559999999996</v>
      </c>
      <c r="AD5">
        <v>170.60999999999999</v>
      </c>
      <c r="AE5">
        <v>170.60999999999999</v>
      </c>
      <c r="AF5">
        <v>170.60999999999999</v>
      </c>
      <c r="AG5">
        <v>170.60999999999999</v>
      </c>
      <c r="AH5">
        <v>170.60999999999999</v>
      </c>
      <c r="AI5">
        <v>170.60999999999999</v>
      </c>
      <c r="AJ5">
        <v>170.60999999999999</v>
      </c>
      <c r="AK5">
        <v>170.60999999999999</v>
      </c>
      <c r="AL5">
        <v>170.60999999999999</v>
      </c>
      <c r="AM5">
        <v>170.60999999999999</v>
      </c>
      <c r="AN5">
        <v>170.60999999999999</v>
      </c>
      <c r="AO5">
        <v>170.60999999999999</v>
      </c>
      <c r="AP5">
        <v>170.60999999999999</v>
      </c>
      <c r="AQ5">
        <v>170.60999999999999</v>
      </c>
      <c r="AR5">
        <v>170.60999999999999</v>
      </c>
      <c r="AS5">
        <v>170.60999999999999</v>
      </c>
      <c r="AT5">
        <v>170.60999999999999</v>
      </c>
      <c r="AU5">
        <v>170.60999999999999</v>
      </c>
      <c r="AV5">
        <v>170.60999999999999</v>
      </c>
      <c r="AW5">
        <v>170.60999999999999</v>
      </c>
      <c r="AX5">
        <v>170.60999999999999</v>
      </c>
      <c r="AY5">
        <v>170.60999999999999</v>
      </c>
      <c r="AZ5">
        <v>170.60999999999999</v>
      </c>
      <c r="BA5">
        <v>170.60999999999999</v>
      </c>
      <c r="BB5">
        <v>170.60999999999999</v>
      </c>
      <c r="BC5">
        <v>170.60999999999999</v>
      </c>
      <c r="BD5">
        <v>170.60999999999999</v>
      </c>
      <c r="BE5">
        <v>170.60999999999999</v>
      </c>
      <c r="BF5">
        <v>170.60999999999999</v>
      </c>
      <c r="BG5">
        <v>170.60999999999999</v>
      </c>
      <c r="BH5">
        <v>170.60999999999999</v>
      </c>
      <c r="BI5">
        <v>170.60999999999999</v>
      </c>
      <c r="BJ5">
        <v>170.60999999999999</v>
      </c>
      <c r="BK5">
        <v>170.60999999999999</v>
      </c>
      <c r="BL5">
        <v>170.60999999999999</v>
      </c>
      <c r="BM5">
        <v>170.60999999999999</v>
      </c>
      <c r="BN5">
        <v>170.60999999999999</v>
      </c>
      <c r="BO5">
        <v>170.60999999999999</v>
      </c>
      <c r="BP5">
        <v>170.60999999999999</v>
      </c>
      <c r="BQ5">
        <v>170.60999999999999</v>
      </c>
      <c r="BR5">
        <v>170.60999999999999</v>
      </c>
      <c r="BS5">
        <v>170.60999999999999</v>
      </c>
      <c r="BT5">
        <v>170.60999999999999</v>
      </c>
      <c r="BU5">
        <v>170.60999999999999</v>
      </c>
      <c r="BV5">
        <v>170.60999999999999</v>
      </c>
      <c r="BW5">
        <v>170.60999999999999</v>
      </c>
      <c r="BX5">
        <v>170.60999999999999</v>
      </c>
      <c r="BY5">
        <v>170.60999999999999</v>
      </c>
      <c r="BZ5">
        <v>170.60999999999999</v>
      </c>
      <c r="CA5">
        <v>170.60999999999999</v>
      </c>
      <c r="CB5">
        <v>170.60999999999999</v>
      </c>
      <c r="CC5">
        <v>170.60999999999999</v>
      </c>
      <c r="CD5">
        <v>170.60999999999999</v>
      </c>
      <c r="CE5">
        <v>170.60999999999999</v>
      </c>
      <c r="CF5">
        <v>170.60999999999999</v>
      </c>
      <c r="CG5">
        <v>170.60999999999999</v>
      </c>
      <c r="CH5">
        <v>170.60999999999999</v>
      </c>
      <c r="CI5">
        <v>170.60999999999999</v>
      </c>
      <c r="CJ5">
        <v>170.60999999999999</v>
      </c>
      <c r="CK5">
        <v>170.60999999999999</v>
      </c>
      <c r="CL5">
        <v>170.60999999999999</v>
      </c>
      <c r="CM5">
        <v>170.60999999999999</v>
      </c>
      <c r="CN5">
        <v>170.60999999999999</v>
      </c>
      <c r="CO5">
        <v>170.60999999999999</v>
      </c>
      <c r="CP5">
        <v>170.60999999999999</v>
      </c>
      <c r="CQ5">
        <v>170.60999999999999</v>
      </c>
      <c r="CR5">
        <v>170.60999999999999</v>
      </c>
      <c r="CS5">
        <v>170.60999999999999</v>
      </c>
      <c r="CT5">
        <v>170.60999999999999</v>
      </c>
      <c r="CU5">
        <v>170.60999999999999</v>
      </c>
      <c r="CV5">
        <v>170.60999999999999</v>
      </c>
      <c r="CW5">
        <v>170.60999999999999</v>
      </c>
      <c r="CX5">
        <v>170.60999999999999</v>
      </c>
      <c r="CY5">
        <v>170.60999999999999</v>
      </c>
      <c r="CZ5">
        <v>170.60999999999999</v>
      </c>
      <c r="DA5">
        <v>170.60999999999999</v>
      </c>
      <c r="DB5">
        <v>170.60999999999999</v>
      </c>
      <c r="DC5">
        <v>170.60999999999999</v>
      </c>
      <c r="DD5">
        <v>170.60999999999999</v>
      </c>
      <c r="DE5">
        <v>170.60999999999999</v>
      </c>
      <c r="DF5">
        <v>170.60999999999999</v>
      </c>
    </row>
    <row r="6" spans="1:110">
      <c r="E6" t="s">
        <v>732</v>
      </c>
      <c r="I6" t="s">
        <v>731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</row>
    <row r="7" spans="1:110">
      <c r="E7" t="s">
        <v>643</v>
      </c>
      <c r="F7" t="s">
        <v>688</v>
      </c>
      <c r="I7" t="s">
        <v>731</v>
      </c>
      <c r="J7">
        <v>0</v>
      </c>
      <c r="K7">
        <v>40.946399999999997</v>
      </c>
      <c r="L7" s="46">
        <v>49.192549999999997</v>
      </c>
      <c r="M7" s="46">
        <v>57.438699999999997</v>
      </c>
      <c r="N7" s="46">
        <v>65.684849999999997</v>
      </c>
      <c r="O7">
        <v>73.930999999999997</v>
      </c>
      <c r="P7" s="46">
        <v>86.442400000000006</v>
      </c>
      <c r="Q7" s="46">
        <v>98.953800000000001</v>
      </c>
      <c r="R7" s="46">
        <v>111.46520000000001</v>
      </c>
      <c r="S7" s="46">
        <v>123.9766</v>
      </c>
      <c r="T7">
        <v>136.48799999999997</v>
      </c>
      <c r="U7" s="46">
        <v>150.13679999999999</v>
      </c>
      <c r="V7" s="46">
        <v>163.78559999999999</v>
      </c>
      <c r="W7" s="46">
        <v>177.43440000000001</v>
      </c>
      <c r="X7" s="46">
        <v>191.08320000000001</v>
      </c>
      <c r="Y7">
        <v>204.732</v>
      </c>
      <c r="Z7" s="46">
        <v>232.02959999999999</v>
      </c>
      <c r="AA7" s="46">
        <v>259.3272</v>
      </c>
      <c r="AB7" s="46">
        <v>286.62479999999999</v>
      </c>
      <c r="AC7" s="46">
        <v>313.92240000000004</v>
      </c>
      <c r="AD7">
        <v>341.21999999999997</v>
      </c>
      <c r="AE7">
        <v>341.21999999999997</v>
      </c>
      <c r="AF7">
        <v>341.21999999999997</v>
      </c>
      <c r="AG7">
        <v>341.21999999999997</v>
      </c>
      <c r="AH7">
        <v>341.21999999999997</v>
      </c>
      <c r="AI7">
        <v>341.21999999999997</v>
      </c>
      <c r="AJ7">
        <v>341.21999999999997</v>
      </c>
      <c r="AK7">
        <v>341.21999999999997</v>
      </c>
      <c r="AL7">
        <v>341.21999999999997</v>
      </c>
      <c r="AM7">
        <v>341.21999999999997</v>
      </c>
      <c r="AN7">
        <v>341.21999999999997</v>
      </c>
      <c r="AO7">
        <v>341.21999999999997</v>
      </c>
      <c r="AP7">
        <v>341.21999999999997</v>
      </c>
      <c r="AQ7">
        <v>341.21999999999997</v>
      </c>
      <c r="AR7">
        <v>341.21999999999997</v>
      </c>
      <c r="AS7">
        <v>341.21999999999997</v>
      </c>
      <c r="AT7">
        <v>341.21999999999997</v>
      </c>
      <c r="AU7">
        <v>341.21999999999997</v>
      </c>
      <c r="AV7">
        <v>341.21999999999997</v>
      </c>
      <c r="AW7">
        <v>341.21999999999997</v>
      </c>
      <c r="AX7">
        <v>341.21999999999997</v>
      </c>
      <c r="AY7">
        <v>341.21999999999997</v>
      </c>
      <c r="AZ7">
        <v>341.21999999999997</v>
      </c>
      <c r="BA7">
        <v>341.21999999999997</v>
      </c>
      <c r="BB7">
        <v>341.21999999999997</v>
      </c>
      <c r="BC7">
        <v>341.21999999999997</v>
      </c>
      <c r="BD7">
        <v>341.21999999999997</v>
      </c>
      <c r="BE7">
        <v>341.21999999999997</v>
      </c>
      <c r="BF7">
        <v>341.21999999999997</v>
      </c>
      <c r="BG7">
        <v>341.21999999999997</v>
      </c>
      <c r="BH7">
        <v>341.21999999999997</v>
      </c>
      <c r="BI7">
        <v>341.21999999999997</v>
      </c>
      <c r="BJ7">
        <v>341.21999999999997</v>
      </c>
      <c r="BK7">
        <v>341.21999999999997</v>
      </c>
      <c r="BL7">
        <v>341.21999999999997</v>
      </c>
      <c r="BM7">
        <v>341.21999999999997</v>
      </c>
      <c r="BN7">
        <v>341.21999999999997</v>
      </c>
      <c r="BO7">
        <v>341.21999999999997</v>
      </c>
      <c r="BP7">
        <v>341.21999999999997</v>
      </c>
      <c r="BQ7">
        <v>341.21999999999997</v>
      </c>
      <c r="BR7">
        <v>341.21999999999997</v>
      </c>
      <c r="BS7">
        <v>341.21999999999997</v>
      </c>
      <c r="BT7">
        <v>341.21999999999997</v>
      </c>
      <c r="BU7">
        <v>341.21999999999997</v>
      </c>
      <c r="BV7">
        <v>341.21999999999997</v>
      </c>
      <c r="BW7">
        <v>341.21999999999997</v>
      </c>
      <c r="BX7">
        <v>341.21999999999997</v>
      </c>
      <c r="BY7">
        <v>341.21999999999997</v>
      </c>
      <c r="BZ7">
        <v>341.21999999999997</v>
      </c>
      <c r="CA7">
        <v>341.21999999999997</v>
      </c>
      <c r="CB7">
        <v>341.21999999999997</v>
      </c>
      <c r="CC7">
        <v>341.21999999999997</v>
      </c>
      <c r="CD7">
        <v>341.21999999999997</v>
      </c>
      <c r="CE7">
        <v>341.21999999999997</v>
      </c>
      <c r="CF7">
        <v>341.21999999999997</v>
      </c>
      <c r="CG7">
        <v>341.21999999999997</v>
      </c>
      <c r="CH7">
        <v>341.21999999999997</v>
      </c>
      <c r="CI7">
        <v>341.21999999999997</v>
      </c>
      <c r="CJ7">
        <v>341.21999999999997</v>
      </c>
      <c r="CK7">
        <v>341.21999999999997</v>
      </c>
      <c r="CL7">
        <v>341.21999999999997</v>
      </c>
      <c r="CM7">
        <v>341.21999999999997</v>
      </c>
      <c r="CN7">
        <v>341.21999999999997</v>
      </c>
      <c r="CO7">
        <v>341.21999999999997</v>
      </c>
      <c r="CP7">
        <v>341.21999999999997</v>
      </c>
      <c r="CQ7">
        <v>341.21999999999997</v>
      </c>
      <c r="CR7">
        <v>341.21999999999997</v>
      </c>
      <c r="CS7">
        <v>341.21999999999997</v>
      </c>
      <c r="CT7">
        <v>341.21999999999997</v>
      </c>
      <c r="CU7">
        <v>341.21999999999997</v>
      </c>
      <c r="CV7">
        <v>341.21999999999997</v>
      </c>
      <c r="CW7">
        <v>341.21999999999997</v>
      </c>
      <c r="CX7">
        <v>341.21999999999997</v>
      </c>
      <c r="CY7">
        <v>341.21999999999997</v>
      </c>
      <c r="CZ7">
        <v>341.21999999999997</v>
      </c>
      <c r="DA7">
        <v>341.21999999999997</v>
      </c>
      <c r="DB7">
        <v>341.21999999999997</v>
      </c>
      <c r="DC7">
        <v>341.21999999999997</v>
      </c>
      <c r="DD7">
        <v>341.21999999999997</v>
      </c>
      <c r="DE7">
        <v>341.21999999999997</v>
      </c>
      <c r="DF7">
        <v>341.21999999999997</v>
      </c>
    </row>
    <row r="8" spans="1:110">
      <c r="E8" t="s">
        <v>733</v>
      </c>
      <c r="I8" t="s">
        <v>731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</row>
    <row r="9" spans="1:110">
      <c r="E9" t="s">
        <v>734</v>
      </c>
      <c r="I9" t="s">
        <v>731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</row>
    <row r="10" spans="1:110">
      <c r="E10" t="s">
        <v>735</v>
      </c>
      <c r="I10" t="s">
        <v>731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</row>
    <row r="11" spans="1:110">
      <c r="E11" t="s">
        <v>85</v>
      </c>
      <c r="F11" s="2" t="s">
        <v>712</v>
      </c>
      <c r="G11">
        <v>2020</v>
      </c>
      <c r="H11" t="s">
        <v>713</v>
      </c>
      <c r="I11" t="s">
        <v>731</v>
      </c>
      <c r="J11" s="43">
        <v>29.799879999999998</v>
      </c>
      <c r="K11" s="43">
        <v>30.527815999999998</v>
      </c>
      <c r="L11" s="43">
        <v>31.255751999999998</v>
      </c>
      <c r="M11" s="43">
        <v>31.983687999999997</v>
      </c>
      <c r="N11" s="43">
        <v>32.711623999999993</v>
      </c>
      <c r="O11" s="43">
        <v>33.439559999999993</v>
      </c>
      <c r="P11" s="43">
        <v>33.917268</v>
      </c>
      <c r="Q11" s="43">
        <v>34.394976</v>
      </c>
      <c r="R11" s="43">
        <v>34.872684</v>
      </c>
      <c r="S11" s="43">
        <v>35.350392000000006</v>
      </c>
      <c r="T11" s="43">
        <v>35.828099999999999</v>
      </c>
      <c r="U11" s="43">
        <v>38.216639999999998</v>
      </c>
      <c r="V11" s="43">
        <v>40.605179999999997</v>
      </c>
      <c r="W11" s="43">
        <v>42.993720000000003</v>
      </c>
      <c r="X11" s="43">
        <v>45.382260000000002</v>
      </c>
      <c r="Y11" s="43">
        <v>47.770799999999994</v>
      </c>
      <c r="Z11" s="43">
        <v>50.864527999999993</v>
      </c>
      <c r="AA11" s="43">
        <v>53.958255999999992</v>
      </c>
      <c r="AB11" s="43">
        <v>57.05198399999999</v>
      </c>
      <c r="AC11" s="43">
        <v>60.145711999999989</v>
      </c>
      <c r="AD11" s="43">
        <v>63.239439999999995</v>
      </c>
      <c r="AE11" s="43">
        <v>63.239439999999995</v>
      </c>
      <c r="AF11" s="43">
        <v>63.239439999999995</v>
      </c>
      <c r="AG11" s="43">
        <v>63.239439999999995</v>
      </c>
      <c r="AH11" s="43">
        <v>63.239439999999995</v>
      </c>
      <c r="AI11" s="43">
        <v>63.239439999999995</v>
      </c>
      <c r="AJ11" s="43">
        <v>63.239439999999995</v>
      </c>
      <c r="AK11" s="43">
        <v>63.239439999999995</v>
      </c>
      <c r="AL11" s="43">
        <v>63.239439999999995</v>
      </c>
      <c r="AM11" s="43">
        <v>63.239439999999995</v>
      </c>
      <c r="AN11" s="43">
        <v>63.239439999999995</v>
      </c>
      <c r="AO11" s="43">
        <v>63.239439999999995</v>
      </c>
      <c r="AP11" s="43">
        <v>63.239439999999995</v>
      </c>
      <c r="AQ11" s="43">
        <v>63.239439999999995</v>
      </c>
      <c r="AR11" s="43">
        <v>63.239439999999995</v>
      </c>
      <c r="AS11" s="43">
        <v>63.239439999999995</v>
      </c>
      <c r="AT11" s="43">
        <v>63.239439999999995</v>
      </c>
      <c r="AU11" s="43">
        <v>63.239439999999995</v>
      </c>
      <c r="AV11" s="43">
        <v>63.239439999999995</v>
      </c>
      <c r="AW11" s="43">
        <v>63.239439999999995</v>
      </c>
      <c r="AX11" s="43">
        <v>63.239439999999995</v>
      </c>
      <c r="AY11" s="43">
        <v>63.239439999999995</v>
      </c>
      <c r="AZ11" s="43">
        <v>63.239439999999995</v>
      </c>
      <c r="BA11" s="43">
        <v>63.239439999999995</v>
      </c>
      <c r="BB11" s="43">
        <v>63.239439999999995</v>
      </c>
      <c r="BC11" s="43">
        <v>63.239439999999995</v>
      </c>
      <c r="BD11" s="43">
        <v>63.239439999999995</v>
      </c>
      <c r="BE11" s="43">
        <v>63.239439999999995</v>
      </c>
      <c r="BF11" s="43">
        <v>63.239439999999995</v>
      </c>
      <c r="BG11" s="43">
        <v>63.239439999999995</v>
      </c>
      <c r="BH11" s="43">
        <v>63.239439999999995</v>
      </c>
      <c r="BI11" s="43">
        <v>63.239439999999995</v>
      </c>
      <c r="BJ11" s="43">
        <v>63.239439999999995</v>
      </c>
      <c r="BK11" s="43">
        <v>63.239439999999995</v>
      </c>
      <c r="BL11" s="43">
        <v>63.239439999999995</v>
      </c>
      <c r="BM11" s="43">
        <v>63.239439999999995</v>
      </c>
      <c r="BN11" s="43">
        <v>63.239439999999995</v>
      </c>
      <c r="BO11" s="43">
        <v>63.239439999999995</v>
      </c>
      <c r="BP11" s="43">
        <v>63.239439999999995</v>
      </c>
      <c r="BQ11" s="43">
        <v>63.239439999999995</v>
      </c>
      <c r="BR11" s="43">
        <v>63.239439999999995</v>
      </c>
      <c r="BS11" s="43">
        <v>63.239439999999995</v>
      </c>
      <c r="BT11" s="43">
        <v>63.239439999999995</v>
      </c>
      <c r="BU11" s="43">
        <v>63.239439999999995</v>
      </c>
      <c r="BV11" s="43">
        <v>63.239439999999995</v>
      </c>
      <c r="BW11" s="43">
        <v>63.239439999999995</v>
      </c>
      <c r="BX11" s="43">
        <v>63.239439999999995</v>
      </c>
      <c r="BY11" s="43">
        <v>63.239439999999995</v>
      </c>
      <c r="BZ11" s="43">
        <v>63.239439999999995</v>
      </c>
      <c r="CA11" s="43">
        <v>63.239439999999995</v>
      </c>
      <c r="CB11" s="43">
        <v>63.239439999999995</v>
      </c>
      <c r="CC11" s="43">
        <v>63.239439999999995</v>
      </c>
      <c r="CD11" s="43">
        <v>63.239439999999995</v>
      </c>
      <c r="CE11" s="43">
        <v>63.239439999999995</v>
      </c>
      <c r="CF11" s="43">
        <v>63.239439999999995</v>
      </c>
      <c r="CG11" s="43">
        <v>63.239439999999995</v>
      </c>
      <c r="CH11" s="43">
        <v>63.239439999999995</v>
      </c>
      <c r="CI11" s="43">
        <v>63.239439999999995</v>
      </c>
      <c r="CJ11" s="43">
        <v>63.239439999999995</v>
      </c>
      <c r="CK11" s="43">
        <v>63.239439999999995</v>
      </c>
      <c r="CL11" s="43">
        <v>63.239439999999995</v>
      </c>
      <c r="CM11" s="43">
        <v>63.239439999999995</v>
      </c>
      <c r="CN11" s="43">
        <v>63.239439999999995</v>
      </c>
      <c r="CO11" s="43">
        <v>63.239439999999995</v>
      </c>
      <c r="CP11" s="43">
        <v>63.239439999999995</v>
      </c>
      <c r="CQ11" s="43">
        <v>63.239439999999995</v>
      </c>
      <c r="CR11" s="43">
        <v>63.239439999999995</v>
      </c>
      <c r="CS11" s="43">
        <v>63.239439999999995</v>
      </c>
      <c r="CT11" s="43">
        <v>63.239439999999995</v>
      </c>
      <c r="CU11" s="43">
        <v>63.239439999999995</v>
      </c>
      <c r="CV11" s="43">
        <v>63.239439999999995</v>
      </c>
      <c r="CW11" s="43">
        <v>63.239439999999995</v>
      </c>
      <c r="CX11" s="43">
        <v>63.239439999999995</v>
      </c>
      <c r="CY11" s="43">
        <v>63.239439999999995</v>
      </c>
      <c r="CZ11" s="43">
        <v>63.239439999999995</v>
      </c>
      <c r="DA11" s="43">
        <v>63.239439999999995</v>
      </c>
      <c r="DB11" s="43">
        <v>63.239439999999995</v>
      </c>
      <c r="DC11" s="43">
        <v>63.239439999999995</v>
      </c>
      <c r="DD11" s="43">
        <v>63.239439999999995</v>
      </c>
      <c r="DE11" s="43">
        <v>63.239439999999995</v>
      </c>
      <c r="DF11" s="43">
        <v>63.239439999999995</v>
      </c>
    </row>
    <row r="12" spans="1:110">
      <c r="E12" t="s">
        <v>736</v>
      </c>
      <c r="F12" t="s">
        <v>737</v>
      </c>
      <c r="G12">
        <v>2021</v>
      </c>
      <c r="H12" t="s">
        <v>738</v>
      </c>
      <c r="I12" t="s">
        <v>731</v>
      </c>
      <c r="J12">
        <v>45.495999999999995</v>
      </c>
      <c r="K12">
        <v>63.694399999999987</v>
      </c>
      <c r="L12">
        <v>81.892799999999994</v>
      </c>
      <c r="M12">
        <v>100.09119999999999</v>
      </c>
      <c r="N12">
        <v>118.28959999999999</v>
      </c>
      <c r="O12">
        <v>136.48799999999997</v>
      </c>
      <c r="P12">
        <v>145.5872</v>
      </c>
      <c r="Q12">
        <v>154.68639999999999</v>
      </c>
      <c r="R12">
        <v>163.78559999999999</v>
      </c>
      <c r="S12">
        <v>172.88479999999998</v>
      </c>
      <c r="T12">
        <v>181.98399999999998</v>
      </c>
      <c r="U12">
        <v>198.36256</v>
      </c>
      <c r="V12">
        <v>214.74112</v>
      </c>
      <c r="W12">
        <v>231.11967999999999</v>
      </c>
      <c r="X12">
        <v>247.49823999999998</v>
      </c>
      <c r="Y12">
        <v>263.87679999999995</v>
      </c>
      <c r="Z12">
        <v>283.89503999999994</v>
      </c>
      <c r="AA12">
        <v>303.91327999999993</v>
      </c>
      <c r="AB12">
        <v>323.93151999999998</v>
      </c>
      <c r="AC12">
        <v>343.94976000000003</v>
      </c>
      <c r="AD12">
        <v>363.96799999999996</v>
      </c>
      <c r="AE12">
        <v>373.06719999999996</v>
      </c>
      <c r="AF12">
        <v>382.16639999999995</v>
      </c>
      <c r="AG12">
        <v>391.26560000000001</v>
      </c>
      <c r="AH12">
        <v>400.36479999999995</v>
      </c>
      <c r="AI12">
        <v>409.46399999999994</v>
      </c>
      <c r="AJ12">
        <v>429.93719999999996</v>
      </c>
      <c r="AK12">
        <v>450.41039999999992</v>
      </c>
      <c r="AL12">
        <v>470.88359999999994</v>
      </c>
      <c r="AM12">
        <v>491.35680000000002</v>
      </c>
      <c r="AN12">
        <v>511.83</v>
      </c>
      <c r="AO12">
        <v>511.83</v>
      </c>
      <c r="AP12">
        <v>511.83</v>
      </c>
      <c r="AQ12">
        <v>511.83</v>
      </c>
      <c r="AR12">
        <v>511.83</v>
      </c>
      <c r="AS12">
        <v>511.83</v>
      </c>
      <c r="AT12">
        <v>511.83</v>
      </c>
      <c r="AU12">
        <v>511.83</v>
      </c>
      <c r="AV12">
        <v>511.83</v>
      </c>
      <c r="AW12">
        <v>511.83</v>
      </c>
      <c r="AX12">
        <v>511.83</v>
      </c>
      <c r="AY12">
        <v>511.83</v>
      </c>
      <c r="AZ12">
        <v>511.83</v>
      </c>
      <c r="BA12">
        <v>511.83</v>
      </c>
      <c r="BB12">
        <v>511.83</v>
      </c>
      <c r="BC12">
        <v>511.83</v>
      </c>
      <c r="BD12">
        <v>511.83</v>
      </c>
      <c r="BE12">
        <v>511.83</v>
      </c>
      <c r="BF12">
        <v>511.83</v>
      </c>
      <c r="BG12">
        <v>511.83</v>
      </c>
      <c r="BH12">
        <v>511.83</v>
      </c>
      <c r="BI12">
        <v>511.83</v>
      </c>
      <c r="BJ12">
        <v>511.83</v>
      </c>
      <c r="BK12">
        <v>511.83</v>
      </c>
      <c r="BL12">
        <v>511.83</v>
      </c>
      <c r="BM12">
        <v>511.83</v>
      </c>
      <c r="BN12">
        <v>511.83</v>
      </c>
      <c r="BO12">
        <v>511.83</v>
      </c>
      <c r="BP12">
        <v>511.83</v>
      </c>
      <c r="BQ12">
        <v>511.83</v>
      </c>
      <c r="BR12">
        <v>511.83</v>
      </c>
      <c r="BS12">
        <v>511.83</v>
      </c>
      <c r="BT12">
        <v>511.83</v>
      </c>
      <c r="BU12">
        <v>511.83</v>
      </c>
      <c r="BV12">
        <v>511.83</v>
      </c>
      <c r="BW12">
        <v>511.83</v>
      </c>
      <c r="BX12">
        <v>511.83</v>
      </c>
      <c r="BY12">
        <v>511.83</v>
      </c>
      <c r="BZ12">
        <v>511.83</v>
      </c>
      <c r="CA12">
        <v>511.83</v>
      </c>
      <c r="CB12">
        <v>511.83</v>
      </c>
      <c r="CC12">
        <v>511.83</v>
      </c>
      <c r="CD12">
        <v>511.83</v>
      </c>
      <c r="CE12">
        <v>511.83</v>
      </c>
      <c r="CF12">
        <v>511.83</v>
      </c>
      <c r="CG12">
        <v>511.83</v>
      </c>
      <c r="CH12">
        <v>511.83</v>
      </c>
      <c r="CI12">
        <v>511.83</v>
      </c>
      <c r="CJ12">
        <v>511.83</v>
      </c>
      <c r="CK12">
        <v>511.83</v>
      </c>
      <c r="CL12">
        <v>511.83</v>
      </c>
      <c r="CM12">
        <v>511.83</v>
      </c>
      <c r="CN12">
        <v>511.83</v>
      </c>
      <c r="CO12">
        <v>511.83</v>
      </c>
      <c r="CP12">
        <v>511.83</v>
      </c>
      <c r="CQ12">
        <v>511.83</v>
      </c>
      <c r="CR12">
        <v>511.83</v>
      </c>
      <c r="CS12">
        <v>511.83</v>
      </c>
      <c r="CT12">
        <v>511.83</v>
      </c>
      <c r="CU12">
        <v>511.83</v>
      </c>
      <c r="CV12">
        <v>511.83</v>
      </c>
      <c r="CW12">
        <v>511.83</v>
      </c>
      <c r="CX12">
        <v>511.83</v>
      </c>
      <c r="CY12">
        <v>511.83</v>
      </c>
      <c r="CZ12">
        <v>511.83</v>
      </c>
      <c r="DA12">
        <v>511.83</v>
      </c>
      <c r="DB12">
        <v>511.83</v>
      </c>
      <c r="DC12">
        <v>511.83</v>
      </c>
      <c r="DD12">
        <v>511.83</v>
      </c>
      <c r="DE12">
        <v>511.83</v>
      </c>
      <c r="DF12">
        <v>511.83</v>
      </c>
    </row>
    <row r="13" spans="1:110">
      <c r="E13" t="s">
        <v>739</v>
      </c>
      <c r="F13" t="s">
        <v>737</v>
      </c>
      <c r="G13">
        <v>2021</v>
      </c>
      <c r="H13" t="s">
        <v>740</v>
      </c>
      <c r="I13" t="s">
        <v>731</v>
      </c>
      <c r="J13">
        <v>45.495999999999995</v>
      </c>
      <c r="K13">
        <v>65.969199999999987</v>
      </c>
      <c r="L13">
        <v>86.442399999999992</v>
      </c>
      <c r="M13">
        <v>106.91559999999998</v>
      </c>
      <c r="N13">
        <v>127.38879999999997</v>
      </c>
      <c r="O13">
        <v>147.86199999999997</v>
      </c>
      <c r="P13">
        <v>168.56267999999997</v>
      </c>
      <c r="Q13">
        <v>189.26335999999995</v>
      </c>
      <c r="R13">
        <v>209.96403999999995</v>
      </c>
      <c r="S13">
        <v>230.66471999999993</v>
      </c>
      <c r="T13">
        <v>251.36539999999997</v>
      </c>
      <c r="U13">
        <v>261.82947999999993</v>
      </c>
      <c r="V13">
        <v>272.29355999999996</v>
      </c>
      <c r="W13">
        <v>282.75763999999992</v>
      </c>
      <c r="X13">
        <v>293.22171999999989</v>
      </c>
      <c r="Y13">
        <v>303.68579999999997</v>
      </c>
      <c r="Z13">
        <v>299.81864000000002</v>
      </c>
      <c r="AA13">
        <v>295.95148</v>
      </c>
      <c r="AB13">
        <v>292.08432000000005</v>
      </c>
      <c r="AC13">
        <v>288.21716000000009</v>
      </c>
      <c r="AD13">
        <v>284.34999999999997</v>
      </c>
      <c r="AE13">
        <v>322.33915999999999</v>
      </c>
      <c r="AF13">
        <v>360.32831999999991</v>
      </c>
      <c r="AG13">
        <v>398.31747999999988</v>
      </c>
      <c r="AH13">
        <v>436.3066399999999</v>
      </c>
      <c r="AI13">
        <v>474.29579999999999</v>
      </c>
      <c r="AJ13">
        <v>497.04379999999998</v>
      </c>
      <c r="AK13">
        <v>519.79179999999997</v>
      </c>
      <c r="AL13">
        <v>542.5397999999999</v>
      </c>
      <c r="AM13">
        <v>565.28779999999995</v>
      </c>
      <c r="AN13">
        <v>588.03579999999988</v>
      </c>
      <c r="AO13">
        <v>588.03579999999988</v>
      </c>
      <c r="AP13">
        <v>588.03579999999988</v>
      </c>
      <c r="AQ13">
        <v>588.03579999999988</v>
      </c>
      <c r="AR13">
        <v>588.03579999999988</v>
      </c>
      <c r="AS13">
        <v>588.03579999999988</v>
      </c>
      <c r="AT13">
        <v>588.03579999999988</v>
      </c>
      <c r="AU13">
        <v>588.03579999999988</v>
      </c>
      <c r="AV13">
        <v>588.03579999999988</v>
      </c>
      <c r="AW13">
        <v>588.03579999999988</v>
      </c>
      <c r="AX13">
        <v>588.03579999999988</v>
      </c>
      <c r="AY13">
        <v>588.03579999999988</v>
      </c>
      <c r="AZ13">
        <v>588.03579999999988</v>
      </c>
      <c r="BA13">
        <v>588.03579999999988</v>
      </c>
      <c r="BB13">
        <v>588.03579999999988</v>
      </c>
      <c r="BC13">
        <v>588.03579999999988</v>
      </c>
      <c r="BD13">
        <v>588.03579999999988</v>
      </c>
      <c r="BE13">
        <v>588.03579999999988</v>
      </c>
      <c r="BF13">
        <v>588.03579999999988</v>
      </c>
      <c r="BG13">
        <v>588.03579999999988</v>
      </c>
      <c r="BH13">
        <v>588.03579999999988</v>
      </c>
      <c r="BI13">
        <v>588.03579999999988</v>
      </c>
      <c r="BJ13">
        <v>588.03579999999988</v>
      </c>
      <c r="BK13">
        <v>588.03579999999988</v>
      </c>
      <c r="BL13">
        <v>588.03579999999988</v>
      </c>
      <c r="BM13">
        <v>588.03579999999988</v>
      </c>
      <c r="BN13">
        <v>588.03579999999988</v>
      </c>
      <c r="BO13">
        <v>588.03579999999988</v>
      </c>
      <c r="BP13">
        <v>588.03579999999988</v>
      </c>
      <c r="BQ13">
        <v>588.03579999999988</v>
      </c>
      <c r="BR13">
        <v>588.03579999999988</v>
      </c>
      <c r="BS13">
        <v>588.03579999999988</v>
      </c>
      <c r="BT13">
        <v>588.03579999999988</v>
      </c>
      <c r="BU13">
        <v>588.03579999999988</v>
      </c>
      <c r="BV13">
        <v>588.03579999999988</v>
      </c>
      <c r="BW13">
        <v>588.03579999999988</v>
      </c>
      <c r="BX13">
        <v>588.03579999999988</v>
      </c>
      <c r="BY13">
        <v>588.03579999999988</v>
      </c>
      <c r="BZ13">
        <v>588.03579999999988</v>
      </c>
      <c r="CA13">
        <v>588.03579999999988</v>
      </c>
      <c r="CB13">
        <v>588.03579999999988</v>
      </c>
      <c r="CC13">
        <v>588.03579999999988</v>
      </c>
      <c r="CD13">
        <v>588.03579999999988</v>
      </c>
      <c r="CE13">
        <v>588.03579999999988</v>
      </c>
      <c r="CF13">
        <v>588.03579999999988</v>
      </c>
      <c r="CG13">
        <v>588.03579999999988</v>
      </c>
      <c r="CH13">
        <v>588.03579999999988</v>
      </c>
      <c r="CI13">
        <v>588.03579999999988</v>
      </c>
      <c r="CJ13">
        <v>588.03579999999988</v>
      </c>
      <c r="CK13">
        <v>588.03579999999988</v>
      </c>
      <c r="CL13">
        <v>588.03579999999988</v>
      </c>
      <c r="CM13">
        <v>588.03579999999988</v>
      </c>
      <c r="CN13">
        <v>588.03579999999988</v>
      </c>
      <c r="CO13">
        <v>588.03579999999988</v>
      </c>
      <c r="CP13">
        <v>588.03579999999988</v>
      </c>
      <c r="CQ13">
        <v>588.03579999999988</v>
      </c>
      <c r="CR13">
        <v>588.03579999999988</v>
      </c>
      <c r="CS13">
        <v>588.03579999999988</v>
      </c>
      <c r="CT13">
        <v>588.03579999999988</v>
      </c>
      <c r="CU13">
        <v>588.03579999999988</v>
      </c>
      <c r="CV13">
        <v>588.03579999999988</v>
      </c>
      <c r="CW13">
        <v>588.03579999999988</v>
      </c>
      <c r="CX13">
        <v>588.03579999999988</v>
      </c>
      <c r="CY13">
        <v>588.03579999999988</v>
      </c>
      <c r="CZ13">
        <v>588.03579999999988</v>
      </c>
      <c r="DA13">
        <v>588.03579999999988</v>
      </c>
      <c r="DB13">
        <v>588.03579999999988</v>
      </c>
      <c r="DC13">
        <v>588.03579999999988</v>
      </c>
      <c r="DD13">
        <v>588.03579999999988</v>
      </c>
      <c r="DE13">
        <v>588.03579999999988</v>
      </c>
      <c r="DF13">
        <v>588.03579999999988</v>
      </c>
    </row>
  </sheetData>
  <phoneticPr fontId="6" type="noConversion"/>
  <hyperlinks>
    <hyperlink ref="F11" r:id="rId1" display="http://urn.fi/URN:ISBN:978-952-383-029-5" xr:uid="{9EB37A6B-832A-9348-A662-B9F9FAD5D3C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overnment_x0020_Body xmlns="b413c3fd-5a3b-4239-b985-69032e371c04">BEIS</Government_x0020_Body>
    <Date_x0020_Opened xmlns="b413c3fd-5a3b-4239-b985-69032e371c04">2020-09-25T09:10:48+00:00</Date_x0020_Opened>
    <Descriptor xmlns="0063f72e-ace3-48fb-9c1f-5b513408b31f">LOCSEN</Descriptor>
    <m975189f4ba442ecbf67d4147307b177 xmlns="c278e07c-0436-44ae-bf20-0fa31c54bf3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Energy, Economics and Analysis</TermName>
          <TermId xmlns="http://schemas.microsoft.com/office/infopath/2007/PartnerControls">ad665203-77be-4374-9e87-14a4bc867ca8</TermId>
        </TermInfo>
      </Terms>
    </m975189f4ba442ecbf67d4147307b177>
    <Security_x0020_Classification xmlns="0063f72e-ace3-48fb-9c1f-5b513408b31f">OFFICIAL</Security_x0020_Classification>
    <Retention_x0020_Label xmlns="a8f60570-4bd3-4f2b-950b-a996de8ab151">Corp PPP Review</Retention_x0020_Label>
    <Date_x0020_Closed xmlns="b413c3fd-5a3b-4239-b985-69032e371c04" xsi:nil="true"/>
    <TaxCatchAll xmlns="c278e07c-0436-44ae-bf20-0fa31c54bf35">
      <Value>1</Value>
    </TaxCatchAll>
    <_dlc_DocId xmlns="c278e07c-0436-44ae-bf20-0fa31c54bf35">5HFYA24XZEYF-1141082373-294052</_dlc_DocId>
    <_dlc_DocIdUrl xmlns="c278e07c-0436-44ae-bf20-0fa31c54bf35">
      <Url>https://beisgov.sharepoint.com/sites/EnergySecurityAnalysis/_layouts/15/DocIdRedir.aspx?ID=5HFYA24XZEYF-1141082373-294052</Url>
      <Description>5HFYA24XZEYF-1141082373-294052</Description>
    </_dlc_DocIdUrl>
    <LegacyData xmlns="aaacb922-5235-4a66-b188-303b9b46fbd7" xsi:nil="true"/>
    <lcf76f155ced4ddcb4097134ff3c332f xmlns="75e7ae58-aec4-4ab0-ae21-ab94226ea01a">
      <Terms xmlns="http://schemas.microsoft.com/office/infopath/2007/PartnerControls"/>
    </lcf76f155ced4ddcb4097134ff3c332f>
    <SharedWithUsers xmlns="c278e07c-0436-44ae-bf20-0fa31c54bf35">
      <UserInfo>
        <DisplayName>Mohamed, Irfan (Energy &amp; Security - ESNM)</DisplayName>
        <AccountId>129</AccountId>
        <AccountType/>
      </UserInfo>
      <UserInfo>
        <DisplayName>Jarvis, Clara (BEIS)</DisplayName>
        <AccountId>3428</AccountId>
        <AccountType/>
      </UserInfo>
      <UserInfo>
        <DisplayName>Waterhouse, Alec (Energy &amp; Security - ESNM)</DisplayName>
        <AccountId>214</AccountId>
        <AccountType/>
      </UserInfo>
      <UserInfo>
        <DisplayName>Chambers, Theresa (BEIS)</DisplayName>
        <AccountId>24</AccountId>
        <AccountType/>
      </UserInfo>
    </SharedWithUsers>
    <_dlc_DocIdPersistId xmlns="c278e07c-0436-44ae-bf20-0fa31c54bf35" xsi:nil="true"/>
    <Title_ xmlns="75e7ae58-aec4-4ab0-ae21-ab94226ea01a" xsi:nil="true"/>
    <TaxCatchAllLabel xmlns="c278e07c-0436-44ae-bf20-0fa31c54bf3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582DC177B735439E316E7A5776D78C" ma:contentTypeVersion="25" ma:contentTypeDescription="Create a new document." ma:contentTypeScope="" ma:versionID="04a7503c7e20e1ca4d44dea34710be6c">
  <xsd:schema xmlns:xsd="http://www.w3.org/2001/XMLSchema" xmlns:xs="http://www.w3.org/2001/XMLSchema" xmlns:p="http://schemas.microsoft.com/office/2006/metadata/properties" xmlns:ns2="0063f72e-ace3-48fb-9c1f-5b513408b31f" xmlns:ns3="c278e07c-0436-44ae-bf20-0fa31c54bf35" xmlns:ns4="b413c3fd-5a3b-4239-b985-69032e371c04" xmlns:ns5="a8f60570-4bd3-4f2b-950b-a996de8ab151" xmlns:ns6="aaacb922-5235-4a66-b188-303b9b46fbd7" xmlns:ns7="75e7ae58-aec4-4ab0-ae21-ab94226ea01a" targetNamespace="http://schemas.microsoft.com/office/2006/metadata/properties" ma:root="true" ma:fieldsID="982ae99a5293c5b2252f16abca78790a" ns2:_="" ns3:_="" ns4:_="" ns5:_="" ns6:_="" ns7:_="">
    <xsd:import namespace="0063f72e-ace3-48fb-9c1f-5b513408b31f"/>
    <xsd:import namespace="c278e07c-0436-44ae-bf20-0fa31c54bf35"/>
    <xsd:import namespace="b413c3fd-5a3b-4239-b985-69032e371c04"/>
    <xsd:import namespace="a8f60570-4bd3-4f2b-950b-a996de8ab151"/>
    <xsd:import namespace="aaacb922-5235-4a66-b188-303b9b46fbd7"/>
    <xsd:import namespace="75e7ae58-aec4-4ab0-ae21-ab94226ea01a"/>
    <xsd:element name="properties">
      <xsd:complexType>
        <xsd:sequence>
          <xsd:element name="documentManagement">
            <xsd:complexType>
              <xsd:all>
                <xsd:element ref="ns2:Security_x0020_Classification" minOccurs="0"/>
                <xsd:element ref="ns2:Descriptor" minOccurs="0"/>
                <xsd:element ref="ns4:Government_x0020_Body" minOccurs="0"/>
                <xsd:element ref="ns4:Date_x0020_Opened" minOccurs="0"/>
                <xsd:element ref="ns4:Date_x0020_Closed" minOccurs="0"/>
                <xsd:element ref="ns5:Retention_x0020_Label" minOccurs="0"/>
                <xsd:element ref="ns6:LegacyData" minOccurs="0"/>
                <xsd:element ref="ns3:_dlc_DocIdUrl" minOccurs="0"/>
                <xsd:element ref="ns7:Title_" minOccurs="0"/>
                <xsd:element ref="ns7:MediaServiceMetadata" minOccurs="0"/>
                <xsd:element ref="ns7:MediaServiceFastMetadata" minOccurs="0"/>
                <xsd:element ref="ns7:MediaServiceDateTaken" minOccurs="0"/>
                <xsd:element ref="ns7:MediaServiceAutoTags" minOccurs="0"/>
                <xsd:element ref="ns7:MediaServiceLocation" minOccurs="0"/>
                <xsd:element ref="ns7:MediaServiceGenerationTime" minOccurs="0"/>
                <xsd:element ref="ns7:MediaServiceEventHashCode" minOccurs="0"/>
                <xsd:element ref="ns3:SharedWithUsers" minOccurs="0"/>
                <xsd:element ref="ns3:SharedWithDetails" minOccurs="0"/>
                <xsd:element ref="ns7:MediaServiceAutoKeyPoints" minOccurs="0"/>
                <xsd:element ref="ns7:MediaServiceKeyPoints" minOccurs="0"/>
                <xsd:element ref="ns3:_dlc_DocId" minOccurs="0"/>
                <xsd:element ref="ns3:m975189f4ba442ecbf67d4147307b177" minOccurs="0"/>
                <xsd:element ref="ns3:_dlc_DocIdPersistId" minOccurs="0"/>
                <xsd:element ref="ns7:MediaLengthInSeconds" minOccurs="0"/>
                <xsd:element ref="ns3:TaxCatchAll" minOccurs="0"/>
                <xsd:element ref="ns7:lcf76f155ced4ddcb4097134ff3c332f" minOccurs="0"/>
                <xsd:element ref="ns7:MediaServiceOCR" minOccurs="0"/>
                <xsd:element ref="ns3:TaxCatchAllLabe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63f72e-ace3-48fb-9c1f-5b513408b31f" elementFormDefault="qualified">
    <xsd:import namespace="http://schemas.microsoft.com/office/2006/documentManagement/types"/>
    <xsd:import namespace="http://schemas.microsoft.com/office/infopath/2007/PartnerControls"/>
    <xsd:element name="Security_x0020_Classification" ma:index="2" nillable="true" ma:displayName="Security Classification" ma:default="OFFICIAL" ma:format="Dropdown" ma:indexed="true" ma:internalName="Security_x0020_Classification" ma:readOnly="false">
      <xsd:simpleType>
        <xsd:restriction base="dms:Choice">
          <xsd:enumeration value="OFFICIAL"/>
          <xsd:enumeration value="OFFICIAL - SENSITIVE"/>
        </xsd:restriction>
      </xsd:simpleType>
    </xsd:element>
    <xsd:element name="Descriptor" ma:index="3" nillable="true" ma:displayName="Descriptor" ma:default="" ma:format="Dropdown" ma:indexed="true" ma:internalName="Descriptor" ma:readOnly="false">
      <xsd:simpleType>
        <xsd:restriction base="dms:Choice">
          <xsd:enumeration value="COMMERCIAL"/>
          <xsd:enumeration value="PERSONAL"/>
          <xsd:enumeration value="LOCSEN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78e07c-0436-44ae-bf20-0fa31c54bf35" elementFormDefault="qualified">
    <xsd:import namespace="http://schemas.microsoft.com/office/2006/documentManagement/types"/>
    <xsd:import namespace="http://schemas.microsoft.com/office/infopath/2007/PartnerControls"/>
    <xsd:element name="_dlc_DocIdUrl" ma:index="10" nillable="true" ma:displayName="Document ID" ma:description="Permanent link to this document." ma:hidden="true" ma:internalName="_dlc_DocId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SharedWithUsers" ma:index="26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hidden="true" ma:internalName="SharedWithDetails" ma:readOnly="true">
      <xsd:simpleType>
        <xsd:restriction base="dms:Note"/>
      </xsd:simpleType>
    </xsd:element>
    <xsd:element name="_dlc_DocId" ma:index="30" nillable="true" ma:displayName="Document ID Value" ma:description="The value of the document ID assigned to this item." ma:hidden="true" ma:indexed="true" ma:internalName="_dlc_DocId" ma:readOnly="true">
      <xsd:simpleType>
        <xsd:restriction base="dms:Text"/>
      </xsd:simpleType>
    </xsd:element>
    <xsd:element name="m975189f4ba442ecbf67d4147307b177" ma:index="31" nillable="true" ma:taxonomy="true" ma:internalName="m975189f4ba442ecbf67d4147307b177" ma:taxonomyFieldName="Business_x0020_Unit" ma:displayName="Business Unit" ma:readOnly="false" ma:default="1;#Energy, Economics and Analysis|ad665203-77be-4374-9e87-14a4bc867ca8" ma:fieldId="{6975189f-4ba4-42ec-bf67-d4147307b177}" ma:sspId="9b0aeba9-2bce-41c2-8545-5d12d676a674" ma:termSetId="6f71e40e-3a2e-4baf-91d9-2069eb35453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PersistId" ma:index="32" nillable="true" ma:displayName="Persist ID" ma:description="Keep ID on add." ma:hidden="true" ma:internalName="_dlc_DocIdPersistId" ma:readOnly="false">
      <xsd:simpleType>
        <xsd:restriction base="dms:Boolean"/>
      </xsd:simpleType>
    </xsd:element>
    <xsd:element name="TaxCatchAll" ma:index="34" nillable="true" ma:displayName="Taxonomy Catch All Column" ma:hidden="true" ma:list="{89afecb0-8ce9-450d-ae5e-05c49d4eb0ac}" ma:internalName="TaxCatchAll" ma:readOnly="false" ma:showField="CatchAllData" ma:web="c278e07c-0436-44ae-bf20-0fa31c54bf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37" nillable="true" ma:displayName="Taxonomy Catch All Column1" ma:hidden="true" ma:list="{89afecb0-8ce9-450d-ae5e-05c49d4eb0ac}" ma:internalName="TaxCatchAllLabel" ma:readOnly="false" ma:showField="CatchAllDataLabel" ma:web="c278e07c-0436-44ae-bf20-0fa31c54bf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13c3fd-5a3b-4239-b985-69032e371c04" elementFormDefault="qualified">
    <xsd:import namespace="http://schemas.microsoft.com/office/2006/documentManagement/types"/>
    <xsd:import namespace="http://schemas.microsoft.com/office/infopath/2007/PartnerControls"/>
    <xsd:element name="Government_x0020_Body" ma:index="5" nillable="true" ma:displayName="Government Body" ma:default="BEIS" ma:internalName="Government_x0020_Body" ma:readOnly="false">
      <xsd:simpleType>
        <xsd:restriction base="dms:Text">
          <xsd:maxLength value="255"/>
        </xsd:restriction>
      </xsd:simpleType>
    </xsd:element>
    <xsd:element name="Date_x0020_Opened" ma:index="6" nillable="true" ma:displayName="Date Opened" ma:default="[Today]" ma:format="DateOnly" ma:internalName="Date_x0020_Opened" ma:readOnly="false">
      <xsd:simpleType>
        <xsd:restriction base="dms:DateTime"/>
      </xsd:simpleType>
    </xsd:element>
    <xsd:element name="Date_x0020_Closed" ma:index="7" nillable="true" ma:displayName="Date Closed" ma:format="DateOnly" ma:internalName="Date_x0020_Closed" ma:readOnly="fals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f60570-4bd3-4f2b-950b-a996de8ab151" elementFormDefault="qualified">
    <xsd:import namespace="http://schemas.microsoft.com/office/2006/documentManagement/types"/>
    <xsd:import namespace="http://schemas.microsoft.com/office/infopath/2007/PartnerControls"/>
    <xsd:element name="Retention_x0020_Label" ma:index="8" nillable="true" ma:displayName="Retention Label" ma:internalName="Retention_x0020_Label" ma:readOnly="fals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acb922-5235-4a66-b188-303b9b46fbd7" elementFormDefault="qualified">
    <xsd:import namespace="http://schemas.microsoft.com/office/2006/documentManagement/types"/>
    <xsd:import namespace="http://schemas.microsoft.com/office/infopath/2007/PartnerControls"/>
    <xsd:element name="LegacyData" ma:index="9" nillable="true" ma:displayName="Legacy Data" ma:internalName="LegacyData" ma:readOnly="fals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e7ae58-aec4-4ab0-ae21-ab94226ea01a" elementFormDefault="qualified">
    <xsd:import namespace="http://schemas.microsoft.com/office/2006/documentManagement/types"/>
    <xsd:import namespace="http://schemas.microsoft.com/office/infopath/2007/PartnerControls"/>
    <xsd:element name="Title_" ma:index="12" nillable="true" ma:displayName="Title_" ma:format="Dropdown" ma:internalName="Title_" ma:readOnly="false">
      <xsd:simpleType>
        <xsd:restriction base="dms:Note">
          <xsd:maxLength value="255"/>
        </xsd:restriction>
      </xsd:simpleType>
    </xsd:element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22" nillable="true" ma:displayName="Tags" ma:hidden="true" ma:internalName="MediaServiceAutoTags" ma:readOnly="true">
      <xsd:simpleType>
        <xsd:restriction base="dms:Text"/>
      </xsd:simpleType>
    </xsd:element>
    <xsd:element name="MediaServiceLocation" ma:index="23" nillable="true" ma:displayName="Location" ma:hidden="true" ma:internalName="MediaServiceLocatio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hidden="true" ma:internalName="MediaServiceKeyPoints" ma:readOnly="true">
      <xsd:simpleType>
        <xsd:restriction base="dms:Note"/>
      </xsd:simpleType>
    </xsd:element>
    <xsd:element name="MediaLengthInSeconds" ma:index="33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35" nillable="true" ma:taxonomy="true" ma:internalName="lcf76f155ced4ddcb4097134ff3c332f" ma:taxonomyFieldName="MediaServiceImageTags" ma:displayName="Image Tags" ma:readOnly="false" ma:fieldId="{5cf76f15-5ced-4ddc-b409-7134ff3c332f}" ma:taxonomyMulti="true" ma:sspId="9b0aeba9-2bce-41c2-8545-5d12d676a67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6" nillable="true" ma:displayName="Extracted Text" ma:hidden="true" ma:internalName="MediaServiceOCR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7C021E-799B-405B-B165-3753F9FD9C2E}"/>
</file>

<file path=customXml/itemProps2.xml><?xml version="1.0" encoding="utf-8"?>
<ds:datastoreItem xmlns:ds="http://schemas.openxmlformats.org/officeDocument/2006/customXml" ds:itemID="{641CF580-887F-440B-B6D9-2C823BC5E6E1}"/>
</file>

<file path=customXml/itemProps3.xml><?xml version="1.0" encoding="utf-8"?>
<ds:datastoreItem xmlns:ds="http://schemas.openxmlformats.org/officeDocument/2006/customXml" ds:itemID="{EF79BC85-DC13-43A6-B1D8-9C1832E7870A}"/>
</file>

<file path=customXml/itemProps4.xml><?xml version="1.0" encoding="utf-8"?>
<ds:datastoreItem xmlns:ds="http://schemas.openxmlformats.org/officeDocument/2006/customXml" ds:itemID="{E249DD8A-B587-400B-B90F-142BE38D03C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Wareing, Barney (BEIS)</dc:creator>
  <cp:keywords/>
  <dc:description/>
  <cp:lastModifiedBy/>
  <cp:revision/>
  <dcterms:created xsi:type="dcterms:W3CDTF">2020-09-24T08:01:13Z</dcterms:created>
  <dcterms:modified xsi:type="dcterms:W3CDTF">2025-11-07T16:10:35Z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62f585-b40f-4ab9-bafe-39150f03d124_Enabled">
    <vt:lpwstr>true</vt:lpwstr>
  </property>
  <property fmtid="{D5CDD505-2E9C-101B-9397-08002B2CF9AE}" pid="3" name="MSIP_Label_ba62f585-b40f-4ab9-bafe-39150f03d124_SetDate">
    <vt:lpwstr>2020-09-24T08:11:55Z</vt:lpwstr>
  </property>
  <property fmtid="{D5CDD505-2E9C-101B-9397-08002B2CF9AE}" pid="4" name="MSIP_Label_ba62f585-b40f-4ab9-bafe-39150f03d124_Method">
    <vt:lpwstr>Standard</vt:lpwstr>
  </property>
  <property fmtid="{D5CDD505-2E9C-101B-9397-08002B2CF9AE}" pid="5" name="MSIP_Label_ba62f585-b40f-4ab9-bafe-39150f03d124_Name">
    <vt:lpwstr>OFFICIAL</vt:lpwstr>
  </property>
  <property fmtid="{D5CDD505-2E9C-101B-9397-08002B2CF9AE}" pid="6" name="MSIP_Label_ba62f585-b40f-4ab9-bafe-39150f03d124_SiteId">
    <vt:lpwstr>cbac7005-02c1-43eb-b497-e6492d1b2dd8</vt:lpwstr>
  </property>
  <property fmtid="{D5CDD505-2E9C-101B-9397-08002B2CF9AE}" pid="7" name="MSIP_Label_ba62f585-b40f-4ab9-bafe-39150f03d124_ActionId">
    <vt:lpwstr>941c74e1-4e9f-450a-af9a-0000251dacbc</vt:lpwstr>
  </property>
  <property fmtid="{D5CDD505-2E9C-101B-9397-08002B2CF9AE}" pid="8" name="MSIP_Label_ba62f585-b40f-4ab9-bafe-39150f03d124_ContentBits">
    <vt:lpwstr>0</vt:lpwstr>
  </property>
  <property fmtid="{D5CDD505-2E9C-101B-9397-08002B2CF9AE}" pid="9" name="ContentTypeId">
    <vt:lpwstr>0x010100F4582DC177B735439E316E7A5776D78C</vt:lpwstr>
  </property>
  <property fmtid="{D5CDD505-2E9C-101B-9397-08002B2CF9AE}" pid="10" name="_dlc_DocIdItemGuid">
    <vt:lpwstr>adba06a9-8709-4e95-9edd-590a9ab5ee1c</vt:lpwstr>
  </property>
  <property fmtid="{D5CDD505-2E9C-101B-9397-08002B2CF9AE}" pid="11" name="Business Unit">
    <vt:lpwstr>1;#Energy, Economics and Analysis|ad665203-77be-4374-9e87-14a4bc867ca8</vt:lpwstr>
  </property>
  <property fmtid="{D5CDD505-2E9C-101B-9397-08002B2CF9AE}" pid="12" name="MediaServiceImageTags">
    <vt:lpwstr/>
  </property>
  <property fmtid="{D5CDD505-2E9C-101B-9397-08002B2CF9AE}" pid="13" name="_ExtendedDescription">
    <vt:lpwstr/>
  </property>
</Properties>
</file>