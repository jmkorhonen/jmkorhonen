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docs.live.net/6211aaa9a49964d4/Sorsa-jutut/MALLIT/LCOE/"/>
    </mc:Choice>
  </mc:AlternateContent>
  <xr:revisionPtr revIDLastSave="0" documentId="8_{BEFC9DF9-792B-493D-AFFF-4B96AE0F2027}" xr6:coauthVersionLast="47" xr6:coauthVersionMax="47" xr10:uidLastSave="{00000000-0000-0000-0000-000000000000}"/>
  <bookViews>
    <workbookView xWindow="0" yWindow="760" windowWidth="30240" windowHeight="17600" xr2:uid="{B2BE2C0E-B3C6-8944-8998-B4AB640B608F}"/>
    <workbookView xWindow="0" yWindow="760" windowWidth="30240" windowHeight="17600" xr2:uid="{7981359D-D8C0-2041-B70F-C3138BC6898A}"/>
  </bookViews>
  <sheets>
    <sheet name="LCOE" sheetId="1" r:id="rId1"/>
    <sheet name="Learning curve parameters" sheetId="12" r:id="rId2"/>
    <sheet name="Results" sheetId="11" r:id="rId3"/>
    <sheet name="Examples" sheetId="2" r:id="rId4"/>
    <sheet name="LCOE 1" sheetId="3" r:id="rId5"/>
    <sheet name="LCOE 2" sheetId="21" r:id="rId6"/>
    <sheet name="LCOE 3" sheetId="22" r:id="rId7"/>
    <sheet name="LCOE 4" sheetId="23" r:id="rId8"/>
    <sheet name="LCOE 5" sheetId="24" r:id="rId9"/>
    <sheet name="LCOE 6" sheetId="25" r:id="rId10"/>
    <sheet name="LCOE 7" sheetId="26" r:id="rId11"/>
    <sheet name="LCOE 8" sheetId="27" r:id="rId12"/>
    <sheet name="Learning curve calcs" sheetId="13" r:id="rId13"/>
  </sheets>
  <definedNames>
    <definedName name="_xlnm._FilterDatabase" localSheetId="4" hidden="1">'LCOE 1'!$A$44:$W$44</definedName>
    <definedName name="_xlnm._FilterDatabase" localSheetId="5" hidden="1">'LCOE 2'!$A$44:$W$44</definedName>
    <definedName name="_xlnm._FilterDatabase" localSheetId="6" hidden="1">'LCOE 3'!$A$44:$W$44</definedName>
    <definedName name="_xlnm._FilterDatabase" localSheetId="7" hidden="1">'LCOE 4'!$A$44:$W$44</definedName>
    <definedName name="_xlnm._FilterDatabase" localSheetId="8" hidden="1">'LCOE 5'!$A$44:$W$44</definedName>
    <definedName name="_xlnm._FilterDatabase" localSheetId="9" hidden="1">'LCOE 6'!$A$44:$W$44</definedName>
    <definedName name="_xlnm._FilterDatabase" localSheetId="10" hidden="1">'LCOE 7'!$A$44:$W$44</definedName>
    <definedName name="_xlnm._FilterDatabase" localSheetId="11" hidden="1">'LCOE 8'!$A$44:$W$44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3" l="1"/>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70" i="22"/>
  <c r="L65" i="1"/>
  <c r="M60" i="1"/>
  <c r="M59" i="1"/>
  <c r="L62" i="1"/>
  <c r="M62" i="1" s="1"/>
  <c r="L60" i="1"/>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8" i="2"/>
  <c r="X170" i="27"/>
  <c r="V170" i="27"/>
  <c r="T170" i="27"/>
  <c r="P170" i="27"/>
  <c r="O170" i="27"/>
  <c r="X169" i="27"/>
  <c r="V169" i="27"/>
  <c r="T169" i="27"/>
  <c r="P169" i="27"/>
  <c r="O169" i="27"/>
  <c r="X168" i="27"/>
  <c r="V168" i="27"/>
  <c r="T168" i="27"/>
  <c r="P168" i="27"/>
  <c r="O168" i="27"/>
  <c r="X167" i="27"/>
  <c r="V167" i="27"/>
  <c r="T167" i="27"/>
  <c r="P167" i="27"/>
  <c r="O167" i="27"/>
  <c r="X166" i="27"/>
  <c r="V166" i="27"/>
  <c r="T166" i="27"/>
  <c r="P166" i="27"/>
  <c r="O166" i="27"/>
  <c r="X165" i="27"/>
  <c r="V165" i="27"/>
  <c r="T165" i="27"/>
  <c r="P165" i="27"/>
  <c r="O165" i="27"/>
  <c r="X164" i="27"/>
  <c r="V164" i="27"/>
  <c r="T164" i="27"/>
  <c r="P164" i="27"/>
  <c r="O164" i="27"/>
  <c r="X163" i="27"/>
  <c r="V163" i="27"/>
  <c r="T163" i="27"/>
  <c r="P163" i="27"/>
  <c r="O163" i="27"/>
  <c r="X162" i="27"/>
  <c r="V162" i="27"/>
  <c r="T162" i="27"/>
  <c r="P162" i="27"/>
  <c r="O162" i="27"/>
  <c r="X161" i="27"/>
  <c r="V161" i="27"/>
  <c r="T161" i="27"/>
  <c r="P161" i="27"/>
  <c r="O161" i="27"/>
  <c r="X160" i="27"/>
  <c r="V160" i="27"/>
  <c r="T160" i="27"/>
  <c r="P160" i="27"/>
  <c r="O160" i="27"/>
  <c r="X159" i="27"/>
  <c r="V159" i="27"/>
  <c r="T159" i="27"/>
  <c r="P159" i="27"/>
  <c r="O159" i="27"/>
  <c r="X158" i="27"/>
  <c r="V158" i="27"/>
  <c r="T158" i="27"/>
  <c r="P158" i="27"/>
  <c r="O158" i="27"/>
  <c r="X157" i="27"/>
  <c r="V157" i="27"/>
  <c r="T157" i="27"/>
  <c r="P157" i="27"/>
  <c r="O157" i="27"/>
  <c r="X156" i="27"/>
  <c r="V156" i="27"/>
  <c r="T156" i="27"/>
  <c r="P156" i="27"/>
  <c r="O156" i="27"/>
  <c r="X155" i="27"/>
  <c r="V155" i="27"/>
  <c r="T155" i="27"/>
  <c r="P155" i="27"/>
  <c r="O155" i="27"/>
  <c r="X154" i="27"/>
  <c r="V154" i="27"/>
  <c r="T154" i="27"/>
  <c r="P154" i="27"/>
  <c r="O154" i="27"/>
  <c r="X153" i="27"/>
  <c r="V153" i="27"/>
  <c r="T153" i="27"/>
  <c r="P153" i="27"/>
  <c r="O153" i="27"/>
  <c r="X152" i="27"/>
  <c r="V152" i="27"/>
  <c r="T152" i="27"/>
  <c r="P152" i="27"/>
  <c r="O152" i="27"/>
  <c r="X151" i="27"/>
  <c r="V151" i="27"/>
  <c r="T151" i="27"/>
  <c r="P151" i="27"/>
  <c r="O151" i="27"/>
  <c r="X150" i="27"/>
  <c r="V150" i="27"/>
  <c r="T150" i="27"/>
  <c r="P150" i="27"/>
  <c r="O150" i="27"/>
  <c r="X149" i="27"/>
  <c r="V149" i="27"/>
  <c r="T149" i="27"/>
  <c r="P149" i="27"/>
  <c r="O149" i="27"/>
  <c r="X148" i="27"/>
  <c r="V148" i="27"/>
  <c r="T148" i="27"/>
  <c r="P148" i="27"/>
  <c r="O148" i="27"/>
  <c r="X147" i="27"/>
  <c r="V147" i="27"/>
  <c r="T147" i="27"/>
  <c r="P147" i="27"/>
  <c r="O147" i="27"/>
  <c r="X146" i="27"/>
  <c r="V146" i="27"/>
  <c r="T146" i="27"/>
  <c r="P146" i="27"/>
  <c r="O146" i="27"/>
  <c r="X145" i="27"/>
  <c r="V145" i="27"/>
  <c r="T145" i="27"/>
  <c r="P145" i="27"/>
  <c r="O145" i="27"/>
  <c r="X144" i="27"/>
  <c r="V144" i="27"/>
  <c r="T144" i="27"/>
  <c r="P144" i="27"/>
  <c r="O144" i="27"/>
  <c r="X143" i="27"/>
  <c r="V143" i="27"/>
  <c r="T143" i="27"/>
  <c r="P143" i="27"/>
  <c r="O143" i="27"/>
  <c r="X142" i="27"/>
  <c r="V142" i="27"/>
  <c r="T142" i="27"/>
  <c r="P142" i="27"/>
  <c r="O142" i="27"/>
  <c r="X141" i="27"/>
  <c r="V141" i="27"/>
  <c r="T141" i="27"/>
  <c r="P141" i="27"/>
  <c r="O141" i="27"/>
  <c r="X140" i="27"/>
  <c r="V140" i="27"/>
  <c r="T140" i="27"/>
  <c r="P140" i="27"/>
  <c r="O140" i="27"/>
  <c r="X139" i="27"/>
  <c r="V139" i="27"/>
  <c r="T139" i="27"/>
  <c r="P139" i="27"/>
  <c r="O139" i="27"/>
  <c r="X138" i="27"/>
  <c r="V138" i="27"/>
  <c r="T138" i="27"/>
  <c r="P138" i="27"/>
  <c r="O138" i="27"/>
  <c r="X137" i="27"/>
  <c r="V137" i="27"/>
  <c r="T137" i="27"/>
  <c r="P137" i="27"/>
  <c r="O137" i="27"/>
  <c r="X136" i="27"/>
  <c r="V136" i="27"/>
  <c r="T136" i="27"/>
  <c r="P136" i="27"/>
  <c r="O136" i="27"/>
  <c r="X135" i="27"/>
  <c r="V135" i="27"/>
  <c r="T135" i="27"/>
  <c r="P135" i="27"/>
  <c r="O135" i="27"/>
  <c r="X134" i="27"/>
  <c r="V134" i="27"/>
  <c r="T134" i="27"/>
  <c r="P134" i="27"/>
  <c r="O134" i="27"/>
  <c r="X133" i="27"/>
  <c r="V133" i="27"/>
  <c r="T133" i="27"/>
  <c r="P133" i="27"/>
  <c r="O133" i="27"/>
  <c r="X132" i="27"/>
  <c r="V132" i="27"/>
  <c r="T132" i="27"/>
  <c r="P132" i="27"/>
  <c r="O132" i="27"/>
  <c r="X131" i="27"/>
  <c r="V131" i="27"/>
  <c r="T131" i="27"/>
  <c r="P131" i="27"/>
  <c r="O131" i="27"/>
  <c r="X130" i="27"/>
  <c r="V130" i="27"/>
  <c r="T130" i="27"/>
  <c r="P130" i="27"/>
  <c r="O130" i="27"/>
  <c r="X129" i="27"/>
  <c r="V129" i="27"/>
  <c r="T129" i="27"/>
  <c r="P129" i="27"/>
  <c r="O129" i="27"/>
  <c r="X128" i="27"/>
  <c r="V128" i="27"/>
  <c r="T128" i="27"/>
  <c r="P128" i="27"/>
  <c r="O128" i="27"/>
  <c r="X127" i="27"/>
  <c r="V127" i="27"/>
  <c r="T127" i="27"/>
  <c r="P127" i="27"/>
  <c r="O127" i="27"/>
  <c r="X126" i="27"/>
  <c r="V126" i="27"/>
  <c r="T126" i="27"/>
  <c r="P126" i="27"/>
  <c r="O126" i="27"/>
  <c r="X125" i="27"/>
  <c r="V125" i="27"/>
  <c r="T125" i="27"/>
  <c r="P125" i="27"/>
  <c r="O125" i="27"/>
  <c r="X124" i="27"/>
  <c r="V124" i="27"/>
  <c r="T124" i="27"/>
  <c r="P124" i="27"/>
  <c r="O124" i="27"/>
  <c r="X123" i="27"/>
  <c r="V123" i="27"/>
  <c r="T123" i="27"/>
  <c r="P123" i="27"/>
  <c r="O123" i="27"/>
  <c r="X122" i="27"/>
  <c r="V122" i="27"/>
  <c r="T122" i="27"/>
  <c r="P122" i="27"/>
  <c r="O122" i="27"/>
  <c r="X121" i="27"/>
  <c r="V121" i="27"/>
  <c r="T121" i="27"/>
  <c r="P121" i="27"/>
  <c r="O121" i="27"/>
  <c r="X120" i="27"/>
  <c r="V120" i="27"/>
  <c r="T120" i="27"/>
  <c r="P120" i="27"/>
  <c r="O120" i="27"/>
  <c r="X119" i="27"/>
  <c r="V119" i="27"/>
  <c r="T119" i="27"/>
  <c r="P119" i="27"/>
  <c r="O119" i="27"/>
  <c r="X118" i="27"/>
  <c r="V118" i="27"/>
  <c r="T118" i="27"/>
  <c r="P118" i="27"/>
  <c r="O118" i="27"/>
  <c r="X117" i="27"/>
  <c r="V117" i="27"/>
  <c r="T117" i="27"/>
  <c r="P117" i="27"/>
  <c r="O117" i="27"/>
  <c r="X116" i="27"/>
  <c r="V116" i="27"/>
  <c r="T116" i="27"/>
  <c r="P116" i="27"/>
  <c r="O116" i="27"/>
  <c r="X115" i="27"/>
  <c r="V115" i="27"/>
  <c r="T115" i="27"/>
  <c r="P115" i="27"/>
  <c r="O115" i="27"/>
  <c r="X114" i="27"/>
  <c r="V114" i="27"/>
  <c r="T114" i="27"/>
  <c r="P114" i="27"/>
  <c r="O114" i="27"/>
  <c r="X113" i="27"/>
  <c r="V113" i="27"/>
  <c r="T113" i="27"/>
  <c r="P113" i="27"/>
  <c r="O113" i="27"/>
  <c r="X112" i="27"/>
  <c r="V112" i="27"/>
  <c r="T112" i="27"/>
  <c r="P112" i="27"/>
  <c r="O112" i="27"/>
  <c r="X111" i="27"/>
  <c r="V111" i="27"/>
  <c r="T111" i="27"/>
  <c r="P111" i="27"/>
  <c r="O111" i="27"/>
  <c r="X110" i="27"/>
  <c r="V110" i="27"/>
  <c r="T110" i="27"/>
  <c r="P110" i="27"/>
  <c r="O110" i="27"/>
  <c r="X109" i="27"/>
  <c r="V109" i="27"/>
  <c r="T109" i="27"/>
  <c r="P109" i="27"/>
  <c r="O109" i="27"/>
  <c r="X108" i="27"/>
  <c r="V108" i="27"/>
  <c r="T108" i="27"/>
  <c r="P108" i="27"/>
  <c r="O108" i="27"/>
  <c r="X107" i="27"/>
  <c r="V107" i="27"/>
  <c r="T107" i="27"/>
  <c r="P107" i="27"/>
  <c r="O107" i="27"/>
  <c r="X106" i="27"/>
  <c r="V106" i="27"/>
  <c r="T106" i="27"/>
  <c r="P106" i="27"/>
  <c r="O106" i="27"/>
  <c r="X105" i="27"/>
  <c r="V105" i="27"/>
  <c r="T105" i="27"/>
  <c r="P105" i="27"/>
  <c r="O105" i="27"/>
  <c r="X104" i="27"/>
  <c r="V104" i="27"/>
  <c r="T104" i="27"/>
  <c r="P104" i="27"/>
  <c r="O104" i="27"/>
  <c r="X103" i="27"/>
  <c r="V103" i="27"/>
  <c r="T103" i="27"/>
  <c r="P103" i="27"/>
  <c r="O103" i="27"/>
  <c r="X102" i="27"/>
  <c r="V102" i="27"/>
  <c r="T102" i="27"/>
  <c r="P102" i="27"/>
  <c r="O102" i="27"/>
  <c r="X101" i="27"/>
  <c r="V101" i="27"/>
  <c r="T101" i="27"/>
  <c r="P101" i="27"/>
  <c r="O101" i="27"/>
  <c r="X100" i="27"/>
  <c r="V100" i="27"/>
  <c r="T100" i="27"/>
  <c r="P100" i="27"/>
  <c r="O100" i="27"/>
  <c r="X99" i="27"/>
  <c r="V99" i="27"/>
  <c r="T99" i="27"/>
  <c r="P99" i="27"/>
  <c r="O99" i="27"/>
  <c r="X98" i="27"/>
  <c r="V98" i="27"/>
  <c r="T98" i="27"/>
  <c r="P98" i="27"/>
  <c r="O98" i="27"/>
  <c r="X97" i="27"/>
  <c r="V97" i="27"/>
  <c r="T97" i="27"/>
  <c r="P97" i="27"/>
  <c r="O97" i="27"/>
  <c r="X96" i="27"/>
  <c r="V96" i="27"/>
  <c r="T96" i="27"/>
  <c r="P96" i="27"/>
  <c r="O96" i="27"/>
  <c r="X95" i="27"/>
  <c r="V95" i="27"/>
  <c r="T95" i="27"/>
  <c r="P95" i="27"/>
  <c r="O95" i="27"/>
  <c r="X94" i="27"/>
  <c r="V94" i="27"/>
  <c r="T94" i="27"/>
  <c r="P94" i="27"/>
  <c r="O94" i="27"/>
  <c r="X93" i="27"/>
  <c r="V93" i="27"/>
  <c r="T93" i="27"/>
  <c r="P93" i="27"/>
  <c r="O93" i="27"/>
  <c r="X92" i="27"/>
  <c r="V92" i="27"/>
  <c r="T92" i="27"/>
  <c r="P92" i="27"/>
  <c r="O92" i="27"/>
  <c r="X91" i="27"/>
  <c r="V91" i="27"/>
  <c r="T91" i="27"/>
  <c r="P91" i="27"/>
  <c r="O91" i="27"/>
  <c r="X90" i="27"/>
  <c r="V90" i="27"/>
  <c r="T90" i="27"/>
  <c r="P90" i="27"/>
  <c r="O90" i="27"/>
  <c r="X89" i="27"/>
  <c r="V89" i="27"/>
  <c r="T89" i="27"/>
  <c r="P89" i="27"/>
  <c r="O89" i="27"/>
  <c r="X88" i="27"/>
  <c r="V88" i="27"/>
  <c r="T88" i="27"/>
  <c r="P88" i="27"/>
  <c r="O88" i="27"/>
  <c r="X87" i="27"/>
  <c r="V87" i="27"/>
  <c r="T87" i="27"/>
  <c r="P87" i="27"/>
  <c r="O87" i="27"/>
  <c r="X86" i="27"/>
  <c r="V86" i="27"/>
  <c r="T86" i="27"/>
  <c r="P86" i="27"/>
  <c r="O86" i="27"/>
  <c r="X85" i="27"/>
  <c r="V85" i="27"/>
  <c r="T85" i="27"/>
  <c r="P85" i="27"/>
  <c r="O85" i="27"/>
  <c r="X84" i="27"/>
  <c r="V84" i="27"/>
  <c r="T84" i="27"/>
  <c r="P84" i="27"/>
  <c r="O84" i="27"/>
  <c r="X83" i="27"/>
  <c r="V83" i="27"/>
  <c r="T83" i="27"/>
  <c r="P83" i="27"/>
  <c r="O83" i="27"/>
  <c r="X82" i="27"/>
  <c r="V82" i="27"/>
  <c r="T82" i="27"/>
  <c r="P82" i="27"/>
  <c r="O82" i="27"/>
  <c r="X81" i="27"/>
  <c r="V81" i="27"/>
  <c r="T81" i="27"/>
  <c r="P81" i="27"/>
  <c r="O81" i="27"/>
  <c r="X80" i="27"/>
  <c r="V80" i="27"/>
  <c r="T80" i="27"/>
  <c r="P80" i="27"/>
  <c r="O80" i="27"/>
  <c r="X79" i="27"/>
  <c r="V79" i="27"/>
  <c r="T79" i="27"/>
  <c r="P79" i="27"/>
  <c r="O79" i="27"/>
  <c r="X78" i="27"/>
  <c r="V78" i="27"/>
  <c r="T78" i="27"/>
  <c r="P78" i="27"/>
  <c r="O78" i="27"/>
  <c r="X77" i="27"/>
  <c r="V77" i="27"/>
  <c r="T77" i="27"/>
  <c r="P77" i="27"/>
  <c r="O77" i="27"/>
  <c r="X76" i="27"/>
  <c r="V76" i="27"/>
  <c r="T76" i="27"/>
  <c r="P76" i="27"/>
  <c r="O76" i="27"/>
  <c r="X75" i="27"/>
  <c r="V75" i="27"/>
  <c r="T75" i="27"/>
  <c r="P75" i="27"/>
  <c r="O75" i="27"/>
  <c r="X74" i="27"/>
  <c r="V74" i="27"/>
  <c r="T74" i="27"/>
  <c r="P74" i="27"/>
  <c r="O74" i="27"/>
  <c r="X73" i="27"/>
  <c r="V73" i="27"/>
  <c r="T73" i="27"/>
  <c r="P73" i="27"/>
  <c r="O73" i="27"/>
  <c r="X72" i="27"/>
  <c r="V72" i="27"/>
  <c r="T72" i="27"/>
  <c r="P72" i="27"/>
  <c r="O72" i="27"/>
  <c r="X71" i="27"/>
  <c r="V71" i="27"/>
  <c r="T71" i="27"/>
  <c r="P71" i="27"/>
  <c r="O71" i="27"/>
  <c r="N71" i="27"/>
  <c r="N72" i="27" s="1"/>
  <c r="N73" i="27" s="1"/>
  <c r="N74" i="27" s="1"/>
  <c r="N75" i="27" s="1"/>
  <c r="N76" i="27" s="1"/>
  <c r="N77" i="27" s="1"/>
  <c r="N78" i="27" s="1"/>
  <c r="N79" i="27" s="1"/>
  <c r="N80" i="27" s="1"/>
  <c r="N81" i="27" s="1"/>
  <c r="N82" i="27" s="1"/>
  <c r="N83" i="27" s="1"/>
  <c r="N84" i="27" s="1"/>
  <c r="N85" i="27" s="1"/>
  <c r="N86" i="27" s="1"/>
  <c r="N87" i="27" s="1"/>
  <c r="N88" i="27" s="1"/>
  <c r="N89" i="27" s="1"/>
  <c r="N90" i="27" s="1"/>
  <c r="N91" i="27" s="1"/>
  <c r="N92" i="27" s="1"/>
  <c r="N93" i="27" s="1"/>
  <c r="N94" i="27" s="1"/>
  <c r="N95" i="27" s="1"/>
  <c r="N96" i="27" s="1"/>
  <c r="N97" i="27" s="1"/>
  <c r="N98" i="27" s="1"/>
  <c r="N99" i="27" s="1"/>
  <c r="N100" i="27" s="1"/>
  <c r="N101" i="27" s="1"/>
  <c r="N102" i="27" s="1"/>
  <c r="N103" i="27" s="1"/>
  <c r="N104" i="27" s="1"/>
  <c r="N105" i="27" s="1"/>
  <c r="N106" i="27" s="1"/>
  <c r="N107" i="27" s="1"/>
  <c r="N108" i="27" s="1"/>
  <c r="N109" i="27" s="1"/>
  <c r="N110" i="27" s="1"/>
  <c r="N111" i="27" s="1"/>
  <c r="N112" i="27" s="1"/>
  <c r="N113" i="27" s="1"/>
  <c r="N114" i="27" s="1"/>
  <c r="N115" i="27" s="1"/>
  <c r="N116" i="27" s="1"/>
  <c r="N117" i="27" s="1"/>
  <c r="N118" i="27" s="1"/>
  <c r="N119" i="27" s="1"/>
  <c r="N120" i="27" s="1"/>
  <c r="N121" i="27" s="1"/>
  <c r="N122" i="27" s="1"/>
  <c r="N123" i="27" s="1"/>
  <c r="N124" i="27" s="1"/>
  <c r="N125" i="27" s="1"/>
  <c r="N126" i="27" s="1"/>
  <c r="N127" i="27" s="1"/>
  <c r="N128" i="27" s="1"/>
  <c r="N129" i="27" s="1"/>
  <c r="N130" i="27" s="1"/>
  <c r="N131" i="27" s="1"/>
  <c r="N132" i="27" s="1"/>
  <c r="N133" i="27" s="1"/>
  <c r="N134" i="27" s="1"/>
  <c r="N135" i="27" s="1"/>
  <c r="N136" i="27" s="1"/>
  <c r="N137" i="27" s="1"/>
  <c r="N138" i="27" s="1"/>
  <c r="N139" i="27" s="1"/>
  <c r="N140" i="27" s="1"/>
  <c r="N141" i="27" s="1"/>
  <c r="N142" i="27" s="1"/>
  <c r="N143" i="27" s="1"/>
  <c r="N144" i="27" s="1"/>
  <c r="N145" i="27" s="1"/>
  <c r="N146" i="27" s="1"/>
  <c r="N147" i="27" s="1"/>
  <c r="N148" i="27" s="1"/>
  <c r="N149" i="27" s="1"/>
  <c r="N150" i="27" s="1"/>
  <c r="N151" i="27" s="1"/>
  <c r="N152" i="27" s="1"/>
  <c r="N153" i="27" s="1"/>
  <c r="N154" i="27" s="1"/>
  <c r="N155" i="27" s="1"/>
  <c r="N156" i="27" s="1"/>
  <c r="N157" i="27" s="1"/>
  <c r="N158" i="27" s="1"/>
  <c r="N159" i="27" s="1"/>
  <c r="N160" i="27" s="1"/>
  <c r="N161" i="27" s="1"/>
  <c r="N162" i="27" s="1"/>
  <c r="N163" i="27" s="1"/>
  <c r="N164" i="27" s="1"/>
  <c r="N165" i="27" s="1"/>
  <c r="N166" i="27" s="1"/>
  <c r="N167" i="27" s="1"/>
  <c r="N168" i="27" s="1"/>
  <c r="N169" i="27" s="1"/>
  <c r="N170" i="27" s="1"/>
  <c r="M71" i="27"/>
  <c r="M72" i="27" s="1"/>
  <c r="M73" i="27" s="1"/>
  <c r="M74" i="27" s="1"/>
  <c r="M75" i="27" s="1"/>
  <c r="K71" i="27"/>
  <c r="D71" i="27"/>
  <c r="E71" i="27" s="1"/>
  <c r="AE71" i="27" s="1"/>
  <c r="X70" i="27"/>
  <c r="V70" i="27"/>
  <c r="T70" i="27"/>
  <c r="P70" i="27"/>
  <c r="O70" i="27"/>
  <c r="F70" i="27"/>
  <c r="F71" i="27" s="1"/>
  <c r="F72" i="27" s="1"/>
  <c r="D70" i="27"/>
  <c r="E70" i="27" s="1"/>
  <c r="G70" i="27" s="1"/>
  <c r="B63" i="27"/>
  <c r="Z63" i="27" s="1"/>
  <c r="B62" i="27"/>
  <c r="Z62" i="27" s="1"/>
  <c r="B61" i="27"/>
  <c r="Z61" i="27" s="1"/>
  <c r="B60" i="27"/>
  <c r="Z60" i="27" s="1"/>
  <c r="B59" i="27"/>
  <c r="B58" i="27"/>
  <c r="Z58" i="27" s="1"/>
  <c r="B57" i="27"/>
  <c r="Z57" i="27" s="1"/>
  <c r="B56" i="27"/>
  <c r="B55" i="27"/>
  <c r="Z55" i="27" s="1"/>
  <c r="B54" i="27"/>
  <c r="Z54" i="27" s="1"/>
  <c r="B53" i="27"/>
  <c r="Z53" i="27" s="1"/>
  <c r="B52" i="27"/>
  <c r="Z52" i="27" s="1"/>
  <c r="B51" i="27"/>
  <c r="Z51" i="27" s="1"/>
  <c r="B50" i="27"/>
  <c r="Z50" i="27" s="1"/>
  <c r="B49" i="27"/>
  <c r="Z49" i="27" s="1"/>
  <c r="B48" i="27"/>
  <c r="B47" i="27"/>
  <c r="Z47" i="27" s="1"/>
  <c r="B46" i="27"/>
  <c r="Z46" i="27" s="1"/>
  <c r="B45" i="27"/>
  <c r="Z45" i="27" s="1"/>
  <c r="C41" i="27"/>
  <c r="C35" i="27"/>
  <c r="C34" i="27"/>
  <c r="C33" i="27"/>
  <c r="C32" i="27"/>
  <c r="C31" i="27"/>
  <c r="C30" i="27"/>
  <c r="C29" i="27"/>
  <c r="C28" i="27"/>
  <c r="C27" i="27"/>
  <c r="C26" i="27"/>
  <c r="C25" i="27"/>
  <c r="C24" i="27"/>
  <c r="C23" i="27"/>
  <c r="C22" i="27"/>
  <c r="C21" i="27"/>
  <c r="C20" i="27"/>
  <c r="C19" i="27"/>
  <c r="C18" i="27"/>
  <c r="C17" i="27"/>
  <c r="C16" i="27"/>
  <c r="C15" i="27"/>
  <c r="C14" i="27"/>
  <c r="C13" i="27"/>
  <c r="C12" i="27"/>
  <c r="G11" i="27"/>
  <c r="C11" i="27"/>
  <c r="C10" i="27"/>
  <c r="C9" i="27"/>
  <c r="C8" i="27"/>
  <c r="C7" i="27"/>
  <c r="C6" i="27"/>
  <c r="I2" i="27" s="1"/>
  <c r="C5" i="27"/>
  <c r="C4" i="27"/>
  <c r="G2" i="27" s="1"/>
  <c r="C3" i="27"/>
  <c r="C2" i="27"/>
  <c r="X170" i="26"/>
  <c r="V170" i="26"/>
  <c r="T170" i="26"/>
  <c r="P170" i="26"/>
  <c r="O170" i="26"/>
  <c r="X169" i="26"/>
  <c r="V169" i="26"/>
  <c r="T169" i="26"/>
  <c r="P169" i="26"/>
  <c r="O169" i="26"/>
  <c r="X168" i="26"/>
  <c r="V168" i="26"/>
  <c r="T168" i="26"/>
  <c r="P168" i="26"/>
  <c r="O168" i="26"/>
  <c r="X167" i="26"/>
  <c r="V167" i="26"/>
  <c r="T167" i="26"/>
  <c r="P167" i="26"/>
  <c r="O167" i="26"/>
  <c r="X166" i="26"/>
  <c r="V166" i="26"/>
  <c r="T166" i="26"/>
  <c r="P166" i="26"/>
  <c r="O166" i="26"/>
  <c r="X165" i="26"/>
  <c r="V165" i="26"/>
  <c r="T165" i="26"/>
  <c r="P165" i="26"/>
  <c r="O165" i="26"/>
  <c r="X164" i="26"/>
  <c r="V164" i="26"/>
  <c r="T164" i="26"/>
  <c r="P164" i="26"/>
  <c r="O164" i="26"/>
  <c r="X163" i="26"/>
  <c r="V163" i="26"/>
  <c r="T163" i="26"/>
  <c r="P163" i="26"/>
  <c r="O163" i="26"/>
  <c r="X162" i="26"/>
  <c r="V162" i="26"/>
  <c r="T162" i="26"/>
  <c r="P162" i="26"/>
  <c r="O162" i="26"/>
  <c r="X161" i="26"/>
  <c r="V161" i="26"/>
  <c r="T161" i="26"/>
  <c r="P161" i="26"/>
  <c r="O161" i="26"/>
  <c r="X160" i="26"/>
  <c r="V160" i="26"/>
  <c r="T160" i="26"/>
  <c r="P160" i="26"/>
  <c r="O160" i="26"/>
  <c r="X159" i="26"/>
  <c r="V159" i="26"/>
  <c r="T159" i="26"/>
  <c r="P159" i="26"/>
  <c r="O159" i="26"/>
  <c r="X158" i="26"/>
  <c r="V158" i="26"/>
  <c r="T158" i="26"/>
  <c r="P158" i="26"/>
  <c r="O158" i="26"/>
  <c r="X157" i="26"/>
  <c r="V157" i="26"/>
  <c r="T157" i="26"/>
  <c r="P157" i="26"/>
  <c r="O157" i="26"/>
  <c r="X156" i="26"/>
  <c r="V156" i="26"/>
  <c r="T156" i="26"/>
  <c r="P156" i="26"/>
  <c r="O156" i="26"/>
  <c r="X155" i="26"/>
  <c r="V155" i="26"/>
  <c r="T155" i="26"/>
  <c r="P155" i="26"/>
  <c r="O155" i="26"/>
  <c r="X154" i="26"/>
  <c r="V154" i="26"/>
  <c r="T154" i="26"/>
  <c r="P154" i="26"/>
  <c r="O154" i="26"/>
  <c r="X153" i="26"/>
  <c r="V153" i="26"/>
  <c r="T153" i="26"/>
  <c r="P153" i="26"/>
  <c r="O153" i="26"/>
  <c r="X152" i="26"/>
  <c r="V152" i="26"/>
  <c r="T152" i="26"/>
  <c r="P152" i="26"/>
  <c r="O152" i="26"/>
  <c r="X151" i="26"/>
  <c r="V151" i="26"/>
  <c r="T151" i="26"/>
  <c r="P151" i="26"/>
  <c r="O151" i="26"/>
  <c r="X150" i="26"/>
  <c r="V150" i="26"/>
  <c r="T150" i="26"/>
  <c r="P150" i="26"/>
  <c r="O150" i="26"/>
  <c r="X149" i="26"/>
  <c r="V149" i="26"/>
  <c r="T149" i="26"/>
  <c r="P149" i="26"/>
  <c r="O149" i="26"/>
  <c r="X148" i="26"/>
  <c r="V148" i="26"/>
  <c r="T148" i="26"/>
  <c r="P148" i="26"/>
  <c r="O148" i="26"/>
  <c r="X147" i="26"/>
  <c r="V147" i="26"/>
  <c r="T147" i="26"/>
  <c r="P147" i="26"/>
  <c r="O147" i="26"/>
  <c r="X146" i="26"/>
  <c r="V146" i="26"/>
  <c r="T146" i="26"/>
  <c r="P146" i="26"/>
  <c r="O146" i="26"/>
  <c r="X145" i="26"/>
  <c r="V145" i="26"/>
  <c r="T145" i="26"/>
  <c r="P145" i="26"/>
  <c r="O145" i="26"/>
  <c r="X144" i="26"/>
  <c r="V144" i="26"/>
  <c r="T144" i="26"/>
  <c r="P144" i="26"/>
  <c r="O144" i="26"/>
  <c r="X143" i="26"/>
  <c r="V143" i="26"/>
  <c r="T143" i="26"/>
  <c r="P143" i="26"/>
  <c r="O143" i="26"/>
  <c r="X142" i="26"/>
  <c r="V142" i="26"/>
  <c r="T142" i="26"/>
  <c r="P142" i="26"/>
  <c r="O142" i="26"/>
  <c r="X141" i="26"/>
  <c r="V141" i="26"/>
  <c r="T141" i="26"/>
  <c r="P141" i="26"/>
  <c r="O141" i="26"/>
  <c r="X140" i="26"/>
  <c r="V140" i="26"/>
  <c r="T140" i="26"/>
  <c r="P140" i="26"/>
  <c r="O140" i="26"/>
  <c r="X139" i="26"/>
  <c r="V139" i="26"/>
  <c r="T139" i="26"/>
  <c r="P139" i="26"/>
  <c r="O139" i="26"/>
  <c r="X138" i="26"/>
  <c r="V138" i="26"/>
  <c r="T138" i="26"/>
  <c r="P138" i="26"/>
  <c r="O138" i="26"/>
  <c r="X137" i="26"/>
  <c r="V137" i="26"/>
  <c r="T137" i="26"/>
  <c r="P137" i="26"/>
  <c r="O137" i="26"/>
  <c r="X136" i="26"/>
  <c r="V136" i="26"/>
  <c r="T136" i="26"/>
  <c r="P136" i="26"/>
  <c r="O136" i="26"/>
  <c r="X135" i="26"/>
  <c r="V135" i="26"/>
  <c r="T135" i="26"/>
  <c r="P135" i="26"/>
  <c r="O135" i="26"/>
  <c r="X134" i="26"/>
  <c r="V134" i="26"/>
  <c r="T134" i="26"/>
  <c r="P134" i="26"/>
  <c r="O134" i="26"/>
  <c r="X133" i="26"/>
  <c r="V133" i="26"/>
  <c r="T133" i="26"/>
  <c r="P133" i="26"/>
  <c r="O133" i="26"/>
  <c r="X132" i="26"/>
  <c r="V132" i="26"/>
  <c r="T132" i="26"/>
  <c r="P132" i="26"/>
  <c r="O132" i="26"/>
  <c r="X131" i="26"/>
  <c r="V131" i="26"/>
  <c r="T131" i="26"/>
  <c r="P131" i="26"/>
  <c r="O131" i="26"/>
  <c r="X130" i="26"/>
  <c r="V130" i="26"/>
  <c r="T130" i="26"/>
  <c r="P130" i="26"/>
  <c r="O130" i="26"/>
  <c r="X129" i="26"/>
  <c r="V129" i="26"/>
  <c r="T129" i="26"/>
  <c r="P129" i="26"/>
  <c r="O129" i="26"/>
  <c r="X128" i="26"/>
  <c r="V128" i="26"/>
  <c r="T128" i="26"/>
  <c r="P128" i="26"/>
  <c r="O128" i="26"/>
  <c r="X127" i="26"/>
  <c r="V127" i="26"/>
  <c r="T127" i="26"/>
  <c r="P127" i="26"/>
  <c r="O127" i="26"/>
  <c r="X126" i="26"/>
  <c r="V126" i="26"/>
  <c r="T126" i="26"/>
  <c r="P126" i="26"/>
  <c r="O126" i="26"/>
  <c r="X125" i="26"/>
  <c r="V125" i="26"/>
  <c r="T125" i="26"/>
  <c r="P125" i="26"/>
  <c r="O125" i="26"/>
  <c r="X124" i="26"/>
  <c r="V124" i="26"/>
  <c r="T124" i="26"/>
  <c r="P124" i="26"/>
  <c r="O124" i="26"/>
  <c r="X123" i="26"/>
  <c r="V123" i="26"/>
  <c r="T123" i="26"/>
  <c r="P123" i="26"/>
  <c r="O123" i="26"/>
  <c r="X122" i="26"/>
  <c r="V122" i="26"/>
  <c r="T122" i="26"/>
  <c r="P122" i="26"/>
  <c r="O122" i="26"/>
  <c r="X121" i="26"/>
  <c r="V121" i="26"/>
  <c r="T121" i="26"/>
  <c r="P121" i="26"/>
  <c r="O121" i="26"/>
  <c r="X120" i="26"/>
  <c r="V120" i="26"/>
  <c r="T120" i="26"/>
  <c r="P120" i="26"/>
  <c r="O120" i="26"/>
  <c r="X119" i="26"/>
  <c r="V119" i="26"/>
  <c r="T119" i="26"/>
  <c r="P119" i="26"/>
  <c r="O119" i="26"/>
  <c r="X118" i="26"/>
  <c r="V118" i="26"/>
  <c r="T118" i="26"/>
  <c r="P118" i="26"/>
  <c r="O118" i="26"/>
  <c r="X117" i="26"/>
  <c r="V117" i="26"/>
  <c r="T117" i="26"/>
  <c r="P117" i="26"/>
  <c r="O117" i="26"/>
  <c r="X116" i="26"/>
  <c r="V116" i="26"/>
  <c r="T116" i="26"/>
  <c r="P116" i="26"/>
  <c r="O116" i="26"/>
  <c r="X115" i="26"/>
  <c r="V115" i="26"/>
  <c r="T115" i="26"/>
  <c r="P115" i="26"/>
  <c r="O115" i="26"/>
  <c r="X114" i="26"/>
  <c r="V114" i="26"/>
  <c r="T114" i="26"/>
  <c r="P114" i="26"/>
  <c r="O114" i="26"/>
  <c r="X113" i="26"/>
  <c r="V113" i="26"/>
  <c r="T113" i="26"/>
  <c r="P113" i="26"/>
  <c r="O113" i="26"/>
  <c r="X112" i="26"/>
  <c r="V112" i="26"/>
  <c r="T112" i="26"/>
  <c r="P112" i="26"/>
  <c r="O112" i="26"/>
  <c r="X111" i="26"/>
  <c r="V111" i="26"/>
  <c r="T111" i="26"/>
  <c r="P111" i="26"/>
  <c r="O111" i="26"/>
  <c r="X110" i="26"/>
  <c r="V110" i="26"/>
  <c r="T110" i="26"/>
  <c r="P110" i="26"/>
  <c r="O110" i="26"/>
  <c r="X109" i="26"/>
  <c r="V109" i="26"/>
  <c r="T109" i="26"/>
  <c r="P109" i="26"/>
  <c r="O109" i="26"/>
  <c r="X108" i="26"/>
  <c r="V108" i="26"/>
  <c r="T108" i="26"/>
  <c r="P108" i="26"/>
  <c r="O108" i="26"/>
  <c r="X107" i="26"/>
  <c r="V107" i="26"/>
  <c r="T107" i="26"/>
  <c r="P107" i="26"/>
  <c r="O107" i="26"/>
  <c r="X106" i="26"/>
  <c r="V106" i="26"/>
  <c r="T106" i="26"/>
  <c r="P106" i="26"/>
  <c r="O106" i="26"/>
  <c r="X105" i="26"/>
  <c r="V105" i="26"/>
  <c r="T105" i="26"/>
  <c r="P105" i="26"/>
  <c r="O105" i="26"/>
  <c r="X104" i="26"/>
  <c r="V104" i="26"/>
  <c r="T104" i="26"/>
  <c r="P104" i="26"/>
  <c r="O104" i="26"/>
  <c r="X103" i="26"/>
  <c r="V103" i="26"/>
  <c r="T103" i="26"/>
  <c r="P103" i="26"/>
  <c r="O103" i="26"/>
  <c r="X102" i="26"/>
  <c r="V102" i="26"/>
  <c r="T102" i="26"/>
  <c r="P102" i="26"/>
  <c r="O102" i="26"/>
  <c r="X101" i="26"/>
  <c r="V101" i="26"/>
  <c r="T101" i="26"/>
  <c r="P101" i="26"/>
  <c r="O101" i="26"/>
  <c r="X100" i="26"/>
  <c r="V100" i="26"/>
  <c r="T100" i="26"/>
  <c r="P100" i="26"/>
  <c r="O100" i="26"/>
  <c r="X99" i="26"/>
  <c r="V99" i="26"/>
  <c r="T99" i="26"/>
  <c r="P99" i="26"/>
  <c r="O99" i="26"/>
  <c r="X98" i="26"/>
  <c r="V98" i="26"/>
  <c r="T98" i="26"/>
  <c r="P98" i="26"/>
  <c r="O98" i="26"/>
  <c r="X97" i="26"/>
  <c r="V97" i="26"/>
  <c r="T97" i="26"/>
  <c r="P97" i="26"/>
  <c r="O97" i="26"/>
  <c r="X96" i="26"/>
  <c r="V96" i="26"/>
  <c r="T96" i="26"/>
  <c r="P96" i="26"/>
  <c r="O96" i="26"/>
  <c r="X95" i="26"/>
  <c r="V95" i="26"/>
  <c r="T95" i="26"/>
  <c r="P95" i="26"/>
  <c r="O95" i="26"/>
  <c r="X94" i="26"/>
  <c r="V94" i="26"/>
  <c r="T94" i="26"/>
  <c r="P94" i="26"/>
  <c r="O94" i="26"/>
  <c r="X93" i="26"/>
  <c r="V93" i="26"/>
  <c r="T93" i="26"/>
  <c r="P93" i="26"/>
  <c r="O93" i="26"/>
  <c r="X92" i="26"/>
  <c r="V92" i="26"/>
  <c r="T92" i="26"/>
  <c r="P92" i="26"/>
  <c r="O92" i="26"/>
  <c r="X91" i="26"/>
  <c r="V91" i="26"/>
  <c r="T91" i="26"/>
  <c r="P91" i="26"/>
  <c r="O91" i="26"/>
  <c r="X90" i="26"/>
  <c r="V90" i="26"/>
  <c r="T90" i="26"/>
  <c r="P90" i="26"/>
  <c r="O90" i="26"/>
  <c r="X89" i="26"/>
  <c r="V89" i="26"/>
  <c r="T89" i="26"/>
  <c r="P89" i="26"/>
  <c r="O89" i="26"/>
  <c r="X88" i="26"/>
  <c r="V88" i="26"/>
  <c r="T88" i="26"/>
  <c r="P88" i="26"/>
  <c r="O88" i="26"/>
  <c r="X87" i="26"/>
  <c r="V87" i="26"/>
  <c r="T87" i="26"/>
  <c r="P87" i="26"/>
  <c r="O87" i="26"/>
  <c r="X86" i="26"/>
  <c r="V86" i="26"/>
  <c r="T86" i="26"/>
  <c r="P86" i="26"/>
  <c r="O86" i="26"/>
  <c r="X85" i="26"/>
  <c r="V85" i="26"/>
  <c r="T85" i="26"/>
  <c r="P85" i="26"/>
  <c r="O85" i="26"/>
  <c r="X84" i="26"/>
  <c r="V84" i="26"/>
  <c r="T84" i="26"/>
  <c r="P84" i="26"/>
  <c r="O84" i="26"/>
  <c r="X83" i="26"/>
  <c r="V83" i="26"/>
  <c r="T83" i="26"/>
  <c r="P83" i="26"/>
  <c r="O83" i="26"/>
  <c r="X82" i="26"/>
  <c r="V82" i="26"/>
  <c r="T82" i="26"/>
  <c r="P82" i="26"/>
  <c r="O82" i="26"/>
  <c r="X81" i="26"/>
  <c r="V81" i="26"/>
  <c r="T81" i="26"/>
  <c r="P81" i="26"/>
  <c r="O81" i="26"/>
  <c r="X80" i="26"/>
  <c r="V80" i="26"/>
  <c r="T80" i="26"/>
  <c r="P80" i="26"/>
  <c r="O80" i="26"/>
  <c r="X79" i="26"/>
  <c r="V79" i="26"/>
  <c r="T79" i="26"/>
  <c r="P79" i="26"/>
  <c r="O79" i="26"/>
  <c r="X78" i="26"/>
  <c r="V78" i="26"/>
  <c r="T78" i="26"/>
  <c r="P78" i="26"/>
  <c r="O78" i="26"/>
  <c r="X77" i="26"/>
  <c r="V77" i="26"/>
  <c r="T77" i="26"/>
  <c r="P77" i="26"/>
  <c r="O77" i="26"/>
  <c r="X76" i="26"/>
  <c r="V76" i="26"/>
  <c r="T76" i="26"/>
  <c r="P76" i="26"/>
  <c r="O76" i="26"/>
  <c r="X75" i="26"/>
  <c r="V75" i="26"/>
  <c r="T75" i="26"/>
  <c r="P75" i="26"/>
  <c r="O75" i="26"/>
  <c r="X74" i="26"/>
  <c r="V74" i="26"/>
  <c r="T74" i="26"/>
  <c r="P74" i="26"/>
  <c r="O74" i="26"/>
  <c r="X73" i="26"/>
  <c r="V73" i="26"/>
  <c r="T73" i="26"/>
  <c r="P73" i="26"/>
  <c r="O73" i="26"/>
  <c r="X72" i="26"/>
  <c r="V72" i="26"/>
  <c r="T72" i="26"/>
  <c r="P72" i="26"/>
  <c r="O72" i="26"/>
  <c r="X71" i="26"/>
  <c r="V71" i="26"/>
  <c r="T71" i="26"/>
  <c r="P71" i="26"/>
  <c r="O71" i="26"/>
  <c r="N71" i="26"/>
  <c r="N72" i="26" s="1"/>
  <c r="N73" i="26" s="1"/>
  <c r="N74" i="26" s="1"/>
  <c r="N75" i="26" s="1"/>
  <c r="N76" i="26" s="1"/>
  <c r="N77" i="26" s="1"/>
  <c r="N78" i="26" s="1"/>
  <c r="N79" i="26" s="1"/>
  <c r="N80" i="26" s="1"/>
  <c r="N81" i="26" s="1"/>
  <c r="N82" i="26" s="1"/>
  <c r="N83" i="26" s="1"/>
  <c r="N84" i="26" s="1"/>
  <c r="N85" i="26" s="1"/>
  <c r="N86" i="26" s="1"/>
  <c r="N87" i="26" s="1"/>
  <c r="N88" i="26" s="1"/>
  <c r="N89" i="26" s="1"/>
  <c r="N90" i="26" s="1"/>
  <c r="N91" i="26" s="1"/>
  <c r="N92" i="26" s="1"/>
  <c r="N93" i="26" s="1"/>
  <c r="N94" i="26" s="1"/>
  <c r="N95" i="26" s="1"/>
  <c r="N96" i="26" s="1"/>
  <c r="N97" i="26" s="1"/>
  <c r="N98" i="26" s="1"/>
  <c r="N99" i="26" s="1"/>
  <c r="N100" i="26" s="1"/>
  <c r="N101" i="26" s="1"/>
  <c r="N102" i="26" s="1"/>
  <c r="N103" i="26" s="1"/>
  <c r="N104" i="26" s="1"/>
  <c r="N105" i="26" s="1"/>
  <c r="N106" i="26" s="1"/>
  <c r="N107" i="26" s="1"/>
  <c r="N108" i="26" s="1"/>
  <c r="N109" i="26" s="1"/>
  <c r="N110" i="26" s="1"/>
  <c r="N111" i="26" s="1"/>
  <c r="N112" i="26" s="1"/>
  <c r="N113" i="26" s="1"/>
  <c r="N114" i="26" s="1"/>
  <c r="N115" i="26" s="1"/>
  <c r="N116" i="26" s="1"/>
  <c r="N117" i="26" s="1"/>
  <c r="N118" i="26" s="1"/>
  <c r="N119" i="26" s="1"/>
  <c r="N120" i="26" s="1"/>
  <c r="N121" i="26" s="1"/>
  <c r="N122" i="26" s="1"/>
  <c r="N123" i="26" s="1"/>
  <c r="N124" i="26" s="1"/>
  <c r="N125" i="26" s="1"/>
  <c r="N126" i="26" s="1"/>
  <c r="N127" i="26" s="1"/>
  <c r="N128" i="26" s="1"/>
  <c r="N129" i="26" s="1"/>
  <c r="N130" i="26" s="1"/>
  <c r="N131" i="26" s="1"/>
  <c r="N132" i="26" s="1"/>
  <c r="N133" i="26" s="1"/>
  <c r="N134" i="26" s="1"/>
  <c r="N135" i="26" s="1"/>
  <c r="N136" i="26" s="1"/>
  <c r="N137" i="26" s="1"/>
  <c r="N138" i="26" s="1"/>
  <c r="N139" i="26" s="1"/>
  <c r="N140" i="26" s="1"/>
  <c r="N141" i="26" s="1"/>
  <c r="N142" i="26" s="1"/>
  <c r="N143" i="26" s="1"/>
  <c r="N144" i="26" s="1"/>
  <c r="N145" i="26" s="1"/>
  <c r="N146" i="26" s="1"/>
  <c r="N147" i="26" s="1"/>
  <c r="N148" i="26" s="1"/>
  <c r="N149" i="26" s="1"/>
  <c r="N150" i="26" s="1"/>
  <c r="N151" i="26" s="1"/>
  <c r="N152" i="26" s="1"/>
  <c r="N153" i="26" s="1"/>
  <c r="N154" i="26" s="1"/>
  <c r="N155" i="26" s="1"/>
  <c r="N156" i="26" s="1"/>
  <c r="N157" i="26" s="1"/>
  <c r="N158" i="26" s="1"/>
  <c r="N159" i="26" s="1"/>
  <c r="N160" i="26" s="1"/>
  <c r="N161" i="26" s="1"/>
  <c r="N162" i="26" s="1"/>
  <c r="N163" i="26" s="1"/>
  <c r="N164" i="26" s="1"/>
  <c r="N165" i="26" s="1"/>
  <c r="N166" i="26" s="1"/>
  <c r="N167" i="26" s="1"/>
  <c r="N168" i="26" s="1"/>
  <c r="N169" i="26" s="1"/>
  <c r="N170" i="26" s="1"/>
  <c r="M71" i="26"/>
  <c r="M72" i="26" s="1"/>
  <c r="M73" i="26" s="1"/>
  <c r="K71" i="26"/>
  <c r="D71" i="26"/>
  <c r="E71" i="26" s="1"/>
  <c r="AE71" i="26" s="1"/>
  <c r="D72" i="26" s="1"/>
  <c r="X70" i="26"/>
  <c r="V70" i="26"/>
  <c r="T70" i="26"/>
  <c r="P70" i="26"/>
  <c r="O70" i="26"/>
  <c r="F70" i="26"/>
  <c r="F71" i="26" s="1"/>
  <c r="D70" i="26"/>
  <c r="B63" i="26"/>
  <c r="Z63" i="26" s="1"/>
  <c r="B62" i="26"/>
  <c r="B61" i="26"/>
  <c r="B60" i="26"/>
  <c r="B59" i="26"/>
  <c r="Z59" i="26" s="1"/>
  <c r="B58" i="26"/>
  <c r="B57" i="26"/>
  <c r="B56" i="26"/>
  <c r="B55" i="26"/>
  <c r="Z55" i="26" s="1"/>
  <c r="B54" i="26"/>
  <c r="Z54" i="26" s="1"/>
  <c r="B53" i="26"/>
  <c r="B52" i="26"/>
  <c r="B51" i="26"/>
  <c r="Z51" i="26" s="1"/>
  <c r="B50" i="26"/>
  <c r="Z50" i="26" s="1"/>
  <c r="B49" i="26"/>
  <c r="B48" i="26"/>
  <c r="B47" i="26"/>
  <c r="B46" i="26"/>
  <c r="Z46" i="26" s="1"/>
  <c r="B45" i="26"/>
  <c r="C41" i="26"/>
  <c r="C35" i="26"/>
  <c r="C34" i="26"/>
  <c r="C33" i="26"/>
  <c r="C32" i="26"/>
  <c r="C31" i="26"/>
  <c r="C30" i="26"/>
  <c r="C29" i="26"/>
  <c r="C28" i="26"/>
  <c r="C27" i="26"/>
  <c r="C26" i="26"/>
  <c r="C25" i="26"/>
  <c r="C24" i="26"/>
  <c r="C23" i="26"/>
  <c r="C22" i="26"/>
  <c r="C21" i="26"/>
  <c r="C20" i="26"/>
  <c r="C19" i="26"/>
  <c r="C18" i="26"/>
  <c r="C17" i="26"/>
  <c r="C16" i="26"/>
  <c r="C15" i="26"/>
  <c r="C14" i="26"/>
  <c r="C13" i="26"/>
  <c r="C12" i="26"/>
  <c r="G11" i="26"/>
  <c r="I11" i="26" s="1"/>
  <c r="C11" i="26"/>
  <c r="C10" i="26"/>
  <c r="C9" i="26"/>
  <c r="C8" i="26"/>
  <c r="C7" i="26"/>
  <c r="C6" i="26"/>
  <c r="C5" i="26"/>
  <c r="C4" i="26"/>
  <c r="C3" i="26"/>
  <c r="C2" i="26"/>
  <c r="X170" i="25"/>
  <c r="V170" i="25"/>
  <c r="T170" i="25"/>
  <c r="P170" i="25"/>
  <c r="O170" i="25"/>
  <c r="X169" i="25"/>
  <c r="V169" i="25"/>
  <c r="T169" i="25"/>
  <c r="P169" i="25"/>
  <c r="O169" i="25"/>
  <c r="X168" i="25"/>
  <c r="V168" i="25"/>
  <c r="T168" i="25"/>
  <c r="P168" i="25"/>
  <c r="O168" i="25"/>
  <c r="X167" i="25"/>
  <c r="V167" i="25"/>
  <c r="T167" i="25"/>
  <c r="P167" i="25"/>
  <c r="O167" i="25"/>
  <c r="X166" i="25"/>
  <c r="V166" i="25"/>
  <c r="T166" i="25"/>
  <c r="P166" i="25"/>
  <c r="O166" i="25"/>
  <c r="X165" i="25"/>
  <c r="V165" i="25"/>
  <c r="T165" i="25"/>
  <c r="P165" i="25"/>
  <c r="O165" i="25"/>
  <c r="X164" i="25"/>
  <c r="V164" i="25"/>
  <c r="T164" i="25"/>
  <c r="P164" i="25"/>
  <c r="O164" i="25"/>
  <c r="X163" i="25"/>
  <c r="V163" i="25"/>
  <c r="T163" i="25"/>
  <c r="P163" i="25"/>
  <c r="O163" i="25"/>
  <c r="X162" i="25"/>
  <c r="V162" i="25"/>
  <c r="T162" i="25"/>
  <c r="P162" i="25"/>
  <c r="O162" i="25"/>
  <c r="X161" i="25"/>
  <c r="V161" i="25"/>
  <c r="T161" i="25"/>
  <c r="P161" i="25"/>
  <c r="O161" i="25"/>
  <c r="X160" i="25"/>
  <c r="V160" i="25"/>
  <c r="T160" i="25"/>
  <c r="P160" i="25"/>
  <c r="O160" i="25"/>
  <c r="X159" i="25"/>
  <c r="V159" i="25"/>
  <c r="T159" i="25"/>
  <c r="P159" i="25"/>
  <c r="O159" i="25"/>
  <c r="X158" i="25"/>
  <c r="V158" i="25"/>
  <c r="T158" i="25"/>
  <c r="P158" i="25"/>
  <c r="O158" i="25"/>
  <c r="X157" i="25"/>
  <c r="V157" i="25"/>
  <c r="T157" i="25"/>
  <c r="P157" i="25"/>
  <c r="O157" i="25"/>
  <c r="X156" i="25"/>
  <c r="V156" i="25"/>
  <c r="T156" i="25"/>
  <c r="P156" i="25"/>
  <c r="O156" i="25"/>
  <c r="X155" i="25"/>
  <c r="V155" i="25"/>
  <c r="T155" i="25"/>
  <c r="P155" i="25"/>
  <c r="O155" i="25"/>
  <c r="X154" i="25"/>
  <c r="V154" i="25"/>
  <c r="T154" i="25"/>
  <c r="P154" i="25"/>
  <c r="O154" i="25"/>
  <c r="X153" i="25"/>
  <c r="V153" i="25"/>
  <c r="T153" i="25"/>
  <c r="P153" i="25"/>
  <c r="O153" i="25"/>
  <c r="X152" i="25"/>
  <c r="V152" i="25"/>
  <c r="T152" i="25"/>
  <c r="P152" i="25"/>
  <c r="O152" i="25"/>
  <c r="X151" i="25"/>
  <c r="V151" i="25"/>
  <c r="T151" i="25"/>
  <c r="P151" i="25"/>
  <c r="O151" i="25"/>
  <c r="X150" i="25"/>
  <c r="V150" i="25"/>
  <c r="T150" i="25"/>
  <c r="P150" i="25"/>
  <c r="O150" i="25"/>
  <c r="X149" i="25"/>
  <c r="V149" i="25"/>
  <c r="T149" i="25"/>
  <c r="P149" i="25"/>
  <c r="O149" i="25"/>
  <c r="X148" i="25"/>
  <c r="V148" i="25"/>
  <c r="T148" i="25"/>
  <c r="P148" i="25"/>
  <c r="O148" i="25"/>
  <c r="X147" i="25"/>
  <c r="V147" i="25"/>
  <c r="T147" i="25"/>
  <c r="P147" i="25"/>
  <c r="O147" i="25"/>
  <c r="X146" i="25"/>
  <c r="V146" i="25"/>
  <c r="T146" i="25"/>
  <c r="P146" i="25"/>
  <c r="O146" i="25"/>
  <c r="X145" i="25"/>
  <c r="V145" i="25"/>
  <c r="T145" i="25"/>
  <c r="P145" i="25"/>
  <c r="O145" i="25"/>
  <c r="X144" i="25"/>
  <c r="V144" i="25"/>
  <c r="T144" i="25"/>
  <c r="P144" i="25"/>
  <c r="O144" i="25"/>
  <c r="X143" i="25"/>
  <c r="V143" i="25"/>
  <c r="T143" i="25"/>
  <c r="P143" i="25"/>
  <c r="O143" i="25"/>
  <c r="X142" i="25"/>
  <c r="V142" i="25"/>
  <c r="T142" i="25"/>
  <c r="P142" i="25"/>
  <c r="O142" i="25"/>
  <c r="X141" i="25"/>
  <c r="V141" i="25"/>
  <c r="T141" i="25"/>
  <c r="P141" i="25"/>
  <c r="O141" i="25"/>
  <c r="X140" i="25"/>
  <c r="V140" i="25"/>
  <c r="T140" i="25"/>
  <c r="P140" i="25"/>
  <c r="O140" i="25"/>
  <c r="X139" i="25"/>
  <c r="V139" i="25"/>
  <c r="T139" i="25"/>
  <c r="P139" i="25"/>
  <c r="O139" i="25"/>
  <c r="X138" i="25"/>
  <c r="V138" i="25"/>
  <c r="T138" i="25"/>
  <c r="P138" i="25"/>
  <c r="O138" i="25"/>
  <c r="X137" i="25"/>
  <c r="V137" i="25"/>
  <c r="T137" i="25"/>
  <c r="P137" i="25"/>
  <c r="O137" i="25"/>
  <c r="X136" i="25"/>
  <c r="V136" i="25"/>
  <c r="T136" i="25"/>
  <c r="P136" i="25"/>
  <c r="O136" i="25"/>
  <c r="X135" i="25"/>
  <c r="V135" i="25"/>
  <c r="T135" i="25"/>
  <c r="P135" i="25"/>
  <c r="O135" i="25"/>
  <c r="X134" i="25"/>
  <c r="V134" i="25"/>
  <c r="T134" i="25"/>
  <c r="P134" i="25"/>
  <c r="O134" i="25"/>
  <c r="X133" i="25"/>
  <c r="V133" i="25"/>
  <c r="T133" i="25"/>
  <c r="P133" i="25"/>
  <c r="O133" i="25"/>
  <c r="X132" i="25"/>
  <c r="V132" i="25"/>
  <c r="T132" i="25"/>
  <c r="P132" i="25"/>
  <c r="O132" i="25"/>
  <c r="X131" i="25"/>
  <c r="V131" i="25"/>
  <c r="T131" i="25"/>
  <c r="P131" i="25"/>
  <c r="O131" i="25"/>
  <c r="X130" i="25"/>
  <c r="V130" i="25"/>
  <c r="T130" i="25"/>
  <c r="P130" i="25"/>
  <c r="O130" i="25"/>
  <c r="X129" i="25"/>
  <c r="V129" i="25"/>
  <c r="T129" i="25"/>
  <c r="P129" i="25"/>
  <c r="O129" i="25"/>
  <c r="X128" i="25"/>
  <c r="V128" i="25"/>
  <c r="T128" i="25"/>
  <c r="P128" i="25"/>
  <c r="O128" i="25"/>
  <c r="X127" i="25"/>
  <c r="V127" i="25"/>
  <c r="T127" i="25"/>
  <c r="P127" i="25"/>
  <c r="O127" i="25"/>
  <c r="X126" i="25"/>
  <c r="V126" i="25"/>
  <c r="T126" i="25"/>
  <c r="P126" i="25"/>
  <c r="O126" i="25"/>
  <c r="X125" i="25"/>
  <c r="V125" i="25"/>
  <c r="T125" i="25"/>
  <c r="P125" i="25"/>
  <c r="O125" i="25"/>
  <c r="X124" i="25"/>
  <c r="V124" i="25"/>
  <c r="T124" i="25"/>
  <c r="P124" i="25"/>
  <c r="O124" i="25"/>
  <c r="X123" i="25"/>
  <c r="V123" i="25"/>
  <c r="T123" i="25"/>
  <c r="P123" i="25"/>
  <c r="O123" i="25"/>
  <c r="X122" i="25"/>
  <c r="V122" i="25"/>
  <c r="T122" i="25"/>
  <c r="P122" i="25"/>
  <c r="O122" i="25"/>
  <c r="X121" i="25"/>
  <c r="V121" i="25"/>
  <c r="T121" i="25"/>
  <c r="P121" i="25"/>
  <c r="O121" i="25"/>
  <c r="X120" i="25"/>
  <c r="V120" i="25"/>
  <c r="T120" i="25"/>
  <c r="P120" i="25"/>
  <c r="O120" i="25"/>
  <c r="X119" i="25"/>
  <c r="V119" i="25"/>
  <c r="T119" i="25"/>
  <c r="P119" i="25"/>
  <c r="O119" i="25"/>
  <c r="X118" i="25"/>
  <c r="V118" i="25"/>
  <c r="T118" i="25"/>
  <c r="P118" i="25"/>
  <c r="O118" i="25"/>
  <c r="X117" i="25"/>
  <c r="V117" i="25"/>
  <c r="T117" i="25"/>
  <c r="P117" i="25"/>
  <c r="O117" i="25"/>
  <c r="X116" i="25"/>
  <c r="V116" i="25"/>
  <c r="T116" i="25"/>
  <c r="P116" i="25"/>
  <c r="O116" i="25"/>
  <c r="X115" i="25"/>
  <c r="V115" i="25"/>
  <c r="T115" i="25"/>
  <c r="P115" i="25"/>
  <c r="O115" i="25"/>
  <c r="X114" i="25"/>
  <c r="V114" i="25"/>
  <c r="T114" i="25"/>
  <c r="P114" i="25"/>
  <c r="O114" i="25"/>
  <c r="X113" i="25"/>
  <c r="V113" i="25"/>
  <c r="T113" i="25"/>
  <c r="P113" i="25"/>
  <c r="O113" i="25"/>
  <c r="X112" i="25"/>
  <c r="V112" i="25"/>
  <c r="T112" i="25"/>
  <c r="P112" i="25"/>
  <c r="O112" i="25"/>
  <c r="X111" i="25"/>
  <c r="V111" i="25"/>
  <c r="T111" i="25"/>
  <c r="P111" i="25"/>
  <c r="O111" i="25"/>
  <c r="X110" i="25"/>
  <c r="V110" i="25"/>
  <c r="T110" i="25"/>
  <c r="P110" i="25"/>
  <c r="O110" i="25"/>
  <c r="X109" i="25"/>
  <c r="V109" i="25"/>
  <c r="T109" i="25"/>
  <c r="P109" i="25"/>
  <c r="O109" i="25"/>
  <c r="X108" i="25"/>
  <c r="V108" i="25"/>
  <c r="T108" i="25"/>
  <c r="P108" i="25"/>
  <c r="O108" i="25"/>
  <c r="X107" i="25"/>
  <c r="V107" i="25"/>
  <c r="T107" i="25"/>
  <c r="P107" i="25"/>
  <c r="O107" i="25"/>
  <c r="X106" i="25"/>
  <c r="V106" i="25"/>
  <c r="T106" i="25"/>
  <c r="P106" i="25"/>
  <c r="O106" i="25"/>
  <c r="X105" i="25"/>
  <c r="V105" i="25"/>
  <c r="T105" i="25"/>
  <c r="P105" i="25"/>
  <c r="O105" i="25"/>
  <c r="X104" i="25"/>
  <c r="V104" i="25"/>
  <c r="T104" i="25"/>
  <c r="P104" i="25"/>
  <c r="O104" i="25"/>
  <c r="X103" i="25"/>
  <c r="V103" i="25"/>
  <c r="T103" i="25"/>
  <c r="P103" i="25"/>
  <c r="O103" i="25"/>
  <c r="X102" i="25"/>
  <c r="V102" i="25"/>
  <c r="T102" i="25"/>
  <c r="P102" i="25"/>
  <c r="O102" i="25"/>
  <c r="X101" i="25"/>
  <c r="V101" i="25"/>
  <c r="T101" i="25"/>
  <c r="P101" i="25"/>
  <c r="O101" i="25"/>
  <c r="X100" i="25"/>
  <c r="V100" i="25"/>
  <c r="T100" i="25"/>
  <c r="P100" i="25"/>
  <c r="O100" i="25"/>
  <c r="X99" i="25"/>
  <c r="V99" i="25"/>
  <c r="T99" i="25"/>
  <c r="P99" i="25"/>
  <c r="O99" i="25"/>
  <c r="X98" i="25"/>
  <c r="V98" i="25"/>
  <c r="T98" i="25"/>
  <c r="P98" i="25"/>
  <c r="O98" i="25"/>
  <c r="X97" i="25"/>
  <c r="V97" i="25"/>
  <c r="T97" i="25"/>
  <c r="P97" i="25"/>
  <c r="O97" i="25"/>
  <c r="X96" i="25"/>
  <c r="V96" i="25"/>
  <c r="T96" i="25"/>
  <c r="P96" i="25"/>
  <c r="O96" i="25"/>
  <c r="X95" i="25"/>
  <c r="V95" i="25"/>
  <c r="T95" i="25"/>
  <c r="P95" i="25"/>
  <c r="O95" i="25"/>
  <c r="X94" i="25"/>
  <c r="V94" i="25"/>
  <c r="T94" i="25"/>
  <c r="P94" i="25"/>
  <c r="O94" i="25"/>
  <c r="X93" i="25"/>
  <c r="V93" i="25"/>
  <c r="T93" i="25"/>
  <c r="P93" i="25"/>
  <c r="O93" i="25"/>
  <c r="X92" i="25"/>
  <c r="V92" i="25"/>
  <c r="T92" i="25"/>
  <c r="P92" i="25"/>
  <c r="O92" i="25"/>
  <c r="X91" i="25"/>
  <c r="V91" i="25"/>
  <c r="T91" i="25"/>
  <c r="P91" i="25"/>
  <c r="O91" i="25"/>
  <c r="X90" i="25"/>
  <c r="V90" i="25"/>
  <c r="T90" i="25"/>
  <c r="P90" i="25"/>
  <c r="O90" i="25"/>
  <c r="X89" i="25"/>
  <c r="V89" i="25"/>
  <c r="T89" i="25"/>
  <c r="P89" i="25"/>
  <c r="O89" i="25"/>
  <c r="X88" i="25"/>
  <c r="V88" i="25"/>
  <c r="T88" i="25"/>
  <c r="P88" i="25"/>
  <c r="O88" i="25"/>
  <c r="X87" i="25"/>
  <c r="V87" i="25"/>
  <c r="T87" i="25"/>
  <c r="P87" i="25"/>
  <c r="O87" i="25"/>
  <c r="X86" i="25"/>
  <c r="V86" i="25"/>
  <c r="T86" i="25"/>
  <c r="P86" i="25"/>
  <c r="O86" i="25"/>
  <c r="X85" i="25"/>
  <c r="V85" i="25"/>
  <c r="T85" i="25"/>
  <c r="P85" i="25"/>
  <c r="O85" i="25"/>
  <c r="X84" i="25"/>
  <c r="V84" i="25"/>
  <c r="T84" i="25"/>
  <c r="P84" i="25"/>
  <c r="O84" i="25"/>
  <c r="X83" i="25"/>
  <c r="V83" i="25"/>
  <c r="T83" i="25"/>
  <c r="P83" i="25"/>
  <c r="O83" i="25"/>
  <c r="X82" i="25"/>
  <c r="V82" i="25"/>
  <c r="T82" i="25"/>
  <c r="P82" i="25"/>
  <c r="O82" i="25"/>
  <c r="X81" i="25"/>
  <c r="V81" i="25"/>
  <c r="T81" i="25"/>
  <c r="P81" i="25"/>
  <c r="O81" i="25"/>
  <c r="X80" i="25"/>
  <c r="V80" i="25"/>
  <c r="T80" i="25"/>
  <c r="P80" i="25"/>
  <c r="O80" i="25"/>
  <c r="X79" i="25"/>
  <c r="V79" i="25"/>
  <c r="T79" i="25"/>
  <c r="P79" i="25"/>
  <c r="O79" i="25"/>
  <c r="X78" i="25"/>
  <c r="V78" i="25"/>
  <c r="T78" i="25"/>
  <c r="P78" i="25"/>
  <c r="O78" i="25"/>
  <c r="X77" i="25"/>
  <c r="V77" i="25"/>
  <c r="T77" i="25"/>
  <c r="P77" i="25"/>
  <c r="O77" i="25"/>
  <c r="X76" i="25"/>
  <c r="V76" i="25"/>
  <c r="T76" i="25"/>
  <c r="P76" i="25"/>
  <c r="O76" i="25"/>
  <c r="X75" i="25"/>
  <c r="V75" i="25"/>
  <c r="T75" i="25"/>
  <c r="P75" i="25"/>
  <c r="O75" i="25"/>
  <c r="X74" i="25"/>
  <c r="V74" i="25"/>
  <c r="T74" i="25"/>
  <c r="P74" i="25"/>
  <c r="O74" i="25"/>
  <c r="X73" i="25"/>
  <c r="V73" i="25"/>
  <c r="T73" i="25"/>
  <c r="P73" i="25"/>
  <c r="O73" i="25"/>
  <c r="X72" i="25"/>
  <c r="V72" i="25"/>
  <c r="T72" i="25"/>
  <c r="P72" i="25"/>
  <c r="O72" i="25"/>
  <c r="X71" i="25"/>
  <c r="V71" i="25"/>
  <c r="T71" i="25"/>
  <c r="P71" i="25"/>
  <c r="O71" i="25"/>
  <c r="N71" i="25"/>
  <c r="N72" i="25" s="1"/>
  <c r="N73" i="25" s="1"/>
  <c r="N74" i="25" s="1"/>
  <c r="N75" i="25" s="1"/>
  <c r="N76" i="25" s="1"/>
  <c r="N77" i="25" s="1"/>
  <c r="N78" i="25" s="1"/>
  <c r="N79" i="25" s="1"/>
  <c r="N80" i="25" s="1"/>
  <c r="N81" i="25" s="1"/>
  <c r="N82" i="25" s="1"/>
  <c r="N83" i="25" s="1"/>
  <c r="N84" i="25" s="1"/>
  <c r="N85" i="25" s="1"/>
  <c r="N86" i="25" s="1"/>
  <c r="N87" i="25" s="1"/>
  <c r="N88" i="25" s="1"/>
  <c r="N89" i="25" s="1"/>
  <c r="N90" i="25" s="1"/>
  <c r="N91" i="25" s="1"/>
  <c r="N92" i="25" s="1"/>
  <c r="N93" i="25" s="1"/>
  <c r="N94" i="25" s="1"/>
  <c r="N95" i="25" s="1"/>
  <c r="N96" i="25" s="1"/>
  <c r="N97" i="25" s="1"/>
  <c r="N98" i="25" s="1"/>
  <c r="N99" i="25" s="1"/>
  <c r="N100" i="25" s="1"/>
  <c r="N101" i="25" s="1"/>
  <c r="N102" i="25" s="1"/>
  <c r="N103" i="25" s="1"/>
  <c r="N104" i="25" s="1"/>
  <c r="N105" i="25" s="1"/>
  <c r="N106" i="25" s="1"/>
  <c r="N107" i="25" s="1"/>
  <c r="N108" i="25" s="1"/>
  <c r="N109" i="25" s="1"/>
  <c r="N110" i="25" s="1"/>
  <c r="N111" i="25" s="1"/>
  <c r="N112" i="25" s="1"/>
  <c r="N113" i="25" s="1"/>
  <c r="N114" i="25" s="1"/>
  <c r="N115" i="25" s="1"/>
  <c r="N116" i="25" s="1"/>
  <c r="N117" i="25" s="1"/>
  <c r="N118" i="25" s="1"/>
  <c r="N119" i="25" s="1"/>
  <c r="N120" i="25" s="1"/>
  <c r="N121" i="25" s="1"/>
  <c r="N122" i="25" s="1"/>
  <c r="N123" i="25" s="1"/>
  <c r="N124" i="25" s="1"/>
  <c r="N125" i="25" s="1"/>
  <c r="N126" i="25" s="1"/>
  <c r="N127" i="25" s="1"/>
  <c r="N128" i="25" s="1"/>
  <c r="N129" i="25" s="1"/>
  <c r="N130" i="25" s="1"/>
  <c r="N131" i="25" s="1"/>
  <c r="N132" i="25" s="1"/>
  <c r="N133" i="25" s="1"/>
  <c r="N134" i="25" s="1"/>
  <c r="N135" i="25" s="1"/>
  <c r="N136" i="25" s="1"/>
  <c r="N137" i="25" s="1"/>
  <c r="N138" i="25" s="1"/>
  <c r="N139" i="25" s="1"/>
  <c r="N140" i="25" s="1"/>
  <c r="N141" i="25" s="1"/>
  <c r="N142" i="25" s="1"/>
  <c r="N143" i="25" s="1"/>
  <c r="N144" i="25" s="1"/>
  <c r="N145" i="25" s="1"/>
  <c r="N146" i="25" s="1"/>
  <c r="N147" i="25" s="1"/>
  <c r="N148" i="25" s="1"/>
  <c r="N149" i="25" s="1"/>
  <c r="N150" i="25" s="1"/>
  <c r="N151" i="25" s="1"/>
  <c r="N152" i="25" s="1"/>
  <c r="N153" i="25" s="1"/>
  <c r="N154" i="25" s="1"/>
  <c r="N155" i="25" s="1"/>
  <c r="N156" i="25" s="1"/>
  <c r="N157" i="25" s="1"/>
  <c r="N158" i="25" s="1"/>
  <c r="N159" i="25" s="1"/>
  <c r="N160" i="25" s="1"/>
  <c r="N161" i="25" s="1"/>
  <c r="N162" i="25" s="1"/>
  <c r="N163" i="25" s="1"/>
  <c r="N164" i="25" s="1"/>
  <c r="N165" i="25" s="1"/>
  <c r="N166" i="25" s="1"/>
  <c r="N167" i="25" s="1"/>
  <c r="N168" i="25" s="1"/>
  <c r="N169" i="25" s="1"/>
  <c r="N170" i="25" s="1"/>
  <c r="M71" i="25"/>
  <c r="M72" i="25" s="1"/>
  <c r="K71" i="25"/>
  <c r="D71" i="25"/>
  <c r="E71" i="25" s="1"/>
  <c r="X70" i="25"/>
  <c r="V70" i="25"/>
  <c r="T70" i="25"/>
  <c r="P70" i="25"/>
  <c r="O70" i="25"/>
  <c r="F70" i="25"/>
  <c r="D70" i="25"/>
  <c r="B63" i="25"/>
  <c r="Z63" i="25" s="1"/>
  <c r="B62" i="25"/>
  <c r="Z62" i="25" s="1"/>
  <c r="B61" i="25"/>
  <c r="B60" i="25"/>
  <c r="Z60" i="25" s="1"/>
  <c r="B59" i="25"/>
  <c r="Z59" i="25" s="1"/>
  <c r="B58" i="25"/>
  <c r="Z58" i="25" s="1"/>
  <c r="B57" i="25"/>
  <c r="B56" i="25"/>
  <c r="Z56" i="25" s="1"/>
  <c r="B55" i="25"/>
  <c r="Z55" i="25" s="1"/>
  <c r="B54" i="25"/>
  <c r="Z54" i="25" s="1"/>
  <c r="B53" i="25"/>
  <c r="Z53" i="25" s="1"/>
  <c r="B52" i="25"/>
  <c r="Z52" i="25" s="1"/>
  <c r="B51" i="25"/>
  <c r="Z51" i="25" s="1"/>
  <c r="B50" i="25"/>
  <c r="Z50" i="25" s="1"/>
  <c r="B49" i="25"/>
  <c r="B48" i="25"/>
  <c r="B47" i="25"/>
  <c r="Z47" i="25" s="1"/>
  <c r="B46" i="25"/>
  <c r="B45" i="25"/>
  <c r="Z45" i="25" s="1"/>
  <c r="C41" i="25"/>
  <c r="C35" i="25"/>
  <c r="C34" i="25"/>
  <c r="C33" i="25"/>
  <c r="C32" i="25"/>
  <c r="C31" i="25"/>
  <c r="C30" i="25"/>
  <c r="C29" i="25"/>
  <c r="C28" i="25"/>
  <c r="C27" i="25"/>
  <c r="C26" i="25"/>
  <c r="C25" i="25"/>
  <c r="C24" i="25"/>
  <c r="C23" i="25"/>
  <c r="C22" i="25"/>
  <c r="C21" i="25"/>
  <c r="C20" i="25"/>
  <c r="C19" i="25"/>
  <c r="C18" i="25"/>
  <c r="C17" i="25"/>
  <c r="C16" i="25"/>
  <c r="C15" i="25"/>
  <c r="C14" i="25"/>
  <c r="C13" i="25"/>
  <c r="C12" i="25"/>
  <c r="G11" i="25"/>
  <c r="I11" i="25" s="1"/>
  <c r="C11" i="25"/>
  <c r="C10" i="25"/>
  <c r="C9" i="25"/>
  <c r="C8" i="25"/>
  <c r="C7" i="25"/>
  <c r="C6" i="25"/>
  <c r="C5" i="25"/>
  <c r="C4" i="25"/>
  <c r="C3" i="25"/>
  <c r="C2" i="25"/>
  <c r="X170" i="24"/>
  <c r="V170" i="24"/>
  <c r="T170" i="24"/>
  <c r="P170" i="24"/>
  <c r="O170" i="24"/>
  <c r="X169" i="24"/>
  <c r="V169" i="24"/>
  <c r="T169" i="24"/>
  <c r="P169" i="24"/>
  <c r="O169" i="24"/>
  <c r="X168" i="24"/>
  <c r="V168" i="24"/>
  <c r="T168" i="24"/>
  <c r="P168" i="24"/>
  <c r="O168" i="24"/>
  <c r="X167" i="24"/>
  <c r="V167" i="24"/>
  <c r="T167" i="24"/>
  <c r="P167" i="24"/>
  <c r="O167" i="24"/>
  <c r="X166" i="24"/>
  <c r="V166" i="24"/>
  <c r="T166" i="24"/>
  <c r="P166" i="24"/>
  <c r="O166" i="24"/>
  <c r="X165" i="24"/>
  <c r="V165" i="24"/>
  <c r="T165" i="24"/>
  <c r="P165" i="24"/>
  <c r="O165" i="24"/>
  <c r="X164" i="24"/>
  <c r="V164" i="24"/>
  <c r="T164" i="24"/>
  <c r="P164" i="24"/>
  <c r="O164" i="24"/>
  <c r="X163" i="24"/>
  <c r="V163" i="24"/>
  <c r="T163" i="24"/>
  <c r="P163" i="24"/>
  <c r="O163" i="24"/>
  <c r="X162" i="24"/>
  <c r="V162" i="24"/>
  <c r="T162" i="24"/>
  <c r="P162" i="24"/>
  <c r="O162" i="24"/>
  <c r="X161" i="24"/>
  <c r="V161" i="24"/>
  <c r="T161" i="24"/>
  <c r="P161" i="24"/>
  <c r="O161" i="24"/>
  <c r="X160" i="24"/>
  <c r="V160" i="24"/>
  <c r="T160" i="24"/>
  <c r="P160" i="24"/>
  <c r="O160" i="24"/>
  <c r="X159" i="24"/>
  <c r="V159" i="24"/>
  <c r="T159" i="24"/>
  <c r="P159" i="24"/>
  <c r="O159" i="24"/>
  <c r="X158" i="24"/>
  <c r="V158" i="24"/>
  <c r="T158" i="24"/>
  <c r="P158" i="24"/>
  <c r="O158" i="24"/>
  <c r="X157" i="24"/>
  <c r="V157" i="24"/>
  <c r="T157" i="24"/>
  <c r="P157" i="24"/>
  <c r="O157" i="24"/>
  <c r="X156" i="24"/>
  <c r="V156" i="24"/>
  <c r="T156" i="24"/>
  <c r="P156" i="24"/>
  <c r="O156" i="24"/>
  <c r="X155" i="24"/>
  <c r="V155" i="24"/>
  <c r="T155" i="24"/>
  <c r="P155" i="24"/>
  <c r="O155" i="24"/>
  <c r="X154" i="24"/>
  <c r="V154" i="24"/>
  <c r="T154" i="24"/>
  <c r="P154" i="24"/>
  <c r="O154" i="24"/>
  <c r="X153" i="24"/>
  <c r="V153" i="24"/>
  <c r="T153" i="24"/>
  <c r="P153" i="24"/>
  <c r="O153" i="24"/>
  <c r="X152" i="24"/>
  <c r="V152" i="24"/>
  <c r="T152" i="24"/>
  <c r="P152" i="24"/>
  <c r="O152" i="24"/>
  <c r="X151" i="24"/>
  <c r="V151" i="24"/>
  <c r="T151" i="24"/>
  <c r="P151" i="24"/>
  <c r="O151" i="24"/>
  <c r="X150" i="24"/>
  <c r="V150" i="24"/>
  <c r="T150" i="24"/>
  <c r="P150" i="24"/>
  <c r="O150" i="24"/>
  <c r="X149" i="24"/>
  <c r="V149" i="24"/>
  <c r="T149" i="24"/>
  <c r="P149" i="24"/>
  <c r="O149" i="24"/>
  <c r="X148" i="24"/>
  <c r="V148" i="24"/>
  <c r="T148" i="24"/>
  <c r="P148" i="24"/>
  <c r="O148" i="24"/>
  <c r="X147" i="24"/>
  <c r="V147" i="24"/>
  <c r="T147" i="24"/>
  <c r="P147" i="24"/>
  <c r="O147" i="24"/>
  <c r="X146" i="24"/>
  <c r="V146" i="24"/>
  <c r="T146" i="24"/>
  <c r="P146" i="24"/>
  <c r="O146" i="24"/>
  <c r="X145" i="24"/>
  <c r="V145" i="24"/>
  <c r="T145" i="24"/>
  <c r="P145" i="24"/>
  <c r="O145" i="24"/>
  <c r="X144" i="24"/>
  <c r="V144" i="24"/>
  <c r="T144" i="24"/>
  <c r="P144" i="24"/>
  <c r="O144" i="24"/>
  <c r="X143" i="24"/>
  <c r="V143" i="24"/>
  <c r="T143" i="24"/>
  <c r="P143" i="24"/>
  <c r="O143" i="24"/>
  <c r="X142" i="24"/>
  <c r="V142" i="24"/>
  <c r="T142" i="24"/>
  <c r="P142" i="24"/>
  <c r="O142" i="24"/>
  <c r="X141" i="24"/>
  <c r="V141" i="24"/>
  <c r="T141" i="24"/>
  <c r="P141" i="24"/>
  <c r="O141" i="24"/>
  <c r="X140" i="24"/>
  <c r="V140" i="24"/>
  <c r="T140" i="24"/>
  <c r="P140" i="24"/>
  <c r="O140" i="24"/>
  <c r="X139" i="24"/>
  <c r="V139" i="24"/>
  <c r="T139" i="24"/>
  <c r="P139" i="24"/>
  <c r="O139" i="24"/>
  <c r="X138" i="24"/>
  <c r="V138" i="24"/>
  <c r="T138" i="24"/>
  <c r="P138" i="24"/>
  <c r="O138" i="24"/>
  <c r="X137" i="24"/>
  <c r="V137" i="24"/>
  <c r="T137" i="24"/>
  <c r="P137" i="24"/>
  <c r="O137" i="24"/>
  <c r="X136" i="24"/>
  <c r="V136" i="24"/>
  <c r="T136" i="24"/>
  <c r="P136" i="24"/>
  <c r="O136" i="24"/>
  <c r="X135" i="24"/>
  <c r="V135" i="24"/>
  <c r="T135" i="24"/>
  <c r="P135" i="24"/>
  <c r="O135" i="24"/>
  <c r="X134" i="24"/>
  <c r="V134" i="24"/>
  <c r="T134" i="24"/>
  <c r="P134" i="24"/>
  <c r="O134" i="24"/>
  <c r="X133" i="24"/>
  <c r="V133" i="24"/>
  <c r="T133" i="24"/>
  <c r="P133" i="24"/>
  <c r="O133" i="24"/>
  <c r="X132" i="24"/>
  <c r="V132" i="24"/>
  <c r="T132" i="24"/>
  <c r="P132" i="24"/>
  <c r="O132" i="24"/>
  <c r="X131" i="24"/>
  <c r="V131" i="24"/>
  <c r="T131" i="24"/>
  <c r="P131" i="24"/>
  <c r="O131" i="24"/>
  <c r="X130" i="24"/>
  <c r="V130" i="24"/>
  <c r="T130" i="24"/>
  <c r="P130" i="24"/>
  <c r="O130" i="24"/>
  <c r="X129" i="24"/>
  <c r="V129" i="24"/>
  <c r="T129" i="24"/>
  <c r="P129" i="24"/>
  <c r="O129" i="24"/>
  <c r="X128" i="24"/>
  <c r="V128" i="24"/>
  <c r="T128" i="24"/>
  <c r="P128" i="24"/>
  <c r="O128" i="24"/>
  <c r="X127" i="24"/>
  <c r="V127" i="24"/>
  <c r="T127" i="24"/>
  <c r="P127" i="24"/>
  <c r="O127" i="24"/>
  <c r="X126" i="24"/>
  <c r="V126" i="24"/>
  <c r="T126" i="24"/>
  <c r="P126" i="24"/>
  <c r="O126" i="24"/>
  <c r="X125" i="24"/>
  <c r="V125" i="24"/>
  <c r="T125" i="24"/>
  <c r="P125" i="24"/>
  <c r="O125" i="24"/>
  <c r="X124" i="24"/>
  <c r="V124" i="24"/>
  <c r="T124" i="24"/>
  <c r="P124" i="24"/>
  <c r="O124" i="24"/>
  <c r="X123" i="24"/>
  <c r="V123" i="24"/>
  <c r="T123" i="24"/>
  <c r="P123" i="24"/>
  <c r="O123" i="24"/>
  <c r="X122" i="24"/>
  <c r="V122" i="24"/>
  <c r="T122" i="24"/>
  <c r="P122" i="24"/>
  <c r="O122" i="24"/>
  <c r="X121" i="24"/>
  <c r="V121" i="24"/>
  <c r="T121" i="24"/>
  <c r="P121" i="24"/>
  <c r="O121" i="24"/>
  <c r="X120" i="24"/>
  <c r="V120" i="24"/>
  <c r="T120" i="24"/>
  <c r="P120" i="24"/>
  <c r="O120" i="24"/>
  <c r="X119" i="24"/>
  <c r="V119" i="24"/>
  <c r="T119" i="24"/>
  <c r="P119" i="24"/>
  <c r="O119" i="24"/>
  <c r="X118" i="24"/>
  <c r="V118" i="24"/>
  <c r="T118" i="24"/>
  <c r="P118" i="24"/>
  <c r="O118" i="24"/>
  <c r="X117" i="24"/>
  <c r="V117" i="24"/>
  <c r="T117" i="24"/>
  <c r="P117" i="24"/>
  <c r="O117" i="24"/>
  <c r="X116" i="24"/>
  <c r="V116" i="24"/>
  <c r="T116" i="24"/>
  <c r="P116" i="24"/>
  <c r="O116" i="24"/>
  <c r="X115" i="24"/>
  <c r="V115" i="24"/>
  <c r="T115" i="24"/>
  <c r="P115" i="24"/>
  <c r="O115" i="24"/>
  <c r="X114" i="24"/>
  <c r="V114" i="24"/>
  <c r="T114" i="24"/>
  <c r="P114" i="24"/>
  <c r="O114" i="24"/>
  <c r="X113" i="24"/>
  <c r="V113" i="24"/>
  <c r="T113" i="24"/>
  <c r="P113" i="24"/>
  <c r="O113" i="24"/>
  <c r="X112" i="24"/>
  <c r="V112" i="24"/>
  <c r="T112" i="24"/>
  <c r="P112" i="24"/>
  <c r="O112" i="24"/>
  <c r="X111" i="24"/>
  <c r="V111" i="24"/>
  <c r="T111" i="24"/>
  <c r="P111" i="24"/>
  <c r="O111" i="24"/>
  <c r="X110" i="24"/>
  <c r="V110" i="24"/>
  <c r="T110" i="24"/>
  <c r="P110" i="24"/>
  <c r="O110" i="24"/>
  <c r="X109" i="24"/>
  <c r="V109" i="24"/>
  <c r="T109" i="24"/>
  <c r="P109" i="24"/>
  <c r="O109" i="24"/>
  <c r="X108" i="24"/>
  <c r="V108" i="24"/>
  <c r="T108" i="24"/>
  <c r="P108" i="24"/>
  <c r="O108" i="24"/>
  <c r="X107" i="24"/>
  <c r="V107" i="24"/>
  <c r="T107" i="24"/>
  <c r="P107" i="24"/>
  <c r="O107" i="24"/>
  <c r="X106" i="24"/>
  <c r="V106" i="24"/>
  <c r="T106" i="24"/>
  <c r="P106" i="24"/>
  <c r="O106" i="24"/>
  <c r="X105" i="24"/>
  <c r="V105" i="24"/>
  <c r="T105" i="24"/>
  <c r="P105" i="24"/>
  <c r="O105" i="24"/>
  <c r="X104" i="24"/>
  <c r="V104" i="24"/>
  <c r="T104" i="24"/>
  <c r="P104" i="24"/>
  <c r="O104" i="24"/>
  <c r="X103" i="24"/>
  <c r="V103" i="24"/>
  <c r="T103" i="24"/>
  <c r="P103" i="24"/>
  <c r="O103" i="24"/>
  <c r="X102" i="24"/>
  <c r="V102" i="24"/>
  <c r="T102" i="24"/>
  <c r="P102" i="24"/>
  <c r="O102" i="24"/>
  <c r="X101" i="24"/>
  <c r="V101" i="24"/>
  <c r="T101" i="24"/>
  <c r="P101" i="24"/>
  <c r="O101" i="24"/>
  <c r="X100" i="24"/>
  <c r="V100" i="24"/>
  <c r="T100" i="24"/>
  <c r="P100" i="24"/>
  <c r="O100" i="24"/>
  <c r="X99" i="24"/>
  <c r="V99" i="24"/>
  <c r="T99" i="24"/>
  <c r="P99" i="24"/>
  <c r="O99" i="24"/>
  <c r="X98" i="24"/>
  <c r="V98" i="24"/>
  <c r="T98" i="24"/>
  <c r="P98" i="24"/>
  <c r="O98" i="24"/>
  <c r="X97" i="24"/>
  <c r="V97" i="24"/>
  <c r="T97" i="24"/>
  <c r="P97" i="24"/>
  <c r="O97" i="24"/>
  <c r="X96" i="24"/>
  <c r="V96" i="24"/>
  <c r="T96" i="24"/>
  <c r="P96" i="24"/>
  <c r="O96" i="24"/>
  <c r="X95" i="24"/>
  <c r="V95" i="24"/>
  <c r="T95" i="24"/>
  <c r="P95" i="24"/>
  <c r="O95" i="24"/>
  <c r="X94" i="24"/>
  <c r="V94" i="24"/>
  <c r="T94" i="24"/>
  <c r="P94" i="24"/>
  <c r="O94" i="24"/>
  <c r="X93" i="24"/>
  <c r="V93" i="24"/>
  <c r="T93" i="24"/>
  <c r="P93" i="24"/>
  <c r="O93" i="24"/>
  <c r="X92" i="24"/>
  <c r="V92" i="24"/>
  <c r="T92" i="24"/>
  <c r="P92" i="24"/>
  <c r="O92" i="24"/>
  <c r="X91" i="24"/>
  <c r="V91" i="24"/>
  <c r="T91" i="24"/>
  <c r="P91" i="24"/>
  <c r="O91" i="24"/>
  <c r="X90" i="24"/>
  <c r="V90" i="24"/>
  <c r="T90" i="24"/>
  <c r="P90" i="24"/>
  <c r="O90" i="24"/>
  <c r="X89" i="24"/>
  <c r="V89" i="24"/>
  <c r="T89" i="24"/>
  <c r="P89" i="24"/>
  <c r="O89" i="24"/>
  <c r="X88" i="24"/>
  <c r="V88" i="24"/>
  <c r="T88" i="24"/>
  <c r="P88" i="24"/>
  <c r="O88" i="24"/>
  <c r="X87" i="24"/>
  <c r="V87" i="24"/>
  <c r="T87" i="24"/>
  <c r="P87" i="24"/>
  <c r="O87" i="24"/>
  <c r="X86" i="24"/>
  <c r="V86" i="24"/>
  <c r="T86" i="24"/>
  <c r="P86" i="24"/>
  <c r="O86" i="24"/>
  <c r="X85" i="24"/>
  <c r="V85" i="24"/>
  <c r="T85" i="24"/>
  <c r="P85" i="24"/>
  <c r="O85" i="24"/>
  <c r="X84" i="24"/>
  <c r="V84" i="24"/>
  <c r="T84" i="24"/>
  <c r="P84" i="24"/>
  <c r="O84" i="24"/>
  <c r="X83" i="24"/>
  <c r="V83" i="24"/>
  <c r="T83" i="24"/>
  <c r="P83" i="24"/>
  <c r="O83" i="24"/>
  <c r="X82" i="24"/>
  <c r="V82" i="24"/>
  <c r="T82" i="24"/>
  <c r="P82" i="24"/>
  <c r="O82" i="24"/>
  <c r="X81" i="24"/>
  <c r="V81" i="24"/>
  <c r="T81" i="24"/>
  <c r="P81" i="24"/>
  <c r="O81" i="24"/>
  <c r="X80" i="24"/>
  <c r="V80" i="24"/>
  <c r="T80" i="24"/>
  <c r="P80" i="24"/>
  <c r="O80" i="24"/>
  <c r="X79" i="24"/>
  <c r="V79" i="24"/>
  <c r="T79" i="24"/>
  <c r="P79" i="24"/>
  <c r="O79" i="24"/>
  <c r="X78" i="24"/>
  <c r="V78" i="24"/>
  <c r="T78" i="24"/>
  <c r="P78" i="24"/>
  <c r="O78" i="24"/>
  <c r="X77" i="24"/>
  <c r="V77" i="24"/>
  <c r="T77" i="24"/>
  <c r="P77" i="24"/>
  <c r="O77" i="24"/>
  <c r="X76" i="24"/>
  <c r="V76" i="24"/>
  <c r="T76" i="24"/>
  <c r="P76" i="24"/>
  <c r="O76" i="24"/>
  <c r="X75" i="24"/>
  <c r="V75" i="24"/>
  <c r="T75" i="24"/>
  <c r="P75" i="24"/>
  <c r="O75" i="24"/>
  <c r="X74" i="24"/>
  <c r="V74" i="24"/>
  <c r="T74" i="24"/>
  <c r="P74" i="24"/>
  <c r="O74" i="24"/>
  <c r="X73" i="24"/>
  <c r="V73" i="24"/>
  <c r="T73" i="24"/>
  <c r="P73" i="24"/>
  <c r="O73" i="24"/>
  <c r="X72" i="24"/>
  <c r="V72" i="24"/>
  <c r="T72" i="24"/>
  <c r="P72" i="24"/>
  <c r="O72" i="24"/>
  <c r="X71" i="24"/>
  <c r="V71" i="24"/>
  <c r="T71" i="24"/>
  <c r="P71" i="24"/>
  <c r="O71" i="24"/>
  <c r="N71" i="24"/>
  <c r="N72" i="24" s="1"/>
  <c r="N73" i="24" s="1"/>
  <c r="N74" i="24" s="1"/>
  <c r="N75" i="24" s="1"/>
  <c r="N76" i="24" s="1"/>
  <c r="N77" i="24" s="1"/>
  <c r="N78" i="24" s="1"/>
  <c r="N79" i="24" s="1"/>
  <c r="N80" i="24" s="1"/>
  <c r="N81" i="24" s="1"/>
  <c r="N82" i="24" s="1"/>
  <c r="N83" i="24" s="1"/>
  <c r="N84" i="24" s="1"/>
  <c r="N85" i="24" s="1"/>
  <c r="N86" i="24" s="1"/>
  <c r="N87" i="24" s="1"/>
  <c r="N88" i="24" s="1"/>
  <c r="N89" i="24" s="1"/>
  <c r="N90" i="24" s="1"/>
  <c r="N91" i="24" s="1"/>
  <c r="N92" i="24" s="1"/>
  <c r="N93" i="24" s="1"/>
  <c r="N94" i="24" s="1"/>
  <c r="N95" i="24" s="1"/>
  <c r="N96" i="24" s="1"/>
  <c r="N97" i="24" s="1"/>
  <c r="N98" i="24" s="1"/>
  <c r="N99" i="24" s="1"/>
  <c r="N100" i="24" s="1"/>
  <c r="N101" i="24" s="1"/>
  <c r="N102" i="24" s="1"/>
  <c r="N103" i="24" s="1"/>
  <c r="N104" i="24" s="1"/>
  <c r="N105" i="24" s="1"/>
  <c r="N106" i="24" s="1"/>
  <c r="N107" i="24" s="1"/>
  <c r="N108" i="24" s="1"/>
  <c r="N109" i="24" s="1"/>
  <c r="N110" i="24" s="1"/>
  <c r="N111" i="24" s="1"/>
  <c r="N112" i="24" s="1"/>
  <c r="N113" i="24" s="1"/>
  <c r="N114" i="24" s="1"/>
  <c r="N115" i="24" s="1"/>
  <c r="N116" i="24" s="1"/>
  <c r="N117" i="24" s="1"/>
  <c r="N118" i="24" s="1"/>
  <c r="N119" i="24" s="1"/>
  <c r="N120" i="24" s="1"/>
  <c r="N121" i="24" s="1"/>
  <c r="N122" i="24" s="1"/>
  <c r="N123" i="24" s="1"/>
  <c r="N124" i="24" s="1"/>
  <c r="N125" i="24" s="1"/>
  <c r="N126" i="24" s="1"/>
  <c r="N127" i="24" s="1"/>
  <c r="N128" i="24" s="1"/>
  <c r="N129" i="24" s="1"/>
  <c r="N130" i="24" s="1"/>
  <c r="N131" i="24" s="1"/>
  <c r="N132" i="24" s="1"/>
  <c r="N133" i="24" s="1"/>
  <c r="N134" i="24" s="1"/>
  <c r="N135" i="24" s="1"/>
  <c r="N136" i="24" s="1"/>
  <c r="N137" i="24" s="1"/>
  <c r="N138" i="24" s="1"/>
  <c r="N139" i="24" s="1"/>
  <c r="N140" i="24" s="1"/>
  <c r="N141" i="24" s="1"/>
  <c r="N142" i="24" s="1"/>
  <c r="N143" i="24" s="1"/>
  <c r="N144" i="24" s="1"/>
  <c r="N145" i="24" s="1"/>
  <c r="N146" i="24" s="1"/>
  <c r="N147" i="24" s="1"/>
  <c r="N148" i="24" s="1"/>
  <c r="N149" i="24" s="1"/>
  <c r="N150" i="24" s="1"/>
  <c r="N151" i="24" s="1"/>
  <c r="N152" i="24" s="1"/>
  <c r="N153" i="24" s="1"/>
  <c r="N154" i="24" s="1"/>
  <c r="N155" i="24" s="1"/>
  <c r="N156" i="24" s="1"/>
  <c r="N157" i="24" s="1"/>
  <c r="N158" i="24" s="1"/>
  <c r="N159" i="24" s="1"/>
  <c r="N160" i="24" s="1"/>
  <c r="N161" i="24" s="1"/>
  <c r="N162" i="24" s="1"/>
  <c r="N163" i="24" s="1"/>
  <c r="N164" i="24" s="1"/>
  <c r="N165" i="24" s="1"/>
  <c r="N166" i="24" s="1"/>
  <c r="N167" i="24" s="1"/>
  <c r="N168" i="24" s="1"/>
  <c r="N169" i="24" s="1"/>
  <c r="N170" i="24" s="1"/>
  <c r="M71" i="24"/>
  <c r="M72" i="24" s="1"/>
  <c r="K71" i="24"/>
  <c r="D71" i="24"/>
  <c r="E71" i="24" s="1"/>
  <c r="X70" i="24"/>
  <c r="V70" i="24"/>
  <c r="T70" i="24"/>
  <c r="P70" i="24"/>
  <c r="O70" i="24"/>
  <c r="F70" i="24"/>
  <c r="F71" i="24" s="1"/>
  <c r="F72" i="24" s="1"/>
  <c r="D70" i="24"/>
  <c r="C70" i="24"/>
  <c r="B63" i="24"/>
  <c r="Z63" i="24" s="1"/>
  <c r="B62" i="24"/>
  <c r="Z62" i="24" s="1"/>
  <c r="B61" i="24"/>
  <c r="Z61" i="24" s="1"/>
  <c r="B60" i="24"/>
  <c r="Z60" i="24" s="1"/>
  <c r="B59" i="24"/>
  <c r="Z59" i="24" s="1"/>
  <c r="B58" i="24"/>
  <c r="B57" i="24"/>
  <c r="B56" i="24"/>
  <c r="Z56" i="24" s="1"/>
  <c r="B55" i="24"/>
  <c r="Z55" i="24" s="1"/>
  <c r="B54" i="24"/>
  <c r="Z54" i="24" s="1"/>
  <c r="B53" i="24"/>
  <c r="Z53" i="24" s="1"/>
  <c r="B52" i="24"/>
  <c r="Z52" i="24" s="1"/>
  <c r="B51" i="24"/>
  <c r="Z51" i="24" s="1"/>
  <c r="B50" i="24"/>
  <c r="Z50" i="24" s="1"/>
  <c r="B49" i="24"/>
  <c r="Z49" i="24" s="1"/>
  <c r="B48" i="24"/>
  <c r="Z48" i="24" s="1"/>
  <c r="B47" i="24"/>
  <c r="Z47" i="24" s="1"/>
  <c r="B46" i="24"/>
  <c r="Z46" i="24" s="1"/>
  <c r="B45" i="24"/>
  <c r="Z45" i="24" s="1"/>
  <c r="C41" i="24"/>
  <c r="C35" i="24"/>
  <c r="C34" i="24"/>
  <c r="C33" i="24"/>
  <c r="C32" i="24"/>
  <c r="C31" i="24"/>
  <c r="C30" i="24"/>
  <c r="C29" i="24"/>
  <c r="C28" i="24"/>
  <c r="C27" i="24"/>
  <c r="C26" i="24"/>
  <c r="C25" i="24"/>
  <c r="C24" i="24"/>
  <c r="C23" i="24"/>
  <c r="C22" i="24"/>
  <c r="C21" i="24"/>
  <c r="C20" i="24"/>
  <c r="C19" i="24"/>
  <c r="C18" i="24"/>
  <c r="C17" i="24"/>
  <c r="C16" i="24"/>
  <c r="C15" i="24"/>
  <c r="C14" i="24"/>
  <c r="C13" i="24"/>
  <c r="C12" i="24"/>
  <c r="G11" i="24"/>
  <c r="I11" i="24" s="1"/>
  <c r="H54" i="1" s="1"/>
  <c r="G24" i="11" s="1"/>
  <c r="C11" i="24"/>
  <c r="C10" i="24"/>
  <c r="C9" i="24"/>
  <c r="C8" i="24"/>
  <c r="C7" i="24"/>
  <c r="C6" i="24"/>
  <c r="J5" i="24" s="1"/>
  <c r="C5" i="24"/>
  <c r="C4" i="24"/>
  <c r="H5" i="24" s="1"/>
  <c r="C3" i="24"/>
  <c r="C2" i="24"/>
  <c r="R170" i="27"/>
  <c r="R169" i="27"/>
  <c r="R168" i="27"/>
  <c r="R167" i="27"/>
  <c r="R166" i="27"/>
  <c r="R165" i="27"/>
  <c r="R164" i="27"/>
  <c r="R163" i="27"/>
  <c r="R162" i="27"/>
  <c r="R161" i="27"/>
  <c r="R160" i="27"/>
  <c r="R159" i="27"/>
  <c r="R158" i="27"/>
  <c r="R157" i="27"/>
  <c r="R156" i="27"/>
  <c r="R155" i="27"/>
  <c r="R154" i="27"/>
  <c r="R153" i="27"/>
  <c r="R152" i="27"/>
  <c r="R151" i="27"/>
  <c r="R150" i="27"/>
  <c r="R149" i="27"/>
  <c r="R148" i="27"/>
  <c r="R147" i="27"/>
  <c r="R146" i="27"/>
  <c r="R145" i="27"/>
  <c r="R144" i="27"/>
  <c r="R143" i="27"/>
  <c r="R142" i="27"/>
  <c r="R141" i="27"/>
  <c r="R140" i="27"/>
  <c r="R139" i="27"/>
  <c r="R138" i="27"/>
  <c r="R137" i="27"/>
  <c r="R136" i="27"/>
  <c r="R135" i="27"/>
  <c r="R134" i="27"/>
  <c r="R133" i="27"/>
  <c r="R132" i="27"/>
  <c r="R131" i="27"/>
  <c r="R130" i="27"/>
  <c r="R129" i="27"/>
  <c r="R128" i="27"/>
  <c r="R127" i="27"/>
  <c r="R126" i="27"/>
  <c r="R125" i="27"/>
  <c r="R124" i="27"/>
  <c r="R123" i="27"/>
  <c r="R122" i="27"/>
  <c r="R121" i="27"/>
  <c r="R120" i="27"/>
  <c r="R119" i="27"/>
  <c r="R118" i="27"/>
  <c r="R117" i="27"/>
  <c r="R116" i="27"/>
  <c r="R115" i="27"/>
  <c r="R114" i="27"/>
  <c r="R113" i="27"/>
  <c r="R112" i="27"/>
  <c r="R111" i="27"/>
  <c r="R110" i="27"/>
  <c r="R109" i="27"/>
  <c r="R108" i="27"/>
  <c r="R107" i="27"/>
  <c r="R106" i="27"/>
  <c r="R105" i="27"/>
  <c r="R104" i="27"/>
  <c r="R103" i="27"/>
  <c r="R102" i="27"/>
  <c r="R101" i="27"/>
  <c r="R100" i="27"/>
  <c r="R99" i="27"/>
  <c r="R98" i="27"/>
  <c r="R97" i="27"/>
  <c r="R96" i="27"/>
  <c r="R95" i="27"/>
  <c r="R94" i="27"/>
  <c r="R93" i="27"/>
  <c r="R92" i="27"/>
  <c r="R91" i="27"/>
  <c r="R90" i="27"/>
  <c r="R89" i="27"/>
  <c r="R88" i="27"/>
  <c r="R87" i="27"/>
  <c r="R86" i="27"/>
  <c r="R85" i="27"/>
  <c r="R84" i="27"/>
  <c r="R83" i="27"/>
  <c r="R82" i="27"/>
  <c r="R81" i="27"/>
  <c r="R80" i="27"/>
  <c r="R79" i="27"/>
  <c r="R78" i="27"/>
  <c r="R77" i="27"/>
  <c r="R76" i="27"/>
  <c r="R75" i="27"/>
  <c r="R74" i="27"/>
  <c r="R73" i="27"/>
  <c r="R72" i="27"/>
  <c r="R71" i="27"/>
  <c r="R70" i="27"/>
  <c r="N70" i="27"/>
  <c r="M70" i="27"/>
  <c r="K70" i="27"/>
  <c r="AD69" i="27"/>
  <c r="AC69" i="27"/>
  <c r="AB69" i="27"/>
  <c r="AA69" i="27"/>
  <c r="AD68" i="27"/>
  <c r="AC68" i="27"/>
  <c r="AB68" i="27"/>
  <c r="AA68" i="27"/>
  <c r="AD67" i="27"/>
  <c r="AC67" i="27"/>
  <c r="AB67" i="27"/>
  <c r="AA67" i="27"/>
  <c r="AD66" i="27"/>
  <c r="AC66" i="27"/>
  <c r="AB66" i="27"/>
  <c r="AA66" i="27"/>
  <c r="AD65" i="27"/>
  <c r="AC65" i="27"/>
  <c r="AB65" i="27"/>
  <c r="AA65" i="27"/>
  <c r="AD64" i="27"/>
  <c r="AC64" i="27"/>
  <c r="AB64" i="27"/>
  <c r="AA64" i="27"/>
  <c r="AD63" i="27"/>
  <c r="AC63" i="27"/>
  <c r="AB63" i="27"/>
  <c r="AA63" i="27"/>
  <c r="AD62" i="27"/>
  <c r="AC62" i="27"/>
  <c r="AB62" i="27"/>
  <c r="AA62" i="27"/>
  <c r="AD61" i="27"/>
  <c r="AC61" i="27"/>
  <c r="AB61" i="27"/>
  <c r="AA61" i="27"/>
  <c r="AD60" i="27"/>
  <c r="AC60" i="27"/>
  <c r="AB60" i="27"/>
  <c r="AA60" i="27"/>
  <c r="AD59" i="27"/>
  <c r="AC59" i="27"/>
  <c r="AB59" i="27"/>
  <c r="AA59" i="27"/>
  <c r="Z59" i="27"/>
  <c r="AD58" i="27"/>
  <c r="AC58" i="27"/>
  <c r="AB58" i="27"/>
  <c r="AA58" i="27"/>
  <c r="AD57" i="27"/>
  <c r="AC57" i="27"/>
  <c r="AB57" i="27"/>
  <c r="AA57" i="27"/>
  <c r="AD56" i="27"/>
  <c r="AC56" i="27"/>
  <c r="AB56" i="27"/>
  <c r="AA56" i="27"/>
  <c r="Z56" i="27"/>
  <c r="AD55" i="27"/>
  <c r="AC55" i="27"/>
  <c r="AB55" i="27"/>
  <c r="AA55" i="27"/>
  <c r="AD54" i="27"/>
  <c r="AC54" i="27"/>
  <c r="AB54" i="27"/>
  <c r="AA54" i="27"/>
  <c r="AD53" i="27"/>
  <c r="AC53" i="27"/>
  <c r="AB53" i="27"/>
  <c r="AA53" i="27"/>
  <c r="AD52" i="27"/>
  <c r="AC52" i="27"/>
  <c r="AB52" i="27"/>
  <c r="AA52" i="27"/>
  <c r="AD51" i="27"/>
  <c r="AC51" i="27"/>
  <c r="AB51" i="27"/>
  <c r="AA51" i="27"/>
  <c r="AD50" i="27"/>
  <c r="AC50" i="27"/>
  <c r="AB50" i="27"/>
  <c r="AA50" i="27"/>
  <c r="AD49" i="27"/>
  <c r="AC49" i="27"/>
  <c r="AB49" i="27"/>
  <c r="AA49" i="27"/>
  <c r="AD48" i="27"/>
  <c r="AC48" i="27"/>
  <c r="AB48" i="27"/>
  <c r="AA48" i="27"/>
  <c r="Z48" i="27"/>
  <c r="AD47" i="27"/>
  <c r="AC47" i="27"/>
  <c r="AB47" i="27"/>
  <c r="AA47" i="27"/>
  <c r="AD46" i="27"/>
  <c r="AC46" i="27"/>
  <c r="AB46" i="27"/>
  <c r="AA46" i="27"/>
  <c r="AD45" i="27"/>
  <c r="AC45" i="27"/>
  <c r="AB45" i="27"/>
  <c r="AA45" i="27"/>
  <c r="B41" i="27"/>
  <c r="B40" i="27"/>
  <c r="B39" i="27"/>
  <c r="B38" i="27"/>
  <c r="B37" i="27"/>
  <c r="B36" i="27"/>
  <c r="B35" i="27"/>
  <c r="B34" i="27"/>
  <c r="B33" i="27"/>
  <c r="B32" i="27"/>
  <c r="B31" i="27"/>
  <c r="B30" i="27"/>
  <c r="B29" i="27"/>
  <c r="B28" i="27"/>
  <c r="B27" i="27"/>
  <c r="B26" i="27"/>
  <c r="B25" i="27"/>
  <c r="B24" i="27"/>
  <c r="B23" i="27"/>
  <c r="B22" i="27"/>
  <c r="B21" i="27"/>
  <c r="B20" i="27"/>
  <c r="B19" i="27"/>
  <c r="B18" i="27"/>
  <c r="B17" i="27"/>
  <c r="B16" i="27"/>
  <c r="B15" i="27"/>
  <c r="B14" i="27"/>
  <c r="B13" i="27"/>
  <c r="B12" i="27"/>
  <c r="I11" i="27"/>
  <c r="K54" i="1" s="1"/>
  <c r="J24" i="11" s="1"/>
  <c r="F11" i="27"/>
  <c r="B11" i="27"/>
  <c r="F10" i="27"/>
  <c r="B10" i="27"/>
  <c r="F9" i="27"/>
  <c r="B9" i="27"/>
  <c r="F8" i="27"/>
  <c r="B8" i="27"/>
  <c r="F7" i="27"/>
  <c r="B7" i="27"/>
  <c r="F6" i="27"/>
  <c r="B6" i="27"/>
  <c r="F5" i="27"/>
  <c r="B5" i="27"/>
  <c r="F4" i="27"/>
  <c r="B4" i="27"/>
  <c r="F3" i="27"/>
  <c r="B3" i="27"/>
  <c r="R170" i="26"/>
  <c r="R169" i="26"/>
  <c r="R168" i="26"/>
  <c r="R167" i="26"/>
  <c r="R166" i="26"/>
  <c r="R165" i="26"/>
  <c r="R164" i="26"/>
  <c r="R163" i="26"/>
  <c r="R162" i="26"/>
  <c r="R161" i="26"/>
  <c r="R160" i="26"/>
  <c r="R159" i="26"/>
  <c r="R158" i="26"/>
  <c r="R157" i="26"/>
  <c r="R156" i="26"/>
  <c r="R155" i="26"/>
  <c r="R154" i="26"/>
  <c r="R153" i="26"/>
  <c r="R152" i="26"/>
  <c r="R151" i="26"/>
  <c r="R150" i="26"/>
  <c r="R149" i="26"/>
  <c r="R148" i="26"/>
  <c r="R147" i="26"/>
  <c r="R146" i="26"/>
  <c r="R145" i="26"/>
  <c r="R144" i="26"/>
  <c r="R143" i="26"/>
  <c r="R142" i="26"/>
  <c r="R141" i="26"/>
  <c r="R140" i="26"/>
  <c r="R139" i="26"/>
  <c r="R138" i="26"/>
  <c r="R137" i="26"/>
  <c r="R136" i="26"/>
  <c r="R135" i="26"/>
  <c r="R134" i="26"/>
  <c r="R133" i="26"/>
  <c r="R132" i="26"/>
  <c r="R131" i="26"/>
  <c r="R130" i="26"/>
  <c r="R129" i="26"/>
  <c r="R128" i="26"/>
  <c r="R127" i="26"/>
  <c r="R126" i="26"/>
  <c r="R125" i="26"/>
  <c r="R124" i="26"/>
  <c r="R123" i="26"/>
  <c r="R122" i="26"/>
  <c r="R121" i="26"/>
  <c r="R120" i="26"/>
  <c r="R119" i="26"/>
  <c r="R118" i="26"/>
  <c r="R117" i="26"/>
  <c r="R116" i="26"/>
  <c r="R115" i="26"/>
  <c r="R114" i="26"/>
  <c r="R113" i="26"/>
  <c r="R112" i="26"/>
  <c r="R111" i="26"/>
  <c r="R110" i="26"/>
  <c r="R109" i="26"/>
  <c r="R108" i="26"/>
  <c r="R107" i="26"/>
  <c r="R106" i="26"/>
  <c r="R105" i="26"/>
  <c r="R104" i="26"/>
  <c r="R103" i="26"/>
  <c r="R102" i="26"/>
  <c r="R101" i="26"/>
  <c r="R100" i="26"/>
  <c r="R99" i="26"/>
  <c r="R98" i="26"/>
  <c r="R97" i="26"/>
  <c r="R96" i="26"/>
  <c r="R95" i="26"/>
  <c r="R94" i="26"/>
  <c r="R93" i="26"/>
  <c r="R92" i="26"/>
  <c r="R91" i="26"/>
  <c r="R90" i="26"/>
  <c r="R89" i="26"/>
  <c r="R88" i="26"/>
  <c r="R87" i="26"/>
  <c r="R86" i="26"/>
  <c r="R85" i="26"/>
  <c r="R84" i="26"/>
  <c r="R83" i="26"/>
  <c r="R82" i="26"/>
  <c r="R81" i="26"/>
  <c r="R80" i="26"/>
  <c r="R79" i="26"/>
  <c r="R78" i="26"/>
  <c r="R77" i="26"/>
  <c r="R76" i="26"/>
  <c r="R75" i="26"/>
  <c r="R74" i="26"/>
  <c r="R73" i="26"/>
  <c r="R72" i="26"/>
  <c r="R71" i="26"/>
  <c r="R70" i="26"/>
  <c r="N70" i="26"/>
  <c r="M70" i="26"/>
  <c r="K70" i="26"/>
  <c r="AD69" i="26"/>
  <c r="AC69" i="26"/>
  <c r="AB69" i="26"/>
  <c r="AA69" i="26"/>
  <c r="AD68" i="26"/>
  <c r="AC68" i="26"/>
  <c r="AB68" i="26"/>
  <c r="AA68" i="26"/>
  <c r="AD67" i="26"/>
  <c r="AC67" i="26"/>
  <c r="AB67" i="26"/>
  <c r="AA67" i="26"/>
  <c r="AD66" i="26"/>
  <c r="AC66" i="26"/>
  <c r="AB66" i="26"/>
  <c r="AA66" i="26"/>
  <c r="AD65" i="26"/>
  <c r="AC65" i="26"/>
  <c r="AB65" i="26"/>
  <c r="AA65" i="26"/>
  <c r="AD64" i="26"/>
  <c r="AC64" i="26"/>
  <c r="AB64" i="26"/>
  <c r="AA64" i="26"/>
  <c r="AD63" i="26"/>
  <c r="AC63" i="26"/>
  <c r="AB63" i="26"/>
  <c r="AA63" i="26"/>
  <c r="AD62" i="26"/>
  <c r="AC62" i="26"/>
  <c r="AB62" i="26"/>
  <c r="AA62" i="26"/>
  <c r="Z62" i="26"/>
  <c r="AD61" i="26"/>
  <c r="AC61" i="26"/>
  <c r="AB61" i="26"/>
  <c r="AA61" i="26"/>
  <c r="Z61" i="26"/>
  <c r="AD60" i="26"/>
  <c r="AC60" i="26"/>
  <c r="AB60" i="26"/>
  <c r="AA60" i="26"/>
  <c r="Z60" i="26"/>
  <c r="AD59" i="26"/>
  <c r="AC59" i="26"/>
  <c r="AB59" i="26"/>
  <c r="AA59" i="26"/>
  <c r="AD58" i="26"/>
  <c r="AC58" i="26"/>
  <c r="AB58" i="26"/>
  <c r="AA58" i="26"/>
  <c r="Z58" i="26"/>
  <c r="AD57" i="26"/>
  <c r="AC57" i="26"/>
  <c r="AB57" i="26"/>
  <c r="AA57" i="26"/>
  <c r="Z57" i="26"/>
  <c r="AD56" i="26"/>
  <c r="AC56" i="26"/>
  <c r="AB56" i="26"/>
  <c r="AA56" i="26"/>
  <c r="Z56" i="26"/>
  <c r="AD55" i="26"/>
  <c r="AC55" i="26"/>
  <c r="AB55" i="26"/>
  <c r="AA55" i="26"/>
  <c r="AD54" i="26"/>
  <c r="AC54" i="26"/>
  <c r="AB54" i="26"/>
  <c r="AA54" i="26"/>
  <c r="AD53" i="26"/>
  <c r="AC53" i="26"/>
  <c r="AB53" i="26"/>
  <c r="AA53" i="26"/>
  <c r="Z53" i="26"/>
  <c r="AD52" i="26"/>
  <c r="AC52" i="26"/>
  <c r="AB52" i="26"/>
  <c r="AA52" i="26"/>
  <c r="Z52" i="26"/>
  <c r="AD51" i="26"/>
  <c r="AC51" i="26"/>
  <c r="AB51" i="26"/>
  <c r="AA51" i="26"/>
  <c r="AD50" i="26"/>
  <c r="AC50" i="26"/>
  <c r="AB50" i="26"/>
  <c r="AA50" i="26"/>
  <c r="AD49" i="26"/>
  <c r="AC49" i="26"/>
  <c r="AB49" i="26"/>
  <c r="AA49" i="26"/>
  <c r="Z49" i="26"/>
  <c r="AD48" i="26"/>
  <c r="AC48" i="26"/>
  <c r="AB48" i="26"/>
  <c r="AA48" i="26"/>
  <c r="Z48" i="26"/>
  <c r="AD47" i="26"/>
  <c r="AC47" i="26"/>
  <c r="AB47" i="26"/>
  <c r="AA47" i="26"/>
  <c r="Z47" i="26"/>
  <c r="AD46" i="26"/>
  <c r="AC46" i="26"/>
  <c r="AB46" i="26"/>
  <c r="AA46" i="26"/>
  <c r="AD45" i="26"/>
  <c r="AC45" i="26"/>
  <c r="AB45" i="26"/>
  <c r="AA45" i="26"/>
  <c r="Z45"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F11" i="26"/>
  <c r="B11" i="26"/>
  <c r="F10" i="26"/>
  <c r="B10" i="26"/>
  <c r="J9" i="26"/>
  <c r="H9" i="26"/>
  <c r="F9" i="26"/>
  <c r="B9" i="26"/>
  <c r="F8" i="26"/>
  <c r="B8" i="26"/>
  <c r="H7" i="26"/>
  <c r="F7" i="26"/>
  <c r="B7" i="26"/>
  <c r="H6" i="26"/>
  <c r="F6" i="26"/>
  <c r="I2" i="26"/>
  <c r="B6" i="26"/>
  <c r="J5" i="26"/>
  <c r="F5" i="26"/>
  <c r="B5" i="26"/>
  <c r="J4" i="26"/>
  <c r="H4" i="26"/>
  <c r="F4" i="26"/>
  <c r="H8" i="26"/>
  <c r="B4" i="26"/>
  <c r="J3" i="26"/>
  <c r="H3" i="26"/>
  <c r="F3" i="26"/>
  <c r="B3" i="26"/>
  <c r="G2" i="26"/>
  <c r="R170" i="25"/>
  <c r="R169" i="25"/>
  <c r="R168" i="25"/>
  <c r="R167" i="25"/>
  <c r="R166" i="25"/>
  <c r="R165" i="25"/>
  <c r="R164" i="25"/>
  <c r="R163" i="25"/>
  <c r="R162" i="25"/>
  <c r="R161" i="25"/>
  <c r="R160" i="25"/>
  <c r="R159" i="25"/>
  <c r="R158" i="25"/>
  <c r="R157" i="25"/>
  <c r="R156" i="25"/>
  <c r="R155" i="25"/>
  <c r="R154" i="25"/>
  <c r="R153" i="25"/>
  <c r="R152" i="25"/>
  <c r="R151" i="25"/>
  <c r="R150" i="25"/>
  <c r="R149" i="25"/>
  <c r="R148" i="25"/>
  <c r="R147" i="25"/>
  <c r="R146" i="25"/>
  <c r="R145" i="25"/>
  <c r="R144" i="25"/>
  <c r="R143" i="25"/>
  <c r="R142" i="25"/>
  <c r="R141" i="25"/>
  <c r="R140" i="25"/>
  <c r="R139" i="25"/>
  <c r="R138" i="25"/>
  <c r="R137" i="25"/>
  <c r="R136" i="25"/>
  <c r="R135" i="25"/>
  <c r="R134" i="25"/>
  <c r="R133" i="25"/>
  <c r="R132" i="25"/>
  <c r="R131" i="25"/>
  <c r="R130" i="25"/>
  <c r="R129" i="25"/>
  <c r="R128" i="25"/>
  <c r="R127" i="25"/>
  <c r="R126" i="25"/>
  <c r="R125" i="25"/>
  <c r="R124" i="25"/>
  <c r="R123" i="25"/>
  <c r="R122" i="25"/>
  <c r="R121" i="25"/>
  <c r="R120" i="25"/>
  <c r="R119" i="25"/>
  <c r="R118" i="25"/>
  <c r="R117" i="25"/>
  <c r="R116" i="25"/>
  <c r="R115" i="25"/>
  <c r="R114" i="25"/>
  <c r="R113" i="25"/>
  <c r="R112" i="25"/>
  <c r="R111" i="25"/>
  <c r="R110" i="25"/>
  <c r="R109" i="25"/>
  <c r="R108" i="25"/>
  <c r="R107" i="25"/>
  <c r="R106" i="25"/>
  <c r="R105" i="25"/>
  <c r="R104" i="25"/>
  <c r="R103" i="25"/>
  <c r="R102" i="25"/>
  <c r="R101" i="25"/>
  <c r="R100" i="25"/>
  <c r="R99" i="25"/>
  <c r="R98" i="25"/>
  <c r="R97" i="25"/>
  <c r="R96" i="25"/>
  <c r="R95" i="25"/>
  <c r="R94" i="25"/>
  <c r="R93" i="25"/>
  <c r="R92" i="25"/>
  <c r="R91" i="25"/>
  <c r="R90" i="25"/>
  <c r="R89" i="25"/>
  <c r="R88" i="25"/>
  <c r="R87" i="25"/>
  <c r="R86" i="25"/>
  <c r="R85" i="25"/>
  <c r="R84" i="25"/>
  <c r="R83" i="25"/>
  <c r="R82" i="25"/>
  <c r="R81" i="25"/>
  <c r="R80" i="25"/>
  <c r="R79" i="25"/>
  <c r="R78" i="25"/>
  <c r="R77" i="25"/>
  <c r="R76" i="25"/>
  <c r="R75" i="25"/>
  <c r="R74" i="25"/>
  <c r="R73" i="25"/>
  <c r="R72" i="25"/>
  <c r="R71" i="25"/>
  <c r="R70" i="25"/>
  <c r="N70" i="25"/>
  <c r="M70" i="25"/>
  <c r="K70" i="25"/>
  <c r="AD69" i="25"/>
  <c r="AC69" i="25"/>
  <c r="AB69" i="25"/>
  <c r="AA69" i="25"/>
  <c r="AD68" i="25"/>
  <c r="AC68" i="25"/>
  <c r="AB68" i="25"/>
  <c r="AA68" i="25"/>
  <c r="AD67" i="25"/>
  <c r="AC67" i="25"/>
  <c r="AB67" i="25"/>
  <c r="AA67" i="25"/>
  <c r="AD66" i="25"/>
  <c r="AC66" i="25"/>
  <c r="AB66" i="25"/>
  <c r="AA66" i="25"/>
  <c r="AD65" i="25"/>
  <c r="AC65" i="25"/>
  <c r="AB65" i="25"/>
  <c r="AA65" i="25"/>
  <c r="AD64" i="25"/>
  <c r="AC64" i="25"/>
  <c r="AB64" i="25"/>
  <c r="AA64" i="25"/>
  <c r="AD63" i="25"/>
  <c r="AC63" i="25"/>
  <c r="AB63" i="25"/>
  <c r="AA63" i="25"/>
  <c r="AD62" i="25"/>
  <c r="AC62" i="25"/>
  <c r="AB62" i="25"/>
  <c r="AA62" i="25"/>
  <c r="AD61" i="25"/>
  <c r="AC61" i="25"/>
  <c r="AB61" i="25"/>
  <c r="AA61" i="25"/>
  <c r="Z61" i="25"/>
  <c r="AD60" i="25"/>
  <c r="AC60" i="25"/>
  <c r="AB60" i="25"/>
  <c r="AA60" i="25"/>
  <c r="AD59" i="25"/>
  <c r="AC59" i="25"/>
  <c r="AB59" i="25"/>
  <c r="AA59" i="25"/>
  <c r="AD58" i="25"/>
  <c r="AC58" i="25"/>
  <c r="AB58" i="25"/>
  <c r="AA58" i="25"/>
  <c r="AD57" i="25"/>
  <c r="AC57" i="25"/>
  <c r="AB57" i="25"/>
  <c r="AA57" i="25"/>
  <c r="Z57" i="25"/>
  <c r="AD56" i="25"/>
  <c r="AC56" i="25"/>
  <c r="AB56" i="25"/>
  <c r="AA56" i="25"/>
  <c r="AD55" i="25"/>
  <c r="AC55" i="25"/>
  <c r="AB55" i="25"/>
  <c r="AA55" i="25"/>
  <c r="AD54" i="25"/>
  <c r="AC54" i="25"/>
  <c r="AB54" i="25"/>
  <c r="AA54" i="25"/>
  <c r="AD53" i="25"/>
  <c r="AC53" i="25"/>
  <c r="AB53" i="25"/>
  <c r="AA53" i="25"/>
  <c r="AD52" i="25"/>
  <c r="AC52" i="25"/>
  <c r="AB52" i="25"/>
  <c r="AA52" i="25"/>
  <c r="AD51" i="25"/>
  <c r="AC51" i="25"/>
  <c r="AB51" i="25"/>
  <c r="AA51" i="25"/>
  <c r="AD50" i="25"/>
  <c r="AC50" i="25"/>
  <c r="AB50" i="25"/>
  <c r="AA50" i="25"/>
  <c r="AD49" i="25"/>
  <c r="AC49" i="25"/>
  <c r="AB49" i="25"/>
  <c r="AA49" i="25"/>
  <c r="Z49" i="25"/>
  <c r="AD48" i="25"/>
  <c r="AC48" i="25"/>
  <c r="AB48" i="25"/>
  <c r="AA48" i="25"/>
  <c r="Z48" i="25"/>
  <c r="AD47" i="25"/>
  <c r="AC47" i="25"/>
  <c r="AB47" i="25"/>
  <c r="AA47" i="25"/>
  <c r="AD46" i="25"/>
  <c r="AC46" i="25"/>
  <c r="AB46" i="25"/>
  <c r="AA46" i="25"/>
  <c r="Z46" i="25"/>
  <c r="AD45" i="25"/>
  <c r="AC45" i="25"/>
  <c r="AB45" i="25"/>
  <c r="AA45" i="25"/>
  <c r="B41" i="25"/>
  <c r="B40" i="25"/>
  <c r="B39" i="25"/>
  <c r="B38" i="25"/>
  <c r="B37" i="25"/>
  <c r="B36" i="25"/>
  <c r="B35" i="25"/>
  <c r="B34" i="25"/>
  <c r="B33" i="25"/>
  <c r="B32" i="25"/>
  <c r="B31" i="25"/>
  <c r="B30" i="25"/>
  <c r="B29" i="25"/>
  <c r="B28" i="25"/>
  <c r="B27" i="25"/>
  <c r="B26" i="25"/>
  <c r="B25" i="25"/>
  <c r="B24" i="25"/>
  <c r="B23" i="25"/>
  <c r="B22" i="25"/>
  <c r="B21" i="25"/>
  <c r="B20" i="25"/>
  <c r="B19" i="25"/>
  <c r="B18" i="25"/>
  <c r="B17" i="25"/>
  <c r="B16" i="25"/>
  <c r="B15" i="25"/>
  <c r="B14" i="25"/>
  <c r="B13" i="25"/>
  <c r="B12" i="25"/>
  <c r="F11" i="25"/>
  <c r="B11" i="25"/>
  <c r="F10" i="25"/>
  <c r="B10" i="25"/>
  <c r="J9" i="25"/>
  <c r="H9" i="25"/>
  <c r="F9" i="25"/>
  <c r="B9" i="25"/>
  <c r="H8" i="25"/>
  <c r="F8" i="25"/>
  <c r="B8" i="25"/>
  <c r="H7" i="25"/>
  <c r="F7" i="25"/>
  <c r="B7" i="25"/>
  <c r="J6" i="25"/>
  <c r="F6" i="25"/>
  <c r="B6" i="25"/>
  <c r="F5" i="25"/>
  <c r="B5" i="25"/>
  <c r="F4" i="25"/>
  <c r="H3" i="25"/>
  <c r="B4" i="25"/>
  <c r="F3" i="25"/>
  <c r="B3" i="25"/>
  <c r="G2" i="25"/>
  <c r="R170" i="24"/>
  <c r="R169" i="24"/>
  <c r="R168" i="24"/>
  <c r="R167" i="24"/>
  <c r="R166" i="24"/>
  <c r="R165" i="24"/>
  <c r="R164" i="24"/>
  <c r="R163" i="24"/>
  <c r="R162" i="24"/>
  <c r="R161" i="24"/>
  <c r="R160" i="24"/>
  <c r="R159" i="24"/>
  <c r="R158" i="24"/>
  <c r="R157" i="24"/>
  <c r="R156" i="24"/>
  <c r="R155" i="24"/>
  <c r="R154" i="24"/>
  <c r="R153" i="24"/>
  <c r="R152" i="24"/>
  <c r="R151" i="24"/>
  <c r="R150" i="24"/>
  <c r="R149" i="24"/>
  <c r="R148" i="24"/>
  <c r="R147" i="24"/>
  <c r="R146" i="24"/>
  <c r="R145" i="24"/>
  <c r="R144" i="24"/>
  <c r="R143" i="24"/>
  <c r="R142" i="24"/>
  <c r="R141" i="24"/>
  <c r="R140" i="24"/>
  <c r="R139" i="24"/>
  <c r="R138" i="24"/>
  <c r="R137" i="24"/>
  <c r="R136" i="24"/>
  <c r="R135" i="24"/>
  <c r="R134" i="24"/>
  <c r="R133" i="24"/>
  <c r="R132" i="24"/>
  <c r="R131" i="24"/>
  <c r="R130" i="24"/>
  <c r="R129" i="24"/>
  <c r="R128" i="24"/>
  <c r="R127" i="24"/>
  <c r="R126" i="24"/>
  <c r="R125" i="24"/>
  <c r="R124" i="24"/>
  <c r="R123" i="24"/>
  <c r="R122" i="24"/>
  <c r="R121" i="24"/>
  <c r="R120" i="24"/>
  <c r="R119" i="24"/>
  <c r="R118" i="24"/>
  <c r="R117" i="24"/>
  <c r="R116" i="24"/>
  <c r="R115" i="24"/>
  <c r="R114" i="24"/>
  <c r="R113" i="24"/>
  <c r="R112" i="24"/>
  <c r="R111" i="24"/>
  <c r="R110" i="24"/>
  <c r="R109" i="24"/>
  <c r="R108" i="24"/>
  <c r="R107" i="24"/>
  <c r="R106" i="24"/>
  <c r="R105" i="24"/>
  <c r="R104" i="24"/>
  <c r="R103" i="24"/>
  <c r="R102" i="24"/>
  <c r="R101" i="24"/>
  <c r="R100" i="24"/>
  <c r="R99" i="24"/>
  <c r="R98" i="24"/>
  <c r="R97" i="24"/>
  <c r="R96" i="24"/>
  <c r="R95" i="24"/>
  <c r="R94" i="24"/>
  <c r="R93" i="24"/>
  <c r="R92" i="24"/>
  <c r="R91" i="24"/>
  <c r="R90" i="24"/>
  <c r="R89" i="24"/>
  <c r="R88" i="24"/>
  <c r="R87" i="24"/>
  <c r="R86" i="24"/>
  <c r="R85" i="24"/>
  <c r="R84" i="24"/>
  <c r="R83" i="24"/>
  <c r="R82" i="24"/>
  <c r="R81" i="24"/>
  <c r="R80" i="24"/>
  <c r="R79" i="24"/>
  <c r="R78" i="24"/>
  <c r="R77" i="24"/>
  <c r="R76" i="24"/>
  <c r="R75" i="24"/>
  <c r="R74" i="24"/>
  <c r="R73" i="24"/>
  <c r="R72" i="24"/>
  <c r="R71" i="24"/>
  <c r="R70" i="24"/>
  <c r="N70" i="24"/>
  <c r="M70" i="24"/>
  <c r="K70" i="24"/>
  <c r="AD69" i="24"/>
  <c r="AC69" i="24"/>
  <c r="AB69" i="24"/>
  <c r="AA69" i="24"/>
  <c r="AD68" i="24"/>
  <c r="AC68" i="24"/>
  <c r="AB68" i="24"/>
  <c r="AA68" i="24"/>
  <c r="AD67" i="24"/>
  <c r="AC67" i="24"/>
  <c r="AB67" i="24"/>
  <c r="AA67" i="24"/>
  <c r="AD66" i="24"/>
  <c r="AC66" i="24"/>
  <c r="AB66" i="24"/>
  <c r="AA66" i="24"/>
  <c r="AD65" i="24"/>
  <c r="AC65" i="24"/>
  <c r="AB65" i="24"/>
  <c r="AA65" i="24"/>
  <c r="AD64" i="24"/>
  <c r="AC64" i="24"/>
  <c r="AB64" i="24"/>
  <c r="AA64" i="24"/>
  <c r="AD63" i="24"/>
  <c r="AC63" i="24"/>
  <c r="AB63" i="24"/>
  <c r="AA63" i="24"/>
  <c r="AD62" i="24"/>
  <c r="AC62" i="24"/>
  <c r="AB62" i="24"/>
  <c r="AA62" i="24"/>
  <c r="AD61" i="24"/>
  <c r="AC61" i="24"/>
  <c r="AB61" i="24"/>
  <c r="AA61" i="24"/>
  <c r="AD60" i="24"/>
  <c r="AC60" i="24"/>
  <c r="AB60" i="24"/>
  <c r="AA60" i="24"/>
  <c r="AD59" i="24"/>
  <c r="AC59" i="24"/>
  <c r="AB59" i="24"/>
  <c r="AA59" i="24"/>
  <c r="AD58" i="24"/>
  <c r="AC58" i="24"/>
  <c r="AB58" i="24"/>
  <c r="AA58" i="24"/>
  <c r="Z58" i="24"/>
  <c r="AD57" i="24"/>
  <c r="AC57" i="24"/>
  <c r="AB57" i="24"/>
  <c r="AA57" i="24"/>
  <c r="Z57" i="24"/>
  <c r="AD56" i="24"/>
  <c r="AC56" i="24"/>
  <c r="AB56" i="24"/>
  <c r="AA56" i="24"/>
  <c r="AD55" i="24"/>
  <c r="AC55" i="24"/>
  <c r="AB55" i="24"/>
  <c r="AA55" i="24"/>
  <c r="AD54" i="24"/>
  <c r="AC54" i="24"/>
  <c r="AB54" i="24"/>
  <c r="AA54" i="24"/>
  <c r="AD53" i="24"/>
  <c r="AC53" i="24"/>
  <c r="AB53" i="24"/>
  <c r="AA53" i="24"/>
  <c r="AD52" i="24"/>
  <c r="AC52" i="24"/>
  <c r="AB52" i="24"/>
  <c r="AA52" i="24"/>
  <c r="AD51" i="24"/>
  <c r="AC51" i="24"/>
  <c r="AB51" i="24"/>
  <c r="AA51" i="24"/>
  <c r="AD50" i="24"/>
  <c r="AC50" i="24"/>
  <c r="AB50" i="24"/>
  <c r="AA50" i="24"/>
  <c r="AD49" i="24"/>
  <c r="AC49" i="24"/>
  <c r="AB49" i="24"/>
  <c r="AA49" i="24"/>
  <c r="AD48" i="24"/>
  <c r="AC48" i="24"/>
  <c r="AB48" i="24"/>
  <c r="AA48" i="24"/>
  <c r="AD47" i="24"/>
  <c r="AC47" i="24"/>
  <c r="AB47" i="24"/>
  <c r="AA47" i="24"/>
  <c r="AD46" i="24"/>
  <c r="AC46" i="24"/>
  <c r="AB46" i="24"/>
  <c r="AA46" i="24"/>
  <c r="AD45" i="24"/>
  <c r="AC45" i="24"/>
  <c r="AB45" i="24"/>
  <c r="AA45"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F11" i="24"/>
  <c r="B11" i="24"/>
  <c r="F10" i="24"/>
  <c r="B10" i="24"/>
  <c r="J9" i="24"/>
  <c r="F9" i="24"/>
  <c r="B9" i="24"/>
  <c r="F8" i="24"/>
  <c r="B8" i="24"/>
  <c r="F7" i="24"/>
  <c r="B7" i="24"/>
  <c r="H6" i="24"/>
  <c r="F6" i="24"/>
  <c r="B6" i="24"/>
  <c r="F5" i="24"/>
  <c r="B5" i="24"/>
  <c r="H4" i="24"/>
  <c r="F4" i="24"/>
  <c r="B4" i="24"/>
  <c r="F3" i="24"/>
  <c r="B3" i="24"/>
  <c r="X170" i="23"/>
  <c r="V170" i="23"/>
  <c r="T170" i="23"/>
  <c r="P170" i="23"/>
  <c r="O170" i="23"/>
  <c r="X169" i="23"/>
  <c r="V169" i="23"/>
  <c r="T169" i="23"/>
  <c r="P169" i="23"/>
  <c r="O169" i="23"/>
  <c r="X168" i="23"/>
  <c r="V168" i="23"/>
  <c r="T168" i="23"/>
  <c r="P168" i="23"/>
  <c r="O168" i="23"/>
  <c r="X167" i="23"/>
  <c r="V167" i="23"/>
  <c r="T167" i="23"/>
  <c r="P167" i="23"/>
  <c r="O167" i="23"/>
  <c r="X166" i="23"/>
  <c r="V166" i="23"/>
  <c r="T166" i="23"/>
  <c r="P166" i="23"/>
  <c r="O166" i="23"/>
  <c r="X165" i="23"/>
  <c r="V165" i="23"/>
  <c r="T165" i="23"/>
  <c r="P165" i="23"/>
  <c r="O165" i="23"/>
  <c r="X164" i="23"/>
  <c r="V164" i="23"/>
  <c r="T164" i="23"/>
  <c r="P164" i="23"/>
  <c r="O164" i="23"/>
  <c r="X163" i="23"/>
  <c r="V163" i="23"/>
  <c r="T163" i="23"/>
  <c r="P163" i="23"/>
  <c r="O163" i="23"/>
  <c r="X162" i="23"/>
  <c r="V162" i="23"/>
  <c r="T162" i="23"/>
  <c r="P162" i="23"/>
  <c r="O162" i="23"/>
  <c r="X161" i="23"/>
  <c r="V161" i="23"/>
  <c r="T161" i="23"/>
  <c r="P161" i="23"/>
  <c r="O161" i="23"/>
  <c r="X160" i="23"/>
  <c r="V160" i="23"/>
  <c r="T160" i="23"/>
  <c r="P160" i="23"/>
  <c r="O160" i="23"/>
  <c r="X159" i="23"/>
  <c r="V159" i="23"/>
  <c r="T159" i="23"/>
  <c r="P159" i="23"/>
  <c r="O159" i="23"/>
  <c r="X158" i="23"/>
  <c r="V158" i="23"/>
  <c r="T158" i="23"/>
  <c r="P158" i="23"/>
  <c r="O158" i="23"/>
  <c r="X157" i="23"/>
  <c r="V157" i="23"/>
  <c r="T157" i="23"/>
  <c r="P157" i="23"/>
  <c r="O157" i="23"/>
  <c r="X156" i="23"/>
  <c r="V156" i="23"/>
  <c r="T156" i="23"/>
  <c r="P156" i="23"/>
  <c r="O156" i="23"/>
  <c r="X155" i="23"/>
  <c r="V155" i="23"/>
  <c r="T155" i="23"/>
  <c r="P155" i="23"/>
  <c r="O155" i="23"/>
  <c r="X154" i="23"/>
  <c r="V154" i="23"/>
  <c r="T154" i="23"/>
  <c r="P154" i="23"/>
  <c r="O154" i="23"/>
  <c r="X153" i="23"/>
  <c r="V153" i="23"/>
  <c r="T153" i="23"/>
  <c r="P153" i="23"/>
  <c r="O153" i="23"/>
  <c r="X152" i="23"/>
  <c r="V152" i="23"/>
  <c r="T152" i="23"/>
  <c r="P152" i="23"/>
  <c r="O152" i="23"/>
  <c r="X151" i="23"/>
  <c r="V151" i="23"/>
  <c r="T151" i="23"/>
  <c r="P151" i="23"/>
  <c r="O151" i="23"/>
  <c r="X150" i="23"/>
  <c r="V150" i="23"/>
  <c r="T150" i="23"/>
  <c r="P150" i="23"/>
  <c r="O150" i="23"/>
  <c r="X149" i="23"/>
  <c r="V149" i="23"/>
  <c r="T149" i="23"/>
  <c r="P149" i="23"/>
  <c r="O149" i="23"/>
  <c r="X148" i="23"/>
  <c r="V148" i="23"/>
  <c r="T148" i="23"/>
  <c r="P148" i="23"/>
  <c r="O148" i="23"/>
  <c r="X147" i="23"/>
  <c r="V147" i="23"/>
  <c r="T147" i="23"/>
  <c r="P147" i="23"/>
  <c r="O147" i="23"/>
  <c r="X146" i="23"/>
  <c r="V146" i="23"/>
  <c r="T146" i="23"/>
  <c r="P146" i="23"/>
  <c r="O146" i="23"/>
  <c r="X145" i="23"/>
  <c r="V145" i="23"/>
  <c r="T145" i="23"/>
  <c r="P145" i="23"/>
  <c r="O145" i="23"/>
  <c r="X144" i="23"/>
  <c r="V144" i="23"/>
  <c r="T144" i="23"/>
  <c r="P144" i="23"/>
  <c r="O144" i="23"/>
  <c r="X143" i="23"/>
  <c r="V143" i="23"/>
  <c r="T143" i="23"/>
  <c r="P143" i="23"/>
  <c r="O143" i="23"/>
  <c r="X142" i="23"/>
  <c r="V142" i="23"/>
  <c r="T142" i="23"/>
  <c r="P142" i="23"/>
  <c r="O142" i="23"/>
  <c r="X141" i="23"/>
  <c r="V141" i="23"/>
  <c r="T141" i="23"/>
  <c r="P141" i="23"/>
  <c r="O141" i="23"/>
  <c r="X140" i="23"/>
  <c r="V140" i="23"/>
  <c r="T140" i="23"/>
  <c r="P140" i="23"/>
  <c r="O140" i="23"/>
  <c r="X139" i="23"/>
  <c r="V139" i="23"/>
  <c r="T139" i="23"/>
  <c r="P139" i="23"/>
  <c r="O139" i="23"/>
  <c r="X138" i="23"/>
  <c r="V138" i="23"/>
  <c r="T138" i="23"/>
  <c r="P138" i="23"/>
  <c r="O138" i="23"/>
  <c r="X137" i="23"/>
  <c r="V137" i="23"/>
  <c r="T137" i="23"/>
  <c r="P137" i="23"/>
  <c r="O137" i="23"/>
  <c r="X136" i="23"/>
  <c r="V136" i="23"/>
  <c r="T136" i="23"/>
  <c r="P136" i="23"/>
  <c r="O136" i="23"/>
  <c r="X135" i="23"/>
  <c r="V135" i="23"/>
  <c r="T135" i="23"/>
  <c r="P135" i="23"/>
  <c r="O135" i="23"/>
  <c r="X134" i="23"/>
  <c r="V134" i="23"/>
  <c r="T134" i="23"/>
  <c r="P134" i="23"/>
  <c r="O134" i="23"/>
  <c r="X133" i="23"/>
  <c r="V133" i="23"/>
  <c r="T133" i="23"/>
  <c r="P133" i="23"/>
  <c r="O133" i="23"/>
  <c r="X132" i="23"/>
  <c r="V132" i="23"/>
  <c r="T132" i="23"/>
  <c r="P132" i="23"/>
  <c r="O132" i="23"/>
  <c r="X131" i="23"/>
  <c r="V131" i="23"/>
  <c r="T131" i="23"/>
  <c r="P131" i="23"/>
  <c r="O131" i="23"/>
  <c r="X130" i="23"/>
  <c r="V130" i="23"/>
  <c r="T130" i="23"/>
  <c r="P130" i="23"/>
  <c r="O130" i="23"/>
  <c r="X129" i="23"/>
  <c r="V129" i="23"/>
  <c r="T129" i="23"/>
  <c r="P129" i="23"/>
  <c r="O129" i="23"/>
  <c r="X128" i="23"/>
  <c r="V128" i="23"/>
  <c r="T128" i="23"/>
  <c r="P128" i="23"/>
  <c r="O128" i="23"/>
  <c r="X127" i="23"/>
  <c r="V127" i="23"/>
  <c r="T127" i="23"/>
  <c r="P127" i="23"/>
  <c r="O127" i="23"/>
  <c r="X126" i="23"/>
  <c r="V126" i="23"/>
  <c r="T126" i="23"/>
  <c r="P126" i="23"/>
  <c r="O126" i="23"/>
  <c r="X125" i="23"/>
  <c r="V125" i="23"/>
  <c r="T125" i="23"/>
  <c r="P125" i="23"/>
  <c r="O125" i="23"/>
  <c r="X124" i="23"/>
  <c r="V124" i="23"/>
  <c r="T124" i="23"/>
  <c r="P124" i="23"/>
  <c r="O124" i="23"/>
  <c r="X123" i="23"/>
  <c r="V123" i="23"/>
  <c r="T123" i="23"/>
  <c r="P123" i="23"/>
  <c r="O123" i="23"/>
  <c r="X122" i="23"/>
  <c r="V122" i="23"/>
  <c r="T122" i="23"/>
  <c r="P122" i="23"/>
  <c r="O122" i="23"/>
  <c r="X121" i="23"/>
  <c r="V121" i="23"/>
  <c r="T121" i="23"/>
  <c r="P121" i="23"/>
  <c r="O121" i="23"/>
  <c r="X120" i="23"/>
  <c r="V120" i="23"/>
  <c r="T120" i="23"/>
  <c r="P120" i="23"/>
  <c r="O120" i="23"/>
  <c r="X119" i="23"/>
  <c r="V119" i="23"/>
  <c r="T119" i="23"/>
  <c r="P119" i="23"/>
  <c r="O119" i="23"/>
  <c r="X118" i="23"/>
  <c r="V118" i="23"/>
  <c r="T118" i="23"/>
  <c r="P118" i="23"/>
  <c r="O118" i="23"/>
  <c r="X117" i="23"/>
  <c r="V117" i="23"/>
  <c r="T117" i="23"/>
  <c r="P117" i="23"/>
  <c r="O117" i="23"/>
  <c r="X116" i="23"/>
  <c r="V116" i="23"/>
  <c r="T116" i="23"/>
  <c r="P116" i="23"/>
  <c r="O116" i="23"/>
  <c r="X115" i="23"/>
  <c r="V115" i="23"/>
  <c r="T115" i="23"/>
  <c r="P115" i="23"/>
  <c r="O115" i="23"/>
  <c r="X114" i="23"/>
  <c r="V114" i="23"/>
  <c r="T114" i="23"/>
  <c r="P114" i="23"/>
  <c r="O114" i="23"/>
  <c r="X113" i="23"/>
  <c r="V113" i="23"/>
  <c r="T113" i="23"/>
  <c r="P113" i="23"/>
  <c r="O113" i="23"/>
  <c r="X112" i="23"/>
  <c r="V112" i="23"/>
  <c r="T112" i="23"/>
  <c r="P112" i="23"/>
  <c r="O112" i="23"/>
  <c r="X111" i="23"/>
  <c r="V111" i="23"/>
  <c r="T111" i="23"/>
  <c r="P111" i="23"/>
  <c r="O111" i="23"/>
  <c r="X110" i="23"/>
  <c r="V110" i="23"/>
  <c r="T110" i="23"/>
  <c r="P110" i="23"/>
  <c r="O110" i="23"/>
  <c r="X109" i="23"/>
  <c r="V109" i="23"/>
  <c r="T109" i="23"/>
  <c r="P109" i="23"/>
  <c r="O109" i="23"/>
  <c r="X108" i="23"/>
  <c r="V108" i="23"/>
  <c r="T108" i="23"/>
  <c r="P108" i="23"/>
  <c r="O108" i="23"/>
  <c r="X107" i="23"/>
  <c r="V107" i="23"/>
  <c r="T107" i="23"/>
  <c r="P107" i="23"/>
  <c r="O107" i="23"/>
  <c r="X106" i="23"/>
  <c r="V106" i="23"/>
  <c r="T106" i="23"/>
  <c r="P106" i="23"/>
  <c r="O106" i="23"/>
  <c r="X105" i="23"/>
  <c r="V105" i="23"/>
  <c r="T105" i="23"/>
  <c r="P105" i="23"/>
  <c r="O105" i="23"/>
  <c r="X104" i="23"/>
  <c r="V104" i="23"/>
  <c r="T104" i="23"/>
  <c r="P104" i="23"/>
  <c r="O104" i="23"/>
  <c r="X103" i="23"/>
  <c r="V103" i="23"/>
  <c r="T103" i="23"/>
  <c r="P103" i="23"/>
  <c r="O103" i="23"/>
  <c r="X102" i="23"/>
  <c r="V102" i="23"/>
  <c r="T102" i="23"/>
  <c r="P102" i="23"/>
  <c r="O102" i="23"/>
  <c r="X101" i="23"/>
  <c r="V101" i="23"/>
  <c r="T101" i="23"/>
  <c r="P101" i="23"/>
  <c r="O101" i="23"/>
  <c r="X100" i="23"/>
  <c r="V100" i="23"/>
  <c r="T100" i="23"/>
  <c r="P100" i="23"/>
  <c r="O100" i="23"/>
  <c r="X99" i="23"/>
  <c r="V99" i="23"/>
  <c r="T99" i="23"/>
  <c r="P99" i="23"/>
  <c r="O99" i="23"/>
  <c r="X98" i="23"/>
  <c r="V98" i="23"/>
  <c r="T98" i="23"/>
  <c r="P98" i="23"/>
  <c r="O98" i="23"/>
  <c r="X97" i="23"/>
  <c r="V97" i="23"/>
  <c r="T97" i="23"/>
  <c r="P97" i="23"/>
  <c r="O97" i="23"/>
  <c r="X96" i="23"/>
  <c r="V96" i="23"/>
  <c r="T96" i="23"/>
  <c r="P96" i="23"/>
  <c r="O96" i="23"/>
  <c r="X95" i="23"/>
  <c r="V95" i="23"/>
  <c r="T95" i="23"/>
  <c r="P95" i="23"/>
  <c r="O95" i="23"/>
  <c r="X94" i="23"/>
  <c r="V94" i="23"/>
  <c r="T94" i="23"/>
  <c r="P94" i="23"/>
  <c r="O94" i="23"/>
  <c r="X93" i="23"/>
  <c r="V93" i="23"/>
  <c r="T93" i="23"/>
  <c r="P93" i="23"/>
  <c r="O93" i="23"/>
  <c r="X92" i="23"/>
  <c r="V92" i="23"/>
  <c r="T92" i="23"/>
  <c r="P92" i="23"/>
  <c r="O92" i="23"/>
  <c r="X91" i="23"/>
  <c r="V91" i="23"/>
  <c r="T91" i="23"/>
  <c r="P91" i="23"/>
  <c r="O91" i="23"/>
  <c r="X90" i="23"/>
  <c r="V90" i="23"/>
  <c r="T90" i="23"/>
  <c r="P90" i="23"/>
  <c r="O90" i="23"/>
  <c r="X89" i="23"/>
  <c r="V89" i="23"/>
  <c r="T89" i="23"/>
  <c r="P89" i="23"/>
  <c r="O89" i="23"/>
  <c r="X88" i="23"/>
  <c r="V88" i="23"/>
  <c r="T88" i="23"/>
  <c r="P88" i="23"/>
  <c r="O88" i="23"/>
  <c r="X87" i="23"/>
  <c r="V87" i="23"/>
  <c r="T87" i="23"/>
  <c r="P87" i="23"/>
  <c r="O87" i="23"/>
  <c r="X86" i="23"/>
  <c r="V86" i="23"/>
  <c r="T86" i="23"/>
  <c r="P86" i="23"/>
  <c r="O86" i="23"/>
  <c r="X85" i="23"/>
  <c r="V85" i="23"/>
  <c r="T85" i="23"/>
  <c r="P85" i="23"/>
  <c r="O85" i="23"/>
  <c r="X84" i="23"/>
  <c r="V84" i="23"/>
  <c r="T84" i="23"/>
  <c r="P84" i="23"/>
  <c r="O84" i="23"/>
  <c r="X83" i="23"/>
  <c r="V83" i="23"/>
  <c r="T83" i="23"/>
  <c r="P83" i="23"/>
  <c r="O83" i="23"/>
  <c r="X82" i="23"/>
  <c r="V82" i="23"/>
  <c r="T82" i="23"/>
  <c r="P82" i="23"/>
  <c r="O82" i="23"/>
  <c r="X81" i="23"/>
  <c r="V81" i="23"/>
  <c r="T81" i="23"/>
  <c r="P81" i="23"/>
  <c r="O81" i="23"/>
  <c r="X80" i="23"/>
  <c r="V80" i="23"/>
  <c r="T80" i="23"/>
  <c r="P80" i="23"/>
  <c r="O80" i="23"/>
  <c r="X79" i="23"/>
  <c r="V79" i="23"/>
  <c r="T79" i="23"/>
  <c r="P79" i="23"/>
  <c r="O79" i="23"/>
  <c r="X78" i="23"/>
  <c r="V78" i="23"/>
  <c r="T78" i="23"/>
  <c r="P78" i="23"/>
  <c r="O78" i="23"/>
  <c r="X77" i="23"/>
  <c r="V77" i="23"/>
  <c r="T77" i="23"/>
  <c r="P77" i="23"/>
  <c r="O77" i="23"/>
  <c r="X76" i="23"/>
  <c r="V76" i="23"/>
  <c r="T76" i="23"/>
  <c r="P76" i="23"/>
  <c r="O76" i="23"/>
  <c r="X75" i="23"/>
  <c r="V75" i="23"/>
  <c r="T75" i="23"/>
  <c r="P75" i="23"/>
  <c r="O75" i="23"/>
  <c r="X74" i="23"/>
  <c r="V74" i="23"/>
  <c r="T74" i="23"/>
  <c r="P74" i="23"/>
  <c r="O74" i="23"/>
  <c r="X73" i="23"/>
  <c r="V73" i="23"/>
  <c r="T73" i="23"/>
  <c r="P73" i="23"/>
  <c r="O73" i="23"/>
  <c r="X72" i="23"/>
  <c r="V72" i="23"/>
  <c r="T72" i="23"/>
  <c r="P72" i="23"/>
  <c r="O72" i="23"/>
  <c r="X71" i="23"/>
  <c r="V71" i="23"/>
  <c r="T71" i="23"/>
  <c r="P71" i="23"/>
  <c r="O71" i="23"/>
  <c r="N71" i="23"/>
  <c r="N72" i="23" s="1"/>
  <c r="N73" i="23" s="1"/>
  <c r="N74" i="23" s="1"/>
  <c r="N75" i="23" s="1"/>
  <c r="N76" i="23" s="1"/>
  <c r="N77" i="23" s="1"/>
  <c r="N78" i="23" s="1"/>
  <c r="N79" i="23" s="1"/>
  <c r="N80" i="23" s="1"/>
  <c r="N81" i="23" s="1"/>
  <c r="N82" i="23" s="1"/>
  <c r="N83" i="23" s="1"/>
  <c r="N84" i="23" s="1"/>
  <c r="N85" i="23" s="1"/>
  <c r="N86" i="23" s="1"/>
  <c r="N87" i="23" s="1"/>
  <c r="N88" i="23" s="1"/>
  <c r="N89" i="23" s="1"/>
  <c r="N90" i="23" s="1"/>
  <c r="N91" i="23" s="1"/>
  <c r="N92" i="23" s="1"/>
  <c r="N93" i="23" s="1"/>
  <c r="N94" i="23" s="1"/>
  <c r="N95" i="23" s="1"/>
  <c r="N96" i="23" s="1"/>
  <c r="N97" i="23" s="1"/>
  <c r="N98" i="23" s="1"/>
  <c r="N99" i="23" s="1"/>
  <c r="N100" i="23" s="1"/>
  <c r="N101" i="23" s="1"/>
  <c r="N102" i="23" s="1"/>
  <c r="N103" i="23" s="1"/>
  <c r="N104" i="23" s="1"/>
  <c r="N105" i="23" s="1"/>
  <c r="N106" i="23" s="1"/>
  <c r="N107" i="23" s="1"/>
  <c r="N108" i="23" s="1"/>
  <c r="N109" i="23" s="1"/>
  <c r="N110" i="23" s="1"/>
  <c r="N111" i="23" s="1"/>
  <c r="N112" i="23" s="1"/>
  <c r="N113" i="23" s="1"/>
  <c r="N114" i="23" s="1"/>
  <c r="N115" i="23" s="1"/>
  <c r="N116" i="23" s="1"/>
  <c r="N117" i="23" s="1"/>
  <c r="N118" i="23" s="1"/>
  <c r="N119" i="23" s="1"/>
  <c r="N120" i="23" s="1"/>
  <c r="N121" i="23" s="1"/>
  <c r="N122" i="23" s="1"/>
  <c r="N123" i="23" s="1"/>
  <c r="N124" i="23" s="1"/>
  <c r="N125" i="23" s="1"/>
  <c r="N126" i="23" s="1"/>
  <c r="N127" i="23" s="1"/>
  <c r="N128" i="23" s="1"/>
  <c r="N129" i="23" s="1"/>
  <c r="N130" i="23" s="1"/>
  <c r="N131" i="23" s="1"/>
  <c r="N132" i="23" s="1"/>
  <c r="N133" i="23" s="1"/>
  <c r="N134" i="23" s="1"/>
  <c r="N135" i="23" s="1"/>
  <c r="N136" i="23" s="1"/>
  <c r="N137" i="23" s="1"/>
  <c r="N138" i="23" s="1"/>
  <c r="N139" i="23" s="1"/>
  <c r="N140" i="23" s="1"/>
  <c r="N141" i="23" s="1"/>
  <c r="N142" i="23" s="1"/>
  <c r="N143" i="23" s="1"/>
  <c r="N144" i="23" s="1"/>
  <c r="N145" i="23" s="1"/>
  <c r="N146" i="23" s="1"/>
  <c r="N147" i="23" s="1"/>
  <c r="N148" i="23" s="1"/>
  <c r="N149" i="23" s="1"/>
  <c r="N150" i="23" s="1"/>
  <c r="N151" i="23" s="1"/>
  <c r="N152" i="23" s="1"/>
  <c r="N153" i="23" s="1"/>
  <c r="N154" i="23" s="1"/>
  <c r="N155" i="23" s="1"/>
  <c r="N156" i="23" s="1"/>
  <c r="N157" i="23" s="1"/>
  <c r="N158" i="23" s="1"/>
  <c r="N159" i="23" s="1"/>
  <c r="N160" i="23" s="1"/>
  <c r="N161" i="23" s="1"/>
  <c r="N162" i="23" s="1"/>
  <c r="N163" i="23" s="1"/>
  <c r="N164" i="23" s="1"/>
  <c r="N165" i="23" s="1"/>
  <c r="N166" i="23" s="1"/>
  <c r="N167" i="23" s="1"/>
  <c r="N168" i="23" s="1"/>
  <c r="N169" i="23" s="1"/>
  <c r="N170" i="23" s="1"/>
  <c r="M71" i="23"/>
  <c r="M72" i="23" s="1"/>
  <c r="M73" i="23" s="1"/>
  <c r="M74" i="23" s="1"/>
  <c r="K71" i="23"/>
  <c r="K72" i="23" s="1"/>
  <c r="K73" i="23" s="1"/>
  <c r="D71" i="23"/>
  <c r="X70" i="23"/>
  <c r="V70" i="23"/>
  <c r="T70" i="23"/>
  <c r="P70" i="23"/>
  <c r="O70" i="23"/>
  <c r="F70" i="23"/>
  <c r="F71" i="23" s="1"/>
  <c r="D70" i="23"/>
  <c r="E70" i="23" s="1"/>
  <c r="G70" i="23" s="1"/>
  <c r="B63" i="23"/>
  <c r="Z63" i="23" s="1"/>
  <c r="B62" i="23"/>
  <c r="Z62" i="23" s="1"/>
  <c r="B61" i="23"/>
  <c r="Z61" i="23" s="1"/>
  <c r="B60" i="23"/>
  <c r="Z60" i="23" s="1"/>
  <c r="B59" i="23"/>
  <c r="B58" i="23"/>
  <c r="Z58" i="23" s="1"/>
  <c r="B57" i="23"/>
  <c r="Z57" i="23" s="1"/>
  <c r="B56" i="23"/>
  <c r="Z56" i="23" s="1"/>
  <c r="B55" i="23"/>
  <c r="Z55" i="23" s="1"/>
  <c r="B54" i="23"/>
  <c r="Z54" i="23" s="1"/>
  <c r="B53" i="23"/>
  <c r="Z53" i="23" s="1"/>
  <c r="B52" i="23"/>
  <c r="Z52" i="23" s="1"/>
  <c r="B51" i="23"/>
  <c r="B50" i="23"/>
  <c r="Z50" i="23" s="1"/>
  <c r="B49" i="23"/>
  <c r="Z49" i="23" s="1"/>
  <c r="B48" i="23"/>
  <c r="Z48" i="23" s="1"/>
  <c r="B47" i="23"/>
  <c r="Z47" i="23" s="1"/>
  <c r="B46" i="23"/>
  <c r="Z46" i="23" s="1"/>
  <c r="B45" i="23"/>
  <c r="Z45" i="23" s="1"/>
  <c r="C41" i="23"/>
  <c r="C35" i="23"/>
  <c r="C34" i="23"/>
  <c r="C33" i="23"/>
  <c r="C32" i="23"/>
  <c r="C31" i="23"/>
  <c r="C30" i="23"/>
  <c r="C29" i="23"/>
  <c r="C28" i="23"/>
  <c r="C27" i="23"/>
  <c r="C26" i="23"/>
  <c r="C25" i="23"/>
  <c r="C24" i="23"/>
  <c r="C23" i="23"/>
  <c r="C22" i="23"/>
  <c r="C21" i="23"/>
  <c r="C20" i="23"/>
  <c r="C19" i="23"/>
  <c r="C18" i="23"/>
  <c r="C17" i="23"/>
  <c r="C16" i="23"/>
  <c r="C15" i="23"/>
  <c r="C14" i="23"/>
  <c r="C13" i="23"/>
  <c r="C12" i="23"/>
  <c r="G11" i="23"/>
  <c r="C11" i="23"/>
  <c r="C10" i="23"/>
  <c r="C9" i="23"/>
  <c r="C8" i="23"/>
  <c r="C7" i="23"/>
  <c r="C6" i="23"/>
  <c r="J9" i="23" s="1"/>
  <c r="C5" i="23"/>
  <c r="C4" i="23"/>
  <c r="C3" i="23"/>
  <c r="C2" i="23"/>
  <c r="R170" i="23"/>
  <c r="R169" i="23"/>
  <c r="R168" i="23"/>
  <c r="R167" i="23"/>
  <c r="R166" i="23"/>
  <c r="R165" i="23"/>
  <c r="R164" i="23"/>
  <c r="R163" i="23"/>
  <c r="R162" i="23"/>
  <c r="R161" i="23"/>
  <c r="R160" i="23"/>
  <c r="R159" i="23"/>
  <c r="R158" i="23"/>
  <c r="R157" i="23"/>
  <c r="R156" i="23"/>
  <c r="R155" i="23"/>
  <c r="R154" i="23"/>
  <c r="R153" i="23"/>
  <c r="R152" i="23"/>
  <c r="R151" i="23"/>
  <c r="R150"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R122" i="23"/>
  <c r="R121" i="23"/>
  <c r="R120" i="23"/>
  <c r="R119" i="23"/>
  <c r="R118" i="23"/>
  <c r="R117" i="23"/>
  <c r="R116" i="23"/>
  <c r="R115" i="23"/>
  <c r="R114" i="23"/>
  <c r="R113" i="23"/>
  <c r="R112" i="23"/>
  <c r="R111" i="23"/>
  <c r="R110" i="23"/>
  <c r="R109" i="23"/>
  <c r="R108" i="23"/>
  <c r="R107" i="23"/>
  <c r="R106" i="23"/>
  <c r="R105" i="23"/>
  <c r="R104" i="23"/>
  <c r="R103" i="23"/>
  <c r="R102" i="23"/>
  <c r="R101" i="23"/>
  <c r="R100" i="23"/>
  <c r="R99" i="23"/>
  <c r="R98" i="23"/>
  <c r="R97" i="23"/>
  <c r="R96" i="23"/>
  <c r="R95" i="23"/>
  <c r="R94" i="23"/>
  <c r="R93" i="23"/>
  <c r="R92" i="23"/>
  <c r="R91" i="23"/>
  <c r="R90" i="23"/>
  <c r="R89" i="23"/>
  <c r="R88" i="23"/>
  <c r="R87" i="23"/>
  <c r="R86" i="23"/>
  <c r="R85" i="23"/>
  <c r="R84" i="23"/>
  <c r="R83" i="23"/>
  <c r="R82" i="23"/>
  <c r="R81" i="23"/>
  <c r="R80" i="23"/>
  <c r="R79" i="23"/>
  <c r="R78" i="23"/>
  <c r="R77" i="23"/>
  <c r="R76" i="23"/>
  <c r="R75" i="23"/>
  <c r="R74" i="23"/>
  <c r="R73" i="23"/>
  <c r="R72" i="23"/>
  <c r="R71" i="23"/>
  <c r="R70" i="23"/>
  <c r="N70" i="23"/>
  <c r="M70" i="23"/>
  <c r="K70" i="23"/>
  <c r="AD69" i="23"/>
  <c r="AC69" i="23"/>
  <c r="AB69" i="23"/>
  <c r="AA69" i="23"/>
  <c r="AD68" i="23"/>
  <c r="AC68" i="23"/>
  <c r="AB68" i="23"/>
  <c r="AA68" i="23"/>
  <c r="AD67" i="23"/>
  <c r="AC67" i="23"/>
  <c r="AB67" i="23"/>
  <c r="AA67" i="23"/>
  <c r="AD66" i="23"/>
  <c r="AC66" i="23"/>
  <c r="AB66" i="23"/>
  <c r="AA66" i="23"/>
  <c r="AD65" i="23"/>
  <c r="AC65" i="23"/>
  <c r="AB65" i="23"/>
  <c r="AA65" i="23"/>
  <c r="AD64" i="23"/>
  <c r="AC64" i="23"/>
  <c r="AB64" i="23"/>
  <c r="AA64" i="23"/>
  <c r="AD63" i="23"/>
  <c r="AC63" i="23"/>
  <c r="AB63" i="23"/>
  <c r="AA63" i="23"/>
  <c r="AD62" i="23"/>
  <c r="AC62" i="23"/>
  <c r="AB62" i="23"/>
  <c r="AA62" i="23"/>
  <c r="AD61" i="23"/>
  <c r="AC61" i="23"/>
  <c r="AB61" i="23"/>
  <c r="AA61" i="23"/>
  <c r="AD60" i="23"/>
  <c r="AC60" i="23"/>
  <c r="AB60" i="23"/>
  <c r="AA60" i="23"/>
  <c r="AD59" i="23"/>
  <c r="AC59" i="23"/>
  <c r="AB59" i="23"/>
  <c r="AA59" i="23"/>
  <c r="Z59" i="23"/>
  <c r="AD58" i="23"/>
  <c r="AC58" i="23"/>
  <c r="AB58" i="23"/>
  <c r="AA58" i="23"/>
  <c r="AD57" i="23"/>
  <c r="AC57" i="23"/>
  <c r="AB57" i="23"/>
  <c r="AA57" i="23"/>
  <c r="AD56" i="23"/>
  <c r="AC56" i="23"/>
  <c r="AB56" i="23"/>
  <c r="AA56" i="23"/>
  <c r="AD55" i="23"/>
  <c r="AC55" i="23"/>
  <c r="AB55" i="23"/>
  <c r="AA55" i="23"/>
  <c r="AD54" i="23"/>
  <c r="AC54" i="23"/>
  <c r="AB54" i="23"/>
  <c r="AA54" i="23"/>
  <c r="AD53" i="23"/>
  <c r="AC53" i="23"/>
  <c r="AB53" i="23"/>
  <c r="AA53" i="23"/>
  <c r="AD52" i="23"/>
  <c r="AC52" i="23"/>
  <c r="AB52" i="23"/>
  <c r="AA52" i="23"/>
  <c r="AD51" i="23"/>
  <c r="AC51" i="23"/>
  <c r="AB51" i="23"/>
  <c r="AA51" i="23"/>
  <c r="Z51" i="23"/>
  <c r="AD50" i="23"/>
  <c r="AC50" i="23"/>
  <c r="AB50" i="23"/>
  <c r="AA50" i="23"/>
  <c r="AD49" i="23"/>
  <c r="AC49" i="23"/>
  <c r="AB49" i="23"/>
  <c r="AA49" i="23"/>
  <c r="AD48" i="23"/>
  <c r="AC48" i="23"/>
  <c r="AB48" i="23"/>
  <c r="AA48" i="23"/>
  <c r="AD47" i="23"/>
  <c r="AC47" i="23"/>
  <c r="AB47" i="23"/>
  <c r="AA47" i="23"/>
  <c r="AD46" i="23"/>
  <c r="AC46" i="23"/>
  <c r="AB46" i="23"/>
  <c r="AA46" i="23"/>
  <c r="AD45" i="23"/>
  <c r="AC45" i="23"/>
  <c r="AB45" i="23"/>
  <c r="AA45" i="23"/>
  <c r="B41" i="23"/>
  <c r="B40" i="23"/>
  <c r="B39" i="23"/>
  <c r="B38" i="23"/>
  <c r="B37" i="23"/>
  <c r="B36" i="23"/>
  <c r="B35" i="23"/>
  <c r="B34" i="23"/>
  <c r="B33" i="23"/>
  <c r="B32" i="23"/>
  <c r="B31" i="23"/>
  <c r="B30" i="23"/>
  <c r="B29" i="23"/>
  <c r="B28" i="23"/>
  <c r="B27" i="23"/>
  <c r="B26" i="23"/>
  <c r="B25" i="23"/>
  <c r="B24" i="23"/>
  <c r="B23" i="23"/>
  <c r="B22" i="23"/>
  <c r="B21" i="23"/>
  <c r="B20" i="23"/>
  <c r="B19" i="23"/>
  <c r="B18" i="23"/>
  <c r="B17" i="23"/>
  <c r="B16" i="23"/>
  <c r="B15" i="23"/>
  <c r="B14" i="23"/>
  <c r="B13" i="23"/>
  <c r="B12" i="23"/>
  <c r="I11" i="23"/>
  <c r="F11" i="23"/>
  <c r="B11" i="23"/>
  <c r="F10" i="23"/>
  <c r="B10" i="23"/>
  <c r="F9" i="23"/>
  <c r="B9" i="23"/>
  <c r="F8" i="23"/>
  <c r="B8" i="23"/>
  <c r="F7" i="23"/>
  <c r="B7" i="23"/>
  <c r="H6" i="23"/>
  <c r="F6" i="23"/>
  <c r="B6" i="23"/>
  <c r="F5" i="23"/>
  <c r="B5" i="23"/>
  <c r="F4" i="23"/>
  <c r="H5" i="23"/>
  <c r="B4" i="23"/>
  <c r="F3" i="23"/>
  <c r="B3" i="23"/>
  <c r="G2" i="23"/>
  <c r="X170" i="22"/>
  <c r="V170" i="22"/>
  <c r="T170" i="22"/>
  <c r="P170" i="22"/>
  <c r="O170" i="22"/>
  <c r="X169" i="22"/>
  <c r="V169" i="22"/>
  <c r="T169" i="22"/>
  <c r="P169" i="22"/>
  <c r="O169" i="22"/>
  <c r="X168" i="22"/>
  <c r="V168" i="22"/>
  <c r="T168" i="22"/>
  <c r="P168" i="22"/>
  <c r="O168" i="22"/>
  <c r="X167" i="22"/>
  <c r="V167" i="22"/>
  <c r="T167" i="22"/>
  <c r="P167" i="22"/>
  <c r="O167" i="22"/>
  <c r="X166" i="22"/>
  <c r="V166" i="22"/>
  <c r="T166" i="22"/>
  <c r="P166" i="22"/>
  <c r="O166" i="22"/>
  <c r="X165" i="22"/>
  <c r="V165" i="22"/>
  <c r="T165" i="22"/>
  <c r="P165" i="22"/>
  <c r="O165" i="22"/>
  <c r="X164" i="22"/>
  <c r="V164" i="22"/>
  <c r="T164" i="22"/>
  <c r="P164" i="22"/>
  <c r="O164" i="22"/>
  <c r="X163" i="22"/>
  <c r="V163" i="22"/>
  <c r="T163" i="22"/>
  <c r="P163" i="22"/>
  <c r="O163" i="22"/>
  <c r="X162" i="22"/>
  <c r="V162" i="22"/>
  <c r="T162" i="22"/>
  <c r="P162" i="22"/>
  <c r="O162" i="22"/>
  <c r="X161" i="22"/>
  <c r="V161" i="22"/>
  <c r="T161" i="22"/>
  <c r="P161" i="22"/>
  <c r="O161" i="22"/>
  <c r="X160" i="22"/>
  <c r="V160" i="22"/>
  <c r="T160" i="22"/>
  <c r="P160" i="22"/>
  <c r="O160" i="22"/>
  <c r="X159" i="22"/>
  <c r="V159" i="22"/>
  <c r="T159" i="22"/>
  <c r="P159" i="22"/>
  <c r="O159" i="22"/>
  <c r="X158" i="22"/>
  <c r="V158" i="22"/>
  <c r="T158" i="22"/>
  <c r="P158" i="22"/>
  <c r="O158" i="22"/>
  <c r="X157" i="22"/>
  <c r="V157" i="22"/>
  <c r="T157" i="22"/>
  <c r="P157" i="22"/>
  <c r="O157" i="22"/>
  <c r="X156" i="22"/>
  <c r="V156" i="22"/>
  <c r="T156" i="22"/>
  <c r="P156" i="22"/>
  <c r="O156" i="22"/>
  <c r="X155" i="22"/>
  <c r="V155" i="22"/>
  <c r="T155" i="22"/>
  <c r="P155" i="22"/>
  <c r="O155" i="22"/>
  <c r="X154" i="22"/>
  <c r="V154" i="22"/>
  <c r="T154" i="22"/>
  <c r="P154" i="22"/>
  <c r="O154" i="22"/>
  <c r="X153" i="22"/>
  <c r="V153" i="22"/>
  <c r="T153" i="22"/>
  <c r="P153" i="22"/>
  <c r="O153" i="22"/>
  <c r="X152" i="22"/>
  <c r="V152" i="22"/>
  <c r="T152" i="22"/>
  <c r="P152" i="22"/>
  <c r="O152" i="22"/>
  <c r="X151" i="22"/>
  <c r="V151" i="22"/>
  <c r="T151" i="22"/>
  <c r="P151" i="22"/>
  <c r="O151" i="22"/>
  <c r="X150" i="22"/>
  <c r="V150" i="22"/>
  <c r="T150" i="22"/>
  <c r="P150" i="22"/>
  <c r="O150" i="22"/>
  <c r="X149" i="22"/>
  <c r="V149" i="22"/>
  <c r="T149" i="22"/>
  <c r="P149" i="22"/>
  <c r="O149" i="22"/>
  <c r="X148" i="22"/>
  <c r="V148" i="22"/>
  <c r="T148" i="22"/>
  <c r="P148" i="22"/>
  <c r="O148" i="22"/>
  <c r="X147" i="22"/>
  <c r="V147" i="22"/>
  <c r="T147" i="22"/>
  <c r="P147" i="22"/>
  <c r="O147" i="22"/>
  <c r="X146" i="22"/>
  <c r="V146" i="22"/>
  <c r="T146" i="22"/>
  <c r="P146" i="22"/>
  <c r="O146" i="22"/>
  <c r="X145" i="22"/>
  <c r="V145" i="22"/>
  <c r="T145" i="22"/>
  <c r="P145" i="22"/>
  <c r="O145" i="22"/>
  <c r="X144" i="22"/>
  <c r="V144" i="22"/>
  <c r="T144" i="22"/>
  <c r="P144" i="22"/>
  <c r="O144" i="22"/>
  <c r="X143" i="22"/>
  <c r="V143" i="22"/>
  <c r="T143" i="22"/>
  <c r="P143" i="22"/>
  <c r="O143" i="22"/>
  <c r="X142" i="22"/>
  <c r="V142" i="22"/>
  <c r="T142" i="22"/>
  <c r="P142" i="22"/>
  <c r="O142" i="22"/>
  <c r="X141" i="22"/>
  <c r="V141" i="22"/>
  <c r="T141" i="22"/>
  <c r="P141" i="22"/>
  <c r="O141" i="22"/>
  <c r="X140" i="22"/>
  <c r="V140" i="22"/>
  <c r="T140" i="22"/>
  <c r="P140" i="22"/>
  <c r="O140" i="22"/>
  <c r="X139" i="22"/>
  <c r="V139" i="22"/>
  <c r="T139" i="22"/>
  <c r="P139" i="22"/>
  <c r="O139" i="22"/>
  <c r="X138" i="22"/>
  <c r="V138" i="22"/>
  <c r="T138" i="22"/>
  <c r="P138" i="22"/>
  <c r="O138" i="22"/>
  <c r="X137" i="22"/>
  <c r="V137" i="22"/>
  <c r="T137" i="22"/>
  <c r="P137" i="22"/>
  <c r="O137" i="22"/>
  <c r="X136" i="22"/>
  <c r="V136" i="22"/>
  <c r="T136" i="22"/>
  <c r="P136" i="22"/>
  <c r="O136" i="22"/>
  <c r="X135" i="22"/>
  <c r="V135" i="22"/>
  <c r="T135" i="22"/>
  <c r="P135" i="22"/>
  <c r="O135" i="22"/>
  <c r="X134" i="22"/>
  <c r="V134" i="22"/>
  <c r="T134" i="22"/>
  <c r="P134" i="22"/>
  <c r="O134" i="22"/>
  <c r="X133" i="22"/>
  <c r="V133" i="22"/>
  <c r="T133" i="22"/>
  <c r="P133" i="22"/>
  <c r="O133" i="22"/>
  <c r="X132" i="22"/>
  <c r="V132" i="22"/>
  <c r="T132" i="22"/>
  <c r="P132" i="22"/>
  <c r="O132" i="22"/>
  <c r="X131" i="22"/>
  <c r="V131" i="22"/>
  <c r="T131" i="22"/>
  <c r="P131" i="22"/>
  <c r="O131" i="22"/>
  <c r="X130" i="22"/>
  <c r="V130" i="22"/>
  <c r="T130" i="22"/>
  <c r="P130" i="22"/>
  <c r="O130" i="22"/>
  <c r="X129" i="22"/>
  <c r="V129" i="22"/>
  <c r="T129" i="22"/>
  <c r="P129" i="22"/>
  <c r="O129" i="22"/>
  <c r="X128" i="22"/>
  <c r="V128" i="22"/>
  <c r="T128" i="22"/>
  <c r="P128" i="22"/>
  <c r="O128" i="22"/>
  <c r="X127" i="22"/>
  <c r="V127" i="22"/>
  <c r="T127" i="22"/>
  <c r="P127" i="22"/>
  <c r="O127" i="22"/>
  <c r="X126" i="22"/>
  <c r="V126" i="22"/>
  <c r="T126" i="22"/>
  <c r="P126" i="22"/>
  <c r="O126" i="22"/>
  <c r="X125" i="22"/>
  <c r="V125" i="22"/>
  <c r="T125" i="22"/>
  <c r="P125" i="22"/>
  <c r="O125" i="22"/>
  <c r="X124" i="22"/>
  <c r="V124" i="22"/>
  <c r="T124" i="22"/>
  <c r="P124" i="22"/>
  <c r="O124" i="22"/>
  <c r="X123" i="22"/>
  <c r="V123" i="22"/>
  <c r="T123" i="22"/>
  <c r="P123" i="22"/>
  <c r="O123" i="22"/>
  <c r="X122" i="22"/>
  <c r="V122" i="22"/>
  <c r="T122" i="22"/>
  <c r="P122" i="22"/>
  <c r="O122" i="22"/>
  <c r="X121" i="22"/>
  <c r="V121" i="22"/>
  <c r="T121" i="22"/>
  <c r="P121" i="22"/>
  <c r="O121" i="22"/>
  <c r="X120" i="22"/>
  <c r="V120" i="22"/>
  <c r="T120" i="22"/>
  <c r="P120" i="22"/>
  <c r="O120" i="22"/>
  <c r="X119" i="22"/>
  <c r="V119" i="22"/>
  <c r="T119" i="22"/>
  <c r="P119" i="22"/>
  <c r="O119" i="22"/>
  <c r="X118" i="22"/>
  <c r="V118" i="22"/>
  <c r="T118" i="22"/>
  <c r="P118" i="22"/>
  <c r="O118" i="22"/>
  <c r="X117" i="22"/>
  <c r="V117" i="22"/>
  <c r="T117" i="22"/>
  <c r="P117" i="22"/>
  <c r="O117" i="22"/>
  <c r="X116" i="22"/>
  <c r="V116" i="22"/>
  <c r="T116" i="22"/>
  <c r="P116" i="22"/>
  <c r="O116" i="22"/>
  <c r="X115" i="22"/>
  <c r="V115" i="22"/>
  <c r="T115" i="22"/>
  <c r="P115" i="22"/>
  <c r="O115" i="22"/>
  <c r="X114" i="22"/>
  <c r="V114" i="22"/>
  <c r="T114" i="22"/>
  <c r="P114" i="22"/>
  <c r="O114" i="22"/>
  <c r="X113" i="22"/>
  <c r="V113" i="22"/>
  <c r="T113" i="22"/>
  <c r="P113" i="22"/>
  <c r="O113" i="22"/>
  <c r="X112" i="22"/>
  <c r="V112" i="22"/>
  <c r="T112" i="22"/>
  <c r="P112" i="22"/>
  <c r="O112" i="22"/>
  <c r="X111" i="22"/>
  <c r="V111" i="22"/>
  <c r="T111" i="22"/>
  <c r="P111" i="22"/>
  <c r="O111" i="22"/>
  <c r="X110" i="22"/>
  <c r="V110" i="22"/>
  <c r="T110" i="22"/>
  <c r="P110" i="22"/>
  <c r="O110" i="22"/>
  <c r="X109" i="22"/>
  <c r="V109" i="22"/>
  <c r="T109" i="22"/>
  <c r="P109" i="22"/>
  <c r="O109" i="22"/>
  <c r="X108" i="22"/>
  <c r="V108" i="22"/>
  <c r="T108" i="22"/>
  <c r="P108" i="22"/>
  <c r="O108" i="22"/>
  <c r="X107" i="22"/>
  <c r="V107" i="22"/>
  <c r="T107" i="22"/>
  <c r="P107" i="22"/>
  <c r="O107" i="22"/>
  <c r="X106" i="22"/>
  <c r="V106" i="22"/>
  <c r="T106" i="22"/>
  <c r="P106" i="22"/>
  <c r="O106" i="22"/>
  <c r="X105" i="22"/>
  <c r="V105" i="22"/>
  <c r="T105" i="22"/>
  <c r="P105" i="22"/>
  <c r="O105" i="22"/>
  <c r="X104" i="22"/>
  <c r="V104" i="22"/>
  <c r="T104" i="22"/>
  <c r="P104" i="22"/>
  <c r="O104" i="22"/>
  <c r="X103" i="22"/>
  <c r="V103" i="22"/>
  <c r="T103" i="22"/>
  <c r="P103" i="22"/>
  <c r="O103" i="22"/>
  <c r="X102" i="22"/>
  <c r="V102" i="22"/>
  <c r="T102" i="22"/>
  <c r="P102" i="22"/>
  <c r="O102" i="22"/>
  <c r="X101" i="22"/>
  <c r="V101" i="22"/>
  <c r="T101" i="22"/>
  <c r="P101" i="22"/>
  <c r="O101" i="22"/>
  <c r="X100" i="22"/>
  <c r="V100" i="22"/>
  <c r="T100" i="22"/>
  <c r="P100" i="22"/>
  <c r="O100" i="22"/>
  <c r="X99" i="22"/>
  <c r="V99" i="22"/>
  <c r="T99" i="22"/>
  <c r="P99" i="22"/>
  <c r="O99" i="22"/>
  <c r="X98" i="22"/>
  <c r="V98" i="22"/>
  <c r="T98" i="22"/>
  <c r="P98" i="22"/>
  <c r="O98" i="22"/>
  <c r="X97" i="22"/>
  <c r="V97" i="22"/>
  <c r="T97" i="22"/>
  <c r="P97" i="22"/>
  <c r="O97" i="22"/>
  <c r="X96" i="22"/>
  <c r="V96" i="22"/>
  <c r="T96" i="22"/>
  <c r="P96" i="22"/>
  <c r="O96" i="22"/>
  <c r="X95" i="22"/>
  <c r="V95" i="22"/>
  <c r="T95" i="22"/>
  <c r="P95" i="22"/>
  <c r="O95" i="22"/>
  <c r="X94" i="22"/>
  <c r="V94" i="22"/>
  <c r="T94" i="22"/>
  <c r="P94" i="22"/>
  <c r="O94" i="22"/>
  <c r="X93" i="22"/>
  <c r="V93" i="22"/>
  <c r="T93" i="22"/>
  <c r="P93" i="22"/>
  <c r="O93" i="22"/>
  <c r="X92" i="22"/>
  <c r="V92" i="22"/>
  <c r="T92" i="22"/>
  <c r="P92" i="22"/>
  <c r="O92" i="22"/>
  <c r="X91" i="22"/>
  <c r="V91" i="22"/>
  <c r="T91" i="22"/>
  <c r="P91" i="22"/>
  <c r="O91" i="22"/>
  <c r="X90" i="22"/>
  <c r="V90" i="22"/>
  <c r="T90" i="22"/>
  <c r="P90" i="22"/>
  <c r="O90" i="22"/>
  <c r="X89" i="22"/>
  <c r="V89" i="22"/>
  <c r="T89" i="22"/>
  <c r="P89" i="22"/>
  <c r="O89" i="22"/>
  <c r="X88" i="22"/>
  <c r="V88" i="22"/>
  <c r="T88" i="22"/>
  <c r="P88" i="22"/>
  <c r="O88" i="22"/>
  <c r="X87" i="22"/>
  <c r="V87" i="22"/>
  <c r="T87" i="22"/>
  <c r="P87" i="22"/>
  <c r="O87" i="22"/>
  <c r="X86" i="22"/>
  <c r="V86" i="22"/>
  <c r="T86" i="22"/>
  <c r="P86" i="22"/>
  <c r="O86" i="22"/>
  <c r="X85" i="22"/>
  <c r="V85" i="22"/>
  <c r="T85" i="22"/>
  <c r="P85" i="22"/>
  <c r="O85" i="22"/>
  <c r="X84" i="22"/>
  <c r="V84" i="22"/>
  <c r="T84" i="22"/>
  <c r="P84" i="22"/>
  <c r="O84" i="22"/>
  <c r="X83" i="22"/>
  <c r="V83" i="22"/>
  <c r="T83" i="22"/>
  <c r="P83" i="22"/>
  <c r="O83" i="22"/>
  <c r="X82" i="22"/>
  <c r="V82" i="22"/>
  <c r="T82" i="22"/>
  <c r="P82" i="22"/>
  <c r="O82" i="22"/>
  <c r="X81" i="22"/>
  <c r="V81" i="22"/>
  <c r="T81" i="22"/>
  <c r="P81" i="22"/>
  <c r="O81" i="22"/>
  <c r="X80" i="22"/>
  <c r="V80" i="22"/>
  <c r="T80" i="22"/>
  <c r="P80" i="22"/>
  <c r="O80" i="22"/>
  <c r="X79" i="22"/>
  <c r="V79" i="22"/>
  <c r="T79" i="22"/>
  <c r="P79" i="22"/>
  <c r="O79" i="22"/>
  <c r="X78" i="22"/>
  <c r="V78" i="22"/>
  <c r="T78" i="22"/>
  <c r="P78" i="22"/>
  <c r="O78" i="22"/>
  <c r="X77" i="22"/>
  <c r="V77" i="22"/>
  <c r="T77" i="22"/>
  <c r="P77" i="22"/>
  <c r="O77" i="22"/>
  <c r="X76" i="22"/>
  <c r="V76" i="22"/>
  <c r="T76" i="22"/>
  <c r="P76" i="22"/>
  <c r="O76" i="22"/>
  <c r="X75" i="22"/>
  <c r="V75" i="22"/>
  <c r="T75" i="22"/>
  <c r="P75" i="22"/>
  <c r="O75" i="22"/>
  <c r="X74" i="22"/>
  <c r="V74" i="22"/>
  <c r="T74" i="22"/>
  <c r="P74" i="22"/>
  <c r="O74" i="22"/>
  <c r="X73" i="22"/>
  <c r="V73" i="22"/>
  <c r="T73" i="22"/>
  <c r="P73" i="22"/>
  <c r="O73" i="22"/>
  <c r="X72" i="22"/>
  <c r="V72" i="22"/>
  <c r="T72" i="22"/>
  <c r="P72" i="22"/>
  <c r="O72" i="22"/>
  <c r="X71" i="22"/>
  <c r="V71" i="22"/>
  <c r="T71" i="22"/>
  <c r="P71" i="22"/>
  <c r="O71" i="22"/>
  <c r="N71" i="22"/>
  <c r="N72" i="22" s="1"/>
  <c r="N73" i="22" s="1"/>
  <c r="N74" i="22" s="1"/>
  <c r="N75" i="22" s="1"/>
  <c r="N76" i="22" s="1"/>
  <c r="N77" i="22" s="1"/>
  <c r="N78" i="22" s="1"/>
  <c r="N79" i="22" s="1"/>
  <c r="N80" i="22" s="1"/>
  <c r="N81" i="22" s="1"/>
  <c r="N82" i="22" s="1"/>
  <c r="N83" i="22" s="1"/>
  <c r="N84" i="22" s="1"/>
  <c r="N85" i="22" s="1"/>
  <c r="N86" i="22" s="1"/>
  <c r="N87" i="22" s="1"/>
  <c r="N88" i="22" s="1"/>
  <c r="N89" i="22" s="1"/>
  <c r="N90" i="22" s="1"/>
  <c r="N91" i="22" s="1"/>
  <c r="N92" i="22" s="1"/>
  <c r="N93" i="22" s="1"/>
  <c r="N94" i="22" s="1"/>
  <c r="N95" i="22" s="1"/>
  <c r="N96" i="22" s="1"/>
  <c r="N97" i="22" s="1"/>
  <c r="N98" i="22" s="1"/>
  <c r="N99" i="22" s="1"/>
  <c r="N100" i="22" s="1"/>
  <c r="N101" i="22" s="1"/>
  <c r="N102" i="22" s="1"/>
  <c r="N103" i="22" s="1"/>
  <c r="N104" i="22" s="1"/>
  <c r="N105" i="22" s="1"/>
  <c r="N106" i="22" s="1"/>
  <c r="N107" i="22" s="1"/>
  <c r="N108" i="22" s="1"/>
  <c r="N109" i="22" s="1"/>
  <c r="N110" i="22" s="1"/>
  <c r="N111" i="22" s="1"/>
  <c r="N112" i="22" s="1"/>
  <c r="N113" i="22" s="1"/>
  <c r="N114" i="22" s="1"/>
  <c r="N115" i="22" s="1"/>
  <c r="N116" i="22" s="1"/>
  <c r="N117" i="22" s="1"/>
  <c r="N118" i="22" s="1"/>
  <c r="N119" i="22" s="1"/>
  <c r="N120" i="22" s="1"/>
  <c r="N121" i="22" s="1"/>
  <c r="N122" i="22" s="1"/>
  <c r="N123" i="22" s="1"/>
  <c r="N124" i="22" s="1"/>
  <c r="N125" i="22" s="1"/>
  <c r="N126" i="22" s="1"/>
  <c r="N127" i="22" s="1"/>
  <c r="N128" i="22" s="1"/>
  <c r="N129" i="22" s="1"/>
  <c r="N130" i="22" s="1"/>
  <c r="N131" i="22" s="1"/>
  <c r="N132" i="22" s="1"/>
  <c r="N133" i="22" s="1"/>
  <c r="N134" i="22" s="1"/>
  <c r="N135" i="22" s="1"/>
  <c r="N136" i="22" s="1"/>
  <c r="N137" i="22" s="1"/>
  <c r="N138" i="22" s="1"/>
  <c r="N139" i="22" s="1"/>
  <c r="N140" i="22" s="1"/>
  <c r="N141" i="22" s="1"/>
  <c r="N142" i="22" s="1"/>
  <c r="N143" i="22" s="1"/>
  <c r="N144" i="22" s="1"/>
  <c r="N145" i="22" s="1"/>
  <c r="N146" i="22" s="1"/>
  <c r="N147" i="22" s="1"/>
  <c r="N148" i="22" s="1"/>
  <c r="N149" i="22" s="1"/>
  <c r="N150" i="22" s="1"/>
  <c r="N151" i="22" s="1"/>
  <c r="N152" i="22" s="1"/>
  <c r="N153" i="22" s="1"/>
  <c r="N154" i="22" s="1"/>
  <c r="N155" i="22" s="1"/>
  <c r="N156" i="22" s="1"/>
  <c r="N157" i="22" s="1"/>
  <c r="N158" i="22" s="1"/>
  <c r="N159" i="22" s="1"/>
  <c r="N160" i="22" s="1"/>
  <c r="N161" i="22" s="1"/>
  <c r="N162" i="22" s="1"/>
  <c r="N163" i="22" s="1"/>
  <c r="N164" i="22" s="1"/>
  <c r="N165" i="22" s="1"/>
  <c r="N166" i="22" s="1"/>
  <c r="N167" i="22" s="1"/>
  <c r="N168" i="22" s="1"/>
  <c r="N169" i="22" s="1"/>
  <c r="N170" i="22" s="1"/>
  <c r="M71" i="22"/>
  <c r="M72" i="22" s="1"/>
  <c r="M73" i="22" s="1"/>
  <c r="K71" i="22"/>
  <c r="K72" i="22" s="1"/>
  <c r="D71" i="22"/>
  <c r="E71" i="22" s="1"/>
  <c r="X70" i="22"/>
  <c r="V70" i="22"/>
  <c r="T70" i="22"/>
  <c r="P70" i="22"/>
  <c r="O70" i="22"/>
  <c r="F70" i="22"/>
  <c r="F71" i="22" s="1"/>
  <c r="F72" i="22" s="1"/>
  <c r="F73" i="22" s="1"/>
  <c r="D70" i="22"/>
  <c r="I70" i="22" s="1"/>
  <c r="B63" i="22"/>
  <c r="Z63" i="22" s="1"/>
  <c r="B62" i="22"/>
  <c r="Z62" i="22" s="1"/>
  <c r="B61" i="22"/>
  <c r="Z61" i="22" s="1"/>
  <c r="B60" i="22"/>
  <c r="Z60" i="22" s="1"/>
  <c r="B59" i="22"/>
  <c r="Z59" i="22" s="1"/>
  <c r="B58" i="22"/>
  <c r="Z58" i="22" s="1"/>
  <c r="B57" i="22"/>
  <c r="Z57" i="22" s="1"/>
  <c r="B56" i="22"/>
  <c r="B55" i="22"/>
  <c r="Z55" i="22" s="1"/>
  <c r="B54" i="22"/>
  <c r="Z54" i="22" s="1"/>
  <c r="B53" i="22"/>
  <c r="Z53" i="22" s="1"/>
  <c r="B52" i="22"/>
  <c r="Z52" i="22" s="1"/>
  <c r="B51" i="22"/>
  <c r="Z51" i="22" s="1"/>
  <c r="B50" i="22"/>
  <c r="Z50" i="22" s="1"/>
  <c r="B49" i="22"/>
  <c r="Z49" i="22" s="1"/>
  <c r="B48" i="22"/>
  <c r="Z48" i="22" s="1"/>
  <c r="B47" i="22"/>
  <c r="Z47" i="22" s="1"/>
  <c r="B46" i="22"/>
  <c r="Z46" i="22" s="1"/>
  <c r="B45" i="22"/>
  <c r="Z45" i="22" s="1"/>
  <c r="C41" i="22"/>
  <c r="C35" i="22"/>
  <c r="C34" i="22"/>
  <c r="C33" i="22"/>
  <c r="C32" i="22"/>
  <c r="C31" i="22"/>
  <c r="C30" i="22"/>
  <c r="C29" i="22"/>
  <c r="C28" i="22"/>
  <c r="C27" i="22"/>
  <c r="C26" i="22"/>
  <c r="C25" i="22"/>
  <c r="C24" i="22"/>
  <c r="C23" i="22"/>
  <c r="C22" i="22"/>
  <c r="C21" i="22"/>
  <c r="C20" i="22"/>
  <c r="C19" i="22"/>
  <c r="C18" i="22"/>
  <c r="C17" i="22"/>
  <c r="C16" i="22"/>
  <c r="C15" i="22"/>
  <c r="C14" i="22"/>
  <c r="C13" i="22"/>
  <c r="C12" i="22"/>
  <c r="G11" i="22"/>
  <c r="I11" i="22" s="1"/>
  <c r="F54" i="1" s="1"/>
  <c r="E24" i="11" s="1"/>
  <c r="C11" i="22"/>
  <c r="C10" i="22"/>
  <c r="C9" i="22"/>
  <c r="C8" i="22"/>
  <c r="C7" i="22"/>
  <c r="C6" i="22"/>
  <c r="J4" i="22" s="1"/>
  <c r="C5" i="22"/>
  <c r="C4" i="22"/>
  <c r="G2" i="22" s="1"/>
  <c r="C3" i="22"/>
  <c r="C2" i="22"/>
  <c r="R170" i="22"/>
  <c r="R169" i="22"/>
  <c r="R168" i="22"/>
  <c r="R167" i="22"/>
  <c r="R166" i="22"/>
  <c r="R165" i="22"/>
  <c r="R164" i="22"/>
  <c r="R163" i="22"/>
  <c r="R162" i="22"/>
  <c r="R161" i="22"/>
  <c r="R160" i="22"/>
  <c r="R159" i="22"/>
  <c r="R158" i="22"/>
  <c r="R157" i="22"/>
  <c r="R156" i="22"/>
  <c r="R155" i="22"/>
  <c r="R154" i="22"/>
  <c r="R153" i="22"/>
  <c r="R152" i="22"/>
  <c r="R151" i="22"/>
  <c r="R150" i="22"/>
  <c r="R149" i="22"/>
  <c r="R148" i="22"/>
  <c r="R147" i="22"/>
  <c r="R146" i="22"/>
  <c r="R145" i="22"/>
  <c r="R144" i="22"/>
  <c r="R143" i="22"/>
  <c r="R142" i="22"/>
  <c r="R141" i="22"/>
  <c r="R140" i="22"/>
  <c r="R139" i="22"/>
  <c r="R138" i="22"/>
  <c r="R137" i="22"/>
  <c r="R136" i="22"/>
  <c r="R135" i="22"/>
  <c r="R134" i="22"/>
  <c r="R133" i="22"/>
  <c r="R132" i="22"/>
  <c r="R131" i="22"/>
  <c r="R130" i="22"/>
  <c r="R129" i="22"/>
  <c r="R128" i="22"/>
  <c r="R127" i="22"/>
  <c r="R126" i="22"/>
  <c r="R125" i="22"/>
  <c r="R124" i="22"/>
  <c r="R123" i="22"/>
  <c r="R122" i="22"/>
  <c r="R121" i="22"/>
  <c r="R120" i="22"/>
  <c r="R119" i="22"/>
  <c r="R118" i="22"/>
  <c r="R117" i="22"/>
  <c r="R116" i="22"/>
  <c r="R115" i="22"/>
  <c r="R114" i="22"/>
  <c r="R113" i="22"/>
  <c r="R112" i="22"/>
  <c r="R111" i="22"/>
  <c r="R110" i="22"/>
  <c r="R109" i="22"/>
  <c r="R108" i="22"/>
  <c r="R107" i="22"/>
  <c r="R106" i="22"/>
  <c r="R105" i="22"/>
  <c r="R104" i="22"/>
  <c r="R103" i="22"/>
  <c r="R102" i="22"/>
  <c r="R101" i="22"/>
  <c r="R100" i="22"/>
  <c r="R99" i="22"/>
  <c r="R98" i="22"/>
  <c r="R97" i="22"/>
  <c r="R96" i="22"/>
  <c r="R95" i="22"/>
  <c r="R94" i="22"/>
  <c r="R93" i="22"/>
  <c r="R92" i="22"/>
  <c r="R91" i="22"/>
  <c r="R90" i="22"/>
  <c r="R89" i="22"/>
  <c r="R88" i="22"/>
  <c r="R87" i="22"/>
  <c r="R86" i="22"/>
  <c r="R85" i="22"/>
  <c r="R84" i="22"/>
  <c r="R83" i="22"/>
  <c r="R82" i="22"/>
  <c r="R81" i="22"/>
  <c r="R80" i="22"/>
  <c r="R79" i="22"/>
  <c r="R78" i="22"/>
  <c r="R77" i="22"/>
  <c r="R76" i="22"/>
  <c r="R75" i="22"/>
  <c r="R74" i="22"/>
  <c r="R73" i="22"/>
  <c r="R72" i="22"/>
  <c r="R71" i="22"/>
  <c r="R70" i="22"/>
  <c r="N70" i="22"/>
  <c r="M70" i="22"/>
  <c r="K70" i="22"/>
  <c r="AD69" i="22"/>
  <c r="AC69" i="22"/>
  <c r="AB69" i="22"/>
  <c r="AA69" i="22"/>
  <c r="AD68" i="22"/>
  <c r="AC68" i="22"/>
  <c r="AB68" i="22"/>
  <c r="AA68" i="22"/>
  <c r="AD67" i="22"/>
  <c r="AC67" i="22"/>
  <c r="AB67" i="22"/>
  <c r="AA67" i="22"/>
  <c r="AD66" i="22"/>
  <c r="AC66" i="22"/>
  <c r="AB66" i="22"/>
  <c r="AA66" i="22"/>
  <c r="AD65" i="22"/>
  <c r="AC65" i="22"/>
  <c r="AB65" i="22"/>
  <c r="AA65" i="22"/>
  <c r="AD64" i="22"/>
  <c r="AC64" i="22"/>
  <c r="AB64" i="22"/>
  <c r="AA64" i="22"/>
  <c r="AD63" i="22"/>
  <c r="AC63" i="22"/>
  <c r="AB63" i="22"/>
  <c r="AA63" i="22"/>
  <c r="AD62" i="22"/>
  <c r="AC62" i="22"/>
  <c r="AB62" i="22"/>
  <c r="AA62" i="22"/>
  <c r="AD61" i="22"/>
  <c r="AC61" i="22"/>
  <c r="AB61" i="22"/>
  <c r="AA61" i="22"/>
  <c r="AD60" i="22"/>
  <c r="AC60" i="22"/>
  <c r="AB60" i="22"/>
  <c r="AA60" i="22"/>
  <c r="AD59" i="22"/>
  <c r="AC59" i="22"/>
  <c r="AB59" i="22"/>
  <c r="AA59" i="22"/>
  <c r="AD58" i="22"/>
  <c r="AC58" i="22"/>
  <c r="AB58" i="22"/>
  <c r="AA58" i="22"/>
  <c r="AD57" i="22"/>
  <c r="AC57" i="22"/>
  <c r="AB57" i="22"/>
  <c r="AA57" i="22"/>
  <c r="AD56" i="22"/>
  <c r="AC56" i="22"/>
  <c r="AB56" i="22"/>
  <c r="AA56" i="22"/>
  <c r="Z56" i="22"/>
  <c r="AD55" i="22"/>
  <c r="AC55" i="22"/>
  <c r="AB55" i="22"/>
  <c r="AA55" i="22"/>
  <c r="AD54" i="22"/>
  <c r="AC54" i="22"/>
  <c r="AB54" i="22"/>
  <c r="AA54" i="22"/>
  <c r="AD53" i="22"/>
  <c r="AC53" i="22"/>
  <c r="AB53" i="22"/>
  <c r="AA53" i="22"/>
  <c r="AD52" i="22"/>
  <c r="AC52" i="22"/>
  <c r="AB52" i="22"/>
  <c r="AA52" i="22"/>
  <c r="AD51" i="22"/>
  <c r="AC51" i="22"/>
  <c r="AB51" i="22"/>
  <c r="AA51" i="22"/>
  <c r="AD50" i="22"/>
  <c r="AC50" i="22"/>
  <c r="AB50" i="22"/>
  <c r="AA50" i="22"/>
  <c r="AD49" i="22"/>
  <c r="AC49" i="22"/>
  <c r="AB49" i="22"/>
  <c r="AA49" i="22"/>
  <c r="AD48" i="22"/>
  <c r="AC48" i="22"/>
  <c r="AB48" i="22"/>
  <c r="AA48" i="22"/>
  <c r="AD47" i="22"/>
  <c r="AC47" i="22"/>
  <c r="AB47" i="22"/>
  <c r="AA47" i="22"/>
  <c r="AD46" i="22"/>
  <c r="AC46" i="22"/>
  <c r="AB46" i="22"/>
  <c r="AA46" i="22"/>
  <c r="AD45" i="22"/>
  <c r="AC45" i="22"/>
  <c r="AB45" i="22"/>
  <c r="AA45" i="22"/>
  <c r="B41" i="22"/>
  <c r="B40" i="22"/>
  <c r="B39" i="22"/>
  <c r="B38" i="22"/>
  <c r="B37" i="22"/>
  <c r="B36" i="22"/>
  <c r="B35" i="22"/>
  <c r="B34" i="22"/>
  <c r="B33" i="22"/>
  <c r="B32" i="22"/>
  <c r="B31" i="22"/>
  <c r="B30" i="22"/>
  <c r="B29" i="22"/>
  <c r="B28" i="22"/>
  <c r="B27" i="22"/>
  <c r="B26" i="22"/>
  <c r="B25" i="22"/>
  <c r="B24" i="22"/>
  <c r="B23" i="22"/>
  <c r="B22" i="22"/>
  <c r="B21" i="22"/>
  <c r="B20" i="22"/>
  <c r="B19" i="22"/>
  <c r="B18" i="22"/>
  <c r="B17" i="22"/>
  <c r="B16" i="22"/>
  <c r="B15" i="22"/>
  <c r="B14" i="22"/>
  <c r="B13" i="22"/>
  <c r="B12" i="22"/>
  <c r="F11" i="22"/>
  <c r="B11" i="22"/>
  <c r="F10" i="22"/>
  <c r="B10" i="22"/>
  <c r="F9" i="22"/>
  <c r="B9" i="22"/>
  <c r="F8" i="22"/>
  <c r="B8" i="22"/>
  <c r="F7" i="22"/>
  <c r="B7" i="22"/>
  <c r="F6" i="22"/>
  <c r="B6" i="22"/>
  <c r="F5" i="22"/>
  <c r="B5" i="22"/>
  <c r="F4" i="22"/>
  <c r="B4" i="22"/>
  <c r="H3" i="22"/>
  <c r="F3" i="22"/>
  <c r="B3" i="22"/>
  <c r="X170" i="21"/>
  <c r="V170" i="21"/>
  <c r="T170" i="21"/>
  <c r="P170" i="21"/>
  <c r="O170" i="21"/>
  <c r="X169" i="21"/>
  <c r="V169" i="21"/>
  <c r="T169" i="21"/>
  <c r="P169" i="21"/>
  <c r="O169" i="21"/>
  <c r="X168" i="21"/>
  <c r="V168" i="21"/>
  <c r="T168" i="21"/>
  <c r="P168" i="21"/>
  <c r="O168" i="21"/>
  <c r="X167" i="21"/>
  <c r="V167" i="21"/>
  <c r="T167" i="21"/>
  <c r="P167" i="21"/>
  <c r="O167" i="21"/>
  <c r="X166" i="21"/>
  <c r="V166" i="21"/>
  <c r="T166" i="21"/>
  <c r="P166" i="21"/>
  <c r="O166" i="21"/>
  <c r="X165" i="21"/>
  <c r="V165" i="21"/>
  <c r="T165" i="21"/>
  <c r="P165" i="21"/>
  <c r="O165" i="21"/>
  <c r="X164" i="21"/>
  <c r="V164" i="21"/>
  <c r="T164" i="21"/>
  <c r="P164" i="21"/>
  <c r="O164" i="21"/>
  <c r="X163" i="21"/>
  <c r="V163" i="21"/>
  <c r="T163" i="21"/>
  <c r="P163" i="21"/>
  <c r="O163" i="21"/>
  <c r="X162" i="21"/>
  <c r="V162" i="21"/>
  <c r="T162" i="21"/>
  <c r="P162" i="21"/>
  <c r="O162" i="21"/>
  <c r="X161" i="21"/>
  <c r="V161" i="21"/>
  <c r="T161" i="21"/>
  <c r="P161" i="21"/>
  <c r="O161" i="21"/>
  <c r="X160" i="21"/>
  <c r="V160" i="21"/>
  <c r="T160" i="21"/>
  <c r="P160" i="21"/>
  <c r="O160" i="21"/>
  <c r="X159" i="21"/>
  <c r="V159" i="21"/>
  <c r="T159" i="21"/>
  <c r="P159" i="21"/>
  <c r="O159" i="21"/>
  <c r="X158" i="21"/>
  <c r="V158" i="21"/>
  <c r="T158" i="21"/>
  <c r="P158" i="21"/>
  <c r="O158" i="21"/>
  <c r="X157" i="21"/>
  <c r="V157" i="21"/>
  <c r="T157" i="21"/>
  <c r="P157" i="21"/>
  <c r="O157" i="21"/>
  <c r="X156" i="21"/>
  <c r="V156" i="21"/>
  <c r="T156" i="21"/>
  <c r="P156" i="21"/>
  <c r="O156" i="21"/>
  <c r="X155" i="21"/>
  <c r="V155" i="21"/>
  <c r="T155" i="21"/>
  <c r="P155" i="21"/>
  <c r="O155" i="21"/>
  <c r="X154" i="21"/>
  <c r="V154" i="21"/>
  <c r="T154" i="21"/>
  <c r="P154" i="21"/>
  <c r="O154" i="21"/>
  <c r="X153" i="21"/>
  <c r="V153" i="21"/>
  <c r="T153" i="21"/>
  <c r="P153" i="21"/>
  <c r="O153" i="21"/>
  <c r="X152" i="21"/>
  <c r="V152" i="21"/>
  <c r="T152" i="21"/>
  <c r="P152" i="21"/>
  <c r="O152" i="21"/>
  <c r="X151" i="21"/>
  <c r="V151" i="21"/>
  <c r="T151" i="21"/>
  <c r="P151" i="21"/>
  <c r="O151" i="21"/>
  <c r="X150" i="21"/>
  <c r="V150" i="21"/>
  <c r="T150" i="21"/>
  <c r="P150" i="21"/>
  <c r="O150" i="21"/>
  <c r="X149" i="21"/>
  <c r="V149" i="21"/>
  <c r="T149" i="21"/>
  <c r="P149" i="21"/>
  <c r="O149" i="21"/>
  <c r="X148" i="21"/>
  <c r="V148" i="21"/>
  <c r="T148" i="21"/>
  <c r="P148" i="21"/>
  <c r="O148" i="21"/>
  <c r="X147" i="21"/>
  <c r="V147" i="21"/>
  <c r="T147" i="21"/>
  <c r="P147" i="21"/>
  <c r="O147" i="21"/>
  <c r="X146" i="21"/>
  <c r="V146" i="21"/>
  <c r="T146" i="21"/>
  <c r="P146" i="21"/>
  <c r="O146" i="21"/>
  <c r="X145" i="21"/>
  <c r="V145" i="21"/>
  <c r="T145" i="21"/>
  <c r="P145" i="21"/>
  <c r="O145" i="21"/>
  <c r="X144" i="21"/>
  <c r="V144" i="21"/>
  <c r="T144" i="21"/>
  <c r="P144" i="21"/>
  <c r="O144" i="21"/>
  <c r="X143" i="21"/>
  <c r="V143" i="21"/>
  <c r="T143" i="21"/>
  <c r="P143" i="21"/>
  <c r="O143" i="21"/>
  <c r="X142" i="21"/>
  <c r="V142" i="21"/>
  <c r="T142" i="21"/>
  <c r="P142" i="21"/>
  <c r="O142" i="21"/>
  <c r="X141" i="21"/>
  <c r="V141" i="21"/>
  <c r="T141" i="21"/>
  <c r="P141" i="21"/>
  <c r="O141" i="21"/>
  <c r="X140" i="21"/>
  <c r="V140" i="21"/>
  <c r="T140" i="21"/>
  <c r="P140" i="21"/>
  <c r="O140" i="21"/>
  <c r="X139" i="21"/>
  <c r="V139" i="21"/>
  <c r="T139" i="21"/>
  <c r="P139" i="21"/>
  <c r="O139" i="21"/>
  <c r="X138" i="21"/>
  <c r="V138" i="21"/>
  <c r="T138" i="21"/>
  <c r="P138" i="21"/>
  <c r="O138" i="21"/>
  <c r="X137" i="21"/>
  <c r="V137" i="21"/>
  <c r="T137" i="21"/>
  <c r="P137" i="21"/>
  <c r="O137" i="21"/>
  <c r="X136" i="21"/>
  <c r="V136" i="21"/>
  <c r="T136" i="21"/>
  <c r="P136" i="21"/>
  <c r="O136" i="21"/>
  <c r="X135" i="21"/>
  <c r="V135" i="21"/>
  <c r="T135" i="21"/>
  <c r="P135" i="21"/>
  <c r="O135" i="21"/>
  <c r="X134" i="21"/>
  <c r="V134" i="21"/>
  <c r="T134" i="21"/>
  <c r="P134" i="21"/>
  <c r="O134" i="21"/>
  <c r="X133" i="21"/>
  <c r="V133" i="21"/>
  <c r="T133" i="21"/>
  <c r="P133" i="21"/>
  <c r="O133" i="21"/>
  <c r="X132" i="21"/>
  <c r="V132" i="21"/>
  <c r="T132" i="21"/>
  <c r="P132" i="21"/>
  <c r="O132" i="21"/>
  <c r="X131" i="21"/>
  <c r="V131" i="21"/>
  <c r="T131" i="21"/>
  <c r="P131" i="21"/>
  <c r="O131" i="21"/>
  <c r="X130" i="21"/>
  <c r="V130" i="21"/>
  <c r="T130" i="21"/>
  <c r="P130" i="21"/>
  <c r="O130" i="21"/>
  <c r="X129" i="21"/>
  <c r="V129" i="21"/>
  <c r="T129" i="21"/>
  <c r="P129" i="21"/>
  <c r="O129" i="21"/>
  <c r="X128" i="21"/>
  <c r="V128" i="21"/>
  <c r="T128" i="21"/>
  <c r="P128" i="21"/>
  <c r="O128" i="21"/>
  <c r="X127" i="21"/>
  <c r="V127" i="21"/>
  <c r="T127" i="21"/>
  <c r="P127" i="21"/>
  <c r="O127" i="21"/>
  <c r="X126" i="21"/>
  <c r="V126" i="21"/>
  <c r="T126" i="21"/>
  <c r="P126" i="21"/>
  <c r="O126" i="21"/>
  <c r="X125" i="21"/>
  <c r="V125" i="21"/>
  <c r="T125" i="21"/>
  <c r="P125" i="21"/>
  <c r="O125" i="21"/>
  <c r="X124" i="21"/>
  <c r="V124" i="21"/>
  <c r="T124" i="21"/>
  <c r="P124" i="21"/>
  <c r="O124" i="21"/>
  <c r="X123" i="21"/>
  <c r="V123" i="21"/>
  <c r="T123" i="21"/>
  <c r="P123" i="21"/>
  <c r="O123" i="21"/>
  <c r="X122" i="21"/>
  <c r="V122" i="21"/>
  <c r="T122" i="21"/>
  <c r="P122" i="21"/>
  <c r="O122" i="21"/>
  <c r="X121" i="21"/>
  <c r="V121" i="21"/>
  <c r="T121" i="21"/>
  <c r="P121" i="21"/>
  <c r="O121" i="21"/>
  <c r="X120" i="21"/>
  <c r="V120" i="21"/>
  <c r="T120" i="21"/>
  <c r="P120" i="21"/>
  <c r="O120" i="21"/>
  <c r="X119" i="21"/>
  <c r="V119" i="21"/>
  <c r="T119" i="21"/>
  <c r="P119" i="21"/>
  <c r="O119" i="21"/>
  <c r="X118" i="21"/>
  <c r="V118" i="21"/>
  <c r="T118" i="21"/>
  <c r="P118" i="21"/>
  <c r="O118" i="21"/>
  <c r="X117" i="21"/>
  <c r="V117" i="21"/>
  <c r="T117" i="21"/>
  <c r="P117" i="21"/>
  <c r="O117" i="21"/>
  <c r="X116" i="21"/>
  <c r="V116" i="21"/>
  <c r="T116" i="21"/>
  <c r="P116" i="21"/>
  <c r="O116" i="21"/>
  <c r="X115" i="21"/>
  <c r="V115" i="21"/>
  <c r="T115" i="21"/>
  <c r="P115" i="21"/>
  <c r="O115" i="21"/>
  <c r="X114" i="21"/>
  <c r="V114" i="21"/>
  <c r="T114" i="21"/>
  <c r="P114" i="21"/>
  <c r="O114" i="21"/>
  <c r="X113" i="21"/>
  <c r="V113" i="21"/>
  <c r="T113" i="21"/>
  <c r="P113" i="21"/>
  <c r="O113" i="21"/>
  <c r="X112" i="21"/>
  <c r="V112" i="21"/>
  <c r="T112" i="21"/>
  <c r="P112" i="21"/>
  <c r="O112" i="21"/>
  <c r="X111" i="21"/>
  <c r="V111" i="21"/>
  <c r="T111" i="21"/>
  <c r="P111" i="21"/>
  <c r="O111" i="21"/>
  <c r="X110" i="21"/>
  <c r="V110" i="21"/>
  <c r="T110" i="21"/>
  <c r="P110" i="21"/>
  <c r="O110" i="21"/>
  <c r="X109" i="21"/>
  <c r="V109" i="21"/>
  <c r="T109" i="21"/>
  <c r="P109" i="21"/>
  <c r="O109" i="21"/>
  <c r="X108" i="21"/>
  <c r="V108" i="21"/>
  <c r="T108" i="21"/>
  <c r="P108" i="21"/>
  <c r="O108" i="21"/>
  <c r="X107" i="21"/>
  <c r="V107" i="21"/>
  <c r="T107" i="21"/>
  <c r="P107" i="21"/>
  <c r="O107" i="21"/>
  <c r="X106" i="21"/>
  <c r="V106" i="21"/>
  <c r="T106" i="21"/>
  <c r="P106" i="21"/>
  <c r="O106" i="21"/>
  <c r="X105" i="21"/>
  <c r="V105" i="21"/>
  <c r="T105" i="21"/>
  <c r="P105" i="21"/>
  <c r="O105" i="21"/>
  <c r="X104" i="21"/>
  <c r="V104" i="21"/>
  <c r="T104" i="21"/>
  <c r="P104" i="21"/>
  <c r="O104" i="21"/>
  <c r="X103" i="21"/>
  <c r="V103" i="21"/>
  <c r="T103" i="21"/>
  <c r="P103" i="21"/>
  <c r="O103" i="21"/>
  <c r="X102" i="21"/>
  <c r="V102" i="21"/>
  <c r="T102" i="21"/>
  <c r="P102" i="21"/>
  <c r="O102" i="21"/>
  <c r="X101" i="21"/>
  <c r="V101" i="21"/>
  <c r="T101" i="21"/>
  <c r="P101" i="21"/>
  <c r="O101" i="21"/>
  <c r="X100" i="21"/>
  <c r="V100" i="21"/>
  <c r="T100" i="21"/>
  <c r="P100" i="21"/>
  <c r="O100" i="21"/>
  <c r="X99" i="21"/>
  <c r="V99" i="21"/>
  <c r="T99" i="21"/>
  <c r="P99" i="21"/>
  <c r="O99" i="21"/>
  <c r="X98" i="21"/>
  <c r="V98" i="21"/>
  <c r="T98" i="21"/>
  <c r="P98" i="21"/>
  <c r="O98" i="21"/>
  <c r="X97" i="21"/>
  <c r="V97" i="21"/>
  <c r="T97" i="21"/>
  <c r="P97" i="21"/>
  <c r="O97" i="21"/>
  <c r="X96" i="21"/>
  <c r="V96" i="21"/>
  <c r="T96" i="21"/>
  <c r="P96" i="21"/>
  <c r="O96" i="21"/>
  <c r="X95" i="21"/>
  <c r="V95" i="21"/>
  <c r="T95" i="21"/>
  <c r="P95" i="21"/>
  <c r="O95" i="21"/>
  <c r="X94" i="21"/>
  <c r="V94" i="21"/>
  <c r="T94" i="21"/>
  <c r="P94" i="21"/>
  <c r="O94" i="21"/>
  <c r="X93" i="21"/>
  <c r="V93" i="21"/>
  <c r="T93" i="21"/>
  <c r="P93" i="21"/>
  <c r="O93" i="21"/>
  <c r="X92" i="21"/>
  <c r="V92" i="21"/>
  <c r="T92" i="21"/>
  <c r="P92" i="21"/>
  <c r="O92" i="21"/>
  <c r="X91" i="21"/>
  <c r="V91" i="21"/>
  <c r="T91" i="21"/>
  <c r="P91" i="21"/>
  <c r="O91" i="21"/>
  <c r="X90" i="21"/>
  <c r="V90" i="21"/>
  <c r="T90" i="21"/>
  <c r="P90" i="21"/>
  <c r="O90" i="21"/>
  <c r="X89" i="21"/>
  <c r="V89" i="21"/>
  <c r="T89" i="21"/>
  <c r="P89" i="21"/>
  <c r="O89" i="21"/>
  <c r="X88" i="21"/>
  <c r="V88" i="21"/>
  <c r="T88" i="21"/>
  <c r="P88" i="21"/>
  <c r="O88" i="21"/>
  <c r="X87" i="21"/>
  <c r="V87" i="21"/>
  <c r="T87" i="21"/>
  <c r="P87" i="21"/>
  <c r="O87" i="21"/>
  <c r="X86" i="21"/>
  <c r="V86" i="21"/>
  <c r="T86" i="21"/>
  <c r="P86" i="21"/>
  <c r="O86" i="21"/>
  <c r="X85" i="21"/>
  <c r="V85" i="21"/>
  <c r="T85" i="21"/>
  <c r="P85" i="21"/>
  <c r="O85" i="21"/>
  <c r="X84" i="21"/>
  <c r="V84" i="21"/>
  <c r="T84" i="21"/>
  <c r="P84" i="21"/>
  <c r="O84" i="21"/>
  <c r="X83" i="21"/>
  <c r="V83" i="21"/>
  <c r="T83" i="21"/>
  <c r="P83" i="21"/>
  <c r="O83" i="21"/>
  <c r="X82" i="21"/>
  <c r="V82" i="21"/>
  <c r="T82" i="21"/>
  <c r="P82" i="21"/>
  <c r="O82" i="21"/>
  <c r="X81" i="21"/>
  <c r="V81" i="21"/>
  <c r="T81" i="21"/>
  <c r="P81" i="21"/>
  <c r="O81" i="21"/>
  <c r="X80" i="21"/>
  <c r="V80" i="21"/>
  <c r="T80" i="21"/>
  <c r="P80" i="21"/>
  <c r="O80" i="21"/>
  <c r="X79" i="21"/>
  <c r="V79" i="21"/>
  <c r="T79" i="21"/>
  <c r="P79" i="21"/>
  <c r="O79" i="21"/>
  <c r="X78" i="21"/>
  <c r="V78" i="21"/>
  <c r="T78" i="21"/>
  <c r="P78" i="21"/>
  <c r="O78" i="21"/>
  <c r="X77" i="21"/>
  <c r="V77" i="21"/>
  <c r="T77" i="21"/>
  <c r="P77" i="21"/>
  <c r="O77" i="21"/>
  <c r="X76" i="21"/>
  <c r="V76" i="21"/>
  <c r="T76" i="21"/>
  <c r="P76" i="21"/>
  <c r="O76" i="21"/>
  <c r="X75" i="21"/>
  <c r="V75" i="21"/>
  <c r="T75" i="21"/>
  <c r="P75" i="21"/>
  <c r="O75" i="21"/>
  <c r="X74" i="21"/>
  <c r="V74" i="21"/>
  <c r="T74" i="21"/>
  <c r="P74" i="21"/>
  <c r="O74" i="21"/>
  <c r="X73" i="21"/>
  <c r="V73" i="21"/>
  <c r="T73" i="21"/>
  <c r="P73" i="21"/>
  <c r="O73" i="21"/>
  <c r="X72" i="21"/>
  <c r="V72" i="21"/>
  <c r="T72" i="21"/>
  <c r="P72" i="21"/>
  <c r="O72" i="21"/>
  <c r="X71" i="21"/>
  <c r="V71" i="21"/>
  <c r="T71" i="21"/>
  <c r="P71" i="21"/>
  <c r="O71" i="21"/>
  <c r="N71" i="21"/>
  <c r="N72" i="21" s="1"/>
  <c r="N73" i="21" s="1"/>
  <c r="N74" i="21" s="1"/>
  <c r="N75" i="21" s="1"/>
  <c r="N76" i="21" s="1"/>
  <c r="N77" i="21" s="1"/>
  <c r="N78" i="21" s="1"/>
  <c r="N79" i="21" s="1"/>
  <c r="N80" i="21" s="1"/>
  <c r="N81" i="21" s="1"/>
  <c r="N82" i="21" s="1"/>
  <c r="N83" i="21" s="1"/>
  <c r="N84" i="21" s="1"/>
  <c r="N85" i="21" s="1"/>
  <c r="N86" i="21" s="1"/>
  <c r="N87" i="21" s="1"/>
  <c r="N88" i="21" s="1"/>
  <c r="N89" i="21" s="1"/>
  <c r="N90" i="21" s="1"/>
  <c r="N91" i="21" s="1"/>
  <c r="N92" i="21" s="1"/>
  <c r="N93" i="21" s="1"/>
  <c r="N94" i="21" s="1"/>
  <c r="N95" i="21" s="1"/>
  <c r="N96" i="21" s="1"/>
  <c r="N97" i="21" s="1"/>
  <c r="N98" i="21" s="1"/>
  <c r="N99" i="21" s="1"/>
  <c r="N100" i="21" s="1"/>
  <c r="N101" i="21" s="1"/>
  <c r="N102" i="21" s="1"/>
  <c r="N103" i="21" s="1"/>
  <c r="N104" i="21" s="1"/>
  <c r="N105" i="21" s="1"/>
  <c r="N106" i="21" s="1"/>
  <c r="N107" i="21" s="1"/>
  <c r="N108" i="21" s="1"/>
  <c r="N109" i="21" s="1"/>
  <c r="N110" i="21" s="1"/>
  <c r="N111" i="21" s="1"/>
  <c r="N112" i="21" s="1"/>
  <c r="N113" i="21" s="1"/>
  <c r="N114" i="21" s="1"/>
  <c r="N115" i="21" s="1"/>
  <c r="N116" i="21" s="1"/>
  <c r="N117" i="21" s="1"/>
  <c r="N118" i="21" s="1"/>
  <c r="N119" i="21" s="1"/>
  <c r="N120" i="21" s="1"/>
  <c r="N121" i="21" s="1"/>
  <c r="N122" i="21" s="1"/>
  <c r="N123" i="21" s="1"/>
  <c r="N124" i="21" s="1"/>
  <c r="N125" i="21" s="1"/>
  <c r="N126" i="21" s="1"/>
  <c r="N127" i="21" s="1"/>
  <c r="N128" i="21" s="1"/>
  <c r="N129" i="21" s="1"/>
  <c r="N130" i="21" s="1"/>
  <c r="N131" i="21" s="1"/>
  <c r="N132" i="21" s="1"/>
  <c r="N133" i="21" s="1"/>
  <c r="N134" i="21" s="1"/>
  <c r="N135" i="21" s="1"/>
  <c r="N136" i="21" s="1"/>
  <c r="N137" i="21" s="1"/>
  <c r="N138" i="21" s="1"/>
  <c r="N139" i="21" s="1"/>
  <c r="N140" i="21" s="1"/>
  <c r="N141" i="21" s="1"/>
  <c r="N142" i="21" s="1"/>
  <c r="N143" i="21" s="1"/>
  <c r="N144" i="21" s="1"/>
  <c r="N145" i="21" s="1"/>
  <c r="N146" i="21" s="1"/>
  <c r="N147" i="21" s="1"/>
  <c r="N148" i="21" s="1"/>
  <c r="N149" i="21" s="1"/>
  <c r="N150" i="21" s="1"/>
  <c r="N151" i="21" s="1"/>
  <c r="N152" i="21" s="1"/>
  <c r="N153" i="21" s="1"/>
  <c r="N154" i="21" s="1"/>
  <c r="N155" i="21" s="1"/>
  <c r="N156" i="21" s="1"/>
  <c r="N157" i="21" s="1"/>
  <c r="N158" i="21" s="1"/>
  <c r="N159" i="21" s="1"/>
  <c r="N160" i="21" s="1"/>
  <c r="N161" i="21" s="1"/>
  <c r="N162" i="21" s="1"/>
  <c r="N163" i="21" s="1"/>
  <c r="N164" i="21" s="1"/>
  <c r="N165" i="21" s="1"/>
  <c r="N166" i="21" s="1"/>
  <c r="N167" i="21" s="1"/>
  <c r="N168" i="21" s="1"/>
  <c r="N169" i="21" s="1"/>
  <c r="N170" i="21" s="1"/>
  <c r="M71" i="21"/>
  <c r="K71" i="21"/>
  <c r="D71" i="21"/>
  <c r="E71" i="21" s="1"/>
  <c r="AE71" i="21" s="1"/>
  <c r="D72" i="21" s="1"/>
  <c r="X70" i="21"/>
  <c r="V70" i="21"/>
  <c r="T70" i="21"/>
  <c r="P70" i="21"/>
  <c r="O70" i="21"/>
  <c r="F70" i="21"/>
  <c r="F71" i="21" s="1"/>
  <c r="D70" i="21"/>
  <c r="C70" i="21" s="1"/>
  <c r="B65" i="21"/>
  <c r="Z65" i="21" s="1"/>
  <c r="B64" i="21"/>
  <c r="Z64" i="21" s="1"/>
  <c r="B63" i="21"/>
  <c r="Z63" i="21" s="1"/>
  <c r="B62" i="21"/>
  <c r="B61" i="21"/>
  <c r="Z61" i="21" s="1"/>
  <c r="B60" i="21"/>
  <c r="Z60" i="21" s="1"/>
  <c r="B59" i="21"/>
  <c r="Z59" i="21" s="1"/>
  <c r="B58" i="21"/>
  <c r="Z58" i="21" s="1"/>
  <c r="B57" i="21"/>
  <c r="Z57" i="21" s="1"/>
  <c r="B56" i="21"/>
  <c r="Z56" i="21" s="1"/>
  <c r="B55" i="21"/>
  <c r="Z55" i="21" s="1"/>
  <c r="B54" i="21"/>
  <c r="Z54" i="21" s="1"/>
  <c r="B53" i="21"/>
  <c r="B52" i="21"/>
  <c r="Z52" i="21" s="1"/>
  <c r="B51" i="21"/>
  <c r="Z51" i="21" s="1"/>
  <c r="B50" i="21"/>
  <c r="Z50" i="21" s="1"/>
  <c r="B49" i="21"/>
  <c r="Z49" i="21" s="1"/>
  <c r="B48" i="21"/>
  <c r="Z48" i="21" s="1"/>
  <c r="B47" i="21"/>
  <c r="Z47" i="21" s="1"/>
  <c r="B46" i="21"/>
  <c r="Z46" i="21" s="1"/>
  <c r="B45" i="21"/>
  <c r="Z45" i="21" s="1"/>
  <c r="C41" i="21"/>
  <c r="C35" i="21"/>
  <c r="C34" i="21"/>
  <c r="C33" i="21"/>
  <c r="C32" i="21"/>
  <c r="C31" i="21"/>
  <c r="C30" i="21"/>
  <c r="C29" i="21"/>
  <c r="C28" i="21"/>
  <c r="C27" i="21"/>
  <c r="C26" i="21"/>
  <c r="C25" i="21"/>
  <c r="C24" i="21"/>
  <c r="C23" i="21"/>
  <c r="C22" i="21"/>
  <c r="C21" i="21"/>
  <c r="C20" i="21"/>
  <c r="C19" i="21"/>
  <c r="C18" i="21"/>
  <c r="C17" i="21"/>
  <c r="C16" i="21"/>
  <c r="C15" i="21"/>
  <c r="C14" i="21"/>
  <c r="C13" i="21"/>
  <c r="C12" i="21"/>
  <c r="G11" i="21"/>
  <c r="C11" i="21"/>
  <c r="C10" i="21"/>
  <c r="C9" i="21"/>
  <c r="C8" i="21"/>
  <c r="C7" i="21"/>
  <c r="C6" i="21"/>
  <c r="J6" i="21" s="1"/>
  <c r="C5" i="21"/>
  <c r="C4" i="21"/>
  <c r="H8" i="21" s="1"/>
  <c r="C3" i="21"/>
  <c r="C2" i="21"/>
  <c r="R170" i="21"/>
  <c r="R169" i="21"/>
  <c r="R168" i="21"/>
  <c r="R167" i="21"/>
  <c r="R166" i="21"/>
  <c r="R165" i="21"/>
  <c r="R164" i="21"/>
  <c r="R163" i="21"/>
  <c r="R162" i="21"/>
  <c r="R161" i="21"/>
  <c r="R160" i="21"/>
  <c r="R159" i="21"/>
  <c r="R158" i="21"/>
  <c r="R157" i="21"/>
  <c r="R156" i="21"/>
  <c r="R155" i="21"/>
  <c r="R154" i="21"/>
  <c r="R153" i="21"/>
  <c r="R152" i="21"/>
  <c r="R151" i="21"/>
  <c r="R150" i="21"/>
  <c r="R149" i="21"/>
  <c r="R148" i="21"/>
  <c r="R147" i="21"/>
  <c r="R146" i="21"/>
  <c r="R145" i="21"/>
  <c r="R144" i="21"/>
  <c r="R143" i="21"/>
  <c r="R142" i="21"/>
  <c r="R141" i="21"/>
  <c r="R140" i="21"/>
  <c r="R139" i="21"/>
  <c r="R138" i="21"/>
  <c r="R137" i="21"/>
  <c r="R136" i="21"/>
  <c r="R135" i="21"/>
  <c r="R134" i="21"/>
  <c r="R133" i="21"/>
  <c r="R132" i="21"/>
  <c r="R131" i="21"/>
  <c r="R130" i="21"/>
  <c r="R129" i="21"/>
  <c r="R128" i="21"/>
  <c r="R127" i="21"/>
  <c r="R126" i="21"/>
  <c r="R125" i="21"/>
  <c r="R124" i="21"/>
  <c r="R123" i="21"/>
  <c r="R122" i="21"/>
  <c r="R121" i="21"/>
  <c r="R120" i="21"/>
  <c r="R119" i="21"/>
  <c r="R118" i="21"/>
  <c r="R117" i="21"/>
  <c r="R116" i="21"/>
  <c r="R115" i="21"/>
  <c r="R114" i="21"/>
  <c r="R113" i="21"/>
  <c r="R112" i="21"/>
  <c r="R111" i="21"/>
  <c r="R110" i="21"/>
  <c r="R109" i="21"/>
  <c r="R108" i="21"/>
  <c r="R107" i="21"/>
  <c r="R106" i="21"/>
  <c r="R105" i="21"/>
  <c r="R104" i="21"/>
  <c r="R103" i="21"/>
  <c r="R102" i="21"/>
  <c r="R101" i="21"/>
  <c r="R100" i="21"/>
  <c r="R99" i="21"/>
  <c r="R98" i="21"/>
  <c r="R97" i="21"/>
  <c r="R96" i="21"/>
  <c r="R95" i="21"/>
  <c r="R94" i="21"/>
  <c r="R93" i="21"/>
  <c r="R92" i="21"/>
  <c r="R91" i="21"/>
  <c r="R90" i="21"/>
  <c r="R89" i="21"/>
  <c r="R88" i="21"/>
  <c r="R87" i="21"/>
  <c r="R86" i="21"/>
  <c r="R85" i="21"/>
  <c r="R84" i="21"/>
  <c r="R83" i="21"/>
  <c r="R82" i="21"/>
  <c r="R81" i="21"/>
  <c r="R80" i="21"/>
  <c r="R79" i="21"/>
  <c r="R78" i="21"/>
  <c r="R77" i="21"/>
  <c r="R76" i="21"/>
  <c r="R75" i="21"/>
  <c r="R74" i="21"/>
  <c r="R73" i="21"/>
  <c r="R72" i="21"/>
  <c r="R71" i="21"/>
  <c r="R70" i="21"/>
  <c r="N70" i="21"/>
  <c r="M70" i="21"/>
  <c r="K70" i="21"/>
  <c r="AD69" i="21"/>
  <c r="AC69" i="21"/>
  <c r="AB69" i="21"/>
  <c r="AA69" i="21"/>
  <c r="AD68" i="21"/>
  <c r="AC68" i="21"/>
  <c r="AB68" i="21"/>
  <c r="AA68" i="21"/>
  <c r="AD67" i="21"/>
  <c r="AC67" i="21"/>
  <c r="AB67" i="21"/>
  <c r="AA67" i="21"/>
  <c r="AD66" i="21"/>
  <c r="AC66" i="21"/>
  <c r="AB66" i="21"/>
  <c r="AA66" i="21"/>
  <c r="AD65" i="21"/>
  <c r="AC65" i="21"/>
  <c r="AB65" i="21"/>
  <c r="AA65" i="21"/>
  <c r="AD64" i="21"/>
  <c r="AC64" i="21"/>
  <c r="AB64" i="21"/>
  <c r="AA64" i="21"/>
  <c r="AD63" i="21"/>
  <c r="AC63" i="21"/>
  <c r="AB63" i="21"/>
  <c r="AA63" i="21"/>
  <c r="AD62" i="21"/>
  <c r="AC62" i="21"/>
  <c r="AB62" i="21"/>
  <c r="AA62" i="21"/>
  <c r="Z62" i="21"/>
  <c r="AD61" i="21"/>
  <c r="AC61" i="21"/>
  <c r="AB61" i="21"/>
  <c r="AA61" i="21"/>
  <c r="AD60" i="21"/>
  <c r="AC60" i="21"/>
  <c r="AB60" i="21"/>
  <c r="AA60" i="21"/>
  <c r="AD59" i="21"/>
  <c r="AC59" i="21"/>
  <c r="AB59" i="21"/>
  <c r="AA59" i="21"/>
  <c r="AD58" i="21"/>
  <c r="AC58" i="21"/>
  <c r="AB58" i="21"/>
  <c r="AA58" i="21"/>
  <c r="AD57" i="21"/>
  <c r="AC57" i="21"/>
  <c r="AB57" i="21"/>
  <c r="AA57" i="21"/>
  <c r="AD56" i="21"/>
  <c r="AC56" i="21"/>
  <c r="AB56" i="21"/>
  <c r="AA56" i="21"/>
  <c r="AD55" i="21"/>
  <c r="AC55" i="21"/>
  <c r="AB55" i="21"/>
  <c r="AA55" i="21"/>
  <c r="AD54" i="21"/>
  <c r="AC54" i="21"/>
  <c r="AB54" i="21"/>
  <c r="AA54" i="21"/>
  <c r="AD53" i="21"/>
  <c r="AC53" i="21"/>
  <c r="AB53" i="21"/>
  <c r="AA53" i="21"/>
  <c r="Z53" i="21"/>
  <c r="AD52" i="21"/>
  <c r="AC52" i="21"/>
  <c r="AB52" i="21"/>
  <c r="AA52" i="21"/>
  <c r="AD51" i="21"/>
  <c r="AC51" i="21"/>
  <c r="AB51" i="21"/>
  <c r="AA51" i="21"/>
  <c r="AD50" i="21"/>
  <c r="AC50" i="21"/>
  <c r="AB50" i="21"/>
  <c r="AA50" i="21"/>
  <c r="AD49" i="21"/>
  <c r="AC49" i="21"/>
  <c r="AB49" i="21"/>
  <c r="AA49" i="21"/>
  <c r="AD48" i="21"/>
  <c r="AC48" i="21"/>
  <c r="AB48" i="21"/>
  <c r="AA48" i="21"/>
  <c r="AD47" i="21"/>
  <c r="AC47" i="21"/>
  <c r="AB47" i="21"/>
  <c r="AA47" i="21"/>
  <c r="AD46" i="21"/>
  <c r="AC46" i="21"/>
  <c r="AB46" i="21"/>
  <c r="AA46" i="21"/>
  <c r="AD45" i="21"/>
  <c r="AC45" i="21"/>
  <c r="AB45" i="21"/>
  <c r="AA45" i="21"/>
  <c r="B41" i="21"/>
  <c r="B40" i="21"/>
  <c r="B39" i="21"/>
  <c r="B38" i="21"/>
  <c r="B37" i="21"/>
  <c r="B36" i="21"/>
  <c r="B35" i="21"/>
  <c r="B34" i="21"/>
  <c r="B33" i="21"/>
  <c r="B32" i="21"/>
  <c r="B31" i="21"/>
  <c r="B30" i="21"/>
  <c r="B29" i="21"/>
  <c r="B28" i="21"/>
  <c r="B27" i="21"/>
  <c r="B26" i="21"/>
  <c r="B25" i="21"/>
  <c r="B24" i="21"/>
  <c r="B23" i="21"/>
  <c r="B22" i="21"/>
  <c r="B21" i="21"/>
  <c r="B20" i="21"/>
  <c r="B19" i="21"/>
  <c r="B18" i="21"/>
  <c r="B17" i="21"/>
  <c r="B16" i="21"/>
  <c r="B15" i="21"/>
  <c r="B14" i="21"/>
  <c r="B13" i="21"/>
  <c r="B12" i="21"/>
  <c r="I11" i="21"/>
  <c r="E54" i="1" s="1"/>
  <c r="D24" i="11" s="1"/>
  <c r="F11" i="21"/>
  <c r="B11" i="21"/>
  <c r="F10" i="21"/>
  <c r="B10" i="21"/>
  <c r="J9" i="21"/>
  <c r="F9" i="21"/>
  <c r="B9" i="21"/>
  <c r="F8" i="21"/>
  <c r="B8" i="21"/>
  <c r="F7" i="21"/>
  <c r="B7" i="21"/>
  <c r="F6" i="21"/>
  <c r="B6" i="21"/>
  <c r="J5" i="21"/>
  <c r="F5" i="21"/>
  <c r="B5" i="21"/>
  <c r="J4" i="21"/>
  <c r="F4" i="21"/>
  <c r="B4" i="21"/>
  <c r="F3" i="21"/>
  <c r="B3" i="21"/>
  <c r="I2" i="21"/>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X170" i="3"/>
  <c r="X169" i="3"/>
  <c r="X168" i="3"/>
  <c r="X167" i="3"/>
  <c r="X166" i="3"/>
  <c r="X165" i="3"/>
  <c r="X164" i="3"/>
  <c r="X163" i="3"/>
  <c r="X162" i="3"/>
  <c r="X161" i="3"/>
  <c r="X160" i="3"/>
  <c r="X159" i="3"/>
  <c r="X158" i="3"/>
  <c r="X157" i="3"/>
  <c r="X156" i="3"/>
  <c r="X155" i="3"/>
  <c r="X154" i="3"/>
  <c r="X153" i="3"/>
  <c r="X152" i="3"/>
  <c r="X151" i="3"/>
  <c r="X150" i="3"/>
  <c r="X149" i="3"/>
  <c r="X148" i="3"/>
  <c r="X147" i="3"/>
  <c r="X146" i="3"/>
  <c r="X145" i="3"/>
  <c r="X144" i="3"/>
  <c r="X143" i="3"/>
  <c r="X142" i="3"/>
  <c r="X141" i="3"/>
  <c r="X140" i="3"/>
  <c r="X139" i="3"/>
  <c r="X138" i="3"/>
  <c r="X137" i="3"/>
  <c r="X136" i="3"/>
  <c r="X135" i="3"/>
  <c r="X134" i="3"/>
  <c r="X133" i="3"/>
  <c r="X132" i="3"/>
  <c r="X131" i="3"/>
  <c r="X130" i="3"/>
  <c r="X129" i="3"/>
  <c r="X128" i="3"/>
  <c r="X127" i="3"/>
  <c r="X126" i="3"/>
  <c r="X125" i="3"/>
  <c r="X124" i="3"/>
  <c r="X123" i="3"/>
  <c r="X122" i="3"/>
  <c r="X121" i="3"/>
  <c r="X120" i="3"/>
  <c r="X119" i="3"/>
  <c r="X118" i="3"/>
  <c r="X117" i="3"/>
  <c r="X116" i="3"/>
  <c r="X115" i="3"/>
  <c r="X114" i="3"/>
  <c r="X113" i="3"/>
  <c r="X112" i="3"/>
  <c r="X111" i="3"/>
  <c r="X110" i="3"/>
  <c r="X109" i="3"/>
  <c r="X108" i="3"/>
  <c r="X107" i="3"/>
  <c r="X106" i="3"/>
  <c r="X105" i="3"/>
  <c r="X104" i="3"/>
  <c r="X103" i="3"/>
  <c r="X102" i="3"/>
  <c r="X101" i="3"/>
  <c r="X100" i="3"/>
  <c r="X99" i="3"/>
  <c r="X98" i="3"/>
  <c r="X97" i="3"/>
  <c r="X96" i="3"/>
  <c r="X95" i="3"/>
  <c r="X94" i="3"/>
  <c r="X93" i="3"/>
  <c r="X92" i="3"/>
  <c r="X91" i="3"/>
  <c r="X90" i="3"/>
  <c r="X89" i="3"/>
  <c r="X88" i="3"/>
  <c r="X87" i="3"/>
  <c r="X86" i="3"/>
  <c r="X85" i="3"/>
  <c r="X84" i="3"/>
  <c r="X83" i="3"/>
  <c r="X82" i="3"/>
  <c r="X81" i="3"/>
  <c r="X80" i="3"/>
  <c r="X79" i="3"/>
  <c r="X78" i="3"/>
  <c r="X77" i="3"/>
  <c r="X76" i="3"/>
  <c r="X75" i="3"/>
  <c r="X74" i="3"/>
  <c r="X73" i="3"/>
  <c r="X72" i="3"/>
  <c r="X71" i="3"/>
  <c r="X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70" i="3"/>
  <c r="T170" i="3"/>
  <c r="T169" i="3"/>
  <c r="T168" i="3"/>
  <c r="T167" i="3"/>
  <c r="T166" i="3"/>
  <c r="T165" i="3"/>
  <c r="T164" i="3"/>
  <c r="T163" i="3"/>
  <c r="T162" i="3"/>
  <c r="T161" i="3"/>
  <c r="T160" i="3"/>
  <c r="T159" i="3"/>
  <c r="T158" i="3"/>
  <c r="T157" i="3"/>
  <c r="T156" i="3"/>
  <c r="T155" i="3"/>
  <c r="T154" i="3"/>
  <c r="T153" i="3"/>
  <c r="T152" i="3"/>
  <c r="T151" i="3"/>
  <c r="T150" i="3"/>
  <c r="T149" i="3"/>
  <c r="T148" i="3"/>
  <c r="T147" i="3"/>
  <c r="T146" i="3"/>
  <c r="T145" i="3"/>
  <c r="T144" i="3"/>
  <c r="T143"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O170" i="3"/>
  <c r="O169" i="3"/>
  <c r="O168" i="3"/>
  <c r="O167" i="3"/>
  <c r="O166" i="3"/>
  <c r="O165" i="3"/>
  <c r="O164" i="3"/>
  <c r="O163" i="3"/>
  <c r="O162" i="3"/>
  <c r="O161" i="3"/>
  <c r="O160" i="3"/>
  <c r="O159" i="3"/>
  <c r="O158" i="3"/>
  <c r="O157" i="3"/>
  <c r="O156" i="3"/>
  <c r="O155" i="3"/>
  <c r="O154" i="3"/>
  <c r="O153" i="3"/>
  <c r="O152" i="3"/>
  <c r="O151" i="3"/>
  <c r="O150" i="3"/>
  <c r="O149" i="3"/>
  <c r="O148" i="3"/>
  <c r="O147" i="3"/>
  <c r="O146" i="3"/>
  <c r="O145" i="3"/>
  <c r="O144" i="3"/>
  <c r="O143" i="3"/>
  <c r="O142" i="3"/>
  <c r="O141" i="3"/>
  <c r="O140" i="3"/>
  <c r="O139" i="3"/>
  <c r="O138" i="3"/>
  <c r="O137" i="3"/>
  <c r="O136" i="3"/>
  <c r="O135" i="3"/>
  <c r="O134" i="3"/>
  <c r="O133" i="3"/>
  <c r="O132" i="3"/>
  <c r="O131" i="3"/>
  <c r="O130" i="3"/>
  <c r="O129" i="3"/>
  <c r="O128" i="3"/>
  <c r="O127" i="3"/>
  <c r="O126" i="3"/>
  <c r="O125" i="3"/>
  <c r="O124" i="3"/>
  <c r="O123" i="3"/>
  <c r="O122" i="3"/>
  <c r="O121" i="3"/>
  <c r="O120" i="3"/>
  <c r="O119" i="3"/>
  <c r="O118" i="3"/>
  <c r="O117" i="3"/>
  <c r="O116" i="3"/>
  <c r="O115" i="3"/>
  <c r="O114" i="3"/>
  <c r="O113" i="3"/>
  <c r="O112" i="3"/>
  <c r="O111" i="3"/>
  <c r="O110" i="3"/>
  <c r="O109" i="3"/>
  <c r="O108" i="3"/>
  <c r="O107" i="3"/>
  <c r="O106" i="3"/>
  <c r="O105" i="3"/>
  <c r="O104" i="3"/>
  <c r="O103" i="3"/>
  <c r="O102" i="3"/>
  <c r="O101" i="3"/>
  <c r="O100" i="3"/>
  <c r="O99" i="3"/>
  <c r="O98" i="3"/>
  <c r="O97" i="3"/>
  <c r="O96" i="3"/>
  <c r="O95" i="3"/>
  <c r="O94" i="3"/>
  <c r="O93" i="3"/>
  <c r="O92" i="3"/>
  <c r="O91" i="3"/>
  <c r="O90" i="3"/>
  <c r="O89" i="3"/>
  <c r="O88" i="3"/>
  <c r="O87" i="3"/>
  <c r="O86" i="3"/>
  <c r="O85" i="3"/>
  <c r="O84" i="3"/>
  <c r="O83" i="3"/>
  <c r="O82" i="3"/>
  <c r="O81" i="3"/>
  <c r="O80" i="3"/>
  <c r="O79" i="3"/>
  <c r="O78" i="3"/>
  <c r="O77" i="3"/>
  <c r="O76" i="3"/>
  <c r="O75" i="3"/>
  <c r="O74" i="3"/>
  <c r="O73" i="3"/>
  <c r="O72" i="3"/>
  <c r="O71" i="3"/>
  <c r="O70" i="3"/>
  <c r="N71" i="3"/>
  <c r="N72" i="3" s="1"/>
  <c r="K71" i="3"/>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M71" i="3"/>
  <c r="M72" i="3" s="1"/>
  <c r="M73" i="3" s="1"/>
  <c r="G11" i="3"/>
  <c r="F71" i="3"/>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F94" i="3" s="1"/>
  <c r="F95" i="3" s="1"/>
  <c r="F96" i="3" s="1"/>
  <c r="F97" i="3" s="1"/>
  <c r="F98" i="3" s="1"/>
  <c r="F99" i="3" s="1"/>
  <c r="F100" i="3" s="1"/>
  <c r="F101" i="3" s="1"/>
  <c r="F102" i="3" s="1"/>
  <c r="F103" i="3" s="1"/>
  <c r="F104" i="3" s="1"/>
  <c r="F105" i="3" s="1"/>
  <c r="F106" i="3" s="1"/>
  <c r="F107" i="3" s="1"/>
  <c r="F108" i="3" s="1"/>
  <c r="F109" i="3" s="1"/>
  <c r="F110" i="3" s="1"/>
  <c r="F111" i="3" s="1"/>
  <c r="F112" i="3" s="1"/>
  <c r="F113" i="3" s="1"/>
  <c r="F114" i="3" s="1"/>
  <c r="F115" i="3" s="1"/>
  <c r="F116" i="3" s="1"/>
  <c r="F117" i="3" s="1"/>
  <c r="F118" i="3" s="1"/>
  <c r="F119" i="3" s="1"/>
  <c r="F120" i="3" s="1"/>
  <c r="F121" i="3" s="1"/>
  <c r="F122" i="3" s="1"/>
  <c r="F123" i="3" s="1"/>
  <c r="F124" i="3" s="1"/>
  <c r="F125" i="3" s="1"/>
  <c r="F126" i="3" s="1"/>
  <c r="F127" i="3" s="1"/>
  <c r="F128" i="3" s="1"/>
  <c r="F129" i="3" s="1"/>
  <c r="F130" i="3" s="1"/>
  <c r="F131" i="3" s="1"/>
  <c r="F132" i="3" s="1"/>
  <c r="F133" i="3" s="1"/>
  <c r="F134" i="3" s="1"/>
  <c r="F135" i="3" s="1"/>
  <c r="F136" i="3" s="1"/>
  <c r="F137" i="3" s="1"/>
  <c r="F138" i="3" s="1"/>
  <c r="F139" i="3" s="1"/>
  <c r="F140" i="3" s="1"/>
  <c r="F141" i="3" s="1"/>
  <c r="F142" i="3" s="1"/>
  <c r="F143" i="3" s="1"/>
  <c r="F144" i="3" s="1"/>
  <c r="F145" i="3" s="1"/>
  <c r="F146" i="3" s="1"/>
  <c r="F147" i="3" s="1"/>
  <c r="F148" i="3" s="1"/>
  <c r="F149" i="3" s="1"/>
  <c r="F150" i="3" s="1"/>
  <c r="F151" i="3" s="1"/>
  <c r="F152" i="3" s="1"/>
  <c r="F153" i="3" s="1"/>
  <c r="F154" i="3" s="1"/>
  <c r="F155" i="3" s="1"/>
  <c r="F156" i="3" s="1"/>
  <c r="F157" i="3" s="1"/>
  <c r="F158" i="3" s="1"/>
  <c r="F159" i="3" s="1"/>
  <c r="F160" i="3" s="1"/>
  <c r="F161" i="3" s="1"/>
  <c r="F162" i="3" s="1"/>
  <c r="F163" i="3" s="1"/>
  <c r="F164" i="3" s="1"/>
  <c r="F165" i="3" s="1"/>
  <c r="F166" i="3" s="1"/>
  <c r="F167" i="3" s="1"/>
  <c r="F168" i="3" s="1"/>
  <c r="F169" i="3" s="1"/>
  <c r="F170" i="3" s="1"/>
  <c r="F70" i="3"/>
  <c r="D71" i="3"/>
  <c r="E71" i="3" s="1"/>
  <c r="D70" i="3"/>
  <c r="B65" i="3"/>
  <c r="B64" i="3"/>
  <c r="B63" i="3"/>
  <c r="B62" i="3"/>
  <c r="B61" i="3"/>
  <c r="B60" i="3"/>
  <c r="B59" i="3"/>
  <c r="B58" i="3"/>
  <c r="B57" i="3"/>
  <c r="B56" i="3"/>
  <c r="B55" i="3"/>
  <c r="B54" i="3"/>
  <c r="B53" i="3"/>
  <c r="B52" i="3"/>
  <c r="B51" i="3"/>
  <c r="B50" i="3"/>
  <c r="B49" i="3"/>
  <c r="B48" i="3"/>
  <c r="B47" i="3"/>
  <c r="B46" i="3"/>
  <c r="B45" i="3"/>
  <c r="C4" i="3"/>
  <c r="H9" i="3" s="1"/>
  <c r="C5"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24" i="11"/>
  <c r="B23" i="11"/>
  <c r="B22" i="11"/>
  <c r="C13" i="11"/>
  <c r="D13" i="11"/>
  <c r="E13" i="11"/>
  <c r="F13" i="11"/>
  <c r="G13" i="11"/>
  <c r="H13" i="11"/>
  <c r="I13" i="11"/>
  <c r="J13" i="11"/>
  <c r="B13" i="11"/>
  <c r="F11" i="3"/>
  <c r="F4" i="3"/>
  <c r="F5" i="3"/>
  <c r="F6" i="3"/>
  <c r="F7" i="3"/>
  <c r="F8" i="3"/>
  <c r="F9" i="3"/>
  <c r="F10" i="3"/>
  <c r="F3" i="3"/>
  <c r="D43" i="1"/>
  <c r="E42" i="1"/>
  <c r="C40" i="21" s="1"/>
  <c r="F42" i="1"/>
  <c r="C40" i="22" s="1"/>
  <c r="G42" i="1"/>
  <c r="C40" i="23" s="1"/>
  <c r="H42" i="1"/>
  <c r="C40" i="24" s="1"/>
  <c r="I42" i="1"/>
  <c r="C40" i="25" s="1"/>
  <c r="J42" i="1"/>
  <c r="C40" i="26" s="1"/>
  <c r="K42" i="1"/>
  <c r="C40" i="27" s="1"/>
  <c r="D42" i="1"/>
  <c r="C40" i="3" s="1"/>
  <c r="AD46" i="3"/>
  <c r="AD47" i="3"/>
  <c r="AD48" i="3"/>
  <c r="AD49" i="3"/>
  <c r="AD50" i="3"/>
  <c r="AD51" i="3"/>
  <c r="AD52" i="3"/>
  <c r="AD53" i="3"/>
  <c r="AD54" i="3"/>
  <c r="AD55" i="3"/>
  <c r="AD56" i="3"/>
  <c r="AD57" i="3"/>
  <c r="AD58" i="3"/>
  <c r="AD59" i="3"/>
  <c r="AD60" i="3"/>
  <c r="AD61" i="3"/>
  <c r="AD62" i="3"/>
  <c r="AD63" i="3"/>
  <c r="AD64" i="3"/>
  <c r="AD65" i="3"/>
  <c r="AD66" i="3"/>
  <c r="AD67" i="3"/>
  <c r="AD68" i="3"/>
  <c r="AD69" i="3"/>
  <c r="AD45" i="3"/>
  <c r="K70" i="3"/>
  <c r="N70" i="3"/>
  <c r="M70" i="3"/>
  <c r="E38" i="1"/>
  <c r="B70" i="21" s="1"/>
  <c r="F38" i="1"/>
  <c r="B68" i="22" s="1"/>
  <c r="Z68" i="22" s="1"/>
  <c r="G38" i="1"/>
  <c r="B67" i="23" s="1"/>
  <c r="Z67" i="23" s="1"/>
  <c r="H38" i="1"/>
  <c r="B69" i="24" s="1"/>
  <c r="Z69" i="24" s="1"/>
  <c r="I38" i="1"/>
  <c r="B70" i="25" s="1"/>
  <c r="J38" i="1"/>
  <c r="B70" i="26" s="1"/>
  <c r="K38" i="1"/>
  <c r="B68" i="27" s="1"/>
  <c r="Z68" i="27" s="1"/>
  <c r="D38" i="1"/>
  <c r="B70" i="3" s="1"/>
  <c r="J9" i="3"/>
  <c r="D2" i="12"/>
  <c r="B30" i="12" s="1"/>
  <c r="B8" i="11"/>
  <c r="C11" i="11"/>
  <c r="D11" i="11"/>
  <c r="E11" i="11"/>
  <c r="F11" i="11"/>
  <c r="G11" i="11"/>
  <c r="H11" i="11"/>
  <c r="I11" i="11"/>
  <c r="J11" i="11"/>
  <c r="C12" i="11"/>
  <c r="D12" i="11"/>
  <c r="E12" i="11"/>
  <c r="F12" i="11"/>
  <c r="G12" i="11"/>
  <c r="H12" i="11"/>
  <c r="I12" i="11"/>
  <c r="J12" i="11"/>
  <c r="B12" i="11"/>
  <c r="B11" i="11"/>
  <c r="B14" i="11"/>
  <c r="B29" i="11"/>
  <c r="B33" i="11"/>
  <c r="C28" i="11"/>
  <c r="E28" i="11"/>
  <c r="I28" i="11"/>
  <c r="B28" i="11"/>
  <c r="AR24" i="13"/>
  <c r="AD26" i="13"/>
  <c r="AE26" i="13"/>
  <c r="AF26" i="13"/>
  <c r="AG26" i="13"/>
  <c r="AH26" i="13"/>
  <c r="AI26" i="13"/>
  <c r="AJ26" i="13"/>
  <c r="AK26" i="13"/>
  <c r="AD27" i="13"/>
  <c r="AE27" i="13"/>
  <c r="AF27" i="13"/>
  <c r="AG27" i="13"/>
  <c r="AH27" i="13"/>
  <c r="AI27" i="13"/>
  <c r="AJ27" i="13"/>
  <c r="AK27" i="13"/>
  <c r="AD28" i="13"/>
  <c r="AE28" i="13"/>
  <c r="AF28" i="13"/>
  <c r="AG28" i="13"/>
  <c r="AH28" i="13"/>
  <c r="AI28" i="13"/>
  <c r="AJ28" i="13"/>
  <c r="AK28" i="13"/>
  <c r="AD29" i="13"/>
  <c r="AE29" i="13"/>
  <c r="AF29" i="13"/>
  <c r="AG29" i="13"/>
  <c r="AH29" i="13"/>
  <c r="AI29" i="13"/>
  <c r="AJ29" i="13"/>
  <c r="AK29" i="13"/>
  <c r="AD30" i="13"/>
  <c r="AE30" i="13"/>
  <c r="AF30" i="13"/>
  <c r="AG30" i="13"/>
  <c r="AH30" i="13"/>
  <c r="AI30" i="13"/>
  <c r="AJ30" i="13"/>
  <c r="AK30" i="13"/>
  <c r="AD31" i="13"/>
  <c r="AE31" i="13"/>
  <c r="AF31" i="13"/>
  <c r="AG31" i="13"/>
  <c r="AH31" i="13"/>
  <c r="AI31" i="13"/>
  <c r="AJ31" i="13"/>
  <c r="AK31" i="13"/>
  <c r="AD32" i="13"/>
  <c r="AE32" i="13"/>
  <c r="AF32" i="13"/>
  <c r="AG32" i="13"/>
  <c r="AH32" i="13"/>
  <c r="AI32" i="13"/>
  <c r="AJ32" i="13"/>
  <c r="AK32" i="13"/>
  <c r="AD33" i="13"/>
  <c r="AE33" i="13"/>
  <c r="AF33" i="13"/>
  <c r="AG33" i="13"/>
  <c r="AH33" i="13"/>
  <c r="AI33" i="13"/>
  <c r="AJ33" i="13"/>
  <c r="AK33" i="13"/>
  <c r="AD34" i="13"/>
  <c r="AE34" i="13"/>
  <c r="AF34" i="13"/>
  <c r="AG34" i="13"/>
  <c r="AH34" i="13"/>
  <c r="AI34" i="13"/>
  <c r="AJ34" i="13"/>
  <c r="AK34" i="13"/>
  <c r="AD35" i="13"/>
  <c r="AE35" i="13"/>
  <c r="AF35" i="13"/>
  <c r="AG35" i="13"/>
  <c r="AH35" i="13"/>
  <c r="AI35" i="13"/>
  <c r="AJ35" i="13"/>
  <c r="AK35" i="13"/>
  <c r="AD36" i="13"/>
  <c r="AE36" i="13"/>
  <c r="AF36" i="13"/>
  <c r="AG36" i="13"/>
  <c r="AH36" i="13"/>
  <c r="AI36" i="13"/>
  <c r="AJ36" i="13"/>
  <c r="AK36" i="13"/>
  <c r="AD37" i="13"/>
  <c r="AE37" i="13"/>
  <c r="AF37" i="13"/>
  <c r="AG37" i="13"/>
  <c r="AH37" i="13"/>
  <c r="AI37" i="13"/>
  <c r="AJ37" i="13"/>
  <c r="AK37" i="13"/>
  <c r="AD38" i="13"/>
  <c r="AE38" i="13"/>
  <c r="AF38" i="13"/>
  <c r="AG38" i="13"/>
  <c r="AH38" i="13"/>
  <c r="AI38" i="13"/>
  <c r="AJ38" i="13"/>
  <c r="AK38" i="13"/>
  <c r="AD39" i="13"/>
  <c r="AE39" i="13"/>
  <c r="AF39" i="13"/>
  <c r="AG39" i="13"/>
  <c r="AH39" i="13"/>
  <c r="AI39" i="13"/>
  <c r="AJ39" i="13"/>
  <c r="AK39" i="13"/>
  <c r="AD40" i="13"/>
  <c r="AE40" i="13"/>
  <c r="AF40" i="13"/>
  <c r="AG40" i="13"/>
  <c r="AH40" i="13"/>
  <c r="AI40" i="13"/>
  <c r="AJ40" i="13"/>
  <c r="AK40" i="13"/>
  <c r="AD41" i="13"/>
  <c r="AE41" i="13"/>
  <c r="AF41" i="13"/>
  <c r="AG41" i="13"/>
  <c r="AH41" i="13"/>
  <c r="AI41" i="13"/>
  <c r="AJ41" i="13"/>
  <c r="AK41" i="13"/>
  <c r="AD42" i="13"/>
  <c r="AE42" i="13"/>
  <c r="AF42" i="13"/>
  <c r="AG42" i="13"/>
  <c r="AH42" i="13"/>
  <c r="AI42" i="13"/>
  <c r="AJ42" i="13"/>
  <c r="AK42" i="13"/>
  <c r="AD43" i="13"/>
  <c r="AE43" i="13"/>
  <c r="AF43" i="13"/>
  <c r="AG43" i="13"/>
  <c r="AH43" i="13"/>
  <c r="AI43" i="13"/>
  <c r="AJ43" i="13"/>
  <c r="AK43" i="13"/>
  <c r="AD44" i="13"/>
  <c r="AE44" i="13"/>
  <c r="AF44" i="13"/>
  <c r="AG44" i="13"/>
  <c r="AH44" i="13"/>
  <c r="AI44" i="13"/>
  <c r="AJ44" i="13"/>
  <c r="AK44" i="13"/>
  <c r="AD45" i="13"/>
  <c r="AE45" i="13"/>
  <c r="AF45" i="13"/>
  <c r="AG45" i="13"/>
  <c r="AH45" i="13"/>
  <c r="AI45" i="13"/>
  <c r="AJ45" i="13"/>
  <c r="AK45" i="13"/>
  <c r="AD46" i="13"/>
  <c r="AE46" i="13"/>
  <c r="AF46" i="13"/>
  <c r="AG46" i="13"/>
  <c r="AH46" i="13"/>
  <c r="AI46" i="13"/>
  <c r="AJ46" i="13"/>
  <c r="AK46" i="13"/>
  <c r="AD47" i="13"/>
  <c r="AE47" i="13"/>
  <c r="AF47" i="13"/>
  <c r="AG47" i="13"/>
  <c r="AH47" i="13"/>
  <c r="AI47" i="13"/>
  <c r="AJ47" i="13"/>
  <c r="AK47" i="13"/>
  <c r="AD48" i="13"/>
  <c r="AE48" i="13"/>
  <c r="AF48" i="13"/>
  <c r="AG48" i="13"/>
  <c r="AH48" i="13"/>
  <c r="AI48" i="13"/>
  <c r="AJ48" i="13"/>
  <c r="AK48" i="13"/>
  <c r="AD49" i="13"/>
  <c r="AE49" i="13"/>
  <c r="AF49" i="13"/>
  <c r="AG49" i="13"/>
  <c r="AH49" i="13"/>
  <c r="AI49" i="13"/>
  <c r="AJ49" i="13"/>
  <c r="AK49" i="13"/>
  <c r="AD50" i="13"/>
  <c r="AE50" i="13"/>
  <c r="AF50" i="13"/>
  <c r="AG50" i="13"/>
  <c r="AH50" i="13"/>
  <c r="AI50" i="13"/>
  <c r="AJ50" i="13"/>
  <c r="AK50" i="13"/>
  <c r="AD51" i="13"/>
  <c r="AE51" i="13"/>
  <c r="AF51" i="13"/>
  <c r="AG51" i="13"/>
  <c r="AH51" i="13"/>
  <c r="AI51" i="13"/>
  <c r="AJ51" i="13"/>
  <c r="AK51" i="13"/>
  <c r="AD52" i="13"/>
  <c r="AE52" i="13"/>
  <c r="AF52" i="13"/>
  <c r="AG52" i="13"/>
  <c r="AH52" i="13"/>
  <c r="AI52" i="13"/>
  <c r="AJ52" i="13"/>
  <c r="AK52" i="13"/>
  <c r="AD53" i="13"/>
  <c r="AE53" i="13"/>
  <c r="AF53" i="13"/>
  <c r="AG53" i="13"/>
  <c r="AH53" i="13"/>
  <c r="AI53" i="13"/>
  <c r="AJ53" i="13"/>
  <c r="AK53" i="13"/>
  <c r="AD54" i="13"/>
  <c r="AE54" i="13"/>
  <c r="AF54" i="13"/>
  <c r="AG54" i="13"/>
  <c r="AH54" i="13"/>
  <c r="AI54" i="13"/>
  <c r="AJ54" i="13"/>
  <c r="AK54" i="13"/>
  <c r="AD55" i="13"/>
  <c r="AE55" i="13"/>
  <c r="AF55" i="13"/>
  <c r="AG55" i="13"/>
  <c r="AH55" i="13"/>
  <c r="AI55" i="13"/>
  <c r="AJ55" i="13"/>
  <c r="AK55" i="13"/>
  <c r="AD56" i="13"/>
  <c r="AE56" i="13"/>
  <c r="AF56" i="13"/>
  <c r="AG56" i="13"/>
  <c r="AH56" i="13"/>
  <c r="AI56" i="13"/>
  <c r="AJ56" i="13"/>
  <c r="AK56" i="13"/>
  <c r="AD57" i="13"/>
  <c r="AE57" i="13"/>
  <c r="AF57" i="13"/>
  <c r="AG57" i="13"/>
  <c r="AH57" i="13"/>
  <c r="AI57" i="13"/>
  <c r="AJ57" i="13"/>
  <c r="AK57" i="13"/>
  <c r="AD58" i="13"/>
  <c r="AE58" i="13"/>
  <c r="AF58" i="13"/>
  <c r="AG58" i="13"/>
  <c r="AH58" i="13"/>
  <c r="AI58" i="13"/>
  <c r="AJ58" i="13"/>
  <c r="AK58" i="13"/>
  <c r="AD59" i="13"/>
  <c r="AE59" i="13"/>
  <c r="AF59" i="13"/>
  <c r="AG59" i="13"/>
  <c r="AH59" i="13"/>
  <c r="AI59" i="13"/>
  <c r="AJ59" i="13"/>
  <c r="AK59" i="13"/>
  <c r="AD60" i="13"/>
  <c r="AE60" i="13"/>
  <c r="AF60" i="13"/>
  <c r="AG60" i="13"/>
  <c r="AH60" i="13"/>
  <c r="AI60" i="13"/>
  <c r="AJ60" i="13"/>
  <c r="AK60" i="13"/>
  <c r="AD61" i="13"/>
  <c r="AE61" i="13"/>
  <c r="AF61" i="13"/>
  <c r="AG61" i="13"/>
  <c r="AH61" i="13"/>
  <c r="AI61" i="13"/>
  <c r="AJ61" i="13"/>
  <c r="AK61" i="13"/>
  <c r="AD62" i="13"/>
  <c r="AE62" i="13"/>
  <c r="AF62" i="13"/>
  <c r="AG62" i="13"/>
  <c r="AH62" i="13"/>
  <c r="AI62" i="13"/>
  <c r="AJ62" i="13"/>
  <c r="AK62" i="13"/>
  <c r="AD63" i="13"/>
  <c r="AE63" i="13"/>
  <c r="AF63" i="13"/>
  <c r="AG63" i="13"/>
  <c r="AH63" i="13"/>
  <c r="AI63" i="13"/>
  <c r="AJ63" i="13"/>
  <c r="AK63" i="13"/>
  <c r="AD64" i="13"/>
  <c r="AE64" i="13"/>
  <c r="AF64" i="13"/>
  <c r="AG64" i="13"/>
  <c r="AH64" i="13"/>
  <c r="AI64" i="13"/>
  <c r="AJ64" i="13"/>
  <c r="AK64" i="13"/>
  <c r="AD65" i="13"/>
  <c r="AE65" i="13"/>
  <c r="AF65" i="13"/>
  <c r="AG65" i="13"/>
  <c r="AH65" i="13"/>
  <c r="AI65" i="13"/>
  <c r="AJ65" i="13"/>
  <c r="AK65" i="13"/>
  <c r="AD66" i="13"/>
  <c r="AE66" i="13"/>
  <c r="AF66" i="13"/>
  <c r="AG66" i="13"/>
  <c r="AH66" i="13"/>
  <c r="AI66" i="13"/>
  <c r="AJ66" i="13"/>
  <c r="AK66" i="13"/>
  <c r="AD67" i="13"/>
  <c r="AE67" i="13"/>
  <c r="AF67" i="13"/>
  <c r="AG67" i="13"/>
  <c r="AH67" i="13"/>
  <c r="AI67" i="13"/>
  <c r="AJ67" i="13"/>
  <c r="AK67" i="13"/>
  <c r="AD68" i="13"/>
  <c r="AE68" i="13"/>
  <c r="AF68" i="13"/>
  <c r="AG68" i="13"/>
  <c r="AH68" i="13"/>
  <c r="AI68" i="13"/>
  <c r="AJ68" i="13"/>
  <c r="AK68" i="13"/>
  <c r="AD69" i="13"/>
  <c r="AE69" i="13"/>
  <c r="AF69" i="13"/>
  <c r="AG69" i="13"/>
  <c r="AH69" i="13"/>
  <c r="AI69" i="13"/>
  <c r="AJ69" i="13"/>
  <c r="AK69" i="13"/>
  <c r="AD70" i="13"/>
  <c r="AE70" i="13"/>
  <c r="AF70" i="13"/>
  <c r="AG70" i="13"/>
  <c r="AH70" i="13"/>
  <c r="AI70" i="13"/>
  <c r="AJ70" i="13"/>
  <c r="AK70" i="13"/>
  <c r="AD71" i="13"/>
  <c r="AE71" i="13"/>
  <c r="AF71" i="13"/>
  <c r="AG71" i="13"/>
  <c r="AH71" i="13"/>
  <c r="AI71" i="13"/>
  <c r="AJ71" i="13"/>
  <c r="AK71" i="13"/>
  <c r="AD72" i="13"/>
  <c r="AE72" i="13"/>
  <c r="AF72" i="13"/>
  <c r="AG72" i="13"/>
  <c r="AH72" i="13"/>
  <c r="AI72" i="13"/>
  <c r="AJ72" i="13"/>
  <c r="AK72" i="13"/>
  <c r="AD73" i="13"/>
  <c r="AE73" i="13"/>
  <c r="AF73" i="13"/>
  <c r="AG73" i="13"/>
  <c r="AH73" i="13"/>
  <c r="AI73" i="13"/>
  <c r="AJ73" i="13"/>
  <c r="AK73" i="13"/>
  <c r="AD74" i="13"/>
  <c r="AE74" i="13"/>
  <c r="AF74" i="13"/>
  <c r="AG74" i="13"/>
  <c r="AH74" i="13"/>
  <c r="AI74" i="13"/>
  <c r="AJ74" i="13"/>
  <c r="AK74" i="13"/>
  <c r="AD75" i="13"/>
  <c r="AE75" i="13"/>
  <c r="AF75" i="13"/>
  <c r="AG75" i="13"/>
  <c r="AH75" i="13"/>
  <c r="AI75" i="13"/>
  <c r="AJ75" i="13"/>
  <c r="AK75" i="13"/>
  <c r="AD76" i="13"/>
  <c r="AE76" i="13"/>
  <c r="AF76" i="13"/>
  <c r="AG76" i="13"/>
  <c r="AH76" i="13"/>
  <c r="AI76" i="13"/>
  <c r="AJ76" i="13"/>
  <c r="AK76" i="13"/>
  <c r="AD77" i="13"/>
  <c r="AE77" i="13"/>
  <c r="AF77" i="13"/>
  <c r="AG77" i="13"/>
  <c r="AH77" i="13"/>
  <c r="AI77" i="13"/>
  <c r="AJ77" i="13"/>
  <c r="AK77" i="13"/>
  <c r="AD78" i="13"/>
  <c r="AE78" i="13"/>
  <c r="AF78" i="13"/>
  <c r="AG78" i="13"/>
  <c r="AH78" i="13"/>
  <c r="AI78" i="13"/>
  <c r="AJ78" i="13"/>
  <c r="AK78" i="13"/>
  <c r="AD79" i="13"/>
  <c r="AE79" i="13"/>
  <c r="AF79" i="13"/>
  <c r="AG79" i="13"/>
  <c r="AH79" i="13"/>
  <c r="AI79" i="13"/>
  <c r="AJ79" i="13"/>
  <c r="AK79" i="13"/>
  <c r="AD80" i="13"/>
  <c r="AE80" i="13"/>
  <c r="AF80" i="13"/>
  <c r="AG80" i="13"/>
  <c r="AH80" i="13"/>
  <c r="AI80" i="13"/>
  <c r="AJ80" i="13"/>
  <c r="AK80" i="13"/>
  <c r="AD81" i="13"/>
  <c r="AE81" i="13"/>
  <c r="AF81" i="13"/>
  <c r="AG81" i="13"/>
  <c r="AH81" i="13"/>
  <c r="AI81" i="13"/>
  <c r="AJ81" i="13"/>
  <c r="AK81" i="13"/>
  <c r="AD82" i="13"/>
  <c r="AE82" i="13"/>
  <c r="AF82" i="13"/>
  <c r="AG82" i="13"/>
  <c r="AH82" i="13"/>
  <c r="AI82" i="13"/>
  <c r="AJ82" i="13"/>
  <c r="AK82" i="13"/>
  <c r="AD83" i="13"/>
  <c r="AE83" i="13"/>
  <c r="AF83" i="13"/>
  <c r="AG83" i="13"/>
  <c r="AH83" i="13"/>
  <c r="AI83" i="13"/>
  <c r="AJ83" i="13"/>
  <c r="AK83" i="13"/>
  <c r="AD84" i="13"/>
  <c r="AE84" i="13"/>
  <c r="AF84" i="13"/>
  <c r="AG84" i="13"/>
  <c r="AH84" i="13"/>
  <c r="AI84" i="13"/>
  <c r="AJ84" i="13"/>
  <c r="AK84" i="13"/>
  <c r="AD85" i="13"/>
  <c r="AE85" i="13"/>
  <c r="AF85" i="13"/>
  <c r="AG85" i="13"/>
  <c r="AH85" i="13"/>
  <c r="AI85" i="13"/>
  <c r="AJ85" i="13"/>
  <c r="AK85" i="13"/>
  <c r="AD86" i="13"/>
  <c r="AE86" i="13"/>
  <c r="AF86" i="13"/>
  <c r="AG86" i="13"/>
  <c r="AH86" i="13"/>
  <c r="AI86" i="13"/>
  <c r="AJ86" i="13"/>
  <c r="AK86" i="13"/>
  <c r="AD87" i="13"/>
  <c r="AE87" i="13"/>
  <c r="AF87" i="13"/>
  <c r="AG87" i="13"/>
  <c r="AH87" i="13"/>
  <c r="AI87" i="13"/>
  <c r="AJ87" i="13"/>
  <c r="AK87" i="13"/>
  <c r="AD88" i="13"/>
  <c r="AE88" i="13"/>
  <c r="AF88" i="13"/>
  <c r="AG88" i="13"/>
  <c r="AH88" i="13"/>
  <c r="AI88" i="13"/>
  <c r="AJ88" i="13"/>
  <c r="AK88" i="13"/>
  <c r="AD89" i="13"/>
  <c r="AE89" i="13"/>
  <c r="AF89" i="13"/>
  <c r="AG89" i="13"/>
  <c r="AH89" i="13"/>
  <c r="AI89" i="13"/>
  <c r="AJ89" i="13"/>
  <c r="AK89" i="13"/>
  <c r="AD90" i="13"/>
  <c r="AE90" i="13"/>
  <c r="AF90" i="13"/>
  <c r="AG90" i="13"/>
  <c r="AH90" i="13"/>
  <c r="AI90" i="13"/>
  <c r="AJ90" i="13"/>
  <c r="AK90" i="13"/>
  <c r="AD91" i="13"/>
  <c r="AE91" i="13"/>
  <c r="AF91" i="13"/>
  <c r="AG91" i="13"/>
  <c r="AH91" i="13"/>
  <c r="AI91" i="13"/>
  <c r="AJ91" i="13"/>
  <c r="AK91" i="13"/>
  <c r="AD92" i="13"/>
  <c r="AE92" i="13"/>
  <c r="AF92" i="13"/>
  <c r="AG92" i="13"/>
  <c r="AH92" i="13"/>
  <c r="AI92" i="13"/>
  <c r="AJ92" i="13"/>
  <c r="AK92" i="13"/>
  <c r="AD93" i="13"/>
  <c r="AE93" i="13"/>
  <c r="AF93" i="13"/>
  <c r="AG93" i="13"/>
  <c r="AH93" i="13"/>
  <c r="AI93" i="13"/>
  <c r="AJ93" i="13"/>
  <c r="AK93" i="13"/>
  <c r="AD94" i="13"/>
  <c r="AE94" i="13"/>
  <c r="AF94" i="13"/>
  <c r="AG94" i="13"/>
  <c r="AH94" i="13"/>
  <c r="AI94" i="13"/>
  <c r="AJ94" i="13"/>
  <c r="AK94" i="13"/>
  <c r="AD95" i="13"/>
  <c r="AE95" i="13"/>
  <c r="AF95" i="13"/>
  <c r="AG95" i="13"/>
  <c r="AH95" i="13"/>
  <c r="AI95" i="13"/>
  <c r="AJ95" i="13"/>
  <c r="AK95" i="13"/>
  <c r="AD96" i="13"/>
  <c r="AE96" i="13"/>
  <c r="AF96" i="13"/>
  <c r="AG96" i="13"/>
  <c r="AH96" i="13"/>
  <c r="AI96" i="13"/>
  <c r="AJ96" i="13"/>
  <c r="AK96" i="13"/>
  <c r="AD97" i="13"/>
  <c r="AE97" i="13"/>
  <c r="AF97" i="13"/>
  <c r="AG97" i="13"/>
  <c r="AH97" i="13"/>
  <c r="AI97" i="13"/>
  <c r="AJ97" i="13"/>
  <c r="AK97" i="13"/>
  <c r="AD98" i="13"/>
  <c r="AE98" i="13"/>
  <c r="AF98" i="13"/>
  <c r="AG98" i="13"/>
  <c r="AH98" i="13"/>
  <c r="AI98" i="13"/>
  <c r="AJ98" i="13"/>
  <c r="AK98" i="13"/>
  <c r="AD99" i="13"/>
  <c r="AE99" i="13"/>
  <c r="AF99" i="13"/>
  <c r="AG99" i="13"/>
  <c r="AH99" i="13"/>
  <c r="AI99" i="13"/>
  <c r="AJ99" i="13"/>
  <c r="AK99" i="13"/>
  <c r="AD100" i="13"/>
  <c r="AE100" i="13"/>
  <c r="AF100" i="13"/>
  <c r="AG100" i="13"/>
  <c r="AH100" i="13"/>
  <c r="AI100" i="13"/>
  <c r="AJ100" i="13"/>
  <c r="AK100" i="13"/>
  <c r="AD101" i="13"/>
  <c r="AE101" i="13"/>
  <c r="AF101" i="13"/>
  <c r="AG101" i="13"/>
  <c r="AH101" i="13"/>
  <c r="AI101" i="13"/>
  <c r="AJ101" i="13"/>
  <c r="AK101" i="13"/>
  <c r="AD102" i="13"/>
  <c r="AE102" i="13"/>
  <c r="AF102" i="13"/>
  <c r="AG102" i="13"/>
  <c r="AH102" i="13"/>
  <c r="AI102" i="13"/>
  <c r="AJ102" i="13"/>
  <c r="AK102" i="13"/>
  <c r="AD103" i="13"/>
  <c r="AE103" i="13"/>
  <c r="AF103" i="13"/>
  <c r="AG103" i="13"/>
  <c r="AH103" i="13"/>
  <c r="AI103" i="13"/>
  <c r="AJ103" i="13"/>
  <c r="AK103" i="13"/>
  <c r="AD104" i="13"/>
  <c r="AE104" i="13"/>
  <c r="AF104" i="13"/>
  <c r="AG104" i="13"/>
  <c r="AH104" i="13"/>
  <c r="AI104" i="13"/>
  <c r="AJ104" i="13"/>
  <c r="AK104" i="13"/>
  <c r="AD105" i="13"/>
  <c r="AE105" i="13"/>
  <c r="AF105" i="13"/>
  <c r="AG105" i="13"/>
  <c r="AH105" i="13"/>
  <c r="AI105" i="13"/>
  <c r="AJ105" i="13"/>
  <c r="AK105" i="13"/>
  <c r="AD106" i="13"/>
  <c r="AE106" i="13"/>
  <c r="AF106" i="13"/>
  <c r="AG106" i="13"/>
  <c r="AH106" i="13"/>
  <c r="AI106" i="13"/>
  <c r="AJ106" i="13"/>
  <c r="AK106" i="13"/>
  <c r="AD107" i="13"/>
  <c r="AE107" i="13"/>
  <c r="AF107" i="13"/>
  <c r="AG107" i="13"/>
  <c r="AH107" i="13"/>
  <c r="AI107" i="13"/>
  <c r="AJ107" i="13"/>
  <c r="AK107" i="13"/>
  <c r="AD108" i="13"/>
  <c r="AE108" i="13"/>
  <c r="AF108" i="13"/>
  <c r="AG108" i="13"/>
  <c r="AH108" i="13"/>
  <c r="AI108" i="13"/>
  <c r="AJ108" i="13"/>
  <c r="AK108" i="13"/>
  <c r="AD109" i="13"/>
  <c r="AE109" i="13"/>
  <c r="AF109" i="13"/>
  <c r="AG109" i="13"/>
  <c r="AH109" i="13"/>
  <c r="AI109" i="13"/>
  <c r="AJ109" i="13"/>
  <c r="AK109" i="13"/>
  <c r="AD110" i="13"/>
  <c r="AE110" i="13"/>
  <c r="AF110" i="13"/>
  <c r="AG110" i="13"/>
  <c r="AH110" i="13"/>
  <c r="AI110" i="13"/>
  <c r="AJ110" i="13"/>
  <c r="AK110" i="13"/>
  <c r="AD111" i="13"/>
  <c r="AE111" i="13"/>
  <c r="AF111" i="13"/>
  <c r="AG111" i="13"/>
  <c r="AH111" i="13"/>
  <c r="AI111" i="13"/>
  <c r="AJ111" i="13"/>
  <c r="AK111" i="13"/>
  <c r="AD112" i="13"/>
  <c r="AE112" i="13"/>
  <c r="AF112" i="13"/>
  <c r="AG112" i="13"/>
  <c r="AH112" i="13"/>
  <c r="AI112" i="13"/>
  <c r="AJ112" i="13"/>
  <c r="AK112" i="13"/>
  <c r="AD113" i="13"/>
  <c r="AE113" i="13"/>
  <c r="AF113" i="13"/>
  <c r="AG113" i="13"/>
  <c r="AH113" i="13"/>
  <c r="AI113" i="13"/>
  <c r="AJ113" i="13"/>
  <c r="AK113" i="13"/>
  <c r="AD114" i="13"/>
  <c r="AE114" i="13"/>
  <c r="AF114" i="13"/>
  <c r="AG114" i="13"/>
  <c r="AH114" i="13"/>
  <c r="AI114" i="13"/>
  <c r="AJ114" i="13"/>
  <c r="AK114" i="13"/>
  <c r="AD115" i="13"/>
  <c r="AE115" i="13"/>
  <c r="AF115" i="13"/>
  <c r="AG115" i="13"/>
  <c r="AH115" i="13"/>
  <c r="AI115" i="13"/>
  <c r="AJ115" i="13"/>
  <c r="AK115" i="13"/>
  <c r="AD116" i="13"/>
  <c r="AE116" i="13"/>
  <c r="AF116" i="13"/>
  <c r="AG116" i="13"/>
  <c r="AH116" i="13"/>
  <c r="AI116" i="13"/>
  <c r="AJ116" i="13"/>
  <c r="AK116" i="13"/>
  <c r="AD117" i="13"/>
  <c r="AE117" i="13"/>
  <c r="AF117" i="13"/>
  <c r="AG117" i="13"/>
  <c r="AH117" i="13"/>
  <c r="AI117" i="13"/>
  <c r="AJ117" i="13"/>
  <c r="AK117" i="13"/>
  <c r="AD118" i="13"/>
  <c r="AE118" i="13"/>
  <c r="AF118" i="13"/>
  <c r="AG118" i="13"/>
  <c r="AH118" i="13"/>
  <c r="AI118" i="13"/>
  <c r="AJ118" i="13"/>
  <c r="AK118" i="13"/>
  <c r="AD119" i="13"/>
  <c r="AE119" i="13"/>
  <c r="AF119" i="13"/>
  <c r="AG119" i="13"/>
  <c r="AH119" i="13"/>
  <c r="AI119" i="13"/>
  <c r="AJ119" i="13"/>
  <c r="AK119" i="13"/>
  <c r="AD120" i="13"/>
  <c r="AE120" i="13"/>
  <c r="AF120" i="13"/>
  <c r="AG120" i="13"/>
  <c r="AH120" i="13"/>
  <c r="AI120" i="13"/>
  <c r="AJ120" i="13"/>
  <c r="AK120" i="13"/>
  <c r="AD121" i="13"/>
  <c r="AE121" i="13"/>
  <c r="AF121" i="13"/>
  <c r="AG121" i="13"/>
  <c r="AH121" i="13"/>
  <c r="AI121" i="13"/>
  <c r="AJ121" i="13"/>
  <c r="AK121" i="13"/>
  <c r="AD122" i="13"/>
  <c r="AE122" i="13"/>
  <c r="AF122" i="13"/>
  <c r="AG122" i="13"/>
  <c r="AH122" i="13"/>
  <c r="AI122" i="13"/>
  <c r="AJ122" i="13"/>
  <c r="AK122" i="13"/>
  <c r="AD123" i="13"/>
  <c r="AE123" i="13"/>
  <c r="AF123" i="13"/>
  <c r="AG123" i="13"/>
  <c r="AH123" i="13"/>
  <c r="AI123" i="13"/>
  <c r="AJ123" i="13"/>
  <c r="AK123" i="13"/>
  <c r="AD124" i="13"/>
  <c r="AE124" i="13"/>
  <c r="AF124" i="13"/>
  <c r="AG124" i="13"/>
  <c r="AH124" i="13"/>
  <c r="AI124" i="13"/>
  <c r="AJ124" i="13"/>
  <c r="AK124" i="13"/>
  <c r="AD125" i="13"/>
  <c r="AE125" i="13"/>
  <c r="AF125" i="13"/>
  <c r="AG125" i="13"/>
  <c r="AH125" i="13"/>
  <c r="AI125" i="13"/>
  <c r="AJ125" i="13"/>
  <c r="AK125" i="13"/>
  <c r="L26" i="13"/>
  <c r="M26" i="13"/>
  <c r="N26" i="13"/>
  <c r="O26" i="13"/>
  <c r="P26" i="13"/>
  <c r="Q26" i="13"/>
  <c r="R26" i="13"/>
  <c r="S26" i="13"/>
  <c r="L27" i="13"/>
  <c r="M27" i="13"/>
  <c r="N27" i="13"/>
  <c r="O27" i="13"/>
  <c r="P27" i="13"/>
  <c r="Q27" i="13"/>
  <c r="R27" i="13"/>
  <c r="S27" i="13"/>
  <c r="L28" i="13"/>
  <c r="M28" i="13"/>
  <c r="N28" i="13"/>
  <c r="O28" i="13"/>
  <c r="P28" i="13"/>
  <c r="Q28" i="13"/>
  <c r="R28" i="13"/>
  <c r="S28" i="13"/>
  <c r="L29" i="13"/>
  <c r="M29" i="13"/>
  <c r="N29" i="13"/>
  <c r="O29" i="13"/>
  <c r="P29" i="13"/>
  <c r="Q29" i="13"/>
  <c r="R29" i="13"/>
  <c r="S29" i="13"/>
  <c r="L30" i="13"/>
  <c r="M30" i="13"/>
  <c r="N30" i="13"/>
  <c r="O30" i="13"/>
  <c r="P30" i="13"/>
  <c r="Q30" i="13"/>
  <c r="R30" i="13"/>
  <c r="S30" i="13"/>
  <c r="L31" i="13"/>
  <c r="M31" i="13"/>
  <c r="N31" i="13"/>
  <c r="O31" i="13"/>
  <c r="P31" i="13"/>
  <c r="Q31" i="13"/>
  <c r="R31" i="13"/>
  <c r="S31" i="13"/>
  <c r="L32" i="13"/>
  <c r="M32" i="13"/>
  <c r="N32" i="13"/>
  <c r="O32" i="13"/>
  <c r="P32" i="13"/>
  <c r="Q32" i="13"/>
  <c r="R32" i="13"/>
  <c r="S32" i="13"/>
  <c r="L33" i="13"/>
  <c r="M33" i="13"/>
  <c r="N33" i="13"/>
  <c r="O33" i="13"/>
  <c r="P33" i="13"/>
  <c r="Q33" i="13"/>
  <c r="R33" i="13"/>
  <c r="S33" i="13"/>
  <c r="L34" i="13"/>
  <c r="M34" i="13"/>
  <c r="N34" i="13"/>
  <c r="O34" i="13"/>
  <c r="P34" i="13"/>
  <c r="Q34" i="13"/>
  <c r="R34" i="13"/>
  <c r="S34" i="13"/>
  <c r="L35" i="13"/>
  <c r="M35" i="13"/>
  <c r="N35" i="13"/>
  <c r="O35" i="13"/>
  <c r="P35" i="13"/>
  <c r="Q35" i="13"/>
  <c r="R35" i="13"/>
  <c r="S35" i="13"/>
  <c r="L36" i="13"/>
  <c r="M36" i="13"/>
  <c r="N36" i="13"/>
  <c r="O36" i="13"/>
  <c r="P36" i="13"/>
  <c r="Q36" i="13"/>
  <c r="R36" i="13"/>
  <c r="S36" i="13"/>
  <c r="L37" i="13"/>
  <c r="M37" i="13"/>
  <c r="N37" i="13"/>
  <c r="O37" i="13"/>
  <c r="P37" i="13"/>
  <c r="Q37" i="13"/>
  <c r="R37" i="13"/>
  <c r="S37" i="13"/>
  <c r="L38" i="13"/>
  <c r="M38" i="13"/>
  <c r="N38" i="13"/>
  <c r="O38" i="13"/>
  <c r="P38" i="13"/>
  <c r="Q38" i="13"/>
  <c r="R38" i="13"/>
  <c r="S38" i="13"/>
  <c r="L39" i="13"/>
  <c r="M39" i="13"/>
  <c r="N39" i="13"/>
  <c r="O39" i="13"/>
  <c r="P39" i="13"/>
  <c r="Q39" i="13"/>
  <c r="R39" i="13"/>
  <c r="S39" i="13"/>
  <c r="L40" i="13"/>
  <c r="M40" i="13"/>
  <c r="N40" i="13"/>
  <c r="O40" i="13"/>
  <c r="P40" i="13"/>
  <c r="Q40" i="13"/>
  <c r="R40" i="13"/>
  <c r="S40" i="13"/>
  <c r="L41" i="13"/>
  <c r="M41" i="13"/>
  <c r="N41" i="13"/>
  <c r="O41" i="13"/>
  <c r="P41" i="13"/>
  <c r="Q41" i="13"/>
  <c r="R41" i="13"/>
  <c r="S41" i="13"/>
  <c r="L42" i="13"/>
  <c r="M42" i="13"/>
  <c r="N42" i="13"/>
  <c r="O42" i="13"/>
  <c r="P42" i="13"/>
  <c r="Q42" i="13"/>
  <c r="R42" i="13"/>
  <c r="S42" i="13"/>
  <c r="L43" i="13"/>
  <c r="M43" i="13"/>
  <c r="N43" i="13"/>
  <c r="O43" i="13"/>
  <c r="P43" i="13"/>
  <c r="Q43" i="13"/>
  <c r="R43" i="13"/>
  <c r="S43" i="13"/>
  <c r="L44" i="13"/>
  <c r="M44" i="13"/>
  <c r="N44" i="13"/>
  <c r="O44" i="13"/>
  <c r="P44" i="13"/>
  <c r="Q44" i="13"/>
  <c r="R44" i="13"/>
  <c r="S44" i="13"/>
  <c r="L45" i="13"/>
  <c r="M45" i="13"/>
  <c r="N45" i="13"/>
  <c r="O45" i="13"/>
  <c r="P45" i="13"/>
  <c r="Q45" i="13"/>
  <c r="R45" i="13"/>
  <c r="S45" i="13"/>
  <c r="L46" i="13"/>
  <c r="M46" i="13"/>
  <c r="N46" i="13"/>
  <c r="O46" i="13"/>
  <c r="P46" i="13"/>
  <c r="Q46" i="13"/>
  <c r="R46" i="13"/>
  <c r="S46" i="13"/>
  <c r="L47" i="13"/>
  <c r="M47" i="13"/>
  <c r="N47" i="13"/>
  <c r="O47" i="13"/>
  <c r="P47" i="13"/>
  <c r="Q47" i="13"/>
  <c r="R47" i="13"/>
  <c r="S47" i="13"/>
  <c r="L48" i="13"/>
  <c r="M48" i="13"/>
  <c r="N48" i="13"/>
  <c r="O48" i="13"/>
  <c r="P48" i="13"/>
  <c r="Q48" i="13"/>
  <c r="R48" i="13"/>
  <c r="S48" i="13"/>
  <c r="L49" i="13"/>
  <c r="M49" i="13"/>
  <c r="N49" i="13"/>
  <c r="O49" i="13"/>
  <c r="P49" i="13"/>
  <c r="Q49" i="13"/>
  <c r="R49" i="13"/>
  <c r="S49" i="13"/>
  <c r="L50" i="13"/>
  <c r="M50" i="13"/>
  <c r="N50" i="13"/>
  <c r="O50" i="13"/>
  <c r="P50" i="13"/>
  <c r="Q50" i="13"/>
  <c r="R50" i="13"/>
  <c r="S50" i="13"/>
  <c r="L51" i="13"/>
  <c r="M51" i="13"/>
  <c r="N51" i="13"/>
  <c r="O51" i="13"/>
  <c r="P51" i="13"/>
  <c r="Q51" i="13"/>
  <c r="R51" i="13"/>
  <c r="S51" i="13"/>
  <c r="L52" i="13"/>
  <c r="M52" i="13"/>
  <c r="N52" i="13"/>
  <c r="O52" i="13"/>
  <c r="P52" i="13"/>
  <c r="Q52" i="13"/>
  <c r="R52" i="13"/>
  <c r="S52" i="13"/>
  <c r="L53" i="13"/>
  <c r="M53" i="13"/>
  <c r="N53" i="13"/>
  <c r="O53" i="13"/>
  <c r="P53" i="13"/>
  <c r="Q53" i="13"/>
  <c r="R53" i="13"/>
  <c r="S53" i="13"/>
  <c r="L54" i="13"/>
  <c r="M54" i="13"/>
  <c r="N54" i="13"/>
  <c r="O54" i="13"/>
  <c r="P54" i="13"/>
  <c r="Q54" i="13"/>
  <c r="R54" i="13"/>
  <c r="S54" i="13"/>
  <c r="L55" i="13"/>
  <c r="M55" i="13"/>
  <c r="N55" i="13"/>
  <c r="O55" i="13"/>
  <c r="P55" i="13"/>
  <c r="Q55" i="13"/>
  <c r="R55" i="13"/>
  <c r="S55" i="13"/>
  <c r="L56" i="13"/>
  <c r="M56" i="13"/>
  <c r="N56" i="13"/>
  <c r="O56" i="13"/>
  <c r="P56" i="13"/>
  <c r="Q56" i="13"/>
  <c r="R56" i="13"/>
  <c r="S56" i="13"/>
  <c r="L57" i="13"/>
  <c r="M57" i="13"/>
  <c r="N57" i="13"/>
  <c r="O57" i="13"/>
  <c r="P57" i="13"/>
  <c r="Q57" i="13"/>
  <c r="R57" i="13"/>
  <c r="S57" i="13"/>
  <c r="L58" i="13"/>
  <c r="M58" i="13"/>
  <c r="N58" i="13"/>
  <c r="O58" i="13"/>
  <c r="P58" i="13"/>
  <c r="Q58" i="13"/>
  <c r="R58" i="13"/>
  <c r="S58" i="13"/>
  <c r="L59" i="13"/>
  <c r="M59" i="13"/>
  <c r="N59" i="13"/>
  <c r="O59" i="13"/>
  <c r="P59" i="13"/>
  <c r="Q59" i="13"/>
  <c r="R59" i="13"/>
  <c r="S59" i="13"/>
  <c r="L60" i="13"/>
  <c r="M60" i="13"/>
  <c r="N60" i="13"/>
  <c r="O60" i="13"/>
  <c r="P60" i="13"/>
  <c r="Q60" i="13"/>
  <c r="R60" i="13"/>
  <c r="S60" i="13"/>
  <c r="L61" i="13"/>
  <c r="M61" i="13"/>
  <c r="N61" i="13"/>
  <c r="O61" i="13"/>
  <c r="P61" i="13"/>
  <c r="Q61" i="13"/>
  <c r="R61" i="13"/>
  <c r="S61" i="13"/>
  <c r="L62" i="13"/>
  <c r="M62" i="13"/>
  <c r="N62" i="13"/>
  <c r="O62" i="13"/>
  <c r="P62" i="13"/>
  <c r="Q62" i="13"/>
  <c r="R62" i="13"/>
  <c r="S62" i="13"/>
  <c r="L63" i="13"/>
  <c r="M63" i="13"/>
  <c r="N63" i="13"/>
  <c r="O63" i="13"/>
  <c r="P63" i="13"/>
  <c r="Q63" i="13"/>
  <c r="R63" i="13"/>
  <c r="S63" i="13"/>
  <c r="L64" i="13"/>
  <c r="M64" i="13"/>
  <c r="N64" i="13"/>
  <c r="O64" i="13"/>
  <c r="P64" i="13"/>
  <c r="Q64" i="13"/>
  <c r="R64" i="13"/>
  <c r="S64" i="13"/>
  <c r="L65" i="13"/>
  <c r="M65" i="13"/>
  <c r="N65" i="13"/>
  <c r="O65" i="13"/>
  <c r="P65" i="13"/>
  <c r="Q65" i="13"/>
  <c r="R65" i="13"/>
  <c r="S65" i="13"/>
  <c r="L66" i="13"/>
  <c r="M66" i="13"/>
  <c r="N66" i="13"/>
  <c r="O66" i="13"/>
  <c r="P66" i="13"/>
  <c r="Q66" i="13"/>
  <c r="R66" i="13"/>
  <c r="S66" i="13"/>
  <c r="L67" i="13"/>
  <c r="M67" i="13"/>
  <c r="N67" i="13"/>
  <c r="O67" i="13"/>
  <c r="P67" i="13"/>
  <c r="Q67" i="13"/>
  <c r="R67" i="13"/>
  <c r="S67" i="13"/>
  <c r="L68" i="13"/>
  <c r="M68" i="13"/>
  <c r="N68" i="13"/>
  <c r="O68" i="13"/>
  <c r="P68" i="13"/>
  <c r="Q68" i="13"/>
  <c r="R68" i="13"/>
  <c r="S68" i="13"/>
  <c r="L69" i="13"/>
  <c r="M69" i="13"/>
  <c r="N69" i="13"/>
  <c r="O69" i="13"/>
  <c r="P69" i="13"/>
  <c r="Q69" i="13"/>
  <c r="R69" i="13"/>
  <c r="S69" i="13"/>
  <c r="L70" i="13"/>
  <c r="M70" i="13"/>
  <c r="N70" i="13"/>
  <c r="O70" i="13"/>
  <c r="P70" i="13"/>
  <c r="Q70" i="13"/>
  <c r="R70" i="13"/>
  <c r="S70" i="13"/>
  <c r="L71" i="13"/>
  <c r="M71" i="13"/>
  <c r="N71" i="13"/>
  <c r="O71" i="13"/>
  <c r="P71" i="13"/>
  <c r="Q71" i="13"/>
  <c r="R71" i="13"/>
  <c r="S71" i="13"/>
  <c r="L72" i="13"/>
  <c r="M72" i="13"/>
  <c r="N72" i="13"/>
  <c r="O72" i="13"/>
  <c r="P72" i="13"/>
  <c r="Q72" i="13"/>
  <c r="R72" i="13"/>
  <c r="S72" i="13"/>
  <c r="L73" i="13"/>
  <c r="M73" i="13"/>
  <c r="N73" i="13"/>
  <c r="O73" i="13"/>
  <c r="P73" i="13"/>
  <c r="Q73" i="13"/>
  <c r="R73" i="13"/>
  <c r="S73" i="13"/>
  <c r="L74" i="13"/>
  <c r="M74" i="13"/>
  <c r="N74" i="13"/>
  <c r="O74" i="13"/>
  <c r="P74" i="13"/>
  <c r="Q74" i="13"/>
  <c r="R74" i="13"/>
  <c r="S74" i="13"/>
  <c r="L75" i="13"/>
  <c r="M75" i="13"/>
  <c r="N75" i="13"/>
  <c r="O75" i="13"/>
  <c r="P75" i="13"/>
  <c r="Q75" i="13"/>
  <c r="R75" i="13"/>
  <c r="S75" i="13"/>
  <c r="L76" i="13"/>
  <c r="M76" i="13"/>
  <c r="N76" i="13"/>
  <c r="O76" i="13"/>
  <c r="P76" i="13"/>
  <c r="Q76" i="13"/>
  <c r="R76" i="13"/>
  <c r="S76" i="13"/>
  <c r="L77" i="13"/>
  <c r="M77" i="13"/>
  <c r="N77" i="13"/>
  <c r="O77" i="13"/>
  <c r="P77" i="13"/>
  <c r="Q77" i="13"/>
  <c r="R77" i="13"/>
  <c r="S77" i="13"/>
  <c r="L78" i="13"/>
  <c r="M78" i="13"/>
  <c r="N78" i="13"/>
  <c r="O78" i="13"/>
  <c r="P78" i="13"/>
  <c r="Q78" i="13"/>
  <c r="R78" i="13"/>
  <c r="S78" i="13"/>
  <c r="L79" i="13"/>
  <c r="M79" i="13"/>
  <c r="N79" i="13"/>
  <c r="O79" i="13"/>
  <c r="P79" i="13"/>
  <c r="Q79" i="13"/>
  <c r="R79" i="13"/>
  <c r="S79" i="13"/>
  <c r="L80" i="13"/>
  <c r="M80" i="13"/>
  <c r="N80" i="13"/>
  <c r="O80" i="13"/>
  <c r="P80" i="13"/>
  <c r="Q80" i="13"/>
  <c r="R80" i="13"/>
  <c r="S80" i="13"/>
  <c r="L81" i="13"/>
  <c r="M81" i="13"/>
  <c r="N81" i="13"/>
  <c r="O81" i="13"/>
  <c r="P81" i="13"/>
  <c r="Q81" i="13"/>
  <c r="R81" i="13"/>
  <c r="S81" i="13"/>
  <c r="L82" i="13"/>
  <c r="M82" i="13"/>
  <c r="N82" i="13"/>
  <c r="O82" i="13"/>
  <c r="P82" i="13"/>
  <c r="Q82" i="13"/>
  <c r="R82" i="13"/>
  <c r="S82" i="13"/>
  <c r="L83" i="13"/>
  <c r="M83" i="13"/>
  <c r="N83" i="13"/>
  <c r="O83" i="13"/>
  <c r="P83" i="13"/>
  <c r="Q83" i="13"/>
  <c r="R83" i="13"/>
  <c r="S83" i="13"/>
  <c r="L84" i="13"/>
  <c r="M84" i="13"/>
  <c r="N84" i="13"/>
  <c r="O84" i="13"/>
  <c r="P84" i="13"/>
  <c r="Q84" i="13"/>
  <c r="R84" i="13"/>
  <c r="S84" i="13"/>
  <c r="L85" i="13"/>
  <c r="M85" i="13"/>
  <c r="N85" i="13"/>
  <c r="O85" i="13"/>
  <c r="P85" i="13"/>
  <c r="Q85" i="13"/>
  <c r="R85" i="13"/>
  <c r="S85" i="13"/>
  <c r="L86" i="13"/>
  <c r="M86" i="13"/>
  <c r="N86" i="13"/>
  <c r="O86" i="13"/>
  <c r="P86" i="13"/>
  <c r="Q86" i="13"/>
  <c r="R86" i="13"/>
  <c r="S86" i="13"/>
  <c r="L87" i="13"/>
  <c r="M87" i="13"/>
  <c r="N87" i="13"/>
  <c r="O87" i="13"/>
  <c r="P87" i="13"/>
  <c r="Q87" i="13"/>
  <c r="R87" i="13"/>
  <c r="S87" i="13"/>
  <c r="L88" i="13"/>
  <c r="M88" i="13"/>
  <c r="N88" i="13"/>
  <c r="O88" i="13"/>
  <c r="P88" i="13"/>
  <c r="Q88" i="13"/>
  <c r="R88" i="13"/>
  <c r="S88" i="13"/>
  <c r="L89" i="13"/>
  <c r="M89" i="13"/>
  <c r="N89" i="13"/>
  <c r="O89" i="13"/>
  <c r="P89" i="13"/>
  <c r="Q89" i="13"/>
  <c r="R89" i="13"/>
  <c r="S89" i="13"/>
  <c r="L90" i="13"/>
  <c r="M90" i="13"/>
  <c r="N90" i="13"/>
  <c r="O90" i="13"/>
  <c r="P90" i="13"/>
  <c r="Q90" i="13"/>
  <c r="R90" i="13"/>
  <c r="S90" i="13"/>
  <c r="L91" i="13"/>
  <c r="M91" i="13"/>
  <c r="N91" i="13"/>
  <c r="O91" i="13"/>
  <c r="P91" i="13"/>
  <c r="Q91" i="13"/>
  <c r="R91" i="13"/>
  <c r="S91" i="13"/>
  <c r="L92" i="13"/>
  <c r="M92" i="13"/>
  <c r="N92" i="13"/>
  <c r="O92" i="13"/>
  <c r="P92" i="13"/>
  <c r="Q92" i="13"/>
  <c r="R92" i="13"/>
  <c r="S92" i="13"/>
  <c r="L93" i="13"/>
  <c r="M93" i="13"/>
  <c r="N93" i="13"/>
  <c r="O93" i="13"/>
  <c r="P93" i="13"/>
  <c r="Q93" i="13"/>
  <c r="R93" i="13"/>
  <c r="S93" i="13"/>
  <c r="L94" i="13"/>
  <c r="M94" i="13"/>
  <c r="N94" i="13"/>
  <c r="O94" i="13"/>
  <c r="P94" i="13"/>
  <c r="Q94" i="13"/>
  <c r="R94" i="13"/>
  <c r="S94" i="13"/>
  <c r="L95" i="13"/>
  <c r="M95" i="13"/>
  <c r="N95" i="13"/>
  <c r="O95" i="13"/>
  <c r="P95" i="13"/>
  <c r="Q95" i="13"/>
  <c r="R95" i="13"/>
  <c r="S95" i="13"/>
  <c r="L96" i="13"/>
  <c r="M96" i="13"/>
  <c r="N96" i="13"/>
  <c r="O96" i="13"/>
  <c r="P96" i="13"/>
  <c r="Q96" i="13"/>
  <c r="R96" i="13"/>
  <c r="S96" i="13"/>
  <c r="L97" i="13"/>
  <c r="M97" i="13"/>
  <c r="N97" i="13"/>
  <c r="O97" i="13"/>
  <c r="P97" i="13"/>
  <c r="Q97" i="13"/>
  <c r="R97" i="13"/>
  <c r="S97" i="13"/>
  <c r="L98" i="13"/>
  <c r="M98" i="13"/>
  <c r="N98" i="13"/>
  <c r="O98" i="13"/>
  <c r="P98" i="13"/>
  <c r="Q98" i="13"/>
  <c r="R98" i="13"/>
  <c r="S98" i="13"/>
  <c r="L99" i="13"/>
  <c r="M99" i="13"/>
  <c r="N99" i="13"/>
  <c r="O99" i="13"/>
  <c r="P99" i="13"/>
  <c r="Q99" i="13"/>
  <c r="R99" i="13"/>
  <c r="S99" i="13"/>
  <c r="L100" i="13"/>
  <c r="M100" i="13"/>
  <c r="N100" i="13"/>
  <c r="O100" i="13"/>
  <c r="P100" i="13"/>
  <c r="Q100" i="13"/>
  <c r="R100" i="13"/>
  <c r="S100" i="13"/>
  <c r="L101" i="13"/>
  <c r="M101" i="13"/>
  <c r="N101" i="13"/>
  <c r="O101" i="13"/>
  <c r="P101" i="13"/>
  <c r="Q101" i="13"/>
  <c r="R101" i="13"/>
  <c r="S101" i="13"/>
  <c r="L102" i="13"/>
  <c r="M102" i="13"/>
  <c r="N102" i="13"/>
  <c r="O102" i="13"/>
  <c r="P102" i="13"/>
  <c r="Q102" i="13"/>
  <c r="R102" i="13"/>
  <c r="S102" i="13"/>
  <c r="L103" i="13"/>
  <c r="M103" i="13"/>
  <c r="N103" i="13"/>
  <c r="O103" i="13"/>
  <c r="P103" i="13"/>
  <c r="Q103" i="13"/>
  <c r="R103" i="13"/>
  <c r="S103" i="13"/>
  <c r="L104" i="13"/>
  <c r="M104" i="13"/>
  <c r="N104" i="13"/>
  <c r="O104" i="13"/>
  <c r="P104" i="13"/>
  <c r="Q104" i="13"/>
  <c r="R104" i="13"/>
  <c r="S104" i="13"/>
  <c r="L105" i="13"/>
  <c r="M105" i="13"/>
  <c r="N105" i="13"/>
  <c r="O105" i="13"/>
  <c r="P105" i="13"/>
  <c r="Q105" i="13"/>
  <c r="R105" i="13"/>
  <c r="S105" i="13"/>
  <c r="L106" i="13"/>
  <c r="M106" i="13"/>
  <c r="N106" i="13"/>
  <c r="O106" i="13"/>
  <c r="P106" i="13"/>
  <c r="Q106" i="13"/>
  <c r="R106" i="13"/>
  <c r="S106" i="13"/>
  <c r="L107" i="13"/>
  <c r="M107" i="13"/>
  <c r="N107" i="13"/>
  <c r="O107" i="13"/>
  <c r="P107" i="13"/>
  <c r="Q107" i="13"/>
  <c r="R107" i="13"/>
  <c r="S107" i="13"/>
  <c r="L108" i="13"/>
  <c r="M108" i="13"/>
  <c r="N108" i="13"/>
  <c r="O108" i="13"/>
  <c r="P108" i="13"/>
  <c r="Q108" i="13"/>
  <c r="R108" i="13"/>
  <c r="S108" i="13"/>
  <c r="L109" i="13"/>
  <c r="M109" i="13"/>
  <c r="N109" i="13"/>
  <c r="O109" i="13"/>
  <c r="P109" i="13"/>
  <c r="Q109" i="13"/>
  <c r="R109" i="13"/>
  <c r="S109" i="13"/>
  <c r="L110" i="13"/>
  <c r="M110" i="13"/>
  <c r="N110" i="13"/>
  <c r="O110" i="13"/>
  <c r="P110" i="13"/>
  <c r="Q110" i="13"/>
  <c r="R110" i="13"/>
  <c r="S110" i="13"/>
  <c r="L111" i="13"/>
  <c r="M111" i="13"/>
  <c r="N111" i="13"/>
  <c r="O111" i="13"/>
  <c r="P111" i="13"/>
  <c r="Q111" i="13"/>
  <c r="R111" i="13"/>
  <c r="S111" i="13"/>
  <c r="L112" i="13"/>
  <c r="M112" i="13"/>
  <c r="N112" i="13"/>
  <c r="O112" i="13"/>
  <c r="P112" i="13"/>
  <c r="Q112" i="13"/>
  <c r="R112" i="13"/>
  <c r="S112" i="13"/>
  <c r="L113" i="13"/>
  <c r="M113" i="13"/>
  <c r="N113" i="13"/>
  <c r="O113" i="13"/>
  <c r="P113" i="13"/>
  <c r="Q113" i="13"/>
  <c r="R113" i="13"/>
  <c r="S113" i="13"/>
  <c r="L114" i="13"/>
  <c r="M114" i="13"/>
  <c r="N114" i="13"/>
  <c r="O114" i="13"/>
  <c r="P114" i="13"/>
  <c r="Q114" i="13"/>
  <c r="R114" i="13"/>
  <c r="S114" i="13"/>
  <c r="L115" i="13"/>
  <c r="M115" i="13"/>
  <c r="N115" i="13"/>
  <c r="O115" i="13"/>
  <c r="P115" i="13"/>
  <c r="Q115" i="13"/>
  <c r="R115" i="13"/>
  <c r="S115" i="13"/>
  <c r="L116" i="13"/>
  <c r="M116" i="13"/>
  <c r="N116" i="13"/>
  <c r="O116" i="13"/>
  <c r="P116" i="13"/>
  <c r="Q116" i="13"/>
  <c r="R116" i="13"/>
  <c r="S116" i="13"/>
  <c r="L117" i="13"/>
  <c r="M117" i="13"/>
  <c r="N117" i="13"/>
  <c r="O117" i="13"/>
  <c r="P117" i="13"/>
  <c r="Q117" i="13"/>
  <c r="R117" i="13"/>
  <c r="S117" i="13"/>
  <c r="L118" i="13"/>
  <c r="M118" i="13"/>
  <c r="N118" i="13"/>
  <c r="O118" i="13"/>
  <c r="P118" i="13"/>
  <c r="Q118" i="13"/>
  <c r="R118" i="13"/>
  <c r="S118" i="13"/>
  <c r="L119" i="13"/>
  <c r="M119" i="13"/>
  <c r="N119" i="13"/>
  <c r="O119" i="13"/>
  <c r="P119" i="13"/>
  <c r="Q119" i="13"/>
  <c r="R119" i="13"/>
  <c r="S119" i="13"/>
  <c r="L120" i="13"/>
  <c r="M120" i="13"/>
  <c r="N120" i="13"/>
  <c r="O120" i="13"/>
  <c r="P120" i="13"/>
  <c r="Q120" i="13"/>
  <c r="R120" i="13"/>
  <c r="S120" i="13"/>
  <c r="L121" i="13"/>
  <c r="M121" i="13"/>
  <c r="N121" i="13"/>
  <c r="O121" i="13"/>
  <c r="P121" i="13"/>
  <c r="Q121" i="13"/>
  <c r="R121" i="13"/>
  <c r="S121" i="13"/>
  <c r="L122" i="13"/>
  <c r="M122" i="13"/>
  <c r="N122" i="13"/>
  <c r="O122" i="13"/>
  <c r="P122" i="13"/>
  <c r="Q122" i="13"/>
  <c r="R122" i="13"/>
  <c r="S122" i="13"/>
  <c r="L123" i="13"/>
  <c r="M123" i="13"/>
  <c r="N123" i="13"/>
  <c r="O123" i="13"/>
  <c r="P123" i="13"/>
  <c r="Q123" i="13"/>
  <c r="R123" i="13"/>
  <c r="S123" i="13"/>
  <c r="L124" i="13"/>
  <c r="M124" i="13"/>
  <c r="N124" i="13"/>
  <c r="O124" i="13"/>
  <c r="P124" i="13"/>
  <c r="Q124" i="13"/>
  <c r="R124" i="13"/>
  <c r="S124" i="13"/>
  <c r="L125" i="13"/>
  <c r="M125" i="13"/>
  <c r="N125" i="13"/>
  <c r="O125" i="13"/>
  <c r="P125" i="13"/>
  <c r="Q125" i="13"/>
  <c r="R125" i="13"/>
  <c r="S125" i="13"/>
  <c r="M25" i="13"/>
  <c r="N25" i="13"/>
  <c r="O25" i="13"/>
  <c r="P25" i="13"/>
  <c r="Q25" i="13"/>
  <c r="R25" i="13"/>
  <c r="S25" i="13"/>
  <c r="L25" i="13"/>
  <c r="L20" i="13"/>
  <c r="AE25" i="13"/>
  <c r="AF25" i="13"/>
  <c r="AG25" i="13"/>
  <c r="AH25" i="13"/>
  <c r="AI25" i="13"/>
  <c r="AJ25" i="13"/>
  <c r="AK25" i="13"/>
  <c r="AD25" i="13"/>
  <c r="T28" i="12"/>
  <c r="N28" i="12"/>
  <c r="O28" i="12"/>
  <c r="P28" i="12"/>
  <c r="Q28" i="12"/>
  <c r="R28" i="12"/>
  <c r="S28" i="12"/>
  <c r="M28" i="12"/>
  <c r="E28" i="12"/>
  <c r="F28" i="12"/>
  <c r="G28" i="12"/>
  <c r="H28" i="12"/>
  <c r="I28" i="12"/>
  <c r="J28" i="12"/>
  <c r="K28" i="12"/>
  <c r="D28" i="12"/>
  <c r="V25" i="13"/>
  <c r="W25" i="13"/>
  <c r="X25" i="13"/>
  <c r="AP25" i="13" s="1"/>
  <c r="X26" i="13" s="1"/>
  <c r="Y25" i="13"/>
  <c r="Z25" i="13"/>
  <c r="AA25" i="13"/>
  <c r="AB25" i="13"/>
  <c r="U25" i="13"/>
  <c r="V24" i="13"/>
  <c r="AN24" i="13" s="1"/>
  <c r="W24" i="13"/>
  <c r="AO24" i="13" s="1"/>
  <c r="X24" i="13"/>
  <c r="AP24" i="13" s="1"/>
  <c r="Y24" i="13"/>
  <c r="AQ24" i="13" s="1"/>
  <c r="Z24" i="13"/>
  <c r="AA24" i="13"/>
  <c r="AS24" i="13" s="1"/>
  <c r="AB24" i="13"/>
  <c r="AT24" i="13" s="1"/>
  <c r="U24" i="13"/>
  <c r="AM24" i="13" s="1"/>
  <c r="B22" i="13"/>
  <c r="B21" i="13"/>
  <c r="B23" i="13"/>
  <c r="B30" i="11" s="1"/>
  <c r="D21" i="13"/>
  <c r="AE21" i="13" s="1"/>
  <c r="E21" i="13"/>
  <c r="AO21" i="13" s="1"/>
  <c r="F21" i="13"/>
  <c r="G21" i="13"/>
  <c r="H21" i="13"/>
  <c r="AI21" i="13" s="1"/>
  <c r="I21" i="13"/>
  <c r="AJ21" i="13" s="1"/>
  <c r="J21" i="13"/>
  <c r="AK21" i="13" s="1"/>
  <c r="C21" i="13"/>
  <c r="AD21" i="13" s="1"/>
  <c r="E5" i="12"/>
  <c r="D22" i="13" s="1"/>
  <c r="F5" i="12"/>
  <c r="E22" i="13" s="1"/>
  <c r="G5" i="12"/>
  <c r="F22" i="13" s="1"/>
  <c r="O22" i="13" s="1"/>
  <c r="H5" i="12"/>
  <c r="G22" i="13" s="1"/>
  <c r="I5" i="12"/>
  <c r="H22" i="13" s="1"/>
  <c r="AI22" i="13" s="1"/>
  <c r="J5" i="12"/>
  <c r="I22" i="13" s="1"/>
  <c r="K5" i="12"/>
  <c r="J22" i="13" s="1"/>
  <c r="AK22" i="13" s="1"/>
  <c r="E6" i="12"/>
  <c r="F6" i="12"/>
  <c r="G6" i="12"/>
  <c r="H6" i="12"/>
  <c r="I6" i="12"/>
  <c r="J6" i="12"/>
  <c r="K6" i="12"/>
  <c r="D6" i="12"/>
  <c r="D5" i="12"/>
  <c r="C22" i="13" s="1"/>
  <c r="D23" i="13"/>
  <c r="AE23" i="13" s="1"/>
  <c r="E23" i="13"/>
  <c r="W23" i="13" s="1"/>
  <c r="F23" i="13"/>
  <c r="O23" i="13" s="1"/>
  <c r="G23" i="13"/>
  <c r="AH23" i="13" s="1"/>
  <c r="H23" i="13"/>
  <c r="AI23" i="13" s="1"/>
  <c r="I23" i="13"/>
  <c r="AJ23" i="13" s="1"/>
  <c r="J23" i="13"/>
  <c r="AK23" i="13" s="1"/>
  <c r="C23" i="13"/>
  <c r="C30" i="11" s="1"/>
  <c r="D6" i="11"/>
  <c r="E6" i="11"/>
  <c r="F6" i="11"/>
  <c r="G6" i="11"/>
  <c r="H6" i="11"/>
  <c r="I6" i="11"/>
  <c r="J6" i="11"/>
  <c r="D7" i="11"/>
  <c r="E7" i="11"/>
  <c r="F7" i="11"/>
  <c r="G7" i="11"/>
  <c r="H7" i="11"/>
  <c r="I7" i="11"/>
  <c r="J7" i="11"/>
  <c r="C7" i="11"/>
  <c r="C6" i="11"/>
  <c r="B16" i="11"/>
  <c r="B17" i="11"/>
  <c r="B18" i="11"/>
  <c r="B19" i="11"/>
  <c r="B20" i="11"/>
  <c r="B21" i="11"/>
  <c r="K39" i="1"/>
  <c r="C37" i="27" s="1"/>
  <c r="J39" i="1"/>
  <c r="C37" i="26" s="1"/>
  <c r="I39" i="1"/>
  <c r="C37" i="25" s="1"/>
  <c r="H39" i="1"/>
  <c r="C37" i="24" s="1"/>
  <c r="C2"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71" i="3"/>
  <c r="R70" i="3"/>
  <c r="AA45" i="3"/>
  <c r="AB45" i="3"/>
  <c r="AC45" i="3"/>
  <c r="AA46" i="3"/>
  <c r="AB46" i="3"/>
  <c r="AC46" i="3"/>
  <c r="AA47" i="3"/>
  <c r="AB47" i="3"/>
  <c r="AC47" i="3"/>
  <c r="AA48" i="3"/>
  <c r="AB48" i="3"/>
  <c r="AC48" i="3"/>
  <c r="AA49" i="3"/>
  <c r="AB49" i="3"/>
  <c r="AC49" i="3"/>
  <c r="AA50" i="3"/>
  <c r="AB50" i="3"/>
  <c r="AC50" i="3"/>
  <c r="AA51" i="3"/>
  <c r="AB51" i="3"/>
  <c r="AC51" i="3"/>
  <c r="AA52" i="3"/>
  <c r="AB52" i="3"/>
  <c r="AC52" i="3"/>
  <c r="AA53" i="3"/>
  <c r="AB53" i="3"/>
  <c r="AC53" i="3"/>
  <c r="AA54" i="3"/>
  <c r="AB54" i="3"/>
  <c r="AC54" i="3"/>
  <c r="AA55" i="3"/>
  <c r="AB55" i="3"/>
  <c r="AC55" i="3"/>
  <c r="AA56" i="3"/>
  <c r="AB56" i="3"/>
  <c r="AC56" i="3"/>
  <c r="AA57" i="3"/>
  <c r="AB57" i="3"/>
  <c r="AC57" i="3"/>
  <c r="AA58" i="3"/>
  <c r="AB58" i="3"/>
  <c r="AC58" i="3"/>
  <c r="AA59" i="3"/>
  <c r="AB59" i="3"/>
  <c r="AC59" i="3"/>
  <c r="AA60" i="3"/>
  <c r="AB60" i="3"/>
  <c r="AC60" i="3"/>
  <c r="AA61" i="3"/>
  <c r="AB61" i="3"/>
  <c r="AC61" i="3"/>
  <c r="AA62" i="3"/>
  <c r="AB62" i="3"/>
  <c r="AC62" i="3"/>
  <c r="AA63" i="3"/>
  <c r="AB63" i="3"/>
  <c r="AC63" i="3"/>
  <c r="AA64" i="3"/>
  <c r="AB64" i="3"/>
  <c r="AC64" i="3"/>
  <c r="AA65" i="3"/>
  <c r="AB65" i="3"/>
  <c r="AC65" i="3"/>
  <c r="AA66" i="3"/>
  <c r="AB66" i="3"/>
  <c r="AC66" i="3"/>
  <c r="AA67" i="3"/>
  <c r="AB67" i="3"/>
  <c r="AC67" i="3"/>
  <c r="AA68" i="3"/>
  <c r="AB68" i="3"/>
  <c r="AC68" i="3"/>
  <c r="AA69" i="3"/>
  <c r="AB69" i="3"/>
  <c r="AC69" i="3"/>
  <c r="J4" i="27" l="1"/>
  <c r="I2" i="23"/>
  <c r="J7" i="21"/>
  <c r="B64" i="27"/>
  <c r="Z64" i="27" s="1"/>
  <c r="B65" i="27"/>
  <c r="Z65" i="27" s="1"/>
  <c r="B64" i="26"/>
  <c r="Z64" i="26" s="1"/>
  <c r="B65" i="26"/>
  <c r="Z65" i="26" s="1"/>
  <c r="B64" i="25"/>
  <c r="Z64" i="25" s="1"/>
  <c r="B65" i="25"/>
  <c r="Z65" i="25" s="1"/>
  <c r="B64" i="24"/>
  <c r="Z64" i="24" s="1"/>
  <c r="B65" i="24"/>
  <c r="Z65" i="24" s="1"/>
  <c r="B64" i="23"/>
  <c r="Z64" i="23" s="1"/>
  <c r="B65" i="23"/>
  <c r="Z65" i="23" s="1"/>
  <c r="B64" i="22"/>
  <c r="Z64" i="22" s="1"/>
  <c r="B65" i="22"/>
  <c r="Z65" i="22" s="1"/>
  <c r="I70" i="23"/>
  <c r="I71" i="24"/>
  <c r="C70" i="23"/>
  <c r="H71" i="26"/>
  <c r="I71" i="26"/>
  <c r="H9" i="24"/>
  <c r="J3" i="23"/>
  <c r="J4" i="23"/>
  <c r="J7" i="23"/>
  <c r="H8" i="22"/>
  <c r="J5" i="22"/>
  <c r="J8" i="22"/>
  <c r="J8" i="21"/>
  <c r="J3" i="21"/>
  <c r="E45" i="1" s="1"/>
  <c r="D15" i="11" s="1"/>
  <c r="B68" i="21"/>
  <c r="Z68" i="21" s="1"/>
  <c r="G71" i="3"/>
  <c r="L71" i="3" s="1"/>
  <c r="H70" i="27"/>
  <c r="Y70" i="27" s="1"/>
  <c r="B69" i="27"/>
  <c r="Z69" i="27" s="1"/>
  <c r="I70" i="27"/>
  <c r="C36" i="27"/>
  <c r="B66" i="27"/>
  <c r="Z66" i="27" s="1"/>
  <c r="B70" i="27"/>
  <c r="C70" i="27"/>
  <c r="B67" i="27"/>
  <c r="Z67" i="27" s="1"/>
  <c r="W70" i="27"/>
  <c r="H8" i="27"/>
  <c r="C71" i="26"/>
  <c r="Z71" i="26" s="1"/>
  <c r="B67" i="26"/>
  <c r="Z67" i="26" s="1"/>
  <c r="B68" i="26"/>
  <c r="Z68" i="26" s="1"/>
  <c r="B69" i="26"/>
  <c r="Z69" i="26" s="1"/>
  <c r="C36" i="26"/>
  <c r="B66" i="26"/>
  <c r="Z66" i="26" s="1"/>
  <c r="B67" i="25"/>
  <c r="Z67" i="25" s="1"/>
  <c r="B68" i="25"/>
  <c r="Z68" i="25" s="1"/>
  <c r="B69" i="25"/>
  <c r="Z69" i="25" s="1"/>
  <c r="C36" i="25"/>
  <c r="B66" i="25"/>
  <c r="Z66" i="25" s="1"/>
  <c r="C36" i="24"/>
  <c r="B66" i="24"/>
  <c r="Z66" i="24" s="1"/>
  <c r="B70" i="24"/>
  <c r="Z70" i="24" s="1"/>
  <c r="J4" i="24"/>
  <c r="B67" i="24"/>
  <c r="Z67" i="24" s="1"/>
  <c r="B68" i="24"/>
  <c r="Z68" i="24" s="1"/>
  <c r="B68" i="23"/>
  <c r="Z68" i="23" s="1"/>
  <c r="B69" i="23"/>
  <c r="Z69" i="23" s="1"/>
  <c r="C36" i="23"/>
  <c r="B66" i="23"/>
  <c r="Z66" i="23" s="1"/>
  <c r="B70" i="23"/>
  <c r="H71" i="22"/>
  <c r="Y71" i="22" s="1"/>
  <c r="G71" i="22"/>
  <c r="L71" i="22" s="1"/>
  <c r="AB71" i="22" s="1"/>
  <c r="H5" i="22"/>
  <c r="I71" i="22"/>
  <c r="B69" i="22"/>
  <c r="Z69" i="22" s="1"/>
  <c r="H7" i="22"/>
  <c r="C36" i="22"/>
  <c r="B66" i="22"/>
  <c r="Z66" i="22" s="1"/>
  <c r="B70" i="22"/>
  <c r="H6" i="22"/>
  <c r="H4" i="22"/>
  <c r="H9" i="22"/>
  <c r="B67" i="22"/>
  <c r="Z67" i="22" s="1"/>
  <c r="H3" i="21"/>
  <c r="H5" i="21"/>
  <c r="B67" i="21"/>
  <c r="Z67" i="21" s="1"/>
  <c r="E70" i="21"/>
  <c r="G70" i="21" s="1"/>
  <c r="W70" i="21" s="1"/>
  <c r="C71" i="21"/>
  <c r="Z71" i="21" s="1"/>
  <c r="I71" i="21"/>
  <c r="H4" i="21"/>
  <c r="B69" i="21"/>
  <c r="Z69" i="21" s="1"/>
  <c r="C36" i="21"/>
  <c r="B66" i="21"/>
  <c r="Z66" i="21" s="1"/>
  <c r="Z70" i="21"/>
  <c r="B66" i="3"/>
  <c r="E70" i="3"/>
  <c r="G70" i="3" s="1"/>
  <c r="B68" i="3"/>
  <c r="B67" i="3"/>
  <c r="I70" i="3"/>
  <c r="C36" i="3"/>
  <c r="B69" i="3"/>
  <c r="C71" i="27"/>
  <c r="Z71" i="27" s="1"/>
  <c r="D72" i="27"/>
  <c r="M76" i="27"/>
  <c r="F73" i="27"/>
  <c r="Q70" i="27"/>
  <c r="S70" i="27" s="1"/>
  <c r="AD70" i="27" s="1"/>
  <c r="L70" i="27"/>
  <c r="AB70" i="27" s="1"/>
  <c r="J70" i="27"/>
  <c r="U70" i="27"/>
  <c r="G71" i="27"/>
  <c r="H6" i="27"/>
  <c r="H9" i="27"/>
  <c r="H71" i="27"/>
  <c r="Y71" i="27" s="1"/>
  <c r="H7" i="27"/>
  <c r="K72" i="27"/>
  <c r="I71" i="27"/>
  <c r="M74" i="26"/>
  <c r="E72" i="26"/>
  <c r="F72" i="26"/>
  <c r="K72" i="26"/>
  <c r="C70" i="26"/>
  <c r="Z70" i="26" s="1"/>
  <c r="I70" i="26"/>
  <c r="G71" i="26"/>
  <c r="J71" i="26" s="1"/>
  <c r="AA71" i="26" s="1"/>
  <c r="E70" i="26"/>
  <c r="G70" i="26" s="1"/>
  <c r="J70" i="26" s="1"/>
  <c r="M73" i="25"/>
  <c r="E70" i="25"/>
  <c r="G70" i="25" s="1"/>
  <c r="J70" i="25" s="1"/>
  <c r="C70" i="25"/>
  <c r="Z70" i="25" s="1"/>
  <c r="K72" i="25"/>
  <c r="F71" i="25"/>
  <c r="I70" i="25"/>
  <c r="I71" i="25"/>
  <c r="M73" i="24"/>
  <c r="F73" i="24"/>
  <c r="G71" i="24"/>
  <c r="J71" i="24" s="1"/>
  <c r="AE71" i="24"/>
  <c r="H71" i="24"/>
  <c r="Y71" i="24" s="1"/>
  <c r="K72" i="24"/>
  <c r="G2" i="24"/>
  <c r="H7" i="24"/>
  <c r="E70" i="24"/>
  <c r="G70" i="24" s="1"/>
  <c r="Q70" i="24" s="1"/>
  <c r="I70" i="24"/>
  <c r="J5" i="27"/>
  <c r="J6" i="27"/>
  <c r="J9" i="27"/>
  <c r="J8" i="27"/>
  <c r="J7" i="27"/>
  <c r="J3" i="27"/>
  <c r="K45" i="1" s="1"/>
  <c r="H3" i="27"/>
  <c r="H4" i="27"/>
  <c r="H5" i="27"/>
  <c r="J6" i="26"/>
  <c r="Y71" i="26"/>
  <c r="J8" i="26"/>
  <c r="J7" i="26"/>
  <c r="H5" i="26"/>
  <c r="AE71" i="25"/>
  <c r="H4" i="25"/>
  <c r="J4" i="25"/>
  <c r="J5" i="25"/>
  <c r="J3" i="25"/>
  <c r="I45" i="1" s="1"/>
  <c r="H6" i="25"/>
  <c r="J8" i="25"/>
  <c r="J7" i="25"/>
  <c r="H5" i="25"/>
  <c r="I2" i="25"/>
  <c r="J6" i="24"/>
  <c r="J3" i="24"/>
  <c r="H45" i="1" s="1"/>
  <c r="J8" i="24"/>
  <c r="I2" i="24"/>
  <c r="H8" i="24"/>
  <c r="H3" i="24"/>
  <c r="J7" i="24"/>
  <c r="F72" i="23"/>
  <c r="L70" i="23"/>
  <c r="AB70" i="23" s="1"/>
  <c r="W70" i="23"/>
  <c r="J70" i="23"/>
  <c r="Q70" i="23"/>
  <c r="S70" i="23" s="1"/>
  <c r="AD70" i="23" s="1"/>
  <c r="K74" i="23"/>
  <c r="M75" i="23"/>
  <c r="U70" i="23"/>
  <c r="H70" i="23"/>
  <c r="Y70" i="23" s="1"/>
  <c r="E71" i="23"/>
  <c r="J8" i="23"/>
  <c r="I71" i="23"/>
  <c r="H3" i="23"/>
  <c r="H7" i="23"/>
  <c r="H4" i="23"/>
  <c r="H9" i="23"/>
  <c r="J5" i="23"/>
  <c r="J6" i="23"/>
  <c r="H8" i="23"/>
  <c r="K73" i="22"/>
  <c r="F74" i="22"/>
  <c r="M74" i="22"/>
  <c r="E70" i="22"/>
  <c r="J9" i="22"/>
  <c r="J7" i="22"/>
  <c r="J3" i="22"/>
  <c r="F45" i="1" s="1"/>
  <c r="J6" i="22"/>
  <c r="I2" i="22"/>
  <c r="AE71" i="22"/>
  <c r="E72" i="21"/>
  <c r="F72" i="21"/>
  <c r="H71" i="21"/>
  <c r="G71" i="21"/>
  <c r="J71" i="21" s="1"/>
  <c r="L71" i="21"/>
  <c r="I70" i="21"/>
  <c r="K72" i="21"/>
  <c r="M72" i="21"/>
  <c r="H9" i="21"/>
  <c r="G2" i="21"/>
  <c r="H7" i="21"/>
  <c r="H6" i="21"/>
  <c r="N73" i="3"/>
  <c r="H71" i="3"/>
  <c r="I71" i="3"/>
  <c r="M74" i="3"/>
  <c r="J45" i="1"/>
  <c r="J54" i="1"/>
  <c r="I24" i="11" s="1"/>
  <c r="C41" i="3"/>
  <c r="G45" i="1"/>
  <c r="AH21" i="13"/>
  <c r="G28" i="11"/>
  <c r="H28" i="11"/>
  <c r="AG21" i="13"/>
  <c r="F28" i="11"/>
  <c r="J40" i="1"/>
  <c r="D28" i="11"/>
  <c r="J28" i="11"/>
  <c r="I54" i="1"/>
  <c r="H24" i="11" s="1"/>
  <c r="G54" i="1"/>
  <c r="F24" i="11" s="1"/>
  <c r="I11" i="3"/>
  <c r="D54" i="1" s="1"/>
  <c r="C24" i="11" s="1"/>
  <c r="C19" i="13"/>
  <c r="B105" i="13" s="1"/>
  <c r="B114" i="11" s="1"/>
  <c r="B101" i="12"/>
  <c r="B100" i="12"/>
  <c r="B67" i="12"/>
  <c r="B61" i="12"/>
  <c r="B128" i="12"/>
  <c r="B92" i="12"/>
  <c r="B60" i="12"/>
  <c r="B125" i="12"/>
  <c r="B90" i="12"/>
  <c r="B51" i="12"/>
  <c r="B117" i="12"/>
  <c r="B88" i="12"/>
  <c r="B45" i="12"/>
  <c r="B115" i="12"/>
  <c r="B80" i="12"/>
  <c r="B44" i="12"/>
  <c r="B114" i="12"/>
  <c r="B76" i="12"/>
  <c r="B35" i="12"/>
  <c r="B106" i="12"/>
  <c r="B75" i="12"/>
  <c r="G30" i="11"/>
  <c r="B29" i="12"/>
  <c r="B116" i="12"/>
  <c r="B104" i="12"/>
  <c r="B91" i="12"/>
  <c r="B77" i="12"/>
  <c r="B66" i="12"/>
  <c r="B50" i="12"/>
  <c r="B34" i="12"/>
  <c r="AP23" i="13"/>
  <c r="E30" i="11"/>
  <c r="B124" i="12"/>
  <c r="B112" i="12"/>
  <c r="B99" i="12"/>
  <c r="B85" i="12"/>
  <c r="B74" i="12"/>
  <c r="B59" i="12"/>
  <c r="B43" i="12"/>
  <c r="R23" i="13"/>
  <c r="F29" i="11"/>
  <c r="B123" i="12"/>
  <c r="B109" i="12"/>
  <c r="B98" i="12"/>
  <c r="B84" i="12"/>
  <c r="B72" i="12"/>
  <c r="B58" i="12"/>
  <c r="B42" i="12"/>
  <c r="B122" i="12"/>
  <c r="B108" i="12"/>
  <c r="B96" i="12"/>
  <c r="B83" i="12"/>
  <c r="B69" i="12"/>
  <c r="B53" i="12"/>
  <c r="B37" i="12"/>
  <c r="B120" i="12"/>
  <c r="B107" i="12"/>
  <c r="B93" i="12"/>
  <c r="B82" i="12"/>
  <c r="B68" i="12"/>
  <c r="B52" i="12"/>
  <c r="B36" i="12"/>
  <c r="B129" i="12"/>
  <c r="B121" i="12"/>
  <c r="B113" i="12"/>
  <c r="B105" i="12"/>
  <c r="B97" i="12"/>
  <c r="B89" i="12"/>
  <c r="B81" i="12"/>
  <c r="B73" i="12"/>
  <c r="B65" i="12"/>
  <c r="B57" i="12"/>
  <c r="B49" i="12"/>
  <c r="B41" i="12"/>
  <c r="B33" i="12"/>
  <c r="B64" i="12"/>
  <c r="B56" i="12"/>
  <c r="B48" i="12"/>
  <c r="B40" i="12"/>
  <c r="B32" i="12"/>
  <c r="B127" i="12"/>
  <c r="B119" i="12"/>
  <c r="B111" i="12"/>
  <c r="B103" i="12"/>
  <c r="B95" i="12"/>
  <c r="B87" i="12"/>
  <c r="B79" i="12"/>
  <c r="B71" i="12"/>
  <c r="B63" i="12"/>
  <c r="B55" i="12"/>
  <c r="B47" i="12"/>
  <c r="B39" i="12"/>
  <c r="B31" i="12"/>
  <c r="B126" i="12"/>
  <c r="B118" i="12"/>
  <c r="B110" i="12"/>
  <c r="B102" i="12"/>
  <c r="B94" i="12"/>
  <c r="B86" i="12"/>
  <c r="B78" i="12"/>
  <c r="B70" i="12"/>
  <c r="B62" i="12"/>
  <c r="B54" i="12"/>
  <c r="B46" i="12"/>
  <c r="B38" i="12"/>
  <c r="K40" i="1"/>
  <c r="I40" i="1"/>
  <c r="AF22" i="13"/>
  <c r="E29" i="11"/>
  <c r="AE22" i="13"/>
  <c r="D29" i="11"/>
  <c r="H40" i="1"/>
  <c r="AD22" i="13"/>
  <c r="L22" i="13"/>
  <c r="C29" i="11"/>
  <c r="S23" i="13"/>
  <c r="D30" i="11"/>
  <c r="AD23" i="13"/>
  <c r="AM23" i="13"/>
  <c r="AJ22" i="13"/>
  <c r="R22" i="13"/>
  <c r="AT23" i="13"/>
  <c r="J30" i="11"/>
  <c r="J29" i="11"/>
  <c r="P22" i="13"/>
  <c r="G29" i="11"/>
  <c r="I30" i="11"/>
  <c r="I29" i="11"/>
  <c r="AG23" i="13"/>
  <c r="F30" i="11"/>
  <c r="H30" i="11"/>
  <c r="H29" i="11"/>
  <c r="AQ23" i="13"/>
  <c r="AQ25" i="13"/>
  <c r="Y26" i="13" s="1"/>
  <c r="Q21" i="13"/>
  <c r="P21" i="13"/>
  <c r="Q22" i="13"/>
  <c r="AO23" i="13"/>
  <c r="AO25" i="13"/>
  <c r="W26" i="13" s="1"/>
  <c r="Q23" i="13"/>
  <c r="O21" i="13"/>
  <c r="AF23" i="13"/>
  <c r="AN23" i="13"/>
  <c r="AN25" i="13"/>
  <c r="V26" i="13" s="1"/>
  <c r="P23" i="13"/>
  <c r="N21" i="13"/>
  <c r="AM25" i="13"/>
  <c r="U26" i="13" s="1"/>
  <c r="N22" i="13"/>
  <c r="M21" i="13"/>
  <c r="AT25" i="13"/>
  <c r="AB26" i="13" s="1"/>
  <c r="N23" i="13"/>
  <c r="M22" i="13"/>
  <c r="AS23" i="13"/>
  <c r="AS25" i="13"/>
  <c r="AA26" i="13" s="1"/>
  <c r="AS26" i="13" s="1"/>
  <c r="AA27" i="13" s="1"/>
  <c r="L21" i="13"/>
  <c r="M23" i="13"/>
  <c r="S21" i="13"/>
  <c r="AR23" i="13"/>
  <c r="AR25" i="13"/>
  <c r="Z26" i="13" s="1"/>
  <c r="L23" i="13"/>
  <c r="S22" i="13"/>
  <c r="R21" i="13"/>
  <c r="AO26" i="13"/>
  <c r="W27" i="13"/>
  <c r="AO27" i="13" s="1"/>
  <c r="W28" i="13" s="1"/>
  <c r="AN26" i="13"/>
  <c r="V27" i="13" s="1"/>
  <c r="AN27" i="13" s="1"/>
  <c r="V28" i="13" s="1"/>
  <c r="AP26" i="13"/>
  <c r="X27" i="13" s="1"/>
  <c r="AP27" i="13" s="1"/>
  <c r="X28" i="13" s="1"/>
  <c r="AM26" i="13"/>
  <c r="U27" i="13" s="1"/>
  <c r="AM27" i="13" s="1"/>
  <c r="U28" i="13" s="1"/>
  <c r="AH22" i="13"/>
  <c r="AQ22" i="13"/>
  <c r="AG22" i="13"/>
  <c r="AP22" i="13"/>
  <c r="AM21" i="13"/>
  <c r="AN22" i="13"/>
  <c r="AT21" i="13"/>
  <c r="AM22" i="13"/>
  <c r="AT22" i="13"/>
  <c r="AS21" i="13"/>
  <c r="W21" i="13"/>
  <c r="AS22" i="13"/>
  <c r="AR21" i="13"/>
  <c r="AF21" i="13"/>
  <c r="AR22" i="13"/>
  <c r="AQ21" i="13"/>
  <c r="AP21" i="13"/>
  <c r="AO22" i="13"/>
  <c r="AN21" i="13"/>
  <c r="AB23" i="13"/>
  <c r="AA23" i="13"/>
  <c r="B81" i="13"/>
  <c r="B90" i="11" s="1"/>
  <c r="Z23" i="13"/>
  <c r="B32" i="13"/>
  <c r="B41" i="11" s="1"/>
  <c r="U21" i="13"/>
  <c r="AA21" i="13"/>
  <c r="Z21" i="13"/>
  <c r="AB22" i="13"/>
  <c r="AA22" i="13"/>
  <c r="Z22" i="13"/>
  <c r="Y21" i="13"/>
  <c r="Y23" i="13"/>
  <c r="Y22" i="13"/>
  <c r="X21" i="13"/>
  <c r="X23" i="13"/>
  <c r="X22" i="13"/>
  <c r="W22" i="13"/>
  <c r="V21" i="13"/>
  <c r="V23" i="13"/>
  <c r="V22" i="13"/>
  <c r="AB21" i="13"/>
  <c r="U23" i="13"/>
  <c r="U22" i="13"/>
  <c r="Z70" i="23" l="1"/>
  <c r="J71" i="22"/>
  <c r="AA70" i="27"/>
  <c r="Q71" i="22"/>
  <c r="AC70" i="27"/>
  <c r="AA70" i="25"/>
  <c r="Z70" i="22"/>
  <c r="U71" i="22"/>
  <c r="Q71" i="3"/>
  <c r="U71" i="3"/>
  <c r="J71" i="3"/>
  <c r="W71" i="3"/>
  <c r="Z70" i="27"/>
  <c r="H70" i="26"/>
  <c r="Y70" i="26" s="1"/>
  <c r="L70" i="25"/>
  <c r="L70" i="21"/>
  <c r="AB70" i="21" s="1"/>
  <c r="AF73" i="27"/>
  <c r="AG73" i="27" s="1"/>
  <c r="AF68" i="27"/>
  <c r="AG68" i="27" s="1"/>
  <c r="AF64" i="27"/>
  <c r="AG64" i="27" s="1"/>
  <c r="AF60" i="27"/>
  <c r="AG60" i="27" s="1"/>
  <c r="AF56" i="27"/>
  <c r="AG56" i="27" s="1"/>
  <c r="AF52" i="27"/>
  <c r="AG52" i="27" s="1"/>
  <c r="AF48" i="27"/>
  <c r="AG48" i="27" s="1"/>
  <c r="AF170" i="27"/>
  <c r="AG170" i="27" s="1"/>
  <c r="AF166" i="27"/>
  <c r="AG166" i="27" s="1"/>
  <c r="AF162" i="27"/>
  <c r="AG162" i="27" s="1"/>
  <c r="AF158" i="27"/>
  <c r="AG158" i="27" s="1"/>
  <c r="AF154" i="27"/>
  <c r="AG154" i="27" s="1"/>
  <c r="AF150" i="27"/>
  <c r="AG150" i="27" s="1"/>
  <c r="AF146" i="27"/>
  <c r="AG146" i="27" s="1"/>
  <c r="AF142" i="27"/>
  <c r="AG142" i="27" s="1"/>
  <c r="AF138" i="27"/>
  <c r="AG138" i="27" s="1"/>
  <c r="AF134" i="27"/>
  <c r="AG134" i="27" s="1"/>
  <c r="AF130" i="27"/>
  <c r="AG130" i="27" s="1"/>
  <c r="AF126" i="27"/>
  <c r="AG126" i="27" s="1"/>
  <c r="AF122" i="27"/>
  <c r="AG122" i="27" s="1"/>
  <c r="AF118" i="27"/>
  <c r="AG118" i="27" s="1"/>
  <c r="AF114" i="27"/>
  <c r="AG114" i="27" s="1"/>
  <c r="AF110" i="27"/>
  <c r="AG110" i="27" s="1"/>
  <c r="AF106" i="27"/>
  <c r="AG106" i="27" s="1"/>
  <c r="AF102" i="27"/>
  <c r="AG102" i="27" s="1"/>
  <c r="AF98" i="27"/>
  <c r="AG98" i="27" s="1"/>
  <c r="AF94" i="27"/>
  <c r="AG94" i="27" s="1"/>
  <c r="AF90" i="27"/>
  <c r="AG90" i="27" s="1"/>
  <c r="AF86" i="27"/>
  <c r="AG86" i="27" s="1"/>
  <c r="AF82" i="27"/>
  <c r="AG82" i="27" s="1"/>
  <c r="AF78" i="27"/>
  <c r="AG78" i="27" s="1"/>
  <c r="AF74" i="27"/>
  <c r="AG74" i="27" s="1"/>
  <c r="AF70" i="27"/>
  <c r="AF67" i="27"/>
  <c r="AG67" i="27" s="1"/>
  <c r="AH67" i="27" s="1"/>
  <c r="AF63" i="27"/>
  <c r="AG63" i="27" s="1"/>
  <c r="AF59" i="27"/>
  <c r="AG59" i="27" s="1"/>
  <c r="AF55" i="27"/>
  <c r="AG55" i="27" s="1"/>
  <c r="AF51" i="27"/>
  <c r="AG51" i="27" s="1"/>
  <c r="AF47" i="27"/>
  <c r="AG47" i="27" s="1"/>
  <c r="AF167" i="27"/>
  <c r="AG167" i="27" s="1"/>
  <c r="AF163" i="27"/>
  <c r="AG163" i="27" s="1"/>
  <c r="AF159" i="27"/>
  <c r="AG159" i="27" s="1"/>
  <c r="AF155" i="27"/>
  <c r="AG155" i="27" s="1"/>
  <c r="AF151" i="27"/>
  <c r="AG151" i="27" s="1"/>
  <c r="AF147" i="27"/>
  <c r="AG147" i="27" s="1"/>
  <c r="AF143" i="27"/>
  <c r="AG143" i="27" s="1"/>
  <c r="AF139" i="27"/>
  <c r="AG139" i="27" s="1"/>
  <c r="AF135" i="27"/>
  <c r="AG135" i="27" s="1"/>
  <c r="AF131" i="27"/>
  <c r="AG131" i="27" s="1"/>
  <c r="AF127" i="27"/>
  <c r="AG127" i="27" s="1"/>
  <c r="AF123" i="27"/>
  <c r="AG123" i="27" s="1"/>
  <c r="AF119" i="27"/>
  <c r="AG119" i="27" s="1"/>
  <c r="AF115" i="27"/>
  <c r="AG115" i="27" s="1"/>
  <c r="AF111" i="27"/>
  <c r="AG111" i="27" s="1"/>
  <c r="AF107" i="27"/>
  <c r="AG107" i="27" s="1"/>
  <c r="AF103" i="27"/>
  <c r="AG103" i="27" s="1"/>
  <c r="AF99" i="27"/>
  <c r="AG99" i="27" s="1"/>
  <c r="AF95" i="27"/>
  <c r="AG95" i="27" s="1"/>
  <c r="AF91" i="27"/>
  <c r="AG91" i="27" s="1"/>
  <c r="AF87" i="27"/>
  <c r="AG87" i="27" s="1"/>
  <c r="AF83" i="27"/>
  <c r="AG83" i="27" s="1"/>
  <c r="AF79" i="27"/>
  <c r="AG79" i="27" s="1"/>
  <c r="AF75" i="27"/>
  <c r="AG75" i="27" s="1"/>
  <c r="C38" i="27"/>
  <c r="AF66" i="27"/>
  <c r="AG66" i="27" s="1"/>
  <c r="AF62" i="27"/>
  <c r="AG62" i="27" s="1"/>
  <c r="AF58" i="27"/>
  <c r="AG58" i="27" s="1"/>
  <c r="AF54" i="27"/>
  <c r="AG54" i="27" s="1"/>
  <c r="AF50" i="27"/>
  <c r="AG50" i="27" s="1"/>
  <c r="AF46" i="27"/>
  <c r="AG46" i="27" s="1"/>
  <c r="AF168" i="27"/>
  <c r="AG168" i="27" s="1"/>
  <c r="AF164" i="27"/>
  <c r="AG164" i="27" s="1"/>
  <c r="AF160" i="27"/>
  <c r="AG160" i="27" s="1"/>
  <c r="AF156" i="27"/>
  <c r="AG156" i="27" s="1"/>
  <c r="AF152" i="27"/>
  <c r="AG152" i="27" s="1"/>
  <c r="AF148" i="27"/>
  <c r="AG148" i="27" s="1"/>
  <c r="AF144" i="27"/>
  <c r="AG144" i="27" s="1"/>
  <c r="AF140" i="27"/>
  <c r="AG140" i="27" s="1"/>
  <c r="AF136" i="27"/>
  <c r="AG136" i="27" s="1"/>
  <c r="AF132" i="27"/>
  <c r="AG132" i="27" s="1"/>
  <c r="AF128" i="27"/>
  <c r="AG128" i="27" s="1"/>
  <c r="AF124" i="27"/>
  <c r="AG124" i="27" s="1"/>
  <c r="AF120" i="27"/>
  <c r="AG120" i="27" s="1"/>
  <c r="AF116" i="27"/>
  <c r="AG116" i="27" s="1"/>
  <c r="AF112" i="27"/>
  <c r="AG112" i="27" s="1"/>
  <c r="AF108" i="27"/>
  <c r="AG108" i="27" s="1"/>
  <c r="AF104" i="27"/>
  <c r="AG104" i="27" s="1"/>
  <c r="AF100" i="27"/>
  <c r="AG100" i="27" s="1"/>
  <c r="AF96" i="27"/>
  <c r="AG96" i="27" s="1"/>
  <c r="AF92" i="27"/>
  <c r="AG92" i="27" s="1"/>
  <c r="AF88" i="27"/>
  <c r="AG88" i="27" s="1"/>
  <c r="AF84" i="27"/>
  <c r="AG84" i="27" s="1"/>
  <c r="AF80" i="27"/>
  <c r="AG80" i="27" s="1"/>
  <c r="AF76" i="27"/>
  <c r="AG76" i="27" s="1"/>
  <c r="AF71" i="27"/>
  <c r="AG71" i="27" s="1"/>
  <c r="AH71" i="27" s="1"/>
  <c r="AF72" i="27"/>
  <c r="AG72" i="27" s="1"/>
  <c r="AF69" i="27"/>
  <c r="AG69" i="27" s="1"/>
  <c r="AF65" i="27"/>
  <c r="AG65" i="27" s="1"/>
  <c r="AF61" i="27"/>
  <c r="AG61" i="27" s="1"/>
  <c r="AF57" i="27"/>
  <c r="AG57" i="27" s="1"/>
  <c r="AF53" i="27"/>
  <c r="AG53" i="27" s="1"/>
  <c r="AF49" i="27"/>
  <c r="AG49" i="27" s="1"/>
  <c r="AF45" i="27"/>
  <c r="AG45" i="27" s="1"/>
  <c r="AF169" i="27"/>
  <c r="AG169" i="27" s="1"/>
  <c r="AF165" i="27"/>
  <c r="AG165" i="27" s="1"/>
  <c r="AF161" i="27"/>
  <c r="AG161" i="27" s="1"/>
  <c r="AF157" i="27"/>
  <c r="AG157" i="27" s="1"/>
  <c r="AF153" i="27"/>
  <c r="AG153" i="27" s="1"/>
  <c r="AF149" i="27"/>
  <c r="AG149" i="27" s="1"/>
  <c r="AF145" i="27"/>
  <c r="AG145" i="27" s="1"/>
  <c r="AF141" i="27"/>
  <c r="AG141" i="27" s="1"/>
  <c r="AF137" i="27"/>
  <c r="AG137" i="27" s="1"/>
  <c r="AF133" i="27"/>
  <c r="AG133" i="27" s="1"/>
  <c r="AF129" i="27"/>
  <c r="AG129" i="27" s="1"/>
  <c r="AF125" i="27"/>
  <c r="AG125" i="27" s="1"/>
  <c r="AF121" i="27"/>
  <c r="AG121" i="27" s="1"/>
  <c r="AF117" i="27"/>
  <c r="AG117" i="27" s="1"/>
  <c r="AF113" i="27"/>
  <c r="AG113" i="27" s="1"/>
  <c r="AF109" i="27"/>
  <c r="AG109" i="27" s="1"/>
  <c r="AF105" i="27"/>
  <c r="AG105" i="27" s="1"/>
  <c r="AF101" i="27"/>
  <c r="AG101" i="27" s="1"/>
  <c r="AF97" i="27"/>
  <c r="AG97" i="27" s="1"/>
  <c r="AF93" i="27"/>
  <c r="AG93" i="27" s="1"/>
  <c r="AF89" i="27"/>
  <c r="AG89" i="27" s="1"/>
  <c r="AF85" i="27"/>
  <c r="AG85" i="27" s="1"/>
  <c r="AF81" i="27"/>
  <c r="AG81" i="27" s="1"/>
  <c r="AF77" i="27"/>
  <c r="AG77" i="27" s="1"/>
  <c r="G72" i="26"/>
  <c r="W72" i="26" s="1"/>
  <c r="AF70" i="26"/>
  <c r="AF170" i="26"/>
  <c r="AG170" i="26" s="1"/>
  <c r="AF166" i="26"/>
  <c r="AG166" i="26" s="1"/>
  <c r="AF162" i="26"/>
  <c r="AG162" i="26" s="1"/>
  <c r="AF158" i="26"/>
  <c r="AG158" i="26" s="1"/>
  <c r="AF154" i="26"/>
  <c r="AG154" i="26" s="1"/>
  <c r="AF150" i="26"/>
  <c r="AG150" i="26" s="1"/>
  <c r="AF146" i="26"/>
  <c r="AG146" i="26" s="1"/>
  <c r="AF142" i="26"/>
  <c r="AG142" i="26" s="1"/>
  <c r="AF138" i="26"/>
  <c r="AG138" i="26" s="1"/>
  <c r="AF134" i="26"/>
  <c r="AG134" i="26" s="1"/>
  <c r="AF130" i="26"/>
  <c r="AG130" i="26" s="1"/>
  <c r="AF126" i="26"/>
  <c r="AG126" i="26" s="1"/>
  <c r="AF122" i="26"/>
  <c r="AG122" i="26" s="1"/>
  <c r="AF118" i="26"/>
  <c r="AG118" i="26" s="1"/>
  <c r="AF114" i="26"/>
  <c r="AG114" i="26" s="1"/>
  <c r="AF110" i="26"/>
  <c r="AG110" i="26" s="1"/>
  <c r="AF106" i="26"/>
  <c r="AG106" i="26" s="1"/>
  <c r="AF102" i="26"/>
  <c r="AG102" i="26" s="1"/>
  <c r="AF98" i="26"/>
  <c r="AG98" i="26" s="1"/>
  <c r="AF94" i="26"/>
  <c r="AG94" i="26" s="1"/>
  <c r="AF90" i="26"/>
  <c r="AG90" i="26" s="1"/>
  <c r="AF86" i="26"/>
  <c r="AG86" i="26" s="1"/>
  <c r="AF82" i="26"/>
  <c r="AG82" i="26" s="1"/>
  <c r="AF78" i="26"/>
  <c r="AG78" i="26" s="1"/>
  <c r="AF74" i="26"/>
  <c r="AG74" i="26" s="1"/>
  <c r="AF69" i="26"/>
  <c r="AG69" i="26" s="1"/>
  <c r="AF65" i="26"/>
  <c r="AG65" i="26" s="1"/>
  <c r="AF61" i="26"/>
  <c r="AG61" i="26" s="1"/>
  <c r="AF57" i="26"/>
  <c r="AG57" i="26" s="1"/>
  <c r="AF53" i="26"/>
  <c r="AG53" i="26" s="1"/>
  <c r="AF49" i="26"/>
  <c r="AG49" i="26" s="1"/>
  <c r="AF45" i="26"/>
  <c r="AG45" i="26" s="1"/>
  <c r="AF167" i="26"/>
  <c r="AG167" i="26" s="1"/>
  <c r="AF163" i="26"/>
  <c r="AG163" i="26" s="1"/>
  <c r="AF159" i="26"/>
  <c r="AG159" i="26" s="1"/>
  <c r="AF155" i="26"/>
  <c r="AG155" i="26" s="1"/>
  <c r="AF151" i="26"/>
  <c r="AG151" i="26" s="1"/>
  <c r="AF147" i="26"/>
  <c r="AG147" i="26" s="1"/>
  <c r="AF143" i="26"/>
  <c r="AG143" i="26" s="1"/>
  <c r="AF139" i="26"/>
  <c r="AG139" i="26" s="1"/>
  <c r="AF135" i="26"/>
  <c r="AG135" i="26" s="1"/>
  <c r="AF131" i="26"/>
  <c r="AG131" i="26" s="1"/>
  <c r="AF127" i="26"/>
  <c r="AG127" i="26" s="1"/>
  <c r="AF123" i="26"/>
  <c r="AG123" i="26" s="1"/>
  <c r="AF119" i="26"/>
  <c r="AG119" i="26" s="1"/>
  <c r="AF115" i="26"/>
  <c r="AG115" i="26" s="1"/>
  <c r="AF111" i="26"/>
  <c r="AG111" i="26" s="1"/>
  <c r="AF107" i="26"/>
  <c r="AG107" i="26" s="1"/>
  <c r="AF103" i="26"/>
  <c r="AG103" i="26" s="1"/>
  <c r="AF99" i="26"/>
  <c r="AG99" i="26" s="1"/>
  <c r="AF95" i="26"/>
  <c r="AG95" i="26" s="1"/>
  <c r="AF91" i="26"/>
  <c r="AG91" i="26" s="1"/>
  <c r="AF87" i="26"/>
  <c r="AG87" i="26" s="1"/>
  <c r="AF83" i="26"/>
  <c r="AG83" i="26" s="1"/>
  <c r="AF79" i="26"/>
  <c r="AG79" i="26" s="1"/>
  <c r="AF75" i="26"/>
  <c r="AG75" i="26" s="1"/>
  <c r="AF68" i="26"/>
  <c r="AG68" i="26" s="1"/>
  <c r="AH68" i="26" s="1"/>
  <c r="AF64" i="26"/>
  <c r="AG64" i="26" s="1"/>
  <c r="AF60" i="26"/>
  <c r="AG60" i="26" s="1"/>
  <c r="AF56" i="26"/>
  <c r="AG56" i="26" s="1"/>
  <c r="AF52" i="26"/>
  <c r="AG52" i="26" s="1"/>
  <c r="AF48" i="26"/>
  <c r="AG48" i="26" s="1"/>
  <c r="AF168" i="26"/>
  <c r="AG168" i="26" s="1"/>
  <c r="AF164" i="26"/>
  <c r="AG164" i="26" s="1"/>
  <c r="AF160" i="26"/>
  <c r="AG160" i="26" s="1"/>
  <c r="AF156" i="26"/>
  <c r="AG156" i="26" s="1"/>
  <c r="AF152" i="26"/>
  <c r="AG152" i="26" s="1"/>
  <c r="AF148" i="26"/>
  <c r="AG148" i="26" s="1"/>
  <c r="AF144" i="26"/>
  <c r="AG144" i="26" s="1"/>
  <c r="AF140" i="26"/>
  <c r="AG140" i="26" s="1"/>
  <c r="AF136" i="26"/>
  <c r="AG136" i="26" s="1"/>
  <c r="AF132" i="26"/>
  <c r="AG132" i="26" s="1"/>
  <c r="AF128" i="26"/>
  <c r="AG128" i="26" s="1"/>
  <c r="AF124" i="26"/>
  <c r="AG124" i="26" s="1"/>
  <c r="AF120" i="26"/>
  <c r="AG120" i="26" s="1"/>
  <c r="AF116" i="26"/>
  <c r="AG116" i="26" s="1"/>
  <c r="AF112" i="26"/>
  <c r="AG112" i="26" s="1"/>
  <c r="AF108" i="26"/>
  <c r="AG108" i="26" s="1"/>
  <c r="AF104" i="26"/>
  <c r="AG104" i="26" s="1"/>
  <c r="AF100" i="26"/>
  <c r="AG100" i="26" s="1"/>
  <c r="AF96" i="26"/>
  <c r="AG96" i="26" s="1"/>
  <c r="AF92" i="26"/>
  <c r="AG92" i="26" s="1"/>
  <c r="AF88" i="26"/>
  <c r="AG88" i="26" s="1"/>
  <c r="AF84" i="26"/>
  <c r="AG84" i="26" s="1"/>
  <c r="AF80" i="26"/>
  <c r="AG80" i="26" s="1"/>
  <c r="AF76" i="26"/>
  <c r="AG76" i="26" s="1"/>
  <c r="AF72" i="26"/>
  <c r="AG72" i="26" s="1"/>
  <c r="AF71" i="26"/>
  <c r="AG71" i="26" s="1"/>
  <c r="AH71" i="26" s="1"/>
  <c r="AF67" i="26"/>
  <c r="AG67" i="26" s="1"/>
  <c r="AF63" i="26"/>
  <c r="AG63" i="26" s="1"/>
  <c r="AF59" i="26"/>
  <c r="AG59" i="26" s="1"/>
  <c r="AF55" i="26"/>
  <c r="AG55" i="26" s="1"/>
  <c r="AF51" i="26"/>
  <c r="AG51" i="26" s="1"/>
  <c r="AF47" i="26"/>
  <c r="AG47" i="26" s="1"/>
  <c r="C38" i="26"/>
  <c r="AF169" i="26"/>
  <c r="AG169" i="26" s="1"/>
  <c r="AF165" i="26"/>
  <c r="AG165" i="26" s="1"/>
  <c r="AF161" i="26"/>
  <c r="AG161" i="26" s="1"/>
  <c r="AF157" i="26"/>
  <c r="AG157" i="26" s="1"/>
  <c r="AF153" i="26"/>
  <c r="AG153" i="26" s="1"/>
  <c r="AF149" i="26"/>
  <c r="AG149" i="26" s="1"/>
  <c r="AF145" i="26"/>
  <c r="AG145" i="26" s="1"/>
  <c r="AF141" i="26"/>
  <c r="AG141" i="26" s="1"/>
  <c r="AF137" i="26"/>
  <c r="AG137" i="26" s="1"/>
  <c r="AF133" i="26"/>
  <c r="AG133" i="26" s="1"/>
  <c r="AF129" i="26"/>
  <c r="AG129" i="26" s="1"/>
  <c r="AF125" i="26"/>
  <c r="AG125" i="26" s="1"/>
  <c r="AF121" i="26"/>
  <c r="AG121" i="26" s="1"/>
  <c r="AF117" i="26"/>
  <c r="AG117" i="26" s="1"/>
  <c r="AF113" i="26"/>
  <c r="AG113" i="26" s="1"/>
  <c r="AF109" i="26"/>
  <c r="AG109" i="26" s="1"/>
  <c r="AF105" i="26"/>
  <c r="AG105" i="26" s="1"/>
  <c r="AF101" i="26"/>
  <c r="AG101" i="26" s="1"/>
  <c r="AF97" i="26"/>
  <c r="AG97" i="26" s="1"/>
  <c r="AF93" i="26"/>
  <c r="AG93" i="26" s="1"/>
  <c r="AF89" i="26"/>
  <c r="AG89" i="26" s="1"/>
  <c r="AF85" i="26"/>
  <c r="AG85" i="26" s="1"/>
  <c r="AF81" i="26"/>
  <c r="AG81" i="26" s="1"/>
  <c r="AF77" i="26"/>
  <c r="AG77" i="26" s="1"/>
  <c r="AF73" i="26"/>
  <c r="AG73" i="26" s="1"/>
  <c r="AF66" i="26"/>
  <c r="AG66" i="26" s="1"/>
  <c r="AF62" i="26"/>
  <c r="AG62" i="26" s="1"/>
  <c r="AF58" i="26"/>
  <c r="AG58" i="26" s="1"/>
  <c r="AF54" i="26"/>
  <c r="AG54" i="26" s="1"/>
  <c r="AF50" i="26"/>
  <c r="AG50" i="26" s="1"/>
  <c r="AF46" i="26"/>
  <c r="AG46" i="26" s="1"/>
  <c r="AF168" i="25"/>
  <c r="AG168" i="25" s="1"/>
  <c r="AF164" i="25"/>
  <c r="AG164" i="25" s="1"/>
  <c r="AF160" i="25"/>
  <c r="AG160" i="25" s="1"/>
  <c r="AF156" i="25"/>
  <c r="AG156" i="25" s="1"/>
  <c r="AF152" i="25"/>
  <c r="AG152" i="25" s="1"/>
  <c r="AF148" i="25"/>
  <c r="AG148" i="25" s="1"/>
  <c r="AF144" i="25"/>
  <c r="AG144" i="25" s="1"/>
  <c r="AF140" i="25"/>
  <c r="AG140" i="25" s="1"/>
  <c r="AF136" i="25"/>
  <c r="AG136" i="25" s="1"/>
  <c r="AF132" i="25"/>
  <c r="AG132" i="25" s="1"/>
  <c r="AF128" i="25"/>
  <c r="AG128" i="25" s="1"/>
  <c r="AF124" i="25"/>
  <c r="AG124" i="25" s="1"/>
  <c r="AF120" i="25"/>
  <c r="AG120" i="25" s="1"/>
  <c r="AF116" i="25"/>
  <c r="AG116" i="25" s="1"/>
  <c r="AF112" i="25"/>
  <c r="AG112" i="25" s="1"/>
  <c r="AF108" i="25"/>
  <c r="AG108" i="25" s="1"/>
  <c r="AF104" i="25"/>
  <c r="AG104" i="25" s="1"/>
  <c r="AF100" i="25"/>
  <c r="AG100" i="25" s="1"/>
  <c r="AF96" i="25"/>
  <c r="AG96" i="25" s="1"/>
  <c r="AF92" i="25"/>
  <c r="AG92" i="25" s="1"/>
  <c r="AF88" i="25"/>
  <c r="AG88" i="25" s="1"/>
  <c r="AF84" i="25"/>
  <c r="AG84" i="25" s="1"/>
  <c r="AF80" i="25"/>
  <c r="AG80" i="25" s="1"/>
  <c r="AF76" i="25"/>
  <c r="AG76" i="25" s="1"/>
  <c r="AF72" i="25"/>
  <c r="AG72" i="25" s="1"/>
  <c r="AF66" i="25"/>
  <c r="AG66" i="25" s="1"/>
  <c r="AF62" i="25"/>
  <c r="AG62" i="25" s="1"/>
  <c r="AF58" i="25"/>
  <c r="AG58" i="25" s="1"/>
  <c r="AF54" i="25"/>
  <c r="AG54" i="25" s="1"/>
  <c r="AF50" i="25"/>
  <c r="AG50" i="25" s="1"/>
  <c r="AF46" i="25"/>
  <c r="AG46" i="25" s="1"/>
  <c r="AF70" i="25"/>
  <c r="AF169" i="25"/>
  <c r="AG169" i="25" s="1"/>
  <c r="AF165" i="25"/>
  <c r="AG165" i="25" s="1"/>
  <c r="AF161" i="25"/>
  <c r="AG161" i="25" s="1"/>
  <c r="AF157" i="25"/>
  <c r="AG157" i="25" s="1"/>
  <c r="AF153" i="25"/>
  <c r="AG153" i="25" s="1"/>
  <c r="AF149" i="25"/>
  <c r="AG149" i="25" s="1"/>
  <c r="AF145" i="25"/>
  <c r="AG145" i="25" s="1"/>
  <c r="AF141" i="25"/>
  <c r="AG141" i="25" s="1"/>
  <c r="AF137" i="25"/>
  <c r="AG137" i="25" s="1"/>
  <c r="AF133" i="25"/>
  <c r="AG133" i="25" s="1"/>
  <c r="AF129" i="25"/>
  <c r="AG129" i="25" s="1"/>
  <c r="AF125" i="25"/>
  <c r="AG125" i="25" s="1"/>
  <c r="AF121" i="25"/>
  <c r="AG121" i="25" s="1"/>
  <c r="AF117" i="25"/>
  <c r="AG117" i="25" s="1"/>
  <c r="AF113" i="25"/>
  <c r="AG113" i="25" s="1"/>
  <c r="AF109" i="25"/>
  <c r="AG109" i="25" s="1"/>
  <c r="AF105" i="25"/>
  <c r="AG105" i="25" s="1"/>
  <c r="AF101" i="25"/>
  <c r="AG101" i="25" s="1"/>
  <c r="AF97" i="25"/>
  <c r="AG97" i="25" s="1"/>
  <c r="AF93" i="25"/>
  <c r="AG93" i="25" s="1"/>
  <c r="AF89" i="25"/>
  <c r="AG89" i="25" s="1"/>
  <c r="AF85" i="25"/>
  <c r="AG85" i="25" s="1"/>
  <c r="AF81" i="25"/>
  <c r="AG81" i="25" s="1"/>
  <c r="AF77" i="25"/>
  <c r="AG77" i="25" s="1"/>
  <c r="AF73" i="25"/>
  <c r="AG73" i="25" s="1"/>
  <c r="AF69" i="25"/>
  <c r="AG69" i="25" s="1"/>
  <c r="AF65" i="25"/>
  <c r="AG65" i="25" s="1"/>
  <c r="AF61" i="25"/>
  <c r="AG61" i="25" s="1"/>
  <c r="AF57" i="25"/>
  <c r="AG57" i="25" s="1"/>
  <c r="AF53" i="25"/>
  <c r="AG53" i="25" s="1"/>
  <c r="AF49" i="25"/>
  <c r="AG49" i="25" s="1"/>
  <c r="AF45" i="25"/>
  <c r="AG45" i="25" s="1"/>
  <c r="AF170" i="25"/>
  <c r="AG170" i="25" s="1"/>
  <c r="AF166" i="25"/>
  <c r="AG166" i="25" s="1"/>
  <c r="AF162" i="25"/>
  <c r="AG162" i="25" s="1"/>
  <c r="AF158" i="25"/>
  <c r="AG158" i="25" s="1"/>
  <c r="AF154" i="25"/>
  <c r="AG154" i="25" s="1"/>
  <c r="AF150" i="25"/>
  <c r="AG150" i="25" s="1"/>
  <c r="AF146" i="25"/>
  <c r="AG146" i="25" s="1"/>
  <c r="AF142" i="25"/>
  <c r="AG142" i="25" s="1"/>
  <c r="AF138" i="25"/>
  <c r="AG138" i="25" s="1"/>
  <c r="AF134" i="25"/>
  <c r="AG134" i="25" s="1"/>
  <c r="AF130" i="25"/>
  <c r="AG130" i="25" s="1"/>
  <c r="AF126" i="25"/>
  <c r="AG126" i="25" s="1"/>
  <c r="AF122" i="25"/>
  <c r="AG122" i="25" s="1"/>
  <c r="AF118" i="25"/>
  <c r="AG118" i="25" s="1"/>
  <c r="AF114" i="25"/>
  <c r="AG114" i="25" s="1"/>
  <c r="AF110" i="25"/>
  <c r="AG110" i="25" s="1"/>
  <c r="AF106" i="25"/>
  <c r="AG106" i="25" s="1"/>
  <c r="AF102" i="25"/>
  <c r="AG102" i="25" s="1"/>
  <c r="AF98" i="25"/>
  <c r="AG98" i="25" s="1"/>
  <c r="AF94" i="25"/>
  <c r="AG94" i="25" s="1"/>
  <c r="AF90" i="25"/>
  <c r="AG90" i="25" s="1"/>
  <c r="AF86" i="25"/>
  <c r="AG86" i="25" s="1"/>
  <c r="AF82" i="25"/>
  <c r="AG82" i="25" s="1"/>
  <c r="AF78" i="25"/>
  <c r="AG78" i="25" s="1"/>
  <c r="AF74" i="25"/>
  <c r="AG74" i="25" s="1"/>
  <c r="AF68" i="25"/>
  <c r="AG68" i="25" s="1"/>
  <c r="AF64" i="25"/>
  <c r="AG64" i="25" s="1"/>
  <c r="AF60" i="25"/>
  <c r="AG60" i="25" s="1"/>
  <c r="AF56" i="25"/>
  <c r="AG56" i="25" s="1"/>
  <c r="AF52" i="25"/>
  <c r="AG52" i="25" s="1"/>
  <c r="AF48" i="25"/>
  <c r="AG48" i="25" s="1"/>
  <c r="AF167" i="25"/>
  <c r="AG167" i="25" s="1"/>
  <c r="AF163" i="25"/>
  <c r="AG163" i="25" s="1"/>
  <c r="AF159" i="25"/>
  <c r="AG159" i="25" s="1"/>
  <c r="AF155" i="25"/>
  <c r="AG155" i="25" s="1"/>
  <c r="AF151" i="25"/>
  <c r="AG151" i="25" s="1"/>
  <c r="AF147" i="25"/>
  <c r="AG147" i="25" s="1"/>
  <c r="AF143" i="25"/>
  <c r="AG143" i="25" s="1"/>
  <c r="AF139" i="25"/>
  <c r="AG139" i="25" s="1"/>
  <c r="AF135" i="25"/>
  <c r="AG135" i="25" s="1"/>
  <c r="AF131" i="25"/>
  <c r="AG131" i="25" s="1"/>
  <c r="AF127" i="25"/>
  <c r="AG127" i="25" s="1"/>
  <c r="AF123" i="25"/>
  <c r="AG123" i="25" s="1"/>
  <c r="AF119" i="25"/>
  <c r="AG119" i="25" s="1"/>
  <c r="AF115" i="25"/>
  <c r="AG115" i="25" s="1"/>
  <c r="AF111" i="25"/>
  <c r="AG111" i="25" s="1"/>
  <c r="AF107" i="25"/>
  <c r="AG107" i="25" s="1"/>
  <c r="AF103" i="25"/>
  <c r="AG103" i="25" s="1"/>
  <c r="AF99" i="25"/>
  <c r="AG99" i="25" s="1"/>
  <c r="AF95" i="25"/>
  <c r="AG95" i="25" s="1"/>
  <c r="AF91" i="25"/>
  <c r="AG91" i="25" s="1"/>
  <c r="AF87" i="25"/>
  <c r="AG87" i="25" s="1"/>
  <c r="AF83" i="25"/>
  <c r="AG83" i="25" s="1"/>
  <c r="AF79" i="25"/>
  <c r="AG79" i="25" s="1"/>
  <c r="AF75" i="25"/>
  <c r="AG75" i="25" s="1"/>
  <c r="AF71" i="25"/>
  <c r="AG71" i="25" s="1"/>
  <c r="AF67" i="25"/>
  <c r="AG67" i="25" s="1"/>
  <c r="AF63" i="25"/>
  <c r="AG63" i="25" s="1"/>
  <c r="AF59" i="25"/>
  <c r="AG59" i="25" s="1"/>
  <c r="AF55" i="25"/>
  <c r="AG55" i="25" s="1"/>
  <c r="AF51" i="25"/>
  <c r="AG51" i="25" s="1"/>
  <c r="AF47" i="25"/>
  <c r="AG47" i="25" s="1"/>
  <c r="C38" i="25"/>
  <c r="AF168" i="24"/>
  <c r="AG168" i="24" s="1"/>
  <c r="AF164" i="24"/>
  <c r="AG164" i="24" s="1"/>
  <c r="AF160" i="24"/>
  <c r="AG160" i="24" s="1"/>
  <c r="AF156" i="24"/>
  <c r="AG156" i="24" s="1"/>
  <c r="AF152" i="24"/>
  <c r="AG152" i="24" s="1"/>
  <c r="AF148" i="24"/>
  <c r="AG148" i="24" s="1"/>
  <c r="AF144" i="24"/>
  <c r="AG144" i="24" s="1"/>
  <c r="AF140" i="24"/>
  <c r="AG140" i="24" s="1"/>
  <c r="AF136" i="24"/>
  <c r="AG136" i="24" s="1"/>
  <c r="AF132" i="24"/>
  <c r="AG132" i="24" s="1"/>
  <c r="AF128" i="24"/>
  <c r="AG128" i="24" s="1"/>
  <c r="AF124" i="24"/>
  <c r="AG124" i="24" s="1"/>
  <c r="AF120" i="24"/>
  <c r="AG120" i="24" s="1"/>
  <c r="AF116" i="24"/>
  <c r="AG116" i="24" s="1"/>
  <c r="AF112" i="24"/>
  <c r="AG112" i="24" s="1"/>
  <c r="AF108" i="24"/>
  <c r="AG108" i="24" s="1"/>
  <c r="AF104" i="24"/>
  <c r="AG104" i="24" s="1"/>
  <c r="AF100" i="24"/>
  <c r="AG100" i="24" s="1"/>
  <c r="AF96" i="24"/>
  <c r="AG96" i="24" s="1"/>
  <c r="AF92" i="24"/>
  <c r="AG92" i="24" s="1"/>
  <c r="AF88" i="24"/>
  <c r="AG88" i="24" s="1"/>
  <c r="AF84" i="24"/>
  <c r="AG84" i="24" s="1"/>
  <c r="AF80" i="24"/>
  <c r="AG80" i="24" s="1"/>
  <c r="AF76" i="24"/>
  <c r="AG76" i="24" s="1"/>
  <c r="AF72" i="24"/>
  <c r="AG72" i="24" s="1"/>
  <c r="AF71" i="24"/>
  <c r="AG71" i="24" s="1"/>
  <c r="AM71" i="24" s="1"/>
  <c r="AF68" i="24"/>
  <c r="AG68" i="24" s="1"/>
  <c r="AF64" i="24"/>
  <c r="AG64" i="24" s="1"/>
  <c r="AF60" i="24"/>
  <c r="AG60" i="24" s="1"/>
  <c r="AF56" i="24"/>
  <c r="AG56" i="24" s="1"/>
  <c r="AF52" i="24"/>
  <c r="AG52" i="24" s="1"/>
  <c r="AF48" i="24"/>
  <c r="AG48" i="24" s="1"/>
  <c r="AF169" i="24"/>
  <c r="AG169" i="24" s="1"/>
  <c r="AF165" i="24"/>
  <c r="AG165" i="24" s="1"/>
  <c r="AF161" i="24"/>
  <c r="AG161" i="24" s="1"/>
  <c r="AF157" i="24"/>
  <c r="AG157" i="24" s="1"/>
  <c r="AF153" i="24"/>
  <c r="AG153" i="24" s="1"/>
  <c r="AF149" i="24"/>
  <c r="AG149" i="24" s="1"/>
  <c r="AF145" i="24"/>
  <c r="AG145" i="24" s="1"/>
  <c r="AF141" i="24"/>
  <c r="AG141" i="24" s="1"/>
  <c r="AF137" i="24"/>
  <c r="AG137" i="24" s="1"/>
  <c r="AF133" i="24"/>
  <c r="AG133" i="24" s="1"/>
  <c r="AF129" i="24"/>
  <c r="AG129" i="24" s="1"/>
  <c r="AF125" i="24"/>
  <c r="AG125" i="24" s="1"/>
  <c r="AF121" i="24"/>
  <c r="AG121" i="24" s="1"/>
  <c r="AF117" i="24"/>
  <c r="AG117" i="24" s="1"/>
  <c r="AF113" i="24"/>
  <c r="AG113" i="24" s="1"/>
  <c r="AF109" i="24"/>
  <c r="AG109" i="24" s="1"/>
  <c r="AF105" i="24"/>
  <c r="AG105" i="24" s="1"/>
  <c r="AF101" i="24"/>
  <c r="AG101" i="24" s="1"/>
  <c r="AF97" i="24"/>
  <c r="AG97" i="24" s="1"/>
  <c r="AF93" i="24"/>
  <c r="AG93" i="24" s="1"/>
  <c r="AF89" i="24"/>
  <c r="AG89" i="24" s="1"/>
  <c r="AF85" i="24"/>
  <c r="AG85" i="24" s="1"/>
  <c r="AF81" i="24"/>
  <c r="AG81" i="24" s="1"/>
  <c r="AF77" i="24"/>
  <c r="AG77" i="24" s="1"/>
  <c r="AF73" i="24"/>
  <c r="AG73" i="24" s="1"/>
  <c r="AF67" i="24"/>
  <c r="AG67" i="24" s="1"/>
  <c r="AF63" i="24"/>
  <c r="AG63" i="24" s="1"/>
  <c r="AF59" i="24"/>
  <c r="AG59" i="24" s="1"/>
  <c r="AF55" i="24"/>
  <c r="AG55" i="24" s="1"/>
  <c r="AF51" i="24"/>
  <c r="AG51" i="24" s="1"/>
  <c r="AF47" i="24"/>
  <c r="AG47" i="24" s="1"/>
  <c r="C38" i="24"/>
  <c r="AF170" i="24"/>
  <c r="AG170" i="24" s="1"/>
  <c r="AF166" i="24"/>
  <c r="AG166" i="24" s="1"/>
  <c r="AF162" i="24"/>
  <c r="AG162" i="24" s="1"/>
  <c r="AF158" i="24"/>
  <c r="AG158" i="24" s="1"/>
  <c r="AF154" i="24"/>
  <c r="AG154" i="24" s="1"/>
  <c r="AF150" i="24"/>
  <c r="AG150" i="24" s="1"/>
  <c r="AF146" i="24"/>
  <c r="AG146" i="24" s="1"/>
  <c r="AF142" i="24"/>
  <c r="AG142" i="24" s="1"/>
  <c r="AF138" i="24"/>
  <c r="AG138" i="24" s="1"/>
  <c r="AF134" i="24"/>
  <c r="AG134" i="24" s="1"/>
  <c r="AF130" i="24"/>
  <c r="AG130" i="24" s="1"/>
  <c r="AF126" i="24"/>
  <c r="AG126" i="24" s="1"/>
  <c r="AF122" i="24"/>
  <c r="AG122" i="24" s="1"/>
  <c r="AF118" i="24"/>
  <c r="AG118" i="24" s="1"/>
  <c r="AF114" i="24"/>
  <c r="AG114" i="24" s="1"/>
  <c r="AF110" i="24"/>
  <c r="AG110" i="24" s="1"/>
  <c r="AF106" i="24"/>
  <c r="AG106" i="24" s="1"/>
  <c r="AF102" i="24"/>
  <c r="AG102" i="24" s="1"/>
  <c r="AF98" i="24"/>
  <c r="AG98" i="24" s="1"/>
  <c r="AF94" i="24"/>
  <c r="AG94" i="24" s="1"/>
  <c r="AF90" i="24"/>
  <c r="AG90" i="24" s="1"/>
  <c r="AF86" i="24"/>
  <c r="AG86" i="24" s="1"/>
  <c r="AF82" i="24"/>
  <c r="AG82" i="24" s="1"/>
  <c r="AF78" i="24"/>
  <c r="AG78" i="24" s="1"/>
  <c r="AF74" i="24"/>
  <c r="AG74" i="24" s="1"/>
  <c r="AF70" i="24"/>
  <c r="AF66" i="24"/>
  <c r="AG66" i="24" s="1"/>
  <c r="AH66" i="24" s="1"/>
  <c r="AF62" i="24"/>
  <c r="AG62" i="24" s="1"/>
  <c r="AF58" i="24"/>
  <c r="AG58" i="24" s="1"/>
  <c r="AF54" i="24"/>
  <c r="AG54" i="24" s="1"/>
  <c r="AF50" i="24"/>
  <c r="AG50" i="24" s="1"/>
  <c r="AF46" i="24"/>
  <c r="AG46" i="24" s="1"/>
  <c r="AF167" i="24"/>
  <c r="AG167" i="24" s="1"/>
  <c r="AF163" i="24"/>
  <c r="AG163" i="24" s="1"/>
  <c r="AF159" i="24"/>
  <c r="AG159" i="24" s="1"/>
  <c r="AF155" i="24"/>
  <c r="AG155" i="24" s="1"/>
  <c r="AF151" i="24"/>
  <c r="AG151" i="24" s="1"/>
  <c r="AF147" i="24"/>
  <c r="AG147" i="24" s="1"/>
  <c r="AF143" i="24"/>
  <c r="AG143" i="24" s="1"/>
  <c r="AF139" i="24"/>
  <c r="AG139" i="24" s="1"/>
  <c r="AF135" i="24"/>
  <c r="AG135" i="24" s="1"/>
  <c r="AF131" i="24"/>
  <c r="AG131" i="24" s="1"/>
  <c r="AF127" i="24"/>
  <c r="AG127" i="24" s="1"/>
  <c r="AF123" i="24"/>
  <c r="AG123" i="24" s="1"/>
  <c r="AF119" i="24"/>
  <c r="AG119" i="24" s="1"/>
  <c r="AF115" i="24"/>
  <c r="AG115" i="24" s="1"/>
  <c r="AF111" i="24"/>
  <c r="AG111" i="24" s="1"/>
  <c r="AF107" i="24"/>
  <c r="AG107" i="24" s="1"/>
  <c r="AF103" i="24"/>
  <c r="AG103" i="24" s="1"/>
  <c r="AF99" i="24"/>
  <c r="AG99" i="24" s="1"/>
  <c r="AF95" i="24"/>
  <c r="AG95" i="24" s="1"/>
  <c r="AF91" i="24"/>
  <c r="AG91" i="24" s="1"/>
  <c r="AF87" i="24"/>
  <c r="AG87" i="24" s="1"/>
  <c r="AF83" i="24"/>
  <c r="AG83" i="24" s="1"/>
  <c r="AF79" i="24"/>
  <c r="AG79" i="24" s="1"/>
  <c r="AF75" i="24"/>
  <c r="AG75" i="24" s="1"/>
  <c r="AF69" i="24"/>
  <c r="AG69" i="24" s="1"/>
  <c r="AF65" i="24"/>
  <c r="AG65" i="24" s="1"/>
  <c r="AF61" i="24"/>
  <c r="AG61" i="24" s="1"/>
  <c r="AF57" i="24"/>
  <c r="AG57" i="24" s="1"/>
  <c r="AF53" i="24"/>
  <c r="AG53" i="24" s="1"/>
  <c r="AF49" i="24"/>
  <c r="AG49" i="24" s="1"/>
  <c r="AF45" i="24"/>
  <c r="AG45" i="24" s="1"/>
  <c r="W71" i="24"/>
  <c r="W71" i="22"/>
  <c r="Q70" i="21"/>
  <c r="S70" i="21" s="1"/>
  <c r="AD70" i="21" s="1"/>
  <c r="U70" i="21"/>
  <c r="AC70" i="21" s="1"/>
  <c r="H70" i="21"/>
  <c r="Y70" i="21" s="1"/>
  <c r="J70" i="21"/>
  <c r="AA70" i="21" s="1"/>
  <c r="U70" i="3"/>
  <c r="Q70" i="3"/>
  <c r="L70" i="3"/>
  <c r="W70" i="3"/>
  <c r="J70" i="3"/>
  <c r="H70" i="3"/>
  <c r="I72" i="27"/>
  <c r="K73" i="27"/>
  <c r="W71" i="27"/>
  <c r="L71" i="27"/>
  <c r="AB71" i="27" s="1"/>
  <c r="U71" i="27"/>
  <c r="J71" i="27"/>
  <c r="AA71" i="27" s="1"/>
  <c r="F74" i="27"/>
  <c r="M77" i="27"/>
  <c r="Q71" i="27"/>
  <c r="S71" i="27" s="1"/>
  <c r="AD71" i="27" s="1"/>
  <c r="E72" i="27"/>
  <c r="M75" i="26"/>
  <c r="Q71" i="26"/>
  <c r="S71" i="26" s="1"/>
  <c r="AD71" i="26" s="1"/>
  <c r="L71" i="26"/>
  <c r="AB71" i="26" s="1"/>
  <c r="U71" i="26"/>
  <c r="W70" i="26"/>
  <c r="Q70" i="26"/>
  <c r="S70" i="26" s="1"/>
  <c r="AD70" i="26" s="1"/>
  <c r="L70" i="26"/>
  <c r="AB70" i="26" s="1"/>
  <c r="K73" i="26"/>
  <c r="I72" i="26"/>
  <c r="H72" i="26"/>
  <c r="F73" i="26"/>
  <c r="U70" i="26"/>
  <c r="W71" i="26"/>
  <c r="K73" i="25"/>
  <c r="H70" i="25"/>
  <c r="Y70" i="25" s="1"/>
  <c r="M74" i="25"/>
  <c r="U70" i="25"/>
  <c r="H71" i="25"/>
  <c r="Y71" i="25" s="1"/>
  <c r="F72" i="25"/>
  <c r="W70" i="25"/>
  <c r="D72" i="25"/>
  <c r="I72" i="25" s="1"/>
  <c r="C71" i="25"/>
  <c r="Z71" i="25" s="1"/>
  <c r="Q70" i="25"/>
  <c r="S70" i="25" s="1"/>
  <c r="AD70" i="25" s="1"/>
  <c r="G71" i="25"/>
  <c r="D72" i="24"/>
  <c r="I72" i="24" s="1"/>
  <c r="C71" i="24"/>
  <c r="Z71" i="24" s="1"/>
  <c r="M74" i="24"/>
  <c r="K73" i="24"/>
  <c r="L71" i="24"/>
  <c r="AB71" i="24" s="1"/>
  <c r="AJ71" i="24" s="1"/>
  <c r="U71" i="24"/>
  <c r="H70" i="24"/>
  <c r="Y70" i="24" s="1"/>
  <c r="Q71" i="24"/>
  <c r="S71" i="24" s="1"/>
  <c r="AD71" i="24" s="1"/>
  <c r="U70" i="24"/>
  <c r="L70" i="24"/>
  <c r="J70" i="24"/>
  <c r="W70" i="24"/>
  <c r="AN71" i="24"/>
  <c r="F74" i="24"/>
  <c r="AA70" i="26"/>
  <c r="AB70" i="25"/>
  <c r="AA71" i="24"/>
  <c r="K75" i="23"/>
  <c r="G71" i="23"/>
  <c r="AE71" i="23"/>
  <c r="M76" i="23"/>
  <c r="AC70" i="23"/>
  <c r="F73" i="23"/>
  <c r="H71" i="23"/>
  <c r="Y71" i="23" s="1"/>
  <c r="AA70" i="23"/>
  <c r="M75" i="22"/>
  <c r="C71" i="22"/>
  <c r="Z71" i="22" s="1"/>
  <c r="D72" i="22"/>
  <c r="H70" i="22"/>
  <c r="Y70" i="22" s="1"/>
  <c r="G70" i="22"/>
  <c r="F75" i="22"/>
  <c r="K74" i="22"/>
  <c r="S71" i="22"/>
  <c r="AD71" i="22" s="1"/>
  <c r="AA71" i="22"/>
  <c r="F73" i="21"/>
  <c r="H72" i="21"/>
  <c r="M73" i="21"/>
  <c r="I72" i="21"/>
  <c r="K73" i="21"/>
  <c r="G72" i="21"/>
  <c r="J72" i="21" s="1"/>
  <c r="Q71" i="21"/>
  <c r="W71" i="21"/>
  <c r="U71" i="21"/>
  <c r="Y71" i="21"/>
  <c r="N74" i="3"/>
  <c r="M75" i="3"/>
  <c r="B68" i="13"/>
  <c r="B77" i="11" s="1"/>
  <c r="B76" i="13"/>
  <c r="B85" i="11" s="1"/>
  <c r="B37" i="13"/>
  <c r="B46" i="11" s="1"/>
  <c r="J41" i="1"/>
  <c r="C39" i="26" s="1"/>
  <c r="B54" i="13"/>
  <c r="B63" i="11" s="1"/>
  <c r="B61" i="13"/>
  <c r="B70" i="11" s="1"/>
  <c r="B43" i="13"/>
  <c r="B52" i="11" s="1"/>
  <c r="B99" i="13"/>
  <c r="B108" i="11" s="1"/>
  <c r="B122" i="13"/>
  <c r="B47" i="13"/>
  <c r="B56" i="11" s="1"/>
  <c r="B50" i="13"/>
  <c r="B59" i="11" s="1"/>
  <c r="B30" i="13"/>
  <c r="B39" i="11" s="1"/>
  <c r="B46" i="13"/>
  <c r="B55" i="11" s="1"/>
  <c r="B66" i="13"/>
  <c r="B75" i="11" s="1"/>
  <c r="B88" i="13"/>
  <c r="B97" i="11" s="1"/>
  <c r="B45" i="13"/>
  <c r="B54" i="11" s="1"/>
  <c r="B28" i="13"/>
  <c r="B37" i="11" s="1"/>
  <c r="B79" i="13"/>
  <c r="B88" i="11" s="1"/>
  <c r="B82" i="13"/>
  <c r="B91" i="11" s="1"/>
  <c r="B123" i="13"/>
  <c r="B51" i="13"/>
  <c r="B60" i="11" s="1"/>
  <c r="B118" i="13"/>
  <c r="B38" i="13"/>
  <c r="B47" i="11" s="1"/>
  <c r="B77" i="13"/>
  <c r="B86" i="11" s="1"/>
  <c r="B116" i="13"/>
  <c r="B44" i="13"/>
  <c r="B53" i="11" s="1"/>
  <c r="B73" i="13"/>
  <c r="B82" i="11" s="1"/>
  <c r="B121" i="13"/>
  <c r="B98" i="13"/>
  <c r="B107" i="11" s="1"/>
  <c r="B115" i="13"/>
  <c r="B35" i="13"/>
  <c r="B44" i="11" s="1"/>
  <c r="B94" i="13"/>
  <c r="B103" i="11" s="1"/>
  <c r="B109" i="13"/>
  <c r="B29" i="13"/>
  <c r="B38" i="11" s="1"/>
  <c r="B60" i="13"/>
  <c r="B69" i="11" s="1"/>
  <c r="B120" i="13"/>
  <c r="B57" i="13"/>
  <c r="B66" i="11" s="1"/>
  <c r="B42" i="13"/>
  <c r="B51" i="11" s="1"/>
  <c r="B96" i="13"/>
  <c r="B105" i="11" s="1"/>
  <c r="B103" i="13"/>
  <c r="B112" i="11" s="1"/>
  <c r="B55" i="13"/>
  <c r="B64" i="11" s="1"/>
  <c r="B107" i="13"/>
  <c r="B27" i="13"/>
  <c r="B36" i="11" s="1"/>
  <c r="B86" i="13"/>
  <c r="B95" i="11" s="1"/>
  <c r="B101" i="13"/>
  <c r="B110" i="11" s="1"/>
  <c r="B52" i="13"/>
  <c r="B61" i="11" s="1"/>
  <c r="B69" i="13"/>
  <c r="B78" i="11" s="1"/>
  <c r="B59" i="13"/>
  <c r="B68" i="11" s="1"/>
  <c r="B58" i="13"/>
  <c r="B67" i="11" s="1"/>
  <c r="B95" i="13"/>
  <c r="B104" i="11" s="1"/>
  <c r="B84" i="13"/>
  <c r="B93" i="11" s="1"/>
  <c r="B62" i="13"/>
  <c r="B71" i="11" s="1"/>
  <c r="B97" i="13"/>
  <c r="B106" i="11" s="1"/>
  <c r="AQ26" i="13"/>
  <c r="Y27" i="13"/>
  <c r="AQ27" i="13" s="1"/>
  <c r="Y28" i="13" s="1"/>
  <c r="AQ28" i="13" s="1"/>
  <c r="B92" i="13"/>
  <c r="B101" i="11" s="1"/>
  <c r="B85" i="13"/>
  <c r="B94" i="11" s="1"/>
  <c r="B102" i="13"/>
  <c r="B111" i="11" s="1"/>
  <c r="B75" i="13"/>
  <c r="B84" i="11" s="1"/>
  <c r="B113" i="13"/>
  <c r="B41" i="13"/>
  <c r="B50" i="11" s="1"/>
  <c r="AO28" i="13"/>
  <c r="W29" i="13"/>
  <c r="B108" i="13"/>
  <c r="B93" i="13"/>
  <c r="B102" i="11" s="1"/>
  <c r="B110" i="13"/>
  <c r="B83" i="13"/>
  <c r="B92" i="11" s="1"/>
  <c r="B39" i="13"/>
  <c r="B48" i="11" s="1"/>
  <c r="B63" i="13"/>
  <c r="B72" i="11" s="1"/>
  <c r="B87" i="13"/>
  <c r="B96" i="11" s="1"/>
  <c r="B124" i="13"/>
  <c r="B125" i="13"/>
  <c r="B25" i="13"/>
  <c r="B34" i="11" s="1"/>
  <c r="B91" i="13"/>
  <c r="B100" i="11" s="1"/>
  <c r="B114" i="13"/>
  <c r="B80" i="13"/>
  <c r="B89" i="11" s="1"/>
  <c r="B112" i="13"/>
  <c r="B26" i="13"/>
  <c r="B35" i="11" s="1"/>
  <c r="B33" i="13"/>
  <c r="B42" i="11" s="1"/>
  <c r="B64" i="13"/>
  <c r="B73" i="11" s="1"/>
  <c r="D24" i="13"/>
  <c r="D32" i="11" s="1"/>
  <c r="Y71" i="3"/>
  <c r="B49" i="13"/>
  <c r="B58" i="11" s="1"/>
  <c r="B90" i="13"/>
  <c r="B99" i="11" s="1"/>
  <c r="B56" i="13"/>
  <c r="B65" i="11" s="1"/>
  <c r="B119" i="13"/>
  <c r="B72" i="13"/>
  <c r="B81" i="11" s="1"/>
  <c r="B48" i="13"/>
  <c r="B57" i="11" s="1"/>
  <c r="B106" i="13"/>
  <c r="B71" i="13"/>
  <c r="B80" i="11" s="1"/>
  <c r="B65" i="13"/>
  <c r="B74" i="11" s="1"/>
  <c r="B74" i="13"/>
  <c r="B83" i="11" s="1"/>
  <c r="B89" i="13"/>
  <c r="B98" i="11" s="1"/>
  <c r="B36" i="13"/>
  <c r="B45" i="11" s="1"/>
  <c r="B100" i="13"/>
  <c r="B109" i="11" s="1"/>
  <c r="B53" i="13"/>
  <c r="B62" i="11" s="1"/>
  <c r="B117" i="13"/>
  <c r="B78" i="13"/>
  <c r="B87" i="11" s="1"/>
  <c r="B31" i="13"/>
  <c r="B40" i="11" s="1"/>
  <c r="B67" i="13"/>
  <c r="B76" i="11" s="1"/>
  <c r="B34" i="13"/>
  <c r="B43" i="11" s="1"/>
  <c r="B70" i="13"/>
  <c r="B79" i="11" s="1"/>
  <c r="B40" i="13"/>
  <c r="B49" i="11" s="1"/>
  <c r="B104" i="13"/>
  <c r="B113" i="11" s="1"/>
  <c r="B111" i="13"/>
  <c r="E15" i="11"/>
  <c r="E24" i="13"/>
  <c r="E32" i="11" s="1"/>
  <c r="G15" i="11"/>
  <c r="G24" i="13"/>
  <c r="G32" i="11" s="1"/>
  <c r="F15" i="11"/>
  <c r="F24" i="13"/>
  <c r="F32" i="11" s="1"/>
  <c r="J15" i="11"/>
  <c r="J24" i="13"/>
  <c r="J32" i="11" s="1"/>
  <c r="I15" i="11"/>
  <c r="I24" i="13"/>
  <c r="I32" i="11" s="1"/>
  <c r="I41" i="1"/>
  <c r="C39" i="25" s="1"/>
  <c r="H41" i="1"/>
  <c r="C39" i="24" s="1"/>
  <c r="K41" i="1"/>
  <c r="C39" i="27" s="1"/>
  <c r="H15" i="11"/>
  <c r="H24" i="13"/>
  <c r="H32" i="11" s="1"/>
  <c r="AR26" i="13"/>
  <c r="Z27" i="13" s="1"/>
  <c r="AR27" i="13" s="1"/>
  <c r="AT26" i="13"/>
  <c r="AB27" i="13" s="1"/>
  <c r="AT27" i="13" s="1"/>
  <c r="AB28" i="13" s="1"/>
  <c r="AS27" i="13"/>
  <c r="AA28" i="13" s="1"/>
  <c r="AS28" i="13" s="1"/>
  <c r="AT28" i="13"/>
  <c r="AB29" i="13" s="1"/>
  <c r="AT29" i="13" s="1"/>
  <c r="AB30" i="13" s="1"/>
  <c r="AN28" i="13"/>
  <c r="V29" i="13" s="1"/>
  <c r="AN29" i="13" s="1"/>
  <c r="V30" i="13" s="1"/>
  <c r="AP28" i="13"/>
  <c r="X29" i="13" s="1"/>
  <c r="AP29" i="13" s="1"/>
  <c r="X30" i="13" s="1"/>
  <c r="AM28" i="13"/>
  <c r="U29" i="13"/>
  <c r="AM29" i="13" s="1"/>
  <c r="U30" i="13" s="1"/>
  <c r="AO29" i="13"/>
  <c r="W30" i="13" s="1"/>
  <c r="AM71" i="25" l="1"/>
  <c r="AN72" i="26"/>
  <c r="J72" i="26"/>
  <c r="AC71" i="22"/>
  <c r="AJ71" i="27"/>
  <c r="AN71" i="26"/>
  <c r="AH71" i="25"/>
  <c r="AC70" i="26"/>
  <c r="AM71" i="26"/>
  <c r="AL71" i="27"/>
  <c r="AN71" i="27"/>
  <c r="AI71" i="27"/>
  <c r="AM71" i="27"/>
  <c r="AL53" i="27"/>
  <c r="AJ53" i="27"/>
  <c r="AK53" i="27"/>
  <c r="AH53" i="27"/>
  <c r="AI53" i="27"/>
  <c r="AK50" i="27"/>
  <c r="AI50" i="27"/>
  <c r="AL50" i="27"/>
  <c r="AH50" i="27"/>
  <c r="AJ50" i="27"/>
  <c r="AJ55" i="27"/>
  <c r="AH55" i="27"/>
  <c r="AK55" i="27"/>
  <c r="AI55" i="27"/>
  <c r="AL55" i="27"/>
  <c r="AJ56" i="27"/>
  <c r="AL56" i="27"/>
  <c r="AI56" i="27"/>
  <c r="AK56" i="27"/>
  <c r="AH56" i="27"/>
  <c r="AL59" i="27"/>
  <c r="AI59" i="27"/>
  <c r="AK59" i="27"/>
  <c r="AJ59" i="27"/>
  <c r="AH59" i="27"/>
  <c r="AI60" i="27"/>
  <c r="AL60" i="27"/>
  <c r="AK60" i="27"/>
  <c r="AH60" i="27"/>
  <c r="AJ60" i="27"/>
  <c r="AH57" i="27"/>
  <c r="AI57" i="27"/>
  <c r="AK57" i="27"/>
  <c r="AJ57" i="27"/>
  <c r="AL57" i="27"/>
  <c r="AJ54" i="27"/>
  <c r="AK54" i="27"/>
  <c r="AL54" i="27"/>
  <c r="AH54" i="27"/>
  <c r="AI54" i="27"/>
  <c r="AH61" i="27"/>
  <c r="AI61" i="27"/>
  <c r="AL61" i="27"/>
  <c r="AK61" i="27"/>
  <c r="AJ61" i="27"/>
  <c r="AK58" i="27"/>
  <c r="AL58" i="27"/>
  <c r="AJ58" i="27"/>
  <c r="AI58" i="27"/>
  <c r="AH58" i="27"/>
  <c r="AJ63" i="27"/>
  <c r="AH63" i="27"/>
  <c r="AK63" i="27"/>
  <c r="AL63" i="27"/>
  <c r="AI63" i="27"/>
  <c r="AL64" i="27"/>
  <c r="AI64" i="27"/>
  <c r="AK64" i="27"/>
  <c r="AH64" i="27"/>
  <c r="AJ64" i="27"/>
  <c r="AK65" i="27"/>
  <c r="AL65" i="27"/>
  <c r="AH65" i="27"/>
  <c r="AJ65" i="27"/>
  <c r="AI65" i="27"/>
  <c r="AL62" i="27"/>
  <c r="AK62" i="27"/>
  <c r="AH62" i="27"/>
  <c r="AI62" i="27"/>
  <c r="AJ62" i="27"/>
  <c r="AL67" i="27"/>
  <c r="AK67" i="27"/>
  <c r="AJ67" i="27"/>
  <c r="AI67" i="27"/>
  <c r="AI68" i="27"/>
  <c r="AL68" i="27"/>
  <c r="AH68" i="27"/>
  <c r="AK68" i="27"/>
  <c r="AJ68" i="27"/>
  <c r="AJ69" i="27"/>
  <c r="AL69" i="27"/>
  <c r="AK69" i="27"/>
  <c r="AI69" i="27"/>
  <c r="AJ66" i="27"/>
  <c r="AL66" i="27"/>
  <c r="AH66" i="27"/>
  <c r="AI66" i="27"/>
  <c r="AK66" i="27"/>
  <c r="AG70" i="27"/>
  <c r="G10" i="27"/>
  <c r="I10" i="27" s="1"/>
  <c r="K53" i="1" s="1"/>
  <c r="J23" i="11" s="1"/>
  <c r="AH45" i="27"/>
  <c r="AI45" i="27"/>
  <c r="AJ45" i="27"/>
  <c r="AL45" i="27"/>
  <c r="AK45" i="27"/>
  <c r="AJ47" i="27"/>
  <c r="AK47" i="27"/>
  <c r="AL47" i="27"/>
  <c r="AH47" i="27"/>
  <c r="AI47" i="27"/>
  <c r="AL48" i="27"/>
  <c r="AJ48" i="27"/>
  <c r="AI48" i="27"/>
  <c r="AH48" i="27"/>
  <c r="AK48" i="27"/>
  <c r="AH69" i="27"/>
  <c r="AH49" i="27"/>
  <c r="AL49" i="27"/>
  <c r="AI49" i="27"/>
  <c r="AJ49" i="27"/>
  <c r="AK49" i="27"/>
  <c r="AH46" i="27"/>
  <c r="AL46" i="27"/>
  <c r="AK46" i="27"/>
  <c r="AI46" i="27"/>
  <c r="AJ46" i="27"/>
  <c r="AK51" i="27"/>
  <c r="AL51" i="27"/>
  <c r="AH51" i="27"/>
  <c r="AI51" i="27"/>
  <c r="AJ51" i="27"/>
  <c r="AI52" i="27"/>
  <c r="AL52" i="27"/>
  <c r="AK52" i="27"/>
  <c r="AH52" i="27"/>
  <c r="AJ52" i="27"/>
  <c r="AL66" i="26"/>
  <c r="AK66" i="26"/>
  <c r="AJ66" i="26"/>
  <c r="AI66" i="26"/>
  <c r="AI67" i="26"/>
  <c r="AH67" i="26"/>
  <c r="AL67" i="26"/>
  <c r="AJ67" i="26"/>
  <c r="AK67" i="26"/>
  <c r="AJ68" i="26"/>
  <c r="AL68" i="26"/>
  <c r="AI68" i="26"/>
  <c r="AK68" i="26"/>
  <c r="AL45" i="26"/>
  <c r="AK45" i="26"/>
  <c r="AJ45" i="26"/>
  <c r="AI45" i="26"/>
  <c r="AH45" i="26"/>
  <c r="G10" i="26"/>
  <c r="I10" i="26" s="1"/>
  <c r="J53" i="1" s="1"/>
  <c r="I23" i="11" s="1"/>
  <c r="AG70" i="26"/>
  <c r="AL70" i="26" s="1"/>
  <c r="AK49" i="26"/>
  <c r="AL49" i="26"/>
  <c r="AH49" i="26"/>
  <c r="AI49" i="26"/>
  <c r="AJ49" i="26"/>
  <c r="AL46" i="26"/>
  <c r="AK46" i="26"/>
  <c r="AJ46" i="26"/>
  <c r="AH46" i="26"/>
  <c r="AI46" i="26"/>
  <c r="AK47" i="26"/>
  <c r="AJ47" i="26"/>
  <c r="AI47" i="26"/>
  <c r="AL47" i="26"/>
  <c r="AH47" i="26"/>
  <c r="AK48" i="26"/>
  <c r="AH48" i="26"/>
  <c r="AJ48" i="26"/>
  <c r="AI48" i="26"/>
  <c r="AL48" i="26"/>
  <c r="AI53" i="26"/>
  <c r="AK53" i="26"/>
  <c r="AL53" i="26"/>
  <c r="AJ53" i="26"/>
  <c r="AH53" i="26"/>
  <c r="AI71" i="26"/>
  <c r="AI50" i="26"/>
  <c r="AJ50" i="26"/>
  <c r="AH50" i="26"/>
  <c r="AK50" i="26"/>
  <c r="AL50" i="26"/>
  <c r="AL51" i="26"/>
  <c r="AI51" i="26"/>
  <c r="AJ51" i="26"/>
  <c r="AK51" i="26"/>
  <c r="AH51" i="26"/>
  <c r="AI52" i="26"/>
  <c r="AL52" i="26"/>
  <c r="AJ52" i="26"/>
  <c r="AK52" i="26"/>
  <c r="AH52" i="26"/>
  <c r="AI57" i="26"/>
  <c r="AH57" i="26"/>
  <c r="AK57" i="26"/>
  <c r="AJ57" i="26"/>
  <c r="AL57" i="26"/>
  <c r="AH66" i="26"/>
  <c r="AJ54" i="26"/>
  <c r="AH54" i="26"/>
  <c r="AK54" i="26"/>
  <c r="AI54" i="26"/>
  <c r="AL54" i="26"/>
  <c r="AK55" i="26"/>
  <c r="AI55" i="26"/>
  <c r="AH55" i="26"/>
  <c r="AL55" i="26"/>
  <c r="AJ55" i="26"/>
  <c r="AH56" i="26"/>
  <c r="AK56" i="26"/>
  <c r="AJ56" i="26"/>
  <c r="AL56" i="26"/>
  <c r="AI56" i="26"/>
  <c r="AJ61" i="26"/>
  <c r="AH61" i="26"/>
  <c r="AK61" i="26"/>
  <c r="AI61" i="26"/>
  <c r="AL61" i="26"/>
  <c r="U72" i="26"/>
  <c r="L72" i="26"/>
  <c r="Q72" i="26"/>
  <c r="AJ71" i="26"/>
  <c r="AL58" i="26"/>
  <c r="AH58" i="26"/>
  <c r="AI58" i="26"/>
  <c r="AK58" i="26"/>
  <c r="AJ58" i="26"/>
  <c r="AH59" i="26"/>
  <c r="AL59" i="26"/>
  <c r="AK59" i="26"/>
  <c r="AI59" i="26"/>
  <c r="AJ59" i="26"/>
  <c r="AL60" i="26"/>
  <c r="AJ60" i="26"/>
  <c r="AK60" i="26"/>
  <c r="AI60" i="26"/>
  <c r="AH60" i="26"/>
  <c r="AI65" i="26"/>
  <c r="AK65" i="26"/>
  <c r="AJ65" i="26"/>
  <c r="AH65" i="26"/>
  <c r="AL65" i="26"/>
  <c r="AC71" i="26"/>
  <c r="AK71" i="26" s="1"/>
  <c r="AL71" i="26"/>
  <c r="AK62" i="26"/>
  <c r="AL62" i="26"/>
  <c r="AI62" i="26"/>
  <c r="AJ62" i="26"/>
  <c r="AH62" i="26"/>
  <c r="AJ63" i="26"/>
  <c r="AI63" i="26"/>
  <c r="AK63" i="26"/>
  <c r="AL63" i="26"/>
  <c r="AH63" i="26"/>
  <c r="AK64" i="26"/>
  <c r="AI64" i="26"/>
  <c r="AJ64" i="26"/>
  <c r="AH64" i="26"/>
  <c r="AL64" i="26"/>
  <c r="AI69" i="26"/>
  <c r="AK69" i="26"/>
  <c r="AL69" i="26"/>
  <c r="AH69" i="26"/>
  <c r="AJ69" i="26"/>
  <c r="AL45" i="25"/>
  <c r="AI45" i="25"/>
  <c r="AJ45" i="25"/>
  <c r="AH45" i="25"/>
  <c r="AK45" i="25"/>
  <c r="AG70" i="25"/>
  <c r="G10" i="25"/>
  <c r="I10" i="25" s="1"/>
  <c r="I53" i="1" s="1"/>
  <c r="H23" i="11" s="1"/>
  <c r="AK59" i="25"/>
  <c r="AL59" i="25"/>
  <c r="AI59" i="25"/>
  <c r="AJ59" i="25"/>
  <c r="AH59" i="25"/>
  <c r="AJ65" i="25"/>
  <c r="AI65" i="25"/>
  <c r="AL65" i="25"/>
  <c r="AK65" i="25"/>
  <c r="AH65" i="25"/>
  <c r="AJ67" i="25"/>
  <c r="AI67" i="25"/>
  <c r="AK67" i="25"/>
  <c r="AL67" i="25"/>
  <c r="AL48" i="25"/>
  <c r="AJ48" i="25"/>
  <c r="AH48" i="25"/>
  <c r="AK48" i="25"/>
  <c r="AI48" i="25"/>
  <c r="AL49" i="25"/>
  <c r="AI49" i="25"/>
  <c r="AH49" i="25"/>
  <c r="AJ49" i="25"/>
  <c r="AK49" i="25"/>
  <c r="AK46" i="25"/>
  <c r="AI46" i="25"/>
  <c r="AJ46" i="25"/>
  <c r="AL46" i="25"/>
  <c r="AH46" i="25"/>
  <c r="AH67" i="25"/>
  <c r="AK68" i="25"/>
  <c r="AI68" i="25"/>
  <c r="AL68" i="25"/>
  <c r="AJ68" i="25"/>
  <c r="AI69" i="25"/>
  <c r="AJ69" i="25"/>
  <c r="AL69" i="25"/>
  <c r="AK69" i="25"/>
  <c r="AL47" i="25"/>
  <c r="AH47" i="25"/>
  <c r="AJ47" i="25"/>
  <c r="AI47" i="25"/>
  <c r="AK47" i="25"/>
  <c r="AL52" i="25"/>
  <c r="AH52" i="25"/>
  <c r="AI52" i="25"/>
  <c r="AK52" i="25"/>
  <c r="AJ52" i="25"/>
  <c r="AH53" i="25"/>
  <c r="AL53" i="25"/>
  <c r="AK53" i="25"/>
  <c r="AI53" i="25"/>
  <c r="AJ53" i="25"/>
  <c r="AH50" i="25"/>
  <c r="AL50" i="25"/>
  <c r="AJ50" i="25"/>
  <c r="AK50" i="25"/>
  <c r="AI50" i="25"/>
  <c r="AH68" i="25"/>
  <c r="AI51" i="25"/>
  <c r="AH51" i="25"/>
  <c r="AJ51" i="25"/>
  <c r="AK51" i="25"/>
  <c r="AL51" i="25"/>
  <c r="AJ56" i="25"/>
  <c r="AH56" i="25"/>
  <c r="AI56" i="25"/>
  <c r="AL56" i="25"/>
  <c r="AK56" i="25"/>
  <c r="AK57" i="25"/>
  <c r="AL57" i="25"/>
  <c r="AI57" i="25"/>
  <c r="AJ57" i="25"/>
  <c r="AH57" i="25"/>
  <c r="AL54" i="25"/>
  <c r="AK54" i="25"/>
  <c r="AJ54" i="25"/>
  <c r="AH54" i="25"/>
  <c r="AI54" i="25"/>
  <c r="AJ64" i="25"/>
  <c r="AH64" i="25"/>
  <c r="AI64" i="25"/>
  <c r="AL64" i="25"/>
  <c r="AK64" i="25"/>
  <c r="AL62" i="25"/>
  <c r="AJ62" i="25"/>
  <c r="AI62" i="25"/>
  <c r="AK62" i="25"/>
  <c r="AH62" i="25"/>
  <c r="AI63" i="25"/>
  <c r="AK63" i="25"/>
  <c r="AH63" i="25"/>
  <c r="AL63" i="25"/>
  <c r="AJ63" i="25"/>
  <c r="AK66" i="25"/>
  <c r="AL66" i="25"/>
  <c r="AJ66" i="25"/>
  <c r="AI66" i="25"/>
  <c r="AL55" i="25"/>
  <c r="AH55" i="25"/>
  <c r="AK55" i="25"/>
  <c r="AI55" i="25"/>
  <c r="AJ55" i="25"/>
  <c r="AL60" i="25"/>
  <c r="AH60" i="25"/>
  <c r="AI60" i="25"/>
  <c r="AK60" i="25"/>
  <c r="AJ60" i="25"/>
  <c r="AK61" i="25"/>
  <c r="AI61" i="25"/>
  <c r="AH61" i="25"/>
  <c r="AJ61" i="25"/>
  <c r="AL61" i="25"/>
  <c r="AK58" i="25"/>
  <c r="AJ58" i="25"/>
  <c r="AL58" i="25"/>
  <c r="AI58" i="25"/>
  <c r="AH58" i="25"/>
  <c r="AH69" i="25"/>
  <c r="AH66" i="25"/>
  <c r="AL63" i="24"/>
  <c r="AK63" i="24"/>
  <c r="AJ63" i="24"/>
  <c r="AI63" i="24"/>
  <c r="AH63" i="24"/>
  <c r="AK65" i="24"/>
  <c r="AL65" i="24"/>
  <c r="AJ65" i="24"/>
  <c r="AH65" i="24"/>
  <c r="AI65" i="24"/>
  <c r="AK69" i="24"/>
  <c r="AL69" i="24"/>
  <c r="AI69" i="24"/>
  <c r="AH69" i="24"/>
  <c r="AJ69" i="24"/>
  <c r="AL71" i="24"/>
  <c r="AK53" i="24"/>
  <c r="AL53" i="24"/>
  <c r="AJ53" i="24"/>
  <c r="AH53" i="24"/>
  <c r="AI53" i="24"/>
  <c r="AI58" i="24"/>
  <c r="AH58" i="24"/>
  <c r="AK58" i="24"/>
  <c r="AL58" i="24"/>
  <c r="AJ58" i="24"/>
  <c r="AL55" i="24"/>
  <c r="AH55" i="24"/>
  <c r="AJ55" i="24"/>
  <c r="AI55" i="24"/>
  <c r="AK55" i="24"/>
  <c r="AI60" i="24"/>
  <c r="AK60" i="24"/>
  <c r="AJ60" i="24"/>
  <c r="AL60" i="24"/>
  <c r="AH60" i="24"/>
  <c r="AH64" i="24"/>
  <c r="AK64" i="24"/>
  <c r="AL64" i="24"/>
  <c r="AI64" i="24"/>
  <c r="AJ64" i="24"/>
  <c r="AI59" i="24"/>
  <c r="AL59" i="24"/>
  <c r="AH59" i="24"/>
  <c r="AK59" i="24"/>
  <c r="AJ59" i="24"/>
  <c r="G10" i="24"/>
  <c r="I10" i="24" s="1"/>
  <c r="H53" i="1" s="1"/>
  <c r="G23" i="11" s="1"/>
  <c r="AG70" i="24"/>
  <c r="AL67" i="24"/>
  <c r="AK67" i="24"/>
  <c r="AI67" i="24"/>
  <c r="AJ67" i="24"/>
  <c r="AJ62" i="24"/>
  <c r="AH62" i="24"/>
  <c r="AI62" i="24"/>
  <c r="AK62" i="24"/>
  <c r="AL62" i="24"/>
  <c r="AK57" i="24"/>
  <c r="AJ57" i="24"/>
  <c r="AL57" i="24"/>
  <c r="AI57" i="24"/>
  <c r="AH57" i="24"/>
  <c r="AL61" i="24"/>
  <c r="AK61" i="24"/>
  <c r="AJ61" i="24"/>
  <c r="AI61" i="24"/>
  <c r="AH61" i="24"/>
  <c r="AL68" i="24"/>
  <c r="AH68" i="24"/>
  <c r="AK68" i="24"/>
  <c r="AJ68" i="24"/>
  <c r="AI68" i="24"/>
  <c r="AJ46" i="24"/>
  <c r="AH46" i="24"/>
  <c r="AI46" i="24"/>
  <c r="AK46" i="24"/>
  <c r="AL46" i="24"/>
  <c r="AK48" i="24"/>
  <c r="AI48" i="24"/>
  <c r="AJ48" i="24"/>
  <c r="AH48" i="24"/>
  <c r="AL48" i="24"/>
  <c r="AL45" i="24"/>
  <c r="AK45" i="24"/>
  <c r="AJ45" i="24"/>
  <c r="AI45" i="24"/>
  <c r="AH45" i="24"/>
  <c r="AJ50" i="24"/>
  <c r="AK50" i="24"/>
  <c r="AI50" i="24"/>
  <c r="AH50" i="24"/>
  <c r="AL50" i="24"/>
  <c r="AL47" i="24"/>
  <c r="AJ47" i="24"/>
  <c r="AK47" i="24"/>
  <c r="AH47" i="24"/>
  <c r="AI47" i="24"/>
  <c r="AL52" i="24"/>
  <c r="AJ52" i="24"/>
  <c r="AI52" i="24"/>
  <c r="AH52" i="24"/>
  <c r="AK52" i="24"/>
  <c r="AH67" i="24"/>
  <c r="AL66" i="24"/>
  <c r="AJ66" i="24"/>
  <c r="AK66" i="24"/>
  <c r="AI66" i="24"/>
  <c r="AI71" i="24"/>
  <c r="AH71" i="24"/>
  <c r="AK49" i="24"/>
  <c r="AJ49" i="24"/>
  <c r="AL49" i="24"/>
  <c r="AI49" i="24"/>
  <c r="AH49" i="24"/>
  <c r="AJ54" i="24"/>
  <c r="AI54" i="24"/>
  <c r="AH54" i="24"/>
  <c r="AK54" i="24"/>
  <c r="AL54" i="24"/>
  <c r="AI51" i="24"/>
  <c r="AJ51" i="24"/>
  <c r="AH51" i="24"/>
  <c r="AK51" i="24"/>
  <c r="AL51" i="24"/>
  <c r="AI56" i="24"/>
  <c r="AL56" i="24"/>
  <c r="AJ56" i="24"/>
  <c r="AH56" i="24"/>
  <c r="AK56" i="24"/>
  <c r="AC71" i="27"/>
  <c r="AK71" i="27" s="1"/>
  <c r="M78" i="27"/>
  <c r="F75" i="27"/>
  <c r="K74" i="27"/>
  <c r="G72" i="27"/>
  <c r="H72" i="27"/>
  <c r="Y72" i="27" s="1"/>
  <c r="AM72" i="27" s="1"/>
  <c r="K74" i="26"/>
  <c r="M76" i="26"/>
  <c r="F74" i="26"/>
  <c r="W71" i="25"/>
  <c r="U71" i="25"/>
  <c r="L71" i="25"/>
  <c r="AB71" i="25" s="1"/>
  <c r="AJ71" i="25" s="1"/>
  <c r="Q71" i="25"/>
  <c r="S71" i="25" s="1"/>
  <c r="AD71" i="25" s="1"/>
  <c r="AL71" i="25" s="1"/>
  <c r="J71" i="25"/>
  <c r="AA71" i="25" s="1"/>
  <c r="AI71" i="25" s="1"/>
  <c r="M75" i="25"/>
  <c r="AN71" i="25"/>
  <c r="K74" i="25"/>
  <c r="E72" i="25"/>
  <c r="G72" i="25" s="1"/>
  <c r="L72" i="25" s="1"/>
  <c r="F73" i="25"/>
  <c r="K74" i="24"/>
  <c r="F75" i="24"/>
  <c r="M75" i="24"/>
  <c r="E72" i="24"/>
  <c r="AE72" i="24" s="1"/>
  <c r="D73" i="24" s="1"/>
  <c r="AE72" i="27"/>
  <c r="Y72" i="26"/>
  <c r="AM72" i="26" s="1"/>
  <c r="AE72" i="26"/>
  <c r="AC70" i="25"/>
  <c r="AB70" i="24"/>
  <c r="S70" i="24"/>
  <c r="AD70" i="24" s="1"/>
  <c r="AC70" i="24"/>
  <c r="AA70" i="24"/>
  <c r="AC71" i="24"/>
  <c r="AK71" i="24" s="1"/>
  <c r="W71" i="23"/>
  <c r="L71" i="23"/>
  <c r="AB71" i="23" s="1"/>
  <c r="J71" i="23"/>
  <c r="AA71" i="23" s="1"/>
  <c r="Q71" i="23"/>
  <c r="S71" i="23" s="1"/>
  <c r="AD71" i="23" s="1"/>
  <c r="U71" i="23"/>
  <c r="D72" i="23"/>
  <c r="C71" i="23"/>
  <c r="Z71" i="23" s="1"/>
  <c r="K76" i="23"/>
  <c r="M77" i="23"/>
  <c r="F74" i="23"/>
  <c r="F76" i="22"/>
  <c r="L70" i="22"/>
  <c r="AB70" i="22" s="1"/>
  <c r="W70" i="22"/>
  <c r="U70" i="22"/>
  <c r="J70" i="22"/>
  <c r="AA70" i="22" s="1"/>
  <c r="Q70" i="22"/>
  <c r="S70" i="22" s="1"/>
  <c r="AD70" i="22" s="1"/>
  <c r="E72" i="22"/>
  <c r="I72" i="22"/>
  <c r="K75" i="22"/>
  <c r="M76" i="22"/>
  <c r="Q72" i="21"/>
  <c r="U72" i="21"/>
  <c r="W72" i="21"/>
  <c r="K74" i="21"/>
  <c r="M74" i="21"/>
  <c r="L72" i="21"/>
  <c r="F74" i="21"/>
  <c r="AA71" i="21"/>
  <c r="S71" i="21"/>
  <c r="AD71" i="21" s="1"/>
  <c r="AB71" i="21"/>
  <c r="AE72" i="21"/>
  <c r="Y72" i="21"/>
  <c r="N75" i="3"/>
  <c r="M76" i="3"/>
  <c r="S71" i="3"/>
  <c r="AD71" i="3" s="1"/>
  <c r="Z28" i="13"/>
  <c r="AR28" i="13" s="1"/>
  <c r="Z29" i="13" s="1"/>
  <c r="Y29" i="13"/>
  <c r="AQ29" i="13" s="1"/>
  <c r="Y30" i="13" s="1"/>
  <c r="AQ30" i="13" s="1"/>
  <c r="Y31" i="13" s="1"/>
  <c r="Y70" i="3"/>
  <c r="AA29" i="13"/>
  <c r="AS29" i="13" s="1"/>
  <c r="AA30" i="13" s="1"/>
  <c r="AS30" i="13" s="1"/>
  <c r="AA31" i="13" s="1"/>
  <c r="AP30" i="13"/>
  <c r="X31" i="13" s="1"/>
  <c r="AR29" i="13"/>
  <c r="Z30" i="13" s="1"/>
  <c r="AN30" i="13"/>
  <c r="V31" i="13" s="1"/>
  <c r="AT30" i="13"/>
  <c r="AB31" i="13" s="1"/>
  <c r="AM30" i="13"/>
  <c r="U31" i="13" s="1"/>
  <c r="AO30" i="13"/>
  <c r="W31" i="13" s="1"/>
  <c r="AC71" i="25" l="1"/>
  <c r="AK71" i="25" s="1"/>
  <c r="AJ70" i="24"/>
  <c r="H72" i="25"/>
  <c r="AJ70" i="26"/>
  <c r="AL70" i="24"/>
  <c r="AK70" i="24"/>
  <c r="AI70" i="24"/>
  <c r="AN70" i="27"/>
  <c r="AK70" i="27"/>
  <c r="AI70" i="27"/>
  <c r="AM70" i="27"/>
  <c r="AJ70" i="27"/>
  <c r="AL70" i="27"/>
  <c r="AH70" i="27"/>
  <c r="AM70" i="26"/>
  <c r="AN70" i="26"/>
  <c r="AH70" i="26"/>
  <c r="AI70" i="26"/>
  <c r="AK70" i="26"/>
  <c r="AN70" i="25"/>
  <c r="AI70" i="25"/>
  <c r="AH70" i="25"/>
  <c r="AM70" i="25"/>
  <c r="AJ70" i="25"/>
  <c r="AK70" i="25"/>
  <c r="AL70" i="25"/>
  <c r="C72" i="24"/>
  <c r="Z72" i="24" s="1"/>
  <c r="AH72" i="24" s="1"/>
  <c r="AH70" i="24"/>
  <c r="AN70" i="24"/>
  <c r="AM70" i="24"/>
  <c r="AC70" i="22"/>
  <c r="M79" i="27"/>
  <c r="W72" i="27"/>
  <c r="AN72" i="27"/>
  <c r="U72" i="27"/>
  <c r="Q72" i="27"/>
  <c r="S72" i="27" s="1"/>
  <c r="AD72" i="27" s="1"/>
  <c r="AL72" i="27" s="1"/>
  <c r="L72" i="27"/>
  <c r="AB72" i="27" s="1"/>
  <c r="AJ72" i="27" s="1"/>
  <c r="J72" i="27"/>
  <c r="AA72" i="27" s="1"/>
  <c r="AI72" i="27" s="1"/>
  <c r="D73" i="27"/>
  <c r="C72" i="27"/>
  <c r="Z72" i="27" s="1"/>
  <c r="AH72" i="27" s="1"/>
  <c r="K75" i="27"/>
  <c r="F76" i="27"/>
  <c r="D73" i="26"/>
  <c r="C72" i="26"/>
  <c r="Z72" i="26" s="1"/>
  <c r="AH72" i="26" s="1"/>
  <c r="F75" i="26"/>
  <c r="M77" i="26"/>
  <c r="K75" i="26"/>
  <c r="F74" i="25"/>
  <c r="M76" i="25"/>
  <c r="W72" i="25"/>
  <c r="U72" i="25"/>
  <c r="Q72" i="25"/>
  <c r="AN72" i="25"/>
  <c r="K75" i="25"/>
  <c r="J72" i="25"/>
  <c r="E73" i="24"/>
  <c r="M76" i="24"/>
  <c r="F76" i="24"/>
  <c r="G72" i="24"/>
  <c r="H72" i="24"/>
  <c r="Y72" i="24" s="1"/>
  <c r="AM72" i="24" s="1"/>
  <c r="I73" i="24"/>
  <c r="K75" i="24"/>
  <c r="AC72" i="26"/>
  <c r="AK72" i="26" s="1"/>
  <c r="S72" i="26"/>
  <c r="AD72" i="26" s="1"/>
  <c r="AL72" i="26" s="1"/>
  <c r="AB72" i="26"/>
  <c r="AJ72" i="26" s="1"/>
  <c r="AA72" i="26"/>
  <c r="AI72" i="26" s="1"/>
  <c r="Y72" i="25"/>
  <c r="AM72" i="25" s="1"/>
  <c r="AE72" i="25"/>
  <c r="AC71" i="23"/>
  <c r="K77" i="23"/>
  <c r="F75" i="23"/>
  <c r="E72" i="23"/>
  <c r="I72" i="23"/>
  <c r="M78" i="23"/>
  <c r="K76" i="22"/>
  <c r="M77" i="22"/>
  <c r="G72" i="22"/>
  <c r="H72" i="22"/>
  <c r="Y72" i="22" s="1"/>
  <c r="F77" i="22"/>
  <c r="AE72" i="22"/>
  <c r="D73" i="21"/>
  <c r="C72" i="21"/>
  <c r="Z72" i="21" s="1"/>
  <c r="M75" i="21"/>
  <c r="K75" i="21"/>
  <c r="F75" i="21"/>
  <c r="S72" i="21"/>
  <c r="AD72" i="21" s="1"/>
  <c r="AC72" i="21"/>
  <c r="AB72" i="21"/>
  <c r="AA72" i="21"/>
  <c r="AC71" i="21"/>
  <c r="N76" i="3"/>
  <c r="M77" i="3"/>
  <c r="AP31" i="13"/>
  <c r="X32" i="13"/>
  <c r="S70" i="3"/>
  <c r="AD70" i="3" s="1"/>
  <c r="AO31" i="13"/>
  <c r="W32" i="13" s="1"/>
  <c r="AS31" i="13"/>
  <c r="AA32" i="13" s="1"/>
  <c r="AM31" i="13"/>
  <c r="U32" i="13" s="1"/>
  <c r="AT31" i="13"/>
  <c r="AB32" i="13" s="1"/>
  <c r="AN31" i="13"/>
  <c r="V32" i="13" s="1"/>
  <c r="AQ31" i="13"/>
  <c r="Y32" i="13" s="1"/>
  <c r="AR30" i="13"/>
  <c r="Z31" i="13" s="1"/>
  <c r="AP32" i="13"/>
  <c r="X33" i="13" s="1"/>
  <c r="F77" i="27" l="1"/>
  <c r="K76" i="27"/>
  <c r="M80" i="27"/>
  <c r="E73" i="27"/>
  <c r="I73" i="27"/>
  <c r="K76" i="26"/>
  <c r="M78" i="26"/>
  <c r="F76" i="26"/>
  <c r="E73" i="26"/>
  <c r="I73" i="26"/>
  <c r="D73" i="25"/>
  <c r="C72" i="25"/>
  <c r="Z72" i="25" s="1"/>
  <c r="AH72" i="25" s="1"/>
  <c r="K76" i="25"/>
  <c r="M77" i="25"/>
  <c r="F75" i="25"/>
  <c r="W72" i="24"/>
  <c r="Q72" i="24"/>
  <c r="S72" i="24" s="1"/>
  <c r="AD72" i="24" s="1"/>
  <c r="AL72" i="24" s="1"/>
  <c r="AN72" i="24"/>
  <c r="U72" i="24"/>
  <c r="J72" i="24"/>
  <c r="AA72" i="24" s="1"/>
  <c r="AI72" i="24" s="1"/>
  <c r="L72" i="24"/>
  <c r="AB72" i="24" s="1"/>
  <c r="AJ72" i="24" s="1"/>
  <c r="F77" i="24"/>
  <c r="M77" i="24"/>
  <c r="K76" i="24"/>
  <c r="G73" i="24"/>
  <c r="H73" i="24"/>
  <c r="AC72" i="27"/>
  <c r="AK72" i="27" s="1"/>
  <c r="S72" i="25"/>
  <c r="AD72" i="25" s="1"/>
  <c r="AL72" i="25" s="1"/>
  <c r="AC72" i="25"/>
  <c r="AK72" i="25" s="1"/>
  <c r="AB72" i="25"/>
  <c r="AJ72" i="25" s="1"/>
  <c r="AA72" i="25"/>
  <c r="AI72" i="25" s="1"/>
  <c r="K78" i="23"/>
  <c r="G72" i="23"/>
  <c r="H72" i="23"/>
  <c r="Y72" i="23" s="1"/>
  <c r="AE72" i="23"/>
  <c r="F76" i="23"/>
  <c r="M79" i="23"/>
  <c r="Q72" i="22"/>
  <c r="S72" i="22" s="1"/>
  <c r="AD72" i="22" s="1"/>
  <c r="W72" i="22"/>
  <c r="U72" i="22"/>
  <c r="L72" i="22"/>
  <c r="AB72" i="22" s="1"/>
  <c r="J72" i="22"/>
  <c r="AA72" i="22" s="1"/>
  <c r="M78" i="22"/>
  <c r="D73" i="22"/>
  <c r="C72" i="22"/>
  <c r="Z72" i="22" s="1"/>
  <c r="K77" i="22"/>
  <c r="F78" i="22"/>
  <c r="E73" i="21"/>
  <c r="I73" i="21"/>
  <c r="F76" i="21"/>
  <c r="K76" i="21"/>
  <c r="M76" i="21"/>
  <c r="N77" i="3"/>
  <c r="M78" i="3"/>
  <c r="AR31" i="13"/>
  <c r="Z32" i="13" s="1"/>
  <c r="AQ32" i="13"/>
  <c r="Y33" i="13" s="1"/>
  <c r="AN32" i="13"/>
  <c r="V33" i="13" s="1"/>
  <c r="AT32" i="13"/>
  <c r="AB33" i="13" s="1"/>
  <c r="AM32" i="13"/>
  <c r="U33" i="13" s="1"/>
  <c r="AS32" i="13"/>
  <c r="AA33" i="13" s="1"/>
  <c r="AO32" i="13"/>
  <c r="W33" i="13" s="1"/>
  <c r="AP33" i="13"/>
  <c r="X34" i="13" s="1"/>
  <c r="G73" i="27" l="1"/>
  <c r="H73" i="27"/>
  <c r="M81" i="27"/>
  <c r="K77" i="27"/>
  <c r="F78" i="27"/>
  <c r="F77" i="26"/>
  <c r="M79" i="26"/>
  <c r="G73" i="26"/>
  <c r="H73" i="26"/>
  <c r="K77" i="26"/>
  <c r="M78" i="25"/>
  <c r="K77" i="25"/>
  <c r="F76" i="25"/>
  <c r="E73" i="25"/>
  <c r="I73" i="25"/>
  <c r="F78" i="24"/>
  <c r="U73" i="24"/>
  <c r="W73" i="24"/>
  <c r="AN73" i="24"/>
  <c r="Q73" i="24"/>
  <c r="L73" i="24"/>
  <c r="J73" i="24"/>
  <c r="M78" i="24"/>
  <c r="K77" i="24"/>
  <c r="AC72" i="24"/>
  <c r="AK72" i="24" s="1"/>
  <c r="Y73" i="27"/>
  <c r="AM73" i="27" s="1"/>
  <c r="AE73" i="27"/>
  <c r="Y73" i="26"/>
  <c r="AM73" i="26" s="1"/>
  <c r="AE73" i="26"/>
  <c r="Y73" i="24"/>
  <c r="AM73" i="24" s="1"/>
  <c r="AE73" i="24"/>
  <c r="K79" i="23"/>
  <c r="F77" i="23"/>
  <c r="D73" i="23"/>
  <c r="C72" i="23"/>
  <c r="Z72" i="23" s="1"/>
  <c r="Q72" i="23"/>
  <c r="S72" i="23" s="1"/>
  <c r="AD72" i="23" s="1"/>
  <c r="W72" i="23"/>
  <c r="U72" i="23"/>
  <c r="J72" i="23"/>
  <c r="AA72" i="23" s="1"/>
  <c r="L72" i="23"/>
  <c r="AB72" i="23" s="1"/>
  <c r="M80" i="23"/>
  <c r="F79" i="22"/>
  <c r="M79" i="22"/>
  <c r="K78" i="22"/>
  <c r="E73" i="22"/>
  <c r="I73" i="22"/>
  <c r="AC72" i="22"/>
  <c r="F77" i="21"/>
  <c r="G73" i="21"/>
  <c r="H73" i="21"/>
  <c r="Y73" i="21" s="1"/>
  <c r="M77" i="21"/>
  <c r="K77" i="21"/>
  <c r="AE73" i="21"/>
  <c r="N78" i="3"/>
  <c r="M79" i="3"/>
  <c r="AO33" i="13"/>
  <c r="W34" i="13" s="1"/>
  <c r="AS33" i="13"/>
  <c r="AA34" i="13" s="1"/>
  <c r="AM33" i="13"/>
  <c r="U34" i="13" s="1"/>
  <c r="AT33" i="13"/>
  <c r="AB34" i="13" s="1"/>
  <c r="AN33" i="13"/>
  <c r="V34" i="13" s="1"/>
  <c r="AQ33" i="13"/>
  <c r="Y34" i="13" s="1"/>
  <c r="AR32" i="13"/>
  <c r="Z33" i="13" s="1"/>
  <c r="AP34" i="13"/>
  <c r="X35" i="13" s="1"/>
  <c r="AC72" i="23" l="1"/>
  <c r="F79" i="27"/>
  <c r="D74" i="27"/>
  <c r="C73" i="27"/>
  <c r="Z73" i="27" s="1"/>
  <c r="AH73" i="27" s="1"/>
  <c r="K78" i="27"/>
  <c r="M82" i="27"/>
  <c r="U73" i="27"/>
  <c r="Q73" i="27"/>
  <c r="S73" i="27" s="1"/>
  <c r="AD73" i="27" s="1"/>
  <c r="AL73" i="27" s="1"/>
  <c r="AN73" i="27"/>
  <c r="W73" i="27"/>
  <c r="L73" i="27"/>
  <c r="AB73" i="27" s="1"/>
  <c r="AJ73" i="27" s="1"/>
  <c r="J73" i="27"/>
  <c r="AA73" i="27" s="1"/>
  <c r="AI73" i="27" s="1"/>
  <c r="D74" i="26"/>
  <c r="C73" i="26"/>
  <c r="Z73" i="26" s="1"/>
  <c r="AH73" i="26" s="1"/>
  <c r="K78" i="26"/>
  <c r="U73" i="26"/>
  <c r="W73" i="26"/>
  <c r="Q73" i="26"/>
  <c r="S73" i="26" s="1"/>
  <c r="AD73" i="26" s="1"/>
  <c r="AL73" i="26" s="1"/>
  <c r="AN73" i="26"/>
  <c r="L73" i="26"/>
  <c r="AB73" i="26" s="1"/>
  <c r="AJ73" i="26" s="1"/>
  <c r="J73" i="26"/>
  <c r="AA73" i="26" s="1"/>
  <c r="AI73" i="26" s="1"/>
  <c r="M80" i="26"/>
  <c r="F78" i="26"/>
  <c r="F77" i="25"/>
  <c r="G73" i="25"/>
  <c r="H73" i="25"/>
  <c r="K78" i="25"/>
  <c r="M79" i="25"/>
  <c r="M79" i="24"/>
  <c r="K78" i="24"/>
  <c r="F79" i="24"/>
  <c r="D74" i="24"/>
  <c r="C73" i="24"/>
  <c r="Z73" i="24" s="1"/>
  <c r="AH73" i="24" s="1"/>
  <c r="Y73" i="25"/>
  <c r="AM73" i="25" s="1"/>
  <c r="AE73" i="25"/>
  <c r="S73" i="24"/>
  <c r="AD73" i="24" s="1"/>
  <c r="AL73" i="24" s="1"/>
  <c r="AA73" i="24"/>
  <c r="AI73" i="24" s="1"/>
  <c r="AB73" i="24"/>
  <c r="AJ73" i="24" s="1"/>
  <c r="K80" i="23"/>
  <c r="E73" i="23"/>
  <c r="I73" i="23"/>
  <c r="M81" i="23"/>
  <c r="F78" i="23"/>
  <c r="G73" i="22"/>
  <c r="H73" i="22"/>
  <c r="Y73" i="22" s="1"/>
  <c r="F80" i="22"/>
  <c r="K79" i="22"/>
  <c r="M80" i="22"/>
  <c r="AE73" i="22"/>
  <c r="M78" i="21"/>
  <c r="D74" i="21"/>
  <c r="C73" i="21"/>
  <c r="Z73" i="21" s="1"/>
  <c r="U73" i="21"/>
  <c r="Q73" i="21"/>
  <c r="S73" i="21" s="1"/>
  <c r="AD73" i="21" s="1"/>
  <c r="W73" i="21"/>
  <c r="L73" i="21"/>
  <c r="AB73" i="21" s="1"/>
  <c r="J73" i="21"/>
  <c r="AA73" i="21" s="1"/>
  <c r="K78" i="21"/>
  <c r="F78" i="21"/>
  <c r="N79" i="3"/>
  <c r="M80" i="3"/>
  <c r="AR33" i="13"/>
  <c r="Z34" i="13" s="1"/>
  <c r="AQ34" i="13"/>
  <c r="Y35" i="13" s="1"/>
  <c r="AN34" i="13"/>
  <c r="V35" i="13" s="1"/>
  <c r="AT34" i="13"/>
  <c r="AB35" i="13" s="1"/>
  <c r="AM34" i="13"/>
  <c r="U35" i="13" s="1"/>
  <c r="AS34" i="13"/>
  <c r="AA35" i="13" s="1"/>
  <c r="AO34" i="13"/>
  <c r="W35" i="13" s="1"/>
  <c r="AP35" i="13"/>
  <c r="X36" i="13" s="1"/>
  <c r="AC73" i="21" l="1"/>
  <c r="M83" i="27"/>
  <c r="K79" i="27"/>
  <c r="E74" i="27"/>
  <c r="I74" i="27"/>
  <c r="F80" i="27"/>
  <c r="F79" i="26"/>
  <c r="E74" i="26"/>
  <c r="I74" i="26"/>
  <c r="M81" i="26"/>
  <c r="K79" i="26"/>
  <c r="M80" i="25"/>
  <c r="K79" i="25"/>
  <c r="D74" i="25"/>
  <c r="C73" i="25"/>
  <c r="Z73" i="25" s="1"/>
  <c r="AH73" i="25" s="1"/>
  <c r="W73" i="25"/>
  <c r="U73" i="25"/>
  <c r="Q73" i="25"/>
  <c r="S73" i="25" s="1"/>
  <c r="AD73" i="25" s="1"/>
  <c r="AL73" i="25" s="1"/>
  <c r="AN73" i="25"/>
  <c r="L73" i="25"/>
  <c r="AB73" i="25" s="1"/>
  <c r="AJ73" i="25" s="1"/>
  <c r="J73" i="25"/>
  <c r="AA73" i="25" s="1"/>
  <c r="AI73" i="25" s="1"/>
  <c r="F78" i="25"/>
  <c r="M80" i="24"/>
  <c r="E74" i="24"/>
  <c r="I74" i="24"/>
  <c r="F80" i="24"/>
  <c r="K79" i="24"/>
  <c r="AC73" i="27"/>
  <c r="AK73" i="27" s="1"/>
  <c r="AC73" i="26"/>
  <c r="AK73" i="26" s="1"/>
  <c r="AC73" i="24"/>
  <c r="AK73" i="24" s="1"/>
  <c r="F79" i="23"/>
  <c r="G73" i="23"/>
  <c r="H73" i="23"/>
  <c r="Y73" i="23" s="1"/>
  <c r="AE73" i="23"/>
  <c r="M82" i="23"/>
  <c r="K81" i="23"/>
  <c r="D74" i="22"/>
  <c r="C73" i="22"/>
  <c r="Z73" i="22" s="1"/>
  <c r="M81" i="22"/>
  <c r="U73" i="22"/>
  <c r="Q73" i="22"/>
  <c r="S73" i="22" s="1"/>
  <c r="AD73" i="22" s="1"/>
  <c r="W73" i="22"/>
  <c r="L73" i="22"/>
  <c r="AB73" i="22" s="1"/>
  <c r="J73" i="22"/>
  <c r="AA73" i="22" s="1"/>
  <c r="K80" i="22"/>
  <c r="F81" i="22"/>
  <c r="F79" i="21"/>
  <c r="E74" i="21"/>
  <c r="I74" i="21"/>
  <c r="K79" i="21"/>
  <c r="M79" i="21"/>
  <c r="N80" i="3"/>
  <c r="M81" i="3"/>
  <c r="AO35" i="13"/>
  <c r="W36" i="13" s="1"/>
  <c r="AS35" i="13"/>
  <c r="AA36" i="13" s="1"/>
  <c r="AM35" i="13"/>
  <c r="U36" i="13" s="1"/>
  <c r="AT35" i="13"/>
  <c r="AB36" i="13" s="1"/>
  <c r="AN35" i="13"/>
  <c r="V36" i="13" s="1"/>
  <c r="AQ35" i="13"/>
  <c r="Y36" i="13" s="1"/>
  <c r="AP36" i="13"/>
  <c r="X37" i="13"/>
  <c r="AR34" i="13"/>
  <c r="Z35" i="13" s="1"/>
  <c r="G74" i="27" l="1"/>
  <c r="H74" i="27"/>
  <c r="Y74" i="27" s="1"/>
  <c r="AM74" i="27" s="1"/>
  <c r="K80" i="27"/>
  <c r="F81" i="27"/>
  <c r="M84" i="27"/>
  <c r="M82" i="26"/>
  <c r="G74" i="26"/>
  <c r="H74" i="26"/>
  <c r="Y74" i="26" s="1"/>
  <c r="AM74" i="26" s="1"/>
  <c r="K80" i="26"/>
  <c r="F80" i="26"/>
  <c r="E74" i="25"/>
  <c r="I74" i="25"/>
  <c r="M81" i="25"/>
  <c r="F79" i="25"/>
  <c r="K80" i="25"/>
  <c r="G74" i="24"/>
  <c r="H74" i="24"/>
  <c r="Y74" i="24" s="1"/>
  <c r="AM74" i="24" s="1"/>
  <c r="F81" i="24"/>
  <c r="K80" i="24"/>
  <c r="M81" i="24"/>
  <c r="AE74" i="27"/>
  <c r="AE74" i="26"/>
  <c r="AC73" i="25"/>
  <c r="AK73" i="25" s="1"/>
  <c r="AE74" i="24"/>
  <c r="M83" i="23"/>
  <c r="D74" i="23"/>
  <c r="C73" i="23"/>
  <c r="Z73" i="23" s="1"/>
  <c r="U73" i="23"/>
  <c r="Q73" i="23"/>
  <c r="S73" i="23" s="1"/>
  <c r="AD73" i="23" s="1"/>
  <c r="W73" i="23"/>
  <c r="L73" i="23"/>
  <c r="AB73" i="23" s="1"/>
  <c r="J73" i="23"/>
  <c r="AA73" i="23" s="1"/>
  <c r="K82" i="23"/>
  <c r="F80" i="23"/>
  <c r="E74" i="22"/>
  <c r="I74" i="22"/>
  <c r="F82" i="22"/>
  <c r="K81" i="22"/>
  <c r="M82" i="22"/>
  <c r="AC73" i="22"/>
  <c r="M80" i="21"/>
  <c r="G74" i="21"/>
  <c r="H74" i="21"/>
  <c r="Y74" i="21" s="1"/>
  <c r="K80" i="21"/>
  <c r="F80" i="21"/>
  <c r="AE74" i="21"/>
  <c r="N81" i="3"/>
  <c r="M82" i="3"/>
  <c r="AQ36" i="13"/>
  <c r="Y37" i="13" s="1"/>
  <c r="AN36" i="13"/>
  <c r="V37" i="13" s="1"/>
  <c r="AT36" i="13"/>
  <c r="AB37" i="13" s="1"/>
  <c r="AM36" i="13"/>
  <c r="U37" i="13" s="1"/>
  <c r="AS36" i="13"/>
  <c r="AA37" i="13" s="1"/>
  <c r="AR35" i="13"/>
  <c r="Z36" i="13" s="1"/>
  <c r="AO36" i="13"/>
  <c r="W37" i="13" s="1"/>
  <c r="AP37" i="13"/>
  <c r="X38" i="13" s="1"/>
  <c r="K81" i="27" l="1"/>
  <c r="D75" i="27"/>
  <c r="C74" i="27"/>
  <c r="Z74" i="27" s="1"/>
  <c r="AH74" i="27" s="1"/>
  <c r="Q74" i="27"/>
  <c r="S74" i="27" s="1"/>
  <c r="AD74" i="27" s="1"/>
  <c r="AL74" i="27" s="1"/>
  <c r="U74" i="27"/>
  <c r="AN74" i="27"/>
  <c r="W74" i="27"/>
  <c r="L74" i="27"/>
  <c r="J74" i="27"/>
  <c r="M85" i="27"/>
  <c r="F82" i="27"/>
  <c r="K81" i="26"/>
  <c r="D75" i="26"/>
  <c r="C74" i="26"/>
  <c r="Z74" i="26" s="1"/>
  <c r="AH74" i="26" s="1"/>
  <c r="W74" i="26"/>
  <c r="AC74" i="26" s="1"/>
  <c r="AK74" i="26" s="1"/>
  <c r="Q74" i="26"/>
  <c r="S74" i="26" s="1"/>
  <c r="AD74" i="26" s="1"/>
  <c r="AL74" i="26" s="1"/>
  <c r="AN74" i="26"/>
  <c r="U74" i="26"/>
  <c r="J74" i="26"/>
  <c r="AA74" i="26" s="1"/>
  <c r="AI74" i="26" s="1"/>
  <c r="L74" i="26"/>
  <c r="AB74" i="26" s="1"/>
  <c r="AJ74" i="26" s="1"/>
  <c r="M83" i="26"/>
  <c r="F81" i="26"/>
  <c r="M82" i="25"/>
  <c r="K81" i="25"/>
  <c r="F80" i="25"/>
  <c r="G74" i="25"/>
  <c r="H74" i="25"/>
  <c r="Y74" i="25" s="1"/>
  <c r="AM74" i="25" s="1"/>
  <c r="W74" i="24"/>
  <c r="Q74" i="24"/>
  <c r="S74" i="24" s="1"/>
  <c r="AD74" i="24" s="1"/>
  <c r="AL74" i="24" s="1"/>
  <c r="AN74" i="24"/>
  <c r="U74" i="24"/>
  <c r="AC74" i="24" s="1"/>
  <c r="AK74" i="24" s="1"/>
  <c r="L74" i="24"/>
  <c r="AB74" i="24" s="1"/>
  <c r="AJ74" i="24" s="1"/>
  <c r="J74" i="24"/>
  <c r="AA74" i="24" s="1"/>
  <c r="AI74" i="24" s="1"/>
  <c r="F82" i="24"/>
  <c r="M82" i="24"/>
  <c r="K81" i="24"/>
  <c r="D75" i="24"/>
  <c r="C74" i="24"/>
  <c r="Z74" i="24" s="1"/>
  <c r="AH74" i="24" s="1"/>
  <c r="AA74" i="27"/>
  <c r="AI74" i="27" s="1"/>
  <c r="AB74" i="27"/>
  <c r="AJ74" i="27" s="1"/>
  <c r="AE74" i="25"/>
  <c r="E74" i="23"/>
  <c r="I74" i="23"/>
  <c r="M84" i="23"/>
  <c r="F81" i="23"/>
  <c r="K83" i="23"/>
  <c r="AC73" i="23"/>
  <c r="G74" i="22"/>
  <c r="H74" i="22"/>
  <c r="K82" i="22"/>
  <c r="F83" i="22"/>
  <c r="M83" i="22"/>
  <c r="Y74" i="22"/>
  <c r="AE74" i="22"/>
  <c r="K81" i="21"/>
  <c r="F81" i="21"/>
  <c r="D75" i="21"/>
  <c r="C74" i="21"/>
  <c r="Z74" i="21" s="1"/>
  <c r="W74" i="21"/>
  <c r="U74" i="21"/>
  <c r="Q74" i="21"/>
  <c r="S74" i="21" s="1"/>
  <c r="AD74" i="21" s="1"/>
  <c r="J74" i="21"/>
  <c r="AA74" i="21" s="1"/>
  <c r="L74" i="21"/>
  <c r="AB74" i="21" s="1"/>
  <c r="M81" i="21"/>
  <c r="N82" i="3"/>
  <c r="M83" i="3"/>
  <c r="AR36" i="13"/>
  <c r="Z37" i="13" s="1"/>
  <c r="AP38" i="13"/>
  <c r="X39" i="13" s="1"/>
  <c r="AO37" i="13"/>
  <c r="W38" i="13" s="1"/>
  <c r="AS37" i="13"/>
  <c r="AA38" i="13" s="1"/>
  <c r="AM37" i="13"/>
  <c r="U38" i="13" s="1"/>
  <c r="AT37" i="13"/>
  <c r="AB38" i="13" s="1"/>
  <c r="AN37" i="13"/>
  <c r="V38" i="13" s="1"/>
  <c r="AQ37" i="13"/>
  <c r="Y38" i="13" s="1"/>
  <c r="AC74" i="27" l="1"/>
  <c r="AK74" i="27" s="1"/>
  <c r="AC74" i="21"/>
  <c r="F83" i="27"/>
  <c r="M86" i="27"/>
  <c r="E75" i="27"/>
  <c r="I75" i="27"/>
  <c r="K82" i="27"/>
  <c r="F82" i="26"/>
  <c r="M84" i="26"/>
  <c r="E75" i="26"/>
  <c r="I75" i="26"/>
  <c r="K82" i="26"/>
  <c r="D75" i="25"/>
  <c r="C74" i="25"/>
  <c r="Z74" i="25" s="1"/>
  <c r="AH74" i="25" s="1"/>
  <c r="M83" i="25"/>
  <c r="W74" i="25"/>
  <c r="U74" i="25"/>
  <c r="AN74" i="25"/>
  <c r="Q74" i="25"/>
  <c r="L74" i="25"/>
  <c r="AB74" i="25" s="1"/>
  <c r="AJ74" i="25" s="1"/>
  <c r="J74" i="25"/>
  <c r="AA74" i="25" s="1"/>
  <c r="AI74" i="25" s="1"/>
  <c r="F81" i="25"/>
  <c r="K82" i="25"/>
  <c r="F83" i="24"/>
  <c r="E75" i="24"/>
  <c r="I75" i="24"/>
  <c r="K82" i="24"/>
  <c r="M83" i="24"/>
  <c r="S74" i="25"/>
  <c r="AD74" i="25" s="1"/>
  <c r="AL74" i="25" s="1"/>
  <c r="F82" i="23"/>
  <c r="M85" i="23"/>
  <c r="K84" i="23"/>
  <c r="G74" i="23"/>
  <c r="H74" i="23"/>
  <c r="Y74" i="23" s="1"/>
  <c r="AE74" i="23"/>
  <c r="F84" i="22"/>
  <c r="K83" i="22"/>
  <c r="D75" i="22"/>
  <c r="C74" i="22"/>
  <c r="Z74" i="22" s="1"/>
  <c r="M84" i="22"/>
  <c r="W74" i="22"/>
  <c r="Q74" i="22"/>
  <c r="S74" i="22" s="1"/>
  <c r="AD74" i="22" s="1"/>
  <c r="U74" i="22"/>
  <c r="AC74" i="22" s="1"/>
  <c r="J74" i="22"/>
  <c r="AA74" i="22" s="1"/>
  <c r="L74" i="22"/>
  <c r="AB74" i="22" s="1"/>
  <c r="M82" i="21"/>
  <c r="E75" i="21"/>
  <c r="I75" i="21"/>
  <c r="F82" i="21"/>
  <c r="K82" i="21"/>
  <c r="N83" i="3"/>
  <c r="M84" i="3"/>
  <c r="AN38" i="13"/>
  <c r="V39" i="13" s="1"/>
  <c r="AM38" i="13"/>
  <c r="U39" i="13" s="1"/>
  <c r="AS38" i="13"/>
  <c r="AA39" i="13" s="1"/>
  <c r="AP39" i="13"/>
  <c r="X40" i="13" s="1"/>
  <c r="AQ38" i="13"/>
  <c r="Y39" i="13" s="1"/>
  <c r="AT38" i="13"/>
  <c r="AB39" i="13" s="1"/>
  <c r="AO38" i="13"/>
  <c r="W39" i="13" s="1"/>
  <c r="AR37" i="13"/>
  <c r="Z38" i="13" s="1"/>
  <c r="M87" i="27" l="1"/>
  <c r="G75" i="27"/>
  <c r="H75" i="27"/>
  <c r="Y75" i="27" s="1"/>
  <c r="AM75" i="27" s="1"/>
  <c r="K83" i="27"/>
  <c r="F84" i="27"/>
  <c r="K83" i="26"/>
  <c r="F83" i="26"/>
  <c r="G75" i="26"/>
  <c r="H75" i="26"/>
  <c r="Y75" i="26" s="1"/>
  <c r="AM75" i="26" s="1"/>
  <c r="M85" i="26"/>
  <c r="K83" i="25"/>
  <c r="F82" i="25"/>
  <c r="M84" i="25"/>
  <c r="E75" i="25"/>
  <c r="I75" i="25"/>
  <c r="M84" i="24"/>
  <c r="G75" i="24"/>
  <c r="H75" i="24"/>
  <c r="Y75" i="24" s="1"/>
  <c r="AM75" i="24" s="1"/>
  <c r="F84" i="24"/>
  <c r="K83" i="24"/>
  <c r="AE75" i="27"/>
  <c r="AE75" i="26"/>
  <c r="AC74" i="25"/>
  <c r="AK74" i="25" s="1"/>
  <c r="AE75" i="24"/>
  <c r="Q74" i="23"/>
  <c r="S74" i="23" s="1"/>
  <c r="AD74" i="23" s="1"/>
  <c r="U74" i="23"/>
  <c r="W74" i="23"/>
  <c r="L74" i="23"/>
  <c r="AB74" i="23" s="1"/>
  <c r="J74" i="23"/>
  <c r="AA74" i="23" s="1"/>
  <c r="K85" i="23"/>
  <c r="M86" i="23"/>
  <c r="D75" i="23"/>
  <c r="C74" i="23"/>
  <c r="Z74" i="23" s="1"/>
  <c r="F83" i="23"/>
  <c r="E75" i="22"/>
  <c r="I75" i="22"/>
  <c r="K84" i="22"/>
  <c r="M85" i="22"/>
  <c r="F85" i="22"/>
  <c r="G75" i="21"/>
  <c r="H75" i="21"/>
  <c r="Y75" i="21" s="1"/>
  <c r="K83" i="21"/>
  <c r="F83" i="21"/>
  <c r="M83" i="21"/>
  <c r="AE75" i="21"/>
  <c r="N84" i="3"/>
  <c r="M85" i="3"/>
  <c r="AO39" i="13"/>
  <c r="W40" i="13" s="1"/>
  <c r="AT39" i="13"/>
  <c r="AB40" i="13" s="1"/>
  <c r="AP40" i="13"/>
  <c r="X41" i="13" s="1"/>
  <c r="AS39" i="13"/>
  <c r="AA40" i="13" s="1"/>
  <c r="AM39" i="13"/>
  <c r="U40" i="13" s="1"/>
  <c r="AR38" i="13"/>
  <c r="Z39" i="13" s="1"/>
  <c r="AN39" i="13"/>
  <c r="V40" i="13" s="1"/>
  <c r="AQ39" i="13"/>
  <c r="Y40" i="13" s="1"/>
  <c r="F85" i="27" l="1"/>
  <c r="K84" i="27"/>
  <c r="U75" i="27"/>
  <c r="AN75" i="27"/>
  <c r="Q75" i="27"/>
  <c r="S75" i="27" s="1"/>
  <c r="AD75" i="27" s="1"/>
  <c r="AL75" i="27" s="1"/>
  <c r="W75" i="27"/>
  <c r="J75" i="27"/>
  <c r="AA75" i="27" s="1"/>
  <c r="AI75" i="27" s="1"/>
  <c r="L75" i="27"/>
  <c r="AB75" i="27" s="1"/>
  <c r="AJ75" i="27" s="1"/>
  <c r="D76" i="27"/>
  <c r="C75" i="27"/>
  <c r="Z75" i="27" s="1"/>
  <c r="AH75" i="27" s="1"/>
  <c r="M88" i="27"/>
  <c r="Q75" i="26"/>
  <c r="S75" i="26" s="1"/>
  <c r="AD75" i="26" s="1"/>
  <c r="AL75" i="26" s="1"/>
  <c r="AN75" i="26"/>
  <c r="W75" i="26"/>
  <c r="U75" i="26"/>
  <c r="L75" i="26"/>
  <c r="AB75" i="26" s="1"/>
  <c r="AJ75" i="26" s="1"/>
  <c r="J75" i="26"/>
  <c r="AA75" i="26" s="1"/>
  <c r="AI75" i="26" s="1"/>
  <c r="D76" i="26"/>
  <c r="C75" i="26"/>
  <c r="Z75" i="26" s="1"/>
  <c r="AH75" i="26" s="1"/>
  <c r="M86" i="26"/>
  <c r="F84" i="26"/>
  <c r="K84" i="26"/>
  <c r="G75" i="25"/>
  <c r="H75" i="25"/>
  <c r="Y75" i="25" s="1"/>
  <c r="AM75" i="25" s="1"/>
  <c r="M85" i="25"/>
  <c r="F83" i="25"/>
  <c r="K84" i="25"/>
  <c r="F85" i="24"/>
  <c r="D76" i="24"/>
  <c r="C75" i="24"/>
  <c r="Z75" i="24" s="1"/>
  <c r="AH75" i="24" s="1"/>
  <c r="W75" i="24"/>
  <c r="U75" i="24"/>
  <c r="AC75" i="24" s="1"/>
  <c r="AK75" i="24" s="1"/>
  <c r="AN75" i="24"/>
  <c r="Q75" i="24"/>
  <c r="S75" i="24" s="1"/>
  <c r="AD75" i="24" s="1"/>
  <c r="AL75" i="24" s="1"/>
  <c r="L75" i="24"/>
  <c r="AB75" i="24" s="1"/>
  <c r="AJ75" i="24" s="1"/>
  <c r="J75" i="24"/>
  <c r="AA75" i="24" s="1"/>
  <c r="AI75" i="24" s="1"/>
  <c r="K84" i="24"/>
  <c r="M85" i="24"/>
  <c r="AE75" i="25"/>
  <c r="F84" i="23"/>
  <c r="E75" i="23"/>
  <c r="I75" i="23"/>
  <c r="M87" i="23"/>
  <c r="AC74" i="23"/>
  <c r="K86" i="23"/>
  <c r="K85" i="22"/>
  <c r="M86" i="22"/>
  <c r="F86" i="22"/>
  <c r="G75" i="22"/>
  <c r="H75" i="22"/>
  <c r="Y75" i="22" s="1"/>
  <c r="AE75" i="22"/>
  <c r="D76" i="21"/>
  <c r="C75" i="21"/>
  <c r="Z75" i="21" s="1"/>
  <c r="K84" i="21"/>
  <c r="M84" i="21"/>
  <c r="W75" i="21"/>
  <c r="U75" i="21"/>
  <c r="Q75" i="21"/>
  <c r="S75" i="21" s="1"/>
  <c r="AD75" i="21" s="1"/>
  <c r="L75" i="21"/>
  <c r="AB75" i="21" s="1"/>
  <c r="J75" i="21"/>
  <c r="AA75" i="21" s="1"/>
  <c r="F84" i="21"/>
  <c r="N85" i="3"/>
  <c r="M86" i="3"/>
  <c r="AM40" i="13"/>
  <c r="U41" i="13" s="1"/>
  <c r="AS40" i="13"/>
  <c r="AA41" i="13" s="1"/>
  <c r="AQ40" i="13"/>
  <c r="Y41" i="13" s="1"/>
  <c r="AT40" i="13"/>
  <c r="AB41" i="13" s="1"/>
  <c r="AN40" i="13"/>
  <c r="V41" i="13" s="1"/>
  <c r="AR39" i="13"/>
  <c r="Z40" i="13" s="1"/>
  <c r="AP41" i="13"/>
  <c r="X42" i="13"/>
  <c r="AO40" i="13"/>
  <c r="W41" i="13" s="1"/>
  <c r="AC75" i="27" l="1"/>
  <c r="AK75" i="27" s="1"/>
  <c r="F86" i="27"/>
  <c r="M89" i="27"/>
  <c r="E76" i="27"/>
  <c r="I76" i="27"/>
  <c r="K85" i="27"/>
  <c r="E76" i="26"/>
  <c r="I76" i="26"/>
  <c r="F85" i="26"/>
  <c r="M87" i="26"/>
  <c r="K85" i="26"/>
  <c r="K85" i="25"/>
  <c r="F84" i="25"/>
  <c r="D76" i="25"/>
  <c r="C75" i="25"/>
  <c r="Z75" i="25" s="1"/>
  <c r="AH75" i="25" s="1"/>
  <c r="M86" i="25"/>
  <c r="W75" i="25"/>
  <c r="U75" i="25"/>
  <c r="Q75" i="25"/>
  <c r="S75" i="25" s="1"/>
  <c r="AD75" i="25" s="1"/>
  <c r="AL75" i="25" s="1"/>
  <c r="AN75" i="25"/>
  <c r="L75" i="25"/>
  <c r="AB75" i="25" s="1"/>
  <c r="AJ75" i="25" s="1"/>
  <c r="J75" i="25"/>
  <c r="AA75" i="25" s="1"/>
  <c r="AI75" i="25" s="1"/>
  <c r="M86" i="24"/>
  <c r="K85" i="24"/>
  <c r="E76" i="24"/>
  <c r="I76" i="24"/>
  <c r="F86" i="24"/>
  <c r="AC75" i="26"/>
  <c r="AK75" i="26" s="1"/>
  <c r="G75" i="23"/>
  <c r="H75" i="23"/>
  <c r="Y75" i="23" s="1"/>
  <c r="AE75" i="23"/>
  <c r="K87" i="23"/>
  <c r="M88" i="23"/>
  <c r="F85" i="23"/>
  <c r="Q75" i="22"/>
  <c r="W75" i="22"/>
  <c r="U75" i="22"/>
  <c r="L75" i="22"/>
  <c r="AB75" i="22" s="1"/>
  <c r="J75" i="22"/>
  <c r="AA75" i="22" s="1"/>
  <c r="F87" i="22"/>
  <c r="M87" i="22"/>
  <c r="D76" i="22"/>
  <c r="C75" i="22"/>
  <c r="Z75" i="22" s="1"/>
  <c r="K86" i="22"/>
  <c r="S75" i="22"/>
  <c r="AD75" i="22" s="1"/>
  <c r="F85" i="21"/>
  <c r="M85" i="21"/>
  <c r="K85" i="21"/>
  <c r="E76" i="21"/>
  <c r="I76" i="21"/>
  <c r="AC75" i="21"/>
  <c r="N86" i="3"/>
  <c r="M87" i="3"/>
  <c r="AT41" i="13"/>
  <c r="AB42" i="13" s="1"/>
  <c r="AS41" i="13"/>
  <c r="AA42" i="13" s="1"/>
  <c r="AR40" i="13"/>
  <c r="Z41" i="13" s="1"/>
  <c r="AN41" i="13"/>
  <c r="V42" i="13" s="1"/>
  <c r="AQ41" i="13"/>
  <c r="Y42" i="13" s="1"/>
  <c r="AO41" i="13"/>
  <c r="W42" i="13" s="1"/>
  <c r="AM41" i="13"/>
  <c r="U42" i="13" s="1"/>
  <c r="AP42" i="13"/>
  <c r="X43" i="13" s="1"/>
  <c r="AC75" i="25" l="1"/>
  <c r="AK75" i="25" s="1"/>
  <c r="K86" i="27"/>
  <c r="M90" i="27"/>
  <c r="G76" i="27"/>
  <c r="H76" i="27"/>
  <c r="Y76" i="27" s="1"/>
  <c r="AM76" i="27" s="1"/>
  <c r="F87" i="27"/>
  <c r="K86" i="26"/>
  <c r="G76" i="26"/>
  <c r="H76" i="26"/>
  <c r="Y76" i="26" s="1"/>
  <c r="AM76" i="26" s="1"/>
  <c r="M88" i="26"/>
  <c r="F86" i="26"/>
  <c r="E76" i="25"/>
  <c r="I76" i="25"/>
  <c r="F85" i="25"/>
  <c r="K86" i="25"/>
  <c r="M87" i="25"/>
  <c r="M87" i="24"/>
  <c r="G76" i="24"/>
  <c r="H76" i="24"/>
  <c r="Y76" i="24" s="1"/>
  <c r="AM76" i="24" s="1"/>
  <c r="F87" i="24"/>
  <c r="K86" i="24"/>
  <c r="AE76" i="27"/>
  <c r="AE76" i="26"/>
  <c r="AE76" i="24"/>
  <c r="W75" i="23"/>
  <c r="Q75" i="23"/>
  <c r="S75" i="23" s="1"/>
  <c r="AD75" i="23" s="1"/>
  <c r="U75" i="23"/>
  <c r="L75" i="23"/>
  <c r="AB75" i="23" s="1"/>
  <c r="J75" i="23"/>
  <c r="AA75" i="23" s="1"/>
  <c r="K88" i="23"/>
  <c r="D76" i="23"/>
  <c r="C75" i="23"/>
  <c r="Z75" i="23" s="1"/>
  <c r="F86" i="23"/>
  <c r="M89" i="23"/>
  <c r="F88" i="22"/>
  <c r="K87" i="22"/>
  <c r="E76" i="22"/>
  <c r="I76" i="22"/>
  <c r="M88" i="22"/>
  <c r="AC75" i="22"/>
  <c r="K86" i="21"/>
  <c r="M86" i="21"/>
  <c r="G76" i="21"/>
  <c r="H76" i="21"/>
  <c r="Y76" i="21" s="1"/>
  <c r="F86" i="21"/>
  <c r="AE76" i="21"/>
  <c r="N87" i="3"/>
  <c r="M88" i="3"/>
  <c r="AP43" i="13"/>
  <c r="X44" i="13" s="1"/>
  <c r="AM42" i="13"/>
  <c r="U43" i="13" s="1"/>
  <c r="AO42" i="13"/>
  <c r="W43" i="13" s="1"/>
  <c r="AQ42" i="13"/>
  <c r="Y43" i="13" s="1"/>
  <c r="AN42" i="13"/>
  <c r="V43" i="13" s="1"/>
  <c r="AR41" i="13"/>
  <c r="Z42" i="13" s="1"/>
  <c r="AS42" i="13"/>
  <c r="AA43" i="13" s="1"/>
  <c r="AT42" i="13"/>
  <c r="AB43" i="13" s="1"/>
  <c r="AC75" i="23" l="1"/>
  <c r="D77" i="27"/>
  <c r="C76" i="27"/>
  <c r="Z76" i="27" s="1"/>
  <c r="AH76" i="27" s="1"/>
  <c r="F88" i="27"/>
  <c r="W76" i="27"/>
  <c r="U76" i="27"/>
  <c r="AN76" i="27"/>
  <c r="Q76" i="27"/>
  <c r="S76" i="27" s="1"/>
  <c r="AD76" i="27" s="1"/>
  <c r="AL76" i="27" s="1"/>
  <c r="L76" i="27"/>
  <c r="AB76" i="27" s="1"/>
  <c r="AJ76" i="27" s="1"/>
  <c r="J76" i="27"/>
  <c r="AA76" i="27" s="1"/>
  <c r="AI76" i="27" s="1"/>
  <c r="M91" i="27"/>
  <c r="K87" i="27"/>
  <c r="F87" i="26"/>
  <c r="M89" i="26"/>
  <c r="D77" i="26"/>
  <c r="C76" i="26"/>
  <c r="Z76" i="26" s="1"/>
  <c r="AH76" i="26" s="1"/>
  <c r="W76" i="26"/>
  <c r="U76" i="26"/>
  <c r="AN76" i="26"/>
  <c r="Q76" i="26"/>
  <c r="J76" i="26"/>
  <c r="AA76" i="26" s="1"/>
  <c r="AI76" i="26" s="1"/>
  <c r="L76" i="26"/>
  <c r="AB76" i="26" s="1"/>
  <c r="AJ76" i="26" s="1"/>
  <c r="K87" i="26"/>
  <c r="F86" i="25"/>
  <c r="M88" i="25"/>
  <c r="G76" i="25"/>
  <c r="H76" i="25"/>
  <c r="Y76" i="25" s="1"/>
  <c r="AM76" i="25" s="1"/>
  <c r="K87" i="25"/>
  <c r="F88" i="24"/>
  <c r="D77" i="24"/>
  <c r="C76" i="24"/>
  <c r="Z76" i="24" s="1"/>
  <c r="AH76" i="24" s="1"/>
  <c r="W76" i="24"/>
  <c r="AN76" i="24"/>
  <c r="Q76" i="24"/>
  <c r="S76" i="24" s="1"/>
  <c r="AD76" i="24" s="1"/>
  <c r="AL76" i="24" s="1"/>
  <c r="U76" i="24"/>
  <c r="L76" i="24"/>
  <c r="AB76" i="24" s="1"/>
  <c r="AJ76" i="24" s="1"/>
  <c r="J76" i="24"/>
  <c r="AA76" i="24" s="1"/>
  <c r="AI76" i="24" s="1"/>
  <c r="K87" i="24"/>
  <c r="M88" i="24"/>
  <c r="S76" i="26"/>
  <c r="AD76" i="26" s="1"/>
  <c r="AL76" i="26" s="1"/>
  <c r="AE76" i="25"/>
  <c r="E76" i="23"/>
  <c r="I76" i="23"/>
  <c r="M90" i="23"/>
  <c r="K89" i="23"/>
  <c r="F87" i="23"/>
  <c r="M89" i="22"/>
  <c r="G76" i="22"/>
  <c r="H76" i="22"/>
  <c r="Y76" i="22" s="1"/>
  <c r="K88" i="22"/>
  <c r="F89" i="22"/>
  <c r="AE76" i="22"/>
  <c r="W76" i="21"/>
  <c r="U76" i="21"/>
  <c r="AC76" i="21" s="1"/>
  <c r="Q76" i="21"/>
  <c r="S76" i="21" s="1"/>
  <c r="AD76" i="21" s="1"/>
  <c r="L76" i="21"/>
  <c r="AB76" i="21" s="1"/>
  <c r="J76" i="21"/>
  <c r="AA76" i="21" s="1"/>
  <c r="M87" i="21"/>
  <c r="D77" i="21"/>
  <c r="C76" i="21"/>
  <c r="Z76" i="21" s="1"/>
  <c r="K87" i="21"/>
  <c r="F87" i="21"/>
  <c r="N88" i="3"/>
  <c r="M89" i="3"/>
  <c r="AS43" i="13"/>
  <c r="AA44" i="13" s="1"/>
  <c r="AR42" i="13"/>
  <c r="Z43" i="13" s="1"/>
  <c r="AQ43" i="13"/>
  <c r="Y44" i="13" s="1"/>
  <c r="AO43" i="13"/>
  <c r="W44" i="13" s="1"/>
  <c r="AM43" i="13"/>
  <c r="U44" i="13" s="1"/>
  <c r="AT43" i="13"/>
  <c r="AB44" i="13" s="1"/>
  <c r="AP44" i="13"/>
  <c r="X45" i="13" s="1"/>
  <c r="AN43" i="13"/>
  <c r="V44" i="13" s="1"/>
  <c r="AC76" i="26" l="1"/>
  <c r="AK76" i="26" s="1"/>
  <c r="M92" i="27"/>
  <c r="E77" i="27"/>
  <c r="I77" i="27"/>
  <c r="K88" i="27"/>
  <c r="F89" i="27"/>
  <c r="K88" i="26"/>
  <c r="E77" i="26"/>
  <c r="I77" i="26"/>
  <c r="M90" i="26"/>
  <c r="F88" i="26"/>
  <c r="D77" i="25"/>
  <c r="C76" i="25"/>
  <c r="Z76" i="25" s="1"/>
  <c r="AH76" i="25" s="1"/>
  <c r="M89" i="25"/>
  <c r="K88" i="25"/>
  <c r="F87" i="25"/>
  <c r="W76" i="25"/>
  <c r="U76" i="25"/>
  <c r="Q76" i="25"/>
  <c r="S76" i="25" s="1"/>
  <c r="AD76" i="25" s="1"/>
  <c r="AL76" i="25" s="1"/>
  <c r="AN76" i="25"/>
  <c r="L76" i="25"/>
  <c r="AB76" i="25" s="1"/>
  <c r="AJ76" i="25" s="1"/>
  <c r="J76" i="25"/>
  <c r="AA76" i="25" s="1"/>
  <c r="AI76" i="25" s="1"/>
  <c r="E77" i="24"/>
  <c r="I77" i="24"/>
  <c r="F89" i="24"/>
  <c r="M89" i="24"/>
  <c r="K88" i="24"/>
  <c r="AC76" i="27"/>
  <c r="AK76" i="27" s="1"/>
  <c r="AC76" i="24"/>
  <c r="AK76" i="24" s="1"/>
  <c r="F88" i="23"/>
  <c r="G76" i="23"/>
  <c r="H76" i="23"/>
  <c r="Y76" i="23" s="1"/>
  <c r="AE76" i="23"/>
  <c r="M91" i="23"/>
  <c r="K90" i="23"/>
  <c r="K89" i="22"/>
  <c r="D77" i="22"/>
  <c r="C76" i="22"/>
  <c r="Z76" i="22" s="1"/>
  <c r="U76" i="22"/>
  <c r="Q76" i="22"/>
  <c r="S76" i="22" s="1"/>
  <c r="AD76" i="22" s="1"/>
  <c r="W76" i="22"/>
  <c r="J76" i="22"/>
  <c r="AA76" i="22" s="1"/>
  <c r="L76" i="22"/>
  <c r="AB76" i="22" s="1"/>
  <c r="M90" i="22"/>
  <c r="F90" i="22"/>
  <c r="F88" i="21"/>
  <c r="K88" i="21"/>
  <c r="E77" i="21"/>
  <c r="I77" i="21"/>
  <c r="M88" i="21"/>
  <c r="N89" i="3"/>
  <c r="M90" i="3"/>
  <c r="AN44" i="13"/>
  <c r="V45" i="13" s="1"/>
  <c r="AP45" i="13"/>
  <c r="X46" i="13" s="1"/>
  <c r="AT44" i="13"/>
  <c r="AB45" i="13" s="1"/>
  <c r="AM44" i="13"/>
  <c r="U45" i="13" s="1"/>
  <c r="AO44" i="13"/>
  <c r="W45" i="13" s="1"/>
  <c r="AQ44" i="13"/>
  <c r="Y45" i="13" s="1"/>
  <c r="AR43" i="13"/>
  <c r="Z44" i="13" s="1"/>
  <c r="AS44" i="13"/>
  <c r="AA45" i="13" s="1"/>
  <c r="AC76" i="22" l="1"/>
  <c r="AC76" i="25"/>
  <c r="AK76" i="25" s="1"/>
  <c r="K89" i="27"/>
  <c r="F90" i="27"/>
  <c r="G77" i="27"/>
  <c r="H77" i="27"/>
  <c r="Y77" i="27" s="1"/>
  <c r="AM77" i="27" s="1"/>
  <c r="M93" i="27"/>
  <c r="G77" i="26"/>
  <c r="H77" i="26"/>
  <c r="Y77" i="26" s="1"/>
  <c r="AM77" i="26" s="1"/>
  <c r="F89" i="26"/>
  <c r="M91" i="26"/>
  <c r="K89" i="26"/>
  <c r="M90" i="25"/>
  <c r="K89" i="25"/>
  <c r="F88" i="25"/>
  <c r="E77" i="25"/>
  <c r="I77" i="25"/>
  <c r="K89" i="24"/>
  <c r="F90" i="24"/>
  <c r="M90" i="24"/>
  <c r="G77" i="24"/>
  <c r="H77" i="24"/>
  <c r="Y77" i="24" s="1"/>
  <c r="AM77" i="24" s="1"/>
  <c r="AE77" i="27"/>
  <c r="AE77" i="26"/>
  <c r="AE77" i="24"/>
  <c r="F89" i="23"/>
  <c r="K91" i="23"/>
  <c r="M92" i="23"/>
  <c r="D77" i="23"/>
  <c r="C76" i="23"/>
  <c r="Z76" i="23" s="1"/>
  <c r="Q76" i="23"/>
  <c r="S76" i="23" s="1"/>
  <c r="AD76" i="23" s="1"/>
  <c r="U76" i="23"/>
  <c r="W76" i="23"/>
  <c r="L76" i="23"/>
  <c r="AB76" i="23" s="1"/>
  <c r="J76" i="23"/>
  <c r="AA76" i="23" s="1"/>
  <c r="K90" i="22"/>
  <c r="F91" i="22"/>
  <c r="M91" i="22"/>
  <c r="E77" i="22"/>
  <c r="I77" i="22"/>
  <c r="G77" i="21"/>
  <c r="H77" i="21"/>
  <c r="M89" i="21"/>
  <c r="K89" i="21"/>
  <c r="F89" i="21"/>
  <c r="Y77" i="21"/>
  <c r="AE77" i="21"/>
  <c r="N90" i="3"/>
  <c r="M91" i="3"/>
  <c r="AS45" i="13"/>
  <c r="AA46" i="13" s="1"/>
  <c r="AR44" i="13"/>
  <c r="Z45" i="13" s="1"/>
  <c r="AQ45" i="13"/>
  <c r="Y46" i="13" s="1"/>
  <c r="AO45" i="13"/>
  <c r="W46" i="13" s="1"/>
  <c r="AM45" i="13"/>
  <c r="U46" i="13" s="1"/>
  <c r="AT45" i="13"/>
  <c r="AB46" i="13" s="1"/>
  <c r="AP46" i="13"/>
  <c r="X47" i="13" s="1"/>
  <c r="AN45" i="13"/>
  <c r="V46" i="13" s="1"/>
  <c r="M94" i="27" l="1"/>
  <c r="Q77" i="27"/>
  <c r="S77" i="27" s="1"/>
  <c r="AD77" i="27" s="1"/>
  <c r="AL77" i="27" s="1"/>
  <c r="AN77" i="27"/>
  <c r="W77" i="27"/>
  <c r="U77" i="27"/>
  <c r="L77" i="27"/>
  <c r="AB77" i="27" s="1"/>
  <c r="AJ77" i="27" s="1"/>
  <c r="J77" i="27"/>
  <c r="AA77" i="27" s="1"/>
  <c r="AI77" i="27" s="1"/>
  <c r="F91" i="27"/>
  <c r="K90" i="27"/>
  <c r="D78" i="27"/>
  <c r="C77" i="27"/>
  <c r="Z77" i="27" s="1"/>
  <c r="AH77" i="27" s="1"/>
  <c r="D78" i="26"/>
  <c r="C77" i="26"/>
  <c r="Z77" i="26" s="1"/>
  <c r="AH77" i="26" s="1"/>
  <c r="U77" i="26"/>
  <c r="W77" i="26"/>
  <c r="Q77" i="26"/>
  <c r="S77" i="26" s="1"/>
  <c r="AD77" i="26" s="1"/>
  <c r="AL77" i="26" s="1"/>
  <c r="AN77" i="26"/>
  <c r="L77" i="26"/>
  <c r="AB77" i="26" s="1"/>
  <c r="AJ77" i="26" s="1"/>
  <c r="J77" i="26"/>
  <c r="AA77" i="26" s="1"/>
  <c r="AI77" i="26" s="1"/>
  <c r="K90" i="26"/>
  <c r="M92" i="26"/>
  <c r="F90" i="26"/>
  <c r="G77" i="25"/>
  <c r="H77" i="25"/>
  <c r="Y77" i="25" s="1"/>
  <c r="AM77" i="25" s="1"/>
  <c r="F89" i="25"/>
  <c r="K90" i="25"/>
  <c r="M91" i="25"/>
  <c r="K90" i="24"/>
  <c r="Q77" i="24"/>
  <c r="S77" i="24" s="1"/>
  <c r="AD77" i="24" s="1"/>
  <c r="AL77" i="24" s="1"/>
  <c r="U77" i="24"/>
  <c r="AN77" i="24"/>
  <c r="W77" i="24"/>
  <c r="L77" i="24"/>
  <c r="AB77" i="24" s="1"/>
  <c r="AJ77" i="24" s="1"/>
  <c r="J77" i="24"/>
  <c r="AA77" i="24" s="1"/>
  <c r="AI77" i="24" s="1"/>
  <c r="M91" i="24"/>
  <c r="D78" i="24"/>
  <c r="C77" i="24"/>
  <c r="Z77" i="24" s="1"/>
  <c r="AH77" i="24" s="1"/>
  <c r="F91" i="24"/>
  <c r="AE77" i="25"/>
  <c r="F90" i="23"/>
  <c r="E77" i="23"/>
  <c r="I77" i="23"/>
  <c r="M93" i="23"/>
  <c r="K92" i="23"/>
  <c r="AC76" i="23"/>
  <c r="G77" i="22"/>
  <c r="H77" i="22"/>
  <c r="Y77" i="22" s="1"/>
  <c r="M92" i="22"/>
  <c r="F92" i="22"/>
  <c r="K91" i="22"/>
  <c r="AE77" i="22"/>
  <c r="K90" i="21"/>
  <c r="D78" i="21"/>
  <c r="C77" i="21"/>
  <c r="Z77" i="21" s="1"/>
  <c r="M90" i="21"/>
  <c r="F90" i="21"/>
  <c r="Q77" i="21"/>
  <c r="S77" i="21" s="1"/>
  <c r="AD77" i="21" s="1"/>
  <c r="U77" i="21"/>
  <c r="W77" i="21"/>
  <c r="L77" i="21"/>
  <c r="AB77" i="21" s="1"/>
  <c r="J77" i="21"/>
  <c r="AA77" i="21" s="1"/>
  <c r="N91" i="3"/>
  <c r="M92" i="3"/>
  <c r="AN46" i="13"/>
  <c r="V47" i="13" s="1"/>
  <c r="AP47" i="13"/>
  <c r="X48" i="13" s="1"/>
  <c r="AT46" i="13"/>
  <c r="AB47" i="13" s="1"/>
  <c r="AM46" i="13"/>
  <c r="U47" i="13" s="1"/>
  <c r="AO46" i="13"/>
  <c r="W47" i="13" s="1"/>
  <c r="AQ46" i="13"/>
  <c r="Y47" i="13" s="1"/>
  <c r="AR45" i="13"/>
  <c r="Z46" i="13" s="1"/>
  <c r="AS46" i="13"/>
  <c r="AA47" i="13" s="1"/>
  <c r="AC77" i="21" l="1"/>
  <c r="K91" i="27"/>
  <c r="E78" i="27"/>
  <c r="I78" i="27"/>
  <c r="F92" i="27"/>
  <c r="M95" i="27"/>
  <c r="F91" i="26"/>
  <c r="M93" i="26"/>
  <c r="K91" i="26"/>
  <c r="E78" i="26"/>
  <c r="I78" i="26"/>
  <c r="F90" i="25"/>
  <c r="M92" i="25"/>
  <c r="K91" i="25"/>
  <c r="D78" i="25"/>
  <c r="C77" i="25"/>
  <c r="Z77" i="25" s="1"/>
  <c r="AH77" i="25" s="1"/>
  <c r="U77" i="25"/>
  <c r="W77" i="25"/>
  <c r="Q77" i="25"/>
  <c r="S77" i="25" s="1"/>
  <c r="AD77" i="25" s="1"/>
  <c r="AL77" i="25" s="1"/>
  <c r="AN77" i="25"/>
  <c r="L77" i="25"/>
  <c r="AB77" i="25" s="1"/>
  <c r="AJ77" i="25" s="1"/>
  <c r="J77" i="25"/>
  <c r="AA77" i="25" s="1"/>
  <c r="AI77" i="25" s="1"/>
  <c r="E78" i="24"/>
  <c r="I78" i="24"/>
  <c r="F92" i="24"/>
  <c r="M92" i="24"/>
  <c r="K91" i="24"/>
  <c r="AC77" i="27"/>
  <c r="AK77" i="27" s="1"/>
  <c r="AC77" i="26"/>
  <c r="AK77" i="26" s="1"/>
  <c r="AC77" i="24"/>
  <c r="AK77" i="24" s="1"/>
  <c r="G77" i="23"/>
  <c r="H77" i="23"/>
  <c r="Y77" i="23" s="1"/>
  <c r="AE77" i="23"/>
  <c r="K93" i="23"/>
  <c r="M94" i="23"/>
  <c r="F91" i="23"/>
  <c r="K92" i="22"/>
  <c r="F93" i="22"/>
  <c r="M93" i="22"/>
  <c r="D78" i="22"/>
  <c r="C77" i="22"/>
  <c r="Z77" i="22" s="1"/>
  <c r="U77" i="22"/>
  <c r="W77" i="22"/>
  <c r="Q77" i="22"/>
  <c r="S77" i="22" s="1"/>
  <c r="AD77" i="22" s="1"/>
  <c r="L77" i="22"/>
  <c r="AB77" i="22" s="1"/>
  <c r="J77" i="22"/>
  <c r="AA77" i="22" s="1"/>
  <c r="M91" i="21"/>
  <c r="E78" i="21"/>
  <c r="I78" i="21"/>
  <c r="K91" i="21"/>
  <c r="F91" i="21"/>
  <c r="N92" i="3"/>
  <c r="M93" i="3"/>
  <c r="AS47" i="13"/>
  <c r="AA48" i="13" s="1"/>
  <c r="AR46" i="13"/>
  <c r="Z47" i="13" s="1"/>
  <c r="AQ47" i="13"/>
  <c r="Y48" i="13" s="1"/>
  <c r="AO47" i="13"/>
  <c r="W48" i="13" s="1"/>
  <c r="AM47" i="13"/>
  <c r="U48" i="13" s="1"/>
  <c r="AT47" i="13"/>
  <c r="AB48" i="13" s="1"/>
  <c r="AP48" i="13"/>
  <c r="X49" i="13" s="1"/>
  <c r="AN47" i="13"/>
  <c r="V48" i="13" s="1"/>
  <c r="AC77" i="25" l="1"/>
  <c r="AK77" i="25" s="1"/>
  <c r="G78" i="27"/>
  <c r="H78" i="27"/>
  <c r="M96" i="27"/>
  <c r="F93" i="27"/>
  <c r="K92" i="27"/>
  <c r="G78" i="26"/>
  <c r="H78" i="26"/>
  <c r="Y78" i="26" s="1"/>
  <c r="AM78" i="26" s="1"/>
  <c r="K92" i="26"/>
  <c r="M94" i="26"/>
  <c r="F92" i="26"/>
  <c r="E78" i="25"/>
  <c r="I78" i="25"/>
  <c r="K92" i="25"/>
  <c r="M93" i="25"/>
  <c r="F91" i="25"/>
  <c r="F93" i="24"/>
  <c r="K92" i="24"/>
  <c r="G78" i="24"/>
  <c r="H78" i="24"/>
  <c r="Y78" i="24" s="1"/>
  <c r="AM78" i="24" s="1"/>
  <c r="M93" i="24"/>
  <c r="Y78" i="27"/>
  <c r="AM78" i="27" s="1"/>
  <c r="AE78" i="27"/>
  <c r="AE78" i="26"/>
  <c r="AE78" i="24"/>
  <c r="D78" i="23"/>
  <c r="C77" i="23"/>
  <c r="Z77" i="23" s="1"/>
  <c r="F92" i="23"/>
  <c r="U77" i="23"/>
  <c r="Q77" i="23"/>
  <c r="S77" i="23" s="1"/>
  <c r="AD77" i="23" s="1"/>
  <c r="W77" i="23"/>
  <c r="L77" i="23"/>
  <c r="AB77" i="23" s="1"/>
  <c r="J77" i="23"/>
  <c r="AA77" i="23" s="1"/>
  <c r="M95" i="23"/>
  <c r="K94" i="23"/>
  <c r="E78" i="22"/>
  <c r="I78" i="22"/>
  <c r="M94" i="22"/>
  <c r="F94" i="22"/>
  <c r="K93" i="22"/>
  <c r="AC77" i="22"/>
  <c r="F92" i="21"/>
  <c r="G78" i="21"/>
  <c r="H78" i="21"/>
  <c r="Y78" i="21" s="1"/>
  <c r="M92" i="21"/>
  <c r="K92" i="21"/>
  <c r="AE78" i="21"/>
  <c r="N93" i="3"/>
  <c r="M94" i="3"/>
  <c r="AN48" i="13"/>
  <c r="V49" i="13" s="1"/>
  <c r="AP49" i="13"/>
  <c r="X50" i="13" s="1"/>
  <c r="AR47" i="13"/>
  <c r="Z48" i="13" s="1"/>
  <c r="AT48" i="13"/>
  <c r="AB49" i="13" s="1"/>
  <c r="AM48" i="13"/>
  <c r="U49" i="13" s="1"/>
  <c r="AO48" i="13"/>
  <c r="W49" i="13" s="1"/>
  <c r="AQ48" i="13"/>
  <c r="Y49" i="13" s="1"/>
  <c r="AS48" i="13"/>
  <c r="AA49" i="13" s="1"/>
  <c r="K93" i="27" l="1"/>
  <c r="D79" i="27"/>
  <c r="C78" i="27"/>
  <c r="Z78" i="27" s="1"/>
  <c r="AH78" i="27" s="1"/>
  <c r="F94" i="27"/>
  <c r="M97" i="27"/>
  <c r="U78" i="27"/>
  <c r="Q78" i="27"/>
  <c r="S78" i="27" s="1"/>
  <c r="AD78" i="27" s="1"/>
  <c r="AL78" i="27" s="1"/>
  <c r="W78" i="27"/>
  <c r="AN78" i="27"/>
  <c r="L78" i="27"/>
  <c r="AB78" i="27" s="1"/>
  <c r="AJ78" i="27" s="1"/>
  <c r="J78" i="27"/>
  <c r="AA78" i="27" s="1"/>
  <c r="AI78" i="27" s="1"/>
  <c r="F93" i="26"/>
  <c r="W78" i="26"/>
  <c r="Q78" i="26"/>
  <c r="S78" i="26" s="1"/>
  <c r="AD78" i="26" s="1"/>
  <c r="AL78" i="26" s="1"/>
  <c r="U78" i="26"/>
  <c r="AC78" i="26" s="1"/>
  <c r="AK78" i="26" s="1"/>
  <c r="AN78" i="26"/>
  <c r="L78" i="26"/>
  <c r="AB78" i="26" s="1"/>
  <c r="AJ78" i="26" s="1"/>
  <c r="J78" i="26"/>
  <c r="AA78" i="26" s="1"/>
  <c r="AI78" i="26" s="1"/>
  <c r="M95" i="26"/>
  <c r="D79" i="26"/>
  <c r="C78" i="26"/>
  <c r="Z78" i="26" s="1"/>
  <c r="AH78" i="26" s="1"/>
  <c r="K93" i="26"/>
  <c r="K93" i="25"/>
  <c r="M94" i="25"/>
  <c r="F92" i="25"/>
  <c r="G78" i="25"/>
  <c r="H78" i="25"/>
  <c r="Y78" i="25" s="1"/>
  <c r="AM78" i="25" s="1"/>
  <c r="W78" i="24"/>
  <c r="U78" i="24"/>
  <c r="AN78" i="24"/>
  <c r="Q78" i="24"/>
  <c r="S78" i="24" s="1"/>
  <c r="AD78" i="24" s="1"/>
  <c r="AL78" i="24" s="1"/>
  <c r="L78" i="24"/>
  <c r="AB78" i="24" s="1"/>
  <c r="AJ78" i="24" s="1"/>
  <c r="J78" i="24"/>
  <c r="AA78" i="24" s="1"/>
  <c r="AI78" i="24" s="1"/>
  <c r="D79" i="24"/>
  <c r="C78" i="24"/>
  <c r="Z78" i="24" s="1"/>
  <c r="AH78" i="24" s="1"/>
  <c r="K93" i="24"/>
  <c r="M94" i="24"/>
  <c r="F94" i="24"/>
  <c r="AE78" i="25"/>
  <c r="K95" i="23"/>
  <c r="AC77" i="23"/>
  <c r="M96" i="23"/>
  <c r="F93" i="23"/>
  <c r="E78" i="23"/>
  <c r="I78" i="23"/>
  <c r="K94" i="22"/>
  <c r="F95" i="22"/>
  <c r="G78" i="22"/>
  <c r="H78" i="22"/>
  <c r="Y78" i="22" s="1"/>
  <c r="M95" i="22"/>
  <c r="AE78" i="22"/>
  <c r="K93" i="21"/>
  <c r="M93" i="21"/>
  <c r="D79" i="21"/>
  <c r="C78" i="21"/>
  <c r="Z78" i="21" s="1"/>
  <c r="W78" i="21"/>
  <c r="Q78" i="21"/>
  <c r="S78" i="21" s="1"/>
  <c r="AD78" i="21" s="1"/>
  <c r="U78" i="21"/>
  <c r="L78" i="21"/>
  <c r="AB78" i="21" s="1"/>
  <c r="J78" i="21"/>
  <c r="AA78" i="21" s="1"/>
  <c r="F93" i="21"/>
  <c r="N94" i="3"/>
  <c r="M95" i="3"/>
  <c r="AQ49" i="13"/>
  <c r="Y50" i="13" s="1"/>
  <c r="AO49" i="13"/>
  <c r="W50" i="13" s="1"/>
  <c r="AM49" i="13"/>
  <c r="U50" i="13" s="1"/>
  <c r="AT49" i="13"/>
  <c r="AB50" i="13" s="1"/>
  <c r="AR48" i="13"/>
  <c r="Z49" i="13" s="1"/>
  <c r="AS49" i="13"/>
  <c r="AA50" i="13" s="1"/>
  <c r="AN49" i="13"/>
  <c r="V50" i="13" s="1"/>
  <c r="AP50" i="13"/>
  <c r="X51" i="13" s="1"/>
  <c r="AC78" i="21" l="1"/>
  <c r="AC78" i="27"/>
  <c r="AK78" i="27" s="1"/>
  <c r="AC78" i="24"/>
  <c r="AK78" i="24" s="1"/>
  <c r="F95" i="27"/>
  <c r="M98" i="27"/>
  <c r="E79" i="27"/>
  <c r="I79" i="27"/>
  <c r="K94" i="27"/>
  <c r="K94" i="26"/>
  <c r="E79" i="26"/>
  <c r="I79" i="26"/>
  <c r="M96" i="26"/>
  <c r="F94" i="26"/>
  <c r="F93" i="25"/>
  <c r="M95" i="25"/>
  <c r="K94" i="25"/>
  <c r="U78" i="25"/>
  <c r="W78" i="25"/>
  <c r="AN78" i="25"/>
  <c r="Q78" i="25"/>
  <c r="S78" i="25" s="1"/>
  <c r="AD78" i="25" s="1"/>
  <c r="AL78" i="25" s="1"/>
  <c r="J78" i="25"/>
  <c r="L78" i="25"/>
  <c r="AB78" i="25" s="1"/>
  <c r="AJ78" i="25" s="1"/>
  <c r="D79" i="25"/>
  <c r="C78" i="25"/>
  <c r="Z78" i="25" s="1"/>
  <c r="AH78" i="25" s="1"/>
  <c r="F95" i="24"/>
  <c r="K94" i="24"/>
  <c r="M95" i="24"/>
  <c r="E79" i="24"/>
  <c r="I79" i="24"/>
  <c r="AA78" i="25"/>
  <c r="AI78" i="25" s="1"/>
  <c r="F94" i="23"/>
  <c r="M97" i="23"/>
  <c r="G78" i="23"/>
  <c r="H78" i="23"/>
  <c r="Y78" i="23" s="1"/>
  <c r="AE78" i="23"/>
  <c r="K96" i="23"/>
  <c r="D79" i="22"/>
  <c r="C78" i="22"/>
  <c r="Z78" i="22" s="1"/>
  <c r="K95" i="22"/>
  <c r="M96" i="22"/>
  <c r="W78" i="22"/>
  <c r="U78" i="22"/>
  <c r="Q78" i="22"/>
  <c r="S78" i="22" s="1"/>
  <c r="AD78" i="22" s="1"/>
  <c r="J78" i="22"/>
  <c r="AA78" i="22" s="1"/>
  <c r="L78" i="22"/>
  <c r="AB78" i="22" s="1"/>
  <c r="F96" i="22"/>
  <c r="F94" i="21"/>
  <c r="E79" i="21"/>
  <c r="I79" i="21"/>
  <c r="M94" i="21"/>
  <c r="K94" i="21"/>
  <c r="N95" i="3"/>
  <c r="M96" i="3"/>
  <c r="AT50" i="13"/>
  <c r="AB51" i="13" s="1"/>
  <c r="AM50" i="13"/>
  <c r="U51" i="13" s="1"/>
  <c r="AP51" i="13"/>
  <c r="X52" i="13" s="1"/>
  <c r="AN50" i="13"/>
  <c r="V51" i="13" s="1"/>
  <c r="AO50" i="13"/>
  <c r="W51" i="13" s="1"/>
  <c r="AS50" i="13"/>
  <c r="AA51" i="13" s="1"/>
  <c r="AR49" i="13"/>
  <c r="Z50" i="13" s="1"/>
  <c r="AQ50" i="13"/>
  <c r="Y51" i="13" s="1"/>
  <c r="G79" i="27" l="1"/>
  <c r="H79" i="27"/>
  <c r="Y79" i="27" s="1"/>
  <c r="AM79" i="27" s="1"/>
  <c r="M99" i="27"/>
  <c r="K95" i="27"/>
  <c r="F96" i="27"/>
  <c r="G79" i="26"/>
  <c r="H79" i="26"/>
  <c r="Y79" i="26" s="1"/>
  <c r="AM79" i="26" s="1"/>
  <c r="F95" i="26"/>
  <c r="M97" i="26"/>
  <c r="K95" i="26"/>
  <c r="F94" i="25"/>
  <c r="E79" i="25"/>
  <c r="I79" i="25"/>
  <c r="K95" i="25"/>
  <c r="M96" i="25"/>
  <c r="F96" i="24"/>
  <c r="G79" i="24"/>
  <c r="H79" i="24"/>
  <c r="Y79" i="24" s="1"/>
  <c r="AM79" i="24" s="1"/>
  <c r="M96" i="24"/>
  <c r="K95" i="24"/>
  <c r="AE79" i="27"/>
  <c r="AE79" i="26"/>
  <c r="AC78" i="25"/>
  <c r="AK78" i="25" s="1"/>
  <c r="AE79" i="24"/>
  <c r="F95" i="23"/>
  <c r="K97" i="23"/>
  <c r="D79" i="23"/>
  <c r="C78" i="23"/>
  <c r="Z78" i="23" s="1"/>
  <c r="Q78" i="23"/>
  <c r="S78" i="23" s="1"/>
  <c r="AD78" i="23" s="1"/>
  <c r="U78" i="23"/>
  <c r="W78" i="23"/>
  <c r="L78" i="23"/>
  <c r="AB78" i="23" s="1"/>
  <c r="J78" i="23"/>
  <c r="AA78" i="23" s="1"/>
  <c r="M98" i="23"/>
  <c r="M97" i="22"/>
  <c r="F97" i="22"/>
  <c r="K96" i="22"/>
  <c r="E79" i="22"/>
  <c r="I79" i="22"/>
  <c r="AC78" i="22"/>
  <c r="K95" i="21"/>
  <c r="G79" i="21"/>
  <c r="H79" i="21"/>
  <c r="Y79" i="21" s="1"/>
  <c r="F95" i="21"/>
  <c r="M95" i="21"/>
  <c r="AE79" i="21"/>
  <c r="N96" i="3"/>
  <c r="M97" i="3"/>
  <c r="AR50" i="13"/>
  <c r="Z51" i="13" s="1"/>
  <c r="AS51" i="13"/>
  <c r="AA52" i="13" s="1"/>
  <c r="AO51" i="13"/>
  <c r="W52" i="13" s="1"/>
  <c r="AP52" i="13"/>
  <c r="X53" i="13" s="1"/>
  <c r="AM51" i="13"/>
  <c r="U52" i="13" s="1"/>
  <c r="AT51" i="13"/>
  <c r="AB52" i="13" s="1"/>
  <c r="AQ51" i="13"/>
  <c r="Y52" i="13" s="1"/>
  <c r="AN51" i="13"/>
  <c r="V52" i="13" s="1"/>
  <c r="AC78" i="23" l="1"/>
  <c r="K96" i="27"/>
  <c r="M100" i="27"/>
  <c r="D80" i="27"/>
  <c r="C79" i="27"/>
  <c r="Z79" i="27" s="1"/>
  <c r="AH79" i="27" s="1"/>
  <c r="F97" i="27"/>
  <c r="W79" i="27"/>
  <c r="U79" i="27"/>
  <c r="AN79" i="27"/>
  <c r="Q79" i="27"/>
  <c r="S79" i="27" s="1"/>
  <c r="AD79" i="27" s="1"/>
  <c r="AL79" i="27" s="1"/>
  <c r="J79" i="27"/>
  <c r="AA79" i="27" s="1"/>
  <c r="AI79" i="27" s="1"/>
  <c r="L79" i="27"/>
  <c r="AB79" i="27" s="1"/>
  <c r="AJ79" i="27" s="1"/>
  <c r="W79" i="26"/>
  <c r="Q79" i="26"/>
  <c r="AN79" i="26"/>
  <c r="U79" i="26"/>
  <c r="AC79" i="26" s="1"/>
  <c r="AK79" i="26" s="1"/>
  <c r="L79" i="26"/>
  <c r="J79" i="26"/>
  <c r="AA79" i="26" s="1"/>
  <c r="AI79" i="26" s="1"/>
  <c r="K96" i="26"/>
  <c r="M98" i="26"/>
  <c r="D80" i="26"/>
  <c r="C79" i="26"/>
  <c r="Z79" i="26" s="1"/>
  <c r="AH79" i="26" s="1"/>
  <c r="F96" i="26"/>
  <c r="K96" i="25"/>
  <c r="G79" i="25"/>
  <c r="H79" i="25"/>
  <c r="Y79" i="25" s="1"/>
  <c r="AM79" i="25" s="1"/>
  <c r="M97" i="25"/>
  <c r="F95" i="25"/>
  <c r="U79" i="24"/>
  <c r="W79" i="24"/>
  <c r="AC79" i="24" s="1"/>
  <c r="AK79" i="24" s="1"/>
  <c r="Q79" i="24"/>
  <c r="S79" i="24" s="1"/>
  <c r="AD79" i="24" s="1"/>
  <c r="AL79" i="24" s="1"/>
  <c r="AN79" i="24"/>
  <c r="L79" i="24"/>
  <c r="J79" i="24"/>
  <c r="AA79" i="24" s="1"/>
  <c r="AI79" i="24" s="1"/>
  <c r="F97" i="24"/>
  <c r="K96" i="24"/>
  <c r="D80" i="24"/>
  <c r="C79" i="24"/>
  <c r="Z79" i="24" s="1"/>
  <c r="AH79" i="24" s="1"/>
  <c r="M97" i="24"/>
  <c r="S79" i="26"/>
  <c r="AD79" i="26" s="1"/>
  <c r="AL79" i="26" s="1"/>
  <c r="AB79" i="26"/>
  <c r="AJ79" i="26" s="1"/>
  <c r="AE79" i="25"/>
  <c r="AB79" i="24"/>
  <c r="AJ79" i="24" s="1"/>
  <c r="E79" i="23"/>
  <c r="I79" i="23"/>
  <c r="M99" i="23"/>
  <c r="K98" i="23"/>
  <c r="F96" i="23"/>
  <c r="F98" i="22"/>
  <c r="G79" i="22"/>
  <c r="H79" i="22"/>
  <c r="Y79" i="22" s="1"/>
  <c r="K97" i="22"/>
  <c r="M98" i="22"/>
  <c r="AE79" i="22"/>
  <c r="F96" i="21"/>
  <c r="U79" i="21"/>
  <c r="W79" i="21"/>
  <c r="Q79" i="21"/>
  <c r="S79" i="21" s="1"/>
  <c r="AD79" i="21" s="1"/>
  <c r="L79" i="21"/>
  <c r="AB79" i="21" s="1"/>
  <c r="J79" i="21"/>
  <c r="AA79" i="21" s="1"/>
  <c r="D80" i="21"/>
  <c r="C79" i="21"/>
  <c r="Z79" i="21" s="1"/>
  <c r="K96" i="21"/>
  <c r="M96" i="21"/>
  <c r="N97" i="3"/>
  <c r="M98" i="3"/>
  <c r="AQ52" i="13"/>
  <c r="Y53" i="13" s="1"/>
  <c r="AP53" i="13"/>
  <c r="X54" i="13" s="1"/>
  <c r="AN52" i="13"/>
  <c r="V53" i="13" s="1"/>
  <c r="AT52" i="13"/>
  <c r="AB53" i="13" s="1"/>
  <c r="AM52" i="13"/>
  <c r="U53" i="13" s="1"/>
  <c r="AO52" i="13"/>
  <c r="W53" i="13" s="1"/>
  <c r="AS52" i="13"/>
  <c r="AA53" i="13" s="1"/>
  <c r="AR51" i="13"/>
  <c r="Z52" i="13" s="1"/>
  <c r="E80" i="27" l="1"/>
  <c r="I80" i="27"/>
  <c r="M101" i="27"/>
  <c r="F98" i="27"/>
  <c r="K97" i="27"/>
  <c r="F97" i="26"/>
  <c r="K97" i="26"/>
  <c r="E80" i="26"/>
  <c r="I80" i="26"/>
  <c r="M99" i="26"/>
  <c r="K97" i="25"/>
  <c r="F96" i="25"/>
  <c r="M98" i="25"/>
  <c r="D80" i="25"/>
  <c r="C79" i="25"/>
  <c r="Z79" i="25" s="1"/>
  <c r="AH79" i="25" s="1"/>
  <c r="W79" i="25"/>
  <c r="U79" i="25"/>
  <c r="Q79" i="25"/>
  <c r="S79" i="25" s="1"/>
  <c r="AD79" i="25" s="1"/>
  <c r="AL79" i="25" s="1"/>
  <c r="AN79" i="25"/>
  <c r="J79" i="25"/>
  <c r="AA79" i="25" s="1"/>
  <c r="AI79" i="25" s="1"/>
  <c r="L79" i="25"/>
  <c r="AB79" i="25" s="1"/>
  <c r="AJ79" i="25" s="1"/>
  <c r="E80" i="24"/>
  <c r="I80" i="24"/>
  <c r="K97" i="24"/>
  <c r="F98" i="24"/>
  <c r="M98" i="24"/>
  <c r="AC79" i="27"/>
  <c r="AK79" i="27" s="1"/>
  <c r="M100" i="23"/>
  <c r="F97" i="23"/>
  <c r="G79" i="23"/>
  <c r="H79" i="23"/>
  <c r="Y79" i="23" s="1"/>
  <c r="AE79" i="23"/>
  <c r="K99" i="23"/>
  <c r="K98" i="22"/>
  <c r="D80" i="22"/>
  <c r="C79" i="22"/>
  <c r="Z79" i="22" s="1"/>
  <c r="W79" i="22"/>
  <c r="U79" i="22"/>
  <c r="Q79" i="22"/>
  <c r="S79" i="22" s="1"/>
  <c r="AD79" i="22" s="1"/>
  <c r="L79" i="22"/>
  <c r="AB79" i="22" s="1"/>
  <c r="J79" i="22"/>
  <c r="AA79" i="22" s="1"/>
  <c r="F99" i="22"/>
  <c r="M99" i="22"/>
  <c r="M97" i="21"/>
  <c r="K97" i="21"/>
  <c r="F97" i="21"/>
  <c r="E80" i="21"/>
  <c r="I80" i="21"/>
  <c r="AC79" i="21"/>
  <c r="N98" i="3"/>
  <c r="M99" i="3"/>
  <c r="AR52" i="13"/>
  <c r="Z53" i="13" s="1"/>
  <c r="AO53" i="13"/>
  <c r="W54" i="13" s="1"/>
  <c r="AP54" i="13"/>
  <c r="X55" i="13" s="1"/>
  <c r="AS53" i="13"/>
  <c r="AA54" i="13" s="1"/>
  <c r="AM53" i="13"/>
  <c r="U54" i="13" s="1"/>
  <c r="AT53" i="13"/>
  <c r="AB54" i="13" s="1"/>
  <c r="AN53" i="13"/>
  <c r="V54" i="13" s="1"/>
  <c r="AQ53" i="13"/>
  <c r="Y54" i="13" s="1"/>
  <c r="F99" i="27" l="1"/>
  <c r="M102" i="27"/>
  <c r="K98" i="27"/>
  <c r="G80" i="27"/>
  <c r="H80" i="27"/>
  <c r="Y80" i="27" s="1"/>
  <c r="AM80" i="27" s="1"/>
  <c r="G80" i="26"/>
  <c r="H80" i="26"/>
  <c r="Y80" i="26" s="1"/>
  <c r="AM80" i="26" s="1"/>
  <c r="M100" i="26"/>
  <c r="K98" i="26"/>
  <c r="F98" i="26"/>
  <c r="E80" i="25"/>
  <c r="I80" i="25"/>
  <c r="F97" i="25"/>
  <c r="K98" i="25"/>
  <c r="M99" i="25"/>
  <c r="F99" i="24"/>
  <c r="K98" i="24"/>
  <c r="M99" i="24"/>
  <c r="G80" i="24"/>
  <c r="H80" i="24"/>
  <c r="Y80" i="24" s="1"/>
  <c r="AM80" i="24" s="1"/>
  <c r="AE80" i="27"/>
  <c r="AE80" i="26"/>
  <c r="AC79" i="25"/>
  <c r="AK79" i="25" s="1"/>
  <c r="AE80" i="24"/>
  <c r="D80" i="23"/>
  <c r="C79" i="23"/>
  <c r="Z79" i="23" s="1"/>
  <c r="W79" i="23"/>
  <c r="Q79" i="23"/>
  <c r="S79" i="23" s="1"/>
  <c r="AD79" i="23" s="1"/>
  <c r="U79" i="23"/>
  <c r="L79" i="23"/>
  <c r="AB79" i="23" s="1"/>
  <c r="J79" i="23"/>
  <c r="AA79" i="23" s="1"/>
  <c r="F98" i="23"/>
  <c r="M101" i="23"/>
  <c r="K100" i="23"/>
  <c r="M100" i="22"/>
  <c r="F100" i="22"/>
  <c r="E80" i="22"/>
  <c r="I80" i="22"/>
  <c r="K99" i="22"/>
  <c r="AC79" i="22"/>
  <c r="F98" i="21"/>
  <c r="K98" i="21"/>
  <c r="G80" i="21"/>
  <c r="H80" i="21"/>
  <c r="Y80" i="21" s="1"/>
  <c r="M98" i="21"/>
  <c r="AE80" i="21"/>
  <c r="N99" i="3"/>
  <c r="M100" i="3"/>
  <c r="AN54" i="13"/>
  <c r="V55" i="13" s="1"/>
  <c r="AT54" i="13"/>
  <c r="AB55" i="13" s="1"/>
  <c r="AM54" i="13"/>
  <c r="U55" i="13" s="1"/>
  <c r="AP55" i="13"/>
  <c r="X56" i="13" s="1"/>
  <c r="AO54" i="13"/>
  <c r="W55" i="13" s="1"/>
  <c r="AR53" i="13"/>
  <c r="Z54" i="13" s="1"/>
  <c r="AQ54" i="13"/>
  <c r="Y55" i="13" s="1"/>
  <c r="AS54" i="13"/>
  <c r="AA55" i="13" s="1"/>
  <c r="AC79" i="23" l="1"/>
  <c r="K99" i="27"/>
  <c r="M103" i="27"/>
  <c r="D81" i="27"/>
  <c r="C80" i="27"/>
  <c r="Z80" i="27" s="1"/>
  <c r="AH80" i="27" s="1"/>
  <c r="F100" i="27"/>
  <c r="Q80" i="27"/>
  <c r="S80" i="27" s="1"/>
  <c r="AD80" i="27" s="1"/>
  <c r="AL80" i="27" s="1"/>
  <c r="AN80" i="27"/>
  <c r="W80" i="27"/>
  <c r="U80" i="27"/>
  <c r="AC80" i="27" s="1"/>
  <c r="AK80" i="27" s="1"/>
  <c r="L80" i="27"/>
  <c r="AB80" i="27" s="1"/>
  <c r="AJ80" i="27" s="1"/>
  <c r="J80" i="27"/>
  <c r="AA80" i="27" s="1"/>
  <c r="AI80" i="27" s="1"/>
  <c r="K99" i="26"/>
  <c r="M101" i="26"/>
  <c r="F99" i="26"/>
  <c r="D81" i="26"/>
  <c r="C80" i="26"/>
  <c r="Z80" i="26" s="1"/>
  <c r="AH80" i="26" s="1"/>
  <c r="W80" i="26"/>
  <c r="U80" i="26"/>
  <c r="Q80" i="26"/>
  <c r="S80" i="26" s="1"/>
  <c r="AD80" i="26" s="1"/>
  <c r="AL80" i="26" s="1"/>
  <c r="AN80" i="26"/>
  <c r="J80" i="26"/>
  <c r="AA80" i="26" s="1"/>
  <c r="AI80" i="26" s="1"/>
  <c r="L80" i="26"/>
  <c r="AB80" i="26" s="1"/>
  <c r="AJ80" i="26" s="1"/>
  <c r="M100" i="25"/>
  <c r="K99" i="25"/>
  <c r="G80" i="25"/>
  <c r="H80" i="25"/>
  <c r="Y80" i="25" s="1"/>
  <c r="AM80" i="25" s="1"/>
  <c r="F98" i="25"/>
  <c r="M100" i="24"/>
  <c r="D81" i="24"/>
  <c r="C80" i="24"/>
  <c r="Z80" i="24" s="1"/>
  <c r="AH80" i="24" s="1"/>
  <c r="K99" i="24"/>
  <c r="F100" i="24"/>
  <c r="W80" i="24"/>
  <c r="U80" i="24"/>
  <c r="Q80" i="24"/>
  <c r="S80" i="24" s="1"/>
  <c r="AD80" i="24" s="1"/>
  <c r="AL80" i="24" s="1"/>
  <c r="AN80" i="24"/>
  <c r="L80" i="24"/>
  <c r="AB80" i="24" s="1"/>
  <c r="AJ80" i="24" s="1"/>
  <c r="J80" i="24"/>
  <c r="AA80" i="24" s="1"/>
  <c r="AI80" i="24" s="1"/>
  <c r="AE80" i="25"/>
  <c r="K101" i="23"/>
  <c r="M102" i="23"/>
  <c r="F99" i="23"/>
  <c r="E80" i="23"/>
  <c r="I80" i="23"/>
  <c r="K100" i="22"/>
  <c r="G80" i="22"/>
  <c r="H80" i="22"/>
  <c r="Y80" i="22" s="1"/>
  <c r="F101" i="22"/>
  <c r="M101" i="22"/>
  <c r="AE80" i="22"/>
  <c r="Q80" i="21"/>
  <c r="S80" i="21" s="1"/>
  <c r="AD80" i="21" s="1"/>
  <c r="U80" i="21"/>
  <c r="W80" i="21"/>
  <c r="J80" i="21"/>
  <c r="AA80" i="21" s="1"/>
  <c r="L80" i="21"/>
  <c r="AB80" i="21" s="1"/>
  <c r="K99" i="21"/>
  <c r="D81" i="21"/>
  <c r="C80" i="21"/>
  <c r="Z80" i="21" s="1"/>
  <c r="M99" i="21"/>
  <c r="F99" i="21"/>
  <c r="N100" i="3"/>
  <c r="M101" i="3"/>
  <c r="AQ55" i="13"/>
  <c r="Y56" i="13" s="1"/>
  <c r="AS55" i="13"/>
  <c r="AA56" i="13" s="1"/>
  <c r="AR54" i="13"/>
  <c r="Z55" i="13" s="1"/>
  <c r="AO55" i="13"/>
  <c r="W56" i="13" s="1"/>
  <c r="AP56" i="13"/>
  <c r="X57" i="13" s="1"/>
  <c r="AM55" i="13"/>
  <c r="U56" i="13" s="1"/>
  <c r="AT55" i="13"/>
  <c r="AB56" i="13" s="1"/>
  <c r="AN55" i="13"/>
  <c r="V56" i="13" s="1"/>
  <c r="AC80" i="21" l="1"/>
  <c r="E81" i="27"/>
  <c r="I81" i="27"/>
  <c r="M104" i="27"/>
  <c r="K100" i="27"/>
  <c r="F101" i="27"/>
  <c r="F100" i="26"/>
  <c r="E81" i="26"/>
  <c r="I81" i="26"/>
  <c r="M102" i="26"/>
  <c r="K100" i="26"/>
  <c r="F99" i="25"/>
  <c r="K100" i="25"/>
  <c r="U80" i="25"/>
  <c r="W80" i="25"/>
  <c r="Q80" i="25"/>
  <c r="S80" i="25" s="1"/>
  <c r="AD80" i="25" s="1"/>
  <c r="AL80" i="25" s="1"/>
  <c r="AN80" i="25"/>
  <c r="J80" i="25"/>
  <c r="AA80" i="25" s="1"/>
  <c r="AI80" i="25" s="1"/>
  <c r="L80" i="25"/>
  <c r="AB80" i="25" s="1"/>
  <c r="AJ80" i="25" s="1"/>
  <c r="D81" i="25"/>
  <c r="C80" i="25"/>
  <c r="Z80" i="25" s="1"/>
  <c r="AH80" i="25" s="1"/>
  <c r="M101" i="25"/>
  <c r="M101" i="24"/>
  <c r="K100" i="24"/>
  <c r="E81" i="24"/>
  <c r="I81" i="24"/>
  <c r="F101" i="24"/>
  <c r="AC80" i="26"/>
  <c r="AK80" i="26" s="1"/>
  <c r="AC80" i="24"/>
  <c r="AK80" i="24" s="1"/>
  <c r="G80" i="23"/>
  <c r="H80" i="23"/>
  <c r="Y80" i="23" s="1"/>
  <c r="AE80" i="23"/>
  <c r="F100" i="23"/>
  <c r="M103" i="23"/>
  <c r="K102" i="23"/>
  <c r="W80" i="22"/>
  <c r="U80" i="22"/>
  <c r="Q80" i="22"/>
  <c r="S80" i="22" s="1"/>
  <c r="AD80" i="22" s="1"/>
  <c r="L80" i="22"/>
  <c r="AB80" i="22" s="1"/>
  <c r="J80" i="22"/>
  <c r="AA80" i="22" s="1"/>
  <c r="D81" i="22"/>
  <c r="C80" i="22"/>
  <c r="Z80" i="22" s="1"/>
  <c r="K101" i="22"/>
  <c r="M102" i="22"/>
  <c r="F102" i="22"/>
  <c r="F100" i="21"/>
  <c r="M100" i="21"/>
  <c r="E81" i="21"/>
  <c r="I81" i="21"/>
  <c r="K100" i="21"/>
  <c r="N101" i="3"/>
  <c r="M102" i="3"/>
  <c r="AP57" i="13"/>
  <c r="X58" i="13" s="1"/>
  <c r="AO56" i="13"/>
  <c r="W57" i="13" s="1"/>
  <c r="AR55" i="13"/>
  <c r="Z56" i="13" s="1"/>
  <c r="AN56" i="13"/>
  <c r="V57" i="13" s="1"/>
  <c r="AT56" i="13"/>
  <c r="AB57" i="13" s="1"/>
  <c r="AQ56" i="13"/>
  <c r="Y57" i="13" s="1"/>
  <c r="AS56" i="13"/>
  <c r="AA57" i="13" s="1"/>
  <c r="AM56" i="13"/>
  <c r="U57" i="13" s="1"/>
  <c r="M105" i="27" l="1"/>
  <c r="F102" i="27"/>
  <c r="K101" i="27"/>
  <c r="G81" i="27"/>
  <c r="H81" i="27"/>
  <c r="Y81" i="27" s="1"/>
  <c r="AM81" i="27" s="1"/>
  <c r="K101" i="26"/>
  <c r="F101" i="26"/>
  <c r="G81" i="26"/>
  <c r="H81" i="26"/>
  <c r="Y81" i="26" s="1"/>
  <c r="AM81" i="26" s="1"/>
  <c r="M103" i="26"/>
  <c r="F100" i="25"/>
  <c r="M102" i="25"/>
  <c r="K101" i="25"/>
  <c r="E81" i="25"/>
  <c r="I81" i="25"/>
  <c r="G81" i="24"/>
  <c r="H81" i="24"/>
  <c r="Y81" i="24" s="1"/>
  <c r="AM81" i="24" s="1"/>
  <c r="K101" i="24"/>
  <c r="F102" i="24"/>
  <c r="M102" i="24"/>
  <c r="AE81" i="27"/>
  <c r="AE81" i="26"/>
  <c r="AC80" i="25"/>
  <c r="AK80" i="25" s="1"/>
  <c r="AE81" i="24"/>
  <c r="M104" i="23"/>
  <c r="F101" i="23"/>
  <c r="D81" i="23"/>
  <c r="C80" i="23"/>
  <c r="Z80" i="23" s="1"/>
  <c r="K103" i="23"/>
  <c r="Q80" i="23"/>
  <c r="S80" i="23" s="1"/>
  <c r="AD80" i="23" s="1"/>
  <c r="U80" i="23"/>
  <c r="W80" i="23"/>
  <c r="L80" i="23"/>
  <c r="AB80" i="23" s="1"/>
  <c r="J80" i="23"/>
  <c r="AA80" i="23" s="1"/>
  <c r="K102" i="22"/>
  <c r="F103" i="22"/>
  <c r="E81" i="22"/>
  <c r="I81" i="22"/>
  <c r="M103" i="22"/>
  <c r="AC80" i="22"/>
  <c r="G81" i="21"/>
  <c r="H81" i="21"/>
  <c r="Y81" i="21" s="1"/>
  <c r="M101" i="21"/>
  <c r="K101" i="21"/>
  <c r="F101" i="21"/>
  <c r="AE81" i="21"/>
  <c r="N102" i="3"/>
  <c r="M103" i="3"/>
  <c r="AT57" i="13"/>
  <c r="AB58" i="13" s="1"/>
  <c r="AR56" i="13"/>
  <c r="Z57" i="13" s="1"/>
  <c r="AQ57" i="13"/>
  <c r="Y58" i="13" s="1"/>
  <c r="AO57" i="13"/>
  <c r="W58" i="13" s="1"/>
  <c r="AS57" i="13"/>
  <c r="AA58" i="13" s="1"/>
  <c r="AN57" i="13"/>
  <c r="V58" i="13" s="1"/>
  <c r="AM57" i="13"/>
  <c r="U58" i="13" s="1"/>
  <c r="AP58" i="13"/>
  <c r="X59" i="13" s="1"/>
  <c r="AC80" i="23" l="1"/>
  <c r="K102" i="27"/>
  <c r="F103" i="27"/>
  <c r="D82" i="27"/>
  <c r="C81" i="27"/>
  <c r="Z81" i="27" s="1"/>
  <c r="AH81" i="27" s="1"/>
  <c r="M106" i="27"/>
  <c r="U81" i="27"/>
  <c r="AN81" i="27"/>
  <c r="Q81" i="27"/>
  <c r="S81" i="27" s="1"/>
  <c r="AD81" i="27" s="1"/>
  <c r="AL81" i="27" s="1"/>
  <c r="W81" i="27"/>
  <c r="L81" i="27"/>
  <c r="AB81" i="27" s="1"/>
  <c r="AJ81" i="27" s="1"/>
  <c r="J81" i="27"/>
  <c r="AA81" i="27" s="1"/>
  <c r="AI81" i="27" s="1"/>
  <c r="U81" i="26"/>
  <c r="W81" i="26"/>
  <c r="Q81" i="26"/>
  <c r="S81" i="26" s="1"/>
  <c r="AD81" i="26" s="1"/>
  <c r="AL81" i="26" s="1"/>
  <c r="AN81" i="26"/>
  <c r="L81" i="26"/>
  <c r="AB81" i="26" s="1"/>
  <c r="AJ81" i="26" s="1"/>
  <c r="J81" i="26"/>
  <c r="AA81" i="26" s="1"/>
  <c r="AI81" i="26" s="1"/>
  <c r="F102" i="26"/>
  <c r="D82" i="26"/>
  <c r="C81" i="26"/>
  <c r="Z81" i="26" s="1"/>
  <c r="AH81" i="26" s="1"/>
  <c r="K102" i="26"/>
  <c r="M104" i="26"/>
  <c r="M103" i="25"/>
  <c r="G81" i="25"/>
  <c r="H81" i="25"/>
  <c r="Y81" i="25" s="1"/>
  <c r="AM81" i="25" s="1"/>
  <c r="K102" i="25"/>
  <c r="F101" i="25"/>
  <c r="F103" i="24"/>
  <c r="D82" i="24"/>
  <c r="C81" i="24"/>
  <c r="Z81" i="24" s="1"/>
  <c r="AH81" i="24" s="1"/>
  <c r="K102" i="24"/>
  <c r="Q81" i="24"/>
  <c r="S81" i="24" s="1"/>
  <c r="AD81" i="24" s="1"/>
  <c r="AL81" i="24" s="1"/>
  <c r="W81" i="24"/>
  <c r="U81" i="24"/>
  <c r="AN81" i="24"/>
  <c r="L81" i="24"/>
  <c r="AB81" i="24" s="1"/>
  <c r="AJ81" i="24" s="1"/>
  <c r="J81" i="24"/>
  <c r="AA81" i="24" s="1"/>
  <c r="AI81" i="24" s="1"/>
  <c r="M103" i="24"/>
  <c r="AE81" i="25"/>
  <c r="E81" i="23"/>
  <c r="I81" i="23"/>
  <c r="K104" i="23"/>
  <c r="F102" i="23"/>
  <c r="M105" i="23"/>
  <c r="F104" i="22"/>
  <c r="M104" i="22"/>
  <c r="K103" i="22"/>
  <c r="G81" i="22"/>
  <c r="H81" i="22"/>
  <c r="Y81" i="22" s="1"/>
  <c r="AE81" i="22"/>
  <c r="K102" i="21"/>
  <c r="D82" i="21"/>
  <c r="C81" i="21"/>
  <c r="Z81" i="21" s="1"/>
  <c r="M102" i="21"/>
  <c r="F102" i="21"/>
  <c r="U81" i="21"/>
  <c r="W81" i="21"/>
  <c r="Q81" i="21"/>
  <c r="S81" i="21" s="1"/>
  <c r="AD81" i="21" s="1"/>
  <c r="J81" i="21"/>
  <c r="AA81" i="21" s="1"/>
  <c r="L81" i="21"/>
  <c r="AB81" i="21" s="1"/>
  <c r="N103" i="3"/>
  <c r="M104" i="3"/>
  <c r="AM58" i="13"/>
  <c r="U59" i="13" s="1"/>
  <c r="AS58" i="13"/>
  <c r="AA59" i="13" s="1"/>
  <c r="AN58" i="13"/>
  <c r="V59" i="13" s="1"/>
  <c r="AQ58" i="13"/>
  <c r="Y59" i="13" s="1"/>
  <c r="AR57" i="13"/>
  <c r="Z58" i="13" s="1"/>
  <c r="AP59" i="13"/>
  <c r="X60" i="13" s="1"/>
  <c r="AT58" i="13"/>
  <c r="AB59" i="13" s="1"/>
  <c r="AO58" i="13"/>
  <c r="W59" i="13" s="1"/>
  <c r="AC81" i="27" l="1"/>
  <c r="AK81" i="27" s="1"/>
  <c r="AC81" i="26"/>
  <c r="AK81" i="26" s="1"/>
  <c r="E82" i="27"/>
  <c r="I82" i="27"/>
  <c r="F104" i="27"/>
  <c r="M107" i="27"/>
  <c r="K103" i="27"/>
  <c r="F103" i="26"/>
  <c r="K103" i="26"/>
  <c r="M105" i="26"/>
  <c r="E82" i="26"/>
  <c r="I82" i="26"/>
  <c r="D82" i="25"/>
  <c r="C81" i="25"/>
  <c r="Z81" i="25" s="1"/>
  <c r="AH81" i="25" s="1"/>
  <c r="K103" i="25"/>
  <c r="W81" i="25"/>
  <c r="AC81" i="25" s="1"/>
  <c r="AK81" i="25" s="1"/>
  <c r="AN81" i="25"/>
  <c r="Q81" i="25"/>
  <c r="S81" i="25" s="1"/>
  <c r="AD81" i="25" s="1"/>
  <c r="AL81" i="25" s="1"/>
  <c r="U81" i="25"/>
  <c r="L81" i="25"/>
  <c r="AB81" i="25" s="1"/>
  <c r="AJ81" i="25" s="1"/>
  <c r="J81" i="25"/>
  <c r="F102" i="25"/>
  <c r="M104" i="25"/>
  <c r="E82" i="24"/>
  <c r="I82" i="24"/>
  <c r="F104" i="24"/>
  <c r="M104" i="24"/>
  <c r="K103" i="24"/>
  <c r="AA81" i="25"/>
  <c r="AI81" i="25" s="1"/>
  <c r="AC81" i="24"/>
  <c r="AK81" i="24" s="1"/>
  <c r="M106" i="23"/>
  <c r="K105" i="23"/>
  <c r="F103" i="23"/>
  <c r="G81" i="23"/>
  <c r="H81" i="23"/>
  <c r="Y81" i="23" s="1"/>
  <c r="AE81" i="23"/>
  <c r="D82" i="22"/>
  <c r="C81" i="22"/>
  <c r="Z81" i="22" s="1"/>
  <c r="F105" i="22"/>
  <c r="U81" i="22"/>
  <c r="Q81" i="22"/>
  <c r="S81" i="22" s="1"/>
  <c r="AD81" i="22" s="1"/>
  <c r="W81" i="22"/>
  <c r="L81" i="22"/>
  <c r="AB81" i="22" s="1"/>
  <c r="J81" i="22"/>
  <c r="AA81" i="22" s="1"/>
  <c r="K104" i="22"/>
  <c r="M105" i="22"/>
  <c r="F103" i="21"/>
  <c r="M103" i="21"/>
  <c r="E82" i="21"/>
  <c r="I82" i="21"/>
  <c r="K103" i="21"/>
  <c r="AC81" i="21"/>
  <c r="N104" i="3"/>
  <c r="M105" i="3"/>
  <c r="AO59" i="13"/>
  <c r="W60" i="13" s="1"/>
  <c r="AT59" i="13"/>
  <c r="AB60" i="13" s="1"/>
  <c r="AP60" i="13"/>
  <c r="X61" i="13" s="1"/>
  <c r="AR58" i="13"/>
  <c r="Z59" i="13" s="1"/>
  <c r="AQ59" i="13"/>
  <c r="Y60" i="13" s="1"/>
  <c r="AN59" i="13"/>
  <c r="V60" i="13" s="1"/>
  <c r="AS59" i="13"/>
  <c r="AA60" i="13" s="1"/>
  <c r="AM59" i="13"/>
  <c r="U60" i="13" s="1"/>
  <c r="F105" i="27" l="1"/>
  <c r="K104" i="27"/>
  <c r="G82" i="27"/>
  <c r="H82" i="27"/>
  <c r="Y82" i="27" s="1"/>
  <c r="AM82" i="27" s="1"/>
  <c r="M108" i="27"/>
  <c r="G82" i="26"/>
  <c r="H82" i="26"/>
  <c r="Y82" i="26" s="1"/>
  <c r="AM82" i="26" s="1"/>
  <c r="M106" i="26"/>
  <c r="K104" i="26"/>
  <c r="F104" i="26"/>
  <c r="M105" i="25"/>
  <c r="F103" i="25"/>
  <c r="K104" i="25"/>
  <c r="E82" i="25"/>
  <c r="I82" i="25"/>
  <c r="G82" i="24"/>
  <c r="H82" i="24"/>
  <c r="M105" i="24"/>
  <c r="F105" i="24"/>
  <c r="K104" i="24"/>
  <c r="AE82" i="27"/>
  <c r="AE82" i="26"/>
  <c r="Y82" i="24"/>
  <c r="AM82" i="24" s="1"/>
  <c r="AE82" i="24"/>
  <c r="U81" i="23"/>
  <c r="Q81" i="23"/>
  <c r="S81" i="23" s="1"/>
  <c r="AD81" i="23" s="1"/>
  <c r="W81" i="23"/>
  <c r="L81" i="23"/>
  <c r="AB81" i="23" s="1"/>
  <c r="J81" i="23"/>
  <c r="AA81" i="23" s="1"/>
  <c r="F104" i="23"/>
  <c r="K106" i="23"/>
  <c r="D82" i="23"/>
  <c r="C81" i="23"/>
  <c r="Z81" i="23" s="1"/>
  <c r="M107" i="23"/>
  <c r="M106" i="22"/>
  <c r="K105" i="22"/>
  <c r="F106" i="22"/>
  <c r="E82" i="22"/>
  <c r="I82" i="22"/>
  <c r="AC81" i="22"/>
  <c r="G82" i="21"/>
  <c r="H82" i="21"/>
  <c r="Y82" i="21" s="1"/>
  <c r="K104" i="21"/>
  <c r="M104" i="21"/>
  <c r="F104" i="21"/>
  <c r="AE82" i="21"/>
  <c r="N105" i="3"/>
  <c r="M106" i="3"/>
  <c r="AM60" i="13"/>
  <c r="U61" i="13" s="1"/>
  <c r="AS60" i="13"/>
  <c r="AA61" i="13" s="1"/>
  <c r="AN60" i="13"/>
  <c r="V61" i="13" s="1"/>
  <c r="AQ60" i="13"/>
  <c r="Y61" i="13" s="1"/>
  <c r="AR59" i="13"/>
  <c r="Z60" i="13" s="1"/>
  <c r="AP61" i="13"/>
  <c r="X62" i="13"/>
  <c r="AT60" i="13"/>
  <c r="AB61" i="13" s="1"/>
  <c r="AO60" i="13"/>
  <c r="W61" i="13" s="1"/>
  <c r="Q82" i="27" l="1"/>
  <c r="W82" i="27"/>
  <c r="U82" i="27"/>
  <c r="AN82" i="27"/>
  <c r="L82" i="27"/>
  <c r="AB82" i="27" s="1"/>
  <c r="AJ82" i="27" s="1"/>
  <c r="J82" i="27"/>
  <c r="AA82" i="27" s="1"/>
  <c r="AI82" i="27" s="1"/>
  <c r="K105" i="27"/>
  <c r="D83" i="27"/>
  <c r="C82" i="27"/>
  <c r="Z82" i="27" s="1"/>
  <c r="AH82" i="27" s="1"/>
  <c r="M109" i="27"/>
  <c r="F106" i="27"/>
  <c r="F105" i="26"/>
  <c r="K105" i="26"/>
  <c r="D83" i="26"/>
  <c r="C82" i="26"/>
  <c r="Z82" i="26" s="1"/>
  <c r="AH82" i="26" s="1"/>
  <c r="M107" i="26"/>
  <c r="W82" i="26"/>
  <c r="Q82" i="26"/>
  <c r="S82" i="26" s="1"/>
  <c r="AD82" i="26" s="1"/>
  <c r="AL82" i="26" s="1"/>
  <c r="U82" i="26"/>
  <c r="AN82" i="26"/>
  <c r="L82" i="26"/>
  <c r="AB82" i="26" s="1"/>
  <c r="AJ82" i="26" s="1"/>
  <c r="J82" i="26"/>
  <c r="AA82" i="26" s="1"/>
  <c r="AI82" i="26" s="1"/>
  <c r="G82" i="25"/>
  <c r="H82" i="25"/>
  <c r="Y82" i="25" s="1"/>
  <c r="AM82" i="25" s="1"/>
  <c r="K105" i="25"/>
  <c r="F104" i="25"/>
  <c r="M106" i="25"/>
  <c r="U82" i="24"/>
  <c r="AN82" i="24"/>
  <c r="W82" i="24"/>
  <c r="Q82" i="24"/>
  <c r="S82" i="24" s="1"/>
  <c r="AD82" i="24" s="1"/>
  <c r="AL82" i="24" s="1"/>
  <c r="L82" i="24"/>
  <c r="AB82" i="24" s="1"/>
  <c r="AJ82" i="24" s="1"/>
  <c r="J82" i="24"/>
  <c r="AA82" i="24" s="1"/>
  <c r="AI82" i="24" s="1"/>
  <c r="K105" i="24"/>
  <c r="F106" i="24"/>
  <c r="D83" i="24"/>
  <c r="C82" i="24"/>
  <c r="Z82" i="24" s="1"/>
  <c r="AH82" i="24" s="1"/>
  <c r="M106" i="24"/>
  <c r="S82" i="27"/>
  <c r="AD82" i="27" s="1"/>
  <c r="AL82" i="27" s="1"/>
  <c r="AE82" i="25"/>
  <c r="F105" i="23"/>
  <c r="M108" i="23"/>
  <c r="K107" i="23"/>
  <c r="E82" i="23"/>
  <c r="I82" i="23"/>
  <c r="AC81" i="23"/>
  <c r="M107" i="22"/>
  <c r="G82" i="22"/>
  <c r="H82" i="22"/>
  <c r="Y82" i="22" s="1"/>
  <c r="F107" i="22"/>
  <c r="K106" i="22"/>
  <c r="AE82" i="22"/>
  <c r="M105" i="21"/>
  <c r="D83" i="21"/>
  <c r="C82" i="21"/>
  <c r="Z82" i="21" s="1"/>
  <c r="K105" i="21"/>
  <c r="Q82" i="21"/>
  <c r="S82" i="21" s="1"/>
  <c r="AD82" i="21" s="1"/>
  <c r="W82" i="21"/>
  <c r="U82" i="21"/>
  <c r="L82" i="21"/>
  <c r="AB82" i="21" s="1"/>
  <c r="J82" i="21"/>
  <c r="AA82" i="21" s="1"/>
  <c r="F105" i="21"/>
  <c r="N106" i="3"/>
  <c r="M107" i="3"/>
  <c r="AQ61" i="13"/>
  <c r="Y62" i="13" s="1"/>
  <c r="AS61" i="13"/>
  <c r="AA62" i="13" s="1"/>
  <c r="AT61" i="13"/>
  <c r="AB62" i="13" s="1"/>
  <c r="AR60" i="13"/>
  <c r="Z61" i="13" s="1"/>
  <c r="AN61" i="13"/>
  <c r="V62" i="13" s="1"/>
  <c r="AO61" i="13"/>
  <c r="W62" i="13" s="1"/>
  <c r="AM61" i="13"/>
  <c r="U62" i="13" s="1"/>
  <c r="AP62" i="13"/>
  <c r="X63" i="13" s="1"/>
  <c r="AC82" i="26" l="1"/>
  <c r="AK82" i="26" s="1"/>
  <c r="AC82" i="24"/>
  <c r="AK82" i="24" s="1"/>
  <c r="F107" i="27"/>
  <c r="M110" i="27"/>
  <c r="E83" i="27"/>
  <c r="I83" i="27"/>
  <c r="K106" i="27"/>
  <c r="E83" i="26"/>
  <c r="I83" i="26"/>
  <c r="K106" i="26"/>
  <c r="F106" i="26"/>
  <c r="M108" i="26"/>
  <c r="F105" i="25"/>
  <c r="D83" i="25"/>
  <c r="C82" i="25"/>
  <c r="Z82" i="25" s="1"/>
  <c r="AH82" i="25" s="1"/>
  <c r="K106" i="25"/>
  <c r="M107" i="25"/>
  <c r="U82" i="25"/>
  <c r="Q82" i="25"/>
  <c r="S82" i="25" s="1"/>
  <c r="AD82" i="25" s="1"/>
  <c r="AL82" i="25" s="1"/>
  <c r="W82" i="25"/>
  <c r="AN82" i="25"/>
  <c r="L82" i="25"/>
  <c r="AB82" i="25" s="1"/>
  <c r="AJ82" i="25" s="1"/>
  <c r="J82" i="25"/>
  <c r="AA82" i="25" s="1"/>
  <c r="AI82" i="25" s="1"/>
  <c r="F107" i="24"/>
  <c r="K106" i="24"/>
  <c r="M107" i="24"/>
  <c r="E83" i="24"/>
  <c r="I83" i="24"/>
  <c r="AC82" i="27"/>
  <c r="AK82" i="27" s="1"/>
  <c r="G82" i="23"/>
  <c r="H82" i="23"/>
  <c r="Y82" i="23" s="1"/>
  <c r="AE82" i="23"/>
  <c r="K108" i="23"/>
  <c r="M109" i="23"/>
  <c r="F106" i="23"/>
  <c r="F108" i="22"/>
  <c r="D83" i="22"/>
  <c r="C82" i="22"/>
  <c r="Z82" i="22" s="1"/>
  <c r="U82" i="22"/>
  <c r="Q82" i="22"/>
  <c r="S82" i="22" s="1"/>
  <c r="AD82" i="22" s="1"/>
  <c r="W82" i="22"/>
  <c r="L82" i="22"/>
  <c r="AB82" i="22" s="1"/>
  <c r="J82" i="22"/>
  <c r="AA82" i="22" s="1"/>
  <c r="K107" i="22"/>
  <c r="M108" i="22"/>
  <c r="K106" i="21"/>
  <c r="F106" i="21"/>
  <c r="E83" i="21"/>
  <c r="I83" i="21"/>
  <c r="M106" i="21"/>
  <c r="AC82" i="21"/>
  <c r="N107" i="3"/>
  <c r="M108" i="3"/>
  <c r="AN62" i="13"/>
  <c r="V63" i="13" s="1"/>
  <c r="AR61" i="13"/>
  <c r="Z62" i="13" s="1"/>
  <c r="AT62" i="13"/>
  <c r="AB63" i="13" s="1"/>
  <c r="AS62" i="13"/>
  <c r="AA63" i="13" s="1"/>
  <c r="AP63" i="13"/>
  <c r="X64" i="13" s="1"/>
  <c r="AM62" i="13"/>
  <c r="U63" i="13" s="1"/>
  <c r="AO62" i="13"/>
  <c r="W63" i="13" s="1"/>
  <c r="AQ62" i="13"/>
  <c r="Y63" i="13" s="1"/>
  <c r="M111" i="27" l="1"/>
  <c r="G83" i="27"/>
  <c r="H83" i="27"/>
  <c r="Y83" i="27" s="1"/>
  <c r="AM83" i="27" s="1"/>
  <c r="K107" i="27"/>
  <c r="F108" i="27"/>
  <c r="K107" i="26"/>
  <c r="M109" i="26"/>
  <c r="F107" i="26"/>
  <c r="G83" i="26"/>
  <c r="H83" i="26"/>
  <c r="Y83" i="26" s="1"/>
  <c r="AM83" i="26" s="1"/>
  <c r="K107" i="25"/>
  <c r="F106" i="25"/>
  <c r="M108" i="25"/>
  <c r="E83" i="25"/>
  <c r="I83" i="25"/>
  <c r="K107" i="24"/>
  <c r="F108" i="24"/>
  <c r="G83" i="24"/>
  <c r="H83" i="24"/>
  <c r="Y83" i="24" s="1"/>
  <c r="AM83" i="24" s="1"/>
  <c r="M108" i="24"/>
  <c r="AE83" i="27"/>
  <c r="AE83" i="26"/>
  <c r="AC82" i="25"/>
  <c r="AK82" i="25" s="1"/>
  <c r="AE83" i="24"/>
  <c r="M110" i="23"/>
  <c r="K109" i="23"/>
  <c r="D83" i="23"/>
  <c r="C82" i="23"/>
  <c r="Z82" i="23" s="1"/>
  <c r="F107" i="23"/>
  <c r="Q82" i="23"/>
  <c r="S82" i="23" s="1"/>
  <c r="AD82" i="23" s="1"/>
  <c r="U82" i="23"/>
  <c r="W82" i="23"/>
  <c r="L82" i="23"/>
  <c r="AB82" i="23" s="1"/>
  <c r="J82" i="23"/>
  <c r="AA82" i="23" s="1"/>
  <c r="M109" i="22"/>
  <c r="K108" i="22"/>
  <c r="E83" i="22"/>
  <c r="I83" i="22"/>
  <c r="F109" i="22"/>
  <c r="AC82" i="22"/>
  <c r="G83" i="21"/>
  <c r="H83" i="21"/>
  <c r="F107" i="21"/>
  <c r="M107" i="21"/>
  <c r="K107" i="21"/>
  <c r="Y83" i="21"/>
  <c r="AE83" i="21"/>
  <c r="N108" i="3"/>
  <c r="M109" i="3"/>
  <c r="AP64" i="13"/>
  <c r="X65" i="13" s="1"/>
  <c r="AS63" i="13"/>
  <c r="AA64" i="13" s="1"/>
  <c r="AT63" i="13"/>
  <c r="AB64" i="13" s="1"/>
  <c r="AO63" i="13"/>
  <c r="W64" i="13" s="1"/>
  <c r="AN63" i="13"/>
  <c r="V64" i="13" s="1"/>
  <c r="AQ63" i="13"/>
  <c r="Y64" i="13" s="1"/>
  <c r="AM63" i="13"/>
  <c r="U64" i="13" s="1"/>
  <c r="AR62" i="13"/>
  <c r="Z63" i="13" s="1"/>
  <c r="AC82" i="23" l="1"/>
  <c r="F109" i="27"/>
  <c r="D84" i="27"/>
  <c r="C83" i="27"/>
  <c r="Z83" i="27" s="1"/>
  <c r="AH83" i="27" s="1"/>
  <c r="K108" i="27"/>
  <c r="W83" i="27"/>
  <c r="Q83" i="27"/>
  <c r="S83" i="27" s="1"/>
  <c r="AD83" i="27" s="1"/>
  <c r="AL83" i="27" s="1"/>
  <c r="AN83" i="27"/>
  <c r="U83" i="27"/>
  <c r="J83" i="27"/>
  <c r="AA83" i="27" s="1"/>
  <c r="AI83" i="27" s="1"/>
  <c r="L83" i="27"/>
  <c r="AB83" i="27" s="1"/>
  <c r="AJ83" i="27" s="1"/>
  <c r="M112" i="27"/>
  <c r="F108" i="26"/>
  <c r="W83" i="26"/>
  <c r="Q83" i="26"/>
  <c r="S83" i="26" s="1"/>
  <c r="AD83" i="26" s="1"/>
  <c r="AL83" i="26" s="1"/>
  <c r="AN83" i="26"/>
  <c r="U83" i="26"/>
  <c r="L83" i="26"/>
  <c r="AB83" i="26" s="1"/>
  <c r="AJ83" i="26" s="1"/>
  <c r="J83" i="26"/>
  <c r="AA83" i="26" s="1"/>
  <c r="AI83" i="26" s="1"/>
  <c r="M110" i="26"/>
  <c r="D84" i="26"/>
  <c r="C83" i="26"/>
  <c r="Z83" i="26" s="1"/>
  <c r="AH83" i="26" s="1"/>
  <c r="K108" i="26"/>
  <c r="G83" i="25"/>
  <c r="H83" i="25"/>
  <c r="Y83" i="25" s="1"/>
  <c r="AM83" i="25" s="1"/>
  <c r="M109" i="25"/>
  <c r="F107" i="25"/>
  <c r="K108" i="25"/>
  <c r="K108" i="24"/>
  <c r="M109" i="24"/>
  <c r="U83" i="24"/>
  <c r="AC83" i="24" s="1"/>
  <c r="AK83" i="24" s="1"/>
  <c r="Q83" i="24"/>
  <c r="S83" i="24" s="1"/>
  <c r="AD83" i="24" s="1"/>
  <c r="AL83" i="24" s="1"/>
  <c r="AN83" i="24"/>
  <c r="W83" i="24"/>
  <c r="L83" i="24"/>
  <c r="AB83" i="24" s="1"/>
  <c r="AJ83" i="24" s="1"/>
  <c r="J83" i="24"/>
  <c r="AA83" i="24" s="1"/>
  <c r="AI83" i="24" s="1"/>
  <c r="D84" i="24"/>
  <c r="C83" i="24"/>
  <c r="Z83" i="24" s="1"/>
  <c r="AH83" i="24" s="1"/>
  <c r="F109" i="24"/>
  <c r="AE83" i="25"/>
  <c r="F108" i="23"/>
  <c r="E83" i="23"/>
  <c r="I83" i="23"/>
  <c r="M111" i="23"/>
  <c r="K110" i="23"/>
  <c r="G83" i="22"/>
  <c r="H83" i="22"/>
  <c r="Y83" i="22" s="1"/>
  <c r="K109" i="22"/>
  <c r="F110" i="22"/>
  <c r="M110" i="22"/>
  <c r="AE83" i="22"/>
  <c r="K108" i="21"/>
  <c r="M108" i="21"/>
  <c r="D84" i="21"/>
  <c r="C83" i="21"/>
  <c r="Z83" i="21" s="1"/>
  <c r="F108" i="21"/>
  <c r="W83" i="21"/>
  <c r="U83" i="21"/>
  <c r="Q83" i="21"/>
  <c r="S83" i="21" s="1"/>
  <c r="AD83" i="21" s="1"/>
  <c r="J83" i="21"/>
  <c r="AA83" i="21" s="1"/>
  <c r="L83" i="21"/>
  <c r="AB83" i="21" s="1"/>
  <c r="N109" i="3"/>
  <c r="M110" i="3"/>
  <c r="AR63" i="13"/>
  <c r="Z64" i="13" s="1"/>
  <c r="AM64" i="13"/>
  <c r="U65" i="13" s="1"/>
  <c r="AQ64" i="13"/>
  <c r="Y65" i="13" s="1"/>
  <c r="AN64" i="13"/>
  <c r="V65" i="13" s="1"/>
  <c r="AO64" i="13"/>
  <c r="W65" i="13" s="1"/>
  <c r="AT64" i="13"/>
  <c r="AB65" i="13" s="1"/>
  <c r="AS64" i="13"/>
  <c r="AA65" i="13" s="1"/>
  <c r="AP65" i="13"/>
  <c r="X66" i="13" s="1"/>
  <c r="AC83" i="27" l="1"/>
  <c r="AK83" i="27" s="1"/>
  <c r="AC83" i="26"/>
  <c r="AK83" i="26" s="1"/>
  <c r="E84" i="27"/>
  <c r="I84" i="27"/>
  <c r="F110" i="27"/>
  <c r="M113" i="27"/>
  <c r="K109" i="27"/>
  <c r="K109" i="26"/>
  <c r="E84" i="26"/>
  <c r="I84" i="26"/>
  <c r="M111" i="26"/>
  <c r="F109" i="26"/>
  <c r="D84" i="25"/>
  <c r="C83" i="25"/>
  <c r="Z83" i="25" s="1"/>
  <c r="AH83" i="25" s="1"/>
  <c r="M110" i="25"/>
  <c r="K109" i="25"/>
  <c r="U83" i="25"/>
  <c r="W83" i="25"/>
  <c r="AN83" i="25"/>
  <c r="Q83" i="25"/>
  <c r="L83" i="25"/>
  <c r="AB83" i="25" s="1"/>
  <c r="AJ83" i="25" s="1"/>
  <c r="J83" i="25"/>
  <c r="AA83" i="25" s="1"/>
  <c r="AI83" i="25" s="1"/>
  <c r="F108" i="25"/>
  <c r="F110" i="24"/>
  <c r="M110" i="24"/>
  <c r="E84" i="24"/>
  <c r="I84" i="24"/>
  <c r="K109" i="24"/>
  <c r="S83" i="25"/>
  <c r="AD83" i="25" s="1"/>
  <c r="AL83" i="25" s="1"/>
  <c r="G83" i="23"/>
  <c r="H83" i="23"/>
  <c r="Y83" i="23" s="1"/>
  <c r="AE83" i="23"/>
  <c r="K111" i="23"/>
  <c r="M112" i="23"/>
  <c r="F109" i="23"/>
  <c r="D84" i="22"/>
  <c r="C83" i="22"/>
  <c r="Z83" i="22" s="1"/>
  <c r="U83" i="22"/>
  <c r="Q83" i="22"/>
  <c r="S83" i="22" s="1"/>
  <c r="AD83" i="22" s="1"/>
  <c r="W83" i="22"/>
  <c r="J83" i="22"/>
  <c r="AA83" i="22" s="1"/>
  <c r="L83" i="22"/>
  <c r="AB83" i="22" s="1"/>
  <c r="M111" i="22"/>
  <c r="F111" i="22"/>
  <c r="K110" i="22"/>
  <c r="E84" i="21"/>
  <c r="I84" i="21"/>
  <c r="M109" i="21"/>
  <c r="K109" i="21"/>
  <c r="F109" i="21"/>
  <c r="AC83" i="21"/>
  <c r="N110" i="3"/>
  <c r="M111" i="3"/>
  <c r="AT65" i="13"/>
  <c r="AB66" i="13" s="1"/>
  <c r="AS65" i="13"/>
  <c r="AA66" i="13" s="1"/>
  <c r="AM65" i="13"/>
  <c r="U66" i="13" s="1"/>
  <c r="AN65" i="13"/>
  <c r="V66" i="13" s="1"/>
  <c r="AQ65" i="13"/>
  <c r="Y66" i="13" s="1"/>
  <c r="AP66" i="13"/>
  <c r="X67" i="13" s="1"/>
  <c r="AR64" i="13"/>
  <c r="Z65" i="13" s="1"/>
  <c r="AO65" i="13"/>
  <c r="W66" i="13" s="1"/>
  <c r="AC83" i="25" l="1"/>
  <c r="AK83" i="25" s="1"/>
  <c r="AC83" i="22"/>
  <c r="F111" i="27"/>
  <c r="K110" i="27"/>
  <c r="G84" i="27"/>
  <c r="H84" i="27"/>
  <c r="Y84" i="27" s="1"/>
  <c r="AM84" i="27" s="1"/>
  <c r="M114" i="27"/>
  <c r="G84" i="26"/>
  <c r="H84" i="26"/>
  <c r="Y84" i="26" s="1"/>
  <c r="AM84" i="26" s="1"/>
  <c r="F110" i="26"/>
  <c r="M112" i="26"/>
  <c r="K110" i="26"/>
  <c r="K110" i="25"/>
  <c r="F109" i="25"/>
  <c r="M111" i="25"/>
  <c r="E84" i="25"/>
  <c r="I84" i="25"/>
  <c r="G84" i="24"/>
  <c r="H84" i="24"/>
  <c r="Y84" i="24" s="1"/>
  <c r="AM84" i="24" s="1"/>
  <c r="K110" i="24"/>
  <c r="M111" i="24"/>
  <c r="F111" i="24"/>
  <c r="AE84" i="27"/>
  <c r="AE84" i="26"/>
  <c r="AE84" i="24"/>
  <c r="M113" i="23"/>
  <c r="K112" i="23"/>
  <c r="D84" i="23"/>
  <c r="C83" i="23"/>
  <c r="Z83" i="23" s="1"/>
  <c r="F110" i="23"/>
  <c r="Q83" i="23"/>
  <c r="S83" i="23" s="1"/>
  <c r="AD83" i="23" s="1"/>
  <c r="W83" i="23"/>
  <c r="U83" i="23"/>
  <c r="L83" i="23"/>
  <c r="AB83" i="23" s="1"/>
  <c r="J83" i="23"/>
  <c r="AA83" i="23" s="1"/>
  <c r="K111" i="22"/>
  <c r="F112" i="22"/>
  <c r="M112" i="22"/>
  <c r="E84" i="22"/>
  <c r="I84" i="22"/>
  <c r="M110" i="21"/>
  <c r="F110" i="21"/>
  <c r="K110" i="21"/>
  <c r="G84" i="21"/>
  <c r="H84" i="21"/>
  <c r="Y84" i="21" s="1"/>
  <c r="AE84" i="21"/>
  <c r="N111" i="3"/>
  <c r="M112" i="3"/>
  <c r="AN66" i="13"/>
  <c r="V67" i="13" s="1"/>
  <c r="AM66" i="13"/>
  <c r="U67" i="13" s="1"/>
  <c r="AR65" i="13"/>
  <c r="Z66" i="13" s="1"/>
  <c r="AP67" i="13"/>
  <c r="X68" i="13"/>
  <c r="AQ66" i="13"/>
  <c r="Y67" i="13" s="1"/>
  <c r="AS66" i="13"/>
  <c r="AA67" i="13" s="1"/>
  <c r="AT66" i="13"/>
  <c r="AB67" i="13" s="1"/>
  <c r="AO66" i="13"/>
  <c r="W67" i="13" s="1"/>
  <c r="AC83" i="23" l="1"/>
  <c r="W84" i="27"/>
  <c r="Q84" i="27"/>
  <c r="S84" i="27" s="1"/>
  <c r="AD84" i="27" s="1"/>
  <c r="AL84" i="27" s="1"/>
  <c r="AN84" i="27"/>
  <c r="U84" i="27"/>
  <c r="L84" i="27"/>
  <c r="J84" i="27"/>
  <c r="AA84" i="27" s="1"/>
  <c r="AI84" i="27" s="1"/>
  <c r="K111" i="27"/>
  <c r="D85" i="27"/>
  <c r="C84" i="27"/>
  <c r="Z84" i="27" s="1"/>
  <c r="AH84" i="27" s="1"/>
  <c r="F112" i="27"/>
  <c r="M115" i="27"/>
  <c r="M113" i="26"/>
  <c r="F111" i="26"/>
  <c r="D85" i="26"/>
  <c r="C84" i="26"/>
  <c r="Z84" i="26" s="1"/>
  <c r="AH84" i="26" s="1"/>
  <c r="K111" i="26"/>
  <c r="U84" i="26"/>
  <c r="AN84" i="26"/>
  <c r="W84" i="26"/>
  <c r="AC84" i="26" s="1"/>
  <c r="AK84" i="26" s="1"/>
  <c r="Q84" i="26"/>
  <c r="S84" i="26" s="1"/>
  <c r="AD84" i="26" s="1"/>
  <c r="AL84" i="26" s="1"/>
  <c r="L84" i="26"/>
  <c r="AB84" i="26" s="1"/>
  <c r="AJ84" i="26" s="1"/>
  <c r="J84" i="26"/>
  <c r="AA84" i="26" s="1"/>
  <c r="AI84" i="26" s="1"/>
  <c r="M112" i="25"/>
  <c r="F110" i="25"/>
  <c r="G84" i="25"/>
  <c r="H84" i="25"/>
  <c r="Y84" i="25" s="1"/>
  <c r="AM84" i="25" s="1"/>
  <c r="K111" i="25"/>
  <c r="M112" i="24"/>
  <c r="D85" i="24"/>
  <c r="C84" i="24"/>
  <c r="Z84" i="24" s="1"/>
  <c r="AH84" i="24" s="1"/>
  <c r="K111" i="24"/>
  <c r="F112" i="24"/>
  <c r="W84" i="24"/>
  <c r="U84" i="24"/>
  <c r="AN84" i="24"/>
  <c r="Q84" i="24"/>
  <c r="S84" i="24" s="1"/>
  <c r="AD84" i="24" s="1"/>
  <c r="AL84" i="24" s="1"/>
  <c r="L84" i="24"/>
  <c r="AB84" i="24" s="1"/>
  <c r="AJ84" i="24" s="1"/>
  <c r="J84" i="24"/>
  <c r="AA84" i="24" s="1"/>
  <c r="AI84" i="24" s="1"/>
  <c r="AB84" i="27"/>
  <c r="AJ84" i="27" s="1"/>
  <c r="AE84" i="25"/>
  <c r="E84" i="23"/>
  <c r="I84" i="23"/>
  <c r="K113" i="23"/>
  <c r="M114" i="23"/>
  <c r="F111" i="23"/>
  <c r="G84" i="22"/>
  <c r="H84" i="22"/>
  <c r="Y84" i="22" s="1"/>
  <c r="M113" i="22"/>
  <c r="F113" i="22"/>
  <c r="K112" i="22"/>
  <c r="AE84" i="22"/>
  <c r="K111" i="21"/>
  <c r="D85" i="21"/>
  <c r="C84" i="21"/>
  <c r="Z84" i="21" s="1"/>
  <c r="F111" i="21"/>
  <c r="M111" i="21"/>
  <c r="W84" i="21"/>
  <c r="U84" i="21"/>
  <c r="Q84" i="21"/>
  <c r="S84" i="21" s="1"/>
  <c r="AD84" i="21" s="1"/>
  <c r="L84" i="21"/>
  <c r="AB84" i="21" s="1"/>
  <c r="J84" i="21"/>
  <c r="AA84" i="21" s="1"/>
  <c r="N112" i="3"/>
  <c r="M113" i="3"/>
  <c r="AQ67" i="13"/>
  <c r="Y68" i="13" s="1"/>
  <c r="AR66" i="13"/>
  <c r="Z67" i="13" s="1"/>
  <c r="AO67" i="13"/>
  <c r="W68" i="13" s="1"/>
  <c r="AT67" i="13"/>
  <c r="AB68" i="13" s="1"/>
  <c r="AN67" i="13"/>
  <c r="V68" i="13" s="1"/>
  <c r="AS67" i="13"/>
  <c r="AA68" i="13" s="1"/>
  <c r="AM67" i="13"/>
  <c r="U68" i="13" s="1"/>
  <c r="AP68" i="13"/>
  <c r="X69" i="13" s="1"/>
  <c r="AC84" i="27" l="1"/>
  <c r="AK84" i="27" s="1"/>
  <c r="M116" i="27"/>
  <c r="F113" i="27"/>
  <c r="E85" i="27"/>
  <c r="I85" i="27"/>
  <c r="K112" i="27"/>
  <c r="E85" i="26"/>
  <c r="I85" i="26"/>
  <c r="F112" i="26"/>
  <c r="K112" i="26"/>
  <c r="M114" i="26"/>
  <c r="K112" i="25"/>
  <c r="U84" i="25"/>
  <c r="W84" i="25"/>
  <c r="AN84" i="25"/>
  <c r="Q84" i="25"/>
  <c r="S84" i="25" s="1"/>
  <c r="AD84" i="25" s="1"/>
  <c r="AL84" i="25" s="1"/>
  <c r="L84" i="25"/>
  <c r="AB84" i="25" s="1"/>
  <c r="AJ84" i="25" s="1"/>
  <c r="J84" i="25"/>
  <c r="AA84" i="25" s="1"/>
  <c r="AI84" i="25" s="1"/>
  <c r="D85" i="25"/>
  <c r="C84" i="25"/>
  <c r="Z84" i="25" s="1"/>
  <c r="AH84" i="25" s="1"/>
  <c r="F111" i="25"/>
  <c r="M113" i="25"/>
  <c r="E85" i="24"/>
  <c r="I85" i="24"/>
  <c r="M113" i="24"/>
  <c r="F113" i="24"/>
  <c r="K112" i="24"/>
  <c r="AC84" i="24"/>
  <c r="AK84" i="24" s="1"/>
  <c r="G84" i="23"/>
  <c r="H84" i="23"/>
  <c r="Y84" i="23" s="1"/>
  <c r="AE84" i="23"/>
  <c r="K114" i="23"/>
  <c r="M115" i="23"/>
  <c r="F112" i="23"/>
  <c r="F114" i="22"/>
  <c r="M114" i="22"/>
  <c r="D85" i="22"/>
  <c r="C84" i="22"/>
  <c r="Z84" i="22" s="1"/>
  <c r="K113" i="22"/>
  <c r="W84" i="22"/>
  <c r="U84" i="22"/>
  <c r="Q84" i="22"/>
  <c r="S84" i="22" s="1"/>
  <c r="AD84" i="22" s="1"/>
  <c r="L84" i="22"/>
  <c r="AB84" i="22" s="1"/>
  <c r="J84" i="22"/>
  <c r="AA84" i="22" s="1"/>
  <c r="F112" i="21"/>
  <c r="E85" i="21"/>
  <c r="I85" i="21"/>
  <c r="M112" i="21"/>
  <c r="K112" i="21"/>
  <c r="AC84" i="21"/>
  <c r="N113" i="3"/>
  <c r="M114" i="3"/>
  <c r="AS68" i="13"/>
  <c r="AA69" i="13" s="1"/>
  <c r="AT68" i="13"/>
  <c r="AB69" i="13" s="1"/>
  <c r="AP69" i="13"/>
  <c r="X70" i="13" s="1"/>
  <c r="AM68" i="13"/>
  <c r="U69" i="13" s="1"/>
  <c r="AN68" i="13"/>
  <c r="V69" i="13" s="1"/>
  <c r="AO68" i="13"/>
  <c r="W69" i="13" s="1"/>
  <c r="AR67" i="13"/>
  <c r="Z68" i="13" s="1"/>
  <c r="AQ68" i="13"/>
  <c r="Y69" i="13" s="1"/>
  <c r="AC84" i="22" l="1"/>
  <c r="G85" i="27"/>
  <c r="H85" i="27"/>
  <c r="Y85" i="27" s="1"/>
  <c r="AM85" i="27" s="1"/>
  <c r="K113" i="27"/>
  <c r="F114" i="27"/>
  <c r="M117" i="27"/>
  <c r="F113" i="26"/>
  <c r="K113" i="26"/>
  <c r="G85" i="26"/>
  <c r="H85" i="26"/>
  <c r="M115" i="26"/>
  <c r="K113" i="25"/>
  <c r="M114" i="25"/>
  <c r="E85" i="25"/>
  <c r="I85" i="25"/>
  <c r="F112" i="25"/>
  <c r="F114" i="24"/>
  <c r="M114" i="24"/>
  <c r="K113" i="24"/>
  <c r="G85" i="24"/>
  <c r="H85" i="24"/>
  <c r="Y85" i="24" s="1"/>
  <c r="AM85" i="24" s="1"/>
  <c r="AE85" i="27"/>
  <c r="Y85" i="26"/>
  <c r="AM85" i="26" s="1"/>
  <c r="AE85" i="26"/>
  <c r="AC84" i="25"/>
  <c r="AK84" i="25" s="1"/>
  <c r="AE85" i="24"/>
  <c r="M116" i="23"/>
  <c r="K115" i="23"/>
  <c r="D85" i="23"/>
  <c r="C84" i="23"/>
  <c r="Z84" i="23" s="1"/>
  <c r="F113" i="23"/>
  <c r="U84" i="23"/>
  <c r="Q84" i="23"/>
  <c r="S84" i="23" s="1"/>
  <c r="AD84" i="23" s="1"/>
  <c r="W84" i="23"/>
  <c r="L84" i="23"/>
  <c r="AB84" i="23" s="1"/>
  <c r="J84" i="23"/>
  <c r="AA84" i="23" s="1"/>
  <c r="K114" i="22"/>
  <c r="E85" i="22"/>
  <c r="I85" i="22"/>
  <c r="F115" i="22"/>
  <c r="M115" i="22"/>
  <c r="G85" i="21"/>
  <c r="H85" i="21"/>
  <c r="Y85" i="21" s="1"/>
  <c r="K113" i="21"/>
  <c r="M113" i="21"/>
  <c r="F113" i="21"/>
  <c r="AE85" i="21"/>
  <c r="N114" i="3"/>
  <c r="M115" i="3"/>
  <c r="AO69" i="13"/>
  <c r="W70" i="13" s="1"/>
  <c r="AN69" i="13"/>
  <c r="V70" i="13" s="1"/>
  <c r="AT69" i="13"/>
  <c r="AB70" i="13" s="1"/>
  <c r="AR68" i="13"/>
  <c r="Z69" i="13" s="1"/>
  <c r="AM69" i="13"/>
  <c r="U70" i="13" s="1"/>
  <c r="AQ69" i="13"/>
  <c r="Y70" i="13" s="1"/>
  <c r="AS69" i="13"/>
  <c r="AA70" i="13" s="1"/>
  <c r="AP70" i="13"/>
  <c r="X71" i="13" s="1"/>
  <c r="F115" i="27" l="1"/>
  <c r="K114" i="27"/>
  <c r="D86" i="27"/>
  <c r="C85" i="27"/>
  <c r="Z85" i="27" s="1"/>
  <c r="AH85" i="27" s="1"/>
  <c r="M118" i="27"/>
  <c r="U85" i="27"/>
  <c r="W85" i="27"/>
  <c r="AN85" i="27"/>
  <c r="Q85" i="27"/>
  <c r="L85" i="27"/>
  <c r="AB85" i="27" s="1"/>
  <c r="AJ85" i="27" s="1"/>
  <c r="J85" i="27"/>
  <c r="AA85" i="27" s="1"/>
  <c r="AI85" i="27" s="1"/>
  <c r="D86" i="26"/>
  <c r="C85" i="26"/>
  <c r="Z85" i="26" s="1"/>
  <c r="AH85" i="26" s="1"/>
  <c r="K114" i="26"/>
  <c r="F114" i="26"/>
  <c r="M116" i="26"/>
  <c r="U85" i="26"/>
  <c r="W85" i="26"/>
  <c r="AN85" i="26"/>
  <c r="Q85" i="26"/>
  <c r="S85" i="26" s="1"/>
  <c r="AD85" i="26" s="1"/>
  <c r="AL85" i="26" s="1"/>
  <c r="J85" i="26"/>
  <c r="AA85" i="26" s="1"/>
  <c r="AI85" i="26" s="1"/>
  <c r="L85" i="26"/>
  <c r="AB85" i="26" s="1"/>
  <c r="AJ85" i="26" s="1"/>
  <c r="K114" i="25"/>
  <c r="G85" i="25"/>
  <c r="H85" i="25"/>
  <c r="Y85" i="25" s="1"/>
  <c r="AM85" i="25" s="1"/>
  <c r="M115" i="25"/>
  <c r="F113" i="25"/>
  <c r="K114" i="24"/>
  <c r="D86" i="24"/>
  <c r="C85" i="24"/>
  <c r="Z85" i="24" s="1"/>
  <c r="AH85" i="24" s="1"/>
  <c r="M115" i="24"/>
  <c r="F115" i="24"/>
  <c r="AN85" i="24"/>
  <c r="U85" i="24"/>
  <c r="Q85" i="24"/>
  <c r="S85" i="24" s="1"/>
  <c r="AD85" i="24" s="1"/>
  <c r="AL85" i="24" s="1"/>
  <c r="W85" i="24"/>
  <c r="AC85" i="24" s="1"/>
  <c r="AK85" i="24" s="1"/>
  <c r="L85" i="24"/>
  <c r="AB85" i="24" s="1"/>
  <c r="AJ85" i="24" s="1"/>
  <c r="J85" i="24"/>
  <c r="AA85" i="24" s="1"/>
  <c r="AI85" i="24" s="1"/>
  <c r="S85" i="27"/>
  <c r="AD85" i="27" s="1"/>
  <c r="AL85" i="27" s="1"/>
  <c r="AE85" i="25"/>
  <c r="AC84" i="23"/>
  <c r="E85" i="23"/>
  <c r="I85" i="23"/>
  <c r="K116" i="23"/>
  <c r="F114" i="23"/>
  <c r="M117" i="23"/>
  <c r="M116" i="22"/>
  <c r="G85" i="22"/>
  <c r="H85" i="22"/>
  <c r="Y85" i="22" s="1"/>
  <c r="F116" i="22"/>
  <c r="K115" i="22"/>
  <c r="AE85" i="22"/>
  <c r="M114" i="21"/>
  <c r="K114" i="21"/>
  <c r="D86" i="21"/>
  <c r="C85" i="21"/>
  <c r="Z85" i="21" s="1"/>
  <c r="F114" i="21"/>
  <c r="Q85" i="21"/>
  <c r="S85" i="21" s="1"/>
  <c r="AD85" i="21" s="1"/>
  <c r="U85" i="21"/>
  <c r="W85" i="21"/>
  <c r="J85" i="21"/>
  <c r="AA85" i="21" s="1"/>
  <c r="L85" i="21"/>
  <c r="AB85" i="21" s="1"/>
  <c r="N115" i="3"/>
  <c r="M116" i="3"/>
  <c r="AM70" i="13"/>
  <c r="U71" i="13" s="1"/>
  <c r="AR69" i="13"/>
  <c r="Z70" i="13" s="1"/>
  <c r="AT70" i="13"/>
  <c r="AB71" i="13" s="1"/>
  <c r="AP71" i="13"/>
  <c r="X72" i="13" s="1"/>
  <c r="AS70" i="13"/>
  <c r="AA71" i="13" s="1"/>
  <c r="AO70" i="13"/>
  <c r="W71" i="13" s="1"/>
  <c r="AN70" i="13"/>
  <c r="V71" i="13" s="1"/>
  <c r="AQ70" i="13"/>
  <c r="Y71" i="13" s="1"/>
  <c r="AC85" i="27" l="1"/>
  <c r="AK85" i="27" s="1"/>
  <c r="E86" i="27"/>
  <c r="I86" i="27"/>
  <c r="K115" i="27"/>
  <c r="F116" i="27"/>
  <c r="M119" i="27"/>
  <c r="K115" i="26"/>
  <c r="E86" i="26"/>
  <c r="I86" i="26"/>
  <c r="M117" i="26"/>
  <c r="F115" i="26"/>
  <c r="F114" i="25"/>
  <c r="K115" i="25"/>
  <c r="M116" i="25"/>
  <c r="D86" i="25"/>
  <c r="C85" i="25"/>
  <c r="Z85" i="25" s="1"/>
  <c r="AH85" i="25" s="1"/>
  <c r="W85" i="25"/>
  <c r="U85" i="25"/>
  <c r="AN85" i="25"/>
  <c r="Q85" i="25"/>
  <c r="S85" i="25" s="1"/>
  <c r="AD85" i="25" s="1"/>
  <c r="AL85" i="25" s="1"/>
  <c r="L85" i="25"/>
  <c r="AB85" i="25" s="1"/>
  <c r="AJ85" i="25" s="1"/>
  <c r="J85" i="25"/>
  <c r="AA85" i="25" s="1"/>
  <c r="AI85" i="25" s="1"/>
  <c r="M116" i="24"/>
  <c r="E86" i="24"/>
  <c r="I86" i="24"/>
  <c r="F116" i="24"/>
  <c r="K115" i="24"/>
  <c r="AC85" i="26"/>
  <c r="AK85" i="26" s="1"/>
  <c r="M118" i="23"/>
  <c r="F115" i="23"/>
  <c r="G85" i="23"/>
  <c r="H85" i="23"/>
  <c r="Y85" i="23" s="1"/>
  <c r="AE85" i="23"/>
  <c r="K117" i="23"/>
  <c r="F117" i="22"/>
  <c r="D86" i="22"/>
  <c r="C85" i="22"/>
  <c r="Z85" i="22" s="1"/>
  <c r="U85" i="22"/>
  <c r="Q85" i="22"/>
  <c r="S85" i="22" s="1"/>
  <c r="AD85" i="22" s="1"/>
  <c r="W85" i="22"/>
  <c r="L85" i="22"/>
  <c r="AB85" i="22" s="1"/>
  <c r="J85" i="22"/>
  <c r="AA85" i="22" s="1"/>
  <c r="M117" i="22"/>
  <c r="K116" i="22"/>
  <c r="F115" i="21"/>
  <c r="E86" i="21"/>
  <c r="I86" i="21"/>
  <c r="K115" i="21"/>
  <c r="M115" i="21"/>
  <c r="AC85" i="21"/>
  <c r="N116" i="3"/>
  <c r="M117" i="3"/>
  <c r="AP72" i="13"/>
  <c r="X73" i="13" s="1"/>
  <c r="AT71" i="13"/>
  <c r="AB72" i="13" s="1"/>
  <c r="AQ71" i="13"/>
  <c r="Y72" i="13" s="1"/>
  <c r="AN71" i="13"/>
  <c r="V72" i="13" s="1"/>
  <c r="AO71" i="13"/>
  <c r="W72" i="13" s="1"/>
  <c r="AR70" i="13"/>
  <c r="Z71" i="13" s="1"/>
  <c r="AS71" i="13"/>
  <c r="AA72" i="13" s="1"/>
  <c r="AM71" i="13"/>
  <c r="U72" i="13" s="1"/>
  <c r="AC85" i="25" l="1"/>
  <c r="AK85" i="25" s="1"/>
  <c r="AC85" i="22"/>
  <c r="K116" i="27"/>
  <c r="M120" i="27"/>
  <c r="F117" i="27"/>
  <c r="G86" i="27"/>
  <c r="H86" i="27"/>
  <c r="Y86" i="27" s="1"/>
  <c r="AM86" i="27" s="1"/>
  <c r="M118" i="26"/>
  <c r="G86" i="26"/>
  <c r="H86" i="26"/>
  <c r="Y86" i="26" s="1"/>
  <c r="AM86" i="26" s="1"/>
  <c r="F116" i="26"/>
  <c r="K116" i="26"/>
  <c r="E86" i="25"/>
  <c r="I86" i="25"/>
  <c r="M117" i="25"/>
  <c r="K116" i="25"/>
  <c r="F115" i="25"/>
  <c r="G86" i="24"/>
  <c r="H86" i="24"/>
  <c r="Y86" i="24" s="1"/>
  <c r="AM86" i="24" s="1"/>
  <c r="K116" i="24"/>
  <c r="M117" i="24"/>
  <c r="F117" i="24"/>
  <c r="AE86" i="27"/>
  <c r="AE86" i="26"/>
  <c r="AE86" i="24"/>
  <c r="M119" i="23"/>
  <c r="D86" i="23"/>
  <c r="C85" i="23"/>
  <c r="Z85" i="23" s="1"/>
  <c r="W85" i="23"/>
  <c r="U85" i="23"/>
  <c r="Q85" i="23"/>
  <c r="S85" i="23" s="1"/>
  <c r="AD85" i="23" s="1"/>
  <c r="L85" i="23"/>
  <c r="AB85" i="23" s="1"/>
  <c r="J85" i="23"/>
  <c r="AA85" i="23" s="1"/>
  <c r="K118" i="23"/>
  <c r="F116" i="23"/>
  <c r="K117" i="22"/>
  <c r="M118" i="22"/>
  <c r="E86" i="22"/>
  <c r="I86" i="22"/>
  <c r="F118" i="22"/>
  <c r="M116" i="21"/>
  <c r="G86" i="21"/>
  <c r="H86" i="21"/>
  <c r="Y86" i="21" s="1"/>
  <c r="F116" i="21"/>
  <c r="K116" i="21"/>
  <c r="AE86" i="21"/>
  <c r="N117" i="3"/>
  <c r="M118" i="3"/>
  <c r="AO72" i="13"/>
  <c r="W73" i="13" s="1"/>
  <c r="AN72" i="13"/>
  <c r="V73" i="13" s="1"/>
  <c r="AQ72" i="13"/>
  <c r="Y73" i="13" s="1"/>
  <c r="AM72" i="13"/>
  <c r="U73" i="13" s="1"/>
  <c r="AS72" i="13"/>
  <c r="AA73" i="13" s="1"/>
  <c r="AP73" i="13"/>
  <c r="X74" i="13" s="1"/>
  <c r="AT72" i="13"/>
  <c r="AB73" i="13" s="1"/>
  <c r="AR71" i="13"/>
  <c r="Z72" i="13" s="1"/>
  <c r="AC85" i="23" l="1"/>
  <c r="W86" i="27"/>
  <c r="U86" i="27"/>
  <c r="Q86" i="27"/>
  <c r="S86" i="27" s="1"/>
  <c r="AD86" i="27" s="1"/>
  <c r="AL86" i="27" s="1"/>
  <c r="AN86" i="27"/>
  <c r="L86" i="27"/>
  <c r="AB86" i="27" s="1"/>
  <c r="AJ86" i="27" s="1"/>
  <c r="J86" i="27"/>
  <c r="AA86" i="27" s="1"/>
  <c r="AI86" i="27" s="1"/>
  <c r="F118" i="27"/>
  <c r="M121" i="27"/>
  <c r="K117" i="27"/>
  <c r="D87" i="27"/>
  <c r="C86" i="27"/>
  <c r="Z86" i="27" s="1"/>
  <c r="AH86" i="27" s="1"/>
  <c r="D87" i="26"/>
  <c r="C86" i="26"/>
  <c r="Z86" i="26" s="1"/>
  <c r="AH86" i="26" s="1"/>
  <c r="W86" i="26"/>
  <c r="U86" i="26"/>
  <c r="Q86" i="26"/>
  <c r="S86" i="26" s="1"/>
  <c r="AD86" i="26" s="1"/>
  <c r="AL86" i="26" s="1"/>
  <c r="AN86" i="26"/>
  <c r="L86" i="26"/>
  <c r="AB86" i="26" s="1"/>
  <c r="AJ86" i="26" s="1"/>
  <c r="J86" i="26"/>
  <c r="AA86" i="26" s="1"/>
  <c r="AI86" i="26" s="1"/>
  <c r="M119" i="26"/>
  <c r="K117" i="26"/>
  <c r="F117" i="26"/>
  <c r="K117" i="25"/>
  <c r="M118" i="25"/>
  <c r="F116" i="25"/>
  <c r="G86" i="25"/>
  <c r="H86" i="25"/>
  <c r="Y86" i="25" s="1"/>
  <c r="AM86" i="25" s="1"/>
  <c r="F118" i="24"/>
  <c r="M118" i="24"/>
  <c r="D87" i="24"/>
  <c r="C86" i="24"/>
  <c r="Z86" i="24" s="1"/>
  <c r="AH86" i="24" s="1"/>
  <c r="K117" i="24"/>
  <c r="W86" i="24"/>
  <c r="U86" i="24"/>
  <c r="AN86" i="24"/>
  <c r="Q86" i="24"/>
  <c r="S86" i="24" s="1"/>
  <c r="AD86" i="24" s="1"/>
  <c r="AL86" i="24" s="1"/>
  <c r="L86" i="24"/>
  <c r="AB86" i="24" s="1"/>
  <c r="AJ86" i="24" s="1"/>
  <c r="J86" i="24"/>
  <c r="AA86" i="24" s="1"/>
  <c r="AI86" i="24" s="1"/>
  <c r="AE86" i="25"/>
  <c r="M120" i="23"/>
  <c r="K119" i="23"/>
  <c r="E86" i="23"/>
  <c r="I86" i="23"/>
  <c r="F117" i="23"/>
  <c r="G86" i="22"/>
  <c r="H86" i="22"/>
  <c r="Y86" i="22" s="1"/>
  <c r="M119" i="22"/>
  <c r="F119" i="22"/>
  <c r="K118" i="22"/>
  <c r="AE86" i="22"/>
  <c r="K117" i="21"/>
  <c r="F117" i="21"/>
  <c r="D87" i="21"/>
  <c r="C86" i="21"/>
  <c r="Z86" i="21" s="1"/>
  <c r="Q86" i="21"/>
  <c r="S86" i="21" s="1"/>
  <c r="AD86" i="21" s="1"/>
  <c r="W86" i="21"/>
  <c r="U86" i="21"/>
  <c r="AC86" i="21" s="1"/>
  <c r="J86" i="21"/>
  <c r="AA86" i="21" s="1"/>
  <c r="L86" i="21"/>
  <c r="AB86" i="21" s="1"/>
  <c r="M117" i="21"/>
  <c r="N118" i="3"/>
  <c r="M119" i="3"/>
  <c r="AR72" i="13"/>
  <c r="Z73" i="13" s="1"/>
  <c r="AT73" i="13"/>
  <c r="AB74" i="13" s="1"/>
  <c r="AP74" i="13"/>
  <c r="X75" i="13" s="1"/>
  <c r="AS73" i="13"/>
  <c r="AA74" i="13" s="1"/>
  <c r="AM73" i="13"/>
  <c r="U74" i="13" s="1"/>
  <c r="AQ73" i="13"/>
  <c r="Y74" i="13" s="1"/>
  <c r="AN73" i="13"/>
  <c r="V74" i="13" s="1"/>
  <c r="AO73" i="13"/>
  <c r="W74" i="13" s="1"/>
  <c r="AC86" i="24" l="1"/>
  <c r="AK86" i="24" s="1"/>
  <c r="AC86" i="27"/>
  <c r="AK86" i="27" s="1"/>
  <c r="F119" i="27"/>
  <c r="E87" i="27"/>
  <c r="I87" i="27"/>
  <c r="K118" i="27"/>
  <c r="M122" i="27"/>
  <c r="F118" i="26"/>
  <c r="K118" i="26"/>
  <c r="M120" i="26"/>
  <c r="E87" i="26"/>
  <c r="I87" i="26"/>
  <c r="K118" i="25"/>
  <c r="Q86" i="25"/>
  <c r="W86" i="25"/>
  <c r="AN86" i="25"/>
  <c r="U86" i="25"/>
  <c r="J86" i="25"/>
  <c r="AA86" i="25" s="1"/>
  <c r="AI86" i="25" s="1"/>
  <c r="L86" i="25"/>
  <c r="AB86" i="25" s="1"/>
  <c r="AJ86" i="25" s="1"/>
  <c r="F117" i="25"/>
  <c r="D87" i="25"/>
  <c r="C86" i="25"/>
  <c r="Z86" i="25" s="1"/>
  <c r="AH86" i="25" s="1"/>
  <c r="M119" i="25"/>
  <c r="K118" i="24"/>
  <c r="E87" i="24"/>
  <c r="I87" i="24"/>
  <c r="M119" i="24"/>
  <c r="F119" i="24"/>
  <c r="AC86" i="26"/>
  <c r="AK86" i="26" s="1"/>
  <c r="S86" i="25"/>
  <c r="AD86" i="25" s="1"/>
  <c r="AL86" i="25" s="1"/>
  <c r="F118" i="23"/>
  <c r="K120" i="23"/>
  <c r="M121" i="23"/>
  <c r="G86" i="23"/>
  <c r="H86" i="23"/>
  <c r="Y86" i="23" s="1"/>
  <c r="AE86" i="23"/>
  <c r="D87" i="22"/>
  <c r="C86" i="22"/>
  <c r="Z86" i="22" s="1"/>
  <c r="M120" i="22"/>
  <c r="W86" i="22"/>
  <c r="U86" i="22"/>
  <c r="Q86" i="22"/>
  <c r="S86" i="22" s="1"/>
  <c r="AD86" i="22" s="1"/>
  <c r="J86" i="22"/>
  <c r="AA86" i="22" s="1"/>
  <c r="L86" i="22"/>
  <c r="AB86" i="22" s="1"/>
  <c r="K119" i="22"/>
  <c r="F120" i="22"/>
  <c r="M118" i="21"/>
  <c r="E87" i="21"/>
  <c r="I87" i="21"/>
  <c r="F118" i="21"/>
  <c r="K118" i="21"/>
  <c r="N119" i="3"/>
  <c r="M120" i="3"/>
  <c r="AN74" i="13"/>
  <c r="V75" i="13" s="1"/>
  <c r="AS74" i="13"/>
  <c r="AA75" i="13" s="1"/>
  <c r="AP75" i="13"/>
  <c r="X76" i="13" s="1"/>
  <c r="AO74" i="13"/>
  <c r="W75" i="13" s="1"/>
  <c r="AT74" i="13"/>
  <c r="AB75" i="13" s="1"/>
  <c r="AQ74" i="13"/>
  <c r="Y75" i="13" s="1"/>
  <c r="AM74" i="13"/>
  <c r="U75" i="13" s="1"/>
  <c r="AR73" i="13"/>
  <c r="Z74" i="13" s="1"/>
  <c r="AC86" i="22" l="1"/>
  <c r="M123" i="27"/>
  <c r="G87" i="27"/>
  <c r="H87" i="27"/>
  <c r="Y87" i="27" s="1"/>
  <c r="AM87" i="27" s="1"/>
  <c r="K119" i="27"/>
  <c r="F120" i="27"/>
  <c r="K119" i="26"/>
  <c r="F119" i="26"/>
  <c r="G87" i="26"/>
  <c r="H87" i="26"/>
  <c r="Y87" i="26" s="1"/>
  <c r="AM87" i="26" s="1"/>
  <c r="M121" i="26"/>
  <c r="F118" i="25"/>
  <c r="K119" i="25"/>
  <c r="M120" i="25"/>
  <c r="E87" i="25"/>
  <c r="I87" i="25"/>
  <c r="F120" i="24"/>
  <c r="M120" i="24"/>
  <c r="G87" i="24"/>
  <c r="H87" i="24"/>
  <c r="Y87" i="24" s="1"/>
  <c r="AM87" i="24" s="1"/>
  <c r="K119" i="24"/>
  <c r="AE87" i="27"/>
  <c r="AE87" i="26"/>
  <c r="AC86" i="25"/>
  <c r="AK86" i="25" s="1"/>
  <c r="AE87" i="24"/>
  <c r="W86" i="23"/>
  <c r="U86" i="23"/>
  <c r="Q86" i="23"/>
  <c r="S86" i="23" s="1"/>
  <c r="AD86" i="23" s="1"/>
  <c r="L86" i="23"/>
  <c r="AB86" i="23" s="1"/>
  <c r="J86" i="23"/>
  <c r="AA86" i="23" s="1"/>
  <c r="M122" i="23"/>
  <c r="K121" i="23"/>
  <c r="D87" i="23"/>
  <c r="C86" i="23"/>
  <c r="Z86" i="23" s="1"/>
  <c r="F119" i="23"/>
  <c r="M121" i="22"/>
  <c r="K120" i="22"/>
  <c r="E87" i="22"/>
  <c r="I87" i="22"/>
  <c r="F121" i="22"/>
  <c r="G87" i="21"/>
  <c r="H87" i="21"/>
  <c r="Y87" i="21" s="1"/>
  <c r="K119" i="21"/>
  <c r="M119" i="21"/>
  <c r="F119" i="21"/>
  <c r="AE87" i="21"/>
  <c r="N120" i="3"/>
  <c r="M121" i="3"/>
  <c r="AM75" i="13"/>
  <c r="U76" i="13" s="1"/>
  <c r="AQ75" i="13"/>
  <c r="Y76" i="13" s="1"/>
  <c r="AT75" i="13"/>
  <c r="AB76" i="13" s="1"/>
  <c r="AP76" i="13"/>
  <c r="X77" i="13" s="1"/>
  <c r="AS75" i="13"/>
  <c r="AA76" i="13" s="1"/>
  <c r="AN75" i="13"/>
  <c r="V76" i="13" s="1"/>
  <c r="AR74" i="13"/>
  <c r="Z75" i="13" s="1"/>
  <c r="AO75" i="13"/>
  <c r="W76" i="13" s="1"/>
  <c r="AC86" i="23" l="1"/>
  <c r="K120" i="27"/>
  <c r="D88" i="27"/>
  <c r="C87" i="27"/>
  <c r="Z87" i="27" s="1"/>
  <c r="AH87" i="27" s="1"/>
  <c r="M124" i="27"/>
  <c r="F121" i="27"/>
  <c r="U87" i="27"/>
  <c r="W87" i="27"/>
  <c r="Q87" i="27"/>
  <c r="AN87" i="27"/>
  <c r="L87" i="27"/>
  <c r="AB87" i="27" s="1"/>
  <c r="AJ87" i="27" s="1"/>
  <c r="J87" i="27"/>
  <c r="AA87" i="27" s="1"/>
  <c r="AI87" i="27" s="1"/>
  <c r="M122" i="26"/>
  <c r="Q87" i="26"/>
  <c r="S87" i="26" s="1"/>
  <c r="AD87" i="26" s="1"/>
  <c r="AL87" i="26" s="1"/>
  <c r="W87" i="26"/>
  <c r="U87" i="26"/>
  <c r="AC87" i="26" s="1"/>
  <c r="AK87" i="26" s="1"/>
  <c r="AN87" i="26"/>
  <c r="L87" i="26"/>
  <c r="AB87" i="26" s="1"/>
  <c r="AJ87" i="26" s="1"/>
  <c r="J87" i="26"/>
  <c r="AA87" i="26" s="1"/>
  <c r="AI87" i="26" s="1"/>
  <c r="F120" i="26"/>
  <c r="D88" i="26"/>
  <c r="C87" i="26"/>
  <c r="Z87" i="26" s="1"/>
  <c r="AH87" i="26" s="1"/>
  <c r="K120" i="26"/>
  <c r="G87" i="25"/>
  <c r="H87" i="25"/>
  <c r="M121" i="25"/>
  <c r="K120" i="25"/>
  <c r="F119" i="25"/>
  <c r="K120" i="24"/>
  <c r="D88" i="24"/>
  <c r="C87" i="24"/>
  <c r="Z87" i="24" s="1"/>
  <c r="AH87" i="24" s="1"/>
  <c r="W87" i="24"/>
  <c r="U87" i="24"/>
  <c r="AN87" i="24"/>
  <c r="Q87" i="24"/>
  <c r="S87" i="24" s="1"/>
  <c r="AD87" i="24" s="1"/>
  <c r="AL87" i="24" s="1"/>
  <c r="L87" i="24"/>
  <c r="AB87" i="24" s="1"/>
  <c r="AJ87" i="24" s="1"/>
  <c r="J87" i="24"/>
  <c r="AA87" i="24" s="1"/>
  <c r="AI87" i="24" s="1"/>
  <c r="M121" i="24"/>
  <c r="F121" i="24"/>
  <c r="S87" i="27"/>
  <c r="AD87" i="27" s="1"/>
  <c r="AL87" i="27" s="1"/>
  <c r="Y87" i="25"/>
  <c r="AM87" i="25" s="1"/>
  <c r="AE87" i="25"/>
  <c r="K122" i="23"/>
  <c r="F120" i="23"/>
  <c r="M123" i="23"/>
  <c r="E87" i="23"/>
  <c r="I87" i="23"/>
  <c r="G87" i="22"/>
  <c r="H87" i="22"/>
  <c r="Y87" i="22" s="1"/>
  <c r="K121" i="22"/>
  <c r="F122" i="22"/>
  <c r="M122" i="22"/>
  <c r="AE87" i="22"/>
  <c r="M120" i="21"/>
  <c r="D88" i="21"/>
  <c r="C87" i="21"/>
  <c r="Z87" i="21" s="1"/>
  <c r="K120" i="21"/>
  <c r="U87" i="21"/>
  <c r="W87" i="21"/>
  <c r="Q87" i="21"/>
  <c r="S87" i="21" s="1"/>
  <c r="AD87" i="21" s="1"/>
  <c r="L87" i="21"/>
  <c r="AB87" i="21" s="1"/>
  <c r="J87" i="21"/>
  <c r="AA87" i="21" s="1"/>
  <c r="F120" i="21"/>
  <c r="N121" i="3"/>
  <c r="M122" i="3"/>
  <c r="AS76" i="13"/>
  <c r="AA77" i="13" s="1"/>
  <c r="AP77" i="13"/>
  <c r="X78" i="13" s="1"/>
  <c r="AT76" i="13"/>
  <c r="AB77" i="13" s="1"/>
  <c r="AO76" i="13"/>
  <c r="W77" i="13" s="1"/>
  <c r="AR75" i="13"/>
  <c r="Z76" i="13" s="1"/>
  <c r="AM76" i="13"/>
  <c r="U77" i="13" s="1"/>
  <c r="AQ76" i="13"/>
  <c r="Y77" i="13" s="1"/>
  <c r="AN76" i="13"/>
  <c r="V77" i="13" s="1"/>
  <c r="AC87" i="21" l="1"/>
  <c r="AC87" i="24"/>
  <c r="AK87" i="24" s="1"/>
  <c r="M125" i="27"/>
  <c r="E88" i="27"/>
  <c r="I88" i="27"/>
  <c r="K121" i="27"/>
  <c r="F122" i="27"/>
  <c r="E88" i="26"/>
  <c r="I88" i="26"/>
  <c r="M123" i="26"/>
  <c r="K121" i="26"/>
  <c r="F121" i="26"/>
  <c r="K121" i="25"/>
  <c r="D88" i="25"/>
  <c r="C87" i="25"/>
  <c r="Z87" i="25" s="1"/>
  <c r="AH87" i="25" s="1"/>
  <c r="M122" i="25"/>
  <c r="F120" i="25"/>
  <c r="W87" i="25"/>
  <c r="U87" i="25"/>
  <c r="Q87" i="25"/>
  <c r="S87" i="25" s="1"/>
  <c r="AD87" i="25" s="1"/>
  <c r="AL87" i="25" s="1"/>
  <c r="AN87" i="25"/>
  <c r="L87" i="25"/>
  <c r="AB87" i="25" s="1"/>
  <c r="AJ87" i="25" s="1"/>
  <c r="J87" i="25"/>
  <c r="AA87" i="25" s="1"/>
  <c r="AI87" i="25" s="1"/>
  <c r="F122" i="24"/>
  <c r="M122" i="24"/>
  <c r="E88" i="24"/>
  <c r="I88" i="24"/>
  <c r="K121" i="24"/>
  <c r="AC87" i="27"/>
  <c r="AK87" i="27" s="1"/>
  <c r="M124" i="23"/>
  <c r="G87" i="23"/>
  <c r="H87" i="23"/>
  <c r="Y87" i="23" s="1"/>
  <c r="AE87" i="23"/>
  <c r="K123" i="23"/>
  <c r="F121" i="23"/>
  <c r="M123" i="22"/>
  <c r="K122" i="22"/>
  <c r="F123" i="22"/>
  <c r="D88" i="22"/>
  <c r="C87" i="22"/>
  <c r="Z87" i="22" s="1"/>
  <c r="W87" i="22"/>
  <c r="U87" i="22"/>
  <c r="Q87" i="22"/>
  <c r="S87" i="22" s="1"/>
  <c r="AD87" i="22" s="1"/>
  <c r="J87" i="22"/>
  <c r="AA87" i="22" s="1"/>
  <c r="L87" i="22"/>
  <c r="AB87" i="22" s="1"/>
  <c r="F121" i="21"/>
  <c r="K121" i="21"/>
  <c r="E88" i="21"/>
  <c r="I88" i="21"/>
  <c r="M121" i="21"/>
  <c r="N122" i="3"/>
  <c r="M123" i="3"/>
  <c r="AM77" i="13"/>
  <c r="U78" i="13" s="1"/>
  <c r="AQ77" i="13"/>
  <c r="Y78" i="13" s="1"/>
  <c r="AR76" i="13"/>
  <c r="Z77" i="13" s="1"/>
  <c r="AT77" i="13"/>
  <c r="AB78" i="13" s="1"/>
  <c r="AP78" i="13"/>
  <c r="X79" i="13" s="1"/>
  <c r="AS77" i="13"/>
  <c r="AA78" i="13" s="1"/>
  <c r="AO77" i="13"/>
  <c r="W78" i="13" s="1"/>
  <c r="AN77" i="13"/>
  <c r="V78" i="13" s="1"/>
  <c r="AC87" i="25" l="1"/>
  <c r="AK87" i="25" s="1"/>
  <c r="F123" i="27"/>
  <c r="G88" i="27"/>
  <c r="H88" i="27"/>
  <c r="Y88" i="27" s="1"/>
  <c r="AM88" i="27" s="1"/>
  <c r="M126" i="27"/>
  <c r="K122" i="27"/>
  <c r="M124" i="26"/>
  <c r="F122" i="26"/>
  <c r="G88" i="26"/>
  <c r="H88" i="26"/>
  <c r="Y88" i="26" s="1"/>
  <c r="AM88" i="26" s="1"/>
  <c r="K122" i="26"/>
  <c r="K122" i="25"/>
  <c r="F121" i="25"/>
  <c r="M123" i="25"/>
  <c r="E88" i="25"/>
  <c r="I88" i="25"/>
  <c r="G88" i="24"/>
  <c r="H88" i="24"/>
  <c r="Y88" i="24" s="1"/>
  <c r="AM88" i="24" s="1"/>
  <c r="M123" i="24"/>
  <c r="K122" i="24"/>
  <c r="F123" i="24"/>
  <c r="AE88" i="27"/>
  <c r="AE88" i="26"/>
  <c r="AE88" i="24"/>
  <c r="F122" i="23"/>
  <c r="K124" i="23"/>
  <c r="M125" i="23"/>
  <c r="D88" i="23"/>
  <c r="C87" i="23"/>
  <c r="Z87" i="23" s="1"/>
  <c r="Q87" i="23"/>
  <c r="S87" i="23" s="1"/>
  <c r="AD87" i="23" s="1"/>
  <c r="U87" i="23"/>
  <c r="W87" i="23"/>
  <c r="J87" i="23"/>
  <c r="AA87" i="23" s="1"/>
  <c r="L87" i="23"/>
  <c r="AB87" i="23" s="1"/>
  <c r="E88" i="22"/>
  <c r="I88" i="22"/>
  <c r="K123" i="22"/>
  <c r="F124" i="22"/>
  <c r="M124" i="22"/>
  <c r="AC87" i="22"/>
  <c r="G88" i="21"/>
  <c r="H88" i="21"/>
  <c r="Y88" i="21" s="1"/>
  <c r="K122" i="21"/>
  <c r="M122" i="21"/>
  <c r="F122" i="21"/>
  <c r="AE88" i="21"/>
  <c r="N123" i="3"/>
  <c r="M124" i="3"/>
  <c r="AT78" i="13"/>
  <c r="AB79" i="13" s="1"/>
  <c r="AR77" i="13"/>
  <c r="Z78" i="13" s="1"/>
  <c r="AN78" i="13"/>
  <c r="V79" i="13" s="1"/>
  <c r="AO78" i="13"/>
  <c r="W79" i="13" s="1"/>
  <c r="AQ78" i="13"/>
  <c r="Y79" i="13" s="1"/>
  <c r="AS78" i="13"/>
  <c r="AA79" i="13" s="1"/>
  <c r="AP79" i="13"/>
  <c r="X80" i="13" s="1"/>
  <c r="AM78" i="13"/>
  <c r="U79" i="13" s="1"/>
  <c r="AC87" i="23" l="1"/>
  <c r="M127" i="27"/>
  <c r="Q88" i="27"/>
  <c r="S88" i="27" s="1"/>
  <c r="AD88" i="27" s="1"/>
  <c r="AL88" i="27" s="1"/>
  <c r="AN88" i="27"/>
  <c r="U88" i="27"/>
  <c r="W88" i="27"/>
  <c r="L88" i="27"/>
  <c r="AB88" i="27" s="1"/>
  <c r="AJ88" i="27" s="1"/>
  <c r="J88" i="27"/>
  <c r="AA88" i="27" s="1"/>
  <c r="AI88" i="27" s="1"/>
  <c r="D89" i="27"/>
  <c r="C88" i="27"/>
  <c r="Z88" i="27" s="1"/>
  <c r="AH88" i="27" s="1"/>
  <c r="F124" i="27"/>
  <c r="K123" i="27"/>
  <c r="K123" i="26"/>
  <c r="U88" i="26"/>
  <c r="AN88" i="26"/>
  <c r="W88" i="26"/>
  <c r="AC88" i="26" s="1"/>
  <c r="AK88" i="26" s="1"/>
  <c r="Q88" i="26"/>
  <c r="S88" i="26" s="1"/>
  <c r="AD88" i="26" s="1"/>
  <c r="AL88" i="26" s="1"/>
  <c r="J88" i="26"/>
  <c r="AA88" i="26" s="1"/>
  <c r="AI88" i="26" s="1"/>
  <c r="L88" i="26"/>
  <c r="AB88" i="26" s="1"/>
  <c r="AJ88" i="26" s="1"/>
  <c r="D89" i="26"/>
  <c r="C88" i="26"/>
  <c r="Z88" i="26" s="1"/>
  <c r="AH88" i="26" s="1"/>
  <c r="F123" i="26"/>
  <c r="M125" i="26"/>
  <c r="K123" i="25"/>
  <c r="G88" i="25"/>
  <c r="H88" i="25"/>
  <c r="Y88" i="25" s="1"/>
  <c r="AM88" i="25" s="1"/>
  <c r="M124" i="25"/>
  <c r="F122" i="25"/>
  <c r="K123" i="24"/>
  <c r="D89" i="24"/>
  <c r="C88" i="24"/>
  <c r="Z88" i="24" s="1"/>
  <c r="AH88" i="24" s="1"/>
  <c r="F124" i="24"/>
  <c r="M124" i="24"/>
  <c r="W88" i="24"/>
  <c r="Q88" i="24"/>
  <c r="S88" i="24" s="1"/>
  <c r="AD88" i="24" s="1"/>
  <c r="AL88" i="24" s="1"/>
  <c r="U88" i="24"/>
  <c r="AC88" i="24" s="1"/>
  <c r="AK88" i="24" s="1"/>
  <c r="AN88" i="24"/>
  <c r="J88" i="24"/>
  <c r="AA88" i="24" s="1"/>
  <c r="AI88" i="24" s="1"/>
  <c r="L88" i="24"/>
  <c r="AB88" i="24" s="1"/>
  <c r="AJ88" i="24" s="1"/>
  <c r="AE88" i="25"/>
  <c r="F123" i="23"/>
  <c r="E88" i="23"/>
  <c r="I88" i="23"/>
  <c r="M126" i="23"/>
  <c r="K125" i="23"/>
  <c r="M125" i="22"/>
  <c r="G88" i="22"/>
  <c r="H88" i="22"/>
  <c r="Y88" i="22" s="1"/>
  <c r="F125" i="22"/>
  <c r="K124" i="22"/>
  <c r="AE88" i="22"/>
  <c r="M123" i="21"/>
  <c r="K123" i="21"/>
  <c r="D89" i="21"/>
  <c r="C88" i="21"/>
  <c r="Z88" i="21" s="1"/>
  <c r="Q88" i="21"/>
  <c r="S88" i="21" s="1"/>
  <c r="AD88" i="21" s="1"/>
  <c r="U88" i="21"/>
  <c r="W88" i="21"/>
  <c r="L88" i="21"/>
  <c r="AB88" i="21" s="1"/>
  <c r="J88" i="21"/>
  <c r="AA88" i="21" s="1"/>
  <c r="F123" i="21"/>
  <c r="N124" i="3"/>
  <c r="M125" i="3"/>
  <c r="AQ79" i="13"/>
  <c r="Y80" i="13" s="1"/>
  <c r="AO79" i="13"/>
  <c r="W80" i="13" s="1"/>
  <c r="AN79" i="13"/>
  <c r="V80" i="13" s="1"/>
  <c r="AM79" i="13"/>
  <c r="U80" i="13" s="1"/>
  <c r="AP80" i="13"/>
  <c r="X81" i="13" s="1"/>
  <c r="AT79" i="13"/>
  <c r="AB80" i="13" s="1"/>
  <c r="AR78" i="13"/>
  <c r="Z79" i="13" s="1"/>
  <c r="AS79" i="13"/>
  <c r="AA80" i="13" s="1"/>
  <c r="AC88" i="27" l="1"/>
  <c r="AK88" i="27" s="1"/>
  <c r="AC88" i="21"/>
  <c r="K124" i="27"/>
  <c r="F125" i="27"/>
  <c r="M128" i="27"/>
  <c r="E89" i="27"/>
  <c r="I89" i="27"/>
  <c r="M126" i="26"/>
  <c r="F124" i="26"/>
  <c r="E89" i="26"/>
  <c r="I89" i="26"/>
  <c r="K124" i="26"/>
  <c r="D89" i="25"/>
  <c r="C88" i="25"/>
  <c r="Z88" i="25" s="1"/>
  <c r="AH88" i="25" s="1"/>
  <c r="K124" i="25"/>
  <c r="M125" i="25"/>
  <c r="U88" i="25"/>
  <c r="W88" i="25"/>
  <c r="AN88" i="25"/>
  <c r="Q88" i="25"/>
  <c r="S88" i="25" s="1"/>
  <c r="AD88" i="25" s="1"/>
  <c r="AL88" i="25" s="1"/>
  <c r="L88" i="25"/>
  <c r="AB88" i="25" s="1"/>
  <c r="AJ88" i="25" s="1"/>
  <c r="J88" i="25"/>
  <c r="AA88" i="25" s="1"/>
  <c r="AI88" i="25" s="1"/>
  <c r="F123" i="25"/>
  <c r="M125" i="24"/>
  <c r="F125" i="24"/>
  <c r="E89" i="24"/>
  <c r="I89" i="24"/>
  <c r="K124" i="24"/>
  <c r="K126" i="23"/>
  <c r="M127" i="23"/>
  <c r="G88" i="23"/>
  <c r="H88" i="23"/>
  <c r="Y88" i="23" s="1"/>
  <c r="AE88" i="23"/>
  <c r="F124" i="23"/>
  <c r="D89" i="22"/>
  <c r="C88" i="22"/>
  <c r="Z88" i="22" s="1"/>
  <c r="F126" i="22"/>
  <c r="Q88" i="22"/>
  <c r="S88" i="22" s="1"/>
  <c r="AD88" i="22" s="1"/>
  <c r="W88" i="22"/>
  <c r="U88" i="22"/>
  <c r="L88" i="22"/>
  <c r="AB88" i="22" s="1"/>
  <c r="J88" i="22"/>
  <c r="AA88" i="22" s="1"/>
  <c r="M126" i="22"/>
  <c r="K125" i="22"/>
  <c r="F124" i="21"/>
  <c r="E89" i="21"/>
  <c r="I89" i="21"/>
  <c r="K124" i="21"/>
  <c r="M124" i="21"/>
  <c r="N125" i="3"/>
  <c r="M126" i="3"/>
  <c r="AP81" i="13"/>
  <c r="X82" i="13" s="1"/>
  <c r="AR79" i="13"/>
  <c r="Z80" i="13" s="1"/>
  <c r="AT80" i="13"/>
  <c r="AB81" i="13" s="1"/>
  <c r="AM80" i="13"/>
  <c r="U81" i="13" s="1"/>
  <c r="AS80" i="13"/>
  <c r="AA81" i="13" s="1"/>
  <c r="AO80" i="13"/>
  <c r="W81" i="13" s="1"/>
  <c r="AN80" i="13"/>
  <c r="V81" i="13" s="1"/>
  <c r="AQ80" i="13"/>
  <c r="Y81" i="13" s="1"/>
  <c r="M129" i="27" l="1"/>
  <c r="F126" i="27"/>
  <c r="K125" i="27"/>
  <c r="G89" i="27"/>
  <c r="H89" i="27"/>
  <c r="Y89" i="27" s="1"/>
  <c r="AM89" i="27" s="1"/>
  <c r="K125" i="26"/>
  <c r="M127" i="26"/>
  <c r="G89" i="26"/>
  <c r="H89" i="26"/>
  <c r="Y89" i="26" s="1"/>
  <c r="AM89" i="26" s="1"/>
  <c r="F125" i="26"/>
  <c r="K125" i="25"/>
  <c r="F124" i="25"/>
  <c r="M126" i="25"/>
  <c r="E89" i="25"/>
  <c r="I89" i="25"/>
  <c r="G89" i="24"/>
  <c r="H89" i="24"/>
  <c r="K125" i="24"/>
  <c r="F126" i="24"/>
  <c r="M126" i="24"/>
  <c r="AE89" i="27"/>
  <c r="AE89" i="26"/>
  <c r="AC88" i="25"/>
  <c r="AK88" i="25" s="1"/>
  <c r="Y89" i="24"/>
  <c r="AM89" i="24" s="1"/>
  <c r="AE89" i="24"/>
  <c r="K127" i="23"/>
  <c r="D89" i="23"/>
  <c r="C88" i="23"/>
  <c r="Z88" i="23" s="1"/>
  <c r="F125" i="23"/>
  <c r="Q88" i="23"/>
  <c r="S88" i="23" s="1"/>
  <c r="AD88" i="23" s="1"/>
  <c r="W88" i="23"/>
  <c r="U88" i="23"/>
  <c r="L88" i="23"/>
  <c r="AB88" i="23" s="1"/>
  <c r="J88" i="23"/>
  <c r="AA88" i="23" s="1"/>
  <c r="M128" i="23"/>
  <c r="F127" i="22"/>
  <c r="M127" i="22"/>
  <c r="E89" i="22"/>
  <c r="I89" i="22"/>
  <c r="K126" i="22"/>
  <c r="AC88" i="22"/>
  <c r="M125" i="21"/>
  <c r="G89" i="21"/>
  <c r="H89" i="21"/>
  <c r="Y89" i="21" s="1"/>
  <c r="K125" i="21"/>
  <c r="F125" i="21"/>
  <c r="AE89" i="21"/>
  <c r="N126" i="3"/>
  <c r="M127" i="3"/>
  <c r="AO81" i="13"/>
  <c r="W82" i="13" s="1"/>
  <c r="AN81" i="13"/>
  <c r="V82" i="13" s="1"/>
  <c r="AS81" i="13"/>
  <c r="AA82" i="13" s="1"/>
  <c r="AT81" i="13"/>
  <c r="AB82" i="13" s="1"/>
  <c r="AR80" i="13"/>
  <c r="Z81" i="13" s="1"/>
  <c r="AP82" i="13"/>
  <c r="X83" i="13" s="1"/>
  <c r="AQ81" i="13"/>
  <c r="Y82" i="13" s="1"/>
  <c r="AM81" i="13"/>
  <c r="U82" i="13" s="1"/>
  <c r="AC88" i="23" l="1"/>
  <c r="Q89" i="27"/>
  <c r="U89" i="27"/>
  <c r="W89" i="27"/>
  <c r="AN89" i="27"/>
  <c r="L89" i="27"/>
  <c r="AB89" i="27" s="1"/>
  <c r="AJ89" i="27" s="1"/>
  <c r="J89" i="27"/>
  <c r="AA89" i="27" s="1"/>
  <c r="AI89" i="27" s="1"/>
  <c r="K126" i="27"/>
  <c r="F127" i="27"/>
  <c r="D90" i="27"/>
  <c r="C89" i="27"/>
  <c r="Z89" i="27" s="1"/>
  <c r="AH89" i="27" s="1"/>
  <c r="M130" i="27"/>
  <c r="D90" i="26"/>
  <c r="C89" i="26"/>
  <c r="Z89" i="26" s="1"/>
  <c r="AH89" i="26" s="1"/>
  <c r="F126" i="26"/>
  <c r="K126" i="26"/>
  <c r="U89" i="26"/>
  <c r="W89" i="26"/>
  <c r="AN89" i="26"/>
  <c r="Q89" i="26"/>
  <c r="S89" i="26" s="1"/>
  <c r="AD89" i="26" s="1"/>
  <c r="AL89" i="26" s="1"/>
  <c r="L89" i="26"/>
  <c r="AB89" i="26" s="1"/>
  <c r="AJ89" i="26" s="1"/>
  <c r="J89" i="26"/>
  <c r="AA89" i="26" s="1"/>
  <c r="AI89" i="26" s="1"/>
  <c r="M128" i="26"/>
  <c r="G89" i="25"/>
  <c r="H89" i="25"/>
  <c r="Y89" i="25" s="1"/>
  <c r="AM89" i="25" s="1"/>
  <c r="F125" i="25"/>
  <c r="M127" i="25"/>
  <c r="K126" i="25"/>
  <c r="F127" i="24"/>
  <c r="D90" i="24"/>
  <c r="C89" i="24"/>
  <c r="Z89" i="24" s="1"/>
  <c r="AH89" i="24" s="1"/>
  <c r="K126" i="24"/>
  <c r="M127" i="24"/>
  <c r="W89" i="24"/>
  <c r="U89" i="24"/>
  <c r="Q89" i="24"/>
  <c r="S89" i="24" s="1"/>
  <c r="AD89" i="24" s="1"/>
  <c r="AL89" i="24" s="1"/>
  <c r="AN89" i="24"/>
  <c r="J89" i="24"/>
  <c r="AA89" i="24" s="1"/>
  <c r="AI89" i="24" s="1"/>
  <c r="L89" i="24"/>
  <c r="AB89" i="24" s="1"/>
  <c r="AJ89" i="24" s="1"/>
  <c r="S89" i="27"/>
  <c r="AD89" i="27" s="1"/>
  <c r="AL89" i="27" s="1"/>
  <c r="AE89" i="25"/>
  <c r="F126" i="23"/>
  <c r="E89" i="23"/>
  <c r="I89" i="23"/>
  <c r="M129" i="23"/>
  <c r="K128" i="23"/>
  <c r="G89" i="22"/>
  <c r="H89" i="22"/>
  <c r="Y89" i="22" s="1"/>
  <c r="M128" i="22"/>
  <c r="F128" i="22"/>
  <c r="K127" i="22"/>
  <c r="AE89" i="22"/>
  <c r="K126" i="21"/>
  <c r="D90" i="21"/>
  <c r="C89" i="21"/>
  <c r="Z89" i="21" s="1"/>
  <c r="W89" i="21"/>
  <c r="Q89" i="21"/>
  <c r="S89" i="21" s="1"/>
  <c r="AD89" i="21" s="1"/>
  <c r="U89" i="21"/>
  <c r="J89" i="21"/>
  <c r="AA89" i="21" s="1"/>
  <c r="L89" i="21"/>
  <c r="AB89" i="21" s="1"/>
  <c r="M126" i="21"/>
  <c r="F126" i="21"/>
  <c r="N127" i="3"/>
  <c r="M128" i="3"/>
  <c r="AR81" i="13"/>
  <c r="Z82" i="13" s="1"/>
  <c r="AN82" i="13"/>
  <c r="V83" i="13" s="1"/>
  <c r="AS82" i="13"/>
  <c r="AA83" i="13" s="1"/>
  <c r="AQ82" i="13"/>
  <c r="Y83" i="13" s="1"/>
  <c r="AO82" i="13"/>
  <c r="W83" i="13" s="1"/>
  <c r="AM82" i="13"/>
  <c r="U83" i="13" s="1"/>
  <c r="AP83" i="13"/>
  <c r="X84" i="13" s="1"/>
  <c r="AT82" i="13"/>
  <c r="AB83" i="13" s="1"/>
  <c r="K127" i="27" l="1"/>
  <c r="M131" i="27"/>
  <c r="E90" i="27"/>
  <c r="I90" i="27"/>
  <c r="F128" i="27"/>
  <c r="F127" i="26"/>
  <c r="E90" i="26"/>
  <c r="I90" i="26"/>
  <c r="M129" i="26"/>
  <c r="K127" i="26"/>
  <c r="F126" i="25"/>
  <c r="W89" i="25"/>
  <c r="AN89" i="25"/>
  <c r="U89" i="25"/>
  <c r="Q89" i="25"/>
  <c r="S89" i="25" s="1"/>
  <c r="AD89" i="25" s="1"/>
  <c r="AL89" i="25" s="1"/>
  <c r="J89" i="25"/>
  <c r="AA89" i="25" s="1"/>
  <c r="AI89" i="25" s="1"/>
  <c r="L89" i="25"/>
  <c r="AB89" i="25" s="1"/>
  <c r="AJ89" i="25" s="1"/>
  <c r="K127" i="25"/>
  <c r="M128" i="25"/>
  <c r="D90" i="25"/>
  <c r="C89" i="25"/>
  <c r="Z89" i="25" s="1"/>
  <c r="AH89" i="25" s="1"/>
  <c r="K127" i="24"/>
  <c r="E90" i="24"/>
  <c r="I90" i="24"/>
  <c r="F128" i="24"/>
  <c r="M128" i="24"/>
  <c r="AC89" i="27"/>
  <c r="AK89" i="27" s="1"/>
  <c r="AC89" i="26"/>
  <c r="AK89" i="26" s="1"/>
  <c r="AC89" i="24"/>
  <c r="AK89" i="24" s="1"/>
  <c r="K129" i="23"/>
  <c r="F127" i="23"/>
  <c r="M130" i="23"/>
  <c r="G89" i="23"/>
  <c r="H89" i="23"/>
  <c r="Y89" i="23" s="1"/>
  <c r="AE89" i="23"/>
  <c r="D90" i="22"/>
  <c r="C89" i="22"/>
  <c r="Z89" i="22" s="1"/>
  <c r="U89" i="22"/>
  <c r="W89" i="22"/>
  <c r="Q89" i="22"/>
  <c r="S89" i="22" s="1"/>
  <c r="AD89" i="22" s="1"/>
  <c r="L89" i="22"/>
  <c r="AB89" i="22" s="1"/>
  <c r="J89" i="22"/>
  <c r="AA89" i="22" s="1"/>
  <c r="K128" i="22"/>
  <c r="F129" i="22"/>
  <c r="M129" i="22"/>
  <c r="F127" i="21"/>
  <c r="M127" i="21"/>
  <c r="E90" i="21"/>
  <c r="I90" i="21"/>
  <c r="K127" i="21"/>
  <c r="AC89" i="21"/>
  <c r="N128" i="3"/>
  <c r="M129" i="3"/>
  <c r="AP84" i="13"/>
  <c r="X85" i="13" s="1"/>
  <c r="AM83" i="13"/>
  <c r="U84" i="13" s="1"/>
  <c r="AN83" i="13"/>
  <c r="V84" i="13" s="1"/>
  <c r="AT83" i="13"/>
  <c r="AB84" i="13" s="1"/>
  <c r="AO83" i="13"/>
  <c r="W84" i="13" s="1"/>
  <c r="AQ83" i="13"/>
  <c r="Y84" i="13" s="1"/>
  <c r="AS83" i="13"/>
  <c r="AA84" i="13" s="1"/>
  <c r="AR82" i="13"/>
  <c r="Z83" i="13" s="1"/>
  <c r="AC89" i="22" l="1"/>
  <c r="G90" i="27"/>
  <c r="H90" i="27"/>
  <c r="Y90" i="27" s="1"/>
  <c r="AM90" i="27" s="1"/>
  <c r="M132" i="27"/>
  <c r="F129" i="27"/>
  <c r="K128" i="27"/>
  <c r="K128" i="26"/>
  <c r="M130" i="26"/>
  <c r="G90" i="26"/>
  <c r="H90" i="26"/>
  <c r="Y90" i="26" s="1"/>
  <c r="AM90" i="26" s="1"/>
  <c r="F128" i="26"/>
  <c r="E90" i="25"/>
  <c r="I90" i="25"/>
  <c r="M129" i="25"/>
  <c r="K128" i="25"/>
  <c r="F127" i="25"/>
  <c r="G90" i="24"/>
  <c r="H90" i="24"/>
  <c r="Y90" i="24" s="1"/>
  <c r="AM90" i="24" s="1"/>
  <c r="M129" i="24"/>
  <c r="F129" i="24"/>
  <c r="K128" i="24"/>
  <c r="AE90" i="27"/>
  <c r="AE90" i="26"/>
  <c r="AC89" i="25"/>
  <c r="AK89" i="25" s="1"/>
  <c r="AE90" i="24"/>
  <c r="F128" i="23"/>
  <c r="D90" i="23"/>
  <c r="C89" i="23"/>
  <c r="Z89" i="23" s="1"/>
  <c r="K130" i="23"/>
  <c r="W89" i="23"/>
  <c r="Q89" i="23"/>
  <c r="S89" i="23" s="1"/>
  <c r="AD89" i="23" s="1"/>
  <c r="U89" i="23"/>
  <c r="AC89" i="23" s="1"/>
  <c r="L89" i="23"/>
  <c r="AB89" i="23" s="1"/>
  <c r="J89" i="23"/>
  <c r="AA89" i="23" s="1"/>
  <c r="M131" i="23"/>
  <c r="M130" i="22"/>
  <c r="F130" i="22"/>
  <c r="K129" i="22"/>
  <c r="E90" i="22"/>
  <c r="I90" i="22"/>
  <c r="G90" i="21"/>
  <c r="H90" i="21"/>
  <c r="M128" i="21"/>
  <c r="K128" i="21"/>
  <c r="F128" i="21"/>
  <c r="Y90" i="21"/>
  <c r="AE90" i="21"/>
  <c r="N129" i="3"/>
  <c r="M130" i="3"/>
  <c r="AO84" i="13"/>
  <c r="W85" i="13" s="1"/>
  <c r="AT84" i="13"/>
  <c r="AB85" i="13" s="1"/>
  <c r="AN84" i="13"/>
  <c r="V85" i="13" s="1"/>
  <c r="AR83" i="13"/>
  <c r="Z84" i="13" s="1"/>
  <c r="AS84" i="13"/>
  <c r="AA85" i="13" s="1"/>
  <c r="AP85" i="13"/>
  <c r="X86" i="13" s="1"/>
  <c r="AQ84" i="13"/>
  <c r="Y85" i="13" s="1"/>
  <c r="AM84" i="13"/>
  <c r="U85" i="13" s="1"/>
  <c r="F130" i="27" l="1"/>
  <c r="M133" i="27"/>
  <c r="D91" i="27"/>
  <c r="C90" i="27"/>
  <c r="Z90" i="27" s="1"/>
  <c r="AH90" i="27" s="1"/>
  <c r="K129" i="27"/>
  <c r="Q90" i="27"/>
  <c r="S90" i="27" s="1"/>
  <c r="AD90" i="27" s="1"/>
  <c r="AL90" i="27" s="1"/>
  <c r="W90" i="27"/>
  <c r="U90" i="27"/>
  <c r="AN90" i="27"/>
  <c r="J90" i="27"/>
  <c r="AA90" i="27" s="1"/>
  <c r="AI90" i="27" s="1"/>
  <c r="L90" i="27"/>
  <c r="AB90" i="27" s="1"/>
  <c r="AJ90" i="27" s="1"/>
  <c r="W90" i="26"/>
  <c r="U90" i="26"/>
  <c r="Q90" i="26"/>
  <c r="AN90" i="26"/>
  <c r="J90" i="26"/>
  <c r="AA90" i="26" s="1"/>
  <c r="AI90" i="26" s="1"/>
  <c r="L90" i="26"/>
  <c r="AB90" i="26" s="1"/>
  <c r="AJ90" i="26" s="1"/>
  <c r="M131" i="26"/>
  <c r="D91" i="26"/>
  <c r="C90" i="26"/>
  <c r="Z90" i="26" s="1"/>
  <c r="AH90" i="26" s="1"/>
  <c r="F129" i="26"/>
  <c r="K129" i="26"/>
  <c r="F128" i="25"/>
  <c r="G90" i="25"/>
  <c r="H90" i="25"/>
  <c r="Y90" i="25" s="1"/>
  <c r="AM90" i="25" s="1"/>
  <c r="K129" i="25"/>
  <c r="M130" i="25"/>
  <c r="D91" i="24"/>
  <c r="C90" i="24"/>
  <c r="Z90" i="24" s="1"/>
  <c r="AH90" i="24" s="1"/>
  <c r="F130" i="24"/>
  <c r="M130" i="24"/>
  <c r="K129" i="24"/>
  <c r="Q90" i="24"/>
  <c r="AN90" i="24"/>
  <c r="W90" i="24"/>
  <c r="U90" i="24"/>
  <c r="L90" i="24"/>
  <c r="AB90" i="24" s="1"/>
  <c r="AJ90" i="24" s="1"/>
  <c r="J90" i="24"/>
  <c r="AA90" i="24" s="1"/>
  <c r="AI90" i="24" s="1"/>
  <c r="S90" i="26"/>
  <c r="AD90" i="26" s="1"/>
  <c r="AL90" i="26" s="1"/>
  <c r="AE90" i="25"/>
  <c r="S90" i="24"/>
  <c r="AD90" i="24" s="1"/>
  <c r="AL90" i="24" s="1"/>
  <c r="K131" i="23"/>
  <c r="M132" i="23"/>
  <c r="E90" i="23"/>
  <c r="I90" i="23"/>
  <c r="F129" i="23"/>
  <c r="K130" i="22"/>
  <c r="F131" i="22"/>
  <c r="G90" i="22"/>
  <c r="H90" i="22"/>
  <c r="Y90" i="22" s="1"/>
  <c r="M131" i="22"/>
  <c r="AE90" i="22"/>
  <c r="K129" i="21"/>
  <c r="D91" i="21"/>
  <c r="C90" i="21"/>
  <c r="Z90" i="21" s="1"/>
  <c r="M129" i="21"/>
  <c r="Q90" i="21"/>
  <c r="S90" i="21" s="1"/>
  <c r="AD90" i="21" s="1"/>
  <c r="U90" i="21"/>
  <c r="W90" i="21"/>
  <c r="L90" i="21"/>
  <c r="AB90" i="21" s="1"/>
  <c r="J90" i="21"/>
  <c r="AA90" i="21" s="1"/>
  <c r="F129" i="21"/>
  <c r="N130" i="3"/>
  <c r="M131" i="3"/>
  <c r="AS85" i="13"/>
  <c r="AA86" i="13" s="1"/>
  <c r="AN85" i="13"/>
  <c r="V86" i="13" s="1"/>
  <c r="AR84" i="13"/>
  <c r="Z85" i="13" s="1"/>
  <c r="AM85" i="13"/>
  <c r="U86" i="13" s="1"/>
  <c r="AQ85" i="13"/>
  <c r="Y86" i="13" s="1"/>
  <c r="AO85" i="13"/>
  <c r="W86" i="13" s="1"/>
  <c r="AT85" i="13"/>
  <c r="AB86" i="13" s="1"/>
  <c r="AP86" i="13"/>
  <c r="X87" i="13" s="1"/>
  <c r="AC90" i="27" l="1"/>
  <c r="AK90" i="27" s="1"/>
  <c r="AC90" i="21"/>
  <c r="E91" i="27"/>
  <c r="I91" i="27"/>
  <c r="K130" i="27"/>
  <c r="M134" i="27"/>
  <c r="F131" i="27"/>
  <c r="M132" i="26"/>
  <c r="K130" i="26"/>
  <c r="F130" i="26"/>
  <c r="E91" i="26"/>
  <c r="I91" i="26"/>
  <c r="Q90" i="25"/>
  <c r="W90" i="25"/>
  <c r="U90" i="25"/>
  <c r="AN90" i="25"/>
  <c r="L90" i="25"/>
  <c r="AB90" i="25" s="1"/>
  <c r="AJ90" i="25" s="1"/>
  <c r="J90" i="25"/>
  <c r="AA90" i="25" s="1"/>
  <c r="AI90" i="25" s="1"/>
  <c r="M131" i="25"/>
  <c r="K130" i="25"/>
  <c r="D91" i="25"/>
  <c r="C90" i="25"/>
  <c r="Z90" i="25" s="1"/>
  <c r="AH90" i="25" s="1"/>
  <c r="F129" i="25"/>
  <c r="M131" i="24"/>
  <c r="F131" i="24"/>
  <c r="K130" i="24"/>
  <c r="E91" i="24"/>
  <c r="I91" i="24"/>
  <c r="AC90" i="26"/>
  <c r="AK90" i="26" s="1"/>
  <c r="S90" i="25"/>
  <c r="AD90" i="25" s="1"/>
  <c r="AL90" i="25" s="1"/>
  <c r="AC90" i="24"/>
  <c r="AK90" i="24" s="1"/>
  <c r="K132" i="23"/>
  <c r="G90" i="23"/>
  <c r="H90" i="23"/>
  <c r="Y90" i="23" s="1"/>
  <c r="AE90" i="23"/>
  <c r="F130" i="23"/>
  <c r="M133" i="23"/>
  <c r="M132" i="22"/>
  <c r="U90" i="22"/>
  <c r="W90" i="22"/>
  <c r="Q90" i="22"/>
  <c r="S90" i="22" s="1"/>
  <c r="AD90" i="22" s="1"/>
  <c r="L90" i="22"/>
  <c r="AB90" i="22" s="1"/>
  <c r="J90" i="22"/>
  <c r="AA90" i="22" s="1"/>
  <c r="F132" i="22"/>
  <c r="D91" i="22"/>
  <c r="C90" i="22"/>
  <c r="Z90" i="22" s="1"/>
  <c r="K131" i="22"/>
  <c r="M130" i="21"/>
  <c r="F130" i="21"/>
  <c r="E91" i="21"/>
  <c r="I91" i="21"/>
  <c r="K130" i="21"/>
  <c r="N131" i="3"/>
  <c r="M132" i="3"/>
  <c r="AP87" i="13"/>
  <c r="X88" i="13" s="1"/>
  <c r="AT86" i="13"/>
  <c r="AB87" i="13" s="1"/>
  <c r="AO86" i="13"/>
  <c r="W87" i="13" s="1"/>
  <c r="AQ86" i="13"/>
  <c r="Y87" i="13" s="1"/>
  <c r="AM86" i="13"/>
  <c r="U87" i="13" s="1"/>
  <c r="AR85" i="13"/>
  <c r="Z86" i="13" s="1"/>
  <c r="AN86" i="13"/>
  <c r="V87" i="13" s="1"/>
  <c r="AS86" i="13"/>
  <c r="AA87" i="13" s="1"/>
  <c r="AC90" i="22" l="1"/>
  <c r="K131" i="27"/>
  <c r="F132" i="27"/>
  <c r="M135" i="27"/>
  <c r="G91" i="27"/>
  <c r="H91" i="27"/>
  <c r="Y91" i="27" s="1"/>
  <c r="AM91" i="27" s="1"/>
  <c r="K131" i="26"/>
  <c r="G91" i="26"/>
  <c r="H91" i="26"/>
  <c r="Y91" i="26" s="1"/>
  <c r="AM91" i="26" s="1"/>
  <c r="F131" i="26"/>
  <c r="M133" i="26"/>
  <c r="K131" i="25"/>
  <c r="M132" i="25"/>
  <c r="F130" i="25"/>
  <c r="E91" i="25"/>
  <c r="I91" i="25"/>
  <c r="K131" i="24"/>
  <c r="F132" i="24"/>
  <c r="G91" i="24"/>
  <c r="H91" i="24"/>
  <c r="Y91" i="24" s="1"/>
  <c r="AM91" i="24" s="1"/>
  <c r="M132" i="24"/>
  <c r="AE91" i="27"/>
  <c r="AE91" i="26"/>
  <c r="AC90" i="25"/>
  <c r="AK90" i="25" s="1"/>
  <c r="AE91" i="24"/>
  <c r="F131" i="23"/>
  <c r="M134" i="23"/>
  <c r="K133" i="23"/>
  <c r="D91" i="23"/>
  <c r="C90" i="23"/>
  <c r="Z90" i="23" s="1"/>
  <c r="W90" i="23"/>
  <c r="Q90" i="23"/>
  <c r="S90" i="23" s="1"/>
  <c r="AD90" i="23" s="1"/>
  <c r="U90" i="23"/>
  <c r="J90" i="23"/>
  <c r="AA90" i="23" s="1"/>
  <c r="L90" i="23"/>
  <c r="AB90" i="23" s="1"/>
  <c r="K132" i="22"/>
  <c r="E91" i="22"/>
  <c r="I91" i="22"/>
  <c r="F133" i="22"/>
  <c r="M133" i="22"/>
  <c r="G91" i="21"/>
  <c r="H91" i="21"/>
  <c r="K131" i="21"/>
  <c r="F131" i="21"/>
  <c r="M131" i="21"/>
  <c r="Y91" i="21"/>
  <c r="AE91" i="21"/>
  <c r="N132" i="3"/>
  <c r="M133" i="3"/>
  <c r="AQ87" i="13"/>
  <c r="Y88" i="13" s="1"/>
  <c r="AO87" i="13"/>
  <c r="W88" i="13" s="1"/>
  <c r="AS87" i="13"/>
  <c r="AA88" i="13" s="1"/>
  <c r="AN87" i="13"/>
  <c r="V88" i="13" s="1"/>
  <c r="AR86" i="13"/>
  <c r="Z87" i="13" s="1"/>
  <c r="AT87" i="13"/>
  <c r="AB88" i="13" s="1"/>
  <c r="AM87" i="13"/>
  <c r="U88" i="13" s="1"/>
  <c r="AP88" i="13"/>
  <c r="X89" i="13" s="1"/>
  <c r="U91" i="27" l="1"/>
  <c r="W91" i="27"/>
  <c r="AN91" i="27"/>
  <c r="Q91" i="27"/>
  <c r="L91" i="27"/>
  <c r="AB91" i="27" s="1"/>
  <c r="AJ91" i="27" s="1"/>
  <c r="J91" i="27"/>
  <c r="AA91" i="27" s="1"/>
  <c r="AI91" i="27" s="1"/>
  <c r="M136" i="27"/>
  <c r="F133" i="27"/>
  <c r="D92" i="27"/>
  <c r="C91" i="27"/>
  <c r="Z91" i="27" s="1"/>
  <c r="AH91" i="27" s="1"/>
  <c r="K132" i="27"/>
  <c r="F132" i="26"/>
  <c r="W91" i="26"/>
  <c r="Q91" i="26"/>
  <c r="S91" i="26" s="1"/>
  <c r="AD91" i="26" s="1"/>
  <c r="AL91" i="26" s="1"/>
  <c r="U91" i="26"/>
  <c r="AN91" i="26"/>
  <c r="L91" i="26"/>
  <c r="AB91" i="26" s="1"/>
  <c r="AJ91" i="26" s="1"/>
  <c r="J91" i="26"/>
  <c r="AA91" i="26" s="1"/>
  <c r="AI91" i="26" s="1"/>
  <c r="D92" i="26"/>
  <c r="C91" i="26"/>
  <c r="Z91" i="26" s="1"/>
  <c r="AH91" i="26" s="1"/>
  <c r="K132" i="26"/>
  <c r="M134" i="26"/>
  <c r="G91" i="25"/>
  <c r="H91" i="25"/>
  <c r="Y91" i="25" s="1"/>
  <c r="AM91" i="25" s="1"/>
  <c r="F131" i="25"/>
  <c r="M133" i="25"/>
  <c r="K132" i="25"/>
  <c r="U91" i="24"/>
  <c r="W91" i="24"/>
  <c r="Q91" i="24"/>
  <c r="S91" i="24" s="1"/>
  <c r="AD91" i="24" s="1"/>
  <c r="AL91" i="24" s="1"/>
  <c r="AN91" i="24"/>
  <c r="J91" i="24"/>
  <c r="AA91" i="24" s="1"/>
  <c r="AI91" i="24" s="1"/>
  <c r="L91" i="24"/>
  <c r="D92" i="24"/>
  <c r="C91" i="24"/>
  <c r="Z91" i="24" s="1"/>
  <c r="AH91" i="24" s="1"/>
  <c r="F133" i="24"/>
  <c r="K132" i="24"/>
  <c r="M133" i="24"/>
  <c r="S91" i="27"/>
  <c r="AD91" i="27" s="1"/>
  <c r="AL91" i="27" s="1"/>
  <c r="AE91" i="25"/>
  <c r="AB91" i="24"/>
  <c r="AJ91" i="24" s="1"/>
  <c r="M135" i="23"/>
  <c r="E91" i="23"/>
  <c r="I91" i="23"/>
  <c r="AC90" i="23"/>
  <c r="K134" i="23"/>
  <c r="F132" i="23"/>
  <c r="G91" i="22"/>
  <c r="H91" i="22"/>
  <c r="Y91" i="22" s="1"/>
  <c r="M134" i="22"/>
  <c r="F134" i="22"/>
  <c r="K133" i="22"/>
  <c r="AE91" i="22"/>
  <c r="M132" i="21"/>
  <c r="F132" i="21"/>
  <c r="K132" i="21"/>
  <c r="D92" i="21"/>
  <c r="C91" i="21"/>
  <c r="Z91" i="21" s="1"/>
  <c r="U91" i="21"/>
  <c r="W91" i="21"/>
  <c r="Q91" i="21"/>
  <c r="S91" i="21" s="1"/>
  <c r="AD91" i="21" s="1"/>
  <c r="L91" i="21"/>
  <c r="AB91" i="21" s="1"/>
  <c r="J91" i="21"/>
  <c r="AA91" i="21" s="1"/>
  <c r="N133" i="3"/>
  <c r="M134" i="3"/>
  <c r="AP89" i="13"/>
  <c r="X90" i="13" s="1"/>
  <c r="AM88" i="13"/>
  <c r="U89" i="13" s="1"/>
  <c r="AQ88" i="13"/>
  <c r="Y89" i="13" s="1"/>
  <c r="AR87" i="13"/>
  <c r="Z88" i="13" s="1"/>
  <c r="AN88" i="13"/>
  <c r="V89" i="13" s="1"/>
  <c r="AS88" i="13"/>
  <c r="AA89" i="13" s="1"/>
  <c r="AO88" i="13"/>
  <c r="W89" i="13" s="1"/>
  <c r="AT88" i="13"/>
  <c r="AB89" i="13" s="1"/>
  <c r="AC91" i="27" l="1"/>
  <c r="AK91" i="27" s="1"/>
  <c r="AC91" i="24"/>
  <c r="AK91" i="24" s="1"/>
  <c r="AC91" i="21"/>
  <c r="K133" i="27"/>
  <c r="M137" i="27"/>
  <c r="E92" i="27"/>
  <c r="I92" i="27"/>
  <c r="F134" i="27"/>
  <c r="M135" i="26"/>
  <c r="K133" i="26"/>
  <c r="F133" i="26"/>
  <c r="E92" i="26"/>
  <c r="I92" i="26"/>
  <c r="K133" i="25"/>
  <c r="U91" i="25"/>
  <c r="Q91" i="25"/>
  <c r="S91" i="25" s="1"/>
  <c r="AD91" i="25" s="1"/>
  <c r="AL91" i="25" s="1"/>
  <c r="AN91" i="25"/>
  <c r="W91" i="25"/>
  <c r="L91" i="25"/>
  <c r="AB91" i="25" s="1"/>
  <c r="AJ91" i="25" s="1"/>
  <c r="J91" i="25"/>
  <c r="M134" i="25"/>
  <c r="D92" i="25"/>
  <c r="C91" i="25"/>
  <c r="Z91" i="25" s="1"/>
  <c r="AH91" i="25" s="1"/>
  <c r="F132" i="25"/>
  <c r="M134" i="24"/>
  <c r="E92" i="24"/>
  <c r="I92" i="24"/>
  <c r="K133" i="24"/>
  <c r="F134" i="24"/>
  <c r="AC91" i="26"/>
  <c r="AK91" i="26" s="1"/>
  <c r="AA91" i="25"/>
  <c r="AI91" i="25" s="1"/>
  <c r="F133" i="23"/>
  <c r="G91" i="23"/>
  <c r="H91" i="23"/>
  <c r="Y91" i="23" s="1"/>
  <c r="AE91" i="23"/>
  <c r="K135" i="23"/>
  <c r="M136" i="23"/>
  <c r="F135" i="22"/>
  <c r="D92" i="22"/>
  <c r="C91" i="22"/>
  <c r="Z91" i="22" s="1"/>
  <c r="W91" i="22"/>
  <c r="U91" i="22"/>
  <c r="Q91" i="22"/>
  <c r="S91" i="22" s="1"/>
  <c r="AD91" i="22" s="1"/>
  <c r="L91" i="22"/>
  <c r="AB91" i="22" s="1"/>
  <c r="J91" i="22"/>
  <c r="AA91" i="22" s="1"/>
  <c r="K134" i="22"/>
  <c r="M135" i="22"/>
  <c r="F133" i="21"/>
  <c r="M133" i="21"/>
  <c r="E92" i="21"/>
  <c r="I92" i="21"/>
  <c r="K133" i="21"/>
  <c r="N134" i="3"/>
  <c r="M135" i="3"/>
  <c r="AQ89" i="13"/>
  <c r="Y90" i="13" s="1"/>
  <c r="AR88" i="13"/>
  <c r="Z89" i="13" s="1"/>
  <c r="AN89" i="13"/>
  <c r="V90" i="13" s="1"/>
  <c r="AT89" i="13"/>
  <c r="AB90" i="13" s="1"/>
  <c r="AO89" i="13"/>
  <c r="W90" i="13" s="1"/>
  <c r="AP90" i="13"/>
  <c r="X91" i="13" s="1"/>
  <c r="AS89" i="13"/>
  <c r="AA90" i="13" s="1"/>
  <c r="AM89" i="13"/>
  <c r="U90" i="13" s="1"/>
  <c r="AC91" i="22" l="1"/>
  <c r="AC91" i="25"/>
  <c r="AK91" i="25" s="1"/>
  <c r="G92" i="27"/>
  <c r="H92" i="27"/>
  <c r="Y92" i="27" s="1"/>
  <c r="AM92" i="27" s="1"/>
  <c r="M138" i="27"/>
  <c r="F135" i="27"/>
  <c r="K134" i="27"/>
  <c r="F134" i="26"/>
  <c r="K134" i="26"/>
  <c r="M136" i="26"/>
  <c r="G92" i="26"/>
  <c r="H92" i="26"/>
  <c r="Y92" i="26" s="1"/>
  <c r="AM92" i="26" s="1"/>
  <c r="K134" i="25"/>
  <c r="F133" i="25"/>
  <c r="E92" i="25"/>
  <c r="I92" i="25"/>
  <c r="M135" i="25"/>
  <c r="K134" i="24"/>
  <c r="F135" i="24"/>
  <c r="G92" i="24"/>
  <c r="H92" i="24"/>
  <c r="Y92" i="24" s="1"/>
  <c r="AM92" i="24" s="1"/>
  <c r="M135" i="24"/>
  <c r="AE92" i="27"/>
  <c r="AE92" i="26"/>
  <c r="AE92" i="24"/>
  <c r="K136" i="23"/>
  <c r="D92" i="23"/>
  <c r="C91" i="23"/>
  <c r="Z91" i="23" s="1"/>
  <c r="Q91" i="23"/>
  <c r="S91" i="23" s="1"/>
  <c r="AD91" i="23" s="1"/>
  <c r="W91" i="23"/>
  <c r="U91" i="23"/>
  <c r="L91" i="23"/>
  <c r="AB91" i="23" s="1"/>
  <c r="J91" i="23"/>
  <c r="AA91" i="23" s="1"/>
  <c r="M137" i="23"/>
  <c r="F134" i="23"/>
  <c r="F136" i="22"/>
  <c r="E92" i="22"/>
  <c r="I92" i="22"/>
  <c r="M136" i="22"/>
  <c r="K135" i="22"/>
  <c r="M134" i="21"/>
  <c r="K134" i="21"/>
  <c r="G92" i="21"/>
  <c r="H92" i="21"/>
  <c r="Y92" i="21" s="1"/>
  <c r="F134" i="21"/>
  <c r="AE92" i="21"/>
  <c r="N135" i="3"/>
  <c r="M136" i="3"/>
  <c r="AT90" i="13"/>
  <c r="AB91" i="13" s="1"/>
  <c r="AM90" i="13"/>
  <c r="U91" i="13" s="1"/>
  <c r="AO90" i="13"/>
  <c r="W91" i="13" s="1"/>
  <c r="AN90" i="13"/>
  <c r="V91" i="13" s="1"/>
  <c r="AS90" i="13"/>
  <c r="AA91" i="13" s="1"/>
  <c r="AQ90" i="13"/>
  <c r="Y91" i="13" s="1"/>
  <c r="AP91" i="13"/>
  <c r="X92" i="13" s="1"/>
  <c r="AR89" i="13"/>
  <c r="Z90" i="13" s="1"/>
  <c r="AC91" i="23" l="1"/>
  <c r="F136" i="27"/>
  <c r="M139" i="27"/>
  <c r="D93" i="27"/>
  <c r="C92" i="27"/>
  <c r="K135" i="27"/>
  <c r="U92" i="27"/>
  <c r="AN92" i="27"/>
  <c r="Q92" i="27"/>
  <c r="S92" i="27" s="1"/>
  <c r="AD92" i="27" s="1"/>
  <c r="AL92" i="27" s="1"/>
  <c r="W92" i="27"/>
  <c r="J92" i="27"/>
  <c r="AA92" i="27" s="1"/>
  <c r="AI92" i="27" s="1"/>
  <c r="L92" i="27"/>
  <c r="AB92" i="27" s="1"/>
  <c r="AJ92" i="27" s="1"/>
  <c r="M137" i="26"/>
  <c r="D93" i="26"/>
  <c r="C92" i="26"/>
  <c r="Z92" i="26" s="1"/>
  <c r="AH92" i="26" s="1"/>
  <c r="K135" i="26"/>
  <c r="F135" i="26"/>
  <c r="W92" i="26"/>
  <c r="U92" i="26"/>
  <c r="AC92" i="26" s="1"/>
  <c r="AK92" i="26" s="1"/>
  <c r="Q92" i="26"/>
  <c r="S92" i="26" s="1"/>
  <c r="AD92" i="26" s="1"/>
  <c r="AL92" i="26" s="1"/>
  <c r="AN92" i="26"/>
  <c r="L92" i="26"/>
  <c r="AB92" i="26" s="1"/>
  <c r="AJ92" i="26" s="1"/>
  <c r="J92" i="26"/>
  <c r="AA92" i="26" s="1"/>
  <c r="AI92" i="26" s="1"/>
  <c r="M136" i="25"/>
  <c r="F134" i="25"/>
  <c r="G92" i="25"/>
  <c r="H92" i="25"/>
  <c r="Y92" i="25" s="1"/>
  <c r="AM92" i="25" s="1"/>
  <c r="K135" i="25"/>
  <c r="M136" i="24"/>
  <c r="W92" i="24"/>
  <c r="Q92" i="24"/>
  <c r="S92" i="24" s="1"/>
  <c r="AD92" i="24" s="1"/>
  <c r="AL92" i="24" s="1"/>
  <c r="AN92" i="24"/>
  <c r="U92" i="24"/>
  <c r="L92" i="24"/>
  <c r="AB92" i="24" s="1"/>
  <c r="AJ92" i="24" s="1"/>
  <c r="J92" i="24"/>
  <c r="AA92" i="24" s="1"/>
  <c r="AI92" i="24" s="1"/>
  <c r="D93" i="24"/>
  <c r="C92" i="24"/>
  <c r="Z92" i="24" s="1"/>
  <c r="AH92" i="24" s="1"/>
  <c r="K135" i="24"/>
  <c r="F136" i="24"/>
  <c r="Z92" i="27"/>
  <c r="AH92" i="27" s="1"/>
  <c r="AE92" i="25"/>
  <c r="F135" i="23"/>
  <c r="K137" i="23"/>
  <c r="M138" i="23"/>
  <c r="E92" i="23"/>
  <c r="I92" i="23"/>
  <c r="K136" i="22"/>
  <c r="G92" i="22"/>
  <c r="H92" i="22"/>
  <c r="Y92" i="22" s="1"/>
  <c r="F137" i="22"/>
  <c r="M137" i="22"/>
  <c r="AE92" i="22"/>
  <c r="Q92" i="21"/>
  <c r="S92" i="21" s="1"/>
  <c r="AD92" i="21" s="1"/>
  <c r="U92" i="21"/>
  <c r="W92" i="21"/>
  <c r="L92" i="21"/>
  <c r="AB92" i="21" s="1"/>
  <c r="J92" i="21"/>
  <c r="AA92" i="21" s="1"/>
  <c r="D93" i="21"/>
  <c r="C92" i="21"/>
  <c r="Z92" i="21" s="1"/>
  <c r="K135" i="21"/>
  <c r="F135" i="21"/>
  <c r="M135" i="21"/>
  <c r="N136" i="3"/>
  <c r="M137" i="3"/>
  <c r="AO91" i="13"/>
  <c r="W92" i="13" s="1"/>
  <c r="AS91" i="13"/>
  <c r="AA92" i="13" s="1"/>
  <c r="AN91" i="13"/>
  <c r="V92" i="13" s="1"/>
  <c r="AR90" i="13"/>
  <c r="Z91" i="13" s="1"/>
  <c r="AP92" i="13"/>
  <c r="X93" i="13" s="1"/>
  <c r="AT91" i="13"/>
  <c r="AB92" i="13" s="1"/>
  <c r="AQ91" i="13"/>
  <c r="Y92" i="13" s="1"/>
  <c r="AM91" i="13"/>
  <c r="U92" i="13" s="1"/>
  <c r="E93" i="27" l="1"/>
  <c r="I93" i="27"/>
  <c r="M140" i="27"/>
  <c r="F137" i="27"/>
  <c r="K136" i="27"/>
  <c r="K136" i="26"/>
  <c r="E93" i="26"/>
  <c r="I93" i="26"/>
  <c r="M138" i="26"/>
  <c r="F136" i="26"/>
  <c r="K136" i="25"/>
  <c r="D93" i="25"/>
  <c r="C92" i="25"/>
  <c r="Z92" i="25" s="1"/>
  <c r="AH92" i="25" s="1"/>
  <c r="F135" i="25"/>
  <c r="U92" i="25"/>
  <c r="W92" i="25"/>
  <c r="Q92" i="25"/>
  <c r="S92" i="25" s="1"/>
  <c r="AD92" i="25" s="1"/>
  <c r="AL92" i="25" s="1"/>
  <c r="AN92" i="25"/>
  <c r="J92" i="25"/>
  <c r="AA92" i="25" s="1"/>
  <c r="AI92" i="25" s="1"/>
  <c r="L92" i="25"/>
  <c r="AB92" i="25" s="1"/>
  <c r="AJ92" i="25" s="1"/>
  <c r="M137" i="25"/>
  <c r="F137" i="24"/>
  <c r="K136" i="24"/>
  <c r="E93" i="24"/>
  <c r="I93" i="24"/>
  <c r="M137" i="24"/>
  <c r="AC92" i="27"/>
  <c r="AK92" i="27" s="1"/>
  <c r="AC92" i="24"/>
  <c r="AK92" i="24" s="1"/>
  <c r="F136" i="23"/>
  <c r="G92" i="23"/>
  <c r="H92" i="23"/>
  <c r="Y92" i="23" s="1"/>
  <c r="AE92" i="23"/>
  <c r="M139" i="23"/>
  <c r="K138" i="23"/>
  <c r="K137" i="22"/>
  <c r="D93" i="22"/>
  <c r="C92" i="22"/>
  <c r="Z92" i="22" s="1"/>
  <c r="M138" i="22"/>
  <c r="F138" i="22"/>
  <c r="W92" i="22"/>
  <c r="Q92" i="22"/>
  <c r="S92" i="22" s="1"/>
  <c r="AD92" i="22" s="1"/>
  <c r="U92" i="22"/>
  <c r="L92" i="22"/>
  <c r="AB92" i="22" s="1"/>
  <c r="J92" i="22"/>
  <c r="AA92" i="22" s="1"/>
  <c r="M136" i="21"/>
  <c r="E93" i="21"/>
  <c r="I93" i="21"/>
  <c r="K136" i="21"/>
  <c r="F136" i="21"/>
  <c r="AC92" i="21"/>
  <c r="N137" i="3"/>
  <c r="M138" i="3"/>
  <c r="AM92" i="13"/>
  <c r="U93" i="13" s="1"/>
  <c r="AQ92" i="13"/>
  <c r="Y93" i="13" s="1"/>
  <c r="AT92" i="13"/>
  <c r="AB93" i="13" s="1"/>
  <c r="AP93" i="13"/>
  <c r="X94" i="13" s="1"/>
  <c r="AR91" i="13"/>
  <c r="Z92" i="13" s="1"/>
  <c r="AN92" i="13"/>
  <c r="V93" i="13" s="1"/>
  <c r="AS92" i="13"/>
  <c r="AA93" i="13" s="1"/>
  <c r="AO92" i="13"/>
  <c r="W93" i="13" s="1"/>
  <c r="AC92" i="25" l="1"/>
  <c r="AK92" i="25" s="1"/>
  <c r="F138" i="27"/>
  <c r="M141" i="27"/>
  <c r="K137" i="27"/>
  <c r="G93" i="27"/>
  <c r="H93" i="27"/>
  <c r="Y93" i="27" s="1"/>
  <c r="AM93" i="27" s="1"/>
  <c r="G93" i="26"/>
  <c r="H93" i="26"/>
  <c r="Y93" i="26" s="1"/>
  <c r="AM93" i="26" s="1"/>
  <c r="F137" i="26"/>
  <c r="K137" i="26"/>
  <c r="M139" i="26"/>
  <c r="M138" i="25"/>
  <c r="F136" i="25"/>
  <c r="E93" i="25"/>
  <c r="I93" i="25"/>
  <c r="K137" i="25"/>
  <c r="G93" i="24"/>
  <c r="H93" i="24"/>
  <c r="Y93" i="24" s="1"/>
  <c r="AM93" i="24" s="1"/>
  <c r="M138" i="24"/>
  <c r="K137" i="24"/>
  <c r="F138" i="24"/>
  <c r="AE93" i="27"/>
  <c r="AE93" i="26"/>
  <c r="AE93" i="24"/>
  <c r="W92" i="23"/>
  <c r="U92" i="23"/>
  <c r="Q92" i="23"/>
  <c r="S92" i="23" s="1"/>
  <c r="AD92" i="23" s="1"/>
  <c r="L92" i="23"/>
  <c r="AB92" i="23" s="1"/>
  <c r="J92" i="23"/>
  <c r="AA92" i="23" s="1"/>
  <c r="M140" i="23"/>
  <c r="D93" i="23"/>
  <c r="C92" i="23"/>
  <c r="Z92" i="23" s="1"/>
  <c r="K139" i="23"/>
  <c r="F137" i="23"/>
  <c r="M139" i="22"/>
  <c r="E93" i="22"/>
  <c r="I93" i="22"/>
  <c r="K138" i="22"/>
  <c r="F139" i="22"/>
  <c r="AC92" i="22"/>
  <c r="F137" i="21"/>
  <c r="G93" i="21"/>
  <c r="H93" i="21"/>
  <c r="Y93" i="21" s="1"/>
  <c r="M137" i="21"/>
  <c r="K137" i="21"/>
  <c r="AE93" i="21"/>
  <c r="N138" i="3"/>
  <c r="M139" i="3"/>
  <c r="AN93" i="13"/>
  <c r="V94" i="13" s="1"/>
  <c r="AP94" i="13"/>
  <c r="X95" i="13" s="1"/>
  <c r="AQ93" i="13"/>
  <c r="Y94" i="13" s="1"/>
  <c r="AO93" i="13"/>
  <c r="W94" i="13" s="1"/>
  <c r="AS93" i="13"/>
  <c r="AA94" i="13" s="1"/>
  <c r="AR92" i="13"/>
  <c r="Z93" i="13" s="1"/>
  <c r="AT93" i="13"/>
  <c r="AB94" i="13" s="1"/>
  <c r="AM93" i="13"/>
  <c r="U94" i="13" s="1"/>
  <c r="AC92" i="23" l="1"/>
  <c r="K138" i="27"/>
  <c r="M142" i="27"/>
  <c r="D94" i="27"/>
  <c r="C93" i="27"/>
  <c r="Z93" i="27" s="1"/>
  <c r="AH93" i="27" s="1"/>
  <c r="U93" i="27"/>
  <c r="W93" i="27"/>
  <c r="Q93" i="27"/>
  <c r="S93" i="27" s="1"/>
  <c r="AD93" i="27" s="1"/>
  <c r="AL93" i="27" s="1"/>
  <c r="AN93" i="27"/>
  <c r="L93" i="27"/>
  <c r="AB93" i="27" s="1"/>
  <c r="AJ93" i="27" s="1"/>
  <c r="J93" i="27"/>
  <c r="AA93" i="27" s="1"/>
  <c r="AI93" i="27" s="1"/>
  <c r="F139" i="27"/>
  <c r="K138" i="26"/>
  <c r="D94" i="26"/>
  <c r="C93" i="26"/>
  <c r="Z93" i="26" s="1"/>
  <c r="AH93" i="26" s="1"/>
  <c r="F138" i="26"/>
  <c r="U93" i="26"/>
  <c r="W93" i="26"/>
  <c r="AN93" i="26"/>
  <c r="Q93" i="26"/>
  <c r="S93" i="26" s="1"/>
  <c r="AD93" i="26" s="1"/>
  <c r="AL93" i="26" s="1"/>
  <c r="L93" i="26"/>
  <c r="AB93" i="26" s="1"/>
  <c r="AJ93" i="26" s="1"/>
  <c r="J93" i="26"/>
  <c r="AA93" i="26" s="1"/>
  <c r="AI93" i="26" s="1"/>
  <c r="M140" i="26"/>
  <c r="F137" i="25"/>
  <c r="K138" i="25"/>
  <c r="M139" i="25"/>
  <c r="G93" i="25"/>
  <c r="H93" i="25"/>
  <c r="Y93" i="25" s="1"/>
  <c r="AM93" i="25" s="1"/>
  <c r="K138" i="24"/>
  <c r="D94" i="24"/>
  <c r="C93" i="24"/>
  <c r="Z93" i="24" s="1"/>
  <c r="AH93" i="24" s="1"/>
  <c r="M139" i="24"/>
  <c r="W93" i="24"/>
  <c r="Q93" i="24"/>
  <c r="S93" i="24" s="1"/>
  <c r="AD93" i="24" s="1"/>
  <c r="AL93" i="24" s="1"/>
  <c r="U93" i="24"/>
  <c r="AN93" i="24"/>
  <c r="L93" i="24"/>
  <c r="AB93" i="24" s="1"/>
  <c r="AJ93" i="24" s="1"/>
  <c r="J93" i="24"/>
  <c r="AA93" i="24" s="1"/>
  <c r="AI93" i="24" s="1"/>
  <c r="F139" i="24"/>
  <c r="AE93" i="25"/>
  <c r="E93" i="23"/>
  <c r="I93" i="23"/>
  <c r="M141" i="23"/>
  <c r="F138" i="23"/>
  <c r="K140" i="23"/>
  <c r="K139" i="22"/>
  <c r="M140" i="22"/>
  <c r="F140" i="22"/>
  <c r="G93" i="22"/>
  <c r="H93" i="22"/>
  <c r="Y93" i="22" s="1"/>
  <c r="AE93" i="22"/>
  <c r="M138" i="21"/>
  <c r="D94" i="21"/>
  <c r="C93" i="21"/>
  <c r="Z93" i="21" s="1"/>
  <c r="U93" i="21"/>
  <c r="Q93" i="21"/>
  <c r="S93" i="21" s="1"/>
  <c r="AD93" i="21" s="1"/>
  <c r="W93" i="21"/>
  <c r="L93" i="21"/>
  <c r="AB93" i="21" s="1"/>
  <c r="J93" i="21"/>
  <c r="AA93" i="21" s="1"/>
  <c r="F138" i="21"/>
  <c r="K138" i="21"/>
  <c r="N139" i="3"/>
  <c r="M140" i="3"/>
  <c r="AS94" i="13"/>
  <c r="AA95" i="13" s="1"/>
  <c r="AQ94" i="13"/>
  <c r="Y95" i="13" s="1"/>
  <c r="AO94" i="13"/>
  <c r="W95" i="13" s="1"/>
  <c r="AM94" i="13"/>
  <c r="U95" i="13" s="1"/>
  <c r="AT94" i="13"/>
  <c r="AB95" i="13" s="1"/>
  <c r="AN94" i="13"/>
  <c r="V95" i="13" s="1"/>
  <c r="AP95" i="13"/>
  <c r="X96" i="13" s="1"/>
  <c r="AR93" i="13"/>
  <c r="Z94" i="13" s="1"/>
  <c r="AC93" i="24" l="1"/>
  <c r="AK93" i="24" s="1"/>
  <c r="AC93" i="27"/>
  <c r="AK93" i="27" s="1"/>
  <c r="F140" i="27"/>
  <c r="E94" i="27"/>
  <c r="I94" i="27"/>
  <c r="M143" i="27"/>
  <c r="K139" i="27"/>
  <c r="M141" i="26"/>
  <c r="F139" i="26"/>
  <c r="E94" i="26"/>
  <c r="I94" i="26"/>
  <c r="K139" i="26"/>
  <c r="M140" i="25"/>
  <c r="D94" i="25"/>
  <c r="C93" i="25"/>
  <c r="Z93" i="25" s="1"/>
  <c r="AH93" i="25" s="1"/>
  <c r="W93" i="25"/>
  <c r="Q93" i="25"/>
  <c r="S93" i="25" s="1"/>
  <c r="AD93" i="25" s="1"/>
  <c r="AL93" i="25" s="1"/>
  <c r="U93" i="25"/>
  <c r="AN93" i="25"/>
  <c r="J93" i="25"/>
  <c r="L93" i="25"/>
  <c r="AB93" i="25" s="1"/>
  <c r="AJ93" i="25" s="1"/>
  <c r="K139" i="25"/>
  <c r="F138" i="25"/>
  <c r="F140" i="24"/>
  <c r="M140" i="24"/>
  <c r="E94" i="24"/>
  <c r="I94" i="24"/>
  <c r="K139" i="24"/>
  <c r="AC93" i="26"/>
  <c r="AK93" i="26" s="1"/>
  <c r="AA93" i="25"/>
  <c r="AI93" i="25" s="1"/>
  <c r="K141" i="23"/>
  <c r="F139" i="23"/>
  <c r="M142" i="23"/>
  <c r="G93" i="23"/>
  <c r="H93" i="23"/>
  <c r="Y93" i="23" s="1"/>
  <c r="AE93" i="23"/>
  <c r="D94" i="22"/>
  <c r="C93" i="22"/>
  <c r="Z93" i="22" s="1"/>
  <c r="K140" i="22"/>
  <c r="U93" i="22"/>
  <c r="W93" i="22"/>
  <c r="Q93" i="22"/>
  <c r="L93" i="22"/>
  <c r="AB93" i="22" s="1"/>
  <c r="J93" i="22"/>
  <c r="AA93" i="22" s="1"/>
  <c r="F141" i="22"/>
  <c r="M141" i="22"/>
  <c r="S93" i="22"/>
  <c r="AD93" i="22" s="1"/>
  <c r="K139" i="21"/>
  <c r="F139" i="21"/>
  <c r="E94" i="21"/>
  <c r="I94" i="21"/>
  <c r="M139" i="21"/>
  <c r="AC93" i="21"/>
  <c r="N140" i="3"/>
  <c r="M141" i="3"/>
  <c r="AR94" i="13"/>
  <c r="Z95" i="13" s="1"/>
  <c r="AP96" i="13"/>
  <c r="X97" i="13" s="1"/>
  <c r="AN95" i="13"/>
  <c r="V96" i="13" s="1"/>
  <c r="AT95" i="13"/>
  <c r="AB96" i="13" s="1"/>
  <c r="AM95" i="13"/>
  <c r="U96" i="13" s="1"/>
  <c r="AO95" i="13"/>
  <c r="W96" i="13" s="1"/>
  <c r="AQ95" i="13"/>
  <c r="Y96" i="13" s="1"/>
  <c r="AS95" i="13"/>
  <c r="AA96" i="13" s="1"/>
  <c r="AC93" i="25" l="1"/>
  <c r="AK93" i="25" s="1"/>
  <c r="K140" i="27"/>
  <c r="G94" i="27"/>
  <c r="H94" i="27"/>
  <c r="Y94" i="27" s="1"/>
  <c r="AM94" i="27" s="1"/>
  <c r="F141" i="27"/>
  <c r="M144" i="27"/>
  <c r="G94" i="26"/>
  <c r="H94" i="26"/>
  <c r="Y94" i="26" s="1"/>
  <c r="AM94" i="26" s="1"/>
  <c r="F140" i="26"/>
  <c r="K140" i="26"/>
  <c r="M142" i="26"/>
  <c r="F139" i="25"/>
  <c r="K140" i="25"/>
  <c r="E94" i="25"/>
  <c r="I94" i="25"/>
  <c r="M141" i="25"/>
  <c r="G94" i="24"/>
  <c r="H94" i="24"/>
  <c r="K140" i="24"/>
  <c r="M141" i="24"/>
  <c r="F141" i="24"/>
  <c r="AE94" i="27"/>
  <c r="AE94" i="26"/>
  <c r="Y94" i="24"/>
  <c r="AM94" i="24" s="1"/>
  <c r="AE94" i="24"/>
  <c r="F140" i="23"/>
  <c r="M143" i="23"/>
  <c r="D94" i="23"/>
  <c r="C93" i="23"/>
  <c r="Z93" i="23" s="1"/>
  <c r="K142" i="23"/>
  <c r="U93" i="23"/>
  <c r="Q93" i="23"/>
  <c r="S93" i="23" s="1"/>
  <c r="AD93" i="23" s="1"/>
  <c r="W93" i="23"/>
  <c r="J93" i="23"/>
  <c r="AA93" i="23" s="1"/>
  <c r="L93" i="23"/>
  <c r="AB93" i="23" s="1"/>
  <c r="E94" i="22"/>
  <c r="I94" i="22"/>
  <c r="M142" i="22"/>
  <c r="F142" i="22"/>
  <c r="K141" i="22"/>
  <c r="AC93" i="22"/>
  <c r="G94" i="21"/>
  <c r="H94" i="21"/>
  <c r="Y94" i="21" s="1"/>
  <c r="F140" i="21"/>
  <c r="M140" i="21"/>
  <c r="K140" i="21"/>
  <c r="AE94" i="21"/>
  <c r="N141" i="3"/>
  <c r="M142" i="3"/>
  <c r="AQ96" i="13"/>
  <c r="Y97" i="13" s="1"/>
  <c r="AM96" i="13"/>
  <c r="U97" i="13" s="1"/>
  <c r="AO96" i="13"/>
  <c r="W97" i="13" s="1"/>
  <c r="AT96" i="13"/>
  <c r="AB97" i="13" s="1"/>
  <c r="AP97" i="13"/>
  <c r="X98" i="13" s="1"/>
  <c r="AS96" i="13"/>
  <c r="AA97" i="13" s="1"/>
  <c r="AR95" i="13"/>
  <c r="Z96" i="13" s="1"/>
  <c r="AN96" i="13"/>
  <c r="V97" i="13" s="1"/>
  <c r="AC93" i="23" l="1"/>
  <c r="M145" i="27"/>
  <c r="F142" i="27"/>
  <c r="Q94" i="27"/>
  <c r="S94" i="27" s="1"/>
  <c r="AD94" i="27" s="1"/>
  <c r="AL94" i="27" s="1"/>
  <c r="AN94" i="27"/>
  <c r="U94" i="27"/>
  <c r="W94" i="27"/>
  <c r="L94" i="27"/>
  <c r="AB94" i="27" s="1"/>
  <c r="AJ94" i="27" s="1"/>
  <c r="J94" i="27"/>
  <c r="AA94" i="27" s="1"/>
  <c r="AI94" i="27" s="1"/>
  <c r="D95" i="27"/>
  <c r="C94" i="27"/>
  <c r="Z94" i="27" s="1"/>
  <c r="AH94" i="27" s="1"/>
  <c r="K141" i="27"/>
  <c r="K141" i="26"/>
  <c r="F141" i="26"/>
  <c r="D95" i="26"/>
  <c r="C94" i="26"/>
  <c r="Z94" i="26" s="1"/>
  <c r="AH94" i="26" s="1"/>
  <c r="W94" i="26"/>
  <c r="U94" i="26"/>
  <c r="Q94" i="26"/>
  <c r="S94" i="26" s="1"/>
  <c r="AD94" i="26" s="1"/>
  <c r="AL94" i="26" s="1"/>
  <c r="AN94" i="26"/>
  <c r="J94" i="26"/>
  <c r="AA94" i="26" s="1"/>
  <c r="AI94" i="26" s="1"/>
  <c r="L94" i="26"/>
  <c r="AB94" i="26" s="1"/>
  <c r="AJ94" i="26" s="1"/>
  <c r="M143" i="26"/>
  <c r="F140" i="25"/>
  <c r="M142" i="25"/>
  <c r="K141" i="25"/>
  <c r="G94" i="25"/>
  <c r="H94" i="25"/>
  <c r="Y94" i="25" s="1"/>
  <c r="AM94" i="25" s="1"/>
  <c r="F142" i="24"/>
  <c r="M142" i="24"/>
  <c r="D95" i="24"/>
  <c r="C94" i="24"/>
  <c r="Z94" i="24" s="1"/>
  <c r="AH94" i="24" s="1"/>
  <c r="K141" i="24"/>
  <c r="U94" i="24"/>
  <c r="Q94" i="24"/>
  <c r="S94" i="24" s="1"/>
  <c r="AD94" i="24" s="1"/>
  <c r="AL94" i="24" s="1"/>
  <c r="W94" i="24"/>
  <c r="AN94" i="24"/>
  <c r="J94" i="24"/>
  <c r="AA94" i="24" s="1"/>
  <c r="AI94" i="24" s="1"/>
  <c r="L94" i="24"/>
  <c r="AB94" i="24" s="1"/>
  <c r="AJ94" i="24" s="1"/>
  <c r="AE94" i="25"/>
  <c r="K143" i="23"/>
  <c r="E94" i="23"/>
  <c r="I94" i="23"/>
  <c r="M144" i="23"/>
  <c r="F141" i="23"/>
  <c r="M143" i="22"/>
  <c r="K142" i="22"/>
  <c r="G94" i="22"/>
  <c r="H94" i="22"/>
  <c r="Y94" i="22" s="1"/>
  <c r="F143" i="22"/>
  <c r="AE94" i="22"/>
  <c r="K141" i="21"/>
  <c r="M141" i="21"/>
  <c r="F141" i="21"/>
  <c r="D95" i="21"/>
  <c r="C94" i="21"/>
  <c r="Z94" i="21" s="1"/>
  <c r="W94" i="21"/>
  <c r="Q94" i="21"/>
  <c r="S94" i="21" s="1"/>
  <c r="AD94" i="21" s="1"/>
  <c r="U94" i="21"/>
  <c r="J94" i="21"/>
  <c r="AA94" i="21" s="1"/>
  <c r="L94" i="21"/>
  <c r="AB94" i="21" s="1"/>
  <c r="N142" i="3"/>
  <c r="M143" i="3"/>
  <c r="AP98" i="13"/>
  <c r="X99" i="13" s="1"/>
  <c r="AT97" i="13"/>
  <c r="AB98" i="13" s="1"/>
  <c r="AO97" i="13"/>
  <c r="W98" i="13" s="1"/>
  <c r="AN97" i="13"/>
  <c r="V98" i="13" s="1"/>
  <c r="AR96" i="13"/>
  <c r="Z97" i="13" s="1"/>
  <c r="AQ97" i="13"/>
  <c r="Y98" i="13" s="1"/>
  <c r="AS97" i="13"/>
  <c r="AA98" i="13" s="1"/>
  <c r="AM97" i="13"/>
  <c r="U98" i="13" s="1"/>
  <c r="K142" i="27" l="1"/>
  <c r="E95" i="27"/>
  <c r="I95" i="27"/>
  <c r="F143" i="27"/>
  <c r="M146" i="27"/>
  <c r="M144" i="26"/>
  <c r="E95" i="26"/>
  <c r="I95" i="26"/>
  <c r="F142" i="26"/>
  <c r="K142" i="26"/>
  <c r="M143" i="25"/>
  <c r="F141" i="25"/>
  <c r="Q94" i="25"/>
  <c r="S94" i="25" s="1"/>
  <c r="AD94" i="25" s="1"/>
  <c r="AL94" i="25" s="1"/>
  <c r="U94" i="25"/>
  <c r="W94" i="25"/>
  <c r="AN94" i="25"/>
  <c r="J94" i="25"/>
  <c r="AA94" i="25" s="1"/>
  <c r="AI94" i="25" s="1"/>
  <c r="L94" i="25"/>
  <c r="AB94" i="25" s="1"/>
  <c r="AJ94" i="25" s="1"/>
  <c r="K142" i="25"/>
  <c r="D95" i="25"/>
  <c r="C94" i="25"/>
  <c r="Z94" i="25" s="1"/>
  <c r="AH94" i="25" s="1"/>
  <c r="K142" i="24"/>
  <c r="E95" i="24"/>
  <c r="I95" i="24"/>
  <c r="M143" i="24"/>
  <c r="F143" i="24"/>
  <c r="AC94" i="27"/>
  <c r="AK94" i="27" s="1"/>
  <c r="AC94" i="26"/>
  <c r="AK94" i="26" s="1"/>
  <c r="AC94" i="24"/>
  <c r="AK94" i="24" s="1"/>
  <c r="F142" i="23"/>
  <c r="M145" i="23"/>
  <c r="K144" i="23"/>
  <c r="G94" i="23"/>
  <c r="H94" i="23"/>
  <c r="Y94" i="23" s="1"/>
  <c r="AE94" i="23"/>
  <c r="M144" i="22"/>
  <c r="D95" i="22"/>
  <c r="C94" i="22"/>
  <c r="Z94" i="22" s="1"/>
  <c r="F144" i="22"/>
  <c r="K143" i="22"/>
  <c r="U94" i="22"/>
  <c r="W94" i="22"/>
  <c r="Q94" i="22"/>
  <c r="S94" i="22" s="1"/>
  <c r="AD94" i="22" s="1"/>
  <c r="L94" i="22"/>
  <c r="AB94" i="22" s="1"/>
  <c r="J94" i="22"/>
  <c r="AA94" i="22" s="1"/>
  <c r="E95" i="21"/>
  <c r="I95" i="21"/>
  <c r="F142" i="21"/>
  <c r="M142" i="21"/>
  <c r="K142" i="21"/>
  <c r="AC94" i="21"/>
  <c r="N143" i="3"/>
  <c r="M144" i="3"/>
  <c r="AP99" i="13"/>
  <c r="X100" i="13" s="1"/>
  <c r="AS98" i="13"/>
  <c r="AA99" i="13" s="1"/>
  <c r="AQ98" i="13"/>
  <c r="Y99" i="13" s="1"/>
  <c r="AR97" i="13"/>
  <c r="Z98" i="13" s="1"/>
  <c r="AN98" i="13"/>
  <c r="V99" i="13" s="1"/>
  <c r="AO98" i="13"/>
  <c r="W99" i="13" s="1"/>
  <c r="AT98" i="13"/>
  <c r="AB99" i="13" s="1"/>
  <c r="AM98" i="13"/>
  <c r="U99" i="13" s="1"/>
  <c r="AC94" i="25" l="1"/>
  <c r="AK94" i="25" s="1"/>
  <c r="G95" i="27"/>
  <c r="H95" i="27"/>
  <c r="Y95" i="27" s="1"/>
  <c r="AM95" i="27" s="1"/>
  <c r="M147" i="27"/>
  <c r="K143" i="27"/>
  <c r="F144" i="27"/>
  <c r="K143" i="26"/>
  <c r="G95" i="26"/>
  <c r="H95" i="26"/>
  <c r="Y95" i="26" s="1"/>
  <c r="AM95" i="26" s="1"/>
  <c r="M145" i="26"/>
  <c r="F143" i="26"/>
  <c r="K143" i="25"/>
  <c r="F142" i="25"/>
  <c r="M144" i="25"/>
  <c r="E95" i="25"/>
  <c r="I95" i="25"/>
  <c r="F144" i="24"/>
  <c r="G95" i="24"/>
  <c r="H95" i="24"/>
  <c r="Y95" i="24" s="1"/>
  <c r="AM95" i="24" s="1"/>
  <c r="M144" i="24"/>
  <c r="K143" i="24"/>
  <c r="AE95" i="27"/>
  <c r="AE95" i="26"/>
  <c r="AE95" i="24"/>
  <c r="D95" i="23"/>
  <c r="C94" i="23"/>
  <c r="Z94" i="23" s="1"/>
  <c r="F143" i="23"/>
  <c r="W94" i="23"/>
  <c r="Q94" i="23"/>
  <c r="S94" i="23" s="1"/>
  <c r="AD94" i="23" s="1"/>
  <c r="U94" i="23"/>
  <c r="AC94" i="23" s="1"/>
  <c r="L94" i="23"/>
  <c r="AB94" i="23" s="1"/>
  <c r="J94" i="23"/>
  <c r="AA94" i="23" s="1"/>
  <c r="K145" i="23"/>
  <c r="M146" i="23"/>
  <c r="F145" i="22"/>
  <c r="E95" i="22"/>
  <c r="I95" i="22"/>
  <c r="K144" i="22"/>
  <c r="M145" i="22"/>
  <c r="AC94" i="22"/>
  <c r="M143" i="21"/>
  <c r="F143" i="21"/>
  <c r="K143" i="21"/>
  <c r="G95" i="21"/>
  <c r="H95" i="21"/>
  <c r="Y95" i="21" s="1"/>
  <c r="AE95" i="21"/>
  <c r="N144" i="3"/>
  <c r="M145" i="3"/>
  <c r="AT99" i="13"/>
  <c r="AB100" i="13" s="1"/>
  <c r="AO99" i="13"/>
  <c r="W100" i="13" s="1"/>
  <c r="AN99" i="13"/>
  <c r="V100" i="13" s="1"/>
  <c r="AQ99" i="13"/>
  <c r="Y100" i="13" s="1"/>
  <c r="AS99" i="13"/>
  <c r="AA100" i="13" s="1"/>
  <c r="AM99" i="13"/>
  <c r="U100" i="13"/>
  <c r="AP100" i="13"/>
  <c r="X101" i="13" s="1"/>
  <c r="AR98" i="13"/>
  <c r="Z99" i="13" s="1"/>
  <c r="K144" i="27" l="1"/>
  <c r="M148" i="27"/>
  <c r="D96" i="27"/>
  <c r="C95" i="27"/>
  <c r="Z95" i="27" s="1"/>
  <c r="AH95" i="27" s="1"/>
  <c r="F145" i="27"/>
  <c r="U95" i="27"/>
  <c r="Q95" i="27"/>
  <c r="S95" i="27" s="1"/>
  <c r="AD95" i="27" s="1"/>
  <c r="AL95" i="27" s="1"/>
  <c r="W95" i="27"/>
  <c r="AN95" i="27"/>
  <c r="L95" i="27"/>
  <c r="AB95" i="27" s="1"/>
  <c r="AJ95" i="27" s="1"/>
  <c r="J95" i="27"/>
  <c r="AA95" i="27" s="1"/>
  <c r="AI95" i="27" s="1"/>
  <c r="M146" i="26"/>
  <c r="W95" i="26"/>
  <c r="Q95" i="26"/>
  <c r="S95" i="26" s="1"/>
  <c r="AD95" i="26" s="1"/>
  <c r="AL95" i="26" s="1"/>
  <c r="U95" i="26"/>
  <c r="AN95" i="26"/>
  <c r="L95" i="26"/>
  <c r="AB95" i="26" s="1"/>
  <c r="AJ95" i="26" s="1"/>
  <c r="J95" i="26"/>
  <c r="AA95" i="26" s="1"/>
  <c r="AI95" i="26" s="1"/>
  <c r="D96" i="26"/>
  <c r="C95" i="26"/>
  <c r="Z95" i="26" s="1"/>
  <c r="AH95" i="26" s="1"/>
  <c r="F144" i="26"/>
  <c r="K144" i="26"/>
  <c r="G95" i="25"/>
  <c r="H95" i="25"/>
  <c r="Y95" i="25" s="1"/>
  <c r="AM95" i="25" s="1"/>
  <c r="M145" i="25"/>
  <c r="F143" i="25"/>
  <c r="K144" i="25"/>
  <c r="M145" i="24"/>
  <c r="D96" i="24"/>
  <c r="C95" i="24"/>
  <c r="Z95" i="24" s="1"/>
  <c r="AH95" i="24" s="1"/>
  <c r="U95" i="24"/>
  <c r="W95" i="24"/>
  <c r="AC95" i="24" s="1"/>
  <c r="AK95" i="24" s="1"/>
  <c r="AN95" i="24"/>
  <c r="Q95" i="24"/>
  <c r="S95" i="24" s="1"/>
  <c r="AD95" i="24" s="1"/>
  <c r="AL95" i="24" s="1"/>
  <c r="L95" i="24"/>
  <c r="AB95" i="24" s="1"/>
  <c r="AJ95" i="24" s="1"/>
  <c r="J95" i="24"/>
  <c r="AA95" i="24" s="1"/>
  <c r="AI95" i="24" s="1"/>
  <c r="F145" i="24"/>
  <c r="K144" i="24"/>
  <c r="AE95" i="25"/>
  <c r="K146" i="23"/>
  <c r="M147" i="23"/>
  <c r="F144" i="23"/>
  <c r="E95" i="23"/>
  <c r="I95" i="23"/>
  <c r="M146" i="22"/>
  <c r="G95" i="22"/>
  <c r="H95" i="22"/>
  <c r="Y95" i="22" s="1"/>
  <c r="K145" i="22"/>
  <c r="F146" i="22"/>
  <c r="AE95" i="22"/>
  <c r="M144" i="21"/>
  <c r="W95" i="21"/>
  <c r="U95" i="21"/>
  <c r="AC95" i="21" s="1"/>
  <c r="Q95" i="21"/>
  <c r="S95" i="21" s="1"/>
  <c r="AD95" i="21" s="1"/>
  <c r="J95" i="21"/>
  <c r="AA95" i="21" s="1"/>
  <c r="L95" i="21"/>
  <c r="AB95" i="21" s="1"/>
  <c r="K144" i="21"/>
  <c r="F144" i="21"/>
  <c r="D96" i="21"/>
  <c r="C95" i="21"/>
  <c r="Z95" i="21" s="1"/>
  <c r="N145" i="3"/>
  <c r="M146" i="3"/>
  <c r="AS100" i="13"/>
  <c r="AA101" i="13" s="1"/>
  <c r="AQ100" i="13"/>
  <c r="Y101" i="13" s="1"/>
  <c r="AO100" i="13"/>
  <c r="W101" i="13" s="1"/>
  <c r="AP101" i="13"/>
  <c r="X102" i="13" s="1"/>
  <c r="AN100" i="13"/>
  <c r="V101" i="13" s="1"/>
  <c r="AR99" i="13"/>
  <c r="Z100" i="13" s="1"/>
  <c r="AT100" i="13"/>
  <c r="AB101" i="13" s="1"/>
  <c r="AM100" i="13"/>
  <c r="U101" i="13" s="1"/>
  <c r="F146" i="27" l="1"/>
  <c r="E96" i="27"/>
  <c r="I96" i="27"/>
  <c r="M149" i="27"/>
  <c r="K145" i="27"/>
  <c r="K145" i="26"/>
  <c r="F145" i="26"/>
  <c r="E96" i="26"/>
  <c r="I96" i="26"/>
  <c r="M147" i="26"/>
  <c r="K145" i="25"/>
  <c r="F144" i="25"/>
  <c r="D96" i="25"/>
  <c r="C95" i="25"/>
  <c r="Z95" i="25" s="1"/>
  <c r="AH95" i="25" s="1"/>
  <c r="M146" i="25"/>
  <c r="U95" i="25"/>
  <c r="Q95" i="25"/>
  <c r="S95" i="25" s="1"/>
  <c r="AD95" i="25" s="1"/>
  <c r="AL95" i="25" s="1"/>
  <c r="W95" i="25"/>
  <c r="AN95" i="25"/>
  <c r="L95" i="25"/>
  <c r="AB95" i="25" s="1"/>
  <c r="AJ95" i="25" s="1"/>
  <c r="J95" i="25"/>
  <c r="AA95" i="25" s="1"/>
  <c r="AI95" i="25" s="1"/>
  <c r="K145" i="24"/>
  <c r="F146" i="24"/>
  <c r="E96" i="24"/>
  <c r="I96" i="24"/>
  <c r="M146" i="24"/>
  <c r="AC95" i="27"/>
  <c r="AK95" i="27" s="1"/>
  <c r="AC95" i="26"/>
  <c r="AK95" i="26" s="1"/>
  <c r="G95" i="23"/>
  <c r="H95" i="23"/>
  <c r="Y95" i="23" s="1"/>
  <c r="AE95" i="23"/>
  <c r="F145" i="23"/>
  <c r="M148" i="23"/>
  <c r="K147" i="23"/>
  <c r="D96" i="22"/>
  <c r="C95" i="22"/>
  <c r="Z95" i="22" s="1"/>
  <c r="W95" i="22"/>
  <c r="U95" i="22"/>
  <c r="Q95" i="22"/>
  <c r="S95" i="22" s="1"/>
  <c r="AD95" i="22" s="1"/>
  <c r="J95" i="22"/>
  <c r="AA95" i="22" s="1"/>
  <c r="L95" i="22"/>
  <c r="AB95" i="22" s="1"/>
  <c r="M147" i="22"/>
  <c r="F147" i="22"/>
  <c r="K146" i="22"/>
  <c r="E96" i="21"/>
  <c r="I96" i="21"/>
  <c r="F145" i="21"/>
  <c r="K145" i="21"/>
  <c r="M145" i="21"/>
  <c r="N146" i="3"/>
  <c r="M147" i="3"/>
  <c r="AT101" i="13"/>
  <c r="AB102" i="13" s="1"/>
  <c r="AN101" i="13"/>
  <c r="V102" i="13" s="1"/>
  <c r="AP102" i="13"/>
  <c r="X103" i="13" s="1"/>
  <c r="AQ101" i="13"/>
  <c r="Y102" i="13" s="1"/>
  <c r="AR100" i="13"/>
  <c r="Z101" i="13" s="1"/>
  <c r="AO101" i="13"/>
  <c r="W102" i="13" s="1"/>
  <c r="AS101" i="13"/>
  <c r="AA102" i="13" s="1"/>
  <c r="AM101" i="13"/>
  <c r="U102" i="13" s="1"/>
  <c r="AC95" i="25" l="1"/>
  <c r="AK95" i="25" s="1"/>
  <c r="G96" i="27"/>
  <c r="H96" i="27"/>
  <c r="Y96" i="27" s="1"/>
  <c r="AM96" i="27" s="1"/>
  <c r="K146" i="27"/>
  <c r="M150" i="27"/>
  <c r="F147" i="27"/>
  <c r="F146" i="26"/>
  <c r="K146" i="26"/>
  <c r="G96" i="26"/>
  <c r="H96" i="26"/>
  <c r="Y96" i="26" s="1"/>
  <c r="AM96" i="26" s="1"/>
  <c r="M148" i="26"/>
  <c r="E96" i="25"/>
  <c r="I96" i="25"/>
  <c r="F145" i="25"/>
  <c r="M147" i="25"/>
  <c r="K146" i="25"/>
  <c r="G96" i="24"/>
  <c r="H96" i="24"/>
  <c r="Y96" i="24" s="1"/>
  <c r="AM96" i="24" s="1"/>
  <c r="F147" i="24"/>
  <c r="M147" i="24"/>
  <c r="K146" i="24"/>
  <c r="AE96" i="27"/>
  <c r="AE96" i="26"/>
  <c r="AE96" i="24"/>
  <c r="F146" i="23"/>
  <c r="K148" i="23"/>
  <c r="Q95" i="23"/>
  <c r="S95" i="23" s="1"/>
  <c r="AD95" i="23" s="1"/>
  <c r="U95" i="23"/>
  <c r="W95" i="23"/>
  <c r="L95" i="23"/>
  <c r="AB95" i="23" s="1"/>
  <c r="J95" i="23"/>
  <c r="AA95" i="23" s="1"/>
  <c r="M149" i="23"/>
  <c r="D96" i="23"/>
  <c r="C95" i="23"/>
  <c r="Z95" i="23" s="1"/>
  <c r="M148" i="22"/>
  <c r="E96" i="22"/>
  <c r="I96" i="22"/>
  <c r="K147" i="22"/>
  <c r="F148" i="22"/>
  <c r="AC95" i="22"/>
  <c r="K146" i="21"/>
  <c r="F146" i="21"/>
  <c r="M146" i="21"/>
  <c r="G96" i="21"/>
  <c r="H96" i="21"/>
  <c r="Y96" i="21" s="1"/>
  <c r="AE96" i="21"/>
  <c r="N147" i="3"/>
  <c r="M148" i="3"/>
  <c r="AS102" i="13"/>
  <c r="AA103" i="13" s="1"/>
  <c r="AO102" i="13"/>
  <c r="W103" i="13" s="1"/>
  <c r="AR101" i="13"/>
  <c r="Z102" i="13" s="1"/>
  <c r="AP103" i="13"/>
  <c r="X104" i="13" s="1"/>
  <c r="AN102" i="13"/>
  <c r="V103" i="13" s="1"/>
  <c r="AM102" i="13"/>
  <c r="U103" i="13" s="1"/>
  <c r="AT102" i="13"/>
  <c r="AB103" i="13" s="1"/>
  <c r="AQ102" i="13"/>
  <c r="Y103" i="13" s="1"/>
  <c r="AC95" i="23" l="1"/>
  <c r="F148" i="27"/>
  <c r="M151" i="27"/>
  <c r="K147" i="27"/>
  <c r="D97" i="27"/>
  <c r="C96" i="27"/>
  <c r="Z96" i="27" s="1"/>
  <c r="AH96" i="27" s="1"/>
  <c r="W96" i="27"/>
  <c r="U96" i="27"/>
  <c r="Q96" i="27"/>
  <c r="AN96" i="27"/>
  <c r="L96" i="27"/>
  <c r="AB96" i="27" s="1"/>
  <c r="AJ96" i="27" s="1"/>
  <c r="J96" i="27"/>
  <c r="AA96" i="27" s="1"/>
  <c r="AI96" i="27" s="1"/>
  <c r="U96" i="26"/>
  <c r="W96" i="26"/>
  <c r="AN96" i="26"/>
  <c r="Q96" i="26"/>
  <c r="S96" i="26" s="1"/>
  <c r="AD96" i="26" s="1"/>
  <c r="AL96" i="26" s="1"/>
  <c r="J96" i="26"/>
  <c r="L96" i="26"/>
  <c r="AB96" i="26" s="1"/>
  <c r="AJ96" i="26" s="1"/>
  <c r="D97" i="26"/>
  <c r="C96" i="26"/>
  <c r="Z96" i="26" s="1"/>
  <c r="AH96" i="26" s="1"/>
  <c r="K147" i="26"/>
  <c r="F147" i="26"/>
  <c r="M149" i="26"/>
  <c r="K147" i="25"/>
  <c r="G96" i="25"/>
  <c r="H96" i="25"/>
  <c r="Y96" i="25" s="1"/>
  <c r="AM96" i="25" s="1"/>
  <c r="M148" i="25"/>
  <c r="F146" i="25"/>
  <c r="K147" i="24"/>
  <c r="M148" i="24"/>
  <c r="F148" i="24"/>
  <c r="D97" i="24"/>
  <c r="C96" i="24"/>
  <c r="Z96" i="24" s="1"/>
  <c r="AH96" i="24" s="1"/>
  <c r="W96" i="24"/>
  <c r="U96" i="24"/>
  <c r="Q96" i="24"/>
  <c r="S96" i="24" s="1"/>
  <c r="AD96" i="24" s="1"/>
  <c r="AL96" i="24" s="1"/>
  <c r="AN96" i="24"/>
  <c r="J96" i="24"/>
  <c r="AA96" i="24" s="1"/>
  <c r="AI96" i="24" s="1"/>
  <c r="L96" i="24"/>
  <c r="AB96" i="24" s="1"/>
  <c r="AJ96" i="24" s="1"/>
  <c r="S96" i="27"/>
  <c r="AD96" i="27" s="1"/>
  <c r="AL96" i="27" s="1"/>
  <c r="AA96" i="26"/>
  <c r="AI96" i="26" s="1"/>
  <c r="AE96" i="25"/>
  <c r="E96" i="23"/>
  <c r="I96" i="23"/>
  <c r="M150" i="23"/>
  <c r="K149" i="23"/>
  <c r="F147" i="23"/>
  <c r="G96" i="22"/>
  <c r="H96" i="22"/>
  <c r="Y96" i="22" s="1"/>
  <c r="M149" i="22"/>
  <c r="F149" i="22"/>
  <c r="K148" i="22"/>
  <c r="AE96" i="22"/>
  <c r="Q96" i="21"/>
  <c r="S96" i="21" s="1"/>
  <c r="AD96" i="21" s="1"/>
  <c r="U96" i="21"/>
  <c r="W96" i="21"/>
  <c r="L96" i="21"/>
  <c r="AB96" i="21" s="1"/>
  <c r="J96" i="21"/>
  <c r="AA96" i="21" s="1"/>
  <c r="M147" i="21"/>
  <c r="F147" i="21"/>
  <c r="D97" i="21"/>
  <c r="C96" i="21"/>
  <c r="Z96" i="21" s="1"/>
  <c r="K147" i="21"/>
  <c r="N148" i="3"/>
  <c r="M149" i="3"/>
  <c r="AT103" i="13"/>
  <c r="AB104" i="13" s="1"/>
  <c r="AN103" i="13"/>
  <c r="V104" i="13" s="1"/>
  <c r="AO103" i="13"/>
  <c r="W104" i="13" s="1"/>
  <c r="AM103" i="13"/>
  <c r="U104" i="13"/>
  <c r="AR102" i="13"/>
  <c r="Z103" i="13" s="1"/>
  <c r="AS103" i="13"/>
  <c r="AA104" i="13" s="1"/>
  <c r="AP104" i="13"/>
  <c r="X105" i="13" s="1"/>
  <c r="AQ103" i="13"/>
  <c r="Y104" i="13" s="1"/>
  <c r="AC96" i="27" l="1"/>
  <c r="AK96" i="27" s="1"/>
  <c r="K148" i="27"/>
  <c r="M152" i="27"/>
  <c r="F149" i="27"/>
  <c r="E97" i="27"/>
  <c r="I97" i="27"/>
  <c r="M150" i="26"/>
  <c r="E97" i="26"/>
  <c r="I97" i="26"/>
  <c r="F148" i="26"/>
  <c r="K148" i="26"/>
  <c r="F147" i="25"/>
  <c r="M149" i="25"/>
  <c r="D97" i="25"/>
  <c r="C96" i="25"/>
  <c r="Z96" i="25" s="1"/>
  <c r="AH96" i="25" s="1"/>
  <c r="U96" i="25"/>
  <c r="W96" i="25"/>
  <c r="AN96" i="25"/>
  <c r="Q96" i="25"/>
  <c r="S96" i="25" s="1"/>
  <c r="AD96" i="25" s="1"/>
  <c r="AL96" i="25" s="1"/>
  <c r="J96" i="25"/>
  <c r="AA96" i="25" s="1"/>
  <c r="AI96" i="25" s="1"/>
  <c r="L96" i="25"/>
  <c r="AB96" i="25" s="1"/>
  <c r="AJ96" i="25" s="1"/>
  <c r="K148" i="25"/>
  <c r="F149" i="24"/>
  <c r="M149" i="24"/>
  <c r="K148" i="24"/>
  <c r="E97" i="24"/>
  <c r="I97" i="24"/>
  <c r="AC96" i="26"/>
  <c r="AK96" i="26" s="1"/>
  <c r="AC96" i="24"/>
  <c r="AK96" i="24" s="1"/>
  <c r="M151" i="23"/>
  <c r="F148" i="23"/>
  <c r="K150" i="23"/>
  <c r="G96" i="23"/>
  <c r="H96" i="23"/>
  <c r="Y96" i="23" s="1"/>
  <c r="AE96" i="23"/>
  <c r="U96" i="22"/>
  <c r="W96" i="22"/>
  <c r="Q96" i="22"/>
  <c r="S96" i="22" s="1"/>
  <c r="AD96" i="22" s="1"/>
  <c r="L96" i="22"/>
  <c r="AB96" i="22" s="1"/>
  <c r="J96" i="22"/>
  <c r="AA96" i="22" s="1"/>
  <c r="K149" i="22"/>
  <c r="F150" i="22"/>
  <c r="M150" i="22"/>
  <c r="D97" i="22"/>
  <c r="C96" i="22"/>
  <c r="Z96" i="22" s="1"/>
  <c r="M148" i="21"/>
  <c r="K148" i="21"/>
  <c r="E97" i="21"/>
  <c r="I97" i="21"/>
  <c r="F148" i="21"/>
  <c r="AC96" i="21"/>
  <c r="N149" i="3"/>
  <c r="M150" i="3"/>
  <c r="AS104" i="13"/>
  <c r="AA105" i="13" s="1"/>
  <c r="AN104" i="13"/>
  <c r="V105" i="13" s="1"/>
  <c r="AP105" i="13"/>
  <c r="X106" i="13" s="1"/>
  <c r="AR103" i="13"/>
  <c r="Z104" i="13" s="1"/>
  <c r="AO104" i="13"/>
  <c r="W105" i="13" s="1"/>
  <c r="AQ104" i="13"/>
  <c r="Y105" i="13" s="1"/>
  <c r="AT104" i="13"/>
  <c r="AB105" i="13" s="1"/>
  <c r="AM104" i="13"/>
  <c r="U105" i="13" s="1"/>
  <c r="F150" i="27" l="1"/>
  <c r="M153" i="27"/>
  <c r="K149" i="27"/>
  <c r="G97" i="27"/>
  <c r="H97" i="27"/>
  <c r="Y97" i="27" s="1"/>
  <c r="AM97" i="27" s="1"/>
  <c r="G97" i="26"/>
  <c r="H97" i="26"/>
  <c r="Y97" i="26" s="1"/>
  <c r="AM97" i="26" s="1"/>
  <c r="K149" i="26"/>
  <c r="F149" i="26"/>
  <c r="M151" i="26"/>
  <c r="K149" i="25"/>
  <c r="E97" i="25"/>
  <c r="I97" i="25"/>
  <c r="M150" i="25"/>
  <c r="F148" i="25"/>
  <c r="K149" i="24"/>
  <c r="M150" i="24"/>
  <c r="F150" i="24"/>
  <c r="G97" i="24"/>
  <c r="H97" i="24"/>
  <c r="Y97" i="24" s="1"/>
  <c r="AM97" i="24" s="1"/>
  <c r="AE97" i="27"/>
  <c r="AE97" i="26"/>
  <c r="AC96" i="25"/>
  <c r="AK96" i="25" s="1"/>
  <c r="AE97" i="24"/>
  <c r="Q96" i="23"/>
  <c r="S96" i="23" s="1"/>
  <c r="AD96" i="23" s="1"/>
  <c r="W96" i="23"/>
  <c r="U96" i="23"/>
  <c r="L96" i="23"/>
  <c r="AB96" i="23" s="1"/>
  <c r="J96" i="23"/>
  <c r="AA96" i="23" s="1"/>
  <c r="K151" i="23"/>
  <c r="F149" i="23"/>
  <c r="D97" i="23"/>
  <c r="C96" i="23"/>
  <c r="Z96" i="23" s="1"/>
  <c r="M152" i="23"/>
  <c r="K150" i="22"/>
  <c r="E97" i="22"/>
  <c r="I97" i="22"/>
  <c r="M151" i="22"/>
  <c r="F151" i="22"/>
  <c r="AC96" i="22"/>
  <c r="G97" i="21"/>
  <c r="H97" i="21"/>
  <c r="Y97" i="21" s="1"/>
  <c r="F149" i="21"/>
  <c r="K149" i="21"/>
  <c r="M149" i="21"/>
  <c r="AE97" i="21"/>
  <c r="N150" i="3"/>
  <c r="M151" i="3"/>
  <c r="AT105" i="13"/>
  <c r="AB106" i="13" s="1"/>
  <c r="AQ105" i="13"/>
  <c r="Y106" i="13" s="1"/>
  <c r="AO105" i="13"/>
  <c r="W106" i="13" s="1"/>
  <c r="AR104" i="13"/>
  <c r="Z105" i="13" s="1"/>
  <c r="AP106" i="13"/>
  <c r="X107" i="13" s="1"/>
  <c r="AN105" i="13"/>
  <c r="V106" i="13" s="1"/>
  <c r="AS105" i="13"/>
  <c r="AA106" i="13" s="1"/>
  <c r="AM105" i="13"/>
  <c r="U106" i="13" s="1"/>
  <c r="K150" i="27" l="1"/>
  <c r="M154" i="27"/>
  <c r="D98" i="27"/>
  <c r="C97" i="27"/>
  <c r="Z97" i="27" s="1"/>
  <c r="AH97" i="27" s="1"/>
  <c r="F151" i="27"/>
  <c r="U97" i="27"/>
  <c r="W97" i="27"/>
  <c r="AN97" i="27"/>
  <c r="Q97" i="27"/>
  <c r="S97" i="27" s="1"/>
  <c r="AD97" i="27" s="1"/>
  <c r="AL97" i="27" s="1"/>
  <c r="L97" i="27"/>
  <c r="AB97" i="27" s="1"/>
  <c r="AJ97" i="27" s="1"/>
  <c r="J97" i="27"/>
  <c r="AA97" i="27" s="1"/>
  <c r="AI97" i="27" s="1"/>
  <c r="F150" i="26"/>
  <c r="K150" i="26"/>
  <c r="D98" i="26"/>
  <c r="C97" i="26"/>
  <c r="Z97" i="26" s="1"/>
  <c r="AH97" i="26" s="1"/>
  <c r="M152" i="26"/>
  <c r="U97" i="26"/>
  <c r="W97" i="26"/>
  <c r="AN97" i="26"/>
  <c r="Q97" i="26"/>
  <c r="S97" i="26" s="1"/>
  <c r="AD97" i="26" s="1"/>
  <c r="AL97" i="26" s="1"/>
  <c r="L97" i="26"/>
  <c r="AB97" i="26" s="1"/>
  <c r="AJ97" i="26" s="1"/>
  <c r="J97" i="26"/>
  <c r="AA97" i="26" s="1"/>
  <c r="AI97" i="26" s="1"/>
  <c r="M151" i="25"/>
  <c r="K150" i="25"/>
  <c r="F149" i="25"/>
  <c r="G97" i="25"/>
  <c r="H97" i="25"/>
  <c r="Y97" i="25" s="1"/>
  <c r="AM97" i="25" s="1"/>
  <c r="U97" i="24"/>
  <c r="Q97" i="24"/>
  <c r="S97" i="24" s="1"/>
  <c r="AD97" i="24" s="1"/>
  <c r="AL97" i="24" s="1"/>
  <c r="W97" i="24"/>
  <c r="AN97" i="24"/>
  <c r="L97" i="24"/>
  <c r="AB97" i="24" s="1"/>
  <c r="AJ97" i="24" s="1"/>
  <c r="J97" i="24"/>
  <c r="D98" i="24"/>
  <c r="C97" i="24"/>
  <c r="Z97" i="24" s="1"/>
  <c r="AH97" i="24" s="1"/>
  <c r="M151" i="24"/>
  <c r="F151" i="24"/>
  <c r="K150" i="24"/>
  <c r="AE97" i="25"/>
  <c r="AA97" i="24"/>
  <c r="AI97" i="24" s="1"/>
  <c r="F150" i="23"/>
  <c r="K152" i="23"/>
  <c r="M153" i="23"/>
  <c r="E97" i="23"/>
  <c r="I97" i="23"/>
  <c r="AC96" i="23"/>
  <c r="M152" i="22"/>
  <c r="G97" i="22"/>
  <c r="H97" i="22"/>
  <c r="Y97" i="22" s="1"/>
  <c r="F152" i="22"/>
  <c r="K151" i="22"/>
  <c r="AE97" i="22"/>
  <c r="K150" i="21"/>
  <c r="D98" i="21"/>
  <c r="C97" i="21"/>
  <c r="Z97" i="21" s="1"/>
  <c r="F150" i="21"/>
  <c r="M150" i="21"/>
  <c r="Q97" i="21"/>
  <c r="S97" i="21" s="1"/>
  <c r="AD97" i="21" s="1"/>
  <c r="W97" i="21"/>
  <c r="U97" i="21"/>
  <c r="J97" i="21"/>
  <c r="AA97" i="21" s="1"/>
  <c r="L97" i="21"/>
  <c r="AB97" i="21" s="1"/>
  <c r="N151" i="3"/>
  <c r="M152" i="3"/>
  <c r="AN106" i="13"/>
  <c r="V107" i="13" s="1"/>
  <c r="AP107" i="13"/>
  <c r="X108" i="13" s="1"/>
  <c r="AQ106" i="13"/>
  <c r="Y107" i="13" s="1"/>
  <c r="AS106" i="13"/>
  <c r="AA107" i="13" s="1"/>
  <c r="AO106" i="13"/>
  <c r="W107" i="13" s="1"/>
  <c r="AM106" i="13"/>
  <c r="U107" i="13" s="1"/>
  <c r="AT106" i="13"/>
  <c r="AB107" i="13" s="1"/>
  <c r="AR105" i="13"/>
  <c r="Z106" i="13" s="1"/>
  <c r="AC97" i="27" l="1"/>
  <c r="AK97" i="27" s="1"/>
  <c r="AC97" i="26"/>
  <c r="AK97" i="26" s="1"/>
  <c r="AC97" i="21"/>
  <c r="E98" i="27"/>
  <c r="I98" i="27"/>
  <c r="M155" i="27"/>
  <c r="K151" i="27"/>
  <c r="F152" i="27"/>
  <c r="E98" i="26"/>
  <c r="I98" i="26"/>
  <c r="K151" i="26"/>
  <c r="F151" i="26"/>
  <c r="M153" i="26"/>
  <c r="W97" i="25"/>
  <c r="U97" i="25"/>
  <c r="AN97" i="25"/>
  <c r="Q97" i="25"/>
  <c r="S97" i="25" s="1"/>
  <c r="AD97" i="25" s="1"/>
  <c r="AL97" i="25" s="1"/>
  <c r="L97" i="25"/>
  <c r="AB97" i="25" s="1"/>
  <c r="AJ97" i="25" s="1"/>
  <c r="J97" i="25"/>
  <c r="AA97" i="25" s="1"/>
  <c r="AI97" i="25" s="1"/>
  <c r="D98" i="25"/>
  <c r="C97" i="25"/>
  <c r="Z97" i="25" s="1"/>
  <c r="AH97" i="25" s="1"/>
  <c r="M152" i="25"/>
  <c r="F150" i="25"/>
  <c r="K151" i="25"/>
  <c r="K151" i="24"/>
  <c r="E98" i="24"/>
  <c r="I98" i="24"/>
  <c r="F152" i="24"/>
  <c r="M152" i="24"/>
  <c r="AC97" i="24"/>
  <c r="AK97" i="24" s="1"/>
  <c r="F151" i="23"/>
  <c r="G97" i="23"/>
  <c r="H97" i="23"/>
  <c r="Y97" i="23" s="1"/>
  <c r="AE97" i="23"/>
  <c r="M154" i="23"/>
  <c r="K153" i="23"/>
  <c r="F153" i="22"/>
  <c r="D98" i="22"/>
  <c r="C97" i="22"/>
  <c r="Z97" i="22" s="1"/>
  <c r="W97" i="22"/>
  <c r="Q97" i="22"/>
  <c r="S97" i="22" s="1"/>
  <c r="AD97" i="22" s="1"/>
  <c r="U97" i="22"/>
  <c r="L97" i="22"/>
  <c r="J97" i="22"/>
  <c r="M153" i="22"/>
  <c r="K152" i="22"/>
  <c r="AB97" i="22"/>
  <c r="AA97" i="22"/>
  <c r="M151" i="21"/>
  <c r="F151" i="21"/>
  <c r="E98" i="21"/>
  <c r="I98" i="21"/>
  <c r="K151" i="21"/>
  <c r="N152" i="3"/>
  <c r="M153" i="3"/>
  <c r="AT107" i="13"/>
  <c r="AB108" i="13" s="1"/>
  <c r="AM107" i="13"/>
  <c r="U108" i="13" s="1"/>
  <c r="AO107" i="13"/>
  <c r="W108" i="13" s="1"/>
  <c r="AS107" i="13"/>
  <c r="AA108" i="13" s="1"/>
  <c r="AQ107" i="13"/>
  <c r="Y108" i="13" s="1"/>
  <c r="AR106" i="13"/>
  <c r="Z107" i="13" s="1"/>
  <c r="AN107" i="13"/>
  <c r="V108" i="13" s="1"/>
  <c r="AP108" i="13"/>
  <c r="X109" i="13" s="1"/>
  <c r="AC97" i="25" l="1"/>
  <c r="AK97" i="25" s="1"/>
  <c r="AC97" i="22"/>
  <c r="M156" i="27"/>
  <c r="F153" i="27"/>
  <c r="K152" i="27"/>
  <c r="G98" i="27"/>
  <c r="H98" i="27"/>
  <c r="Y98" i="27" s="1"/>
  <c r="AM98" i="27" s="1"/>
  <c r="K152" i="26"/>
  <c r="M154" i="26"/>
  <c r="F152" i="26"/>
  <c r="G98" i="26"/>
  <c r="H98" i="26"/>
  <c r="Y98" i="26" s="1"/>
  <c r="AM98" i="26" s="1"/>
  <c r="E98" i="25"/>
  <c r="I98" i="25"/>
  <c r="K152" i="25"/>
  <c r="F151" i="25"/>
  <c r="M153" i="25"/>
  <c r="G98" i="24"/>
  <c r="H98" i="24"/>
  <c r="Y98" i="24" s="1"/>
  <c r="AM98" i="24" s="1"/>
  <c r="M153" i="24"/>
  <c r="K152" i="24"/>
  <c r="F153" i="24"/>
  <c r="AE98" i="27"/>
  <c r="AE98" i="26"/>
  <c r="AE98" i="24"/>
  <c r="K154" i="23"/>
  <c r="M155" i="23"/>
  <c r="D98" i="23"/>
  <c r="C97" i="23"/>
  <c r="Z97" i="23" s="1"/>
  <c r="U97" i="23"/>
  <c r="Q97" i="23"/>
  <c r="S97" i="23" s="1"/>
  <c r="AD97" i="23" s="1"/>
  <c r="W97" i="23"/>
  <c r="J97" i="23"/>
  <c r="AA97" i="23" s="1"/>
  <c r="L97" i="23"/>
  <c r="AB97" i="23" s="1"/>
  <c r="F152" i="23"/>
  <c r="K153" i="22"/>
  <c r="E98" i="22"/>
  <c r="I98" i="22"/>
  <c r="F154" i="22"/>
  <c r="M154" i="22"/>
  <c r="G98" i="21"/>
  <c r="H98" i="21"/>
  <c r="Y98" i="21" s="1"/>
  <c r="F152" i="21"/>
  <c r="K152" i="21"/>
  <c r="M152" i="21"/>
  <c r="AE98" i="21"/>
  <c r="N153" i="3"/>
  <c r="M154" i="3"/>
  <c r="AS108" i="13"/>
  <c r="AA109" i="13" s="1"/>
  <c r="AO108" i="13"/>
  <c r="W109" i="13" s="1"/>
  <c r="AM108" i="13"/>
  <c r="U109" i="13"/>
  <c r="AR107" i="13"/>
  <c r="Z108" i="13" s="1"/>
  <c r="AQ108" i="13"/>
  <c r="Y109" i="13" s="1"/>
  <c r="AP109" i="13"/>
  <c r="X110" i="13" s="1"/>
  <c r="AT108" i="13"/>
  <c r="AB109" i="13" s="1"/>
  <c r="AN108" i="13"/>
  <c r="V109" i="13" s="1"/>
  <c r="AC97" i="23" l="1"/>
  <c r="K153" i="27"/>
  <c r="F154" i="27"/>
  <c r="D99" i="27"/>
  <c r="C98" i="27"/>
  <c r="Z98" i="27" s="1"/>
  <c r="AH98" i="27" s="1"/>
  <c r="M157" i="27"/>
  <c r="Q98" i="27"/>
  <c r="S98" i="27" s="1"/>
  <c r="AD98" i="27" s="1"/>
  <c r="AL98" i="27" s="1"/>
  <c r="AN98" i="27"/>
  <c r="U98" i="27"/>
  <c r="W98" i="27"/>
  <c r="L98" i="27"/>
  <c r="AB98" i="27" s="1"/>
  <c r="AJ98" i="27" s="1"/>
  <c r="J98" i="27"/>
  <c r="AA98" i="27" s="1"/>
  <c r="AI98" i="27" s="1"/>
  <c r="W98" i="26"/>
  <c r="Q98" i="26"/>
  <c r="S98" i="26" s="1"/>
  <c r="AD98" i="26" s="1"/>
  <c r="AL98" i="26" s="1"/>
  <c r="AN98" i="26"/>
  <c r="U98" i="26"/>
  <c r="AC98" i="26" s="1"/>
  <c r="AK98" i="26" s="1"/>
  <c r="L98" i="26"/>
  <c r="AB98" i="26" s="1"/>
  <c r="AJ98" i="26" s="1"/>
  <c r="J98" i="26"/>
  <c r="F153" i="26"/>
  <c r="M155" i="26"/>
  <c r="D99" i="26"/>
  <c r="C98" i="26"/>
  <c r="Z98" i="26" s="1"/>
  <c r="AH98" i="26" s="1"/>
  <c r="K153" i="26"/>
  <c r="M154" i="25"/>
  <c r="F152" i="25"/>
  <c r="K153" i="25"/>
  <c r="G98" i="25"/>
  <c r="H98" i="25"/>
  <c r="Y98" i="25" s="1"/>
  <c r="AM98" i="25" s="1"/>
  <c r="K153" i="24"/>
  <c r="D99" i="24"/>
  <c r="C98" i="24"/>
  <c r="Z98" i="24" s="1"/>
  <c r="AH98" i="24" s="1"/>
  <c r="M154" i="24"/>
  <c r="W98" i="24"/>
  <c r="U98" i="24"/>
  <c r="Q98" i="24"/>
  <c r="S98" i="24" s="1"/>
  <c r="AD98" i="24" s="1"/>
  <c r="AL98" i="24" s="1"/>
  <c r="AN98" i="24"/>
  <c r="J98" i="24"/>
  <c r="AA98" i="24" s="1"/>
  <c r="AI98" i="24" s="1"/>
  <c r="L98" i="24"/>
  <c r="AB98" i="24" s="1"/>
  <c r="AJ98" i="24" s="1"/>
  <c r="F154" i="24"/>
  <c r="AA98" i="26"/>
  <c r="AI98" i="26" s="1"/>
  <c r="AE98" i="25"/>
  <c r="F153" i="23"/>
  <c r="E98" i="23"/>
  <c r="I98" i="23"/>
  <c r="M156" i="23"/>
  <c r="K155" i="23"/>
  <c r="M155" i="22"/>
  <c r="G98" i="22"/>
  <c r="H98" i="22"/>
  <c r="Y98" i="22" s="1"/>
  <c r="F155" i="22"/>
  <c r="K154" i="22"/>
  <c r="AE98" i="22"/>
  <c r="M153" i="21"/>
  <c r="K153" i="21"/>
  <c r="F153" i="21"/>
  <c r="D99" i="21"/>
  <c r="C98" i="21"/>
  <c r="Z98" i="21" s="1"/>
  <c r="Q98" i="21"/>
  <c r="S98" i="21" s="1"/>
  <c r="AD98" i="21" s="1"/>
  <c r="U98" i="21"/>
  <c r="W98" i="21"/>
  <c r="J98" i="21"/>
  <c r="AA98" i="21" s="1"/>
  <c r="L98" i="21"/>
  <c r="AB98" i="21" s="1"/>
  <c r="N154" i="3"/>
  <c r="M155" i="3"/>
  <c r="AQ109" i="13"/>
  <c r="Y110" i="13" s="1"/>
  <c r="AN109" i="13"/>
  <c r="V110" i="13" s="1"/>
  <c r="AR108" i="13"/>
  <c r="Z109" i="13" s="1"/>
  <c r="AT109" i="13"/>
  <c r="AB110" i="13" s="1"/>
  <c r="AS109" i="13"/>
  <c r="AA110" i="13" s="1"/>
  <c r="AM109" i="13"/>
  <c r="U110" i="13" s="1"/>
  <c r="AP110" i="13"/>
  <c r="X111" i="13" s="1"/>
  <c r="AO109" i="13"/>
  <c r="W110" i="13" s="1"/>
  <c r="AC98" i="27" l="1"/>
  <c r="AK98" i="27" s="1"/>
  <c r="E99" i="27"/>
  <c r="I99" i="27"/>
  <c r="F155" i="27"/>
  <c r="K154" i="27"/>
  <c r="M158" i="27"/>
  <c r="K154" i="26"/>
  <c r="M156" i="26"/>
  <c r="F154" i="26"/>
  <c r="E99" i="26"/>
  <c r="I99" i="26"/>
  <c r="K154" i="25"/>
  <c r="D99" i="25"/>
  <c r="C98" i="25"/>
  <c r="Z98" i="25" s="1"/>
  <c r="AH98" i="25" s="1"/>
  <c r="F153" i="25"/>
  <c r="Q98" i="25"/>
  <c r="S98" i="25" s="1"/>
  <c r="AD98" i="25" s="1"/>
  <c r="AL98" i="25" s="1"/>
  <c r="U98" i="25"/>
  <c r="W98" i="25"/>
  <c r="AN98" i="25"/>
  <c r="L98" i="25"/>
  <c r="AB98" i="25" s="1"/>
  <c r="AJ98" i="25" s="1"/>
  <c r="J98" i="25"/>
  <c r="AA98" i="25" s="1"/>
  <c r="AI98" i="25" s="1"/>
  <c r="M155" i="25"/>
  <c r="M155" i="24"/>
  <c r="F155" i="24"/>
  <c r="E99" i="24"/>
  <c r="I99" i="24"/>
  <c r="K154" i="24"/>
  <c r="AC98" i="24"/>
  <c r="AK98" i="24" s="1"/>
  <c r="M157" i="23"/>
  <c r="K156" i="23"/>
  <c r="G98" i="23"/>
  <c r="H98" i="23"/>
  <c r="Y98" i="23" s="1"/>
  <c r="AE98" i="23"/>
  <c r="F154" i="23"/>
  <c r="D99" i="22"/>
  <c r="C98" i="22"/>
  <c r="Z98" i="22" s="1"/>
  <c r="U98" i="22"/>
  <c r="W98" i="22"/>
  <c r="Q98" i="22"/>
  <c r="S98" i="22" s="1"/>
  <c r="AD98" i="22" s="1"/>
  <c r="L98" i="22"/>
  <c r="AB98" i="22" s="1"/>
  <c r="J98" i="22"/>
  <c r="AA98" i="22" s="1"/>
  <c r="M156" i="22"/>
  <c r="K155" i="22"/>
  <c r="F156" i="22"/>
  <c r="E99" i="21"/>
  <c r="I99" i="21"/>
  <c r="F154" i="21"/>
  <c r="K154" i="21"/>
  <c r="M154" i="21"/>
  <c r="AC98" i="21"/>
  <c r="N155" i="3"/>
  <c r="M156" i="3"/>
  <c r="AM110" i="13"/>
  <c r="U111" i="13" s="1"/>
  <c r="AS110" i="13"/>
  <c r="AA111" i="13" s="1"/>
  <c r="AT110" i="13"/>
  <c r="AB111" i="13" s="1"/>
  <c r="AO110" i="13"/>
  <c r="W111" i="13" s="1"/>
  <c r="AQ110" i="13"/>
  <c r="Y111" i="13" s="1"/>
  <c r="AP111" i="13"/>
  <c r="X112" i="13" s="1"/>
  <c r="AR109" i="13"/>
  <c r="Z110" i="13" s="1"/>
  <c r="AN110" i="13"/>
  <c r="V111" i="13" s="1"/>
  <c r="F156" i="27" l="1"/>
  <c r="M159" i="27"/>
  <c r="K155" i="27"/>
  <c r="G99" i="27"/>
  <c r="H99" i="27"/>
  <c r="Y99" i="27" s="1"/>
  <c r="AM99" i="27" s="1"/>
  <c r="G99" i="26"/>
  <c r="H99" i="26"/>
  <c r="Y99" i="26" s="1"/>
  <c r="AM99" i="26" s="1"/>
  <c r="F155" i="26"/>
  <c r="M157" i="26"/>
  <c r="K155" i="26"/>
  <c r="F154" i="25"/>
  <c r="M156" i="25"/>
  <c r="E99" i="25"/>
  <c r="I99" i="25"/>
  <c r="K155" i="25"/>
  <c r="G99" i="24"/>
  <c r="H99" i="24"/>
  <c r="Y99" i="24" s="1"/>
  <c r="AM99" i="24" s="1"/>
  <c r="K155" i="24"/>
  <c r="F156" i="24"/>
  <c r="M156" i="24"/>
  <c r="AE99" i="27"/>
  <c r="AE99" i="26"/>
  <c r="AC98" i="25"/>
  <c r="AK98" i="25" s="1"/>
  <c r="AE99" i="24"/>
  <c r="D99" i="23"/>
  <c r="C98" i="23"/>
  <c r="Z98" i="23" s="1"/>
  <c r="W98" i="23"/>
  <c r="Q98" i="23"/>
  <c r="S98" i="23" s="1"/>
  <c r="AD98" i="23" s="1"/>
  <c r="U98" i="23"/>
  <c r="L98" i="23"/>
  <c r="AB98" i="23" s="1"/>
  <c r="J98" i="23"/>
  <c r="AA98" i="23" s="1"/>
  <c r="K157" i="23"/>
  <c r="M158" i="23"/>
  <c r="F155" i="23"/>
  <c r="F157" i="22"/>
  <c r="K156" i="22"/>
  <c r="M157" i="22"/>
  <c r="E99" i="22"/>
  <c r="I99" i="22"/>
  <c r="AC98" i="22"/>
  <c r="K155" i="21"/>
  <c r="F155" i="21"/>
  <c r="M155" i="21"/>
  <c r="G99" i="21"/>
  <c r="H99" i="21"/>
  <c r="Y99" i="21" s="1"/>
  <c r="AE99" i="21"/>
  <c r="N156" i="3"/>
  <c r="M157" i="3"/>
  <c r="AT111" i="13"/>
  <c r="AB112" i="13" s="1"/>
  <c r="AS111" i="13"/>
  <c r="AA112" i="13" s="1"/>
  <c r="AR110" i="13"/>
  <c r="Z111" i="13" s="1"/>
  <c r="AP112" i="13"/>
  <c r="X113" i="13" s="1"/>
  <c r="AQ111" i="13"/>
  <c r="Y112" i="13" s="1"/>
  <c r="AM111" i="13"/>
  <c r="U112" i="13" s="1"/>
  <c r="AN111" i="13"/>
  <c r="V112" i="13" s="1"/>
  <c r="AO111" i="13"/>
  <c r="W112" i="13" s="1"/>
  <c r="AC98" i="23" l="1"/>
  <c r="U99" i="27"/>
  <c r="Q99" i="27"/>
  <c r="S99" i="27" s="1"/>
  <c r="AD99" i="27" s="1"/>
  <c r="AL99" i="27" s="1"/>
  <c r="W99" i="27"/>
  <c r="AN99" i="27"/>
  <c r="L99" i="27"/>
  <c r="AB99" i="27" s="1"/>
  <c r="AJ99" i="27" s="1"/>
  <c r="J99" i="27"/>
  <c r="AA99" i="27" s="1"/>
  <c r="AI99" i="27" s="1"/>
  <c r="K156" i="27"/>
  <c r="M160" i="27"/>
  <c r="D100" i="27"/>
  <c r="C99" i="27"/>
  <c r="Z99" i="27" s="1"/>
  <c r="AH99" i="27" s="1"/>
  <c r="F157" i="27"/>
  <c r="M158" i="26"/>
  <c r="F156" i="26"/>
  <c r="D100" i="26"/>
  <c r="C99" i="26"/>
  <c r="Z99" i="26" s="1"/>
  <c r="AH99" i="26" s="1"/>
  <c r="W99" i="26"/>
  <c r="Q99" i="26"/>
  <c r="S99" i="26" s="1"/>
  <c r="AD99" i="26" s="1"/>
  <c r="AL99" i="26" s="1"/>
  <c r="U99" i="26"/>
  <c r="AN99" i="26"/>
  <c r="L99" i="26"/>
  <c r="AB99" i="26" s="1"/>
  <c r="AJ99" i="26" s="1"/>
  <c r="J99" i="26"/>
  <c r="AA99" i="26" s="1"/>
  <c r="AI99" i="26" s="1"/>
  <c r="K156" i="26"/>
  <c r="G99" i="25"/>
  <c r="H99" i="25"/>
  <c r="Y99" i="25" s="1"/>
  <c r="AM99" i="25" s="1"/>
  <c r="K156" i="25"/>
  <c r="M157" i="25"/>
  <c r="F155" i="25"/>
  <c r="F157" i="24"/>
  <c r="D100" i="24"/>
  <c r="C99" i="24"/>
  <c r="Z99" i="24" s="1"/>
  <c r="AH99" i="24" s="1"/>
  <c r="K156" i="24"/>
  <c r="U99" i="24"/>
  <c r="W99" i="24"/>
  <c r="Q99" i="24"/>
  <c r="S99" i="24" s="1"/>
  <c r="AD99" i="24" s="1"/>
  <c r="AL99" i="24" s="1"/>
  <c r="AN99" i="24"/>
  <c r="J99" i="24"/>
  <c r="AA99" i="24" s="1"/>
  <c r="AI99" i="24" s="1"/>
  <c r="L99" i="24"/>
  <c r="AB99" i="24" s="1"/>
  <c r="AJ99" i="24" s="1"/>
  <c r="M157" i="24"/>
  <c r="AE99" i="25"/>
  <c r="F156" i="23"/>
  <c r="M159" i="23"/>
  <c r="K158" i="23"/>
  <c r="E99" i="23"/>
  <c r="I99" i="23"/>
  <c r="M158" i="22"/>
  <c r="K157" i="22"/>
  <c r="G99" i="22"/>
  <c r="H99" i="22"/>
  <c r="Y99" i="22" s="1"/>
  <c r="F158" i="22"/>
  <c r="AE99" i="22"/>
  <c r="Q99" i="21"/>
  <c r="S99" i="21" s="1"/>
  <c r="AD99" i="21" s="1"/>
  <c r="W99" i="21"/>
  <c r="U99" i="21"/>
  <c r="L99" i="21"/>
  <c r="AB99" i="21" s="1"/>
  <c r="J99" i="21"/>
  <c r="AA99" i="21" s="1"/>
  <c r="M156" i="21"/>
  <c r="F156" i="21"/>
  <c r="D100" i="21"/>
  <c r="C99" i="21"/>
  <c r="Z99" i="21" s="1"/>
  <c r="K156" i="21"/>
  <c r="N157" i="3"/>
  <c r="M158" i="3"/>
  <c r="AQ112" i="13"/>
  <c r="Y113" i="13" s="1"/>
  <c r="AP113" i="13"/>
  <c r="X114" i="13" s="1"/>
  <c r="AR111" i="13"/>
  <c r="Z112" i="13" s="1"/>
  <c r="AO112" i="13"/>
  <c r="W113" i="13" s="1"/>
  <c r="AN112" i="13"/>
  <c r="V113" i="13" s="1"/>
  <c r="AT112" i="13"/>
  <c r="AB113" i="13" s="1"/>
  <c r="AM112" i="13"/>
  <c r="U113" i="13" s="1"/>
  <c r="AS112" i="13"/>
  <c r="AA113" i="13" s="1"/>
  <c r="AC99" i="27" l="1"/>
  <c r="AK99" i="27" s="1"/>
  <c r="AC99" i="21"/>
  <c r="K157" i="27"/>
  <c r="F158" i="27"/>
  <c r="E100" i="27"/>
  <c r="I100" i="27"/>
  <c r="M161" i="27"/>
  <c r="K157" i="26"/>
  <c r="E100" i="26"/>
  <c r="I100" i="26"/>
  <c r="F157" i="26"/>
  <c r="M159" i="26"/>
  <c r="M158" i="25"/>
  <c r="D100" i="25"/>
  <c r="C99" i="25"/>
  <c r="Z99" i="25" s="1"/>
  <c r="AH99" i="25" s="1"/>
  <c r="K157" i="25"/>
  <c r="F156" i="25"/>
  <c r="U99" i="25"/>
  <c r="AN99" i="25"/>
  <c r="W99" i="25"/>
  <c r="Q99" i="25"/>
  <c r="S99" i="25" s="1"/>
  <c r="AD99" i="25" s="1"/>
  <c r="AL99" i="25" s="1"/>
  <c r="J99" i="25"/>
  <c r="L99" i="25"/>
  <c r="AB99" i="25" s="1"/>
  <c r="AJ99" i="25" s="1"/>
  <c r="E100" i="24"/>
  <c r="I100" i="24"/>
  <c r="F158" i="24"/>
  <c r="M158" i="24"/>
  <c r="K157" i="24"/>
  <c r="AC99" i="26"/>
  <c r="AK99" i="26" s="1"/>
  <c r="AA99" i="25"/>
  <c r="AI99" i="25" s="1"/>
  <c r="AC99" i="24"/>
  <c r="AK99" i="24" s="1"/>
  <c r="M160" i="23"/>
  <c r="F157" i="23"/>
  <c r="G99" i="23"/>
  <c r="H99" i="23"/>
  <c r="Y99" i="23" s="1"/>
  <c r="AE99" i="23"/>
  <c r="K159" i="23"/>
  <c r="W99" i="22"/>
  <c r="Q99" i="22"/>
  <c r="S99" i="22" s="1"/>
  <c r="AD99" i="22" s="1"/>
  <c r="U99" i="22"/>
  <c r="L99" i="22"/>
  <c r="AB99" i="22" s="1"/>
  <c r="J99" i="22"/>
  <c r="AA99" i="22" s="1"/>
  <c r="D100" i="22"/>
  <c r="C99" i="22"/>
  <c r="Z99" i="22" s="1"/>
  <c r="K158" i="22"/>
  <c r="M159" i="22"/>
  <c r="F159" i="22"/>
  <c r="E100" i="21"/>
  <c r="I100" i="21"/>
  <c r="F157" i="21"/>
  <c r="M157" i="21"/>
  <c r="K157" i="21"/>
  <c r="N158" i="3"/>
  <c r="M159" i="3"/>
  <c r="AO113" i="13"/>
  <c r="W114" i="13" s="1"/>
  <c r="AR112" i="13"/>
  <c r="Z113" i="13" s="1"/>
  <c r="AQ113" i="13"/>
  <c r="Y114" i="13" s="1"/>
  <c r="AN113" i="13"/>
  <c r="V114" i="13" s="1"/>
  <c r="AS113" i="13"/>
  <c r="AA114" i="13" s="1"/>
  <c r="AM113" i="13"/>
  <c r="U114" i="13" s="1"/>
  <c r="AP114" i="13"/>
  <c r="X115" i="13" s="1"/>
  <c r="AT113" i="13"/>
  <c r="AB114" i="13" s="1"/>
  <c r="AC99" i="25" l="1"/>
  <c r="AK99" i="25" s="1"/>
  <c r="G100" i="27"/>
  <c r="H100" i="27"/>
  <c r="Y100" i="27" s="1"/>
  <c r="AM100" i="27" s="1"/>
  <c r="M162" i="27"/>
  <c r="F159" i="27"/>
  <c r="K158" i="27"/>
  <c r="G100" i="26"/>
  <c r="H100" i="26"/>
  <c r="Y100" i="26" s="1"/>
  <c r="AM100" i="26" s="1"/>
  <c r="M160" i="26"/>
  <c r="K158" i="26"/>
  <c r="F158" i="26"/>
  <c r="E100" i="25"/>
  <c r="I100" i="25"/>
  <c r="M159" i="25"/>
  <c r="F157" i="25"/>
  <c r="K158" i="25"/>
  <c r="F159" i="24"/>
  <c r="K158" i="24"/>
  <c r="G100" i="24"/>
  <c r="H100" i="24"/>
  <c r="Y100" i="24" s="1"/>
  <c r="AM100" i="24" s="1"/>
  <c r="M159" i="24"/>
  <c r="AE100" i="27"/>
  <c r="AE100" i="26"/>
  <c r="AE100" i="24"/>
  <c r="D100" i="23"/>
  <c r="C99" i="23"/>
  <c r="Z99" i="23" s="1"/>
  <c r="Q99" i="23"/>
  <c r="S99" i="23" s="1"/>
  <c r="AD99" i="23" s="1"/>
  <c r="U99" i="23"/>
  <c r="W99" i="23"/>
  <c r="L99" i="23"/>
  <c r="AB99" i="23" s="1"/>
  <c r="J99" i="23"/>
  <c r="AA99" i="23" s="1"/>
  <c r="F158" i="23"/>
  <c r="K160" i="23"/>
  <c r="M161" i="23"/>
  <c r="F160" i="22"/>
  <c r="E100" i="22"/>
  <c r="I100" i="22"/>
  <c r="M160" i="22"/>
  <c r="K159" i="22"/>
  <c r="AC99" i="22"/>
  <c r="F158" i="21"/>
  <c r="K158" i="21"/>
  <c r="G100" i="21"/>
  <c r="H100" i="21"/>
  <c r="Y100" i="21" s="1"/>
  <c r="M158" i="21"/>
  <c r="AE100" i="21"/>
  <c r="N159" i="3"/>
  <c r="M160" i="3"/>
  <c r="AP115" i="13"/>
  <c r="X116" i="13" s="1"/>
  <c r="AS114" i="13"/>
  <c r="AA115" i="13" s="1"/>
  <c r="AN114" i="13"/>
  <c r="V115" i="13" s="1"/>
  <c r="AQ114" i="13"/>
  <c r="Y115" i="13" s="1"/>
  <c r="AR113" i="13"/>
  <c r="Z114" i="13" s="1"/>
  <c r="AT114" i="13"/>
  <c r="AB115" i="13" s="1"/>
  <c r="AO114" i="13"/>
  <c r="W115" i="13" s="1"/>
  <c r="AM114" i="13"/>
  <c r="U115" i="13" s="1"/>
  <c r="F160" i="27" l="1"/>
  <c r="M163" i="27"/>
  <c r="D101" i="27"/>
  <c r="C100" i="27"/>
  <c r="Z100" i="27" s="1"/>
  <c r="AH100" i="27" s="1"/>
  <c r="K159" i="27"/>
  <c r="W100" i="27"/>
  <c r="AN100" i="27"/>
  <c r="Q100" i="27"/>
  <c r="S100" i="27" s="1"/>
  <c r="AD100" i="27" s="1"/>
  <c r="AL100" i="27" s="1"/>
  <c r="U100" i="27"/>
  <c r="J100" i="27"/>
  <c r="L100" i="27"/>
  <c r="AB100" i="27" s="1"/>
  <c r="AJ100" i="27" s="1"/>
  <c r="K159" i="26"/>
  <c r="M161" i="26"/>
  <c r="D101" i="26"/>
  <c r="C100" i="26"/>
  <c r="Z100" i="26" s="1"/>
  <c r="AH100" i="26" s="1"/>
  <c r="F159" i="26"/>
  <c r="U100" i="26"/>
  <c r="Q100" i="26"/>
  <c r="S100" i="26" s="1"/>
  <c r="AD100" i="26" s="1"/>
  <c r="AL100" i="26" s="1"/>
  <c r="AN100" i="26"/>
  <c r="W100" i="26"/>
  <c r="L100" i="26"/>
  <c r="AB100" i="26" s="1"/>
  <c r="AJ100" i="26" s="1"/>
  <c r="J100" i="26"/>
  <c r="AA100" i="26" s="1"/>
  <c r="AI100" i="26" s="1"/>
  <c r="M160" i="25"/>
  <c r="K159" i="25"/>
  <c r="F158" i="25"/>
  <c r="G100" i="25"/>
  <c r="H100" i="25"/>
  <c r="Y100" i="25" s="1"/>
  <c r="AM100" i="25" s="1"/>
  <c r="M160" i="24"/>
  <c r="W100" i="24"/>
  <c r="U100" i="24"/>
  <c r="AN100" i="24"/>
  <c r="Q100" i="24"/>
  <c r="S100" i="24" s="1"/>
  <c r="AD100" i="24" s="1"/>
  <c r="AL100" i="24" s="1"/>
  <c r="L100" i="24"/>
  <c r="AB100" i="24" s="1"/>
  <c r="AJ100" i="24" s="1"/>
  <c r="J100" i="24"/>
  <c r="AA100" i="24" s="1"/>
  <c r="AI100" i="24" s="1"/>
  <c r="K159" i="24"/>
  <c r="D101" i="24"/>
  <c r="C100" i="24"/>
  <c r="Z100" i="24" s="1"/>
  <c r="AH100" i="24" s="1"/>
  <c r="F160" i="24"/>
  <c r="AA100" i="27"/>
  <c r="AI100" i="27" s="1"/>
  <c r="AC100" i="26"/>
  <c r="AK100" i="26" s="1"/>
  <c r="AE100" i="25"/>
  <c r="M162" i="23"/>
  <c r="AC99" i="23"/>
  <c r="K161" i="23"/>
  <c r="F159" i="23"/>
  <c r="E100" i="23"/>
  <c r="I100" i="23"/>
  <c r="K160" i="22"/>
  <c r="G100" i="22"/>
  <c r="H100" i="22"/>
  <c r="Y100" i="22" s="1"/>
  <c r="F161" i="22"/>
  <c r="M161" i="22"/>
  <c r="AE100" i="22"/>
  <c r="W100" i="21"/>
  <c r="Q100" i="21"/>
  <c r="S100" i="21" s="1"/>
  <c r="AD100" i="21" s="1"/>
  <c r="U100" i="21"/>
  <c r="L100" i="21"/>
  <c r="AB100" i="21" s="1"/>
  <c r="J100" i="21"/>
  <c r="AA100" i="21" s="1"/>
  <c r="D101" i="21"/>
  <c r="C100" i="21"/>
  <c r="Z100" i="21" s="1"/>
  <c r="K159" i="21"/>
  <c r="F159" i="21"/>
  <c r="M159" i="21"/>
  <c r="N160" i="3"/>
  <c r="M161" i="3"/>
  <c r="AO115" i="13"/>
  <c r="W116" i="13" s="1"/>
  <c r="AR114" i="13"/>
  <c r="Z115" i="13" s="1"/>
  <c r="AQ115" i="13"/>
  <c r="Y116" i="13" s="1"/>
  <c r="AT115" i="13"/>
  <c r="AB116" i="13" s="1"/>
  <c r="AS115" i="13"/>
  <c r="AA116" i="13" s="1"/>
  <c r="AN115" i="13"/>
  <c r="V116" i="13" s="1"/>
  <c r="AP116" i="13"/>
  <c r="X117" i="13" s="1"/>
  <c r="AM115" i="13"/>
  <c r="U116" i="13" s="1"/>
  <c r="AC100" i="24" l="1"/>
  <c r="AK100" i="24" s="1"/>
  <c r="AC100" i="27"/>
  <c r="AK100" i="27" s="1"/>
  <c r="E101" i="27"/>
  <c r="I101" i="27"/>
  <c r="M164" i="27"/>
  <c r="F161" i="27"/>
  <c r="K160" i="27"/>
  <c r="E101" i="26"/>
  <c r="I101" i="26"/>
  <c r="M162" i="26"/>
  <c r="F160" i="26"/>
  <c r="K160" i="26"/>
  <c r="F159" i="25"/>
  <c r="K160" i="25"/>
  <c r="W100" i="25"/>
  <c r="Q100" i="25"/>
  <c r="S100" i="25" s="1"/>
  <c r="AD100" i="25" s="1"/>
  <c r="AL100" i="25" s="1"/>
  <c r="AN100" i="25"/>
  <c r="U100" i="25"/>
  <c r="J100" i="25"/>
  <c r="AA100" i="25" s="1"/>
  <c r="AI100" i="25" s="1"/>
  <c r="L100" i="25"/>
  <c r="AB100" i="25" s="1"/>
  <c r="AJ100" i="25" s="1"/>
  <c r="D101" i="25"/>
  <c r="C100" i="25"/>
  <c r="Z100" i="25" s="1"/>
  <c r="AH100" i="25" s="1"/>
  <c r="M161" i="25"/>
  <c r="F161" i="24"/>
  <c r="E101" i="24"/>
  <c r="I101" i="24"/>
  <c r="K160" i="24"/>
  <c r="M161" i="24"/>
  <c r="F160" i="23"/>
  <c r="K162" i="23"/>
  <c r="M163" i="23"/>
  <c r="G100" i="23"/>
  <c r="H100" i="23"/>
  <c r="Y100" i="23" s="1"/>
  <c r="AE100" i="23"/>
  <c r="F162" i="22"/>
  <c r="U100" i="22"/>
  <c r="W100" i="22"/>
  <c r="Q100" i="22"/>
  <c r="S100" i="22" s="1"/>
  <c r="AD100" i="22" s="1"/>
  <c r="L100" i="22"/>
  <c r="AB100" i="22" s="1"/>
  <c r="J100" i="22"/>
  <c r="AA100" i="22" s="1"/>
  <c r="D101" i="22"/>
  <c r="C100" i="22"/>
  <c r="Z100" i="22" s="1"/>
  <c r="K161" i="22"/>
  <c r="M162" i="22"/>
  <c r="M160" i="21"/>
  <c r="E101" i="21"/>
  <c r="I101" i="21"/>
  <c r="F160" i="21"/>
  <c r="K160" i="21"/>
  <c r="AC100" i="21"/>
  <c r="N161" i="3"/>
  <c r="M162" i="3"/>
  <c r="AP117" i="13"/>
  <c r="X118" i="13" s="1"/>
  <c r="AN116" i="13"/>
  <c r="V117" i="13" s="1"/>
  <c r="AT116" i="13"/>
  <c r="AB117" i="13" s="1"/>
  <c r="AR115" i="13"/>
  <c r="Z116" i="13" s="1"/>
  <c r="AS116" i="13"/>
  <c r="AA117" i="13" s="1"/>
  <c r="AQ116" i="13"/>
  <c r="Y117" i="13" s="1"/>
  <c r="AO116" i="13"/>
  <c r="W117" i="13" s="1"/>
  <c r="AM116" i="13"/>
  <c r="U117" i="13" s="1"/>
  <c r="AC100" i="25" l="1"/>
  <c r="AK100" i="25" s="1"/>
  <c r="M165" i="27"/>
  <c r="K161" i="27"/>
  <c r="G101" i="27"/>
  <c r="H101" i="27"/>
  <c r="Y101" i="27" s="1"/>
  <c r="AM101" i="27" s="1"/>
  <c r="F162" i="27"/>
  <c r="M163" i="26"/>
  <c r="K161" i="26"/>
  <c r="G101" i="26"/>
  <c r="H101" i="26"/>
  <c r="Y101" i="26" s="1"/>
  <c r="AM101" i="26" s="1"/>
  <c r="F161" i="26"/>
  <c r="E101" i="25"/>
  <c r="I101" i="25"/>
  <c r="K161" i="25"/>
  <c r="F160" i="25"/>
  <c r="M162" i="25"/>
  <c r="M162" i="24"/>
  <c r="G101" i="24"/>
  <c r="H101" i="24"/>
  <c r="Y101" i="24" s="1"/>
  <c r="AM101" i="24" s="1"/>
  <c r="K161" i="24"/>
  <c r="F162" i="24"/>
  <c r="AE101" i="27"/>
  <c r="AE101" i="26"/>
  <c r="AE101" i="24"/>
  <c r="M164" i="23"/>
  <c r="K163" i="23"/>
  <c r="D101" i="23"/>
  <c r="C100" i="23"/>
  <c r="Z100" i="23" s="1"/>
  <c r="F161" i="23"/>
  <c r="Q100" i="23"/>
  <c r="S100" i="23" s="1"/>
  <c r="AD100" i="23" s="1"/>
  <c r="U100" i="23"/>
  <c r="W100" i="23"/>
  <c r="L100" i="23"/>
  <c r="AB100" i="23" s="1"/>
  <c r="J100" i="23"/>
  <c r="AA100" i="23" s="1"/>
  <c r="M163" i="22"/>
  <c r="K162" i="22"/>
  <c r="E101" i="22"/>
  <c r="I101" i="22"/>
  <c r="F163" i="22"/>
  <c r="AC100" i="22"/>
  <c r="K161" i="21"/>
  <c r="G101" i="21"/>
  <c r="H101" i="21"/>
  <c r="Y101" i="21" s="1"/>
  <c r="M161" i="21"/>
  <c r="F161" i="21"/>
  <c r="AE101" i="21"/>
  <c r="N162" i="3"/>
  <c r="M163" i="3"/>
  <c r="AT117" i="13"/>
  <c r="AB118" i="13" s="1"/>
  <c r="AN117" i="13"/>
  <c r="V118" i="13" s="1"/>
  <c r="AP118" i="13"/>
  <c r="X119" i="13" s="1"/>
  <c r="AO117" i="13"/>
  <c r="W118" i="13" s="1"/>
  <c r="AQ117" i="13"/>
  <c r="Y118" i="13" s="1"/>
  <c r="AS117" i="13"/>
  <c r="AA118" i="13" s="1"/>
  <c r="AR116" i="13"/>
  <c r="Z117" i="13" s="1"/>
  <c r="AM117" i="13"/>
  <c r="U118" i="13" s="1"/>
  <c r="F163" i="27" l="1"/>
  <c r="W101" i="27"/>
  <c r="Q101" i="27"/>
  <c r="S101" i="27" s="1"/>
  <c r="AD101" i="27" s="1"/>
  <c r="AL101" i="27" s="1"/>
  <c r="U101" i="27"/>
  <c r="AN101" i="27"/>
  <c r="L101" i="27"/>
  <c r="J101" i="27"/>
  <c r="AA101" i="27" s="1"/>
  <c r="AI101" i="27" s="1"/>
  <c r="K162" i="27"/>
  <c r="D102" i="27"/>
  <c r="C101" i="27"/>
  <c r="Z101" i="27" s="1"/>
  <c r="AH101" i="27" s="1"/>
  <c r="M166" i="27"/>
  <c r="Q101" i="26"/>
  <c r="S101" i="26" s="1"/>
  <c r="AD101" i="26" s="1"/>
  <c r="AL101" i="26" s="1"/>
  <c r="U101" i="26"/>
  <c r="W101" i="26"/>
  <c r="AN101" i="26"/>
  <c r="L101" i="26"/>
  <c r="AB101" i="26" s="1"/>
  <c r="AJ101" i="26" s="1"/>
  <c r="J101" i="26"/>
  <c r="AA101" i="26" s="1"/>
  <c r="AI101" i="26" s="1"/>
  <c r="F162" i="26"/>
  <c r="K162" i="26"/>
  <c r="D102" i="26"/>
  <c r="C101" i="26"/>
  <c r="Z101" i="26" s="1"/>
  <c r="AH101" i="26" s="1"/>
  <c r="M164" i="26"/>
  <c r="K162" i="25"/>
  <c r="M163" i="25"/>
  <c r="F161" i="25"/>
  <c r="G101" i="25"/>
  <c r="H101" i="25"/>
  <c r="Y101" i="25" s="1"/>
  <c r="AM101" i="25" s="1"/>
  <c r="K162" i="24"/>
  <c r="D102" i="24"/>
  <c r="C101" i="24"/>
  <c r="Z101" i="24" s="1"/>
  <c r="AH101" i="24" s="1"/>
  <c r="U101" i="24"/>
  <c r="Q101" i="24"/>
  <c r="S101" i="24" s="1"/>
  <c r="AD101" i="24" s="1"/>
  <c r="AL101" i="24" s="1"/>
  <c r="W101" i="24"/>
  <c r="AN101" i="24"/>
  <c r="L101" i="24"/>
  <c r="AB101" i="24" s="1"/>
  <c r="AJ101" i="24" s="1"/>
  <c r="J101" i="24"/>
  <c r="AA101" i="24" s="1"/>
  <c r="AI101" i="24" s="1"/>
  <c r="M163" i="24"/>
  <c r="F163" i="24"/>
  <c r="AB101" i="27"/>
  <c r="AJ101" i="27" s="1"/>
  <c r="AE101" i="25"/>
  <c r="E101" i="23"/>
  <c r="I101" i="23"/>
  <c r="F162" i="23"/>
  <c r="K164" i="23"/>
  <c r="AC100" i="23"/>
  <c r="M165" i="23"/>
  <c r="G101" i="22"/>
  <c r="H101" i="22"/>
  <c r="Y101" i="22" s="1"/>
  <c r="F164" i="22"/>
  <c r="K163" i="22"/>
  <c r="M164" i="22"/>
  <c r="AE101" i="22"/>
  <c r="M162" i="21"/>
  <c r="U101" i="21"/>
  <c r="Q101" i="21"/>
  <c r="S101" i="21" s="1"/>
  <c r="AD101" i="21" s="1"/>
  <c r="W101" i="21"/>
  <c r="J101" i="21"/>
  <c r="AA101" i="21" s="1"/>
  <c r="L101" i="21"/>
  <c r="AB101" i="21" s="1"/>
  <c r="D102" i="21"/>
  <c r="C101" i="21"/>
  <c r="Z101" i="21" s="1"/>
  <c r="K162" i="21"/>
  <c r="F162" i="21"/>
  <c r="N163" i="3"/>
  <c r="M164" i="3"/>
  <c r="AR117" i="13"/>
  <c r="Z118" i="13" s="1"/>
  <c r="AS118" i="13"/>
  <c r="AA119" i="13" s="1"/>
  <c r="AQ118" i="13"/>
  <c r="Y119" i="13" s="1"/>
  <c r="AO118" i="13"/>
  <c r="W119" i="13" s="1"/>
  <c r="AP119" i="13"/>
  <c r="X120" i="13" s="1"/>
  <c r="AN118" i="13"/>
  <c r="V119" i="13" s="1"/>
  <c r="AT118" i="13"/>
  <c r="AB119" i="13" s="1"/>
  <c r="AM118" i="13"/>
  <c r="U119" i="13" s="1"/>
  <c r="AC101" i="27" l="1"/>
  <c r="AK101" i="27" s="1"/>
  <c r="AC101" i="21"/>
  <c r="F164" i="27"/>
  <c r="M167" i="27"/>
  <c r="E102" i="27"/>
  <c r="I102" i="27"/>
  <c r="K163" i="27"/>
  <c r="M165" i="26"/>
  <c r="E102" i="26"/>
  <c r="I102" i="26"/>
  <c r="K163" i="26"/>
  <c r="F163" i="26"/>
  <c r="K163" i="25"/>
  <c r="U101" i="25"/>
  <c r="W101" i="25"/>
  <c r="Q101" i="25"/>
  <c r="S101" i="25" s="1"/>
  <c r="AD101" i="25" s="1"/>
  <c r="AL101" i="25" s="1"/>
  <c r="AN101" i="25"/>
  <c r="L101" i="25"/>
  <c r="AB101" i="25" s="1"/>
  <c r="AJ101" i="25" s="1"/>
  <c r="J101" i="25"/>
  <c r="AA101" i="25" s="1"/>
  <c r="AI101" i="25" s="1"/>
  <c r="F162" i="25"/>
  <c r="D102" i="25"/>
  <c r="C101" i="25"/>
  <c r="Z101" i="25" s="1"/>
  <c r="AH101" i="25" s="1"/>
  <c r="M164" i="25"/>
  <c r="F164" i="24"/>
  <c r="M164" i="24"/>
  <c r="E102" i="24"/>
  <c r="I102" i="24"/>
  <c r="K163" i="24"/>
  <c r="AC101" i="26"/>
  <c r="AK101" i="26" s="1"/>
  <c r="AC101" i="24"/>
  <c r="AK101" i="24" s="1"/>
  <c r="F163" i="23"/>
  <c r="K165" i="23"/>
  <c r="G101" i="23"/>
  <c r="H101" i="23"/>
  <c r="Y101" i="23" s="1"/>
  <c r="AE101" i="23"/>
  <c r="M166" i="23"/>
  <c r="M165" i="22"/>
  <c r="K164" i="22"/>
  <c r="D102" i="22"/>
  <c r="C101" i="22"/>
  <c r="Z101" i="22" s="1"/>
  <c r="F165" i="22"/>
  <c r="W101" i="22"/>
  <c r="U101" i="22"/>
  <c r="Q101" i="22"/>
  <c r="S101" i="22" s="1"/>
  <c r="AD101" i="22" s="1"/>
  <c r="J101" i="22"/>
  <c r="AA101" i="22" s="1"/>
  <c r="L101" i="22"/>
  <c r="AB101" i="22" s="1"/>
  <c r="F163" i="21"/>
  <c r="K163" i="21"/>
  <c r="E102" i="21"/>
  <c r="I102" i="21"/>
  <c r="M163" i="21"/>
  <c r="N164" i="3"/>
  <c r="M165" i="3"/>
  <c r="AO119" i="13"/>
  <c r="W120" i="13" s="1"/>
  <c r="AQ119" i="13"/>
  <c r="Y120" i="13" s="1"/>
  <c r="AM119" i="13"/>
  <c r="U120" i="13" s="1"/>
  <c r="AP120" i="13"/>
  <c r="X121" i="13" s="1"/>
  <c r="AT119" i="13"/>
  <c r="AB120" i="13" s="1"/>
  <c r="AR118" i="13"/>
  <c r="Z119" i="13" s="1"/>
  <c r="AS119" i="13"/>
  <c r="AA120" i="13" s="1"/>
  <c r="AN119" i="13"/>
  <c r="V120" i="13" s="1"/>
  <c r="G102" i="27" l="1"/>
  <c r="H102" i="27"/>
  <c r="Y102" i="27" s="1"/>
  <c r="AM102" i="27" s="1"/>
  <c r="K164" i="27"/>
  <c r="M168" i="27"/>
  <c r="F165" i="27"/>
  <c r="F164" i="26"/>
  <c r="G102" i="26"/>
  <c r="H102" i="26"/>
  <c r="Y102" i="26" s="1"/>
  <c r="AM102" i="26" s="1"/>
  <c r="M166" i="26"/>
  <c r="K164" i="26"/>
  <c r="M165" i="25"/>
  <c r="K164" i="25"/>
  <c r="E102" i="25"/>
  <c r="I102" i="25"/>
  <c r="F163" i="25"/>
  <c r="G102" i="24"/>
  <c r="H102" i="24"/>
  <c r="Y102" i="24" s="1"/>
  <c r="AM102" i="24" s="1"/>
  <c r="K164" i="24"/>
  <c r="M165" i="24"/>
  <c r="F165" i="24"/>
  <c r="AE102" i="27"/>
  <c r="AE102" i="26"/>
  <c r="AC101" i="25"/>
  <c r="AK101" i="25" s="1"/>
  <c r="AE102" i="24"/>
  <c r="M167" i="23"/>
  <c r="F164" i="23"/>
  <c r="D102" i="23"/>
  <c r="C101" i="23"/>
  <c r="Z101" i="23" s="1"/>
  <c r="U101" i="23"/>
  <c r="W101" i="23"/>
  <c r="Q101" i="23"/>
  <c r="S101" i="23" s="1"/>
  <c r="AD101" i="23" s="1"/>
  <c r="J101" i="23"/>
  <c r="AA101" i="23" s="1"/>
  <c r="L101" i="23"/>
  <c r="AB101" i="23" s="1"/>
  <c r="K166" i="23"/>
  <c r="F166" i="22"/>
  <c r="E102" i="22"/>
  <c r="I102" i="22"/>
  <c r="K165" i="22"/>
  <c r="M166" i="22"/>
  <c r="AC101" i="22"/>
  <c r="G102" i="21"/>
  <c r="H102" i="21"/>
  <c r="Y102" i="21" s="1"/>
  <c r="M164" i="21"/>
  <c r="K164" i="21"/>
  <c r="F164" i="21"/>
  <c r="AE102" i="21"/>
  <c r="N165" i="3"/>
  <c r="M166" i="3"/>
  <c r="AS120" i="13"/>
  <c r="AA121" i="13" s="1"/>
  <c r="AR119" i="13"/>
  <c r="Z120" i="13" s="1"/>
  <c r="AT120" i="13"/>
  <c r="AB121" i="13" s="1"/>
  <c r="AP121" i="13"/>
  <c r="X122" i="13" s="1"/>
  <c r="AQ120" i="13"/>
  <c r="Y121" i="13" s="1"/>
  <c r="AN120" i="13"/>
  <c r="V121" i="13" s="1"/>
  <c r="AO120" i="13"/>
  <c r="W121" i="13" s="1"/>
  <c r="AM120" i="13"/>
  <c r="U121" i="13" s="1"/>
  <c r="AC101" i="23" l="1"/>
  <c r="M169" i="27"/>
  <c r="D103" i="27"/>
  <c r="C102" i="27"/>
  <c r="Z102" i="27" s="1"/>
  <c r="AH102" i="27" s="1"/>
  <c r="F166" i="27"/>
  <c r="K165" i="27"/>
  <c r="U102" i="27"/>
  <c r="AC102" i="27" s="1"/>
  <c r="AK102" i="27" s="1"/>
  <c r="Q102" i="27"/>
  <c r="S102" i="27" s="1"/>
  <c r="AD102" i="27" s="1"/>
  <c r="AL102" i="27" s="1"/>
  <c r="W102" i="27"/>
  <c r="AN102" i="27"/>
  <c r="L102" i="27"/>
  <c r="AB102" i="27" s="1"/>
  <c r="AJ102" i="27" s="1"/>
  <c r="J102" i="27"/>
  <c r="AA102" i="27" s="1"/>
  <c r="AI102" i="27" s="1"/>
  <c r="M167" i="26"/>
  <c r="D103" i="26"/>
  <c r="C102" i="26"/>
  <c r="Z102" i="26" s="1"/>
  <c r="AH102" i="26" s="1"/>
  <c r="Q102" i="26"/>
  <c r="S102" i="26" s="1"/>
  <c r="AD102" i="26" s="1"/>
  <c r="AL102" i="26" s="1"/>
  <c r="U102" i="26"/>
  <c r="AN102" i="26"/>
  <c r="W102" i="26"/>
  <c r="L102" i="26"/>
  <c r="AB102" i="26" s="1"/>
  <c r="AJ102" i="26" s="1"/>
  <c r="J102" i="26"/>
  <c r="AA102" i="26" s="1"/>
  <c r="AI102" i="26" s="1"/>
  <c r="F165" i="26"/>
  <c r="K165" i="26"/>
  <c r="G102" i="25"/>
  <c r="H102" i="25"/>
  <c r="Y102" i="25" s="1"/>
  <c r="AM102" i="25" s="1"/>
  <c r="F164" i="25"/>
  <c r="K165" i="25"/>
  <c r="M166" i="25"/>
  <c r="M166" i="24"/>
  <c r="D103" i="24"/>
  <c r="C102" i="24"/>
  <c r="Z102" i="24" s="1"/>
  <c r="AH102" i="24" s="1"/>
  <c r="K165" i="24"/>
  <c r="W102" i="24"/>
  <c r="U102" i="24"/>
  <c r="Q102" i="24"/>
  <c r="S102" i="24" s="1"/>
  <c r="AD102" i="24" s="1"/>
  <c r="AL102" i="24" s="1"/>
  <c r="AN102" i="24"/>
  <c r="J102" i="24"/>
  <c r="AA102" i="24" s="1"/>
  <c r="AI102" i="24" s="1"/>
  <c r="L102" i="24"/>
  <c r="AB102" i="24" s="1"/>
  <c r="AJ102" i="24" s="1"/>
  <c r="F166" i="24"/>
  <c r="AE102" i="25"/>
  <c r="E102" i="23"/>
  <c r="I102" i="23"/>
  <c r="F165" i="23"/>
  <c r="K167" i="23"/>
  <c r="M168" i="23"/>
  <c r="K166" i="22"/>
  <c r="M167" i="22"/>
  <c r="G102" i="22"/>
  <c r="H102" i="22"/>
  <c r="Y102" i="22" s="1"/>
  <c r="F167" i="22"/>
  <c r="AE102" i="22"/>
  <c r="K165" i="21"/>
  <c r="D103" i="21"/>
  <c r="C102" i="21"/>
  <c r="Z102" i="21" s="1"/>
  <c r="M165" i="21"/>
  <c r="Q102" i="21"/>
  <c r="S102" i="21" s="1"/>
  <c r="AD102" i="21" s="1"/>
  <c r="U102" i="21"/>
  <c r="W102" i="21"/>
  <c r="J102" i="21"/>
  <c r="AA102" i="21" s="1"/>
  <c r="L102" i="21"/>
  <c r="AB102" i="21" s="1"/>
  <c r="F165" i="21"/>
  <c r="N166" i="3"/>
  <c r="M167" i="3"/>
  <c r="AO121" i="13"/>
  <c r="W122" i="13" s="1"/>
  <c r="AN121" i="13"/>
  <c r="V122" i="13" s="1"/>
  <c r="AQ121" i="13"/>
  <c r="Y122" i="13" s="1"/>
  <c r="AP122" i="13"/>
  <c r="X123" i="13" s="1"/>
  <c r="AT121" i="13"/>
  <c r="AB122" i="13" s="1"/>
  <c r="AR120" i="13"/>
  <c r="Z121" i="13" s="1"/>
  <c r="AS121" i="13"/>
  <c r="AA122" i="13" s="1"/>
  <c r="AM121" i="13"/>
  <c r="U122" i="13" s="1"/>
  <c r="AC102" i="21" l="1"/>
  <c r="AC102" i="24"/>
  <c r="AK102" i="24" s="1"/>
  <c r="K166" i="27"/>
  <c r="F167" i="27"/>
  <c r="E103" i="27"/>
  <c r="I103" i="27"/>
  <c r="M170" i="27"/>
  <c r="K166" i="26"/>
  <c r="F166" i="26"/>
  <c r="E103" i="26"/>
  <c r="I103" i="26"/>
  <c r="M168" i="26"/>
  <c r="D103" i="25"/>
  <c r="C102" i="25"/>
  <c r="Z102" i="25" s="1"/>
  <c r="AH102" i="25" s="1"/>
  <c r="F165" i="25"/>
  <c r="K166" i="25"/>
  <c r="M167" i="25"/>
  <c r="Q102" i="25"/>
  <c r="S102" i="25" s="1"/>
  <c r="AD102" i="25" s="1"/>
  <c r="AL102" i="25" s="1"/>
  <c r="AN102" i="25"/>
  <c r="W102" i="25"/>
  <c r="U102" i="25"/>
  <c r="J102" i="25"/>
  <c r="AA102" i="25" s="1"/>
  <c r="AI102" i="25" s="1"/>
  <c r="L102" i="25"/>
  <c r="AB102" i="25" s="1"/>
  <c r="AJ102" i="25" s="1"/>
  <c r="F167" i="24"/>
  <c r="K166" i="24"/>
  <c r="E103" i="24"/>
  <c r="I103" i="24"/>
  <c r="M167" i="24"/>
  <c r="AC102" i="26"/>
  <c r="AK102" i="26" s="1"/>
  <c r="F166" i="23"/>
  <c r="M169" i="23"/>
  <c r="G102" i="23"/>
  <c r="H102" i="23"/>
  <c r="Y102" i="23" s="1"/>
  <c r="AE102" i="23"/>
  <c r="K168" i="23"/>
  <c r="Q102" i="22"/>
  <c r="U102" i="22"/>
  <c r="W102" i="22"/>
  <c r="L102" i="22"/>
  <c r="AB102" i="22" s="1"/>
  <c r="J102" i="22"/>
  <c r="AA102" i="22" s="1"/>
  <c r="M168" i="22"/>
  <c r="D103" i="22"/>
  <c r="C102" i="22"/>
  <c r="Z102" i="22" s="1"/>
  <c r="F168" i="22"/>
  <c r="K167" i="22"/>
  <c r="S102" i="22"/>
  <c r="AD102" i="22" s="1"/>
  <c r="M166" i="21"/>
  <c r="F166" i="21"/>
  <c r="E103" i="21"/>
  <c r="I103" i="21"/>
  <c r="K166" i="21"/>
  <c r="N167" i="3"/>
  <c r="M168" i="3"/>
  <c r="AT122" i="13"/>
  <c r="AB123" i="13" s="1"/>
  <c r="AP123" i="13"/>
  <c r="X124" i="13" s="1"/>
  <c r="AQ122" i="13"/>
  <c r="Y123" i="13" s="1"/>
  <c r="AS122" i="13"/>
  <c r="AA123" i="13" s="1"/>
  <c r="AO122" i="13"/>
  <c r="W123" i="13" s="1"/>
  <c r="AM122" i="13"/>
  <c r="U123" i="13" s="1"/>
  <c r="AN122" i="13"/>
  <c r="V123" i="13" s="1"/>
  <c r="AR121" i="13"/>
  <c r="Z122" i="13" s="1"/>
  <c r="G103" i="27" l="1"/>
  <c r="H103" i="27"/>
  <c r="Y103" i="27" s="1"/>
  <c r="AM103" i="27" s="1"/>
  <c r="F168" i="27"/>
  <c r="K167" i="27"/>
  <c r="G103" i="26"/>
  <c r="H103" i="26"/>
  <c r="Y103" i="26" s="1"/>
  <c r="AM103" i="26" s="1"/>
  <c r="F167" i="26"/>
  <c r="M169" i="26"/>
  <c r="K167" i="26"/>
  <c r="F166" i="25"/>
  <c r="M168" i="25"/>
  <c r="K167" i="25"/>
  <c r="E103" i="25"/>
  <c r="I103" i="25"/>
  <c r="G103" i="24"/>
  <c r="H103" i="24"/>
  <c r="Y103" i="24" s="1"/>
  <c r="AM103" i="24" s="1"/>
  <c r="M168" i="24"/>
  <c r="K167" i="24"/>
  <c r="F168" i="24"/>
  <c r="AE103" i="27"/>
  <c r="AE103" i="26"/>
  <c r="AC102" i="25"/>
  <c r="AK102" i="25" s="1"/>
  <c r="AE103" i="24"/>
  <c r="D103" i="23"/>
  <c r="C102" i="23"/>
  <c r="Z102" i="23" s="1"/>
  <c r="M170" i="23"/>
  <c r="K169" i="23"/>
  <c r="F167" i="23"/>
  <c r="W102" i="23"/>
  <c r="U102" i="23"/>
  <c r="Q102" i="23"/>
  <c r="S102" i="23" s="1"/>
  <c r="AD102" i="23" s="1"/>
  <c r="L102" i="23"/>
  <c r="AB102" i="23" s="1"/>
  <c r="J102" i="23"/>
  <c r="AA102" i="23" s="1"/>
  <c r="K168" i="22"/>
  <c r="M169" i="22"/>
  <c r="F169" i="22"/>
  <c r="E103" i="22"/>
  <c r="I103" i="22"/>
  <c r="AC102" i="22"/>
  <c r="G103" i="21"/>
  <c r="H103" i="21"/>
  <c r="Y103" i="21" s="1"/>
  <c r="K167" i="21"/>
  <c r="F167" i="21"/>
  <c r="M167" i="21"/>
  <c r="AE103" i="21"/>
  <c r="N168" i="3"/>
  <c r="M169" i="3"/>
  <c r="AQ123" i="13"/>
  <c r="Y124" i="13" s="1"/>
  <c r="AN123" i="13"/>
  <c r="V124" i="13" s="1"/>
  <c r="AM123" i="13"/>
  <c r="U124" i="13" s="1"/>
  <c r="AO123" i="13"/>
  <c r="W124" i="13" s="1"/>
  <c r="AS123" i="13"/>
  <c r="AA124" i="13" s="1"/>
  <c r="AR122" i="13"/>
  <c r="Z123" i="13" s="1"/>
  <c r="AT123" i="13"/>
  <c r="AB124" i="13" s="1"/>
  <c r="AP124" i="13"/>
  <c r="X125" i="13" s="1"/>
  <c r="AP125" i="13" s="1"/>
  <c r="AC102" i="23" l="1"/>
  <c r="F169" i="27"/>
  <c r="D104" i="27"/>
  <c r="C103" i="27"/>
  <c r="Z103" i="27" s="1"/>
  <c r="AH103" i="27" s="1"/>
  <c r="W103" i="27"/>
  <c r="Q103" i="27"/>
  <c r="S103" i="27" s="1"/>
  <c r="AD103" i="27" s="1"/>
  <c r="AL103" i="27" s="1"/>
  <c r="U103" i="27"/>
  <c r="AC103" i="27" s="1"/>
  <c r="AK103" i="27" s="1"/>
  <c r="AN103" i="27"/>
  <c r="L103" i="27"/>
  <c r="AB103" i="27" s="1"/>
  <c r="AJ103" i="27" s="1"/>
  <c r="J103" i="27"/>
  <c r="AA103" i="27" s="1"/>
  <c r="AI103" i="27" s="1"/>
  <c r="K168" i="27"/>
  <c r="K168" i="26"/>
  <c r="M170" i="26"/>
  <c r="F168" i="26"/>
  <c r="D104" i="26"/>
  <c r="C103" i="26"/>
  <c r="Z103" i="26" s="1"/>
  <c r="AH103" i="26" s="1"/>
  <c r="U103" i="26"/>
  <c r="W103" i="26"/>
  <c r="Q103" i="26"/>
  <c r="S103" i="26" s="1"/>
  <c r="AD103" i="26" s="1"/>
  <c r="AL103" i="26" s="1"/>
  <c r="AN103" i="26"/>
  <c r="L103" i="26"/>
  <c r="AB103" i="26" s="1"/>
  <c r="AJ103" i="26" s="1"/>
  <c r="J103" i="26"/>
  <c r="AA103" i="26" s="1"/>
  <c r="AI103" i="26" s="1"/>
  <c r="G103" i="25"/>
  <c r="H103" i="25"/>
  <c r="Y103" i="25" s="1"/>
  <c r="AM103" i="25" s="1"/>
  <c r="K168" i="25"/>
  <c r="M169" i="25"/>
  <c r="F167" i="25"/>
  <c r="D104" i="24"/>
  <c r="C103" i="24"/>
  <c r="Z103" i="24" s="1"/>
  <c r="AH103" i="24" s="1"/>
  <c r="K168" i="24"/>
  <c r="M169" i="24"/>
  <c r="F169" i="24"/>
  <c r="W103" i="24"/>
  <c r="U103" i="24"/>
  <c r="Q103" i="24"/>
  <c r="S103" i="24" s="1"/>
  <c r="AD103" i="24" s="1"/>
  <c r="AL103" i="24" s="1"/>
  <c r="AN103" i="24"/>
  <c r="L103" i="24"/>
  <c r="AB103" i="24" s="1"/>
  <c r="AJ103" i="24" s="1"/>
  <c r="J103" i="24"/>
  <c r="AA103" i="24" s="1"/>
  <c r="AI103" i="24" s="1"/>
  <c r="AE103" i="25"/>
  <c r="F168" i="23"/>
  <c r="E103" i="23"/>
  <c r="I103" i="23"/>
  <c r="K170" i="23"/>
  <c r="G103" i="22"/>
  <c r="H103" i="22"/>
  <c r="Y103" i="22" s="1"/>
  <c r="F170" i="22"/>
  <c r="M170" i="22"/>
  <c r="K169" i="22"/>
  <c r="AE103" i="22"/>
  <c r="F168" i="21"/>
  <c r="D104" i="21"/>
  <c r="C103" i="21"/>
  <c r="Z103" i="21" s="1"/>
  <c r="K168" i="21"/>
  <c r="W103" i="21"/>
  <c r="U103" i="21"/>
  <c r="Q103" i="21"/>
  <c r="S103" i="21" s="1"/>
  <c r="AD103" i="21" s="1"/>
  <c r="J103" i="21"/>
  <c r="AA103" i="21" s="1"/>
  <c r="L103" i="21"/>
  <c r="AB103" i="21" s="1"/>
  <c r="M168" i="21"/>
  <c r="N169" i="3"/>
  <c r="M170" i="3"/>
  <c r="AS124" i="13"/>
  <c r="AA125" i="13" s="1"/>
  <c r="AS125" i="13" s="1"/>
  <c r="AT124" i="13"/>
  <c r="AB125" i="13" s="1"/>
  <c r="AT125" i="13" s="1"/>
  <c r="AO124" i="13"/>
  <c r="W125" i="13" s="1"/>
  <c r="AO125" i="13" s="1"/>
  <c r="AN124" i="13"/>
  <c r="V125" i="13" s="1"/>
  <c r="AN125" i="13" s="1"/>
  <c r="AR123" i="13"/>
  <c r="Z124" i="13" s="1"/>
  <c r="AQ124" i="13"/>
  <c r="Y125" i="13" s="1"/>
  <c r="AQ125" i="13" s="1"/>
  <c r="AM124" i="13"/>
  <c r="U125" i="13" s="1"/>
  <c r="AC103" i="21" l="1"/>
  <c r="AC103" i="26"/>
  <c r="AK103" i="26" s="1"/>
  <c r="K169" i="27"/>
  <c r="E104" i="27"/>
  <c r="I104" i="27"/>
  <c r="F170" i="27"/>
  <c r="E104" i="26"/>
  <c r="I104" i="26"/>
  <c r="F169" i="26"/>
  <c r="K169" i="26"/>
  <c r="M170" i="25"/>
  <c r="D104" i="25"/>
  <c r="C103" i="25"/>
  <c r="Z103" i="25" s="1"/>
  <c r="AH103" i="25" s="1"/>
  <c r="K169" i="25"/>
  <c r="F168" i="25"/>
  <c r="AN103" i="25"/>
  <c r="Q103" i="25"/>
  <c r="S103" i="25" s="1"/>
  <c r="AD103" i="25" s="1"/>
  <c r="AL103" i="25" s="1"/>
  <c r="U103" i="25"/>
  <c r="W103" i="25"/>
  <c r="L103" i="25"/>
  <c r="AB103" i="25" s="1"/>
  <c r="AJ103" i="25" s="1"/>
  <c r="J103" i="25"/>
  <c r="AA103" i="25" s="1"/>
  <c r="AI103" i="25" s="1"/>
  <c r="F170" i="24"/>
  <c r="M170" i="24"/>
  <c r="K169" i="24"/>
  <c r="E104" i="24"/>
  <c r="I104" i="24"/>
  <c r="AC103" i="24"/>
  <c r="AK103" i="24" s="1"/>
  <c r="F169" i="23"/>
  <c r="G103" i="23"/>
  <c r="H103" i="23"/>
  <c r="Y103" i="23" s="1"/>
  <c r="AE103" i="23"/>
  <c r="K170" i="22"/>
  <c r="D104" i="22"/>
  <c r="C103" i="22"/>
  <c r="Z103" i="22" s="1"/>
  <c r="W103" i="22"/>
  <c r="Q103" i="22"/>
  <c r="S103" i="22" s="1"/>
  <c r="AD103" i="22" s="1"/>
  <c r="U103" i="22"/>
  <c r="L103" i="22"/>
  <c r="AB103" i="22" s="1"/>
  <c r="J103" i="22"/>
  <c r="AA103" i="22" s="1"/>
  <c r="M169" i="21"/>
  <c r="K169" i="21"/>
  <c r="E104" i="21"/>
  <c r="I104" i="21"/>
  <c r="F169" i="21"/>
  <c r="N170" i="3"/>
  <c r="AM125" i="13"/>
  <c r="AR124" i="13"/>
  <c r="Z125" i="13" s="1"/>
  <c r="AR125" i="13" s="1"/>
  <c r="AC103" i="25" l="1"/>
  <c r="AK103" i="25" s="1"/>
  <c r="G104" i="27"/>
  <c r="H104" i="27"/>
  <c r="K170" i="27"/>
  <c r="F170" i="26"/>
  <c r="K170" i="26"/>
  <c r="G104" i="26"/>
  <c r="H104" i="26"/>
  <c r="Y104" i="26" s="1"/>
  <c r="AM104" i="26" s="1"/>
  <c r="F169" i="25"/>
  <c r="K170" i="25"/>
  <c r="E104" i="25"/>
  <c r="I104" i="25"/>
  <c r="K170" i="24"/>
  <c r="G104" i="24"/>
  <c r="H104" i="24"/>
  <c r="Y104" i="24" s="1"/>
  <c r="AM104" i="24" s="1"/>
  <c r="Y104" i="27"/>
  <c r="AM104" i="27" s="1"/>
  <c r="AE104" i="27"/>
  <c r="AE104" i="26"/>
  <c r="AE104" i="24"/>
  <c r="Q103" i="23"/>
  <c r="S103" i="23" s="1"/>
  <c r="AD103" i="23" s="1"/>
  <c r="W103" i="23"/>
  <c r="U103" i="23"/>
  <c r="L103" i="23"/>
  <c r="AB103" i="23" s="1"/>
  <c r="J103" i="23"/>
  <c r="AA103" i="23" s="1"/>
  <c r="D104" i="23"/>
  <c r="C103" i="23"/>
  <c r="Z103" i="23" s="1"/>
  <c r="F170" i="23"/>
  <c r="E104" i="22"/>
  <c r="I104" i="22"/>
  <c r="AC103" i="22"/>
  <c r="G104" i="21"/>
  <c r="H104" i="21"/>
  <c r="Y104" i="21" s="1"/>
  <c r="F170" i="21"/>
  <c r="K170" i="21"/>
  <c r="M170" i="21"/>
  <c r="AE104" i="21"/>
  <c r="AC103" i="23" l="1"/>
  <c r="D105" i="27"/>
  <c r="C104" i="27"/>
  <c r="Z104" i="27" s="1"/>
  <c r="AH104" i="27" s="1"/>
  <c r="U104" i="27"/>
  <c r="Q104" i="27"/>
  <c r="W104" i="27"/>
  <c r="AN104" i="27"/>
  <c r="L104" i="27"/>
  <c r="AB104" i="27" s="1"/>
  <c r="AJ104" i="27" s="1"/>
  <c r="J104" i="27"/>
  <c r="AA104" i="27" s="1"/>
  <c r="AI104" i="27" s="1"/>
  <c r="D105" i="26"/>
  <c r="C104" i="26"/>
  <c r="Z104" i="26" s="1"/>
  <c r="AH104" i="26" s="1"/>
  <c r="U104" i="26"/>
  <c r="W104" i="26"/>
  <c r="AN104" i="26"/>
  <c r="Q104" i="26"/>
  <c r="S104" i="26" s="1"/>
  <c r="AD104" i="26" s="1"/>
  <c r="AL104" i="26" s="1"/>
  <c r="L104" i="26"/>
  <c r="AB104" i="26" s="1"/>
  <c r="AJ104" i="26" s="1"/>
  <c r="J104" i="26"/>
  <c r="AA104" i="26" s="1"/>
  <c r="AI104" i="26" s="1"/>
  <c r="G104" i="25"/>
  <c r="H104" i="25"/>
  <c r="Y104" i="25" s="1"/>
  <c r="AM104" i="25" s="1"/>
  <c r="F170" i="25"/>
  <c r="D105" i="24"/>
  <c r="C104" i="24"/>
  <c r="Z104" i="24" s="1"/>
  <c r="AH104" i="24" s="1"/>
  <c r="W104" i="24"/>
  <c r="AN104" i="24"/>
  <c r="U104" i="24"/>
  <c r="Q104" i="24"/>
  <c r="S104" i="24" s="1"/>
  <c r="AD104" i="24" s="1"/>
  <c r="AL104" i="24" s="1"/>
  <c r="L104" i="24"/>
  <c r="AB104" i="24" s="1"/>
  <c r="AJ104" i="24" s="1"/>
  <c r="J104" i="24"/>
  <c r="AA104" i="24" s="1"/>
  <c r="AI104" i="24" s="1"/>
  <c r="S104" i="27"/>
  <c r="AD104" i="27" s="1"/>
  <c r="AL104" i="27" s="1"/>
  <c r="AE104" i="25"/>
  <c r="E104" i="23"/>
  <c r="I104" i="23"/>
  <c r="G104" i="22"/>
  <c r="H104" i="22"/>
  <c r="Y104" i="22" s="1"/>
  <c r="AE104" i="22"/>
  <c r="D105" i="21"/>
  <c r="C104" i="21"/>
  <c r="Z104" i="21" s="1"/>
  <c r="W104" i="21"/>
  <c r="Q104" i="21"/>
  <c r="S104" i="21" s="1"/>
  <c r="AD104" i="21" s="1"/>
  <c r="U104" i="21"/>
  <c r="L104" i="21"/>
  <c r="AB104" i="21" s="1"/>
  <c r="J104" i="21"/>
  <c r="AA104" i="21" s="1"/>
  <c r="AC104" i="21" l="1"/>
  <c r="E105" i="27"/>
  <c r="I105" i="27"/>
  <c r="E105" i="26"/>
  <c r="I105" i="26"/>
  <c r="D105" i="25"/>
  <c r="C104" i="25"/>
  <c r="Z104" i="25" s="1"/>
  <c r="AH104" i="25" s="1"/>
  <c r="Q104" i="25"/>
  <c r="S104" i="25" s="1"/>
  <c r="AD104" i="25" s="1"/>
  <c r="AL104" i="25" s="1"/>
  <c r="U104" i="25"/>
  <c r="AN104" i="25"/>
  <c r="W104" i="25"/>
  <c r="L104" i="25"/>
  <c r="AB104" i="25" s="1"/>
  <c r="AJ104" i="25" s="1"/>
  <c r="J104" i="25"/>
  <c r="AA104" i="25" s="1"/>
  <c r="AI104" i="25" s="1"/>
  <c r="E105" i="24"/>
  <c r="I105" i="24"/>
  <c r="AC104" i="27"/>
  <c r="AK104" i="27" s="1"/>
  <c r="AC104" i="26"/>
  <c r="AK104" i="26" s="1"/>
  <c r="AC104" i="24"/>
  <c r="AK104" i="24" s="1"/>
  <c r="G104" i="23"/>
  <c r="H104" i="23"/>
  <c r="Y104" i="23" s="1"/>
  <c r="AE104" i="23"/>
  <c r="D105" i="22"/>
  <c r="C104" i="22"/>
  <c r="Z104" i="22" s="1"/>
  <c r="W104" i="22"/>
  <c r="U104" i="22"/>
  <c r="Q104" i="22"/>
  <c r="S104" i="22" s="1"/>
  <c r="AD104" i="22" s="1"/>
  <c r="L104" i="22"/>
  <c r="AB104" i="22" s="1"/>
  <c r="J104" i="22"/>
  <c r="AA104" i="22" s="1"/>
  <c r="E105" i="21"/>
  <c r="I105" i="21"/>
  <c r="AC104" i="22" l="1"/>
  <c r="G105" i="27"/>
  <c r="H105" i="27"/>
  <c r="Y105" i="27" s="1"/>
  <c r="AM105" i="27" s="1"/>
  <c r="G105" i="26"/>
  <c r="H105" i="26"/>
  <c r="Y105" i="26" s="1"/>
  <c r="AM105" i="26" s="1"/>
  <c r="E105" i="25"/>
  <c r="I105" i="25"/>
  <c r="G105" i="24"/>
  <c r="H105" i="24"/>
  <c r="Y105" i="24" s="1"/>
  <c r="AM105" i="24" s="1"/>
  <c r="AE105" i="27"/>
  <c r="AE105" i="26"/>
  <c r="AC104" i="25"/>
  <c r="AK104" i="25" s="1"/>
  <c r="AE105" i="24"/>
  <c r="D105" i="23"/>
  <c r="C104" i="23"/>
  <c r="Z104" i="23" s="1"/>
  <c r="Q104" i="23"/>
  <c r="S104" i="23" s="1"/>
  <c r="AD104" i="23" s="1"/>
  <c r="U104" i="23"/>
  <c r="W104" i="23"/>
  <c r="J104" i="23"/>
  <c r="AA104" i="23" s="1"/>
  <c r="L104" i="23"/>
  <c r="AB104" i="23" s="1"/>
  <c r="E105" i="22"/>
  <c r="I105" i="22"/>
  <c r="G105" i="21"/>
  <c r="H105" i="21"/>
  <c r="Y105" i="21" s="1"/>
  <c r="AE105" i="21"/>
  <c r="AC104" i="23" l="1"/>
  <c r="D106" i="27"/>
  <c r="C105" i="27"/>
  <c r="Z105" i="27" s="1"/>
  <c r="AH105" i="27" s="1"/>
  <c r="Q105" i="27"/>
  <c r="S105" i="27" s="1"/>
  <c r="AD105" i="27" s="1"/>
  <c r="AL105" i="27" s="1"/>
  <c r="W105" i="27"/>
  <c r="U105" i="27"/>
  <c r="AC105" i="27" s="1"/>
  <c r="AK105" i="27" s="1"/>
  <c r="AN105" i="27"/>
  <c r="L105" i="27"/>
  <c r="AB105" i="27" s="1"/>
  <c r="AJ105" i="27" s="1"/>
  <c r="J105" i="27"/>
  <c r="AA105" i="27" s="1"/>
  <c r="AI105" i="27" s="1"/>
  <c r="D106" i="26"/>
  <c r="C105" i="26"/>
  <c r="Z105" i="26" s="1"/>
  <c r="AH105" i="26" s="1"/>
  <c r="Q105" i="26"/>
  <c r="S105" i="26" s="1"/>
  <c r="AD105" i="26" s="1"/>
  <c r="AL105" i="26" s="1"/>
  <c r="U105" i="26"/>
  <c r="AN105" i="26"/>
  <c r="W105" i="26"/>
  <c r="AC105" i="26" s="1"/>
  <c r="AK105" i="26" s="1"/>
  <c r="L105" i="26"/>
  <c r="AB105" i="26" s="1"/>
  <c r="AJ105" i="26" s="1"/>
  <c r="J105" i="26"/>
  <c r="AA105" i="26" s="1"/>
  <c r="AI105" i="26" s="1"/>
  <c r="G105" i="25"/>
  <c r="H105" i="25"/>
  <c r="Y105" i="25" s="1"/>
  <c r="AM105" i="25" s="1"/>
  <c r="D106" i="24"/>
  <c r="C105" i="24"/>
  <c r="Z105" i="24" s="1"/>
  <c r="AH105" i="24" s="1"/>
  <c r="W105" i="24"/>
  <c r="U105" i="24"/>
  <c r="AN105" i="24"/>
  <c r="Q105" i="24"/>
  <c r="S105" i="24" s="1"/>
  <c r="AD105" i="24" s="1"/>
  <c r="AL105" i="24" s="1"/>
  <c r="L105" i="24"/>
  <c r="AB105" i="24" s="1"/>
  <c r="AJ105" i="24" s="1"/>
  <c r="J105" i="24"/>
  <c r="AA105" i="24" s="1"/>
  <c r="AI105" i="24" s="1"/>
  <c r="AE105" i="25"/>
  <c r="E105" i="23"/>
  <c r="I105" i="23"/>
  <c r="G105" i="22"/>
  <c r="H105" i="22"/>
  <c r="Y105" i="22" s="1"/>
  <c r="AE105" i="22"/>
  <c r="D106" i="21"/>
  <c r="C105" i="21"/>
  <c r="Z105" i="21" s="1"/>
  <c r="U105" i="21"/>
  <c r="W105" i="21"/>
  <c r="Q105" i="21"/>
  <c r="S105" i="21" s="1"/>
  <c r="AD105" i="21" s="1"/>
  <c r="J105" i="21"/>
  <c r="AA105" i="21" s="1"/>
  <c r="L105" i="21"/>
  <c r="AB105" i="21" s="1"/>
  <c r="AC105" i="21" l="1"/>
  <c r="E106" i="27"/>
  <c r="I106" i="27"/>
  <c r="E106" i="26"/>
  <c r="I106" i="26"/>
  <c r="D106" i="25"/>
  <c r="C105" i="25"/>
  <c r="Z105" i="25" s="1"/>
  <c r="AH105" i="25" s="1"/>
  <c r="W105" i="25"/>
  <c r="Q105" i="25"/>
  <c r="AN105" i="25"/>
  <c r="U105" i="25"/>
  <c r="L105" i="25"/>
  <c r="AB105" i="25" s="1"/>
  <c r="AJ105" i="25" s="1"/>
  <c r="J105" i="25"/>
  <c r="AA105" i="25" s="1"/>
  <c r="AI105" i="25" s="1"/>
  <c r="E106" i="24"/>
  <c r="I106" i="24"/>
  <c r="S105" i="25"/>
  <c r="AD105" i="25" s="1"/>
  <c r="AL105" i="25" s="1"/>
  <c r="AC105" i="24"/>
  <c r="AK105" i="24" s="1"/>
  <c r="G105" i="23"/>
  <c r="H105" i="23"/>
  <c r="Y105" i="23" s="1"/>
  <c r="AE105" i="23"/>
  <c r="D106" i="22"/>
  <c r="C105" i="22"/>
  <c r="Z105" i="22" s="1"/>
  <c r="W105" i="22"/>
  <c r="Q105" i="22"/>
  <c r="S105" i="22" s="1"/>
  <c r="AD105" i="22" s="1"/>
  <c r="U105" i="22"/>
  <c r="L105" i="22"/>
  <c r="AB105" i="22" s="1"/>
  <c r="J105" i="22"/>
  <c r="AA105" i="22" s="1"/>
  <c r="E106" i="21"/>
  <c r="I106" i="21"/>
  <c r="AC105" i="22" l="1"/>
  <c r="G106" i="27"/>
  <c r="H106" i="27"/>
  <c r="Y106" i="27" s="1"/>
  <c r="AM106" i="27" s="1"/>
  <c r="G106" i="26"/>
  <c r="H106" i="26"/>
  <c r="Y106" i="26" s="1"/>
  <c r="AM106" i="26" s="1"/>
  <c r="E106" i="25"/>
  <c r="I106" i="25"/>
  <c r="G106" i="24"/>
  <c r="H106" i="24"/>
  <c r="Y106" i="24" s="1"/>
  <c r="AM106" i="24" s="1"/>
  <c r="AE106" i="27"/>
  <c r="AE106" i="26"/>
  <c r="AC105" i="25"/>
  <c r="AK105" i="25" s="1"/>
  <c r="AE106" i="24"/>
  <c r="D106" i="23"/>
  <c r="C105" i="23"/>
  <c r="Z105" i="23" s="1"/>
  <c r="U105" i="23"/>
  <c r="Q105" i="23"/>
  <c r="S105" i="23" s="1"/>
  <c r="AD105" i="23" s="1"/>
  <c r="W105" i="23"/>
  <c r="L105" i="23"/>
  <c r="AB105" i="23" s="1"/>
  <c r="J105" i="23"/>
  <c r="AA105" i="23" s="1"/>
  <c r="E106" i="22"/>
  <c r="I106" i="22"/>
  <c r="G106" i="21"/>
  <c r="H106" i="21"/>
  <c r="Y106" i="21" s="1"/>
  <c r="AE106" i="21"/>
  <c r="AC105" i="23" l="1"/>
  <c r="D107" i="27"/>
  <c r="C106" i="27"/>
  <c r="Z106" i="27" s="1"/>
  <c r="AH106" i="27" s="1"/>
  <c r="U106" i="27"/>
  <c r="W106" i="27"/>
  <c r="Q106" i="27"/>
  <c r="S106" i="27" s="1"/>
  <c r="AD106" i="27" s="1"/>
  <c r="AL106" i="27" s="1"/>
  <c r="AN106" i="27"/>
  <c r="L106" i="27"/>
  <c r="AB106" i="27" s="1"/>
  <c r="AJ106" i="27" s="1"/>
  <c r="J106" i="27"/>
  <c r="AA106" i="27" s="1"/>
  <c r="AI106" i="27" s="1"/>
  <c r="D107" i="26"/>
  <c r="C106" i="26"/>
  <c r="Z106" i="26" s="1"/>
  <c r="AH106" i="26" s="1"/>
  <c r="U106" i="26"/>
  <c r="Q106" i="26"/>
  <c r="S106" i="26" s="1"/>
  <c r="AD106" i="26" s="1"/>
  <c r="AL106" i="26" s="1"/>
  <c r="AN106" i="26"/>
  <c r="W106" i="26"/>
  <c r="L106" i="26"/>
  <c r="AB106" i="26" s="1"/>
  <c r="AJ106" i="26" s="1"/>
  <c r="J106" i="26"/>
  <c r="AA106" i="26" s="1"/>
  <c r="AI106" i="26" s="1"/>
  <c r="G106" i="25"/>
  <c r="H106" i="25"/>
  <c r="Y106" i="25" s="1"/>
  <c r="AM106" i="25" s="1"/>
  <c r="D107" i="24"/>
  <c r="C106" i="24"/>
  <c r="Z106" i="24" s="1"/>
  <c r="AH106" i="24" s="1"/>
  <c r="Q106" i="24"/>
  <c r="S106" i="24" s="1"/>
  <c r="AD106" i="24" s="1"/>
  <c r="AL106" i="24" s="1"/>
  <c r="W106" i="24"/>
  <c r="AN106" i="24"/>
  <c r="U106" i="24"/>
  <c r="L106" i="24"/>
  <c r="AB106" i="24" s="1"/>
  <c r="AJ106" i="24" s="1"/>
  <c r="J106" i="24"/>
  <c r="AA106" i="24" s="1"/>
  <c r="AI106" i="24" s="1"/>
  <c r="AE106" i="25"/>
  <c r="E106" i="23"/>
  <c r="I106" i="23"/>
  <c r="G106" i="22"/>
  <c r="H106" i="22"/>
  <c r="Y106" i="22" s="1"/>
  <c r="AE106" i="22"/>
  <c r="D107" i="21"/>
  <c r="C106" i="21"/>
  <c r="Z106" i="21" s="1"/>
  <c r="W106" i="21"/>
  <c r="Q106" i="21"/>
  <c r="S106" i="21" s="1"/>
  <c r="AD106" i="21" s="1"/>
  <c r="U106" i="21"/>
  <c r="J106" i="21"/>
  <c r="AA106" i="21" s="1"/>
  <c r="L106" i="21"/>
  <c r="AB106" i="21" s="1"/>
  <c r="AC106" i="26" l="1"/>
  <c r="AK106" i="26" s="1"/>
  <c r="E107" i="27"/>
  <c r="I107" i="27"/>
  <c r="E107" i="26"/>
  <c r="I107" i="26"/>
  <c r="AN106" i="25"/>
  <c r="W106" i="25"/>
  <c r="U106" i="25"/>
  <c r="Q106" i="25"/>
  <c r="S106" i="25" s="1"/>
  <c r="AD106" i="25" s="1"/>
  <c r="AL106" i="25" s="1"/>
  <c r="L106" i="25"/>
  <c r="AB106" i="25" s="1"/>
  <c r="AJ106" i="25" s="1"/>
  <c r="J106" i="25"/>
  <c r="AA106" i="25" s="1"/>
  <c r="AI106" i="25" s="1"/>
  <c r="D107" i="25"/>
  <c r="C106" i="25"/>
  <c r="Z106" i="25" s="1"/>
  <c r="AH106" i="25" s="1"/>
  <c r="E107" i="24"/>
  <c r="I107" i="24"/>
  <c r="AC106" i="27"/>
  <c r="AK106" i="27" s="1"/>
  <c r="AC106" i="24"/>
  <c r="AK106" i="24" s="1"/>
  <c r="G106" i="23"/>
  <c r="H106" i="23"/>
  <c r="Y106" i="23" s="1"/>
  <c r="AE106" i="23"/>
  <c r="D107" i="22"/>
  <c r="C106" i="22"/>
  <c r="Z106" i="22" s="1"/>
  <c r="W106" i="22"/>
  <c r="Q106" i="22"/>
  <c r="S106" i="22" s="1"/>
  <c r="AD106" i="22" s="1"/>
  <c r="U106" i="22"/>
  <c r="L106" i="22"/>
  <c r="AB106" i="22" s="1"/>
  <c r="J106" i="22"/>
  <c r="AA106" i="22" s="1"/>
  <c r="E107" i="21"/>
  <c r="I107" i="21"/>
  <c r="AC106" i="21"/>
  <c r="G107" i="27" l="1"/>
  <c r="H107" i="27"/>
  <c r="Y107" i="27" s="1"/>
  <c r="AM107" i="27" s="1"/>
  <c r="G107" i="26"/>
  <c r="H107" i="26"/>
  <c r="Y107" i="26" s="1"/>
  <c r="AM107" i="26" s="1"/>
  <c r="E107" i="25"/>
  <c r="I107" i="25"/>
  <c r="G107" i="24"/>
  <c r="H107" i="24"/>
  <c r="Y107" i="24" s="1"/>
  <c r="AM107" i="24" s="1"/>
  <c r="AE107" i="27"/>
  <c r="AE107" i="26"/>
  <c r="AC106" i="25"/>
  <c r="AK106" i="25" s="1"/>
  <c r="AE107" i="24"/>
  <c r="D107" i="23"/>
  <c r="C106" i="23"/>
  <c r="Z106" i="23" s="1"/>
  <c r="W106" i="23"/>
  <c r="Q106" i="23"/>
  <c r="S106" i="23" s="1"/>
  <c r="AD106" i="23" s="1"/>
  <c r="U106" i="23"/>
  <c r="L106" i="23"/>
  <c r="AB106" i="23" s="1"/>
  <c r="J106" i="23"/>
  <c r="AA106" i="23" s="1"/>
  <c r="E107" i="22"/>
  <c r="I107" i="22"/>
  <c r="AC106" i="22"/>
  <c r="G107" i="21"/>
  <c r="H107" i="21"/>
  <c r="Y107" i="21" s="1"/>
  <c r="AE107" i="21"/>
  <c r="AC106" i="23" l="1"/>
  <c r="D108" i="27"/>
  <c r="C107" i="27"/>
  <c r="Z107" i="27" s="1"/>
  <c r="AH107" i="27" s="1"/>
  <c r="W107" i="27"/>
  <c r="Q107" i="27"/>
  <c r="S107" i="27" s="1"/>
  <c r="AD107" i="27" s="1"/>
  <c r="AL107" i="27" s="1"/>
  <c r="U107" i="27"/>
  <c r="AN107" i="27"/>
  <c r="L107" i="27"/>
  <c r="AB107" i="27" s="1"/>
  <c r="AJ107" i="27" s="1"/>
  <c r="J107" i="27"/>
  <c r="AA107" i="27" s="1"/>
  <c r="AI107" i="27" s="1"/>
  <c r="D108" i="26"/>
  <c r="C107" i="26"/>
  <c r="Z107" i="26" s="1"/>
  <c r="AH107" i="26" s="1"/>
  <c r="W107" i="26"/>
  <c r="AN107" i="26"/>
  <c r="U107" i="26"/>
  <c r="Q107" i="26"/>
  <c r="S107" i="26" s="1"/>
  <c r="AD107" i="26" s="1"/>
  <c r="AL107" i="26" s="1"/>
  <c r="L107" i="26"/>
  <c r="AB107" i="26" s="1"/>
  <c r="AJ107" i="26" s="1"/>
  <c r="J107" i="26"/>
  <c r="AA107" i="26" s="1"/>
  <c r="AI107" i="26" s="1"/>
  <c r="G107" i="25"/>
  <c r="H107" i="25"/>
  <c r="Y107" i="25" s="1"/>
  <c r="AM107" i="25" s="1"/>
  <c r="D108" i="24"/>
  <c r="C107" i="24"/>
  <c r="Z107" i="24" s="1"/>
  <c r="AH107" i="24" s="1"/>
  <c r="W107" i="24"/>
  <c r="U107" i="24"/>
  <c r="Q107" i="24"/>
  <c r="S107" i="24" s="1"/>
  <c r="AD107" i="24" s="1"/>
  <c r="AL107" i="24" s="1"/>
  <c r="AN107" i="24"/>
  <c r="L107" i="24"/>
  <c r="AB107" i="24" s="1"/>
  <c r="AJ107" i="24" s="1"/>
  <c r="J107" i="24"/>
  <c r="AA107" i="24" s="1"/>
  <c r="AI107" i="24" s="1"/>
  <c r="AE107" i="25"/>
  <c r="E107" i="23"/>
  <c r="I107" i="23"/>
  <c r="G107" i="22"/>
  <c r="H107" i="22"/>
  <c r="Y107" i="22" s="1"/>
  <c r="AE107" i="22"/>
  <c r="D108" i="21"/>
  <c r="C107" i="21"/>
  <c r="Z107" i="21" s="1"/>
  <c r="U107" i="21"/>
  <c r="W107" i="21"/>
  <c r="Q107" i="21"/>
  <c r="S107" i="21" s="1"/>
  <c r="AD107" i="21" s="1"/>
  <c r="J107" i="21"/>
  <c r="AA107" i="21" s="1"/>
  <c r="L107" i="21"/>
  <c r="AB107" i="21" s="1"/>
  <c r="AC107" i="26" l="1"/>
  <c r="AK107" i="26" s="1"/>
  <c r="AC107" i="24"/>
  <c r="AK107" i="24" s="1"/>
  <c r="AC107" i="21"/>
  <c r="E108" i="27"/>
  <c r="I108" i="27"/>
  <c r="E108" i="26"/>
  <c r="I108" i="26"/>
  <c r="D108" i="25"/>
  <c r="C107" i="25"/>
  <c r="Z107" i="25" s="1"/>
  <c r="AH107" i="25" s="1"/>
  <c r="U107" i="25"/>
  <c r="Q107" i="25"/>
  <c r="S107" i="25" s="1"/>
  <c r="AD107" i="25" s="1"/>
  <c r="AL107" i="25" s="1"/>
  <c r="W107" i="25"/>
  <c r="AN107" i="25"/>
  <c r="L107" i="25"/>
  <c r="AB107" i="25" s="1"/>
  <c r="AJ107" i="25" s="1"/>
  <c r="J107" i="25"/>
  <c r="AA107" i="25" s="1"/>
  <c r="AI107" i="25" s="1"/>
  <c r="E108" i="24"/>
  <c r="I108" i="24"/>
  <c r="AC107" i="27"/>
  <c r="AK107" i="27" s="1"/>
  <c r="G107" i="23"/>
  <c r="H107" i="23"/>
  <c r="Y107" i="23" s="1"/>
  <c r="AE107" i="23"/>
  <c r="D108" i="22"/>
  <c r="C107" i="22"/>
  <c r="Z107" i="22" s="1"/>
  <c r="W107" i="22"/>
  <c r="U107" i="22"/>
  <c r="Q107" i="22"/>
  <c r="S107" i="22" s="1"/>
  <c r="AD107" i="22" s="1"/>
  <c r="L107" i="22"/>
  <c r="AB107" i="22" s="1"/>
  <c r="J107" i="22"/>
  <c r="AA107" i="22" s="1"/>
  <c r="E108" i="21"/>
  <c r="I108" i="21"/>
  <c r="AC107" i="25" l="1"/>
  <c r="AK107" i="25" s="1"/>
  <c r="G108" i="27"/>
  <c r="H108" i="27"/>
  <c r="Y108" i="27" s="1"/>
  <c r="AM108" i="27" s="1"/>
  <c r="G108" i="26"/>
  <c r="H108" i="26"/>
  <c r="Y108" i="26" s="1"/>
  <c r="AM108" i="26" s="1"/>
  <c r="E108" i="25"/>
  <c r="I108" i="25"/>
  <c r="G108" i="24"/>
  <c r="H108" i="24"/>
  <c r="Y108" i="24" s="1"/>
  <c r="AM108" i="24" s="1"/>
  <c r="AE108" i="27"/>
  <c r="AE108" i="26"/>
  <c r="AE108" i="24"/>
  <c r="D108" i="23"/>
  <c r="C107" i="23"/>
  <c r="Z107" i="23" s="1"/>
  <c r="Q107" i="23"/>
  <c r="S107" i="23" s="1"/>
  <c r="AD107" i="23" s="1"/>
  <c r="W107" i="23"/>
  <c r="U107" i="23"/>
  <c r="J107" i="23"/>
  <c r="AA107" i="23" s="1"/>
  <c r="L107" i="23"/>
  <c r="AB107" i="23" s="1"/>
  <c r="E108" i="22"/>
  <c r="I108" i="22"/>
  <c r="AC107" i="22"/>
  <c r="G108" i="21"/>
  <c r="H108" i="21"/>
  <c r="Y108" i="21" s="1"/>
  <c r="AE108" i="21"/>
  <c r="AC107" i="23" l="1"/>
  <c r="D109" i="27"/>
  <c r="C108" i="27"/>
  <c r="Z108" i="27" s="1"/>
  <c r="AH108" i="27" s="1"/>
  <c r="Q108" i="27"/>
  <c r="S108" i="27" s="1"/>
  <c r="AD108" i="27" s="1"/>
  <c r="AL108" i="27" s="1"/>
  <c r="AN108" i="27"/>
  <c r="U108" i="27"/>
  <c r="W108" i="27"/>
  <c r="L108" i="27"/>
  <c r="AB108" i="27" s="1"/>
  <c r="AJ108" i="27" s="1"/>
  <c r="J108" i="27"/>
  <c r="AA108" i="27" s="1"/>
  <c r="AI108" i="27" s="1"/>
  <c r="D109" i="26"/>
  <c r="C108" i="26"/>
  <c r="Z108" i="26" s="1"/>
  <c r="AH108" i="26" s="1"/>
  <c r="Q108" i="26"/>
  <c r="S108" i="26" s="1"/>
  <c r="AD108" i="26" s="1"/>
  <c r="AL108" i="26" s="1"/>
  <c r="U108" i="26"/>
  <c r="W108" i="26"/>
  <c r="AN108" i="26"/>
  <c r="L108" i="26"/>
  <c r="AB108" i="26" s="1"/>
  <c r="AJ108" i="26" s="1"/>
  <c r="J108" i="26"/>
  <c r="AA108" i="26" s="1"/>
  <c r="AI108" i="26" s="1"/>
  <c r="G108" i="25"/>
  <c r="H108" i="25"/>
  <c r="Y108" i="25" s="1"/>
  <c r="AM108" i="25" s="1"/>
  <c r="D109" i="24"/>
  <c r="C108" i="24"/>
  <c r="Z108" i="24" s="1"/>
  <c r="AH108" i="24" s="1"/>
  <c r="Q108" i="24"/>
  <c r="S108" i="24" s="1"/>
  <c r="AD108" i="24" s="1"/>
  <c r="AL108" i="24" s="1"/>
  <c r="W108" i="24"/>
  <c r="AN108" i="24"/>
  <c r="U108" i="24"/>
  <c r="L108" i="24"/>
  <c r="AB108" i="24" s="1"/>
  <c r="AJ108" i="24" s="1"/>
  <c r="J108" i="24"/>
  <c r="AA108" i="24" s="1"/>
  <c r="AI108" i="24" s="1"/>
  <c r="AE108" i="25"/>
  <c r="E108" i="23"/>
  <c r="I108" i="23"/>
  <c r="G108" i="22"/>
  <c r="H108" i="22"/>
  <c r="Y108" i="22" s="1"/>
  <c r="AE108" i="22"/>
  <c r="D109" i="21"/>
  <c r="C108" i="21"/>
  <c r="Z108" i="21" s="1"/>
  <c r="W108" i="21"/>
  <c r="Q108" i="21"/>
  <c r="S108" i="21" s="1"/>
  <c r="AD108" i="21" s="1"/>
  <c r="U108" i="21"/>
  <c r="J108" i="21"/>
  <c r="AA108" i="21" s="1"/>
  <c r="L108" i="21"/>
  <c r="AB108" i="21" s="1"/>
  <c r="E109" i="27" l="1"/>
  <c r="I109" i="27"/>
  <c r="E109" i="26"/>
  <c r="I109" i="26"/>
  <c r="D109" i="25"/>
  <c r="C108" i="25"/>
  <c r="Z108" i="25" s="1"/>
  <c r="AH108" i="25" s="1"/>
  <c r="Q108" i="25"/>
  <c r="S108" i="25" s="1"/>
  <c r="AD108" i="25" s="1"/>
  <c r="AL108" i="25" s="1"/>
  <c r="U108" i="25"/>
  <c r="W108" i="25"/>
  <c r="AN108" i="25"/>
  <c r="J108" i="25"/>
  <c r="AA108" i="25" s="1"/>
  <c r="AI108" i="25" s="1"/>
  <c r="L108" i="25"/>
  <c r="AB108" i="25" s="1"/>
  <c r="AJ108" i="25" s="1"/>
  <c r="E109" i="24"/>
  <c r="I109" i="24"/>
  <c r="AC108" i="27"/>
  <c r="AK108" i="27" s="1"/>
  <c r="AC108" i="26"/>
  <c r="AK108" i="26" s="1"/>
  <c r="AC108" i="24"/>
  <c r="AK108" i="24" s="1"/>
  <c r="G108" i="23"/>
  <c r="H108" i="23"/>
  <c r="Y108" i="23" s="1"/>
  <c r="AE108" i="23"/>
  <c r="D109" i="22"/>
  <c r="C108" i="22"/>
  <c r="Z108" i="22" s="1"/>
  <c r="U108" i="22"/>
  <c r="W108" i="22"/>
  <c r="Q108" i="22"/>
  <c r="S108" i="22" s="1"/>
  <c r="AD108" i="22" s="1"/>
  <c r="L108" i="22"/>
  <c r="AB108" i="22" s="1"/>
  <c r="J108" i="22"/>
  <c r="AA108" i="22" s="1"/>
  <c r="E109" i="21"/>
  <c r="I109" i="21"/>
  <c r="AC108" i="21"/>
  <c r="AC108" i="25" l="1"/>
  <c r="AK108" i="25" s="1"/>
  <c r="G109" i="27"/>
  <c r="H109" i="27"/>
  <c r="Y109" i="27" s="1"/>
  <c r="AM109" i="27" s="1"/>
  <c r="G109" i="26"/>
  <c r="H109" i="26"/>
  <c r="Y109" i="26" s="1"/>
  <c r="AM109" i="26" s="1"/>
  <c r="E109" i="25"/>
  <c r="I109" i="25"/>
  <c r="G109" i="24"/>
  <c r="H109" i="24"/>
  <c r="Y109" i="24" s="1"/>
  <c r="AM109" i="24" s="1"/>
  <c r="AE109" i="27"/>
  <c r="AE109" i="26"/>
  <c r="AE109" i="24"/>
  <c r="D109" i="23"/>
  <c r="C108" i="23"/>
  <c r="Z108" i="23" s="1"/>
  <c r="Q108" i="23"/>
  <c r="S108" i="23" s="1"/>
  <c r="AD108" i="23" s="1"/>
  <c r="U108" i="23"/>
  <c r="W108" i="23"/>
  <c r="J108" i="23"/>
  <c r="AA108" i="23" s="1"/>
  <c r="L108" i="23"/>
  <c r="AB108" i="23" s="1"/>
  <c r="E109" i="22"/>
  <c r="I109" i="22"/>
  <c r="AC108" i="22"/>
  <c r="G109" i="21"/>
  <c r="H109" i="21"/>
  <c r="Y109" i="21" s="1"/>
  <c r="AE109" i="21"/>
  <c r="D110" i="27" l="1"/>
  <c r="C109" i="27"/>
  <c r="Z109" i="27" s="1"/>
  <c r="AH109" i="27" s="1"/>
  <c r="W109" i="27"/>
  <c r="U109" i="27"/>
  <c r="Q109" i="27"/>
  <c r="S109" i="27" s="1"/>
  <c r="AD109" i="27" s="1"/>
  <c r="AL109" i="27" s="1"/>
  <c r="AN109" i="27"/>
  <c r="L109" i="27"/>
  <c r="AB109" i="27" s="1"/>
  <c r="AJ109" i="27" s="1"/>
  <c r="J109" i="27"/>
  <c r="AA109" i="27" s="1"/>
  <c r="AI109" i="27" s="1"/>
  <c r="D110" i="26"/>
  <c r="C109" i="26"/>
  <c r="Z109" i="26" s="1"/>
  <c r="AH109" i="26" s="1"/>
  <c r="Q109" i="26"/>
  <c r="S109" i="26" s="1"/>
  <c r="AD109" i="26" s="1"/>
  <c r="AL109" i="26" s="1"/>
  <c r="U109" i="26"/>
  <c r="AN109" i="26"/>
  <c r="W109" i="26"/>
  <c r="L109" i="26"/>
  <c r="AB109" i="26" s="1"/>
  <c r="AJ109" i="26" s="1"/>
  <c r="J109" i="26"/>
  <c r="AA109" i="26" s="1"/>
  <c r="AI109" i="26" s="1"/>
  <c r="G109" i="25"/>
  <c r="H109" i="25"/>
  <c r="Y109" i="25" s="1"/>
  <c r="AM109" i="25" s="1"/>
  <c r="D110" i="24"/>
  <c r="C109" i="24"/>
  <c r="Z109" i="24" s="1"/>
  <c r="AH109" i="24" s="1"/>
  <c r="W109" i="24"/>
  <c r="U109" i="24"/>
  <c r="Q109" i="24"/>
  <c r="S109" i="24" s="1"/>
  <c r="AD109" i="24" s="1"/>
  <c r="AL109" i="24" s="1"/>
  <c r="AN109" i="24"/>
  <c r="L109" i="24"/>
  <c r="AB109" i="24" s="1"/>
  <c r="AJ109" i="24" s="1"/>
  <c r="J109" i="24"/>
  <c r="AA109" i="24" s="1"/>
  <c r="AI109" i="24" s="1"/>
  <c r="AE109" i="25"/>
  <c r="AC108" i="23"/>
  <c r="E109" i="23"/>
  <c r="I109" i="23"/>
  <c r="G109" i="22"/>
  <c r="H109" i="22"/>
  <c r="Y109" i="22" s="1"/>
  <c r="AE109" i="22"/>
  <c r="D110" i="21"/>
  <c r="C109" i="21"/>
  <c r="Z109" i="21" s="1"/>
  <c r="U109" i="21"/>
  <c r="W109" i="21"/>
  <c r="Q109" i="21"/>
  <c r="S109" i="21" s="1"/>
  <c r="AD109" i="21" s="1"/>
  <c r="L109" i="21"/>
  <c r="AB109" i="21" s="1"/>
  <c r="J109" i="21"/>
  <c r="AA109" i="21" s="1"/>
  <c r="AC109" i="27" l="1"/>
  <c r="AK109" i="27" s="1"/>
  <c r="AC109" i="24"/>
  <c r="AK109" i="24" s="1"/>
  <c r="E110" i="27"/>
  <c r="I110" i="27"/>
  <c r="E110" i="26"/>
  <c r="I110" i="26"/>
  <c r="D110" i="25"/>
  <c r="C109" i="25"/>
  <c r="Z109" i="25" s="1"/>
  <c r="AH109" i="25" s="1"/>
  <c r="W109" i="25"/>
  <c r="U109" i="25"/>
  <c r="Q109" i="25"/>
  <c r="S109" i="25" s="1"/>
  <c r="AD109" i="25" s="1"/>
  <c r="AL109" i="25" s="1"/>
  <c r="AN109" i="25"/>
  <c r="J109" i="25"/>
  <c r="AA109" i="25" s="1"/>
  <c r="AI109" i="25" s="1"/>
  <c r="L109" i="25"/>
  <c r="AB109" i="25" s="1"/>
  <c r="AJ109" i="25" s="1"/>
  <c r="E110" i="24"/>
  <c r="I110" i="24"/>
  <c r="AC109" i="26"/>
  <c r="AK109" i="26" s="1"/>
  <c r="G109" i="23"/>
  <c r="H109" i="23"/>
  <c r="Y109" i="23" s="1"/>
  <c r="AE109" i="23"/>
  <c r="D110" i="22"/>
  <c r="C109" i="22"/>
  <c r="Z109" i="22" s="1"/>
  <c r="U109" i="22"/>
  <c r="Q109" i="22"/>
  <c r="S109" i="22" s="1"/>
  <c r="AD109" i="22" s="1"/>
  <c r="W109" i="22"/>
  <c r="L109" i="22"/>
  <c r="AB109" i="22" s="1"/>
  <c r="J109" i="22"/>
  <c r="AA109" i="22" s="1"/>
  <c r="E110" i="21"/>
  <c r="I110" i="21"/>
  <c r="AC109" i="21"/>
  <c r="G110" i="27" l="1"/>
  <c r="H110" i="27"/>
  <c r="Y110" i="27" s="1"/>
  <c r="AM110" i="27" s="1"/>
  <c r="G110" i="26"/>
  <c r="H110" i="26"/>
  <c r="Y110" i="26" s="1"/>
  <c r="AM110" i="26" s="1"/>
  <c r="E110" i="25"/>
  <c r="I110" i="25"/>
  <c r="G110" i="24"/>
  <c r="H110" i="24"/>
  <c r="Y110" i="24" s="1"/>
  <c r="AM110" i="24" s="1"/>
  <c r="AE110" i="27"/>
  <c r="AE110" i="26"/>
  <c r="AC109" i="25"/>
  <c r="AK109" i="25" s="1"/>
  <c r="AE110" i="24"/>
  <c r="D110" i="23"/>
  <c r="C109" i="23"/>
  <c r="Z109" i="23" s="1"/>
  <c r="U109" i="23"/>
  <c r="W109" i="23"/>
  <c r="Q109" i="23"/>
  <c r="S109" i="23" s="1"/>
  <c r="AD109" i="23" s="1"/>
  <c r="L109" i="23"/>
  <c r="AB109" i="23" s="1"/>
  <c r="J109" i="23"/>
  <c r="AA109" i="23" s="1"/>
  <c r="E110" i="22"/>
  <c r="I110" i="22"/>
  <c r="AC109" i="22"/>
  <c r="G110" i="21"/>
  <c r="H110" i="21"/>
  <c r="Y110" i="21" s="1"/>
  <c r="AE110" i="21"/>
  <c r="AC109" i="23" l="1"/>
  <c r="D111" i="27"/>
  <c r="C110" i="27"/>
  <c r="Z110" i="27" s="1"/>
  <c r="AH110" i="27" s="1"/>
  <c r="U110" i="27"/>
  <c r="W110" i="27"/>
  <c r="Q110" i="27"/>
  <c r="S110" i="27" s="1"/>
  <c r="AD110" i="27" s="1"/>
  <c r="AL110" i="27" s="1"/>
  <c r="AN110" i="27"/>
  <c r="L110" i="27"/>
  <c r="AB110" i="27" s="1"/>
  <c r="AJ110" i="27" s="1"/>
  <c r="J110" i="27"/>
  <c r="AA110" i="27" s="1"/>
  <c r="AI110" i="27" s="1"/>
  <c r="D111" i="26"/>
  <c r="C110" i="26"/>
  <c r="Z110" i="26" s="1"/>
  <c r="AH110" i="26" s="1"/>
  <c r="U110" i="26"/>
  <c r="Q110" i="26"/>
  <c r="S110" i="26" s="1"/>
  <c r="AD110" i="26" s="1"/>
  <c r="AL110" i="26" s="1"/>
  <c r="AN110" i="26"/>
  <c r="W110" i="26"/>
  <c r="L110" i="26"/>
  <c r="AB110" i="26" s="1"/>
  <c r="AJ110" i="26" s="1"/>
  <c r="J110" i="26"/>
  <c r="AA110" i="26" s="1"/>
  <c r="AI110" i="26" s="1"/>
  <c r="G110" i="25"/>
  <c r="H110" i="25"/>
  <c r="Y110" i="25" s="1"/>
  <c r="AM110" i="25" s="1"/>
  <c r="D111" i="24"/>
  <c r="C110" i="24"/>
  <c r="Z110" i="24" s="1"/>
  <c r="AH110" i="24" s="1"/>
  <c r="U110" i="24"/>
  <c r="Q110" i="24"/>
  <c r="S110" i="24" s="1"/>
  <c r="AD110" i="24" s="1"/>
  <c r="AL110" i="24" s="1"/>
  <c r="AN110" i="24"/>
  <c r="W110" i="24"/>
  <c r="L110" i="24"/>
  <c r="AB110" i="24" s="1"/>
  <c r="AJ110" i="24" s="1"/>
  <c r="J110" i="24"/>
  <c r="AA110" i="24" s="1"/>
  <c r="AI110" i="24" s="1"/>
  <c r="AE110" i="25"/>
  <c r="E110" i="23"/>
  <c r="I110" i="23"/>
  <c r="G110" i="22"/>
  <c r="H110" i="22"/>
  <c r="Y110" i="22" s="1"/>
  <c r="AE110" i="22"/>
  <c r="D111" i="21"/>
  <c r="C110" i="21"/>
  <c r="Z110" i="21" s="1"/>
  <c r="W110" i="21"/>
  <c r="Q110" i="21"/>
  <c r="S110" i="21" s="1"/>
  <c r="AD110" i="21" s="1"/>
  <c r="U110" i="21"/>
  <c r="L110" i="21"/>
  <c r="AB110" i="21" s="1"/>
  <c r="J110" i="21"/>
  <c r="AA110" i="21" s="1"/>
  <c r="AC110" i="24" l="1"/>
  <c r="AK110" i="24" s="1"/>
  <c r="E111" i="27"/>
  <c r="I111" i="27"/>
  <c r="E111" i="26"/>
  <c r="I111" i="26"/>
  <c r="D111" i="25"/>
  <c r="C110" i="25"/>
  <c r="Z110" i="25" s="1"/>
  <c r="AH110" i="25" s="1"/>
  <c r="W110" i="25"/>
  <c r="AN110" i="25"/>
  <c r="Q110" i="25"/>
  <c r="S110" i="25" s="1"/>
  <c r="AD110" i="25" s="1"/>
  <c r="AL110" i="25" s="1"/>
  <c r="U110" i="25"/>
  <c r="L110" i="25"/>
  <c r="AB110" i="25" s="1"/>
  <c r="AJ110" i="25" s="1"/>
  <c r="J110" i="25"/>
  <c r="AA110" i="25" s="1"/>
  <c r="AI110" i="25" s="1"/>
  <c r="E111" i="24"/>
  <c r="I111" i="24"/>
  <c r="AC110" i="27"/>
  <c r="AK110" i="27" s="1"/>
  <c r="AC110" i="26"/>
  <c r="AK110" i="26" s="1"/>
  <c r="G110" i="23"/>
  <c r="H110" i="23"/>
  <c r="Y110" i="23" s="1"/>
  <c r="AE110" i="23"/>
  <c r="D111" i="22"/>
  <c r="C110" i="22"/>
  <c r="Z110" i="22" s="1"/>
  <c r="W110" i="22"/>
  <c r="U110" i="22"/>
  <c r="Q110" i="22"/>
  <c r="S110" i="22" s="1"/>
  <c r="AD110" i="22" s="1"/>
  <c r="L110" i="22"/>
  <c r="AB110" i="22" s="1"/>
  <c r="J110" i="22"/>
  <c r="AA110" i="22" s="1"/>
  <c r="E111" i="21"/>
  <c r="I111" i="21"/>
  <c r="AC110" i="21"/>
  <c r="G111" i="27" l="1"/>
  <c r="H111" i="27"/>
  <c r="Y111" i="27" s="1"/>
  <c r="AM111" i="27" s="1"/>
  <c r="G111" i="26"/>
  <c r="H111" i="26"/>
  <c r="Y111" i="26" s="1"/>
  <c r="AM111" i="26" s="1"/>
  <c r="E111" i="25"/>
  <c r="I111" i="25"/>
  <c r="G111" i="24"/>
  <c r="H111" i="24"/>
  <c r="Y111" i="24" s="1"/>
  <c r="AM111" i="24" s="1"/>
  <c r="AE111" i="27"/>
  <c r="AE111" i="26"/>
  <c r="AC110" i="25"/>
  <c r="AK110" i="25" s="1"/>
  <c r="AE111" i="24"/>
  <c r="D111" i="23"/>
  <c r="C110" i="23"/>
  <c r="Z110" i="23" s="1"/>
  <c r="W110" i="23"/>
  <c r="Q110" i="23"/>
  <c r="S110" i="23" s="1"/>
  <c r="AD110" i="23" s="1"/>
  <c r="U110" i="23"/>
  <c r="L110" i="23"/>
  <c r="AB110" i="23" s="1"/>
  <c r="J110" i="23"/>
  <c r="AA110" i="23" s="1"/>
  <c r="E111" i="22"/>
  <c r="I111" i="22"/>
  <c r="AC110" i="22"/>
  <c r="G111" i="21"/>
  <c r="H111" i="21"/>
  <c r="Y111" i="21" s="1"/>
  <c r="AE111" i="21"/>
  <c r="AC110" i="23" l="1"/>
  <c r="D112" i="27"/>
  <c r="C111" i="27"/>
  <c r="Z111" i="27" s="1"/>
  <c r="AH111" i="27" s="1"/>
  <c r="W111" i="27"/>
  <c r="U111" i="27"/>
  <c r="Q111" i="27"/>
  <c r="S111" i="27" s="1"/>
  <c r="AD111" i="27" s="1"/>
  <c r="AL111" i="27" s="1"/>
  <c r="AN111" i="27"/>
  <c r="L111" i="27"/>
  <c r="AB111" i="27" s="1"/>
  <c r="AJ111" i="27" s="1"/>
  <c r="J111" i="27"/>
  <c r="AA111" i="27" s="1"/>
  <c r="AI111" i="27" s="1"/>
  <c r="D112" i="26"/>
  <c r="C111" i="26"/>
  <c r="Z111" i="26" s="1"/>
  <c r="AH111" i="26" s="1"/>
  <c r="W111" i="26"/>
  <c r="AN111" i="26"/>
  <c r="U111" i="26"/>
  <c r="Q111" i="26"/>
  <c r="S111" i="26" s="1"/>
  <c r="AD111" i="26" s="1"/>
  <c r="AL111" i="26" s="1"/>
  <c r="L111" i="26"/>
  <c r="AB111" i="26" s="1"/>
  <c r="AJ111" i="26" s="1"/>
  <c r="J111" i="26"/>
  <c r="AA111" i="26" s="1"/>
  <c r="AI111" i="26" s="1"/>
  <c r="G111" i="25"/>
  <c r="H111" i="25"/>
  <c r="Y111" i="25" s="1"/>
  <c r="AM111" i="25" s="1"/>
  <c r="D112" i="24"/>
  <c r="C111" i="24"/>
  <c r="Z111" i="24" s="1"/>
  <c r="AH111" i="24" s="1"/>
  <c r="U111" i="24"/>
  <c r="Q111" i="24"/>
  <c r="S111" i="24" s="1"/>
  <c r="AD111" i="24" s="1"/>
  <c r="AL111" i="24" s="1"/>
  <c r="W111" i="24"/>
  <c r="AN111" i="24"/>
  <c r="L111" i="24"/>
  <c r="AB111" i="24" s="1"/>
  <c r="AJ111" i="24" s="1"/>
  <c r="J111" i="24"/>
  <c r="AA111" i="24" s="1"/>
  <c r="AI111" i="24" s="1"/>
  <c r="AE111" i="25"/>
  <c r="E111" i="23"/>
  <c r="I111" i="23"/>
  <c r="G111" i="22"/>
  <c r="H111" i="22"/>
  <c r="Y111" i="22" s="1"/>
  <c r="AE111" i="22"/>
  <c r="D112" i="21"/>
  <c r="C111" i="21"/>
  <c r="Z111" i="21" s="1"/>
  <c r="Q111" i="21"/>
  <c r="S111" i="21" s="1"/>
  <c r="AD111" i="21" s="1"/>
  <c r="U111" i="21"/>
  <c r="W111" i="21"/>
  <c r="L111" i="21"/>
  <c r="AB111" i="21" s="1"/>
  <c r="J111" i="21"/>
  <c r="AA111" i="21" s="1"/>
  <c r="AC111" i="21" l="1"/>
  <c r="E112" i="27"/>
  <c r="I112" i="27"/>
  <c r="E112" i="26"/>
  <c r="I112" i="26"/>
  <c r="D112" i="25"/>
  <c r="C111" i="25"/>
  <c r="Z111" i="25" s="1"/>
  <c r="AH111" i="25" s="1"/>
  <c r="U111" i="25"/>
  <c r="Q111" i="25"/>
  <c r="S111" i="25" s="1"/>
  <c r="AD111" i="25" s="1"/>
  <c r="AL111" i="25" s="1"/>
  <c r="AN111" i="25"/>
  <c r="W111" i="25"/>
  <c r="L111" i="25"/>
  <c r="AB111" i="25" s="1"/>
  <c r="AJ111" i="25" s="1"/>
  <c r="J111" i="25"/>
  <c r="AA111" i="25" s="1"/>
  <c r="AI111" i="25" s="1"/>
  <c r="E112" i="24"/>
  <c r="I112" i="24"/>
  <c r="AC111" i="27"/>
  <c r="AK111" i="27" s="1"/>
  <c r="AC111" i="26"/>
  <c r="AK111" i="26" s="1"/>
  <c r="AC111" i="24"/>
  <c r="AK111" i="24" s="1"/>
  <c r="G111" i="23"/>
  <c r="H111" i="23"/>
  <c r="Y111" i="23" s="1"/>
  <c r="AE111" i="23"/>
  <c r="D112" i="22"/>
  <c r="C111" i="22"/>
  <c r="Z111" i="22" s="1"/>
  <c r="U111" i="22"/>
  <c r="W111" i="22"/>
  <c r="Q111" i="22"/>
  <c r="S111" i="22" s="1"/>
  <c r="AD111" i="22" s="1"/>
  <c r="L111" i="22"/>
  <c r="AB111" i="22" s="1"/>
  <c r="J111" i="22"/>
  <c r="AA111" i="22" s="1"/>
  <c r="E112" i="21"/>
  <c r="I112" i="21"/>
  <c r="AC111" i="22" l="1"/>
  <c r="AC111" i="25"/>
  <c r="AK111" i="25" s="1"/>
  <c r="G112" i="27"/>
  <c r="H112" i="27"/>
  <c r="Y112" i="27" s="1"/>
  <c r="AM112" i="27" s="1"/>
  <c r="G112" i="26"/>
  <c r="H112" i="26"/>
  <c r="Y112" i="26" s="1"/>
  <c r="AM112" i="26" s="1"/>
  <c r="E112" i="25"/>
  <c r="I112" i="25"/>
  <c r="G112" i="24"/>
  <c r="H112" i="24"/>
  <c r="Y112" i="24" s="1"/>
  <c r="AM112" i="24" s="1"/>
  <c r="AE112" i="27"/>
  <c r="AE112" i="26"/>
  <c r="AE112" i="24"/>
  <c r="D112" i="23"/>
  <c r="C111" i="23"/>
  <c r="Z111" i="23" s="1"/>
  <c r="Q111" i="23"/>
  <c r="S111" i="23" s="1"/>
  <c r="AD111" i="23" s="1"/>
  <c r="W111" i="23"/>
  <c r="U111" i="23"/>
  <c r="L111" i="23"/>
  <c r="AB111" i="23" s="1"/>
  <c r="J111" i="23"/>
  <c r="AA111" i="23" s="1"/>
  <c r="E112" i="22"/>
  <c r="I112" i="22"/>
  <c r="G112" i="21"/>
  <c r="H112" i="21"/>
  <c r="Y112" i="21" s="1"/>
  <c r="AE112" i="21"/>
  <c r="AC111" i="23" l="1"/>
  <c r="D113" i="27"/>
  <c r="C112" i="27"/>
  <c r="Z112" i="27" s="1"/>
  <c r="AH112" i="27" s="1"/>
  <c r="U112" i="27"/>
  <c r="W112" i="27"/>
  <c r="Q112" i="27"/>
  <c r="S112" i="27" s="1"/>
  <c r="AD112" i="27" s="1"/>
  <c r="AL112" i="27" s="1"/>
  <c r="AN112" i="27"/>
  <c r="L112" i="27"/>
  <c r="AB112" i="27" s="1"/>
  <c r="AJ112" i="27" s="1"/>
  <c r="J112" i="27"/>
  <c r="AA112" i="27" s="1"/>
  <c r="AI112" i="27" s="1"/>
  <c r="D113" i="26"/>
  <c r="C112" i="26"/>
  <c r="Z112" i="26" s="1"/>
  <c r="AH112" i="26" s="1"/>
  <c r="Q112" i="26"/>
  <c r="S112" i="26" s="1"/>
  <c r="AD112" i="26" s="1"/>
  <c r="AL112" i="26" s="1"/>
  <c r="U112" i="26"/>
  <c r="W112" i="26"/>
  <c r="AN112" i="26"/>
  <c r="L112" i="26"/>
  <c r="AB112" i="26" s="1"/>
  <c r="AJ112" i="26" s="1"/>
  <c r="J112" i="26"/>
  <c r="AA112" i="26" s="1"/>
  <c r="AI112" i="26" s="1"/>
  <c r="G112" i="25"/>
  <c r="H112" i="25"/>
  <c r="Y112" i="25" s="1"/>
  <c r="AM112" i="25" s="1"/>
  <c r="D113" i="24"/>
  <c r="C112" i="24"/>
  <c r="Z112" i="24" s="1"/>
  <c r="AH112" i="24" s="1"/>
  <c r="W112" i="24"/>
  <c r="U112" i="24"/>
  <c r="AN112" i="24"/>
  <c r="Q112" i="24"/>
  <c r="S112" i="24" s="1"/>
  <c r="AD112" i="24" s="1"/>
  <c r="AL112" i="24" s="1"/>
  <c r="L112" i="24"/>
  <c r="AB112" i="24" s="1"/>
  <c r="AJ112" i="24" s="1"/>
  <c r="J112" i="24"/>
  <c r="AA112" i="24" s="1"/>
  <c r="AI112" i="24" s="1"/>
  <c r="AE112" i="25"/>
  <c r="E112" i="23"/>
  <c r="I112" i="23"/>
  <c r="G112" i="22"/>
  <c r="H112" i="22"/>
  <c r="Y112" i="22" s="1"/>
  <c r="AE112" i="22"/>
  <c r="D113" i="21"/>
  <c r="C112" i="21"/>
  <c r="Z112" i="21" s="1"/>
  <c r="W112" i="21"/>
  <c r="Q112" i="21"/>
  <c r="S112" i="21" s="1"/>
  <c r="AD112" i="21" s="1"/>
  <c r="U112" i="21"/>
  <c r="J112" i="21"/>
  <c r="AA112" i="21" s="1"/>
  <c r="L112" i="21"/>
  <c r="AB112" i="21" s="1"/>
  <c r="AC112" i="21" l="1"/>
  <c r="E113" i="27"/>
  <c r="I113" i="27"/>
  <c r="E113" i="26"/>
  <c r="I113" i="26"/>
  <c r="D113" i="25"/>
  <c r="C112" i="25"/>
  <c r="Z112" i="25" s="1"/>
  <c r="AH112" i="25" s="1"/>
  <c r="Q112" i="25"/>
  <c r="S112" i="25" s="1"/>
  <c r="AD112" i="25" s="1"/>
  <c r="AL112" i="25" s="1"/>
  <c r="U112" i="25"/>
  <c r="W112" i="25"/>
  <c r="AN112" i="25"/>
  <c r="L112" i="25"/>
  <c r="AB112" i="25" s="1"/>
  <c r="AJ112" i="25" s="1"/>
  <c r="J112" i="25"/>
  <c r="AA112" i="25" s="1"/>
  <c r="AI112" i="25" s="1"/>
  <c r="E113" i="24"/>
  <c r="I113" i="24"/>
  <c r="AC112" i="27"/>
  <c r="AK112" i="27" s="1"/>
  <c r="AC112" i="26"/>
  <c r="AK112" i="26" s="1"/>
  <c r="AC112" i="24"/>
  <c r="AK112" i="24" s="1"/>
  <c r="G112" i="23"/>
  <c r="H112" i="23"/>
  <c r="Y112" i="23" s="1"/>
  <c r="AE112" i="23"/>
  <c r="D113" i="22"/>
  <c r="C112" i="22"/>
  <c r="Z112" i="22" s="1"/>
  <c r="W112" i="22"/>
  <c r="U112" i="22"/>
  <c r="Q112" i="22"/>
  <c r="S112" i="22" s="1"/>
  <c r="AD112" i="22" s="1"/>
  <c r="L112" i="22"/>
  <c r="AB112" i="22" s="1"/>
  <c r="J112" i="22"/>
  <c r="AA112" i="22" s="1"/>
  <c r="E113" i="21"/>
  <c r="I113" i="21"/>
  <c r="AC112" i="22" l="1"/>
  <c r="AC112" i="25"/>
  <c r="AK112" i="25" s="1"/>
  <c r="G113" i="27"/>
  <c r="H113" i="27"/>
  <c r="Y113" i="27" s="1"/>
  <c r="AM113" i="27" s="1"/>
  <c r="G113" i="26"/>
  <c r="H113" i="26"/>
  <c r="Y113" i="26" s="1"/>
  <c r="AM113" i="26" s="1"/>
  <c r="E113" i="25"/>
  <c r="I113" i="25"/>
  <c r="G113" i="24"/>
  <c r="H113" i="24"/>
  <c r="Y113" i="24" s="1"/>
  <c r="AM113" i="24" s="1"/>
  <c r="AE113" i="27"/>
  <c r="AE113" i="26"/>
  <c r="AE113" i="24"/>
  <c r="D113" i="23"/>
  <c r="C112" i="23"/>
  <c r="Z112" i="23" s="1"/>
  <c r="Q112" i="23"/>
  <c r="S112" i="23" s="1"/>
  <c r="AD112" i="23" s="1"/>
  <c r="U112" i="23"/>
  <c r="W112" i="23"/>
  <c r="L112" i="23"/>
  <c r="AB112" i="23" s="1"/>
  <c r="J112" i="23"/>
  <c r="AA112" i="23" s="1"/>
  <c r="E113" i="22"/>
  <c r="I113" i="22"/>
  <c r="G113" i="21"/>
  <c r="H113" i="21"/>
  <c r="Y113" i="21" s="1"/>
  <c r="AE113" i="21"/>
  <c r="D114" i="27" l="1"/>
  <c r="C113" i="27"/>
  <c r="Z113" i="27" s="1"/>
  <c r="AH113" i="27" s="1"/>
  <c r="U113" i="27"/>
  <c r="AN113" i="27"/>
  <c r="Q113" i="27"/>
  <c r="S113" i="27" s="1"/>
  <c r="AD113" i="27" s="1"/>
  <c r="AL113" i="27" s="1"/>
  <c r="W113" i="27"/>
  <c r="AC113" i="27" s="1"/>
  <c r="AK113" i="27" s="1"/>
  <c r="L113" i="27"/>
  <c r="AB113" i="27" s="1"/>
  <c r="AJ113" i="27" s="1"/>
  <c r="J113" i="27"/>
  <c r="AA113" i="27" s="1"/>
  <c r="AI113" i="27" s="1"/>
  <c r="D114" i="26"/>
  <c r="C113" i="26"/>
  <c r="Z113" i="26" s="1"/>
  <c r="AH113" i="26" s="1"/>
  <c r="Q113" i="26"/>
  <c r="S113" i="26" s="1"/>
  <c r="AD113" i="26" s="1"/>
  <c r="AL113" i="26" s="1"/>
  <c r="W113" i="26"/>
  <c r="U113" i="26"/>
  <c r="AN113" i="26"/>
  <c r="L113" i="26"/>
  <c r="AB113" i="26" s="1"/>
  <c r="AJ113" i="26" s="1"/>
  <c r="J113" i="26"/>
  <c r="AA113" i="26" s="1"/>
  <c r="AI113" i="26" s="1"/>
  <c r="G113" i="25"/>
  <c r="H113" i="25"/>
  <c r="Y113" i="25" s="1"/>
  <c r="AM113" i="25" s="1"/>
  <c r="D114" i="24"/>
  <c r="C113" i="24"/>
  <c r="Z113" i="24" s="1"/>
  <c r="AH113" i="24" s="1"/>
  <c r="W113" i="24"/>
  <c r="Q113" i="24"/>
  <c r="S113" i="24" s="1"/>
  <c r="AD113" i="24" s="1"/>
  <c r="AL113" i="24" s="1"/>
  <c r="AN113" i="24"/>
  <c r="U113" i="24"/>
  <c r="L113" i="24"/>
  <c r="AB113" i="24" s="1"/>
  <c r="AJ113" i="24" s="1"/>
  <c r="J113" i="24"/>
  <c r="AA113" i="24" s="1"/>
  <c r="AI113" i="24" s="1"/>
  <c r="AE113" i="25"/>
  <c r="AC112" i="23"/>
  <c r="E113" i="23"/>
  <c r="I113" i="23"/>
  <c r="G113" i="22"/>
  <c r="H113" i="22"/>
  <c r="Y113" i="22" s="1"/>
  <c r="AE113" i="22"/>
  <c r="D114" i="21"/>
  <c r="C113" i="21"/>
  <c r="Z113" i="21" s="1"/>
  <c r="U113" i="21"/>
  <c r="Q113" i="21"/>
  <c r="S113" i="21" s="1"/>
  <c r="AD113" i="21" s="1"/>
  <c r="W113" i="21"/>
  <c r="L113" i="21"/>
  <c r="AB113" i="21" s="1"/>
  <c r="J113" i="21"/>
  <c r="AA113" i="21" s="1"/>
  <c r="AC113" i="26" l="1"/>
  <c r="AK113" i="26" s="1"/>
  <c r="E114" i="27"/>
  <c r="I114" i="27"/>
  <c r="E114" i="26"/>
  <c r="I114" i="26"/>
  <c r="D114" i="25"/>
  <c r="C113" i="25"/>
  <c r="Z113" i="25" s="1"/>
  <c r="AH113" i="25" s="1"/>
  <c r="Q113" i="25"/>
  <c r="S113" i="25" s="1"/>
  <c r="AD113" i="25" s="1"/>
  <c r="AL113" i="25" s="1"/>
  <c r="W113" i="25"/>
  <c r="U113" i="25"/>
  <c r="AN113" i="25"/>
  <c r="L113" i="25"/>
  <c r="AB113" i="25" s="1"/>
  <c r="AJ113" i="25" s="1"/>
  <c r="J113" i="25"/>
  <c r="E114" i="24"/>
  <c r="I114" i="24"/>
  <c r="AA113" i="25"/>
  <c r="AI113" i="25" s="1"/>
  <c r="AC113" i="24"/>
  <c r="AK113" i="24" s="1"/>
  <c r="G113" i="23"/>
  <c r="H113" i="23"/>
  <c r="Y113" i="23" s="1"/>
  <c r="AE113" i="23"/>
  <c r="D114" i="22"/>
  <c r="C113" i="22"/>
  <c r="Z113" i="22" s="1"/>
  <c r="Q113" i="22"/>
  <c r="S113" i="22" s="1"/>
  <c r="AD113" i="22" s="1"/>
  <c r="U113" i="22"/>
  <c r="W113" i="22"/>
  <c r="L113" i="22"/>
  <c r="AB113" i="22" s="1"/>
  <c r="J113" i="22"/>
  <c r="AA113" i="22" s="1"/>
  <c r="E114" i="21"/>
  <c r="I114" i="21"/>
  <c r="AC113" i="21"/>
  <c r="AC113" i="25" l="1"/>
  <c r="AK113" i="25" s="1"/>
  <c r="AC113" i="22"/>
  <c r="G114" i="27"/>
  <c r="H114" i="27"/>
  <c r="Y114" i="27" s="1"/>
  <c r="AM114" i="27" s="1"/>
  <c r="G114" i="26"/>
  <c r="H114" i="26"/>
  <c r="Y114" i="26" s="1"/>
  <c r="AM114" i="26" s="1"/>
  <c r="E114" i="25"/>
  <c r="I114" i="25"/>
  <c r="G114" i="24"/>
  <c r="H114" i="24"/>
  <c r="Y114" i="24" s="1"/>
  <c r="AM114" i="24" s="1"/>
  <c r="AE114" i="27"/>
  <c r="AE114" i="26"/>
  <c r="AE114" i="24"/>
  <c r="D114" i="23"/>
  <c r="C113" i="23"/>
  <c r="Z113" i="23" s="1"/>
  <c r="U113" i="23"/>
  <c r="Q113" i="23"/>
  <c r="S113" i="23" s="1"/>
  <c r="AD113" i="23" s="1"/>
  <c r="W113" i="23"/>
  <c r="L113" i="23"/>
  <c r="AB113" i="23" s="1"/>
  <c r="J113" i="23"/>
  <c r="AA113" i="23" s="1"/>
  <c r="E114" i="22"/>
  <c r="I114" i="22"/>
  <c r="G114" i="21"/>
  <c r="H114" i="21"/>
  <c r="Y114" i="21" s="1"/>
  <c r="AE114" i="21"/>
  <c r="D115" i="27" l="1"/>
  <c r="C114" i="27"/>
  <c r="Z114" i="27" s="1"/>
  <c r="AH114" i="27" s="1"/>
  <c r="U114" i="27"/>
  <c r="W114" i="27"/>
  <c r="Q114" i="27"/>
  <c r="S114" i="27" s="1"/>
  <c r="AD114" i="27" s="1"/>
  <c r="AL114" i="27" s="1"/>
  <c r="AN114" i="27"/>
  <c r="L114" i="27"/>
  <c r="AB114" i="27" s="1"/>
  <c r="AJ114" i="27" s="1"/>
  <c r="J114" i="27"/>
  <c r="AA114" i="27" s="1"/>
  <c r="AI114" i="27" s="1"/>
  <c r="D115" i="26"/>
  <c r="C114" i="26"/>
  <c r="Z114" i="26" s="1"/>
  <c r="AH114" i="26" s="1"/>
  <c r="U114" i="26"/>
  <c r="Q114" i="26"/>
  <c r="S114" i="26" s="1"/>
  <c r="AD114" i="26" s="1"/>
  <c r="AL114" i="26" s="1"/>
  <c r="AN114" i="26"/>
  <c r="W114" i="26"/>
  <c r="L114" i="26"/>
  <c r="AB114" i="26" s="1"/>
  <c r="AJ114" i="26" s="1"/>
  <c r="J114" i="26"/>
  <c r="AA114" i="26" s="1"/>
  <c r="AI114" i="26" s="1"/>
  <c r="G114" i="25"/>
  <c r="H114" i="25"/>
  <c r="Y114" i="25" s="1"/>
  <c r="AM114" i="25" s="1"/>
  <c r="D115" i="24"/>
  <c r="C114" i="24"/>
  <c r="Z114" i="24" s="1"/>
  <c r="AH114" i="24" s="1"/>
  <c r="U114" i="24"/>
  <c r="Q114" i="24"/>
  <c r="S114" i="24" s="1"/>
  <c r="AD114" i="24" s="1"/>
  <c r="AL114" i="24" s="1"/>
  <c r="AN114" i="24"/>
  <c r="W114" i="24"/>
  <c r="L114" i="24"/>
  <c r="J114" i="24"/>
  <c r="AA114" i="24" s="1"/>
  <c r="AI114" i="24" s="1"/>
  <c r="AE114" i="25"/>
  <c r="AB114" i="24"/>
  <c r="AJ114" i="24" s="1"/>
  <c r="AC113" i="23"/>
  <c r="E114" i="23"/>
  <c r="I114" i="23"/>
  <c r="G114" i="22"/>
  <c r="H114" i="22"/>
  <c r="Y114" i="22" s="1"/>
  <c r="AE114" i="22"/>
  <c r="D115" i="21"/>
  <c r="C114" i="21"/>
  <c r="Z114" i="21" s="1"/>
  <c r="W114" i="21"/>
  <c r="Q114" i="21"/>
  <c r="S114" i="21" s="1"/>
  <c r="AD114" i="21" s="1"/>
  <c r="U114" i="21"/>
  <c r="J114" i="21"/>
  <c r="AA114" i="21" s="1"/>
  <c r="L114" i="21"/>
  <c r="AB114" i="21" s="1"/>
  <c r="AC114" i="24" l="1"/>
  <c r="AK114" i="24" s="1"/>
  <c r="E115" i="27"/>
  <c r="I115" i="27"/>
  <c r="E115" i="26"/>
  <c r="I115" i="26"/>
  <c r="D115" i="25"/>
  <c r="C114" i="25"/>
  <c r="Z114" i="25" s="1"/>
  <c r="AH114" i="25" s="1"/>
  <c r="W114" i="25"/>
  <c r="U114" i="25"/>
  <c r="Q114" i="25"/>
  <c r="S114" i="25" s="1"/>
  <c r="AD114" i="25" s="1"/>
  <c r="AL114" i="25" s="1"/>
  <c r="AN114" i="25"/>
  <c r="L114" i="25"/>
  <c r="AB114" i="25" s="1"/>
  <c r="AJ114" i="25" s="1"/>
  <c r="J114" i="25"/>
  <c r="AA114" i="25" s="1"/>
  <c r="AI114" i="25" s="1"/>
  <c r="E115" i="24"/>
  <c r="I115" i="24"/>
  <c r="AC114" i="27"/>
  <c r="AK114" i="27" s="1"/>
  <c r="AC114" i="26"/>
  <c r="AK114" i="26" s="1"/>
  <c r="G114" i="23"/>
  <c r="H114" i="23"/>
  <c r="Y114" i="23" s="1"/>
  <c r="AE114" i="23"/>
  <c r="D115" i="22"/>
  <c r="C114" i="22"/>
  <c r="Z114" i="22" s="1"/>
  <c r="U114" i="22"/>
  <c r="W114" i="22"/>
  <c r="Q114" i="22"/>
  <c r="S114" i="22" s="1"/>
  <c r="AD114" i="22" s="1"/>
  <c r="L114" i="22"/>
  <c r="AB114" i="22" s="1"/>
  <c r="J114" i="22"/>
  <c r="AA114" i="22" s="1"/>
  <c r="E115" i="21"/>
  <c r="I115" i="21"/>
  <c r="AC114" i="21"/>
  <c r="AC114" i="25" l="1"/>
  <c r="AK114" i="25" s="1"/>
  <c r="G115" i="27"/>
  <c r="H115" i="27"/>
  <c r="Y115" i="27" s="1"/>
  <c r="AM115" i="27" s="1"/>
  <c r="G115" i="26"/>
  <c r="H115" i="26"/>
  <c r="Y115" i="26" s="1"/>
  <c r="AM115" i="26" s="1"/>
  <c r="E115" i="25"/>
  <c r="I115" i="25"/>
  <c r="G115" i="24"/>
  <c r="H115" i="24"/>
  <c r="Y115" i="24" s="1"/>
  <c r="AM115" i="24" s="1"/>
  <c r="AE115" i="27"/>
  <c r="AE115" i="26"/>
  <c r="AE115" i="24"/>
  <c r="D115" i="23"/>
  <c r="C114" i="23"/>
  <c r="Z114" i="23" s="1"/>
  <c r="W114" i="23"/>
  <c r="U114" i="23"/>
  <c r="Q114" i="23"/>
  <c r="S114" i="23" s="1"/>
  <c r="AD114" i="23" s="1"/>
  <c r="L114" i="23"/>
  <c r="AB114" i="23" s="1"/>
  <c r="J114" i="23"/>
  <c r="AA114" i="23" s="1"/>
  <c r="E115" i="22"/>
  <c r="I115" i="22"/>
  <c r="AC114" i="22"/>
  <c r="G115" i="21"/>
  <c r="H115" i="21"/>
  <c r="Y115" i="21" s="1"/>
  <c r="AE115" i="21"/>
  <c r="AC114" i="23" l="1"/>
  <c r="D116" i="27"/>
  <c r="C115" i="27"/>
  <c r="Z115" i="27" s="1"/>
  <c r="AH115" i="27" s="1"/>
  <c r="W115" i="27"/>
  <c r="U115" i="27"/>
  <c r="AN115" i="27"/>
  <c r="Q115" i="27"/>
  <c r="S115" i="27" s="1"/>
  <c r="AD115" i="27" s="1"/>
  <c r="AL115" i="27" s="1"/>
  <c r="L115" i="27"/>
  <c r="AB115" i="27" s="1"/>
  <c r="AJ115" i="27" s="1"/>
  <c r="J115" i="27"/>
  <c r="AA115" i="27" s="1"/>
  <c r="AI115" i="27" s="1"/>
  <c r="D116" i="26"/>
  <c r="C115" i="26"/>
  <c r="Z115" i="26" s="1"/>
  <c r="AH115" i="26" s="1"/>
  <c r="Q115" i="26"/>
  <c r="S115" i="26" s="1"/>
  <c r="AD115" i="26" s="1"/>
  <c r="AL115" i="26" s="1"/>
  <c r="AN115" i="26"/>
  <c r="W115" i="26"/>
  <c r="U115" i="26"/>
  <c r="L115" i="26"/>
  <c r="AB115" i="26" s="1"/>
  <c r="AJ115" i="26" s="1"/>
  <c r="J115" i="26"/>
  <c r="AA115" i="26" s="1"/>
  <c r="AI115" i="26" s="1"/>
  <c r="G115" i="25"/>
  <c r="H115" i="25"/>
  <c r="Y115" i="25" s="1"/>
  <c r="AM115" i="25" s="1"/>
  <c r="D116" i="24"/>
  <c r="C115" i="24"/>
  <c r="Z115" i="24" s="1"/>
  <c r="AH115" i="24" s="1"/>
  <c r="W115" i="24"/>
  <c r="U115" i="24"/>
  <c r="AC115" i="24" s="1"/>
  <c r="AK115" i="24" s="1"/>
  <c r="AN115" i="24"/>
  <c r="Q115" i="24"/>
  <c r="S115" i="24" s="1"/>
  <c r="AD115" i="24" s="1"/>
  <c r="AL115" i="24" s="1"/>
  <c r="L115" i="24"/>
  <c r="AB115" i="24" s="1"/>
  <c r="AJ115" i="24" s="1"/>
  <c r="J115" i="24"/>
  <c r="AE115" i="25"/>
  <c r="AA115" i="24"/>
  <c r="AI115" i="24" s="1"/>
  <c r="E115" i="23"/>
  <c r="I115" i="23"/>
  <c r="G115" i="22"/>
  <c r="H115" i="22"/>
  <c r="Y115" i="22" s="1"/>
  <c r="AE115" i="22"/>
  <c r="D116" i="21"/>
  <c r="C115" i="21"/>
  <c r="Z115" i="21" s="1"/>
  <c r="Q115" i="21"/>
  <c r="S115" i="21" s="1"/>
  <c r="AD115" i="21" s="1"/>
  <c r="U115" i="21"/>
  <c r="W115" i="21"/>
  <c r="L115" i="21"/>
  <c r="AB115" i="21" s="1"/>
  <c r="J115" i="21"/>
  <c r="AA115" i="21" s="1"/>
  <c r="AC115" i="21" l="1"/>
  <c r="E116" i="27"/>
  <c r="I116" i="27"/>
  <c r="E116" i="26"/>
  <c r="I116" i="26"/>
  <c r="D116" i="25"/>
  <c r="C115" i="25"/>
  <c r="Z115" i="25" s="1"/>
  <c r="AH115" i="25" s="1"/>
  <c r="AN115" i="25"/>
  <c r="Q115" i="25"/>
  <c r="S115" i="25" s="1"/>
  <c r="AD115" i="25" s="1"/>
  <c r="AL115" i="25" s="1"/>
  <c r="W115" i="25"/>
  <c r="U115" i="25"/>
  <c r="L115" i="25"/>
  <c r="AB115" i="25" s="1"/>
  <c r="AJ115" i="25" s="1"/>
  <c r="J115" i="25"/>
  <c r="AA115" i="25" s="1"/>
  <c r="AI115" i="25" s="1"/>
  <c r="E116" i="24"/>
  <c r="I116" i="24"/>
  <c r="AC115" i="27"/>
  <c r="AK115" i="27" s="1"/>
  <c r="AC115" i="26"/>
  <c r="AK115" i="26" s="1"/>
  <c r="G115" i="23"/>
  <c r="H115" i="23"/>
  <c r="Y115" i="23" s="1"/>
  <c r="AE115" i="23"/>
  <c r="D116" i="22"/>
  <c r="C115" i="22"/>
  <c r="Z115" i="22" s="1"/>
  <c r="Q115" i="22"/>
  <c r="S115" i="22" s="1"/>
  <c r="AD115" i="22" s="1"/>
  <c r="W115" i="22"/>
  <c r="U115" i="22"/>
  <c r="L115" i="22"/>
  <c r="AB115" i="22" s="1"/>
  <c r="J115" i="22"/>
  <c r="AA115" i="22" s="1"/>
  <c r="E116" i="21"/>
  <c r="I116" i="21"/>
  <c r="AC115" i="22" l="1"/>
  <c r="G116" i="27"/>
  <c r="H116" i="27"/>
  <c r="Y116" i="27" s="1"/>
  <c r="AM116" i="27" s="1"/>
  <c r="G116" i="26"/>
  <c r="H116" i="26"/>
  <c r="Y116" i="26" s="1"/>
  <c r="AM116" i="26" s="1"/>
  <c r="E116" i="25"/>
  <c r="I116" i="25"/>
  <c r="G116" i="24"/>
  <c r="H116" i="24"/>
  <c r="Y116" i="24" s="1"/>
  <c r="AM116" i="24" s="1"/>
  <c r="AE116" i="27"/>
  <c r="AE116" i="26"/>
  <c r="AC115" i="25"/>
  <c r="AK115" i="25" s="1"/>
  <c r="AE116" i="24"/>
  <c r="D116" i="23"/>
  <c r="C115" i="23"/>
  <c r="Z115" i="23" s="1"/>
  <c r="W115" i="23"/>
  <c r="U115" i="23"/>
  <c r="Q115" i="23"/>
  <c r="S115" i="23" s="1"/>
  <c r="AD115" i="23" s="1"/>
  <c r="L115" i="23"/>
  <c r="AB115" i="23" s="1"/>
  <c r="J115" i="23"/>
  <c r="AA115" i="23" s="1"/>
  <c r="E116" i="22"/>
  <c r="I116" i="22"/>
  <c r="G116" i="21"/>
  <c r="H116" i="21"/>
  <c r="Y116" i="21" s="1"/>
  <c r="AE116" i="21"/>
  <c r="AC115" i="23" l="1"/>
  <c r="D117" i="27"/>
  <c r="C116" i="27"/>
  <c r="Z116" i="27" s="1"/>
  <c r="AH116" i="27" s="1"/>
  <c r="U116" i="27"/>
  <c r="AN116" i="27"/>
  <c r="W116" i="27"/>
  <c r="AC116" i="27" s="1"/>
  <c r="AK116" i="27" s="1"/>
  <c r="Q116" i="27"/>
  <c r="S116" i="27" s="1"/>
  <c r="AD116" i="27" s="1"/>
  <c r="AL116" i="27" s="1"/>
  <c r="J116" i="27"/>
  <c r="AA116" i="27" s="1"/>
  <c r="AI116" i="27" s="1"/>
  <c r="L116" i="27"/>
  <c r="AB116" i="27" s="1"/>
  <c r="AJ116" i="27" s="1"/>
  <c r="D117" i="26"/>
  <c r="C116" i="26"/>
  <c r="Z116" i="26" s="1"/>
  <c r="AH116" i="26" s="1"/>
  <c r="Q116" i="26"/>
  <c r="S116" i="26" s="1"/>
  <c r="AD116" i="26" s="1"/>
  <c r="AL116" i="26" s="1"/>
  <c r="W116" i="26"/>
  <c r="AN116" i="26"/>
  <c r="U116" i="26"/>
  <c r="AC116" i="26" s="1"/>
  <c r="AK116" i="26" s="1"/>
  <c r="L116" i="26"/>
  <c r="AB116" i="26" s="1"/>
  <c r="AJ116" i="26" s="1"/>
  <c r="J116" i="26"/>
  <c r="AA116" i="26" s="1"/>
  <c r="AI116" i="26" s="1"/>
  <c r="G116" i="25"/>
  <c r="H116" i="25"/>
  <c r="Y116" i="25" s="1"/>
  <c r="AM116" i="25" s="1"/>
  <c r="D117" i="24"/>
  <c r="C116" i="24"/>
  <c r="Z116" i="24" s="1"/>
  <c r="AH116" i="24" s="1"/>
  <c r="U116" i="24"/>
  <c r="W116" i="24"/>
  <c r="AN116" i="24"/>
  <c r="Q116" i="24"/>
  <c r="S116" i="24" s="1"/>
  <c r="AD116" i="24" s="1"/>
  <c r="AL116" i="24" s="1"/>
  <c r="L116" i="24"/>
  <c r="AB116" i="24" s="1"/>
  <c r="AJ116" i="24" s="1"/>
  <c r="J116" i="24"/>
  <c r="AA116" i="24" s="1"/>
  <c r="AI116" i="24" s="1"/>
  <c r="AE116" i="25"/>
  <c r="E116" i="23"/>
  <c r="I116" i="23"/>
  <c r="G116" i="22"/>
  <c r="H116" i="22"/>
  <c r="Y116" i="22" s="1"/>
  <c r="AE116" i="22"/>
  <c r="D117" i="21"/>
  <c r="C116" i="21"/>
  <c r="Z116" i="21" s="1"/>
  <c r="W116" i="21"/>
  <c r="U116" i="21"/>
  <c r="Q116" i="21"/>
  <c r="S116" i="21" s="1"/>
  <c r="AD116" i="21" s="1"/>
  <c r="L116" i="21"/>
  <c r="AB116" i="21" s="1"/>
  <c r="J116" i="21"/>
  <c r="AA116" i="21" s="1"/>
  <c r="AC116" i="24" l="1"/>
  <c r="AK116" i="24" s="1"/>
  <c r="E117" i="27"/>
  <c r="I117" i="27"/>
  <c r="E117" i="26"/>
  <c r="I117" i="26"/>
  <c r="D117" i="25"/>
  <c r="C116" i="25"/>
  <c r="Z116" i="25" s="1"/>
  <c r="AH116" i="25" s="1"/>
  <c r="U116" i="25"/>
  <c r="W116" i="25"/>
  <c r="Q116" i="25"/>
  <c r="S116" i="25" s="1"/>
  <c r="AD116" i="25" s="1"/>
  <c r="AL116" i="25" s="1"/>
  <c r="AN116" i="25"/>
  <c r="L116" i="25"/>
  <c r="AB116" i="25" s="1"/>
  <c r="AJ116" i="25" s="1"/>
  <c r="J116" i="25"/>
  <c r="AA116" i="25" s="1"/>
  <c r="AI116" i="25" s="1"/>
  <c r="E117" i="24"/>
  <c r="I117" i="24"/>
  <c r="G116" i="23"/>
  <c r="H116" i="23"/>
  <c r="Y116" i="23" s="1"/>
  <c r="AE116" i="23"/>
  <c r="D117" i="22"/>
  <c r="C116" i="22"/>
  <c r="Z116" i="22" s="1"/>
  <c r="U116" i="22"/>
  <c r="W116" i="22"/>
  <c r="Q116" i="22"/>
  <c r="S116" i="22" s="1"/>
  <c r="AD116" i="22" s="1"/>
  <c r="L116" i="22"/>
  <c r="AB116" i="22" s="1"/>
  <c r="J116" i="22"/>
  <c r="AA116" i="22" s="1"/>
  <c r="E117" i="21"/>
  <c r="I117" i="21"/>
  <c r="AC116" i="21"/>
  <c r="AC116" i="25" l="1"/>
  <c r="AK116" i="25" s="1"/>
  <c r="G117" i="27"/>
  <c r="H117" i="27"/>
  <c r="Y117" i="27" s="1"/>
  <c r="AM117" i="27" s="1"/>
  <c r="G117" i="26"/>
  <c r="H117" i="26"/>
  <c r="Y117" i="26" s="1"/>
  <c r="AM117" i="26" s="1"/>
  <c r="E117" i="25"/>
  <c r="I117" i="25"/>
  <c r="G117" i="24"/>
  <c r="H117" i="24"/>
  <c r="Y117" i="24" s="1"/>
  <c r="AM117" i="24" s="1"/>
  <c r="AE117" i="27"/>
  <c r="AE117" i="26"/>
  <c r="AE117" i="24"/>
  <c r="D117" i="23"/>
  <c r="C116" i="23"/>
  <c r="Z116" i="23" s="1"/>
  <c r="Q116" i="23"/>
  <c r="S116" i="23" s="1"/>
  <c r="AD116" i="23" s="1"/>
  <c r="U116" i="23"/>
  <c r="W116" i="23"/>
  <c r="L116" i="23"/>
  <c r="AB116" i="23" s="1"/>
  <c r="J116" i="23"/>
  <c r="AA116" i="23" s="1"/>
  <c r="E117" i="22"/>
  <c r="I117" i="22"/>
  <c r="AC116" i="22"/>
  <c r="G117" i="21"/>
  <c r="H117" i="21"/>
  <c r="Y117" i="21" s="1"/>
  <c r="AE117" i="21"/>
  <c r="D118" i="27" l="1"/>
  <c r="C117" i="27"/>
  <c r="Z117" i="27" s="1"/>
  <c r="AH117" i="27" s="1"/>
  <c r="U117" i="27"/>
  <c r="Q117" i="27"/>
  <c r="S117" i="27" s="1"/>
  <c r="AD117" i="27" s="1"/>
  <c r="AL117" i="27" s="1"/>
  <c r="W117" i="27"/>
  <c r="AN117" i="27"/>
  <c r="L117" i="27"/>
  <c r="AB117" i="27" s="1"/>
  <c r="AJ117" i="27" s="1"/>
  <c r="J117" i="27"/>
  <c r="AA117" i="27" s="1"/>
  <c r="AI117" i="27" s="1"/>
  <c r="D118" i="26"/>
  <c r="C117" i="26"/>
  <c r="Z117" i="26" s="1"/>
  <c r="AH117" i="26" s="1"/>
  <c r="Q117" i="26"/>
  <c r="S117" i="26" s="1"/>
  <c r="AD117" i="26" s="1"/>
  <c r="AL117" i="26" s="1"/>
  <c r="W117" i="26"/>
  <c r="U117" i="26"/>
  <c r="AN117" i="26"/>
  <c r="L117" i="26"/>
  <c r="AB117" i="26" s="1"/>
  <c r="AJ117" i="26" s="1"/>
  <c r="J117" i="26"/>
  <c r="AA117" i="26" s="1"/>
  <c r="AI117" i="26" s="1"/>
  <c r="G117" i="25"/>
  <c r="H117" i="25"/>
  <c r="Y117" i="25" s="1"/>
  <c r="AM117" i="25" s="1"/>
  <c r="D118" i="24"/>
  <c r="C117" i="24"/>
  <c r="Z117" i="24" s="1"/>
  <c r="AH117" i="24" s="1"/>
  <c r="W117" i="24"/>
  <c r="Q117" i="24"/>
  <c r="S117" i="24" s="1"/>
  <c r="AD117" i="24" s="1"/>
  <c r="AL117" i="24" s="1"/>
  <c r="AN117" i="24"/>
  <c r="U117" i="24"/>
  <c r="L117" i="24"/>
  <c r="AB117" i="24" s="1"/>
  <c r="AJ117" i="24" s="1"/>
  <c r="J117" i="24"/>
  <c r="AA117" i="24" s="1"/>
  <c r="AI117" i="24" s="1"/>
  <c r="AE117" i="25"/>
  <c r="AC116" i="23"/>
  <c r="E117" i="23"/>
  <c r="I117" i="23"/>
  <c r="G117" i="22"/>
  <c r="H117" i="22"/>
  <c r="Y117" i="22" s="1"/>
  <c r="AE117" i="22"/>
  <c r="D118" i="21"/>
  <c r="C117" i="21"/>
  <c r="Z117" i="21" s="1"/>
  <c r="U117" i="21"/>
  <c r="W117" i="21"/>
  <c r="Q117" i="21"/>
  <c r="S117" i="21" s="1"/>
  <c r="AD117" i="21" s="1"/>
  <c r="L117" i="21"/>
  <c r="AB117" i="21" s="1"/>
  <c r="J117" i="21"/>
  <c r="AA117" i="21" s="1"/>
  <c r="E118" i="27" l="1"/>
  <c r="I118" i="27"/>
  <c r="E118" i="26"/>
  <c r="I118" i="26"/>
  <c r="D118" i="25"/>
  <c r="C117" i="25"/>
  <c r="Z117" i="25" s="1"/>
  <c r="AH117" i="25" s="1"/>
  <c r="W117" i="25"/>
  <c r="Q117" i="25"/>
  <c r="S117" i="25" s="1"/>
  <c r="AD117" i="25" s="1"/>
  <c r="AL117" i="25" s="1"/>
  <c r="U117" i="25"/>
  <c r="AN117" i="25"/>
  <c r="L117" i="25"/>
  <c r="AB117" i="25" s="1"/>
  <c r="AJ117" i="25" s="1"/>
  <c r="J117" i="25"/>
  <c r="AA117" i="25" s="1"/>
  <c r="AI117" i="25" s="1"/>
  <c r="E118" i="24"/>
  <c r="I118" i="24"/>
  <c r="AC117" i="27"/>
  <c r="AK117" i="27" s="1"/>
  <c r="AC117" i="26"/>
  <c r="AK117" i="26" s="1"/>
  <c r="AC117" i="24"/>
  <c r="AK117" i="24" s="1"/>
  <c r="G117" i="23"/>
  <c r="H117" i="23"/>
  <c r="Y117" i="23" s="1"/>
  <c r="AE117" i="23"/>
  <c r="D118" i="22"/>
  <c r="C117" i="22"/>
  <c r="Z117" i="22" s="1"/>
  <c r="W117" i="22"/>
  <c r="U117" i="22"/>
  <c r="AC117" i="22" s="1"/>
  <c r="Q117" i="22"/>
  <c r="S117" i="22" s="1"/>
  <c r="AD117" i="22" s="1"/>
  <c r="L117" i="22"/>
  <c r="AB117" i="22" s="1"/>
  <c r="J117" i="22"/>
  <c r="AA117" i="22" s="1"/>
  <c r="E118" i="21"/>
  <c r="I118" i="21"/>
  <c r="AC117" i="21"/>
  <c r="AC117" i="25" l="1"/>
  <c r="AK117" i="25" s="1"/>
  <c r="G118" i="27"/>
  <c r="H118" i="27"/>
  <c r="Y118" i="27" s="1"/>
  <c r="AM118" i="27" s="1"/>
  <c r="G118" i="26"/>
  <c r="H118" i="26"/>
  <c r="Y118" i="26" s="1"/>
  <c r="AM118" i="26" s="1"/>
  <c r="E118" i="25"/>
  <c r="I118" i="25"/>
  <c r="G118" i="24"/>
  <c r="H118" i="24"/>
  <c r="Y118" i="24" s="1"/>
  <c r="AM118" i="24" s="1"/>
  <c r="AE118" i="27"/>
  <c r="AE118" i="26"/>
  <c r="AE118" i="24"/>
  <c r="D118" i="23"/>
  <c r="C117" i="23"/>
  <c r="Z117" i="23" s="1"/>
  <c r="Q117" i="23"/>
  <c r="S117" i="23" s="1"/>
  <c r="AD117" i="23" s="1"/>
  <c r="W117" i="23"/>
  <c r="U117" i="23"/>
  <c r="L117" i="23"/>
  <c r="AB117" i="23" s="1"/>
  <c r="J117" i="23"/>
  <c r="AA117" i="23" s="1"/>
  <c r="E118" i="22"/>
  <c r="I118" i="22"/>
  <c r="G118" i="21"/>
  <c r="H118" i="21"/>
  <c r="Y118" i="21" s="1"/>
  <c r="AE118" i="21"/>
  <c r="AC117" i="23" l="1"/>
  <c r="D119" i="27"/>
  <c r="C118" i="27"/>
  <c r="Z118" i="27" s="1"/>
  <c r="AH118" i="27" s="1"/>
  <c r="W118" i="27"/>
  <c r="U118" i="27"/>
  <c r="AC118" i="27" s="1"/>
  <c r="AK118" i="27" s="1"/>
  <c r="Q118" i="27"/>
  <c r="S118" i="27" s="1"/>
  <c r="AD118" i="27" s="1"/>
  <c r="AL118" i="27" s="1"/>
  <c r="AN118" i="27"/>
  <c r="L118" i="27"/>
  <c r="AB118" i="27" s="1"/>
  <c r="AJ118" i="27" s="1"/>
  <c r="J118" i="27"/>
  <c r="AA118" i="27" s="1"/>
  <c r="AI118" i="27" s="1"/>
  <c r="D119" i="26"/>
  <c r="C118" i="26"/>
  <c r="Z118" i="26" s="1"/>
  <c r="AH118" i="26" s="1"/>
  <c r="Q118" i="26"/>
  <c r="S118" i="26" s="1"/>
  <c r="AD118" i="26" s="1"/>
  <c r="AL118" i="26" s="1"/>
  <c r="U118" i="26"/>
  <c r="AN118" i="26"/>
  <c r="W118" i="26"/>
  <c r="L118" i="26"/>
  <c r="AB118" i="26" s="1"/>
  <c r="AJ118" i="26" s="1"/>
  <c r="J118" i="26"/>
  <c r="AA118" i="26" s="1"/>
  <c r="AI118" i="26" s="1"/>
  <c r="G118" i="25"/>
  <c r="H118" i="25"/>
  <c r="Y118" i="25" s="1"/>
  <c r="AM118" i="25" s="1"/>
  <c r="D119" i="24"/>
  <c r="C118" i="24"/>
  <c r="Z118" i="24" s="1"/>
  <c r="AH118" i="24" s="1"/>
  <c r="U118" i="24"/>
  <c r="Q118" i="24"/>
  <c r="S118" i="24" s="1"/>
  <c r="AD118" i="24" s="1"/>
  <c r="AL118" i="24" s="1"/>
  <c r="AN118" i="24"/>
  <c r="W118" i="24"/>
  <c r="L118" i="24"/>
  <c r="AB118" i="24" s="1"/>
  <c r="AJ118" i="24" s="1"/>
  <c r="J118" i="24"/>
  <c r="AA118" i="24" s="1"/>
  <c r="AI118" i="24" s="1"/>
  <c r="AE118" i="25"/>
  <c r="E118" i="23"/>
  <c r="I118" i="23"/>
  <c r="G118" i="22"/>
  <c r="H118" i="22"/>
  <c r="Y118" i="22" s="1"/>
  <c r="AE118" i="22"/>
  <c r="D119" i="21"/>
  <c r="C118" i="21"/>
  <c r="Z118" i="21" s="1"/>
  <c r="W118" i="21"/>
  <c r="Q118" i="21"/>
  <c r="S118" i="21" s="1"/>
  <c r="AD118" i="21" s="1"/>
  <c r="U118" i="21"/>
  <c r="J118" i="21"/>
  <c r="AA118" i="21" s="1"/>
  <c r="L118" i="21"/>
  <c r="AB118" i="21" s="1"/>
  <c r="E119" i="27" l="1"/>
  <c r="I119" i="27"/>
  <c r="E119" i="26"/>
  <c r="I119" i="26"/>
  <c r="U118" i="25"/>
  <c r="Q118" i="25"/>
  <c r="S118" i="25" s="1"/>
  <c r="AD118" i="25" s="1"/>
  <c r="AL118" i="25" s="1"/>
  <c r="W118" i="25"/>
  <c r="AN118" i="25"/>
  <c r="L118" i="25"/>
  <c r="AB118" i="25" s="1"/>
  <c r="AJ118" i="25" s="1"/>
  <c r="J118" i="25"/>
  <c r="AA118" i="25" s="1"/>
  <c r="AI118" i="25" s="1"/>
  <c r="D119" i="25"/>
  <c r="C118" i="25"/>
  <c r="Z118" i="25" s="1"/>
  <c r="AH118" i="25" s="1"/>
  <c r="E119" i="24"/>
  <c r="I119" i="24"/>
  <c r="AC118" i="26"/>
  <c r="AK118" i="26" s="1"/>
  <c r="AC118" i="24"/>
  <c r="AK118" i="24" s="1"/>
  <c r="G118" i="23"/>
  <c r="H118" i="23"/>
  <c r="Y118" i="23" s="1"/>
  <c r="AE118" i="23"/>
  <c r="D119" i="22"/>
  <c r="C118" i="22"/>
  <c r="Z118" i="22" s="1"/>
  <c r="U118" i="22"/>
  <c r="Q118" i="22"/>
  <c r="S118" i="22" s="1"/>
  <c r="AD118" i="22" s="1"/>
  <c r="W118" i="22"/>
  <c r="L118" i="22"/>
  <c r="AB118" i="22" s="1"/>
  <c r="J118" i="22"/>
  <c r="AA118" i="22" s="1"/>
  <c r="E119" i="21"/>
  <c r="I119" i="21"/>
  <c r="AC118" i="21"/>
  <c r="AC118" i="22" l="1"/>
  <c r="G119" i="27"/>
  <c r="H119" i="27"/>
  <c r="Y119" i="27" s="1"/>
  <c r="AM119" i="27" s="1"/>
  <c r="G119" i="26"/>
  <c r="H119" i="26"/>
  <c r="Y119" i="26" s="1"/>
  <c r="AM119" i="26" s="1"/>
  <c r="E119" i="25"/>
  <c r="I119" i="25"/>
  <c r="G119" i="24"/>
  <c r="H119" i="24"/>
  <c r="Y119" i="24" s="1"/>
  <c r="AM119" i="24" s="1"/>
  <c r="AE119" i="27"/>
  <c r="AE119" i="26"/>
  <c r="AC118" i="25"/>
  <c r="AK118" i="25" s="1"/>
  <c r="AE119" i="24"/>
  <c r="D119" i="23"/>
  <c r="C118" i="23"/>
  <c r="Z118" i="23" s="1"/>
  <c r="W118" i="23"/>
  <c r="U118" i="23"/>
  <c r="Q118" i="23"/>
  <c r="S118" i="23" s="1"/>
  <c r="AD118" i="23" s="1"/>
  <c r="L118" i="23"/>
  <c r="AB118" i="23" s="1"/>
  <c r="J118" i="23"/>
  <c r="AA118" i="23" s="1"/>
  <c r="E119" i="22"/>
  <c r="I119" i="22"/>
  <c r="G119" i="21"/>
  <c r="H119" i="21"/>
  <c r="Y119" i="21" s="1"/>
  <c r="AE119" i="21"/>
  <c r="AC118" i="23" l="1"/>
  <c r="D120" i="27"/>
  <c r="C119" i="27"/>
  <c r="Z119" i="27" s="1"/>
  <c r="AH119" i="27" s="1"/>
  <c r="U119" i="27"/>
  <c r="Q119" i="27"/>
  <c r="S119" i="27" s="1"/>
  <c r="AD119" i="27" s="1"/>
  <c r="AL119" i="27" s="1"/>
  <c r="W119" i="27"/>
  <c r="AC119" i="27" s="1"/>
  <c r="AK119" i="27" s="1"/>
  <c r="AN119" i="27"/>
  <c r="L119" i="27"/>
  <c r="AB119" i="27" s="1"/>
  <c r="AJ119" i="27" s="1"/>
  <c r="J119" i="27"/>
  <c r="AA119" i="27" s="1"/>
  <c r="AI119" i="27" s="1"/>
  <c r="D120" i="26"/>
  <c r="C119" i="26"/>
  <c r="Z119" i="26" s="1"/>
  <c r="AH119" i="26" s="1"/>
  <c r="W119" i="26"/>
  <c r="Q119" i="26"/>
  <c r="S119" i="26" s="1"/>
  <c r="AD119" i="26" s="1"/>
  <c r="AL119" i="26" s="1"/>
  <c r="AN119" i="26"/>
  <c r="U119" i="26"/>
  <c r="L119" i="26"/>
  <c r="AB119" i="26" s="1"/>
  <c r="AJ119" i="26" s="1"/>
  <c r="J119" i="26"/>
  <c r="AA119" i="26" s="1"/>
  <c r="AI119" i="26" s="1"/>
  <c r="G119" i="25"/>
  <c r="H119" i="25"/>
  <c r="Y119" i="25" s="1"/>
  <c r="AM119" i="25" s="1"/>
  <c r="D120" i="24"/>
  <c r="C119" i="24"/>
  <c r="Z119" i="24" s="1"/>
  <c r="AH119" i="24" s="1"/>
  <c r="U119" i="24"/>
  <c r="Q119" i="24"/>
  <c r="S119" i="24" s="1"/>
  <c r="AD119" i="24" s="1"/>
  <c r="AL119" i="24" s="1"/>
  <c r="W119" i="24"/>
  <c r="AC119" i="24" s="1"/>
  <c r="AK119" i="24" s="1"/>
  <c r="AN119" i="24"/>
  <c r="L119" i="24"/>
  <c r="AB119" i="24" s="1"/>
  <c r="AJ119" i="24" s="1"/>
  <c r="J119" i="24"/>
  <c r="AA119" i="24" s="1"/>
  <c r="AI119" i="24" s="1"/>
  <c r="AE119" i="25"/>
  <c r="E119" i="23"/>
  <c r="I119" i="23"/>
  <c r="G119" i="22"/>
  <c r="H119" i="22"/>
  <c r="Y119" i="22" s="1"/>
  <c r="AE119" i="22"/>
  <c r="D120" i="21"/>
  <c r="C119" i="21"/>
  <c r="Z119" i="21" s="1"/>
  <c r="U119" i="21"/>
  <c r="W119" i="21"/>
  <c r="Q119" i="21"/>
  <c r="S119" i="21" s="1"/>
  <c r="AD119" i="21" s="1"/>
  <c r="L119" i="21"/>
  <c r="AB119" i="21" s="1"/>
  <c r="J119" i="21"/>
  <c r="AA119" i="21" s="1"/>
  <c r="AC119" i="21" l="1"/>
  <c r="E120" i="27"/>
  <c r="I120" i="27"/>
  <c r="E120" i="26"/>
  <c r="I120" i="26"/>
  <c r="D120" i="25"/>
  <c r="C119" i="25"/>
  <c r="Z119" i="25" s="1"/>
  <c r="AH119" i="25" s="1"/>
  <c r="W119" i="25"/>
  <c r="AN119" i="25"/>
  <c r="Q119" i="25"/>
  <c r="S119" i="25" s="1"/>
  <c r="AD119" i="25" s="1"/>
  <c r="AL119" i="25" s="1"/>
  <c r="U119" i="25"/>
  <c r="J119" i="25"/>
  <c r="AA119" i="25" s="1"/>
  <c r="AI119" i="25" s="1"/>
  <c r="L119" i="25"/>
  <c r="AB119" i="25" s="1"/>
  <c r="AJ119" i="25" s="1"/>
  <c r="E120" i="24"/>
  <c r="I120" i="24"/>
  <c r="AC119" i="26"/>
  <c r="AK119" i="26" s="1"/>
  <c r="G119" i="23"/>
  <c r="H119" i="23"/>
  <c r="Y119" i="23" s="1"/>
  <c r="AE119" i="23"/>
  <c r="D120" i="22"/>
  <c r="C119" i="22"/>
  <c r="Z119" i="22" s="1"/>
  <c r="W119" i="22"/>
  <c r="U119" i="22"/>
  <c r="Q119" i="22"/>
  <c r="S119" i="22" s="1"/>
  <c r="AD119" i="22" s="1"/>
  <c r="L119" i="22"/>
  <c r="AB119" i="22" s="1"/>
  <c r="J119" i="22"/>
  <c r="AA119" i="22" s="1"/>
  <c r="E120" i="21"/>
  <c r="I120" i="21"/>
  <c r="AC119" i="25" l="1"/>
  <c r="AK119" i="25" s="1"/>
  <c r="G120" i="27"/>
  <c r="H120" i="27"/>
  <c r="Y120" i="27" s="1"/>
  <c r="AM120" i="27" s="1"/>
  <c r="G120" i="26"/>
  <c r="H120" i="26"/>
  <c r="Y120" i="26" s="1"/>
  <c r="AM120" i="26" s="1"/>
  <c r="E120" i="25"/>
  <c r="I120" i="25"/>
  <c r="G120" i="24"/>
  <c r="H120" i="24"/>
  <c r="Y120" i="24" s="1"/>
  <c r="AM120" i="24" s="1"/>
  <c r="AE120" i="27"/>
  <c r="AE120" i="26"/>
  <c r="AE120" i="24"/>
  <c r="D120" i="23"/>
  <c r="C119" i="23"/>
  <c r="Z119" i="23" s="1"/>
  <c r="W119" i="23"/>
  <c r="U119" i="23"/>
  <c r="Q119" i="23"/>
  <c r="S119" i="23" s="1"/>
  <c r="AD119" i="23" s="1"/>
  <c r="L119" i="23"/>
  <c r="AB119" i="23" s="1"/>
  <c r="J119" i="23"/>
  <c r="AA119" i="23" s="1"/>
  <c r="E120" i="22"/>
  <c r="I120" i="22"/>
  <c r="AC119" i="22"/>
  <c r="G120" i="21"/>
  <c r="H120" i="21"/>
  <c r="Y120" i="21" s="1"/>
  <c r="AE120" i="21"/>
  <c r="AC119" i="23" l="1"/>
  <c r="D121" i="27"/>
  <c r="C120" i="27"/>
  <c r="Z120" i="27" s="1"/>
  <c r="AH120" i="27" s="1"/>
  <c r="W120" i="27"/>
  <c r="Q120" i="27"/>
  <c r="S120" i="27" s="1"/>
  <c r="AD120" i="27" s="1"/>
  <c r="AL120" i="27" s="1"/>
  <c r="AN120" i="27"/>
  <c r="U120" i="27"/>
  <c r="L120" i="27"/>
  <c r="AB120" i="27" s="1"/>
  <c r="AJ120" i="27" s="1"/>
  <c r="J120" i="27"/>
  <c r="AA120" i="27" s="1"/>
  <c r="AI120" i="27" s="1"/>
  <c r="D121" i="26"/>
  <c r="C120" i="26"/>
  <c r="Z120" i="26" s="1"/>
  <c r="AH120" i="26" s="1"/>
  <c r="Q120" i="26"/>
  <c r="S120" i="26" s="1"/>
  <c r="AD120" i="26" s="1"/>
  <c r="AL120" i="26" s="1"/>
  <c r="W120" i="26"/>
  <c r="AN120" i="26"/>
  <c r="U120" i="26"/>
  <c r="L120" i="26"/>
  <c r="AB120" i="26" s="1"/>
  <c r="AJ120" i="26" s="1"/>
  <c r="J120" i="26"/>
  <c r="AA120" i="26" s="1"/>
  <c r="AI120" i="26" s="1"/>
  <c r="G120" i="25"/>
  <c r="H120" i="25"/>
  <c r="Y120" i="25" s="1"/>
  <c r="AM120" i="25" s="1"/>
  <c r="D121" i="24"/>
  <c r="C120" i="24"/>
  <c r="Z120" i="24" s="1"/>
  <c r="AH120" i="24" s="1"/>
  <c r="Q120" i="24"/>
  <c r="S120" i="24" s="1"/>
  <c r="AD120" i="24" s="1"/>
  <c r="AL120" i="24" s="1"/>
  <c r="U120" i="24"/>
  <c r="W120" i="24"/>
  <c r="AN120" i="24"/>
  <c r="L120" i="24"/>
  <c r="AB120" i="24" s="1"/>
  <c r="AJ120" i="24" s="1"/>
  <c r="J120" i="24"/>
  <c r="AA120" i="24" s="1"/>
  <c r="AI120" i="24" s="1"/>
  <c r="AE120" i="25"/>
  <c r="E120" i="23"/>
  <c r="I120" i="23"/>
  <c r="G120" i="22"/>
  <c r="H120" i="22"/>
  <c r="Y120" i="22" s="1"/>
  <c r="AE120" i="22"/>
  <c r="D121" i="21"/>
  <c r="C120" i="21"/>
  <c r="Z120" i="21" s="1"/>
  <c r="W120" i="21"/>
  <c r="Q120" i="21"/>
  <c r="S120" i="21" s="1"/>
  <c r="AD120" i="21" s="1"/>
  <c r="U120" i="21"/>
  <c r="J120" i="21"/>
  <c r="AA120" i="21" s="1"/>
  <c r="L120" i="21"/>
  <c r="AB120" i="21" s="1"/>
  <c r="AC120" i="26" l="1"/>
  <c r="AK120" i="26" s="1"/>
  <c r="AC120" i="21"/>
  <c r="E121" i="27"/>
  <c r="I121" i="27"/>
  <c r="E121" i="26"/>
  <c r="I121" i="26"/>
  <c r="D121" i="25"/>
  <c r="C120" i="25"/>
  <c r="Z120" i="25" s="1"/>
  <c r="AH120" i="25" s="1"/>
  <c r="Q120" i="25"/>
  <c r="S120" i="25" s="1"/>
  <c r="AD120" i="25" s="1"/>
  <c r="AL120" i="25" s="1"/>
  <c r="U120" i="25"/>
  <c r="W120" i="25"/>
  <c r="AN120" i="25"/>
  <c r="L120" i="25"/>
  <c r="AB120" i="25" s="1"/>
  <c r="AJ120" i="25" s="1"/>
  <c r="J120" i="25"/>
  <c r="AA120" i="25" s="1"/>
  <c r="AI120" i="25" s="1"/>
  <c r="E121" i="24"/>
  <c r="I121" i="24"/>
  <c r="AC120" i="27"/>
  <c r="AK120" i="27" s="1"/>
  <c r="AC120" i="24"/>
  <c r="AK120" i="24" s="1"/>
  <c r="G120" i="23"/>
  <c r="H120" i="23"/>
  <c r="Y120" i="23" s="1"/>
  <c r="AE120" i="23"/>
  <c r="D121" i="22"/>
  <c r="C120" i="22"/>
  <c r="Z120" i="22" s="1"/>
  <c r="W120" i="22"/>
  <c r="U120" i="22"/>
  <c r="Q120" i="22"/>
  <c r="S120" i="22" s="1"/>
  <c r="AD120" i="22" s="1"/>
  <c r="L120" i="22"/>
  <c r="AB120" i="22" s="1"/>
  <c r="J120" i="22"/>
  <c r="AA120" i="22" s="1"/>
  <c r="E121" i="21"/>
  <c r="I121" i="21"/>
  <c r="AC120" i="22" l="1"/>
  <c r="AC120" i="25"/>
  <c r="AK120" i="25" s="1"/>
  <c r="G121" i="27"/>
  <c r="H121" i="27"/>
  <c r="Y121" i="27" s="1"/>
  <c r="AM121" i="27" s="1"/>
  <c r="G121" i="26"/>
  <c r="H121" i="26"/>
  <c r="Y121" i="26" s="1"/>
  <c r="AM121" i="26" s="1"/>
  <c r="E121" i="25"/>
  <c r="I121" i="25"/>
  <c r="G121" i="24"/>
  <c r="H121" i="24"/>
  <c r="Y121" i="24" s="1"/>
  <c r="AM121" i="24" s="1"/>
  <c r="AE121" i="27"/>
  <c r="AE121" i="26"/>
  <c r="AE121" i="24"/>
  <c r="D121" i="23"/>
  <c r="C120" i="23"/>
  <c r="Z120" i="23" s="1"/>
  <c r="Q120" i="23"/>
  <c r="S120" i="23" s="1"/>
  <c r="AD120" i="23" s="1"/>
  <c r="U120" i="23"/>
  <c r="W120" i="23"/>
  <c r="L120" i="23"/>
  <c r="AB120" i="23" s="1"/>
  <c r="J120" i="23"/>
  <c r="AA120" i="23" s="1"/>
  <c r="E121" i="22"/>
  <c r="I121" i="22"/>
  <c r="G121" i="21"/>
  <c r="H121" i="21"/>
  <c r="Y121" i="21" s="1"/>
  <c r="AE121" i="21"/>
  <c r="D122" i="27" l="1"/>
  <c r="C121" i="27"/>
  <c r="Z121" i="27" s="1"/>
  <c r="AH121" i="27" s="1"/>
  <c r="AN121" i="27"/>
  <c r="Q121" i="27"/>
  <c r="S121" i="27" s="1"/>
  <c r="AD121" i="27" s="1"/>
  <c r="AL121" i="27" s="1"/>
  <c r="U121" i="27"/>
  <c r="W121" i="27"/>
  <c r="L121" i="27"/>
  <c r="AB121" i="27" s="1"/>
  <c r="AJ121" i="27" s="1"/>
  <c r="J121" i="27"/>
  <c r="AA121" i="27" s="1"/>
  <c r="AI121" i="27" s="1"/>
  <c r="D122" i="26"/>
  <c r="C121" i="26"/>
  <c r="Z121" i="26" s="1"/>
  <c r="AH121" i="26" s="1"/>
  <c r="Q121" i="26"/>
  <c r="S121" i="26" s="1"/>
  <c r="AD121" i="26" s="1"/>
  <c r="AL121" i="26" s="1"/>
  <c r="AN121" i="26"/>
  <c r="U121" i="26"/>
  <c r="W121" i="26"/>
  <c r="J121" i="26"/>
  <c r="AA121" i="26" s="1"/>
  <c r="AI121" i="26" s="1"/>
  <c r="L121" i="26"/>
  <c r="AB121" i="26" s="1"/>
  <c r="AJ121" i="26" s="1"/>
  <c r="G121" i="25"/>
  <c r="H121" i="25"/>
  <c r="Y121" i="25" s="1"/>
  <c r="AM121" i="25" s="1"/>
  <c r="D122" i="24"/>
  <c r="C121" i="24"/>
  <c r="Z121" i="24" s="1"/>
  <c r="AH121" i="24" s="1"/>
  <c r="Q121" i="24"/>
  <c r="S121" i="24" s="1"/>
  <c r="AD121" i="24" s="1"/>
  <c r="AL121" i="24" s="1"/>
  <c r="U121" i="24"/>
  <c r="AN121" i="24"/>
  <c r="W121" i="24"/>
  <c r="L121" i="24"/>
  <c r="AB121" i="24" s="1"/>
  <c r="AJ121" i="24" s="1"/>
  <c r="J121" i="24"/>
  <c r="AA121" i="24" s="1"/>
  <c r="AI121" i="24" s="1"/>
  <c r="AE121" i="25"/>
  <c r="AC120" i="23"/>
  <c r="E121" i="23"/>
  <c r="I121" i="23"/>
  <c r="G121" i="22"/>
  <c r="H121" i="22"/>
  <c r="Y121" i="22" s="1"/>
  <c r="AE121" i="22"/>
  <c r="D122" i="21"/>
  <c r="C121" i="21"/>
  <c r="Z121" i="21" s="1"/>
  <c r="U121" i="21"/>
  <c r="Q121" i="21"/>
  <c r="S121" i="21" s="1"/>
  <c r="AD121" i="21" s="1"/>
  <c r="W121" i="21"/>
  <c r="J121" i="21"/>
  <c r="AA121" i="21" s="1"/>
  <c r="L121" i="21"/>
  <c r="AB121" i="21" s="1"/>
  <c r="AC121" i="21" l="1"/>
  <c r="AC121" i="27"/>
  <c r="AK121" i="27" s="1"/>
  <c r="AC121" i="26"/>
  <c r="AK121" i="26" s="1"/>
  <c r="AC121" i="24"/>
  <c r="AK121" i="24" s="1"/>
  <c r="E122" i="27"/>
  <c r="I122" i="27"/>
  <c r="E122" i="26"/>
  <c r="I122" i="26"/>
  <c r="D122" i="25"/>
  <c r="C121" i="25"/>
  <c r="Z121" i="25" s="1"/>
  <c r="AH121" i="25" s="1"/>
  <c r="U121" i="25"/>
  <c r="Q121" i="25"/>
  <c r="S121" i="25" s="1"/>
  <c r="AD121" i="25" s="1"/>
  <c r="AL121" i="25" s="1"/>
  <c r="W121" i="25"/>
  <c r="AN121" i="25"/>
  <c r="L121" i="25"/>
  <c r="AB121" i="25" s="1"/>
  <c r="AJ121" i="25" s="1"/>
  <c r="J121" i="25"/>
  <c r="AA121" i="25" s="1"/>
  <c r="AI121" i="25" s="1"/>
  <c r="E122" i="24"/>
  <c r="I122" i="24"/>
  <c r="G121" i="23"/>
  <c r="H121" i="23"/>
  <c r="Y121" i="23" s="1"/>
  <c r="AE121" i="23"/>
  <c r="D122" i="22"/>
  <c r="C121" i="22"/>
  <c r="Z121" i="22" s="1"/>
  <c r="W121" i="22"/>
  <c r="U121" i="22"/>
  <c r="Q121" i="22"/>
  <c r="S121" i="22" s="1"/>
  <c r="AD121" i="22" s="1"/>
  <c r="L121" i="22"/>
  <c r="AB121" i="22" s="1"/>
  <c r="J121" i="22"/>
  <c r="AA121" i="22" s="1"/>
  <c r="E122" i="21"/>
  <c r="I122" i="21"/>
  <c r="G122" i="27" l="1"/>
  <c r="H122" i="27"/>
  <c r="Y122" i="27" s="1"/>
  <c r="AM122" i="27" s="1"/>
  <c r="G122" i="26"/>
  <c r="H122" i="26"/>
  <c r="Y122" i="26" s="1"/>
  <c r="AM122" i="26" s="1"/>
  <c r="E122" i="25"/>
  <c r="I122" i="25"/>
  <c r="G122" i="24"/>
  <c r="H122" i="24"/>
  <c r="Y122" i="24" s="1"/>
  <c r="AM122" i="24" s="1"/>
  <c r="AE122" i="27"/>
  <c r="AE122" i="26"/>
  <c r="AC121" i="25"/>
  <c r="AK121" i="25" s="1"/>
  <c r="AE122" i="24"/>
  <c r="D122" i="23"/>
  <c r="C121" i="23"/>
  <c r="Z121" i="23" s="1"/>
  <c r="W121" i="23"/>
  <c r="U121" i="23"/>
  <c r="Q121" i="23"/>
  <c r="S121" i="23" s="1"/>
  <c r="AD121" i="23" s="1"/>
  <c r="L121" i="23"/>
  <c r="AB121" i="23" s="1"/>
  <c r="J121" i="23"/>
  <c r="AA121" i="23" s="1"/>
  <c r="E122" i="22"/>
  <c r="I122" i="22"/>
  <c r="AC121" i="22"/>
  <c r="G122" i="21"/>
  <c r="H122" i="21"/>
  <c r="Y122" i="21" s="1"/>
  <c r="AE122" i="21"/>
  <c r="AC121" i="23" l="1"/>
  <c r="D123" i="27"/>
  <c r="C122" i="27"/>
  <c r="Z122" i="27" s="1"/>
  <c r="AH122" i="27" s="1"/>
  <c r="W122" i="27"/>
  <c r="Q122" i="27"/>
  <c r="S122" i="27" s="1"/>
  <c r="AD122" i="27" s="1"/>
  <c r="AL122" i="27" s="1"/>
  <c r="U122" i="27"/>
  <c r="AC122" i="27" s="1"/>
  <c r="AK122" i="27" s="1"/>
  <c r="AN122" i="27"/>
  <c r="L122" i="27"/>
  <c r="AB122" i="27" s="1"/>
  <c r="AJ122" i="27" s="1"/>
  <c r="J122" i="27"/>
  <c r="AA122" i="27" s="1"/>
  <c r="AI122" i="27" s="1"/>
  <c r="D123" i="26"/>
  <c r="C122" i="26"/>
  <c r="Z122" i="26" s="1"/>
  <c r="AH122" i="26" s="1"/>
  <c r="Q122" i="26"/>
  <c r="S122" i="26" s="1"/>
  <c r="AD122" i="26" s="1"/>
  <c r="AL122" i="26" s="1"/>
  <c r="W122" i="26"/>
  <c r="AN122" i="26"/>
  <c r="U122" i="26"/>
  <c r="L122" i="26"/>
  <c r="AB122" i="26" s="1"/>
  <c r="AJ122" i="26" s="1"/>
  <c r="J122" i="26"/>
  <c r="G122" i="25"/>
  <c r="H122" i="25"/>
  <c r="Y122" i="25" s="1"/>
  <c r="AM122" i="25" s="1"/>
  <c r="D123" i="24"/>
  <c r="C122" i="24"/>
  <c r="Z122" i="24" s="1"/>
  <c r="AH122" i="24" s="1"/>
  <c r="W122" i="24"/>
  <c r="U122" i="24"/>
  <c r="AC122" i="24" s="1"/>
  <c r="AK122" i="24" s="1"/>
  <c r="Q122" i="24"/>
  <c r="S122" i="24" s="1"/>
  <c r="AD122" i="24" s="1"/>
  <c r="AL122" i="24" s="1"/>
  <c r="AN122" i="24"/>
  <c r="L122" i="24"/>
  <c r="AB122" i="24" s="1"/>
  <c r="AJ122" i="24" s="1"/>
  <c r="J122" i="24"/>
  <c r="AA122" i="24" s="1"/>
  <c r="AI122" i="24" s="1"/>
  <c r="AA122" i="26"/>
  <c r="AI122" i="26" s="1"/>
  <c r="AE122" i="25"/>
  <c r="E122" i="23"/>
  <c r="I122" i="23"/>
  <c r="G122" i="22"/>
  <c r="H122" i="22"/>
  <c r="Y122" i="22" s="1"/>
  <c r="AE122" i="22"/>
  <c r="D123" i="21"/>
  <c r="C122" i="21"/>
  <c r="Z122" i="21" s="1"/>
  <c r="W122" i="21"/>
  <c r="Q122" i="21"/>
  <c r="S122" i="21" s="1"/>
  <c r="AD122" i="21" s="1"/>
  <c r="U122" i="21"/>
  <c r="L122" i="21"/>
  <c r="AB122" i="21" s="1"/>
  <c r="J122" i="21"/>
  <c r="AA122" i="21" s="1"/>
  <c r="AC122" i="21" l="1"/>
  <c r="E123" i="27"/>
  <c r="I123" i="27"/>
  <c r="E123" i="26"/>
  <c r="I123" i="26"/>
  <c r="D123" i="25"/>
  <c r="C122" i="25"/>
  <c r="Z122" i="25" s="1"/>
  <c r="AH122" i="25" s="1"/>
  <c r="U122" i="25"/>
  <c r="W122" i="25"/>
  <c r="AN122" i="25"/>
  <c r="Q122" i="25"/>
  <c r="S122" i="25" s="1"/>
  <c r="AD122" i="25" s="1"/>
  <c r="AL122" i="25" s="1"/>
  <c r="J122" i="25"/>
  <c r="AA122" i="25" s="1"/>
  <c r="AI122" i="25" s="1"/>
  <c r="L122" i="25"/>
  <c r="AB122" i="25" s="1"/>
  <c r="AJ122" i="25" s="1"/>
  <c r="E123" i="24"/>
  <c r="I123" i="24"/>
  <c r="AC122" i="26"/>
  <c r="AK122" i="26" s="1"/>
  <c r="G122" i="23"/>
  <c r="H122" i="23"/>
  <c r="Y122" i="23" s="1"/>
  <c r="AE122" i="23"/>
  <c r="D123" i="22"/>
  <c r="C122" i="22"/>
  <c r="Z122" i="22" s="1"/>
  <c r="U122" i="22"/>
  <c r="W122" i="22"/>
  <c r="Q122" i="22"/>
  <c r="S122" i="22" s="1"/>
  <c r="AD122" i="22" s="1"/>
  <c r="L122" i="22"/>
  <c r="AB122" i="22" s="1"/>
  <c r="J122" i="22"/>
  <c r="AA122" i="22" s="1"/>
  <c r="E123" i="21"/>
  <c r="I123" i="21"/>
  <c r="G123" i="27" l="1"/>
  <c r="H123" i="27"/>
  <c r="Y123" i="27" s="1"/>
  <c r="AM123" i="27" s="1"/>
  <c r="G123" i="26"/>
  <c r="H123" i="26"/>
  <c r="Y123" i="26" s="1"/>
  <c r="AM123" i="26" s="1"/>
  <c r="E123" i="25"/>
  <c r="I123" i="25"/>
  <c r="G123" i="24"/>
  <c r="H123" i="24"/>
  <c r="Y123" i="24" s="1"/>
  <c r="AM123" i="24" s="1"/>
  <c r="AE123" i="27"/>
  <c r="AE123" i="26"/>
  <c r="AC122" i="25"/>
  <c r="AK122" i="25" s="1"/>
  <c r="AE123" i="24"/>
  <c r="D123" i="23"/>
  <c r="C122" i="23"/>
  <c r="Z122" i="23" s="1"/>
  <c r="U122" i="23"/>
  <c r="W122" i="23"/>
  <c r="Q122" i="23"/>
  <c r="S122" i="23" s="1"/>
  <c r="AD122" i="23" s="1"/>
  <c r="L122" i="23"/>
  <c r="AB122" i="23" s="1"/>
  <c r="J122" i="23"/>
  <c r="AA122" i="23" s="1"/>
  <c r="E123" i="22"/>
  <c r="I123" i="22"/>
  <c r="AC122" i="22"/>
  <c r="G123" i="21"/>
  <c r="H123" i="21"/>
  <c r="Y123" i="21" s="1"/>
  <c r="AE123" i="21"/>
  <c r="D124" i="27" l="1"/>
  <c r="C123" i="27"/>
  <c r="Z123" i="27" s="1"/>
  <c r="AH123" i="27" s="1"/>
  <c r="U123" i="27"/>
  <c r="Q123" i="27"/>
  <c r="S123" i="27" s="1"/>
  <c r="AD123" i="27" s="1"/>
  <c r="AL123" i="27" s="1"/>
  <c r="AN123" i="27"/>
  <c r="W123" i="27"/>
  <c r="L123" i="27"/>
  <c r="AB123" i="27" s="1"/>
  <c r="AJ123" i="27" s="1"/>
  <c r="J123" i="27"/>
  <c r="AA123" i="27" s="1"/>
  <c r="AI123" i="27" s="1"/>
  <c r="D124" i="26"/>
  <c r="C123" i="26"/>
  <c r="Z123" i="26" s="1"/>
  <c r="AH123" i="26" s="1"/>
  <c r="W123" i="26"/>
  <c r="Q123" i="26"/>
  <c r="S123" i="26" s="1"/>
  <c r="AD123" i="26" s="1"/>
  <c r="AL123" i="26" s="1"/>
  <c r="AN123" i="26"/>
  <c r="U123" i="26"/>
  <c r="AC123" i="26" s="1"/>
  <c r="AK123" i="26" s="1"/>
  <c r="L123" i="26"/>
  <c r="AB123" i="26" s="1"/>
  <c r="AJ123" i="26" s="1"/>
  <c r="J123" i="26"/>
  <c r="AA123" i="26" s="1"/>
  <c r="AI123" i="26" s="1"/>
  <c r="G123" i="25"/>
  <c r="H123" i="25"/>
  <c r="Y123" i="25" s="1"/>
  <c r="AM123" i="25" s="1"/>
  <c r="D124" i="24"/>
  <c r="C123" i="24"/>
  <c r="Z123" i="24" s="1"/>
  <c r="AH123" i="24" s="1"/>
  <c r="W123" i="24"/>
  <c r="AN123" i="24"/>
  <c r="Q123" i="24"/>
  <c r="S123" i="24" s="1"/>
  <c r="AD123" i="24" s="1"/>
  <c r="AL123" i="24" s="1"/>
  <c r="U123" i="24"/>
  <c r="AC123" i="24" s="1"/>
  <c r="AK123" i="24" s="1"/>
  <c r="L123" i="24"/>
  <c r="AB123" i="24" s="1"/>
  <c r="AJ123" i="24" s="1"/>
  <c r="J123" i="24"/>
  <c r="AA123" i="24" s="1"/>
  <c r="AI123" i="24" s="1"/>
  <c r="AE123" i="25"/>
  <c r="AC122" i="23"/>
  <c r="E123" i="23"/>
  <c r="I123" i="23"/>
  <c r="G123" i="22"/>
  <c r="H123" i="22"/>
  <c r="Y123" i="22" s="1"/>
  <c r="AE123" i="22"/>
  <c r="D124" i="21"/>
  <c r="C123" i="21"/>
  <c r="Z123" i="21" s="1"/>
  <c r="U123" i="21"/>
  <c r="Q123" i="21"/>
  <c r="S123" i="21" s="1"/>
  <c r="AD123" i="21" s="1"/>
  <c r="W123" i="21"/>
  <c r="J123" i="21"/>
  <c r="AA123" i="21" s="1"/>
  <c r="L123" i="21"/>
  <c r="AB123" i="21" s="1"/>
  <c r="AC123" i="21" l="1"/>
  <c r="E124" i="27"/>
  <c r="I124" i="27"/>
  <c r="E124" i="26"/>
  <c r="I124" i="26"/>
  <c r="D124" i="25"/>
  <c r="C123" i="25"/>
  <c r="Z123" i="25" s="1"/>
  <c r="AH123" i="25" s="1"/>
  <c r="W123" i="25"/>
  <c r="U123" i="25"/>
  <c r="Q123" i="25"/>
  <c r="S123" i="25" s="1"/>
  <c r="AD123" i="25" s="1"/>
  <c r="AL123" i="25" s="1"/>
  <c r="AN123" i="25"/>
  <c r="L123" i="25"/>
  <c r="AB123" i="25" s="1"/>
  <c r="AJ123" i="25" s="1"/>
  <c r="J123" i="25"/>
  <c r="AA123" i="25" s="1"/>
  <c r="AI123" i="25" s="1"/>
  <c r="E124" i="24"/>
  <c r="I124" i="24"/>
  <c r="AC123" i="27"/>
  <c r="AK123" i="27" s="1"/>
  <c r="G123" i="23"/>
  <c r="H123" i="23"/>
  <c r="Y123" i="23" s="1"/>
  <c r="AE123" i="23"/>
  <c r="D124" i="22"/>
  <c r="C123" i="22"/>
  <c r="Z123" i="22" s="1"/>
  <c r="Q123" i="22"/>
  <c r="S123" i="22" s="1"/>
  <c r="AD123" i="22" s="1"/>
  <c r="W123" i="22"/>
  <c r="U123" i="22"/>
  <c r="L123" i="22"/>
  <c r="AB123" i="22" s="1"/>
  <c r="J123" i="22"/>
  <c r="AA123" i="22" s="1"/>
  <c r="E124" i="21"/>
  <c r="I124" i="21"/>
  <c r="G124" i="27" l="1"/>
  <c r="H124" i="27"/>
  <c r="Y124" i="27" s="1"/>
  <c r="AM124" i="27" s="1"/>
  <c r="G124" i="26"/>
  <c r="H124" i="26"/>
  <c r="Y124" i="26" s="1"/>
  <c r="AM124" i="26" s="1"/>
  <c r="E124" i="25"/>
  <c r="I124" i="25"/>
  <c r="G124" i="24"/>
  <c r="H124" i="24"/>
  <c r="Y124" i="24" s="1"/>
  <c r="AM124" i="24" s="1"/>
  <c r="AE124" i="27"/>
  <c r="AE124" i="26"/>
  <c r="AC123" i="25"/>
  <c r="AK123" i="25" s="1"/>
  <c r="AE124" i="24"/>
  <c r="D124" i="23"/>
  <c r="C123" i="23"/>
  <c r="Z123" i="23" s="1"/>
  <c r="U123" i="23"/>
  <c r="W123" i="23"/>
  <c r="Q123" i="23"/>
  <c r="S123" i="23" s="1"/>
  <c r="AD123" i="23" s="1"/>
  <c r="L123" i="23"/>
  <c r="AB123" i="23" s="1"/>
  <c r="J123" i="23"/>
  <c r="AA123" i="23" s="1"/>
  <c r="E124" i="22"/>
  <c r="I124" i="22"/>
  <c r="AC123" i="22"/>
  <c r="G124" i="21"/>
  <c r="H124" i="21"/>
  <c r="Y124" i="21" s="1"/>
  <c r="AE124" i="21"/>
  <c r="D125" i="27" l="1"/>
  <c r="C124" i="27"/>
  <c r="Z124" i="27" s="1"/>
  <c r="AH124" i="27" s="1"/>
  <c r="W124" i="27"/>
  <c r="U124" i="27"/>
  <c r="AN124" i="27"/>
  <c r="Q124" i="27"/>
  <c r="S124" i="27" s="1"/>
  <c r="AD124" i="27" s="1"/>
  <c r="AL124" i="27" s="1"/>
  <c r="L124" i="27"/>
  <c r="AB124" i="27" s="1"/>
  <c r="AJ124" i="27" s="1"/>
  <c r="J124" i="27"/>
  <c r="AA124" i="27" s="1"/>
  <c r="AI124" i="27" s="1"/>
  <c r="D125" i="26"/>
  <c r="C124" i="26"/>
  <c r="Z124" i="26" s="1"/>
  <c r="AH124" i="26" s="1"/>
  <c r="AN124" i="26"/>
  <c r="W124" i="26"/>
  <c r="U124" i="26"/>
  <c r="Q124" i="26"/>
  <c r="S124" i="26" s="1"/>
  <c r="AD124" i="26" s="1"/>
  <c r="AL124" i="26" s="1"/>
  <c r="L124" i="26"/>
  <c r="AB124" i="26" s="1"/>
  <c r="AJ124" i="26" s="1"/>
  <c r="J124" i="26"/>
  <c r="AA124" i="26" s="1"/>
  <c r="AI124" i="26" s="1"/>
  <c r="G124" i="25"/>
  <c r="H124" i="25"/>
  <c r="Y124" i="25" s="1"/>
  <c r="AM124" i="25" s="1"/>
  <c r="D125" i="24"/>
  <c r="C124" i="24"/>
  <c r="Z124" i="24" s="1"/>
  <c r="AH124" i="24" s="1"/>
  <c r="U124" i="24"/>
  <c r="Q124" i="24"/>
  <c r="S124" i="24" s="1"/>
  <c r="AD124" i="24" s="1"/>
  <c r="AL124" i="24" s="1"/>
  <c r="AN124" i="24"/>
  <c r="W124" i="24"/>
  <c r="L124" i="24"/>
  <c r="AB124" i="24" s="1"/>
  <c r="AJ124" i="24" s="1"/>
  <c r="J124" i="24"/>
  <c r="AA124" i="24" s="1"/>
  <c r="AI124" i="24" s="1"/>
  <c r="AE124" i="25"/>
  <c r="AC123" i="23"/>
  <c r="E124" i="23"/>
  <c r="I124" i="23"/>
  <c r="G124" i="22"/>
  <c r="H124" i="22"/>
  <c r="Y124" i="22" s="1"/>
  <c r="AE124" i="22"/>
  <c r="D125" i="21"/>
  <c r="C124" i="21"/>
  <c r="Z124" i="21" s="1"/>
  <c r="W124" i="21"/>
  <c r="Q124" i="21"/>
  <c r="S124" i="21" s="1"/>
  <c r="AD124" i="21" s="1"/>
  <c r="U124" i="21"/>
  <c r="J124" i="21"/>
  <c r="AA124" i="21" s="1"/>
  <c r="L124" i="21"/>
  <c r="AB124" i="21" s="1"/>
  <c r="AC124" i="27" l="1"/>
  <c r="AK124" i="27" s="1"/>
  <c r="AC124" i="21"/>
  <c r="E125" i="27"/>
  <c r="I125" i="27"/>
  <c r="E125" i="26"/>
  <c r="I125" i="26"/>
  <c r="D125" i="25"/>
  <c r="C124" i="25"/>
  <c r="Z124" i="25" s="1"/>
  <c r="AH124" i="25" s="1"/>
  <c r="W124" i="25"/>
  <c r="Q124" i="25"/>
  <c r="S124" i="25" s="1"/>
  <c r="AD124" i="25" s="1"/>
  <c r="AL124" i="25" s="1"/>
  <c r="U124" i="25"/>
  <c r="AN124" i="25"/>
  <c r="L124" i="25"/>
  <c r="AB124" i="25" s="1"/>
  <c r="AJ124" i="25" s="1"/>
  <c r="J124" i="25"/>
  <c r="AA124" i="25" s="1"/>
  <c r="AI124" i="25" s="1"/>
  <c r="E125" i="24"/>
  <c r="I125" i="24"/>
  <c r="AC124" i="26"/>
  <c r="AK124" i="26" s="1"/>
  <c r="AC124" i="24"/>
  <c r="AK124" i="24" s="1"/>
  <c r="G124" i="23"/>
  <c r="H124" i="23"/>
  <c r="Y124" i="23" s="1"/>
  <c r="AE124" i="23"/>
  <c r="D125" i="22"/>
  <c r="C124" i="22"/>
  <c r="Z124" i="22" s="1"/>
  <c r="U124" i="22"/>
  <c r="W124" i="22"/>
  <c r="Q124" i="22"/>
  <c r="S124" i="22" s="1"/>
  <c r="AD124" i="22" s="1"/>
  <c r="L124" i="22"/>
  <c r="AB124" i="22" s="1"/>
  <c r="J124" i="22"/>
  <c r="AA124" i="22" s="1"/>
  <c r="E125" i="21"/>
  <c r="I125" i="21"/>
  <c r="AC124" i="25" l="1"/>
  <c r="AK124" i="25" s="1"/>
  <c r="AC124" i="22"/>
  <c r="G125" i="27"/>
  <c r="H125" i="27"/>
  <c r="Y125" i="27" s="1"/>
  <c r="AM125" i="27" s="1"/>
  <c r="G125" i="26"/>
  <c r="H125" i="26"/>
  <c r="Y125" i="26" s="1"/>
  <c r="AM125" i="26" s="1"/>
  <c r="E125" i="25"/>
  <c r="I125" i="25"/>
  <c r="G125" i="24"/>
  <c r="H125" i="24"/>
  <c r="Y125" i="24" s="1"/>
  <c r="AM125" i="24" s="1"/>
  <c r="AE125" i="27"/>
  <c r="AE125" i="26"/>
  <c r="AE125" i="24"/>
  <c r="D125" i="23"/>
  <c r="C124" i="23"/>
  <c r="Z124" i="23" s="1"/>
  <c r="U124" i="23"/>
  <c r="Q124" i="23"/>
  <c r="S124" i="23" s="1"/>
  <c r="AD124" i="23" s="1"/>
  <c r="W124" i="23"/>
  <c r="L124" i="23"/>
  <c r="AB124" i="23" s="1"/>
  <c r="J124" i="23"/>
  <c r="AA124" i="23" s="1"/>
  <c r="E125" i="22"/>
  <c r="I125" i="22"/>
  <c r="G125" i="21"/>
  <c r="H125" i="21"/>
  <c r="Y125" i="21" s="1"/>
  <c r="AE125" i="21"/>
  <c r="D126" i="27" l="1"/>
  <c r="C125" i="27"/>
  <c r="Z125" i="27" s="1"/>
  <c r="AH125" i="27" s="1"/>
  <c r="W125" i="27"/>
  <c r="Q125" i="27"/>
  <c r="S125" i="27" s="1"/>
  <c r="AD125" i="27" s="1"/>
  <c r="AL125" i="27" s="1"/>
  <c r="U125" i="27"/>
  <c r="AN125" i="27"/>
  <c r="L125" i="27"/>
  <c r="AB125" i="27" s="1"/>
  <c r="AJ125" i="27" s="1"/>
  <c r="J125" i="27"/>
  <c r="AA125" i="27" s="1"/>
  <c r="AI125" i="27" s="1"/>
  <c r="D126" i="26"/>
  <c r="C125" i="26"/>
  <c r="Z125" i="26" s="1"/>
  <c r="AH125" i="26" s="1"/>
  <c r="Q125" i="26"/>
  <c r="S125" i="26" s="1"/>
  <c r="AD125" i="26" s="1"/>
  <c r="AL125" i="26" s="1"/>
  <c r="W125" i="26"/>
  <c r="AN125" i="26"/>
  <c r="U125" i="26"/>
  <c r="L125" i="26"/>
  <c r="AB125" i="26" s="1"/>
  <c r="AJ125" i="26" s="1"/>
  <c r="J125" i="26"/>
  <c r="AA125" i="26" s="1"/>
  <c r="AI125" i="26" s="1"/>
  <c r="G125" i="25"/>
  <c r="H125" i="25"/>
  <c r="Y125" i="25" s="1"/>
  <c r="AM125" i="25" s="1"/>
  <c r="D126" i="24"/>
  <c r="C125" i="24"/>
  <c r="Z125" i="24" s="1"/>
  <c r="AH125" i="24" s="1"/>
  <c r="W125" i="24"/>
  <c r="Q125" i="24"/>
  <c r="S125" i="24" s="1"/>
  <c r="AD125" i="24" s="1"/>
  <c r="AL125" i="24" s="1"/>
  <c r="U125" i="24"/>
  <c r="AC125" i="24" s="1"/>
  <c r="AK125" i="24" s="1"/>
  <c r="AN125" i="24"/>
  <c r="L125" i="24"/>
  <c r="AB125" i="24" s="1"/>
  <c r="AJ125" i="24" s="1"/>
  <c r="J125" i="24"/>
  <c r="AA125" i="24" s="1"/>
  <c r="AI125" i="24" s="1"/>
  <c r="AE125" i="25"/>
  <c r="AC124" i="23"/>
  <c r="E125" i="23"/>
  <c r="I125" i="23"/>
  <c r="G125" i="22"/>
  <c r="H125" i="22"/>
  <c r="Y125" i="22" s="1"/>
  <c r="AE125" i="22"/>
  <c r="D126" i="21"/>
  <c r="C125" i="21"/>
  <c r="Z125" i="21" s="1"/>
  <c r="Q125" i="21"/>
  <c r="S125" i="21" s="1"/>
  <c r="AD125" i="21" s="1"/>
  <c r="W125" i="21"/>
  <c r="U125" i="21"/>
  <c r="J125" i="21"/>
  <c r="AA125" i="21" s="1"/>
  <c r="L125" i="21"/>
  <c r="AB125" i="21" s="1"/>
  <c r="AC125" i="26" l="1"/>
  <c r="AK125" i="26" s="1"/>
  <c r="AC125" i="21"/>
  <c r="AC125" i="27"/>
  <c r="AK125" i="27" s="1"/>
  <c r="E126" i="27"/>
  <c r="I126" i="27"/>
  <c r="E126" i="26"/>
  <c r="I126" i="26"/>
  <c r="D126" i="25"/>
  <c r="C125" i="25"/>
  <c r="Z125" i="25" s="1"/>
  <c r="AH125" i="25" s="1"/>
  <c r="AN125" i="25"/>
  <c r="Q125" i="25"/>
  <c r="S125" i="25" s="1"/>
  <c r="AD125" i="25" s="1"/>
  <c r="AL125" i="25" s="1"/>
  <c r="U125" i="25"/>
  <c r="W125" i="25"/>
  <c r="L125" i="25"/>
  <c r="AB125" i="25" s="1"/>
  <c r="AJ125" i="25" s="1"/>
  <c r="J125" i="25"/>
  <c r="AA125" i="25" s="1"/>
  <c r="AI125" i="25" s="1"/>
  <c r="E126" i="24"/>
  <c r="I126" i="24"/>
  <c r="G125" i="23"/>
  <c r="H125" i="23"/>
  <c r="Y125" i="23" s="1"/>
  <c r="AE125" i="23"/>
  <c r="D126" i="22"/>
  <c r="C125" i="22"/>
  <c r="Z125" i="22" s="1"/>
  <c r="W125" i="22"/>
  <c r="U125" i="22"/>
  <c r="Q125" i="22"/>
  <c r="S125" i="22" s="1"/>
  <c r="AD125" i="22" s="1"/>
  <c r="L125" i="22"/>
  <c r="AB125" i="22" s="1"/>
  <c r="J125" i="22"/>
  <c r="AA125" i="22" s="1"/>
  <c r="E126" i="21"/>
  <c r="I126" i="21"/>
  <c r="AC125" i="22" l="1"/>
  <c r="G126" i="27"/>
  <c r="H126" i="27"/>
  <c r="Y126" i="27" s="1"/>
  <c r="AM126" i="27" s="1"/>
  <c r="G126" i="26"/>
  <c r="H126" i="26"/>
  <c r="Y126" i="26" s="1"/>
  <c r="AM126" i="26" s="1"/>
  <c r="E126" i="25"/>
  <c r="I126" i="25"/>
  <c r="G126" i="24"/>
  <c r="H126" i="24"/>
  <c r="Y126" i="24" s="1"/>
  <c r="AM126" i="24" s="1"/>
  <c r="AE126" i="27"/>
  <c r="AE126" i="26"/>
  <c r="AC125" i="25"/>
  <c r="AK125" i="25" s="1"/>
  <c r="AE126" i="24"/>
  <c r="D126" i="23"/>
  <c r="C125" i="23"/>
  <c r="Z125" i="23" s="1"/>
  <c r="U125" i="23"/>
  <c r="Q125" i="23"/>
  <c r="S125" i="23" s="1"/>
  <c r="AD125" i="23" s="1"/>
  <c r="W125" i="23"/>
  <c r="L125" i="23"/>
  <c r="AB125" i="23" s="1"/>
  <c r="J125" i="23"/>
  <c r="AA125" i="23" s="1"/>
  <c r="E126" i="22"/>
  <c r="I126" i="22"/>
  <c r="G126" i="21"/>
  <c r="H126" i="21"/>
  <c r="Y126" i="21" s="1"/>
  <c r="AE126" i="21"/>
  <c r="D127" i="27" l="1"/>
  <c r="C126" i="27"/>
  <c r="Z126" i="27" s="1"/>
  <c r="AH126" i="27" s="1"/>
  <c r="U126" i="27"/>
  <c r="AN126" i="27"/>
  <c r="Q126" i="27"/>
  <c r="S126" i="27" s="1"/>
  <c r="AD126" i="27" s="1"/>
  <c r="AL126" i="27" s="1"/>
  <c r="W126" i="27"/>
  <c r="L126" i="27"/>
  <c r="AB126" i="27" s="1"/>
  <c r="AJ126" i="27" s="1"/>
  <c r="J126" i="27"/>
  <c r="AA126" i="27" s="1"/>
  <c r="AI126" i="27" s="1"/>
  <c r="D127" i="26"/>
  <c r="C126" i="26"/>
  <c r="Z126" i="26" s="1"/>
  <c r="AH126" i="26" s="1"/>
  <c r="Q126" i="26"/>
  <c r="W126" i="26"/>
  <c r="AN126" i="26"/>
  <c r="U126" i="26"/>
  <c r="L126" i="26"/>
  <c r="AB126" i="26" s="1"/>
  <c r="AJ126" i="26" s="1"/>
  <c r="J126" i="26"/>
  <c r="AA126" i="26" s="1"/>
  <c r="AI126" i="26" s="1"/>
  <c r="G126" i="25"/>
  <c r="H126" i="25"/>
  <c r="Y126" i="25" s="1"/>
  <c r="AM126" i="25" s="1"/>
  <c r="D127" i="24"/>
  <c r="C126" i="24"/>
  <c r="Z126" i="24" s="1"/>
  <c r="AH126" i="24" s="1"/>
  <c r="U126" i="24"/>
  <c r="W126" i="24"/>
  <c r="Q126" i="24"/>
  <c r="S126" i="24" s="1"/>
  <c r="AD126" i="24" s="1"/>
  <c r="AL126" i="24" s="1"/>
  <c r="AN126" i="24"/>
  <c r="L126" i="24"/>
  <c r="AB126" i="24" s="1"/>
  <c r="AJ126" i="24" s="1"/>
  <c r="J126" i="24"/>
  <c r="AA126" i="24" s="1"/>
  <c r="AI126" i="24" s="1"/>
  <c r="S126" i="26"/>
  <c r="AD126" i="26" s="1"/>
  <c r="AL126" i="26" s="1"/>
  <c r="AE126" i="25"/>
  <c r="AC125" i="23"/>
  <c r="E126" i="23"/>
  <c r="I126" i="23"/>
  <c r="G126" i="22"/>
  <c r="H126" i="22"/>
  <c r="Y126" i="22" s="1"/>
  <c r="AE126" i="22"/>
  <c r="D127" i="21"/>
  <c r="C126" i="21"/>
  <c r="Z126" i="21" s="1"/>
  <c r="Q126" i="21"/>
  <c r="S126" i="21" s="1"/>
  <c r="AD126" i="21" s="1"/>
  <c r="U126" i="21"/>
  <c r="W126" i="21"/>
  <c r="L126" i="21"/>
  <c r="AB126" i="21" s="1"/>
  <c r="J126" i="21"/>
  <c r="AA126" i="21" s="1"/>
  <c r="AC126" i="27" l="1"/>
  <c r="AK126" i="27" s="1"/>
  <c r="AC126" i="21"/>
  <c r="E127" i="27"/>
  <c r="I127" i="27"/>
  <c r="E127" i="26"/>
  <c r="I127" i="26"/>
  <c r="D127" i="25"/>
  <c r="C126" i="25"/>
  <c r="Z126" i="25" s="1"/>
  <c r="AH126" i="25" s="1"/>
  <c r="U126" i="25"/>
  <c r="Q126" i="25"/>
  <c r="S126" i="25" s="1"/>
  <c r="AD126" i="25" s="1"/>
  <c r="AL126" i="25" s="1"/>
  <c r="W126" i="25"/>
  <c r="AN126" i="25"/>
  <c r="L126" i="25"/>
  <c r="AB126" i="25" s="1"/>
  <c r="AJ126" i="25" s="1"/>
  <c r="J126" i="25"/>
  <c r="AA126" i="25" s="1"/>
  <c r="AI126" i="25" s="1"/>
  <c r="E127" i="24"/>
  <c r="I127" i="24"/>
  <c r="AC126" i="26"/>
  <c r="AK126" i="26" s="1"/>
  <c r="AC126" i="24"/>
  <c r="AK126" i="24" s="1"/>
  <c r="G126" i="23"/>
  <c r="H126" i="23"/>
  <c r="Y126" i="23" s="1"/>
  <c r="AE126" i="23"/>
  <c r="D127" i="22"/>
  <c r="C126" i="22"/>
  <c r="Z126" i="22" s="1"/>
  <c r="U126" i="22"/>
  <c r="Q126" i="22"/>
  <c r="S126" i="22" s="1"/>
  <c r="AD126" i="22" s="1"/>
  <c r="W126" i="22"/>
  <c r="L126" i="22"/>
  <c r="AB126" i="22" s="1"/>
  <c r="J126" i="22"/>
  <c r="AA126" i="22" s="1"/>
  <c r="E127" i="21"/>
  <c r="I127" i="21"/>
  <c r="AC126" i="22" l="1"/>
  <c r="G127" i="27"/>
  <c r="H127" i="27"/>
  <c r="Y127" i="27" s="1"/>
  <c r="AM127" i="27" s="1"/>
  <c r="G127" i="26"/>
  <c r="H127" i="26"/>
  <c r="Y127" i="26" s="1"/>
  <c r="AM127" i="26" s="1"/>
  <c r="E127" i="25"/>
  <c r="I127" i="25"/>
  <c r="G127" i="24"/>
  <c r="H127" i="24"/>
  <c r="Y127" i="24" s="1"/>
  <c r="AM127" i="24" s="1"/>
  <c r="AE127" i="27"/>
  <c r="AE127" i="26"/>
  <c r="AC126" i="25"/>
  <c r="AK126" i="25" s="1"/>
  <c r="AE127" i="24"/>
  <c r="D127" i="23"/>
  <c r="C126" i="23"/>
  <c r="Z126" i="23" s="1"/>
  <c r="U126" i="23"/>
  <c r="Q126" i="23"/>
  <c r="S126" i="23" s="1"/>
  <c r="AD126" i="23" s="1"/>
  <c r="W126" i="23"/>
  <c r="L126" i="23"/>
  <c r="AB126" i="23" s="1"/>
  <c r="J126" i="23"/>
  <c r="AA126" i="23" s="1"/>
  <c r="E127" i="22"/>
  <c r="I127" i="22"/>
  <c r="G127" i="21"/>
  <c r="H127" i="21"/>
  <c r="Y127" i="21" s="1"/>
  <c r="AE127" i="21"/>
  <c r="D128" i="27" l="1"/>
  <c r="C127" i="27"/>
  <c r="Z127" i="27" s="1"/>
  <c r="AH127" i="27" s="1"/>
  <c r="U127" i="27"/>
  <c r="Q127" i="27"/>
  <c r="S127" i="27" s="1"/>
  <c r="AD127" i="27" s="1"/>
  <c r="AL127" i="27" s="1"/>
  <c r="W127" i="27"/>
  <c r="AN127" i="27"/>
  <c r="L127" i="27"/>
  <c r="AB127" i="27" s="1"/>
  <c r="AJ127" i="27" s="1"/>
  <c r="J127" i="27"/>
  <c r="AA127" i="27" s="1"/>
  <c r="AI127" i="27" s="1"/>
  <c r="D128" i="26"/>
  <c r="C127" i="26"/>
  <c r="Z127" i="26" s="1"/>
  <c r="AH127" i="26" s="1"/>
  <c r="W127" i="26"/>
  <c r="AN127" i="26"/>
  <c r="U127" i="26"/>
  <c r="AC127" i="26" s="1"/>
  <c r="AK127" i="26" s="1"/>
  <c r="Q127" i="26"/>
  <c r="S127" i="26" s="1"/>
  <c r="AD127" i="26" s="1"/>
  <c r="AL127" i="26" s="1"/>
  <c r="L127" i="26"/>
  <c r="AB127" i="26" s="1"/>
  <c r="AJ127" i="26" s="1"/>
  <c r="J127" i="26"/>
  <c r="AA127" i="26" s="1"/>
  <c r="AI127" i="26" s="1"/>
  <c r="G127" i="25"/>
  <c r="H127" i="25"/>
  <c r="Y127" i="25" s="1"/>
  <c r="AM127" i="25" s="1"/>
  <c r="D128" i="24"/>
  <c r="C127" i="24"/>
  <c r="Z127" i="24" s="1"/>
  <c r="AH127" i="24" s="1"/>
  <c r="Q127" i="24"/>
  <c r="S127" i="24" s="1"/>
  <c r="AD127" i="24" s="1"/>
  <c r="AL127" i="24" s="1"/>
  <c r="AN127" i="24"/>
  <c r="W127" i="24"/>
  <c r="U127" i="24"/>
  <c r="L127" i="24"/>
  <c r="AB127" i="24" s="1"/>
  <c r="AJ127" i="24" s="1"/>
  <c r="J127" i="24"/>
  <c r="AA127" i="24" s="1"/>
  <c r="AI127" i="24" s="1"/>
  <c r="AE127" i="25"/>
  <c r="AC126" i="23"/>
  <c r="E127" i="23"/>
  <c r="I127" i="23"/>
  <c r="G127" i="22"/>
  <c r="H127" i="22"/>
  <c r="Y127" i="22" s="1"/>
  <c r="AE127" i="22"/>
  <c r="D128" i="21"/>
  <c r="C127" i="21"/>
  <c r="Z127" i="21" s="1"/>
  <c r="Q127" i="21"/>
  <c r="S127" i="21" s="1"/>
  <c r="AD127" i="21" s="1"/>
  <c r="W127" i="21"/>
  <c r="U127" i="21"/>
  <c r="J127" i="21"/>
  <c r="AA127" i="21" s="1"/>
  <c r="L127" i="21"/>
  <c r="AB127" i="21" s="1"/>
  <c r="AC127" i="27" l="1"/>
  <c r="AK127" i="27" s="1"/>
  <c r="AC127" i="21"/>
  <c r="E128" i="27"/>
  <c r="I128" i="27"/>
  <c r="E128" i="26"/>
  <c r="I128" i="26"/>
  <c r="D128" i="25"/>
  <c r="C127" i="25"/>
  <c r="Z127" i="25" s="1"/>
  <c r="AH127" i="25" s="1"/>
  <c r="W127" i="25"/>
  <c r="U127" i="25"/>
  <c r="Q127" i="25"/>
  <c r="S127" i="25" s="1"/>
  <c r="AD127" i="25" s="1"/>
  <c r="AL127" i="25" s="1"/>
  <c r="AN127" i="25"/>
  <c r="L127" i="25"/>
  <c r="AB127" i="25" s="1"/>
  <c r="AJ127" i="25" s="1"/>
  <c r="J127" i="25"/>
  <c r="AA127" i="25" s="1"/>
  <c r="AI127" i="25" s="1"/>
  <c r="E128" i="24"/>
  <c r="I128" i="24"/>
  <c r="AC127" i="24"/>
  <c r="AK127" i="24" s="1"/>
  <c r="G127" i="23"/>
  <c r="H127" i="23"/>
  <c r="Y127" i="23" s="1"/>
  <c r="AE127" i="23"/>
  <c r="D128" i="22"/>
  <c r="C127" i="22"/>
  <c r="Z127" i="22" s="1"/>
  <c r="Q127" i="22"/>
  <c r="S127" i="22" s="1"/>
  <c r="AD127" i="22" s="1"/>
  <c r="U127" i="22"/>
  <c r="W127" i="22"/>
  <c r="L127" i="22"/>
  <c r="AB127" i="22" s="1"/>
  <c r="J127" i="22"/>
  <c r="AA127" i="22" s="1"/>
  <c r="E128" i="21"/>
  <c r="I128" i="21"/>
  <c r="AC127" i="25" l="1"/>
  <c r="AK127" i="25" s="1"/>
  <c r="G128" i="27"/>
  <c r="H128" i="27"/>
  <c r="Y128" i="27" s="1"/>
  <c r="AM128" i="27" s="1"/>
  <c r="G128" i="26"/>
  <c r="H128" i="26"/>
  <c r="Y128" i="26" s="1"/>
  <c r="AM128" i="26" s="1"/>
  <c r="E128" i="25"/>
  <c r="I128" i="25"/>
  <c r="G128" i="24"/>
  <c r="H128" i="24"/>
  <c r="Y128" i="24" s="1"/>
  <c r="AM128" i="24" s="1"/>
  <c r="AE128" i="27"/>
  <c r="AE128" i="26"/>
  <c r="AE128" i="24"/>
  <c r="D128" i="23"/>
  <c r="C127" i="23"/>
  <c r="Z127" i="23" s="1"/>
  <c r="Q127" i="23"/>
  <c r="S127" i="23" s="1"/>
  <c r="AD127" i="23" s="1"/>
  <c r="W127" i="23"/>
  <c r="U127" i="23"/>
  <c r="L127" i="23"/>
  <c r="AB127" i="23" s="1"/>
  <c r="J127" i="23"/>
  <c r="AA127" i="23" s="1"/>
  <c r="E128" i="22"/>
  <c r="I128" i="22"/>
  <c r="AC127" i="22"/>
  <c r="G128" i="21"/>
  <c r="H128" i="21"/>
  <c r="Y128" i="21" s="1"/>
  <c r="AE128" i="21"/>
  <c r="AC127" i="23" l="1"/>
  <c r="D129" i="27"/>
  <c r="C128" i="27"/>
  <c r="Z128" i="27" s="1"/>
  <c r="AH128" i="27" s="1"/>
  <c r="W128" i="27"/>
  <c r="AN128" i="27"/>
  <c r="U128" i="27"/>
  <c r="AC128" i="27" s="1"/>
  <c r="AK128" i="27" s="1"/>
  <c r="Q128" i="27"/>
  <c r="S128" i="27" s="1"/>
  <c r="AD128" i="27" s="1"/>
  <c r="AL128" i="27" s="1"/>
  <c r="L128" i="27"/>
  <c r="AB128" i="27" s="1"/>
  <c r="AJ128" i="27" s="1"/>
  <c r="J128" i="27"/>
  <c r="AA128" i="27" s="1"/>
  <c r="AI128" i="27" s="1"/>
  <c r="D129" i="26"/>
  <c r="C128" i="26"/>
  <c r="Z128" i="26" s="1"/>
  <c r="AH128" i="26" s="1"/>
  <c r="Q128" i="26"/>
  <c r="S128" i="26" s="1"/>
  <c r="AD128" i="26" s="1"/>
  <c r="AL128" i="26" s="1"/>
  <c r="AN128" i="26"/>
  <c r="U128" i="26"/>
  <c r="W128" i="26"/>
  <c r="L128" i="26"/>
  <c r="AB128" i="26" s="1"/>
  <c r="AJ128" i="26" s="1"/>
  <c r="J128" i="26"/>
  <c r="AA128" i="26" s="1"/>
  <c r="AI128" i="26" s="1"/>
  <c r="G128" i="25"/>
  <c r="H128" i="25"/>
  <c r="Y128" i="25" s="1"/>
  <c r="AM128" i="25" s="1"/>
  <c r="D129" i="24"/>
  <c r="C128" i="24"/>
  <c r="Z128" i="24" s="1"/>
  <c r="AH128" i="24" s="1"/>
  <c r="Q128" i="24"/>
  <c r="S128" i="24" s="1"/>
  <c r="AD128" i="24" s="1"/>
  <c r="AL128" i="24" s="1"/>
  <c r="U128" i="24"/>
  <c r="W128" i="24"/>
  <c r="AN128" i="24"/>
  <c r="L128" i="24"/>
  <c r="AB128" i="24" s="1"/>
  <c r="AJ128" i="24" s="1"/>
  <c r="J128" i="24"/>
  <c r="AA128" i="24" s="1"/>
  <c r="AI128" i="24" s="1"/>
  <c r="AE128" i="25"/>
  <c r="E128" i="23"/>
  <c r="I128" i="23"/>
  <c r="G128" i="22"/>
  <c r="H128" i="22"/>
  <c r="Y128" i="22" s="1"/>
  <c r="AE128" i="22"/>
  <c r="D129" i="21"/>
  <c r="C128" i="21"/>
  <c r="Z128" i="21" s="1"/>
  <c r="W128" i="21"/>
  <c r="Q128" i="21"/>
  <c r="S128" i="21" s="1"/>
  <c r="AD128" i="21" s="1"/>
  <c r="U128" i="21"/>
  <c r="J128" i="21"/>
  <c r="AA128" i="21" s="1"/>
  <c r="L128" i="21"/>
  <c r="AB128" i="21" s="1"/>
  <c r="AC128" i="24" l="1"/>
  <c r="AK128" i="24" s="1"/>
  <c r="E129" i="27"/>
  <c r="I129" i="27"/>
  <c r="E129" i="26"/>
  <c r="I129" i="26"/>
  <c r="D129" i="25"/>
  <c r="C128" i="25"/>
  <c r="Z128" i="25" s="1"/>
  <c r="AH128" i="25" s="1"/>
  <c r="AN128" i="25"/>
  <c r="U128" i="25"/>
  <c r="W128" i="25"/>
  <c r="Q128" i="25"/>
  <c r="S128" i="25" s="1"/>
  <c r="AD128" i="25" s="1"/>
  <c r="AL128" i="25" s="1"/>
  <c r="L128" i="25"/>
  <c r="AB128" i="25" s="1"/>
  <c r="AJ128" i="25" s="1"/>
  <c r="J128" i="25"/>
  <c r="AA128" i="25" s="1"/>
  <c r="AI128" i="25" s="1"/>
  <c r="E129" i="24"/>
  <c r="I129" i="24"/>
  <c r="AC128" i="26"/>
  <c r="AK128" i="26" s="1"/>
  <c r="G128" i="23"/>
  <c r="H128" i="23"/>
  <c r="Y128" i="23" s="1"/>
  <c r="AE128" i="23"/>
  <c r="D129" i="22"/>
  <c r="C128" i="22"/>
  <c r="Z128" i="22" s="1"/>
  <c r="U128" i="22"/>
  <c r="W128" i="22"/>
  <c r="Q128" i="22"/>
  <c r="S128" i="22" s="1"/>
  <c r="AD128" i="22" s="1"/>
  <c r="J128" i="22"/>
  <c r="AA128" i="22" s="1"/>
  <c r="L128" i="22"/>
  <c r="AB128" i="22" s="1"/>
  <c r="E129" i="21"/>
  <c r="I129" i="21"/>
  <c r="AC128" i="21"/>
  <c r="G129" i="27" l="1"/>
  <c r="H129" i="27"/>
  <c r="Y129" i="27" s="1"/>
  <c r="AM129" i="27" s="1"/>
  <c r="G129" i="26"/>
  <c r="H129" i="26"/>
  <c r="Y129" i="26" s="1"/>
  <c r="AM129" i="26" s="1"/>
  <c r="E129" i="25"/>
  <c r="I129" i="25"/>
  <c r="G129" i="24"/>
  <c r="H129" i="24"/>
  <c r="Y129" i="24" s="1"/>
  <c r="AM129" i="24" s="1"/>
  <c r="AE129" i="27"/>
  <c r="AE129" i="26"/>
  <c r="AC128" i="25"/>
  <c r="AK128" i="25" s="1"/>
  <c r="AE129" i="24"/>
  <c r="D129" i="23"/>
  <c r="C128" i="23"/>
  <c r="Z128" i="23" s="1"/>
  <c r="W128" i="23"/>
  <c r="Q128" i="23"/>
  <c r="S128" i="23" s="1"/>
  <c r="AD128" i="23" s="1"/>
  <c r="U128" i="23"/>
  <c r="L128" i="23"/>
  <c r="AB128" i="23" s="1"/>
  <c r="J128" i="23"/>
  <c r="AA128" i="23" s="1"/>
  <c r="E129" i="22"/>
  <c r="I129" i="22"/>
  <c r="AC128" i="22"/>
  <c r="G129" i="21"/>
  <c r="H129" i="21"/>
  <c r="Y129" i="21" s="1"/>
  <c r="AE129" i="21"/>
  <c r="AC128" i="23" l="1"/>
  <c r="D130" i="27"/>
  <c r="C129" i="27"/>
  <c r="Z129" i="27" s="1"/>
  <c r="AH129" i="27" s="1"/>
  <c r="W129" i="27"/>
  <c r="Q129" i="27"/>
  <c r="S129" i="27" s="1"/>
  <c r="AD129" i="27" s="1"/>
  <c r="AL129" i="27" s="1"/>
  <c r="U129" i="27"/>
  <c r="AN129" i="27"/>
  <c r="L129" i="27"/>
  <c r="AB129" i="27" s="1"/>
  <c r="AJ129" i="27" s="1"/>
  <c r="J129" i="27"/>
  <c r="AA129" i="27" s="1"/>
  <c r="AI129" i="27" s="1"/>
  <c r="D130" i="26"/>
  <c r="C129" i="26"/>
  <c r="Z129" i="26" s="1"/>
  <c r="AH129" i="26" s="1"/>
  <c r="U129" i="26"/>
  <c r="AN129" i="26"/>
  <c r="Q129" i="26"/>
  <c r="S129" i="26" s="1"/>
  <c r="AD129" i="26" s="1"/>
  <c r="AL129" i="26" s="1"/>
  <c r="W129" i="26"/>
  <c r="L129" i="26"/>
  <c r="AB129" i="26" s="1"/>
  <c r="AJ129" i="26" s="1"/>
  <c r="J129" i="26"/>
  <c r="AA129" i="26" s="1"/>
  <c r="AI129" i="26" s="1"/>
  <c r="G129" i="25"/>
  <c r="H129" i="25"/>
  <c r="Y129" i="25" s="1"/>
  <c r="AM129" i="25" s="1"/>
  <c r="D130" i="24"/>
  <c r="C129" i="24"/>
  <c r="Z129" i="24" s="1"/>
  <c r="AH129" i="24" s="1"/>
  <c r="Q129" i="24"/>
  <c r="S129" i="24" s="1"/>
  <c r="AD129" i="24" s="1"/>
  <c r="AL129" i="24" s="1"/>
  <c r="AN129" i="24"/>
  <c r="W129" i="24"/>
  <c r="U129" i="24"/>
  <c r="L129" i="24"/>
  <c r="AB129" i="24" s="1"/>
  <c r="AJ129" i="24" s="1"/>
  <c r="J129" i="24"/>
  <c r="AA129" i="24" s="1"/>
  <c r="AI129" i="24" s="1"/>
  <c r="AE129" i="25"/>
  <c r="E129" i="23"/>
  <c r="I129" i="23"/>
  <c r="G129" i="22"/>
  <c r="H129" i="22"/>
  <c r="Y129" i="22" s="1"/>
  <c r="AE129" i="22"/>
  <c r="D130" i="21"/>
  <c r="C129" i="21"/>
  <c r="Z129" i="21" s="1"/>
  <c r="W129" i="21"/>
  <c r="Q129" i="21"/>
  <c r="S129" i="21" s="1"/>
  <c r="AD129" i="21" s="1"/>
  <c r="U129" i="21"/>
  <c r="L129" i="21"/>
  <c r="AB129" i="21" s="1"/>
  <c r="J129" i="21"/>
  <c r="AA129" i="21" s="1"/>
  <c r="AC129" i="27" l="1"/>
  <c r="AK129" i="27" s="1"/>
  <c r="AC129" i="24"/>
  <c r="AK129" i="24" s="1"/>
  <c r="AC129" i="21"/>
  <c r="E130" i="27"/>
  <c r="I130" i="27"/>
  <c r="E130" i="26"/>
  <c r="I130" i="26"/>
  <c r="D130" i="25"/>
  <c r="C129" i="25"/>
  <c r="Z129" i="25" s="1"/>
  <c r="AH129" i="25" s="1"/>
  <c r="U129" i="25"/>
  <c r="AN129" i="25"/>
  <c r="W129" i="25"/>
  <c r="Q129" i="25"/>
  <c r="S129" i="25" s="1"/>
  <c r="AD129" i="25" s="1"/>
  <c r="AL129" i="25" s="1"/>
  <c r="L129" i="25"/>
  <c r="AB129" i="25" s="1"/>
  <c r="AJ129" i="25" s="1"/>
  <c r="J129" i="25"/>
  <c r="AA129" i="25" s="1"/>
  <c r="AI129" i="25" s="1"/>
  <c r="E130" i="24"/>
  <c r="I130" i="24"/>
  <c r="AC129" i="26"/>
  <c r="AK129" i="26" s="1"/>
  <c r="G129" i="23"/>
  <c r="H129" i="23"/>
  <c r="Y129" i="23" s="1"/>
  <c r="AE129" i="23"/>
  <c r="D130" i="22"/>
  <c r="C129" i="22"/>
  <c r="Z129" i="22" s="1"/>
  <c r="W129" i="22"/>
  <c r="Q129" i="22"/>
  <c r="S129" i="22" s="1"/>
  <c r="AD129" i="22" s="1"/>
  <c r="U129" i="22"/>
  <c r="L129" i="22"/>
  <c r="AB129" i="22" s="1"/>
  <c r="J129" i="22"/>
  <c r="AA129" i="22" s="1"/>
  <c r="E130" i="21"/>
  <c r="I130" i="21"/>
  <c r="AC129" i="25" l="1"/>
  <c r="AK129" i="25" s="1"/>
  <c r="G130" i="27"/>
  <c r="H130" i="27"/>
  <c r="Y130" i="27" s="1"/>
  <c r="AM130" i="27" s="1"/>
  <c r="G130" i="26"/>
  <c r="H130" i="26"/>
  <c r="Y130" i="26" s="1"/>
  <c r="AM130" i="26" s="1"/>
  <c r="E130" i="25"/>
  <c r="I130" i="25"/>
  <c r="G130" i="24"/>
  <c r="H130" i="24"/>
  <c r="Y130" i="24" s="1"/>
  <c r="AM130" i="24" s="1"/>
  <c r="AE130" i="27"/>
  <c r="AE130" i="26"/>
  <c r="AE130" i="24"/>
  <c r="D130" i="23"/>
  <c r="C129" i="23"/>
  <c r="Z129" i="23" s="1"/>
  <c r="U129" i="23"/>
  <c r="Q129" i="23"/>
  <c r="S129" i="23" s="1"/>
  <c r="AD129" i="23" s="1"/>
  <c r="W129" i="23"/>
  <c r="J129" i="23"/>
  <c r="AA129" i="23" s="1"/>
  <c r="L129" i="23"/>
  <c r="AB129" i="23" s="1"/>
  <c r="E130" i="22"/>
  <c r="I130" i="22"/>
  <c r="AC129" i="22"/>
  <c r="G130" i="21"/>
  <c r="H130" i="21"/>
  <c r="Y130" i="21" s="1"/>
  <c r="AE130" i="21"/>
  <c r="D131" i="27" l="1"/>
  <c r="C130" i="27"/>
  <c r="Z130" i="27" s="1"/>
  <c r="AH130" i="27" s="1"/>
  <c r="W130" i="27"/>
  <c r="Q130" i="27"/>
  <c r="S130" i="27" s="1"/>
  <c r="AD130" i="27" s="1"/>
  <c r="AL130" i="27" s="1"/>
  <c r="AN130" i="27"/>
  <c r="U130" i="27"/>
  <c r="L130" i="27"/>
  <c r="AB130" i="27" s="1"/>
  <c r="AJ130" i="27" s="1"/>
  <c r="J130" i="27"/>
  <c r="AA130" i="27" s="1"/>
  <c r="AI130" i="27" s="1"/>
  <c r="D131" i="26"/>
  <c r="C130" i="26"/>
  <c r="Z130" i="26" s="1"/>
  <c r="AH130" i="26" s="1"/>
  <c r="Q130" i="26"/>
  <c r="S130" i="26" s="1"/>
  <c r="AD130" i="26" s="1"/>
  <c r="AL130" i="26" s="1"/>
  <c r="U130" i="26"/>
  <c r="W130" i="26"/>
  <c r="AN130" i="26"/>
  <c r="L130" i="26"/>
  <c r="AB130" i="26" s="1"/>
  <c r="AJ130" i="26" s="1"/>
  <c r="J130" i="26"/>
  <c r="AA130" i="26" s="1"/>
  <c r="AI130" i="26" s="1"/>
  <c r="G130" i="25"/>
  <c r="H130" i="25"/>
  <c r="Y130" i="25" s="1"/>
  <c r="AM130" i="25" s="1"/>
  <c r="D131" i="24"/>
  <c r="C130" i="24"/>
  <c r="Z130" i="24" s="1"/>
  <c r="AH130" i="24" s="1"/>
  <c r="U130" i="24"/>
  <c r="AN130" i="24"/>
  <c r="Q130" i="24"/>
  <c r="S130" i="24" s="1"/>
  <c r="AD130" i="24" s="1"/>
  <c r="AL130" i="24" s="1"/>
  <c r="W130" i="24"/>
  <c r="L130" i="24"/>
  <c r="AB130" i="24" s="1"/>
  <c r="AJ130" i="24" s="1"/>
  <c r="J130" i="24"/>
  <c r="AA130" i="24" s="1"/>
  <c r="AI130" i="24" s="1"/>
  <c r="AE130" i="25"/>
  <c r="AC129" i="23"/>
  <c r="E130" i="23"/>
  <c r="I130" i="23"/>
  <c r="G130" i="22"/>
  <c r="H130" i="22"/>
  <c r="Y130" i="22" s="1"/>
  <c r="AE130" i="22"/>
  <c r="D131" i="21"/>
  <c r="C130" i="21"/>
  <c r="Z130" i="21" s="1"/>
  <c r="U130" i="21"/>
  <c r="W130" i="21"/>
  <c r="Q130" i="21"/>
  <c r="S130" i="21" s="1"/>
  <c r="AD130" i="21" s="1"/>
  <c r="L130" i="21"/>
  <c r="AB130" i="21" s="1"/>
  <c r="J130" i="21"/>
  <c r="AA130" i="21" s="1"/>
  <c r="E131" i="27" l="1"/>
  <c r="I131" i="27"/>
  <c r="E131" i="26"/>
  <c r="I131" i="26"/>
  <c r="D131" i="25"/>
  <c r="C130" i="25"/>
  <c r="Z130" i="25" s="1"/>
  <c r="AH130" i="25" s="1"/>
  <c r="W130" i="25"/>
  <c r="U130" i="25"/>
  <c r="AC130" i="25" s="1"/>
  <c r="AK130" i="25" s="1"/>
  <c r="Q130" i="25"/>
  <c r="S130" i="25" s="1"/>
  <c r="AD130" i="25" s="1"/>
  <c r="AL130" i="25" s="1"/>
  <c r="AN130" i="25"/>
  <c r="L130" i="25"/>
  <c r="AB130" i="25" s="1"/>
  <c r="AJ130" i="25" s="1"/>
  <c r="J130" i="25"/>
  <c r="AA130" i="25" s="1"/>
  <c r="AI130" i="25" s="1"/>
  <c r="E131" i="24"/>
  <c r="I131" i="24"/>
  <c r="AC130" i="27"/>
  <c r="AK130" i="27" s="1"/>
  <c r="AC130" i="26"/>
  <c r="AK130" i="26" s="1"/>
  <c r="AC130" i="24"/>
  <c r="AK130" i="24" s="1"/>
  <c r="G130" i="23"/>
  <c r="H130" i="23"/>
  <c r="Y130" i="23" s="1"/>
  <c r="AE130" i="23"/>
  <c r="D131" i="22"/>
  <c r="C130" i="22"/>
  <c r="Z130" i="22" s="1"/>
  <c r="Q130" i="22"/>
  <c r="S130" i="22" s="1"/>
  <c r="AD130" i="22" s="1"/>
  <c r="W130" i="22"/>
  <c r="U130" i="22"/>
  <c r="L130" i="22"/>
  <c r="AB130" i="22" s="1"/>
  <c r="J130" i="22"/>
  <c r="AA130" i="22" s="1"/>
  <c r="E131" i="21"/>
  <c r="I131" i="21"/>
  <c r="AC130" i="21"/>
  <c r="AC130" i="22" l="1"/>
  <c r="G131" i="27"/>
  <c r="H131" i="27"/>
  <c r="Y131" i="27" s="1"/>
  <c r="AM131" i="27" s="1"/>
  <c r="G131" i="26"/>
  <c r="H131" i="26"/>
  <c r="Y131" i="26" s="1"/>
  <c r="AM131" i="26" s="1"/>
  <c r="E131" i="25"/>
  <c r="I131" i="25"/>
  <c r="G131" i="24"/>
  <c r="H131" i="24"/>
  <c r="Y131" i="24" s="1"/>
  <c r="AM131" i="24" s="1"/>
  <c r="AE131" i="27"/>
  <c r="AE131" i="26"/>
  <c r="AE131" i="24"/>
  <c r="D131" i="23"/>
  <c r="C130" i="23"/>
  <c r="Z130" i="23" s="1"/>
  <c r="U130" i="23"/>
  <c r="W130" i="23"/>
  <c r="Q130" i="23"/>
  <c r="S130" i="23" s="1"/>
  <c r="AD130" i="23" s="1"/>
  <c r="L130" i="23"/>
  <c r="AB130" i="23" s="1"/>
  <c r="J130" i="23"/>
  <c r="AA130" i="23" s="1"/>
  <c r="E131" i="22"/>
  <c r="I131" i="22"/>
  <c r="G131" i="21"/>
  <c r="H131" i="21"/>
  <c r="Y131" i="21" s="1"/>
  <c r="AE131" i="21"/>
  <c r="D132" i="27" l="1"/>
  <c r="C131" i="27"/>
  <c r="Z131" i="27" s="1"/>
  <c r="AH131" i="27" s="1"/>
  <c r="U131" i="27"/>
  <c r="Q131" i="27"/>
  <c r="S131" i="27" s="1"/>
  <c r="AD131" i="27" s="1"/>
  <c r="AL131" i="27" s="1"/>
  <c r="W131" i="27"/>
  <c r="AN131" i="27"/>
  <c r="L131" i="27"/>
  <c r="AB131" i="27" s="1"/>
  <c r="AJ131" i="27" s="1"/>
  <c r="J131" i="27"/>
  <c r="AA131" i="27" s="1"/>
  <c r="AI131" i="27" s="1"/>
  <c r="D132" i="26"/>
  <c r="C131" i="26"/>
  <c r="Z131" i="26" s="1"/>
  <c r="AH131" i="26" s="1"/>
  <c r="Q131" i="26"/>
  <c r="S131" i="26" s="1"/>
  <c r="AD131" i="26" s="1"/>
  <c r="AL131" i="26" s="1"/>
  <c r="W131" i="26"/>
  <c r="AN131" i="26"/>
  <c r="U131" i="26"/>
  <c r="AC131" i="26" s="1"/>
  <c r="AK131" i="26" s="1"/>
  <c r="L131" i="26"/>
  <c r="AB131" i="26" s="1"/>
  <c r="AJ131" i="26" s="1"/>
  <c r="J131" i="26"/>
  <c r="AA131" i="26" s="1"/>
  <c r="AI131" i="26" s="1"/>
  <c r="G131" i="25"/>
  <c r="H131" i="25"/>
  <c r="D132" i="24"/>
  <c r="C131" i="24"/>
  <c r="Z131" i="24" s="1"/>
  <c r="AH131" i="24" s="1"/>
  <c r="U131" i="24"/>
  <c r="Q131" i="24"/>
  <c r="S131" i="24" s="1"/>
  <c r="AD131" i="24" s="1"/>
  <c r="AL131" i="24" s="1"/>
  <c r="W131" i="24"/>
  <c r="AN131" i="24"/>
  <c r="J131" i="24"/>
  <c r="AA131" i="24" s="1"/>
  <c r="AI131" i="24" s="1"/>
  <c r="L131" i="24"/>
  <c r="AB131" i="24" s="1"/>
  <c r="AJ131" i="24" s="1"/>
  <c r="Y131" i="25"/>
  <c r="AM131" i="25" s="1"/>
  <c r="AE131" i="25"/>
  <c r="AC130" i="23"/>
  <c r="E131" i="23"/>
  <c r="I131" i="23"/>
  <c r="G131" i="22"/>
  <c r="H131" i="22"/>
  <c r="Y131" i="22"/>
  <c r="AE131" i="22"/>
  <c r="D132" i="21"/>
  <c r="C131" i="21"/>
  <c r="Z131" i="21" s="1"/>
  <c r="U131" i="21"/>
  <c r="Q131" i="21"/>
  <c r="S131" i="21" s="1"/>
  <c r="AD131" i="21" s="1"/>
  <c r="W131" i="21"/>
  <c r="AC131" i="21" s="1"/>
  <c r="L131" i="21"/>
  <c r="AB131" i="21" s="1"/>
  <c r="J131" i="21"/>
  <c r="AA131" i="21" s="1"/>
  <c r="AC131" i="27" l="1"/>
  <c r="AK131" i="27" s="1"/>
  <c r="E132" i="27"/>
  <c r="I132" i="27"/>
  <c r="E132" i="26"/>
  <c r="I132" i="26"/>
  <c r="D132" i="25"/>
  <c r="C131" i="25"/>
  <c r="Z131" i="25" s="1"/>
  <c r="AH131" i="25" s="1"/>
  <c r="W131" i="25"/>
  <c r="U131" i="25"/>
  <c r="Q131" i="25"/>
  <c r="S131" i="25" s="1"/>
  <c r="AD131" i="25" s="1"/>
  <c r="AL131" i="25" s="1"/>
  <c r="AN131" i="25"/>
  <c r="L131" i="25"/>
  <c r="AB131" i="25" s="1"/>
  <c r="AJ131" i="25" s="1"/>
  <c r="J131" i="25"/>
  <c r="E132" i="24"/>
  <c r="I132" i="24"/>
  <c r="AA131" i="25"/>
  <c r="AI131" i="25" s="1"/>
  <c r="AC131" i="24"/>
  <c r="AK131" i="24" s="1"/>
  <c r="G131" i="23"/>
  <c r="H131" i="23"/>
  <c r="Y131" i="23" s="1"/>
  <c r="AE131" i="23"/>
  <c r="D132" i="22"/>
  <c r="C131" i="22"/>
  <c r="Z131" i="22" s="1"/>
  <c r="Q131" i="22"/>
  <c r="S131" i="22" s="1"/>
  <c r="AD131" i="22" s="1"/>
  <c r="W131" i="22"/>
  <c r="U131" i="22"/>
  <c r="L131" i="22"/>
  <c r="AB131" i="22" s="1"/>
  <c r="J131" i="22"/>
  <c r="AA131" i="22" s="1"/>
  <c r="E132" i="21"/>
  <c r="I132" i="21"/>
  <c r="AC131" i="25" l="1"/>
  <c r="AK131" i="25" s="1"/>
  <c r="AC131" i="22"/>
  <c r="G132" i="27"/>
  <c r="H132" i="27"/>
  <c r="Y132" i="27" s="1"/>
  <c r="AM132" i="27" s="1"/>
  <c r="G132" i="26"/>
  <c r="H132" i="26"/>
  <c r="Y132" i="26" s="1"/>
  <c r="AM132" i="26" s="1"/>
  <c r="E132" i="25"/>
  <c r="I132" i="25"/>
  <c r="G132" i="24"/>
  <c r="H132" i="24"/>
  <c r="Y132" i="24" s="1"/>
  <c r="AM132" i="24" s="1"/>
  <c r="AE132" i="27"/>
  <c r="AE132" i="26"/>
  <c r="AE132" i="24"/>
  <c r="D132" i="23"/>
  <c r="C131" i="23"/>
  <c r="Z131" i="23" s="1"/>
  <c r="U131" i="23"/>
  <c r="Q131" i="23"/>
  <c r="S131" i="23" s="1"/>
  <c r="AD131" i="23" s="1"/>
  <c r="W131" i="23"/>
  <c r="L131" i="23"/>
  <c r="AB131" i="23" s="1"/>
  <c r="J131" i="23"/>
  <c r="AA131" i="23" s="1"/>
  <c r="E132" i="22"/>
  <c r="I132" i="22"/>
  <c r="G132" i="21"/>
  <c r="H132" i="21"/>
  <c r="Y132" i="21" s="1"/>
  <c r="AE132" i="21"/>
  <c r="D133" i="27" l="1"/>
  <c r="C132" i="27"/>
  <c r="Z132" i="27" s="1"/>
  <c r="AH132" i="27" s="1"/>
  <c r="W132" i="27"/>
  <c r="Q132" i="27"/>
  <c r="S132" i="27" s="1"/>
  <c r="AD132" i="27" s="1"/>
  <c r="AL132" i="27" s="1"/>
  <c r="AN132" i="27"/>
  <c r="U132" i="27"/>
  <c r="L132" i="27"/>
  <c r="AB132" i="27" s="1"/>
  <c r="AJ132" i="27" s="1"/>
  <c r="J132" i="27"/>
  <c r="AA132" i="27" s="1"/>
  <c r="AI132" i="27" s="1"/>
  <c r="D133" i="26"/>
  <c r="C132" i="26"/>
  <c r="Z132" i="26" s="1"/>
  <c r="AH132" i="26" s="1"/>
  <c r="U132" i="26"/>
  <c r="Q132" i="26"/>
  <c r="S132" i="26" s="1"/>
  <c r="AD132" i="26" s="1"/>
  <c r="AL132" i="26" s="1"/>
  <c r="W132" i="26"/>
  <c r="AN132" i="26"/>
  <c r="L132" i="26"/>
  <c r="AB132" i="26" s="1"/>
  <c r="AJ132" i="26" s="1"/>
  <c r="J132" i="26"/>
  <c r="AA132" i="26" s="1"/>
  <c r="AI132" i="26" s="1"/>
  <c r="G132" i="25"/>
  <c r="H132" i="25"/>
  <c r="Y132" i="25" s="1"/>
  <c r="AM132" i="25" s="1"/>
  <c r="D133" i="24"/>
  <c r="C132" i="24"/>
  <c r="Z132" i="24" s="1"/>
  <c r="AH132" i="24" s="1"/>
  <c r="W132" i="24"/>
  <c r="Q132" i="24"/>
  <c r="S132" i="24" s="1"/>
  <c r="AD132" i="24" s="1"/>
  <c r="AL132" i="24" s="1"/>
  <c r="U132" i="24"/>
  <c r="AC132" i="24" s="1"/>
  <c r="AK132" i="24" s="1"/>
  <c r="AN132" i="24"/>
  <c r="L132" i="24"/>
  <c r="AB132" i="24" s="1"/>
  <c r="AJ132" i="24" s="1"/>
  <c r="J132" i="24"/>
  <c r="AA132" i="24" s="1"/>
  <c r="AI132" i="24" s="1"/>
  <c r="AE132" i="25"/>
  <c r="AC131" i="23"/>
  <c r="E132" i="23"/>
  <c r="I132" i="23"/>
  <c r="G132" i="22"/>
  <c r="H132" i="22"/>
  <c r="Y132" i="22" s="1"/>
  <c r="AE132" i="22"/>
  <c r="D133" i="21"/>
  <c r="C132" i="21"/>
  <c r="Z132" i="21" s="1"/>
  <c r="W132" i="21"/>
  <c r="U132" i="21"/>
  <c r="Q132" i="21"/>
  <c r="S132" i="21" s="1"/>
  <c r="AD132" i="21" s="1"/>
  <c r="J132" i="21"/>
  <c r="AA132" i="21" s="1"/>
  <c r="L132" i="21"/>
  <c r="AB132" i="21" s="1"/>
  <c r="AC132" i="21" l="1"/>
  <c r="E133" i="27"/>
  <c r="I133" i="27"/>
  <c r="E133" i="26"/>
  <c r="I133" i="26"/>
  <c r="D133" i="25"/>
  <c r="C132" i="25"/>
  <c r="Z132" i="25" s="1"/>
  <c r="AH132" i="25" s="1"/>
  <c r="W132" i="25"/>
  <c r="AN132" i="25"/>
  <c r="Q132" i="25"/>
  <c r="S132" i="25" s="1"/>
  <c r="AD132" i="25" s="1"/>
  <c r="AL132" i="25" s="1"/>
  <c r="U132" i="25"/>
  <c r="L132" i="25"/>
  <c r="AB132" i="25" s="1"/>
  <c r="AJ132" i="25" s="1"/>
  <c r="J132" i="25"/>
  <c r="AA132" i="25" s="1"/>
  <c r="AI132" i="25" s="1"/>
  <c r="E133" i="24"/>
  <c r="I133" i="24"/>
  <c r="AC132" i="27"/>
  <c r="AK132" i="27" s="1"/>
  <c r="AC132" i="26"/>
  <c r="AK132" i="26" s="1"/>
  <c r="G132" i="23"/>
  <c r="H132" i="23"/>
  <c r="Y132" i="23" s="1"/>
  <c r="AE132" i="23"/>
  <c r="D133" i="22"/>
  <c r="C132" i="22"/>
  <c r="Z132" i="22" s="1"/>
  <c r="W132" i="22"/>
  <c r="Q132" i="22"/>
  <c r="S132" i="22" s="1"/>
  <c r="AD132" i="22" s="1"/>
  <c r="U132" i="22"/>
  <c r="L132" i="22"/>
  <c r="AB132" i="22" s="1"/>
  <c r="J132" i="22"/>
  <c r="AA132" i="22" s="1"/>
  <c r="E133" i="21"/>
  <c r="I133" i="21"/>
  <c r="AC132" i="22" l="1"/>
  <c r="AC132" i="25"/>
  <c r="AK132" i="25" s="1"/>
  <c r="G133" i="27"/>
  <c r="H133" i="27"/>
  <c r="Y133" i="27" s="1"/>
  <c r="AM133" i="27" s="1"/>
  <c r="G133" i="26"/>
  <c r="H133" i="26"/>
  <c r="Y133" i="26" s="1"/>
  <c r="AM133" i="26" s="1"/>
  <c r="E133" i="25"/>
  <c r="I133" i="25"/>
  <c r="G133" i="24"/>
  <c r="H133" i="24"/>
  <c r="Y133" i="24" s="1"/>
  <c r="AM133" i="24" s="1"/>
  <c r="AE133" i="27"/>
  <c r="AE133" i="26"/>
  <c r="AE133" i="24"/>
  <c r="D133" i="23"/>
  <c r="C132" i="23"/>
  <c r="Z132" i="23" s="1"/>
  <c r="W132" i="23"/>
  <c r="U132" i="23"/>
  <c r="Q132" i="23"/>
  <c r="S132" i="23" s="1"/>
  <c r="AD132" i="23" s="1"/>
  <c r="L132" i="23"/>
  <c r="AB132" i="23" s="1"/>
  <c r="J132" i="23"/>
  <c r="AA132" i="23" s="1"/>
  <c r="E133" i="22"/>
  <c r="I133" i="22"/>
  <c r="G133" i="21"/>
  <c r="H133" i="21"/>
  <c r="Y133" i="21" s="1"/>
  <c r="AE133" i="21"/>
  <c r="AC132" i="23" l="1"/>
  <c r="D134" i="27"/>
  <c r="C133" i="27"/>
  <c r="Z133" i="27" s="1"/>
  <c r="AH133" i="27" s="1"/>
  <c r="AN133" i="27"/>
  <c r="Q133" i="27"/>
  <c r="S133" i="27" s="1"/>
  <c r="AD133" i="27" s="1"/>
  <c r="AL133" i="27" s="1"/>
  <c r="W133" i="27"/>
  <c r="U133" i="27"/>
  <c r="L133" i="27"/>
  <c r="AB133" i="27" s="1"/>
  <c r="AJ133" i="27" s="1"/>
  <c r="J133" i="27"/>
  <c r="AA133" i="27" s="1"/>
  <c r="AI133" i="27" s="1"/>
  <c r="D134" i="26"/>
  <c r="C133" i="26"/>
  <c r="Z133" i="26" s="1"/>
  <c r="AH133" i="26" s="1"/>
  <c r="U133" i="26"/>
  <c r="Q133" i="26"/>
  <c r="S133" i="26" s="1"/>
  <c r="AD133" i="26" s="1"/>
  <c r="AL133" i="26" s="1"/>
  <c r="W133" i="26"/>
  <c r="AN133" i="26"/>
  <c r="L133" i="26"/>
  <c r="AB133" i="26" s="1"/>
  <c r="AJ133" i="26" s="1"/>
  <c r="J133" i="26"/>
  <c r="AA133" i="26" s="1"/>
  <c r="AI133" i="26" s="1"/>
  <c r="G133" i="25"/>
  <c r="H133" i="25"/>
  <c r="Y133" i="25" s="1"/>
  <c r="AM133" i="25" s="1"/>
  <c r="D134" i="24"/>
  <c r="C133" i="24"/>
  <c r="Z133" i="24" s="1"/>
  <c r="AH133" i="24" s="1"/>
  <c r="U133" i="24"/>
  <c r="Q133" i="24"/>
  <c r="S133" i="24" s="1"/>
  <c r="AD133" i="24" s="1"/>
  <c r="AL133" i="24" s="1"/>
  <c r="W133" i="24"/>
  <c r="AN133" i="24"/>
  <c r="L133" i="24"/>
  <c r="AB133" i="24" s="1"/>
  <c r="AJ133" i="24" s="1"/>
  <c r="J133" i="24"/>
  <c r="AA133" i="24" s="1"/>
  <c r="AI133" i="24" s="1"/>
  <c r="AE133" i="25"/>
  <c r="E133" i="23"/>
  <c r="I133" i="23"/>
  <c r="G133" i="22"/>
  <c r="H133" i="22"/>
  <c r="Y133" i="22" s="1"/>
  <c r="AE133" i="22"/>
  <c r="D134" i="21"/>
  <c r="C133" i="21"/>
  <c r="Z133" i="21" s="1"/>
  <c r="U133" i="21"/>
  <c r="Q133" i="21"/>
  <c r="S133" i="21" s="1"/>
  <c r="AD133" i="21" s="1"/>
  <c r="W133" i="21"/>
  <c r="L133" i="21"/>
  <c r="AB133" i="21" s="1"/>
  <c r="J133" i="21"/>
  <c r="AA133" i="21" s="1"/>
  <c r="AC133" i="27" l="1"/>
  <c r="AK133" i="27" s="1"/>
  <c r="AC133" i="24"/>
  <c r="AK133" i="24" s="1"/>
  <c r="E134" i="27"/>
  <c r="I134" i="27"/>
  <c r="E134" i="26"/>
  <c r="I134" i="26"/>
  <c r="D134" i="25"/>
  <c r="C133" i="25"/>
  <c r="Z133" i="25" s="1"/>
  <c r="AH133" i="25" s="1"/>
  <c r="AN133" i="25"/>
  <c r="U133" i="25"/>
  <c r="W133" i="25"/>
  <c r="Q133" i="25"/>
  <c r="S133" i="25" s="1"/>
  <c r="AD133" i="25" s="1"/>
  <c r="AL133" i="25" s="1"/>
  <c r="L133" i="25"/>
  <c r="AB133" i="25" s="1"/>
  <c r="AJ133" i="25" s="1"/>
  <c r="J133" i="25"/>
  <c r="AA133" i="25" s="1"/>
  <c r="AI133" i="25" s="1"/>
  <c r="E134" i="24"/>
  <c r="I134" i="24"/>
  <c r="AC133" i="26"/>
  <c r="AK133" i="26" s="1"/>
  <c r="G133" i="23"/>
  <c r="H133" i="23"/>
  <c r="Y133" i="23" s="1"/>
  <c r="AE133" i="23"/>
  <c r="D134" i="22"/>
  <c r="C133" i="22"/>
  <c r="Z133" i="22" s="1"/>
  <c r="Q133" i="22"/>
  <c r="S133" i="22" s="1"/>
  <c r="AD133" i="22" s="1"/>
  <c r="W133" i="22"/>
  <c r="U133" i="22"/>
  <c r="L133" i="22"/>
  <c r="AB133" i="22" s="1"/>
  <c r="J133" i="22"/>
  <c r="AA133" i="22" s="1"/>
  <c r="E134" i="21"/>
  <c r="I134" i="21"/>
  <c r="AC133" i="21"/>
  <c r="AC133" i="25" l="1"/>
  <c r="AK133" i="25" s="1"/>
  <c r="G134" i="27"/>
  <c r="H134" i="27"/>
  <c r="Y134" i="27" s="1"/>
  <c r="AM134" i="27" s="1"/>
  <c r="G134" i="26"/>
  <c r="H134" i="26"/>
  <c r="Y134" i="26" s="1"/>
  <c r="AM134" i="26" s="1"/>
  <c r="E134" i="25"/>
  <c r="I134" i="25"/>
  <c r="G134" i="24"/>
  <c r="H134" i="24"/>
  <c r="Y134" i="24" s="1"/>
  <c r="AM134" i="24" s="1"/>
  <c r="AE134" i="27"/>
  <c r="AE134" i="26"/>
  <c r="AE134" i="24"/>
  <c r="D134" i="23"/>
  <c r="C133" i="23"/>
  <c r="Z133" i="23" s="1"/>
  <c r="U133" i="23"/>
  <c r="W133" i="23"/>
  <c r="Q133" i="23"/>
  <c r="S133" i="23" s="1"/>
  <c r="AD133" i="23" s="1"/>
  <c r="L133" i="23"/>
  <c r="AB133" i="23" s="1"/>
  <c r="J133" i="23"/>
  <c r="AA133" i="23" s="1"/>
  <c r="E134" i="22"/>
  <c r="I134" i="22"/>
  <c r="AC133" i="22"/>
  <c r="G134" i="21"/>
  <c r="H134" i="21"/>
  <c r="Y134" i="21" s="1"/>
  <c r="AE134" i="21"/>
  <c r="D135" i="27" l="1"/>
  <c r="C134" i="27"/>
  <c r="Z134" i="27" s="1"/>
  <c r="AH134" i="27" s="1"/>
  <c r="Q134" i="27"/>
  <c r="S134" i="27" s="1"/>
  <c r="AD134" i="27" s="1"/>
  <c r="AL134" i="27" s="1"/>
  <c r="W134" i="27"/>
  <c r="U134" i="27"/>
  <c r="AN134" i="27"/>
  <c r="L134" i="27"/>
  <c r="AB134" i="27" s="1"/>
  <c r="AJ134" i="27" s="1"/>
  <c r="J134" i="27"/>
  <c r="AA134" i="27" s="1"/>
  <c r="AI134" i="27" s="1"/>
  <c r="D135" i="26"/>
  <c r="C134" i="26"/>
  <c r="Z134" i="26" s="1"/>
  <c r="AH134" i="26" s="1"/>
  <c r="Q134" i="26"/>
  <c r="S134" i="26" s="1"/>
  <c r="AD134" i="26" s="1"/>
  <c r="AL134" i="26" s="1"/>
  <c r="AN134" i="26"/>
  <c r="U134" i="26"/>
  <c r="W134" i="26"/>
  <c r="L134" i="26"/>
  <c r="AB134" i="26" s="1"/>
  <c r="AJ134" i="26" s="1"/>
  <c r="J134" i="26"/>
  <c r="AA134" i="26" s="1"/>
  <c r="AI134" i="26" s="1"/>
  <c r="G134" i="25"/>
  <c r="H134" i="25"/>
  <c r="Y134" i="25" s="1"/>
  <c r="AM134" i="25" s="1"/>
  <c r="D135" i="24"/>
  <c r="C134" i="24"/>
  <c r="Z134" i="24" s="1"/>
  <c r="AH134" i="24" s="1"/>
  <c r="Q134" i="24"/>
  <c r="S134" i="24" s="1"/>
  <c r="AD134" i="24" s="1"/>
  <c r="AL134" i="24" s="1"/>
  <c r="W134" i="24"/>
  <c r="U134" i="24"/>
  <c r="AN134" i="24"/>
  <c r="L134" i="24"/>
  <c r="AB134" i="24" s="1"/>
  <c r="AJ134" i="24" s="1"/>
  <c r="J134" i="24"/>
  <c r="AA134" i="24" s="1"/>
  <c r="AI134" i="24" s="1"/>
  <c r="AE134" i="25"/>
  <c r="AC133" i="23"/>
  <c r="E134" i="23"/>
  <c r="I134" i="23"/>
  <c r="G134" i="22"/>
  <c r="H134" i="22"/>
  <c r="Y134" i="22" s="1"/>
  <c r="AE134" i="22"/>
  <c r="D135" i="21"/>
  <c r="C134" i="21"/>
  <c r="Z134" i="21" s="1"/>
  <c r="Q134" i="21"/>
  <c r="S134" i="21" s="1"/>
  <c r="AD134" i="21" s="1"/>
  <c r="U134" i="21"/>
  <c r="W134" i="21"/>
  <c r="J134" i="21"/>
  <c r="AA134" i="21" s="1"/>
  <c r="L134" i="21"/>
  <c r="AB134" i="21" s="1"/>
  <c r="AC134" i="27" l="1"/>
  <c r="AK134" i="27" s="1"/>
  <c r="AC134" i="24"/>
  <c r="AK134" i="24" s="1"/>
  <c r="E135" i="27"/>
  <c r="I135" i="27"/>
  <c r="E135" i="26"/>
  <c r="I135" i="26"/>
  <c r="D135" i="25"/>
  <c r="C134" i="25"/>
  <c r="Z134" i="25" s="1"/>
  <c r="AH134" i="25" s="1"/>
  <c r="Q134" i="25"/>
  <c r="S134" i="25" s="1"/>
  <c r="AD134" i="25" s="1"/>
  <c r="AL134" i="25" s="1"/>
  <c r="U134" i="25"/>
  <c r="W134" i="25"/>
  <c r="AN134" i="25"/>
  <c r="L134" i="25"/>
  <c r="AB134" i="25" s="1"/>
  <c r="AJ134" i="25" s="1"/>
  <c r="J134" i="25"/>
  <c r="AA134" i="25" s="1"/>
  <c r="AI134" i="25" s="1"/>
  <c r="E135" i="24"/>
  <c r="I135" i="24"/>
  <c r="AC134" i="26"/>
  <c r="AK134" i="26" s="1"/>
  <c r="G134" i="23"/>
  <c r="H134" i="23"/>
  <c r="Y134" i="23" s="1"/>
  <c r="AE134" i="23"/>
  <c r="D135" i="22"/>
  <c r="C134" i="22"/>
  <c r="Z134" i="22" s="1"/>
  <c r="W134" i="22"/>
  <c r="U134" i="22"/>
  <c r="AC134" i="22" s="1"/>
  <c r="Q134" i="22"/>
  <c r="S134" i="22" s="1"/>
  <c r="AD134" i="22" s="1"/>
  <c r="L134" i="22"/>
  <c r="AB134" i="22" s="1"/>
  <c r="J134" i="22"/>
  <c r="AA134" i="22" s="1"/>
  <c r="E135" i="21"/>
  <c r="I135" i="21"/>
  <c r="AC134" i="21"/>
  <c r="AC134" i="25" l="1"/>
  <c r="AK134" i="25" s="1"/>
  <c r="G135" i="27"/>
  <c r="H135" i="27"/>
  <c r="Y135" i="27" s="1"/>
  <c r="AM135" i="27" s="1"/>
  <c r="G135" i="26"/>
  <c r="H135" i="26"/>
  <c r="Y135" i="26" s="1"/>
  <c r="AM135" i="26" s="1"/>
  <c r="E135" i="25"/>
  <c r="I135" i="25"/>
  <c r="G135" i="24"/>
  <c r="H135" i="24"/>
  <c r="Y135" i="24" s="1"/>
  <c r="AM135" i="24" s="1"/>
  <c r="AE135" i="27"/>
  <c r="AE135" i="26"/>
  <c r="AE135" i="24"/>
  <c r="D135" i="23"/>
  <c r="C134" i="23"/>
  <c r="Z134" i="23" s="1"/>
  <c r="Q134" i="23"/>
  <c r="S134" i="23" s="1"/>
  <c r="AD134" i="23" s="1"/>
  <c r="U134" i="23"/>
  <c r="W134" i="23"/>
  <c r="L134" i="23"/>
  <c r="AB134" i="23" s="1"/>
  <c r="J134" i="23"/>
  <c r="AA134" i="23" s="1"/>
  <c r="E135" i="22"/>
  <c r="I135" i="22"/>
  <c r="G135" i="21"/>
  <c r="H135" i="21"/>
  <c r="Y135" i="21" s="1"/>
  <c r="AE135" i="21"/>
  <c r="D136" i="27" l="1"/>
  <c r="C135" i="27"/>
  <c r="Z135" i="27" s="1"/>
  <c r="AH135" i="27" s="1"/>
  <c r="W135" i="27"/>
  <c r="U135" i="27"/>
  <c r="Q135" i="27"/>
  <c r="S135" i="27" s="1"/>
  <c r="AD135" i="27" s="1"/>
  <c r="AL135" i="27" s="1"/>
  <c r="AN135" i="27"/>
  <c r="L135" i="27"/>
  <c r="AB135" i="27" s="1"/>
  <c r="AJ135" i="27" s="1"/>
  <c r="J135" i="27"/>
  <c r="AA135" i="27" s="1"/>
  <c r="AI135" i="27" s="1"/>
  <c r="U135" i="26"/>
  <c r="W135" i="26"/>
  <c r="Q135" i="26"/>
  <c r="S135" i="26" s="1"/>
  <c r="AD135" i="26" s="1"/>
  <c r="AL135" i="26" s="1"/>
  <c r="AN135" i="26"/>
  <c r="L135" i="26"/>
  <c r="AB135" i="26" s="1"/>
  <c r="AJ135" i="26" s="1"/>
  <c r="J135" i="26"/>
  <c r="AA135" i="26" s="1"/>
  <c r="AI135" i="26" s="1"/>
  <c r="D136" i="26"/>
  <c r="C135" i="26"/>
  <c r="Z135" i="26" s="1"/>
  <c r="AH135" i="26" s="1"/>
  <c r="G135" i="25"/>
  <c r="H135" i="25"/>
  <c r="Y135" i="25" s="1"/>
  <c r="AM135" i="25" s="1"/>
  <c r="D136" i="24"/>
  <c r="C135" i="24"/>
  <c r="Z135" i="24" s="1"/>
  <c r="AH135" i="24" s="1"/>
  <c r="U135" i="24"/>
  <c r="Q135" i="24"/>
  <c r="S135" i="24" s="1"/>
  <c r="AD135" i="24" s="1"/>
  <c r="AL135" i="24" s="1"/>
  <c r="W135" i="24"/>
  <c r="AN135" i="24"/>
  <c r="L135" i="24"/>
  <c r="AB135" i="24" s="1"/>
  <c r="AJ135" i="24" s="1"/>
  <c r="J135" i="24"/>
  <c r="AA135" i="24" s="1"/>
  <c r="AI135" i="24" s="1"/>
  <c r="AE135" i="25"/>
  <c r="AC134" i="23"/>
  <c r="E135" i="23"/>
  <c r="I135" i="23"/>
  <c r="G135" i="22"/>
  <c r="H135" i="22"/>
  <c r="Y135" i="22" s="1"/>
  <c r="AE135" i="22"/>
  <c r="D136" i="21"/>
  <c r="C135" i="21"/>
  <c r="Z135" i="21" s="1"/>
  <c r="U135" i="21"/>
  <c r="Q135" i="21"/>
  <c r="S135" i="21" s="1"/>
  <c r="AD135" i="21" s="1"/>
  <c r="W135" i="21"/>
  <c r="J135" i="21"/>
  <c r="AA135" i="21" s="1"/>
  <c r="L135" i="21"/>
  <c r="AB135" i="21" s="1"/>
  <c r="AC135" i="21" l="1"/>
  <c r="E136" i="27"/>
  <c r="I136" i="27"/>
  <c r="E136" i="26"/>
  <c r="I136" i="26"/>
  <c r="D136" i="25"/>
  <c r="C135" i="25"/>
  <c r="Z135" i="25" s="1"/>
  <c r="AH135" i="25" s="1"/>
  <c r="U135" i="25"/>
  <c r="W135" i="25"/>
  <c r="Q135" i="25"/>
  <c r="S135" i="25" s="1"/>
  <c r="AD135" i="25" s="1"/>
  <c r="AL135" i="25" s="1"/>
  <c r="AN135" i="25"/>
  <c r="L135" i="25"/>
  <c r="AB135" i="25" s="1"/>
  <c r="AJ135" i="25" s="1"/>
  <c r="J135" i="25"/>
  <c r="AA135" i="25" s="1"/>
  <c r="AI135" i="25" s="1"/>
  <c r="E136" i="24"/>
  <c r="I136" i="24"/>
  <c r="AC135" i="27"/>
  <c r="AK135" i="27" s="1"/>
  <c r="AC135" i="26"/>
  <c r="AK135" i="26" s="1"/>
  <c r="AC135" i="24"/>
  <c r="AK135" i="24" s="1"/>
  <c r="G135" i="23"/>
  <c r="H135" i="23"/>
  <c r="Y135" i="23" s="1"/>
  <c r="AE135" i="23"/>
  <c r="D136" i="22"/>
  <c r="C135" i="22"/>
  <c r="Z135" i="22" s="1"/>
  <c r="W135" i="22"/>
  <c r="U135" i="22"/>
  <c r="Q135" i="22"/>
  <c r="S135" i="22" s="1"/>
  <c r="AD135" i="22" s="1"/>
  <c r="L135" i="22"/>
  <c r="AB135" i="22" s="1"/>
  <c r="J135" i="22"/>
  <c r="AA135" i="22" s="1"/>
  <c r="E136" i="21"/>
  <c r="I136" i="21"/>
  <c r="AC135" i="22" l="1"/>
  <c r="G136" i="27"/>
  <c r="H136" i="27"/>
  <c r="Y136" i="27" s="1"/>
  <c r="AM136" i="27" s="1"/>
  <c r="G136" i="26"/>
  <c r="H136" i="26"/>
  <c r="Y136" i="26" s="1"/>
  <c r="AM136" i="26" s="1"/>
  <c r="E136" i="25"/>
  <c r="I136" i="25"/>
  <c r="G136" i="24"/>
  <c r="H136" i="24"/>
  <c r="Y136" i="24" s="1"/>
  <c r="AM136" i="24" s="1"/>
  <c r="AE136" i="27"/>
  <c r="AE136" i="26"/>
  <c r="AC135" i="25"/>
  <c r="AK135" i="25" s="1"/>
  <c r="AE136" i="24"/>
  <c r="D136" i="23"/>
  <c r="C135" i="23"/>
  <c r="Z135" i="23" s="1"/>
  <c r="U135" i="23"/>
  <c r="W135" i="23"/>
  <c r="Q135" i="23"/>
  <c r="S135" i="23" s="1"/>
  <c r="AD135" i="23" s="1"/>
  <c r="L135" i="23"/>
  <c r="AB135" i="23" s="1"/>
  <c r="J135" i="23"/>
  <c r="AA135" i="23" s="1"/>
  <c r="E136" i="22"/>
  <c r="I136" i="22"/>
  <c r="G136" i="21"/>
  <c r="H136" i="21"/>
  <c r="Y136" i="21" s="1"/>
  <c r="AE136" i="21"/>
  <c r="C3" i="3"/>
  <c r="B3" i="3"/>
  <c r="E39" i="1"/>
  <c r="C37" i="21" s="1"/>
  <c r="F39" i="1"/>
  <c r="C37" i="22" s="1"/>
  <c r="G39" i="1"/>
  <c r="C37" i="23" s="1"/>
  <c r="D39" i="1"/>
  <c r="C37" i="3" s="1"/>
  <c r="D66" i="1"/>
  <c r="E60" i="1"/>
  <c r="F60" i="1" s="1"/>
  <c r="F63" i="1"/>
  <c r="F62" i="1"/>
  <c r="F61" i="1"/>
  <c r="D137" i="27" l="1"/>
  <c r="C136" i="27"/>
  <c r="Z136" i="27" s="1"/>
  <c r="AH136" i="27" s="1"/>
  <c r="W136" i="27"/>
  <c r="Q136" i="27"/>
  <c r="S136" i="27" s="1"/>
  <c r="AD136" i="27" s="1"/>
  <c r="AL136" i="27" s="1"/>
  <c r="U136" i="27"/>
  <c r="AN136" i="27"/>
  <c r="L136" i="27"/>
  <c r="AB136" i="27" s="1"/>
  <c r="AJ136" i="27" s="1"/>
  <c r="J136" i="27"/>
  <c r="AA136" i="27" s="1"/>
  <c r="AI136" i="27" s="1"/>
  <c r="D137" i="26"/>
  <c r="C136" i="26"/>
  <c r="Z136" i="26" s="1"/>
  <c r="AH136" i="26" s="1"/>
  <c r="W136" i="26"/>
  <c r="U136" i="26"/>
  <c r="AN136" i="26"/>
  <c r="Q136" i="26"/>
  <c r="S136" i="26" s="1"/>
  <c r="AD136" i="26" s="1"/>
  <c r="AL136" i="26" s="1"/>
  <c r="J136" i="26"/>
  <c r="AA136" i="26" s="1"/>
  <c r="AI136" i="26" s="1"/>
  <c r="L136" i="26"/>
  <c r="AB136" i="26" s="1"/>
  <c r="AJ136" i="26" s="1"/>
  <c r="G136" i="25"/>
  <c r="H136" i="25"/>
  <c r="Y136" i="25" s="1"/>
  <c r="AM136" i="25" s="1"/>
  <c r="D137" i="24"/>
  <c r="C136" i="24"/>
  <c r="Z136" i="24" s="1"/>
  <c r="AH136" i="24" s="1"/>
  <c r="W136" i="24"/>
  <c r="AN136" i="24"/>
  <c r="U136" i="24"/>
  <c r="AC136" i="24" s="1"/>
  <c r="AK136" i="24" s="1"/>
  <c r="Q136" i="24"/>
  <c r="S136" i="24" s="1"/>
  <c r="AD136" i="24" s="1"/>
  <c r="AL136" i="24" s="1"/>
  <c r="L136" i="24"/>
  <c r="AB136" i="24" s="1"/>
  <c r="AJ136" i="24" s="1"/>
  <c r="J136" i="24"/>
  <c r="AA136" i="24" s="1"/>
  <c r="AI136" i="24" s="1"/>
  <c r="AE136" i="25"/>
  <c r="AC135" i="23"/>
  <c r="E136" i="23"/>
  <c r="I136" i="23"/>
  <c r="G136" i="22"/>
  <c r="H136" i="22"/>
  <c r="Y136" i="22" s="1"/>
  <c r="AE136" i="22"/>
  <c r="D137" i="21"/>
  <c r="C136" i="21"/>
  <c r="Z136" i="21" s="1"/>
  <c r="W136" i="21"/>
  <c r="U136" i="21"/>
  <c r="Q136" i="21"/>
  <c r="S136" i="21" s="1"/>
  <c r="AD136" i="21" s="1"/>
  <c r="L136" i="21"/>
  <c r="AB136" i="21" s="1"/>
  <c r="J136" i="21"/>
  <c r="AA136" i="21" s="1"/>
  <c r="D40" i="1"/>
  <c r="E40" i="1"/>
  <c r="G40" i="1"/>
  <c r="F40" i="1"/>
  <c r="H6" i="3"/>
  <c r="G2" i="3"/>
  <c r="H7" i="3"/>
  <c r="H8" i="3"/>
  <c r="H3" i="3"/>
  <c r="H4" i="3"/>
  <c r="H5" i="3"/>
  <c r="J4" i="3"/>
  <c r="I2" i="3"/>
  <c r="J5" i="3"/>
  <c r="J6" i="3"/>
  <c r="J3" i="3"/>
  <c r="D45" i="1" s="1"/>
  <c r="J7" i="3"/>
  <c r="J8" i="3"/>
  <c r="D64" i="1"/>
  <c r="D67" i="1"/>
  <c r="G60" i="1"/>
  <c r="G61" i="1"/>
  <c r="G62" i="1"/>
  <c r="G63" i="1"/>
  <c r="AC136" i="26" l="1"/>
  <c r="AK136" i="26" s="1"/>
  <c r="AF169" i="23"/>
  <c r="AG169" i="23" s="1"/>
  <c r="AF165" i="23"/>
  <c r="AG165" i="23" s="1"/>
  <c r="AF161" i="23"/>
  <c r="AG161" i="23" s="1"/>
  <c r="AF157" i="23"/>
  <c r="AG157" i="23" s="1"/>
  <c r="AF153" i="23"/>
  <c r="AG153" i="23" s="1"/>
  <c r="AF149" i="23"/>
  <c r="AG149" i="23" s="1"/>
  <c r="AF145" i="23"/>
  <c r="AG145" i="23" s="1"/>
  <c r="AF141" i="23"/>
  <c r="AG141" i="23" s="1"/>
  <c r="AF137" i="23"/>
  <c r="AG137" i="23" s="1"/>
  <c r="AF133" i="23"/>
  <c r="AG133" i="23" s="1"/>
  <c r="AF129" i="23"/>
  <c r="AG129" i="23" s="1"/>
  <c r="AF125" i="23"/>
  <c r="AG125" i="23" s="1"/>
  <c r="AF121" i="23"/>
  <c r="AG121" i="23" s="1"/>
  <c r="AF117" i="23"/>
  <c r="AG117" i="23" s="1"/>
  <c r="AF113" i="23"/>
  <c r="AG113" i="23" s="1"/>
  <c r="AF109" i="23"/>
  <c r="AG109" i="23" s="1"/>
  <c r="AF105" i="23"/>
  <c r="AG105" i="23" s="1"/>
  <c r="AF101" i="23"/>
  <c r="AG101" i="23" s="1"/>
  <c r="AF97" i="23"/>
  <c r="AG97" i="23" s="1"/>
  <c r="AF93" i="23"/>
  <c r="AG93" i="23" s="1"/>
  <c r="AF89" i="23"/>
  <c r="AG89" i="23" s="1"/>
  <c r="AF85" i="23"/>
  <c r="AG85" i="23" s="1"/>
  <c r="AF81" i="23"/>
  <c r="AG81" i="23" s="1"/>
  <c r="AF77" i="23"/>
  <c r="AG77" i="23" s="1"/>
  <c r="C38" i="23"/>
  <c r="AF70" i="23"/>
  <c r="AF59" i="23"/>
  <c r="AG59" i="23" s="1"/>
  <c r="AF55" i="23"/>
  <c r="AG55" i="23" s="1"/>
  <c r="AF51" i="23"/>
  <c r="AG51" i="23" s="1"/>
  <c r="AF47" i="23"/>
  <c r="AG47" i="23" s="1"/>
  <c r="AF73" i="23"/>
  <c r="AG73" i="23" s="1"/>
  <c r="AF66" i="23"/>
  <c r="AG66" i="23" s="1"/>
  <c r="AF62" i="23"/>
  <c r="AG62" i="23" s="1"/>
  <c r="AF58" i="23"/>
  <c r="AG58" i="23" s="1"/>
  <c r="AF54" i="23"/>
  <c r="AG54" i="23" s="1"/>
  <c r="AF50" i="23"/>
  <c r="AG50" i="23" s="1"/>
  <c r="AF46" i="23"/>
  <c r="AG46" i="23" s="1"/>
  <c r="AF67" i="23"/>
  <c r="AG67" i="23" s="1"/>
  <c r="AF170" i="23"/>
  <c r="AG170" i="23" s="1"/>
  <c r="AF166" i="23"/>
  <c r="AG166" i="23" s="1"/>
  <c r="AF162" i="23"/>
  <c r="AG162" i="23" s="1"/>
  <c r="AF158" i="23"/>
  <c r="AG158" i="23" s="1"/>
  <c r="AF154" i="23"/>
  <c r="AG154" i="23" s="1"/>
  <c r="AF150" i="23"/>
  <c r="AG150" i="23" s="1"/>
  <c r="AF146" i="23"/>
  <c r="AG146" i="23" s="1"/>
  <c r="AF142" i="23"/>
  <c r="AG142" i="23" s="1"/>
  <c r="AF138" i="23"/>
  <c r="AG138" i="23" s="1"/>
  <c r="AF134" i="23"/>
  <c r="AG134" i="23" s="1"/>
  <c r="AF130" i="23"/>
  <c r="AG130" i="23" s="1"/>
  <c r="AF126" i="23"/>
  <c r="AG126" i="23" s="1"/>
  <c r="AF122" i="23"/>
  <c r="AG122" i="23" s="1"/>
  <c r="AF118" i="23"/>
  <c r="AG118" i="23" s="1"/>
  <c r="AF114" i="23"/>
  <c r="AG114" i="23" s="1"/>
  <c r="AF110" i="23"/>
  <c r="AG110" i="23" s="1"/>
  <c r="AF106" i="23"/>
  <c r="AG106" i="23" s="1"/>
  <c r="AF102" i="23"/>
  <c r="AG102" i="23" s="1"/>
  <c r="AF98" i="23"/>
  <c r="AG98" i="23" s="1"/>
  <c r="AF94" i="23"/>
  <c r="AG94" i="23" s="1"/>
  <c r="AF90" i="23"/>
  <c r="AG90" i="23" s="1"/>
  <c r="AF86" i="23"/>
  <c r="AG86" i="23" s="1"/>
  <c r="AF82" i="23"/>
  <c r="AG82" i="23" s="1"/>
  <c r="AF78" i="23"/>
  <c r="AG78" i="23" s="1"/>
  <c r="AF74" i="23"/>
  <c r="AG74" i="23" s="1"/>
  <c r="AF72" i="23"/>
  <c r="AG72" i="23" s="1"/>
  <c r="AF69" i="23"/>
  <c r="AG69" i="23" s="1"/>
  <c r="AF65" i="23"/>
  <c r="AG65" i="23" s="1"/>
  <c r="AF61" i="23"/>
  <c r="AG61" i="23" s="1"/>
  <c r="AF57" i="23"/>
  <c r="AG57" i="23" s="1"/>
  <c r="AF53" i="23"/>
  <c r="AG53" i="23" s="1"/>
  <c r="AF49" i="23"/>
  <c r="AG49" i="23" s="1"/>
  <c r="AF45" i="23"/>
  <c r="AG45" i="23" s="1"/>
  <c r="AF167" i="23"/>
  <c r="AG167" i="23" s="1"/>
  <c r="AF163" i="23"/>
  <c r="AG163" i="23" s="1"/>
  <c r="AF159" i="23"/>
  <c r="AG159" i="23" s="1"/>
  <c r="AF155" i="23"/>
  <c r="AG155" i="23" s="1"/>
  <c r="AF151" i="23"/>
  <c r="AG151" i="23" s="1"/>
  <c r="AF147" i="23"/>
  <c r="AG147" i="23" s="1"/>
  <c r="AF143" i="23"/>
  <c r="AG143" i="23" s="1"/>
  <c r="AF139" i="23"/>
  <c r="AG139" i="23" s="1"/>
  <c r="AF135" i="23"/>
  <c r="AG135" i="23" s="1"/>
  <c r="AF131" i="23"/>
  <c r="AG131" i="23" s="1"/>
  <c r="AF127" i="23"/>
  <c r="AG127" i="23" s="1"/>
  <c r="AF123" i="23"/>
  <c r="AG123" i="23" s="1"/>
  <c r="AF119" i="23"/>
  <c r="AG119" i="23" s="1"/>
  <c r="AF115" i="23"/>
  <c r="AG115" i="23" s="1"/>
  <c r="AF111" i="23"/>
  <c r="AG111" i="23" s="1"/>
  <c r="AF107" i="23"/>
  <c r="AG107" i="23" s="1"/>
  <c r="AF103" i="23"/>
  <c r="AG103" i="23" s="1"/>
  <c r="AF99" i="23"/>
  <c r="AG99" i="23" s="1"/>
  <c r="AF95" i="23"/>
  <c r="AG95" i="23" s="1"/>
  <c r="AF91" i="23"/>
  <c r="AG91" i="23" s="1"/>
  <c r="AF87" i="23"/>
  <c r="AG87" i="23" s="1"/>
  <c r="AF83" i="23"/>
  <c r="AG83" i="23" s="1"/>
  <c r="AF79" i="23"/>
  <c r="AG79" i="23" s="1"/>
  <c r="AF75" i="23"/>
  <c r="AG75" i="23" s="1"/>
  <c r="AF71" i="23"/>
  <c r="AG71" i="23" s="1"/>
  <c r="AF68" i="23"/>
  <c r="AG68" i="23" s="1"/>
  <c r="AF64" i="23"/>
  <c r="AG64" i="23" s="1"/>
  <c r="AF60" i="23"/>
  <c r="AG60" i="23" s="1"/>
  <c r="AF56" i="23"/>
  <c r="AG56" i="23" s="1"/>
  <c r="AF52" i="23"/>
  <c r="AG52" i="23" s="1"/>
  <c r="AF48" i="23"/>
  <c r="AG48" i="23" s="1"/>
  <c r="AF63" i="23"/>
  <c r="AG63" i="23" s="1"/>
  <c r="AF168" i="23"/>
  <c r="AG168" i="23" s="1"/>
  <c r="AF164" i="23"/>
  <c r="AG164" i="23" s="1"/>
  <c r="AF160" i="23"/>
  <c r="AG160" i="23" s="1"/>
  <c r="AF156" i="23"/>
  <c r="AG156" i="23" s="1"/>
  <c r="AF152" i="23"/>
  <c r="AG152" i="23" s="1"/>
  <c r="AF148" i="23"/>
  <c r="AG148" i="23" s="1"/>
  <c r="AF144" i="23"/>
  <c r="AG144" i="23" s="1"/>
  <c r="AF140" i="23"/>
  <c r="AG140" i="23" s="1"/>
  <c r="AF136" i="23"/>
  <c r="AG136" i="23" s="1"/>
  <c r="AF132" i="23"/>
  <c r="AG132" i="23" s="1"/>
  <c r="AF128" i="23"/>
  <c r="AG128" i="23" s="1"/>
  <c r="AF124" i="23"/>
  <c r="AG124" i="23" s="1"/>
  <c r="AF120" i="23"/>
  <c r="AG120" i="23" s="1"/>
  <c r="AF116" i="23"/>
  <c r="AG116" i="23" s="1"/>
  <c r="AF112" i="23"/>
  <c r="AG112" i="23" s="1"/>
  <c r="AF108" i="23"/>
  <c r="AG108" i="23" s="1"/>
  <c r="AF104" i="23"/>
  <c r="AG104" i="23" s="1"/>
  <c r="AF100" i="23"/>
  <c r="AG100" i="23" s="1"/>
  <c r="AF96" i="23"/>
  <c r="AG96" i="23" s="1"/>
  <c r="AF92" i="23"/>
  <c r="AG92" i="23" s="1"/>
  <c r="AF88" i="23"/>
  <c r="AG88" i="23" s="1"/>
  <c r="AF84" i="23"/>
  <c r="AG84" i="23" s="1"/>
  <c r="AF80" i="23"/>
  <c r="AG80" i="23" s="1"/>
  <c r="AF76" i="23"/>
  <c r="AG76" i="23" s="1"/>
  <c r="AF170" i="22"/>
  <c r="AG170" i="22" s="1"/>
  <c r="AF166" i="22"/>
  <c r="AG166" i="22" s="1"/>
  <c r="AF162" i="22"/>
  <c r="AG162" i="22" s="1"/>
  <c r="AF158" i="22"/>
  <c r="AG158" i="22" s="1"/>
  <c r="AF154" i="22"/>
  <c r="AG154" i="22" s="1"/>
  <c r="AF150" i="22"/>
  <c r="AG150" i="22" s="1"/>
  <c r="AF146" i="22"/>
  <c r="AG146" i="22" s="1"/>
  <c r="AF142" i="22"/>
  <c r="AG142" i="22" s="1"/>
  <c r="AF138" i="22"/>
  <c r="AG138" i="22" s="1"/>
  <c r="AF134" i="22"/>
  <c r="AG134" i="22" s="1"/>
  <c r="AF130" i="22"/>
  <c r="AG130" i="22" s="1"/>
  <c r="AF126" i="22"/>
  <c r="AG126" i="22" s="1"/>
  <c r="AF122" i="22"/>
  <c r="AG122" i="22" s="1"/>
  <c r="AF118" i="22"/>
  <c r="AG118" i="22" s="1"/>
  <c r="AF114" i="22"/>
  <c r="AG114" i="22" s="1"/>
  <c r="AF110" i="22"/>
  <c r="AG110" i="22" s="1"/>
  <c r="AF106" i="22"/>
  <c r="AG106" i="22" s="1"/>
  <c r="AF102" i="22"/>
  <c r="AG102" i="22" s="1"/>
  <c r="AF98" i="22"/>
  <c r="AG98" i="22" s="1"/>
  <c r="AF94" i="22"/>
  <c r="AG94" i="22" s="1"/>
  <c r="AF90" i="22"/>
  <c r="AG90" i="22" s="1"/>
  <c r="AF86" i="22"/>
  <c r="AG86" i="22" s="1"/>
  <c r="AF82" i="22"/>
  <c r="AG82" i="22" s="1"/>
  <c r="AF78" i="22"/>
  <c r="AG78" i="22" s="1"/>
  <c r="AF74" i="22"/>
  <c r="AG74" i="22" s="1"/>
  <c r="AF67" i="22"/>
  <c r="AG67" i="22" s="1"/>
  <c r="AF63" i="22"/>
  <c r="AG63" i="22" s="1"/>
  <c r="AF59" i="22"/>
  <c r="AG59" i="22" s="1"/>
  <c r="AF55" i="22"/>
  <c r="AG55" i="22" s="1"/>
  <c r="AF51" i="22"/>
  <c r="AG51" i="22" s="1"/>
  <c r="AF47" i="22"/>
  <c r="AG47" i="22" s="1"/>
  <c r="AF167" i="22"/>
  <c r="AG167" i="22" s="1"/>
  <c r="AF163" i="22"/>
  <c r="AG163" i="22" s="1"/>
  <c r="AF159" i="22"/>
  <c r="AG159" i="22" s="1"/>
  <c r="AF155" i="22"/>
  <c r="AG155" i="22" s="1"/>
  <c r="AF151" i="22"/>
  <c r="AG151" i="22" s="1"/>
  <c r="AF147" i="22"/>
  <c r="AG147" i="22" s="1"/>
  <c r="AF143" i="22"/>
  <c r="AG143" i="22" s="1"/>
  <c r="AF139" i="22"/>
  <c r="AG139" i="22" s="1"/>
  <c r="AF135" i="22"/>
  <c r="AG135" i="22" s="1"/>
  <c r="AF131" i="22"/>
  <c r="AG131" i="22" s="1"/>
  <c r="AF127" i="22"/>
  <c r="AG127" i="22" s="1"/>
  <c r="AF123" i="22"/>
  <c r="AG123" i="22" s="1"/>
  <c r="AF119" i="22"/>
  <c r="AG119" i="22" s="1"/>
  <c r="AF115" i="22"/>
  <c r="AG115" i="22" s="1"/>
  <c r="AF111" i="22"/>
  <c r="AG111" i="22" s="1"/>
  <c r="AF107" i="22"/>
  <c r="AG107" i="22" s="1"/>
  <c r="AF103" i="22"/>
  <c r="AG103" i="22" s="1"/>
  <c r="AF99" i="22"/>
  <c r="AG99" i="22" s="1"/>
  <c r="AF95" i="22"/>
  <c r="AG95" i="22" s="1"/>
  <c r="AF91" i="22"/>
  <c r="AG91" i="22" s="1"/>
  <c r="AF87" i="22"/>
  <c r="AG87" i="22" s="1"/>
  <c r="AF83" i="22"/>
  <c r="AG83" i="22" s="1"/>
  <c r="AF79" i="22"/>
  <c r="AG79" i="22" s="1"/>
  <c r="AF75" i="22"/>
  <c r="AG75" i="22" s="1"/>
  <c r="C38" i="22"/>
  <c r="AF65" i="22"/>
  <c r="AG65" i="22" s="1"/>
  <c r="AF57" i="22"/>
  <c r="AG57" i="22" s="1"/>
  <c r="AF45" i="22"/>
  <c r="AG45" i="22" s="1"/>
  <c r="AF70" i="22"/>
  <c r="AF66" i="22"/>
  <c r="AG66" i="22" s="1"/>
  <c r="AF62" i="22"/>
  <c r="AG62" i="22" s="1"/>
  <c r="AF58" i="22"/>
  <c r="AG58" i="22" s="1"/>
  <c r="AF54" i="22"/>
  <c r="AG54" i="22" s="1"/>
  <c r="AF50" i="22"/>
  <c r="AG50" i="22" s="1"/>
  <c r="AF46" i="22"/>
  <c r="AG46" i="22" s="1"/>
  <c r="AF53" i="22"/>
  <c r="AG53" i="22" s="1"/>
  <c r="AF168" i="22"/>
  <c r="AG168" i="22" s="1"/>
  <c r="AF164" i="22"/>
  <c r="AG164" i="22" s="1"/>
  <c r="AF160" i="22"/>
  <c r="AG160" i="22" s="1"/>
  <c r="AF156" i="22"/>
  <c r="AG156" i="22" s="1"/>
  <c r="AF152" i="22"/>
  <c r="AG152" i="22" s="1"/>
  <c r="AF148" i="22"/>
  <c r="AG148" i="22" s="1"/>
  <c r="AF144" i="22"/>
  <c r="AG144" i="22" s="1"/>
  <c r="AF140" i="22"/>
  <c r="AG140" i="22" s="1"/>
  <c r="AF136" i="22"/>
  <c r="AG136" i="22" s="1"/>
  <c r="AM136" i="22" s="1"/>
  <c r="AF132" i="22"/>
  <c r="AG132" i="22" s="1"/>
  <c r="AF128" i="22"/>
  <c r="AG128" i="22" s="1"/>
  <c r="AF124" i="22"/>
  <c r="AG124" i="22" s="1"/>
  <c r="AF120" i="22"/>
  <c r="AG120" i="22" s="1"/>
  <c r="AF116" i="22"/>
  <c r="AG116" i="22" s="1"/>
  <c r="AF112" i="22"/>
  <c r="AG112" i="22" s="1"/>
  <c r="AF108" i="22"/>
  <c r="AG108" i="22" s="1"/>
  <c r="AF104" i="22"/>
  <c r="AG104" i="22" s="1"/>
  <c r="AF100" i="22"/>
  <c r="AG100" i="22" s="1"/>
  <c r="AF96" i="22"/>
  <c r="AG96" i="22" s="1"/>
  <c r="AF92" i="22"/>
  <c r="AG92" i="22" s="1"/>
  <c r="AF88" i="22"/>
  <c r="AG88" i="22" s="1"/>
  <c r="AF84" i="22"/>
  <c r="AG84" i="22" s="1"/>
  <c r="AF80" i="22"/>
  <c r="AG80" i="22" s="1"/>
  <c r="AF76" i="22"/>
  <c r="AG76" i="22" s="1"/>
  <c r="AF69" i="22"/>
  <c r="AG69" i="22" s="1"/>
  <c r="AF61" i="22"/>
  <c r="AG61" i="22" s="1"/>
  <c r="AF49" i="22"/>
  <c r="AG49" i="22" s="1"/>
  <c r="AF72" i="22"/>
  <c r="AG72" i="22" s="1"/>
  <c r="AF169" i="22"/>
  <c r="AG169" i="22" s="1"/>
  <c r="AF165" i="22"/>
  <c r="AG165" i="22" s="1"/>
  <c r="AF161" i="22"/>
  <c r="AG161" i="22" s="1"/>
  <c r="AF157" i="22"/>
  <c r="AG157" i="22" s="1"/>
  <c r="AF153" i="22"/>
  <c r="AG153" i="22" s="1"/>
  <c r="AF149" i="22"/>
  <c r="AG149" i="22" s="1"/>
  <c r="AF145" i="22"/>
  <c r="AG145" i="22" s="1"/>
  <c r="AF141" i="22"/>
  <c r="AG141" i="22" s="1"/>
  <c r="AF137" i="22"/>
  <c r="AG137" i="22" s="1"/>
  <c r="AF133" i="22"/>
  <c r="AG133" i="22" s="1"/>
  <c r="AF129" i="22"/>
  <c r="AG129" i="22" s="1"/>
  <c r="AF125" i="22"/>
  <c r="AG125" i="22" s="1"/>
  <c r="AF121" i="22"/>
  <c r="AG121" i="22" s="1"/>
  <c r="AF117" i="22"/>
  <c r="AG117" i="22" s="1"/>
  <c r="AF113" i="22"/>
  <c r="AG113" i="22" s="1"/>
  <c r="AF109" i="22"/>
  <c r="AG109" i="22" s="1"/>
  <c r="AF105" i="22"/>
  <c r="AG105" i="22" s="1"/>
  <c r="AF101" i="22"/>
  <c r="AG101" i="22" s="1"/>
  <c r="AF97" i="22"/>
  <c r="AG97" i="22" s="1"/>
  <c r="AF93" i="22"/>
  <c r="AG93" i="22" s="1"/>
  <c r="AF89" i="22"/>
  <c r="AG89" i="22" s="1"/>
  <c r="AF85" i="22"/>
  <c r="AG85" i="22" s="1"/>
  <c r="AF81" i="22"/>
  <c r="AG81" i="22" s="1"/>
  <c r="AF77" i="22"/>
  <c r="AG77" i="22" s="1"/>
  <c r="AF73" i="22"/>
  <c r="AG73" i="22" s="1"/>
  <c r="AF71" i="22"/>
  <c r="AG71" i="22" s="1"/>
  <c r="AF68" i="22"/>
  <c r="AG68" i="22" s="1"/>
  <c r="AF64" i="22"/>
  <c r="AG64" i="22" s="1"/>
  <c r="AF60" i="22"/>
  <c r="AG60" i="22" s="1"/>
  <c r="AF56" i="22"/>
  <c r="AG56" i="22" s="1"/>
  <c r="AF52" i="22"/>
  <c r="AG52" i="22" s="1"/>
  <c r="AF48" i="22"/>
  <c r="AG48" i="22" s="1"/>
  <c r="AF169" i="21"/>
  <c r="AG169" i="21" s="1"/>
  <c r="AF165" i="21"/>
  <c r="AG165" i="21" s="1"/>
  <c r="AF161" i="21"/>
  <c r="AG161" i="21" s="1"/>
  <c r="AF157" i="21"/>
  <c r="AG157" i="21" s="1"/>
  <c r="AF153" i="21"/>
  <c r="AG153" i="21" s="1"/>
  <c r="AF149" i="21"/>
  <c r="AG149" i="21" s="1"/>
  <c r="AF145" i="21"/>
  <c r="AG145" i="21" s="1"/>
  <c r="AF141" i="21"/>
  <c r="AG141" i="21" s="1"/>
  <c r="AF137" i="21"/>
  <c r="AG137" i="21" s="1"/>
  <c r="AF133" i="21"/>
  <c r="AG133" i="21" s="1"/>
  <c r="AF129" i="21"/>
  <c r="AG129" i="21" s="1"/>
  <c r="AF125" i="21"/>
  <c r="AG125" i="21" s="1"/>
  <c r="AF121" i="21"/>
  <c r="AG121" i="21" s="1"/>
  <c r="AF117" i="21"/>
  <c r="AG117" i="21" s="1"/>
  <c r="AF113" i="21"/>
  <c r="AG113" i="21" s="1"/>
  <c r="AF109" i="21"/>
  <c r="AG109" i="21" s="1"/>
  <c r="AF105" i="21"/>
  <c r="AG105" i="21" s="1"/>
  <c r="AF101" i="21"/>
  <c r="AG101" i="21" s="1"/>
  <c r="AF97" i="21"/>
  <c r="AG97" i="21" s="1"/>
  <c r="AF93" i="21"/>
  <c r="AG93" i="21" s="1"/>
  <c r="AF89" i="21"/>
  <c r="AG89" i="21" s="1"/>
  <c r="AF85" i="21"/>
  <c r="AG85" i="21" s="1"/>
  <c r="AF81" i="21"/>
  <c r="AG81" i="21" s="1"/>
  <c r="AF77" i="21"/>
  <c r="AG77" i="21" s="1"/>
  <c r="AF73" i="21"/>
  <c r="AG73" i="21" s="1"/>
  <c r="AF70" i="21"/>
  <c r="AG70" i="21" s="1"/>
  <c r="AF66" i="21"/>
  <c r="AG66" i="21" s="1"/>
  <c r="AF62" i="21"/>
  <c r="AG62" i="21" s="1"/>
  <c r="AF58" i="21"/>
  <c r="AG58" i="21" s="1"/>
  <c r="AF54" i="21"/>
  <c r="AG54" i="21" s="1"/>
  <c r="AF50" i="21"/>
  <c r="AG50" i="21" s="1"/>
  <c r="AF46" i="21"/>
  <c r="AG46" i="21" s="1"/>
  <c r="AF51" i="21"/>
  <c r="AG51" i="21" s="1"/>
  <c r="AF47" i="21"/>
  <c r="AG47" i="21" s="1"/>
  <c r="AF170" i="21"/>
  <c r="AG170" i="21" s="1"/>
  <c r="AF166" i="21"/>
  <c r="AG166" i="21" s="1"/>
  <c r="AF162" i="21"/>
  <c r="AG162" i="21" s="1"/>
  <c r="AF158" i="21"/>
  <c r="AG158" i="21" s="1"/>
  <c r="AF154" i="21"/>
  <c r="AG154" i="21" s="1"/>
  <c r="AF150" i="21"/>
  <c r="AG150" i="21" s="1"/>
  <c r="AF146" i="21"/>
  <c r="AG146" i="21" s="1"/>
  <c r="AF142" i="21"/>
  <c r="AG142" i="21" s="1"/>
  <c r="AF138" i="21"/>
  <c r="AG138" i="21" s="1"/>
  <c r="AF134" i="21"/>
  <c r="AG134" i="21" s="1"/>
  <c r="AF130" i="21"/>
  <c r="AG130" i="21" s="1"/>
  <c r="AF126" i="21"/>
  <c r="AG126" i="21" s="1"/>
  <c r="AF122" i="21"/>
  <c r="AG122" i="21" s="1"/>
  <c r="AF118" i="21"/>
  <c r="AG118" i="21" s="1"/>
  <c r="AF114" i="21"/>
  <c r="AG114" i="21" s="1"/>
  <c r="AF110" i="21"/>
  <c r="AG110" i="21" s="1"/>
  <c r="AF106" i="21"/>
  <c r="AG106" i="21" s="1"/>
  <c r="AF102" i="21"/>
  <c r="AG102" i="21" s="1"/>
  <c r="AF98" i="21"/>
  <c r="AG98" i="21" s="1"/>
  <c r="AF94" i="21"/>
  <c r="AG94" i="21" s="1"/>
  <c r="AF90" i="21"/>
  <c r="AG90" i="21" s="1"/>
  <c r="AF86" i="21"/>
  <c r="AG86" i="21" s="1"/>
  <c r="AF82" i="21"/>
  <c r="AG82" i="21" s="1"/>
  <c r="AF78" i="21"/>
  <c r="AG78" i="21" s="1"/>
  <c r="AF74" i="21"/>
  <c r="AF69" i="21"/>
  <c r="AG69" i="21" s="1"/>
  <c r="AF65" i="21"/>
  <c r="AG65" i="21" s="1"/>
  <c r="AF61" i="21"/>
  <c r="AG61" i="21" s="1"/>
  <c r="AF57" i="21"/>
  <c r="AG57" i="21" s="1"/>
  <c r="AF53" i="21"/>
  <c r="AG53" i="21" s="1"/>
  <c r="AF49" i="21"/>
  <c r="AG49" i="21" s="1"/>
  <c r="AF45" i="21"/>
  <c r="AG45" i="21" s="1"/>
  <c r="AF63" i="21"/>
  <c r="AG63" i="21" s="1"/>
  <c r="AF67" i="21"/>
  <c r="AG67" i="21" s="1"/>
  <c r="AF167" i="21"/>
  <c r="AG167" i="21" s="1"/>
  <c r="AF163" i="21"/>
  <c r="AG163" i="21" s="1"/>
  <c r="AF159" i="21"/>
  <c r="AG159" i="21" s="1"/>
  <c r="AF155" i="21"/>
  <c r="AG155" i="21" s="1"/>
  <c r="AF151" i="21"/>
  <c r="AG151" i="21" s="1"/>
  <c r="AF147" i="21"/>
  <c r="AG147" i="21" s="1"/>
  <c r="AF143" i="21"/>
  <c r="AG143" i="21" s="1"/>
  <c r="AF139" i="21"/>
  <c r="AG139" i="21" s="1"/>
  <c r="AF135" i="21"/>
  <c r="AG135" i="21" s="1"/>
  <c r="AF131" i="21"/>
  <c r="AG131" i="21" s="1"/>
  <c r="AF127" i="21"/>
  <c r="AG127" i="21" s="1"/>
  <c r="AF123" i="21"/>
  <c r="AG123" i="21" s="1"/>
  <c r="AF119" i="21"/>
  <c r="AG119" i="21" s="1"/>
  <c r="AF115" i="21"/>
  <c r="AG115" i="21" s="1"/>
  <c r="AF111" i="21"/>
  <c r="AG111" i="21" s="1"/>
  <c r="AF107" i="21"/>
  <c r="AG107" i="21" s="1"/>
  <c r="AF103" i="21"/>
  <c r="AG103" i="21" s="1"/>
  <c r="AF99" i="21"/>
  <c r="AG99" i="21" s="1"/>
  <c r="AF95" i="21"/>
  <c r="AG95" i="21" s="1"/>
  <c r="AF91" i="21"/>
  <c r="AG91" i="21" s="1"/>
  <c r="AF87" i="21"/>
  <c r="AG87" i="21" s="1"/>
  <c r="AF83" i="21"/>
  <c r="AG83" i="21" s="1"/>
  <c r="AF79" i="21"/>
  <c r="AG79" i="21" s="1"/>
  <c r="AF75" i="21"/>
  <c r="AG75" i="21" s="1"/>
  <c r="AF71" i="21"/>
  <c r="AG71" i="21" s="1"/>
  <c r="AF68" i="21"/>
  <c r="AG68" i="21" s="1"/>
  <c r="AF64" i="21"/>
  <c r="AG64" i="21" s="1"/>
  <c r="AF60" i="21"/>
  <c r="AG60" i="21" s="1"/>
  <c r="AF56" i="21"/>
  <c r="AG56" i="21" s="1"/>
  <c r="AF52" i="21"/>
  <c r="AG52" i="21" s="1"/>
  <c r="AF48" i="21"/>
  <c r="AG48" i="21" s="1"/>
  <c r="AF59" i="21"/>
  <c r="AG59" i="21" s="1"/>
  <c r="AF168" i="21"/>
  <c r="AG168" i="21" s="1"/>
  <c r="AF164" i="21"/>
  <c r="AG164" i="21" s="1"/>
  <c r="AF160" i="21"/>
  <c r="AG160" i="21" s="1"/>
  <c r="AF156" i="21"/>
  <c r="AG156" i="21" s="1"/>
  <c r="AF152" i="21"/>
  <c r="AG152" i="21" s="1"/>
  <c r="AF148" i="21"/>
  <c r="AG148" i="21" s="1"/>
  <c r="AF144" i="21"/>
  <c r="AG144" i="21" s="1"/>
  <c r="AF140" i="21"/>
  <c r="AG140" i="21" s="1"/>
  <c r="AF136" i="21"/>
  <c r="AG136" i="21" s="1"/>
  <c r="AL136" i="21" s="1"/>
  <c r="AF132" i="21"/>
  <c r="AG132" i="21" s="1"/>
  <c r="AF128" i="21"/>
  <c r="AG128" i="21" s="1"/>
  <c r="AF124" i="21"/>
  <c r="AG124" i="21" s="1"/>
  <c r="AF120" i="21"/>
  <c r="AG120" i="21" s="1"/>
  <c r="AF116" i="21"/>
  <c r="AG116" i="21" s="1"/>
  <c r="AF112" i="21"/>
  <c r="AG112" i="21" s="1"/>
  <c r="AF108" i="21"/>
  <c r="AG108" i="21" s="1"/>
  <c r="AF104" i="21"/>
  <c r="AG104" i="21" s="1"/>
  <c r="AF100" i="21"/>
  <c r="AG100" i="21" s="1"/>
  <c r="AF96" i="21"/>
  <c r="AG96" i="21" s="1"/>
  <c r="AF92" i="21"/>
  <c r="AG92" i="21" s="1"/>
  <c r="AF88" i="21"/>
  <c r="AG88" i="21" s="1"/>
  <c r="AF84" i="21"/>
  <c r="AG84" i="21" s="1"/>
  <c r="AF80" i="21"/>
  <c r="AG80" i="21" s="1"/>
  <c r="AF76" i="21"/>
  <c r="AG76" i="21" s="1"/>
  <c r="AF72" i="21"/>
  <c r="AG72" i="21" s="1"/>
  <c r="C38" i="21"/>
  <c r="AF55" i="21"/>
  <c r="AG55" i="21" s="1"/>
  <c r="AI136" i="21"/>
  <c r="AF50" i="3"/>
  <c r="AG50" i="3" s="1"/>
  <c r="AF58" i="3"/>
  <c r="AG58" i="3" s="1"/>
  <c r="AF66" i="3"/>
  <c r="AG66" i="3" s="1"/>
  <c r="AL66" i="3" s="1"/>
  <c r="AF74" i="3"/>
  <c r="AG74" i="3" s="1"/>
  <c r="AF82" i="3"/>
  <c r="AG82" i="3" s="1"/>
  <c r="AF90" i="3"/>
  <c r="AG90" i="3" s="1"/>
  <c r="AF98" i="3"/>
  <c r="AG98" i="3" s="1"/>
  <c r="AF106" i="3"/>
  <c r="AG106" i="3" s="1"/>
  <c r="AF114" i="3"/>
  <c r="AG114" i="3" s="1"/>
  <c r="AF122" i="3"/>
  <c r="AG122" i="3" s="1"/>
  <c r="AF130" i="3"/>
  <c r="AG130" i="3" s="1"/>
  <c r="AF138" i="3"/>
  <c r="AG138" i="3" s="1"/>
  <c r="AF146" i="3"/>
  <c r="AG146" i="3" s="1"/>
  <c r="AF154" i="3"/>
  <c r="AG154" i="3" s="1"/>
  <c r="AF162" i="3"/>
  <c r="AG162" i="3" s="1"/>
  <c r="AF170" i="3"/>
  <c r="AG170" i="3" s="1"/>
  <c r="C38" i="3"/>
  <c r="AF53" i="3"/>
  <c r="AG53" i="3" s="1"/>
  <c r="AF61" i="3"/>
  <c r="AG61" i="3" s="1"/>
  <c r="AF69" i="3"/>
  <c r="AG69" i="3" s="1"/>
  <c r="AF77" i="3"/>
  <c r="AG77" i="3" s="1"/>
  <c r="AF85" i="3"/>
  <c r="AG85" i="3" s="1"/>
  <c r="AF93" i="3"/>
  <c r="AG93" i="3" s="1"/>
  <c r="AF101" i="3"/>
  <c r="AG101" i="3" s="1"/>
  <c r="AF109" i="3"/>
  <c r="AG109" i="3" s="1"/>
  <c r="AF117" i="3"/>
  <c r="AG117" i="3" s="1"/>
  <c r="AF125" i="3"/>
  <c r="AG125" i="3" s="1"/>
  <c r="AF133" i="3"/>
  <c r="AG133" i="3" s="1"/>
  <c r="AF141" i="3"/>
  <c r="AG141" i="3" s="1"/>
  <c r="AF149" i="3"/>
  <c r="AG149" i="3" s="1"/>
  <c r="AF157" i="3"/>
  <c r="AG157" i="3" s="1"/>
  <c r="AF165" i="3"/>
  <c r="AG165" i="3" s="1"/>
  <c r="AF51" i="3"/>
  <c r="AG51" i="3" s="1"/>
  <c r="AL51" i="3" s="1"/>
  <c r="AF59" i="3"/>
  <c r="AG59" i="3" s="1"/>
  <c r="AF67" i="3"/>
  <c r="AG67" i="3" s="1"/>
  <c r="AL67" i="3" s="1"/>
  <c r="AF75" i="3"/>
  <c r="AG75" i="3" s="1"/>
  <c r="AF83" i="3"/>
  <c r="AG83" i="3" s="1"/>
  <c r="AF91" i="3"/>
  <c r="AG91" i="3" s="1"/>
  <c r="AF99" i="3"/>
  <c r="AG99" i="3" s="1"/>
  <c r="AF107" i="3"/>
  <c r="AG107" i="3" s="1"/>
  <c r="AF115" i="3"/>
  <c r="AG115" i="3" s="1"/>
  <c r="AF123" i="3"/>
  <c r="AG123" i="3" s="1"/>
  <c r="AF131" i="3"/>
  <c r="AG131" i="3" s="1"/>
  <c r="AF139" i="3"/>
  <c r="AG139" i="3" s="1"/>
  <c r="AF147" i="3"/>
  <c r="AG147" i="3" s="1"/>
  <c r="AF155" i="3"/>
  <c r="AG155" i="3" s="1"/>
  <c r="AF163" i="3"/>
  <c r="AG163" i="3" s="1"/>
  <c r="AF45" i="3"/>
  <c r="AG45" i="3" s="1"/>
  <c r="AL45" i="3" s="1"/>
  <c r="AF52" i="3"/>
  <c r="AG52" i="3" s="1"/>
  <c r="AL52" i="3" s="1"/>
  <c r="AF60" i="3"/>
  <c r="AG60" i="3" s="1"/>
  <c r="AF68" i="3"/>
  <c r="AG68" i="3" s="1"/>
  <c r="AF76" i="3"/>
  <c r="AG76" i="3" s="1"/>
  <c r="AF84" i="3"/>
  <c r="AG84" i="3" s="1"/>
  <c r="AF92" i="3"/>
  <c r="AG92" i="3" s="1"/>
  <c r="AF100" i="3"/>
  <c r="AG100" i="3" s="1"/>
  <c r="AF108" i="3"/>
  <c r="AG108" i="3" s="1"/>
  <c r="AF116" i="3"/>
  <c r="AG116" i="3" s="1"/>
  <c r="AF124" i="3"/>
  <c r="AG124" i="3" s="1"/>
  <c r="AF132" i="3"/>
  <c r="AG132" i="3" s="1"/>
  <c r="AF140" i="3"/>
  <c r="AG140" i="3" s="1"/>
  <c r="AF148" i="3"/>
  <c r="AG148" i="3" s="1"/>
  <c r="AF156" i="3"/>
  <c r="AG156" i="3" s="1"/>
  <c r="AF164" i="3"/>
  <c r="AG164" i="3" s="1"/>
  <c r="AF46" i="3"/>
  <c r="AG46" i="3" s="1"/>
  <c r="AL46" i="3" s="1"/>
  <c r="AF54" i="3"/>
  <c r="AG54" i="3" s="1"/>
  <c r="AL54" i="3" s="1"/>
  <c r="AF62" i="3"/>
  <c r="AG62" i="3" s="1"/>
  <c r="AF70" i="3"/>
  <c r="AG70" i="3" s="1"/>
  <c r="AF78" i="3"/>
  <c r="AG78" i="3" s="1"/>
  <c r="AF86" i="3"/>
  <c r="AG86" i="3" s="1"/>
  <c r="AF94" i="3"/>
  <c r="AG94" i="3" s="1"/>
  <c r="AF102" i="3"/>
  <c r="AG102" i="3" s="1"/>
  <c r="AF110" i="3"/>
  <c r="AG110" i="3" s="1"/>
  <c r="AF118" i="3"/>
  <c r="AG118" i="3" s="1"/>
  <c r="AF126" i="3"/>
  <c r="AG126" i="3" s="1"/>
  <c r="AF134" i="3"/>
  <c r="AG134" i="3" s="1"/>
  <c r="AF142" i="3"/>
  <c r="AG142" i="3" s="1"/>
  <c r="AF150" i="3"/>
  <c r="AG150" i="3" s="1"/>
  <c r="AF158" i="3"/>
  <c r="AG158" i="3" s="1"/>
  <c r="AF166" i="3"/>
  <c r="AG166" i="3" s="1"/>
  <c r="AF47" i="3"/>
  <c r="AG47" i="3" s="1"/>
  <c r="AL47" i="3" s="1"/>
  <c r="AF55" i="3"/>
  <c r="AG55" i="3" s="1"/>
  <c r="AF63" i="3"/>
  <c r="AG63" i="3" s="1"/>
  <c r="AF71" i="3"/>
  <c r="AG71" i="3" s="1"/>
  <c r="AF79" i="3"/>
  <c r="AG79" i="3" s="1"/>
  <c r="AF87" i="3"/>
  <c r="AG87" i="3" s="1"/>
  <c r="AF95" i="3"/>
  <c r="AG95" i="3" s="1"/>
  <c r="AF103" i="3"/>
  <c r="AG103" i="3" s="1"/>
  <c r="AF111" i="3"/>
  <c r="AG111" i="3" s="1"/>
  <c r="AF119" i="3"/>
  <c r="AG119" i="3" s="1"/>
  <c r="AF127" i="3"/>
  <c r="AG127" i="3" s="1"/>
  <c r="AF135" i="3"/>
  <c r="AG135" i="3" s="1"/>
  <c r="AF143" i="3"/>
  <c r="AG143" i="3" s="1"/>
  <c r="AF151" i="3"/>
  <c r="AG151" i="3" s="1"/>
  <c r="AF159" i="3"/>
  <c r="AG159" i="3" s="1"/>
  <c r="AF167" i="3"/>
  <c r="AG167" i="3" s="1"/>
  <c r="AF48" i="3"/>
  <c r="AG48" i="3" s="1"/>
  <c r="AL48" i="3" s="1"/>
  <c r="AF56" i="3"/>
  <c r="AG56" i="3" s="1"/>
  <c r="AL56" i="3" s="1"/>
  <c r="AF64" i="3"/>
  <c r="AG64" i="3" s="1"/>
  <c r="AL64" i="3" s="1"/>
  <c r="AF72" i="3"/>
  <c r="AG72" i="3" s="1"/>
  <c r="AF80" i="3"/>
  <c r="AG80" i="3" s="1"/>
  <c r="AF88" i="3"/>
  <c r="AG88" i="3" s="1"/>
  <c r="AF96" i="3"/>
  <c r="AG96" i="3" s="1"/>
  <c r="AF104" i="3"/>
  <c r="AG104" i="3" s="1"/>
  <c r="AF112" i="3"/>
  <c r="AG112" i="3" s="1"/>
  <c r="AF120" i="3"/>
  <c r="AG120" i="3" s="1"/>
  <c r="AF128" i="3"/>
  <c r="AG128" i="3" s="1"/>
  <c r="AF136" i="3"/>
  <c r="AG136" i="3" s="1"/>
  <c r="AF144" i="3"/>
  <c r="AG144" i="3" s="1"/>
  <c r="AF152" i="3"/>
  <c r="AG152" i="3" s="1"/>
  <c r="AF160" i="3"/>
  <c r="AG160" i="3" s="1"/>
  <c r="AF168" i="3"/>
  <c r="AG168" i="3" s="1"/>
  <c r="AF49" i="3"/>
  <c r="AG49" i="3" s="1"/>
  <c r="AL49" i="3" s="1"/>
  <c r="AF57" i="3"/>
  <c r="AG57" i="3" s="1"/>
  <c r="AL57" i="3" s="1"/>
  <c r="AF65" i="3"/>
  <c r="AG65" i="3" s="1"/>
  <c r="AL65" i="3" s="1"/>
  <c r="AF73" i="3"/>
  <c r="AG73" i="3" s="1"/>
  <c r="AF81" i="3"/>
  <c r="AG81" i="3" s="1"/>
  <c r="AF89" i="3"/>
  <c r="AG89" i="3" s="1"/>
  <c r="AF97" i="3"/>
  <c r="AG97" i="3" s="1"/>
  <c r="AF105" i="3"/>
  <c r="AG105" i="3" s="1"/>
  <c r="AF113" i="3"/>
  <c r="AG113" i="3" s="1"/>
  <c r="AF121" i="3"/>
  <c r="AG121" i="3" s="1"/>
  <c r="AF129" i="3"/>
  <c r="AG129" i="3" s="1"/>
  <c r="AF137" i="3"/>
  <c r="AG137" i="3" s="1"/>
  <c r="AF145" i="3"/>
  <c r="AG145" i="3" s="1"/>
  <c r="AF153" i="3"/>
  <c r="AG153" i="3" s="1"/>
  <c r="AF161" i="3"/>
  <c r="AG161" i="3" s="1"/>
  <c r="AF169" i="3"/>
  <c r="AG169" i="3" s="1"/>
  <c r="E137" i="27"/>
  <c r="I137" i="27"/>
  <c r="E137" i="26"/>
  <c r="I137" i="26"/>
  <c r="D137" i="25"/>
  <c r="C136" i="25"/>
  <c r="W136" i="25"/>
  <c r="Q136" i="25"/>
  <c r="S136" i="25" s="1"/>
  <c r="AD136" i="25" s="1"/>
  <c r="AL136" i="25" s="1"/>
  <c r="AN136" i="25"/>
  <c r="U136" i="25"/>
  <c r="L136" i="25"/>
  <c r="AB136" i="25" s="1"/>
  <c r="AJ136" i="25" s="1"/>
  <c r="J136" i="25"/>
  <c r="AA136" i="25" s="1"/>
  <c r="AI136" i="25" s="1"/>
  <c r="E137" i="24"/>
  <c r="I137" i="24"/>
  <c r="AC136" i="27"/>
  <c r="AK136" i="27" s="1"/>
  <c r="Z136" i="25"/>
  <c r="AH136" i="25" s="1"/>
  <c r="G136" i="23"/>
  <c r="H136" i="23"/>
  <c r="Y136" i="23" s="1"/>
  <c r="AE136" i="23"/>
  <c r="D137" i="22"/>
  <c r="C136" i="22"/>
  <c r="Z136" i="22" s="1"/>
  <c r="W136" i="22"/>
  <c r="Q136" i="22"/>
  <c r="S136" i="22" s="1"/>
  <c r="AD136" i="22" s="1"/>
  <c r="U136" i="22"/>
  <c r="L136" i="22"/>
  <c r="AB136" i="22" s="1"/>
  <c r="J136" i="22"/>
  <c r="AA136" i="22" s="1"/>
  <c r="AI136" i="22" s="1"/>
  <c r="E137" i="21"/>
  <c r="I137" i="21"/>
  <c r="AC136" i="21"/>
  <c r="AK136" i="21" s="1"/>
  <c r="D41" i="1"/>
  <c r="C39" i="3" s="1"/>
  <c r="AL62" i="3"/>
  <c r="AL55" i="3"/>
  <c r="AL63" i="3"/>
  <c r="AL50" i="3"/>
  <c r="AL58" i="3"/>
  <c r="AL59" i="3"/>
  <c r="AL60" i="3"/>
  <c r="AL68" i="3"/>
  <c r="AL61" i="3"/>
  <c r="AL69" i="3"/>
  <c r="AL53" i="3"/>
  <c r="F41" i="1"/>
  <c r="C39" i="22" s="1"/>
  <c r="G41" i="1"/>
  <c r="C39" i="23" s="1"/>
  <c r="C15" i="11"/>
  <c r="C24" i="13"/>
  <c r="C32" i="11" s="1"/>
  <c r="E41" i="1"/>
  <c r="C39" i="21" s="1"/>
  <c r="Z52" i="3"/>
  <c r="Z50" i="3"/>
  <c r="Z64" i="3"/>
  <c r="Z68" i="3"/>
  <c r="Z63" i="3"/>
  <c r="Z54" i="3"/>
  <c r="Z47" i="3"/>
  <c r="Z55" i="3"/>
  <c r="Z53" i="3"/>
  <c r="Z48" i="3"/>
  <c r="Z61" i="3"/>
  <c r="Z56" i="3"/>
  <c r="Z58" i="3"/>
  <c r="Z66" i="3"/>
  <c r="Z51" i="3"/>
  <c r="Z69" i="3"/>
  <c r="Z46" i="3"/>
  <c r="Z59" i="3"/>
  <c r="Z49" i="3"/>
  <c r="Z67" i="3"/>
  <c r="Z62" i="3"/>
  <c r="Z57" i="3"/>
  <c r="Z45" i="3"/>
  <c r="Z65" i="3"/>
  <c r="Z60" i="3"/>
  <c r="AH136" i="22" l="1"/>
  <c r="AH136" i="21"/>
  <c r="AC136" i="25"/>
  <c r="AK136" i="25" s="1"/>
  <c r="AJ136" i="21"/>
  <c r="AM80" i="23"/>
  <c r="AN80" i="23"/>
  <c r="AH80" i="23"/>
  <c r="AI80" i="23"/>
  <c r="AJ80" i="23"/>
  <c r="AL80" i="23"/>
  <c r="AK80" i="23"/>
  <c r="AN112" i="23"/>
  <c r="AM112" i="23"/>
  <c r="AL112" i="23"/>
  <c r="AH112" i="23"/>
  <c r="AI112" i="23"/>
  <c r="AJ112" i="23"/>
  <c r="AK112" i="23"/>
  <c r="AI48" i="23"/>
  <c r="AJ48" i="23"/>
  <c r="AK48" i="23"/>
  <c r="AL48" i="23"/>
  <c r="AH48" i="23"/>
  <c r="AM79" i="23"/>
  <c r="AN79" i="23"/>
  <c r="AH79" i="23"/>
  <c r="AI79" i="23"/>
  <c r="AJ79" i="23"/>
  <c r="AL79" i="23"/>
  <c r="AK79" i="23"/>
  <c r="AM111" i="23"/>
  <c r="AN111" i="23"/>
  <c r="AH111" i="23"/>
  <c r="AJ111" i="23"/>
  <c r="AL111" i="23"/>
  <c r="AI111" i="23"/>
  <c r="AK111" i="23"/>
  <c r="AK49" i="23"/>
  <c r="AJ49" i="23"/>
  <c r="AL49" i="23"/>
  <c r="AI49" i="23"/>
  <c r="AH49" i="23"/>
  <c r="AM78" i="23"/>
  <c r="AN78" i="23"/>
  <c r="AI78" i="23"/>
  <c r="AJ78" i="23"/>
  <c r="AL78" i="23"/>
  <c r="AH78" i="23"/>
  <c r="AK78" i="23"/>
  <c r="AM110" i="23"/>
  <c r="AN110" i="23"/>
  <c r="AI110" i="23"/>
  <c r="AJ110" i="23"/>
  <c r="AL110" i="23"/>
  <c r="AK110" i="23"/>
  <c r="AH110" i="23"/>
  <c r="AI67" i="23"/>
  <c r="AH67" i="23"/>
  <c r="AK67" i="23"/>
  <c r="AJ67" i="23"/>
  <c r="AL67" i="23"/>
  <c r="AJ47" i="23"/>
  <c r="AK47" i="23"/>
  <c r="AH47" i="23"/>
  <c r="AI47" i="23"/>
  <c r="AL47" i="23"/>
  <c r="AM85" i="23"/>
  <c r="AN85" i="23"/>
  <c r="AL85" i="23"/>
  <c r="AI85" i="23"/>
  <c r="AJ85" i="23"/>
  <c r="AK85" i="23"/>
  <c r="AH85" i="23"/>
  <c r="AM117" i="23"/>
  <c r="AN117" i="23"/>
  <c r="AI117" i="23"/>
  <c r="AJ117" i="23"/>
  <c r="AL117" i="23"/>
  <c r="AK117" i="23"/>
  <c r="AH117" i="23"/>
  <c r="AM73" i="23"/>
  <c r="AN73" i="23"/>
  <c r="AH73" i="23"/>
  <c r="AL73" i="23"/>
  <c r="AI73" i="23"/>
  <c r="AJ73" i="23"/>
  <c r="AK73" i="23"/>
  <c r="AM88" i="23"/>
  <c r="AN88" i="23"/>
  <c r="AI88" i="23"/>
  <c r="AJ88" i="23"/>
  <c r="AL88" i="23"/>
  <c r="AH88" i="23"/>
  <c r="AK88" i="23"/>
  <c r="AM120" i="23"/>
  <c r="AN120" i="23"/>
  <c r="AH120" i="23"/>
  <c r="AI120" i="23"/>
  <c r="AL120" i="23"/>
  <c r="AJ120" i="23"/>
  <c r="AK120" i="23"/>
  <c r="AJ56" i="23"/>
  <c r="AL56" i="23"/>
  <c r="AK56" i="23"/>
  <c r="AI56" i="23"/>
  <c r="AH56" i="23"/>
  <c r="AM87" i="23"/>
  <c r="AN87" i="23"/>
  <c r="AL87" i="23"/>
  <c r="AH87" i="23"/>
  <c r="AK87" i="23"/>
  <c r="AJ87" i="23"/>
  <c r="AI87" i="23"/>
  <c r="AM119" i="23"/>
  <c r="AN119" i="23"/>
  <c r="AI119" i="23"/>
  <c r="AL119" i="23"/>
  <c r="AJ119" i="23"/>
  <c r="AH119" i="23"/>
  <c r="AK119" i="23"/>
  <c r="AL57" i="23"/>
  <c r="AH57" i="23"/>
  <c r="AK57" i="23"/>
  <c r="AJ57" i="23"/>
  <c r="AI57" i="23"/>
  <c r="AN86" i="23"/>
  <c r="AM86" i="23"/>
  <c r="AJ86" i="23"/>
  <c r="AL86" i="23"/>
  <c r="AI86" i="23"/>
  <c r="AH86" i="23"/>
  <c r="AK86" i="23"/>
  <c r="AM118" i="23"/>
  <c r="AN118" i="23"/>
  <c r="AL118" i="23"/>
  <c r="AJ118" i="23"/>
  <c r="AK118" i="23"/>
  <c r="AI118" i="23"/>
  <c r="AH118" i="23"/>
  <c r="AI50" i="23"/>
  <c r="AH50" i="23"/>
  <c r="AJ50" i="23"/>
  <c r="AK50" i="23"/>
  <c r="AL50" i="23"/>
  <c r="AJ55" i="23"/>
  <c r="AL55" i="23"/>
  <c r="AH55" i="23"/>
  <c r="AI55" i="23"/>
  <c r="AK55" i="23"/>
  <c r="AM93" i="23"/>
  <c r="AN93" i="23"/>
  <c r="AJ93" i="23"/>
  <c r="AI93" i="23"/>
  <c r="AL93" i="23"/>
  <c r="AH93" i="23"/>
  <c r="AK93" i="23"/>
  <c r="AM125" i="23"/>
  <c r="AN125" i="23"/>
  <c r="AI125" i="23"/>
  <c r="AL125" i="23"/>
  <c r="AJ125" i="23"/>
  <c r="AH125" i="23"/>
  <c r="AK125" i="23"/>
  <c r="AM108" i="23"/>
  <c r="AN108" i="23"/>
  <c r="AH108" i="23"/>
  <c r="AL108" i="23"/>
  <c r="AJ108" i="23"/>
  <c r="AI108" i="23"/>
  <c r="AK108" i="23"/>
  <c r="AH63" i="23"/>
  <c r="AI63" i="23"/>
  <c r="AL63" i="23"/>
  <c r="AJ63" i="23"/>
  <c r="AK63" i="23"/>
  <c r="AM106" i="23"/>
  <c r="AN106" i="23"/>
  <c r="AI106" i="23"/>
  <c r="AK106" i="23"/>
  <c r="AH106" i="23"/>
  <c r="AJ106" i="23"/>
  <c r="AL106" i="23"/>
  <c r="AM116" i="23"/>
  <c r="AN116" i="23"/>
  <c r="AI116" i="23"/>
  <c r="AL116" i="23"/>
  <c r="AH116" i="23"/>
  <c r="AJ116" i="23"/>
  <c r="AK116" i="23"/>
  <c r="AM83" i="23"/>
  <c r="AN83" i="23"/>
  <c r="AL83" i="23"/>
  <c r="AH83" i="23"/>
  <c r="AI83" i="23"/>
  <c r="AJ83" i="23"/>
  <c r="AK83" i="23"/>
  <c r="AH53" i="23"/>
  <c r="AL53" i="23"/>
  <c r="AI53" i="23"/>
  <c r="AK53" i="23"/>
  <c r="AJ53" i="23"/>
  <c r="AK51" i="23"/>
  <c r="AI51" i="23"/>
  <c r="AH51" i="23"/>
  <c r="AJ51" i="23"/>
  <c r="AL51" i="23"/>
  <c r="AM124" i="23"/>
  <c r="AN124" i="23"/>
  <c r="AH124" i="23"/>
  <c r="AI124" i="23"/>
  <c r="AJ124" i="23"/>
  <c r="AL124" i="23"/>
  <c r="AK124" i="23"/>
  <c r="AM91" i="23"/>
  <c r="AN91" i="23"/>
  <c r="AK91" i="23"/>
  <c r="AH91" i="23"/>
  <c r="AJ91" i="23"/>
  <c r="AI91" i="23"/>
  <c r="AL91" i="23"/>
  <c r="AM123" i="23"/>
  <c r="AN123" i="23"/>
  <c r="AI123" i="23"/>
  <c r="AL123" i="23"/>
  <c r="AH123" i="23"/>
  <c r="AJ123" i="23"/>
  <c r="AK123" i="23"/>
  <c r="AM122" i="23"/>
  <c r="AN122" i="23"/>
  <c r="AL122" i="23"/>
  <c r="AH122" i="23"/>
  <c r="AI122" i="23"/>
  <c r="AJ122" i="23"/>
  <c r="AK122" i="23"/>
  <c r="AL54" i="23"/>
  <c r="AH54" i="23"/>
  <c r="AK54" i="23"/>
  <c r="AJ54" i="23"/>
  <c r="AI54" i="23"/>
  <c r="AJ59" i="23"/>
  <c r="AK59" i="23"/>
  <c r="AI59" i="23"/>
  <c r="AL59" i="23"/>
  <c r="AH59" i="23"/>
  <c r="AM97" i="23"/>
  <c r="AN97" i="23"/>
  <c r="AI97" i="23"/>
  <c r="AJ97" i="23"/>
  <c r="AH97" i="23"/>
  <c r="AL97" i="23"/>
  <c r="AK97" i="23"/>
  <c r="AN129" i="23"/>
  <c r="AM129" i="23"/>
  <c r="AL129" i="23"/>
  <c r="AI129" i="23"/>
  <c r="AH129" i="23"/>
  <c r="AJ129" i="23"/>
  <c r="AK129" i="23"/>
  <c r="AM107" i="23"/>
  <c r="AN107" i="23"/>
  <c r="AJ107" i="23"/>
  <c r="AI107" i="23"/>
  <c r="AK107" i="23"/>
  <c r="AH107" i="23"/>
  <c r="AL107" i="23"/>
  <c r="AM74" i="23"/>
  <c r="AN74" i="23"/>
  <c r="AJ74" i="23"/>
  <c r="AI74" i="23"/>
  <c r="AH74" i="23"/>
  <c r="AL74" i="23"/>
  <c r="AK74" i="23"/>
  <c r="AM81" i="23"/>
  <c r="AN81" i="23"/>
  <c r="AJ81" i="23"/>
  <c r="AH81" i="23"/>
  <c r="AL81" i="23"/>
  <c r="AI81" i="23"/>
  <c r="AK81" i="23"/>
  <c r="AM115" i="23"/>
  <c r="AN115" i="23"/>
  <c r="AJ115" i="23"/>
  <c r="AL115" i="23"/>
  <c r="AH115" i="23"/>
  <c r="AI115" i="23"/>
  <c r="AK115" i="23"/>
  <c r="AM82" i="23"/>
  <c r="AN82" i="23"/>
  <c r="AJ82" i="23"/>
  <c r="AI82" i="23"/>
  <c r="AL82" i="23"/>
  <c r="AH82" i="23"/>
  <c r="AK82" i="23"/>
  <c r="AM89" i="23"/>
  <c r="AN89" i="23"/>
  <c r="AL89" i="23"/>
  <c r="AJ89" i="23"/>
  <c r="AK89" i="23"/>
  <c r="AH89" i="23"/>
  <c r="AI89" i="23"/>
  <c r="AM121" i="23"/>
  <c r="AN121" i="23"/>
  <c r="AI121" i="23"/>
  <c r="AJ121" i="23"/>
  <c r="AL121" i="23"/>
  <c r="AH121" i="23"/>
  <c r="AK121" i="23"/>
  <c r="AI60" i="23"/>
  <c r="AH60" i="23"/>
  <c r="AJ60" i="23"/>
  <c r="AK60" i="23"/>
  <c r="AL60" i="23"/>
  <c r="AJ61" i="23"/>
  <c r="AK61" i="23"/>
  <c r="AH61" i="23"/>
  <c r="AL61" i="23"/>
  <c r="AI61" i="23"/>
  <c r="AM136" i="23"/>
  <c r="AM96" i="23"/>
  <c r="AN96" i="23"/>
  <c r="AL96" i="23"/>
  <c r="AH96" i="23"/>
  <c r="AI96" i="23"/>
  <c r="AJ96" i="23"/>
  <c r="AK96" i="23"/>
  <c r="AM128" i="23"/>
  <c r="AN128" i="23"/>
  <c r="AH128" i="23"/>
  <c r="AI128" i="23"/>
  <c r="AJ128" i="23"/>
  <c r="AK128" i="23"/>
  <c r="AL128" i="23"/>
  <c r="AI64" i="23"/>
  <c r="AJ64" i="23"/>
  <c r="AL64" i="23"/>
  <c r="AH64" i="23"/>
  <c r="AK64" i="23"/>
  <c r="AM95" i="23"/>
  <c r="AN95" i="23"/>
  <c r="AI95" i="23"/>
  <c r="AH95" i="23"/>
  <c r="AJ95" i="23"/>
  <c r="AL95" i="23"/>
  <c r="AK95" i="23"/>
  <c r="AM127" i="23"/>
  <c r="AN127" i="23"/>
  <c r="AL127" i="23"/>
  <c r="AH127" i="23"/>
  <c r="AI127" i="23"/>
  <c r="AJ127" i="23"/>
  <c r="AK127" i="23"/>
  <c r="AL65" i="23"/>
  <c r="AJ65" i="23"/>
  <c r="AK65" i="23"/>
  <c r="AH65" i="23"/>
  <c r="AI65" i="23"/>
  <c r="AM94" i="23"/>
  <c r="AN94" i="23"/>
  <c r="AJ94" i="23"/>
  <c r="AK94" i="23"/>
  <c r="AL94" i="23"/>
  <c r="AH94" i="23"/>
  <c r="AI94" i="23"/>
  <c r="AM126" i="23"/>
  <c r="AN126" i="23"/>
  <c r="AI126" i="23"/>
  <c r="AJ126" i="23"/>
  <c r="AH126" i="23"/>
  <c r="AL126" i="23"/>
  <c r="AK126" i="23"/>
  <c r="AK58" i="23"/>
  <c r="AJ58" i="23"/>
  <c r="AH58" i="23"/>
  <c r="AI58" i="23"/>
  <c r="AL58" i="23"/>
  <c r="AG70" i="23"/>
  <c r="G10" i="23"/>
  <c r="I10" i="23" s="1"/>
  <c r="G53" i="1" s="1"/>
  <c r="F23" i="11" s="1"/>
  <c r="AM101" i="23"/>
  <c r="AN101" i="23"/>
  <c r="AH101" i="23"/>
  <c r="AK101" i="23"/>
  <c r="AI101" i="23"/>
  <c r="AL101" i="23"/>
  <c r="AJ101" i="23"/>
  <c r="AM133" i="23"/>
  <c r="AN133" i="23"/>
  <c r="AH133" i="23"/>
  <c r="AI133" i="23"/>
  <c r="AJ133" i="23"/>
  <c r="AL133" i="23"/>
  <c r="AK133" i="23"/>
  <c r="AM76" i="23"/>
  <c r="AN76" i="23"/>
  <c r="AI76" i="23"/>
  <c r="AJ76" i="23"/>
  <c r="AL76" i="23"/>
  <c r="AH76" i="23"/>
  <c r="AK76" i="23"/>
  <c r="AM75" i="23"/>
  <c r="AN75" i="23"/>
  <c r="AJ75" i="23"/>
  <c r="AK75" i="23"/>
  <c r="AH75" i="23"/>
  <c r="AI75" i="23"/>
  <c r="AL75" i="23"/>
  <c r="AH45" i="23"/>
  <c r="AK45" i="23"/>
  <c r="AJ45" i="23"/>
  <c r="AI45" i="23"/>
  <c r="AL45" i="23"/>
  <c r="AM113" i="23"/>
  <c r="AN113" i="23"/>
  <c r="AI113" i="23"/>
  <c r="AJ113" i="23"/>
  <c r="AH113" i="23"/>
  <c r="AL113" i="23"/>
  <c r="AK113" i="23"/>
  <c r="AM84" i="23"/>
  <c r="AN84" i="23"/>
  <c r="AI84" i="23"/>
  <c r="AJ84" i="23"/>
  <c r="AL84" i="23"/>
  <c r="AH84" i="23"/>
  <c r="AK84" i="23"/>
  <c r="AL52" i="23"/>
  <c r="AH52" i="23"/>
  <c r="AK52" i="23"/>
  <c r="AI52" i="23"/>
  <c r="AJ52" i="23"/>
  <c r="AM114" i="23"/>
  <c r="AN114" i="23"/>
  <c r="AJ114" i="23"/>
  <c r="AL114" i="23"/>
  <c r="AK114" i="23"/>
  <c r="AH114" i="23"/>
  <c r="AI114" i="23"/>
  <c r="AL46" i="23"/>
  <c r="AK46" i="23"/>
  <c r="AI46" i="23"/>
  <c r="AJ46" i="23"/>
  <c r="AH46" i="23"/>
  <c r="AM92" i="23"/>
  <c r="AN92" i="23"/>
  <c r="AJ92" i="23"/>
  <c r="AL92" i="23"/>
  <c r="AH92" i="23"/>
  <c r="AK92" i="23"/>
  <c r="AI92" i="23"/>
  <c r="AM90" i="23"/>
  <c r="AN90" i="23"/>
  <c r="AI90" i="23"/>
  <c r="AH90" i="23"/>
  <c r="AJ90" i="23"/>
  <c r="AL90" i="23"/>
  <c r="AK90" i="23"/>
  <c r="AM100" i="23"/>
  <c r="AN100" i="23"/>
  <c r="AI100" i="23"/>
  <c r="AJ100" i="23"/>
  <c r="AL100" i="23"/>
  <c r="AH100" i="23"/>
  <c r="AK100" i="23"/>
  <c r="AM132" i="23"/>
  <c r="AN132" i="23"/>
  <c r="AH132" i="23"/>
  <c r="AI132" i="23"/>
  <c r="AK132" i="23"/>
  <c r="AJ132" i="23"/>
  <c r="AL132" i="23"/>
  <c r="AI68" i="23"/>
  <c r="AL68" i="23"/>
  <c r="AK68" i="23"/>
  <c r="AJ68" i="23"/>
  <c r="AH68" i="23"/>
  <c r="AN99" i="23"/>
  <c r="AM99" i="23"/>
  <c r="AJ99" i="23"/>
  <c r="AH99" i="23"/>
  <c r="AI99" i="23"/>
  <c r="AL99" i="23"/>
  <c r="AK99" i="23"/>
  <c r="AM131" i="23"/>
  <c r="AN131" i="23"/>
  <c r="AL131" i="23"/>
  <c r="AJ131" i="23"/>
  <c r="AI131" i="23"/>
  <c r="AH131" i="23"/>
  <c r="AK131" i="23"/>
  <c r="AL69" i="23"/>
  <c r="AK69" i="23"/>
  <c r="AJ69" i="23"/>
  <c r="AI69" i="23"/>
  <c r="AH69" i="23"/>
  <c r="AM98" i="23"/>
  <c r="AN98" i="23"/>
  <c r="AL98" i="23"/>
  <c r="AH98" i="23"/>
  <c r="AI98" i="23"/>
  <c r="AJ98" i="23"/>
  <c r="AK98" i="23"/>
  <c r="AM130" i="23"/>
  <c r="AN130" i="23"/>
  <c r="AJ130" i="23"/>
  <c r="AI130" i="23"/>
  <c r="AL130" i="23"/>
  <c r="AH130" i="23"/>
  <c r="AK130" i="23"/>
  <c r="AL62" i="23"/>
  <c r="AI62" i="23"/>
  <c r="AJ62" i="23"/>
  <c r="AK62" i="23"/>
  <c r="AH62" i="23"/>
  <c r="AM105" i="23"/>
  <c r="AN105" i="23"/>
  <c r="AH105" i="23"/>
  <c r="AI105" i="23"/>
  <c r="AJ105" i="23"/>
  <c r="AL105" i="23"/>
  <c r="AK105" i="23"/>
  <c r="AN104" i="23"/>
  <c r="AM104" i="23"/>
  <c r="AL104" i="23"/>
  <c r="AH104" i="23"/>
  <c r="AJ104" i="23"/>
  <c r="AI104" i="23"/>
  <c r="AK104" i="23"/>
  <c r="AM71" i="23"/>
  <c r="AN71" i="23"/>
  <c r="AI71" i="23"/>
  <c r="AH71" i="23"/>
  <c r="AL71" i="23"/>
  <c r="AJ71" i="23"/>
  <c r="AK71" i="23"/>
  <c r="AM103" i="23"/>
  <c r="AN103" i="23"/>
  <c r="AJ103" i="23"/>
  <c r="AK103" i="23"/>
  <c r="AI103" i="23"/>
  <c r="AH103" i="23"/>
  <c r="AL103" i="23"/>
  <c r="AM135" i="23"/>
  <c r="AN135" i="23"/>
  <c r="AI135" i="23"/>
  <c r="AJ135" i="23"/>
  <c r="AL135" i="23"/>
  <c r="AH135" i="23"/>
  <c r="AN72" i="23"/>
  <c r="AM72" i="23"/>
  <c r="AI72" i="23"/>
  <c r="AL72" i="23"/>
  <c r="AJ72" i="23"/>
  <c r="AK72" i="23"/>
  <c r="AH72" i="23"/>
  <c r="AN102" i="23"/>
  <c r="AM102" i="23"/>
  <c r="AK102" i="23"/>
  <c r="AJ102" i="23"/>
  <c r="AH102" i="23"/>
  <c r="AL102" i="23"/>
  <c r="AI102" i="23"/>
  <c r="AM134" i="23"/>
  <c r="AN134" i="23"/>
  <c r="AI134" i="23"/>
  <c r="AH134" i="23"/>
  <c r="AJ134" i="23"/>
  <c r="AL134" i="23"/>
  <c r="AK134" i="23"/>
  <c r="AK66" i="23"/>
  <c r="AI66" i="23"/>
  <c r="AJ66" i="23"/>
  <c r="AL66" i="23"/>
  <c r="AH66" i="23"/>
  <c r="AM77" i="23"/>
  <c r="AN77" i="23"/>
  <c r="AI77" i="23"/>
  <c r="AJ77" i="23"/>
  <c r="AL77" i="23"/>
  <c r="AH77" i="23"/>
  <c r="AK77" i="23"/>
  <c r="AM109" i="23"/>
  <c r="AN109" i="23"/>
  <c r="AI109" i="23"/>
  <c r="AJ109" i="23"/>
  <c r="AL109" i="23"/>
  <c r="AH109" i="23"/>
  <c r="AK109" i="23"/>
  <c r="AK135" i="23"/>
  <c r="AM92" i="22"/>
  <c r="AN92" i="22"/>
  <c r="AH92" i="22"/>
  <c r="AJ92" i="22"/>
  <c r="AI92" i="22"/>
  <c r="AL92" i="22"/>
  <c r="AK92" i="22"/>
  <c r="AM81" i="22"/>
  <c r="AN81" i="22"/>
  <c r="AH81" i="22"/>
  <c r="AI81" i="22"/>
  <c r="AJ81" i="22"/>
  <c r="AL81" i="22"/>
  <c r="AK81" i="22"/>
  <c r="AM96" i="22"/>
  <c r="AN96" i="22"/>
  <c r="AH96" i="22"/>
  <c r="AI96" i="22"/>
  <c r="AJ96" i="22"/>
  <c r="AL96" i="22"/>
  <c r="AK96" i="22"/>
  <c r="AM111" i="22"/>
  <c r="AN111" i="22"/>
  <c r="AI111" i="22"/>
  <c r="AJ111" i="22"/>
  <c r="AL111" i="22"/>
  <c r="AK111" i="22"/>
  <c r="AH111" i="22"/>
  <c r="AM86" i="22"/>
  <c r="AN86" i="22"/>
  <c r="AL86" i="22"/>
  <c r="AJ86" i="22"/>
  <c r="AI86" i="22"/>
  <c r="AK86" i="22"/>
  <c r="AH86" i="22"/>
  <c r="AM85" i="22"/>
  <c r="AN85" i="22"/>
  <c r="AI85" i="22"/>
  <c r="AH85" i="22"/>
  <c r="AL85" i="22"/>
  <c r="AJ85" i="22"/>
  <c r="AK85" i="22"/>
  <c r="AL61" i="22"/>
  <c r="AJ61" i="22"/>
  <c r="AK61" i="22"/>
  <c r="AI61" i="22"/>
  <c r="AH61" i="22"/>
  <c r="AM115" i="22"/>
  <c r="AN115" i="22"/>
  <c r="AL115" i="22"/>
  <c r="AJ115" i="22"/>
  <c r="AH115" i="22"/>
  <c r="AI115" i="22"/>
  <c r="AK115" i="22"/>
  <c r="AL55" i="22"/>
  <c r="AK55" i="22"/>
  <c r="AJ55" i="22"/>
  <c r="AI55" i="22"/>
  <c r="AH55" i="22"/>
  <c r="AJ60" i="22"/>
  <c r="AI60" i="22"/>
  <c r="AH60" i="22"/>
  <c r="AL60" i="22"/>
  <c r="AK60" i="22"/>
  <c r="AJ69" i="22"/>
  <c r="AK69" i="22"/>
  <c r="AL69" i="22"/>
  <c r="AI69" i="22"/>
  <c r="AH69" i="22"/>
  <c r="AM119" i="22"/>
  <c r="AN119" i="22"/>
  <c r="AI119" i="22"/>
  <c r="AL119" i="22"/>
  <c r="AH119" i="22"/>
  <c r="AJ119" i="22"/>
  <c r="AK119" i="22"/>
  <c r="AL59" i="22"/>
  <c r="AJ59" i="22"/>
  <c r="AI59" i="22"/>
  <c r="AK59" i="22"/>
  <c r="AH59" i="22"/>
  <c r="AM125" i="22"/>
  <c r="AN125" i="22"/>
  <c r="AK125" i="22"/>
  <c r="AH125" i="22"/>
  <c r="AI125" i="22"/>
  <c r="AJ125" i="22"/>
  <c r="AL125" i="22"/>
  <c r="AM108" i="22"/>
  <c r="AN108" i="22"/>
  <c r="AI108" i="22"/>
  <c r="AJ108" i="22"/>
  <c r="AL108" i="22"/>
  <c r="AH108" i="22"/>
  <c r="AK108" i="22"/>
  <c r="AH45" i="22"/>
  <c r="AK45" i="22"/>
  <c r="AJ45" i="22"/>
  <c r="AL45" i="22"/>
  <c r="AI45" i="22"/>
  <c r="AM130" i="22"/>
  <c r="AN130" i="22"/>
  <c r="AI130" i="22"/>
  <c r="AH130" i="22"/>
  <c r="AL130" i="22"/>
  <c r="AJ130" i="22"/>
  <c r="AK130" i="22"/>
  <c r="AJ68" i="22"/>
  <c r="AI68" i="22"/>
  <c r="AH68" i="22"/>
  <c r="AK68" i="22"/>
  <c r="AL68" i="22"/>
  <c r="AM97" i="22"/>
  <c r="AN97" i="22"/>
  <c r="AH97" i="22"/>
  <c r="AI97" i="22"/>
  <c r="AJ97" i="22"/>
  <c r="AL97" i="22"/>
  <c r="AK97" i="22"/>
  <c r="AM129" i="22"/>
  <c r="AN129" i="22"/>
  <c r="AI129" i="22"/>
  <c r="AH129" i="22"/>
  <c r="AJ129" i="22"/>
  <c r="AL129" i="22"/>
  <c r="AK129" i="22"/>
  <c r="AM80" i="22"/>
  <c r="AN80" i="22"/>
  <c r="AH80" i="22"/>
  <c r="AI80" i="22"/>
  <c r="AJ80" i="22"/>
  <c r="AL80" i="22"/>
  <c r="AK80" i="22"/>
  <c r="AM112" i="22"/>
  <c r="AN112" i="22"/>
  <c r="AH112" i="22"/>
  <c r="AJ112" i="22"/>
  <c r="AI112" i="22"/>
  <c r="AL112" i="22"/>
  <c r="AK112" i="22"/>
  <c r="AL46" i="22"/>
  <c r="AI46" i="22"/>
  <c r="AK46" i="22"/>
  <c r="AH46" i="22"/>
  <c r="AJ46" i="22"/>
  <c r="AJ57" i="22"/>
  <c r="AL57" i="22"/>
  <c r="AH57" i="22"/>
  <c r="AK57" i="22"/>
  <c r="AI57" i="22"/>
  <c r="AM95" i="22"/>
  <c r="AN95" i="22"/>
  <c r="AL95" i="22"/>
  <c r="AI95" i="22"/>
  <c r="AJ95" i="22"/>
  <c r="AH95" i="22"/>
  <c r="AK95" i="22"/>
  <c r="AM127" i="22"/>
  <c r="AN127" i="22"/>
  <c r="AI127" i="22"/>
  <c r="AJ127" i="22"/>
  <c r="AL127" i="22"/>
  <c r="AH127" i="22"/>
  <c r="AK127" i="22"/>
  <c r="AJ67" i="22"/>
  <c r="AK67" i="22"/>
  <c r="AI67" i="22"/>
  <c r="AL67" i="22"/>
  <c r="AH67" i="22"/>
  <c r="AM102" i="22"/>
  <c r="AN102" i="22"/>
  <c r="AJ102" i="22"/>
  <c r="AL102" i="22"/>
  <c r="AH102" i="22"/>
  <c r="AI102" i="22"/>
  <c r="AK102" i="22"/>
  <c r="AM134" i="22"/>
  <c r="AN134" i="22"/>
  <c r="AK134" i="22"/>
  <c r="AH134" i="22"/>
  <c r="AI134" i="22"/>
  <c r="AJ134" i="22"/>
  <c r="AL134" i="22"/>
  <c r="AN77" i="22"/>
  <c r="AM77" i="22"/>
  <c r="AH77" i="22"/>
  <c r="AJ77" i="22"/>
  <c r="AL77" i="22"/>
  <c r="AI77" i="22"/>
  <c r="AK77" i="22"/>
  <c r="AM124" i="22"/>
  <c r="AN124" i="22"/>
  <c r="AI124" i="22"/>
  <c r="AH124" i="22"/>
  <c r="AJ124" i="22"/>
  <c r="AL124" i="22"/>
  <c r="AK124" i="22"/>
  <c r="AJ58" i="22"/>
  <c r="AK58" i="22"/>
  <c r="AI58" i="22"/>
  <c r="AH58" i="22"/>
  <c r="AL58" i="22"/>
  <c r="AL47" i="22"/>
  <c r="AH47" i="22"/>
  <c r="AK47" i="22"/>
  <c r="AI47" i="22"/>
  <c r="AJ47" i="22"/>
  <c r="AH52" i="22"/>
  <c r="AJ52" i="22"/>
  <c r="AI52" i="22"/>
  <c r="AK52" i="22"/>
  <c r="AL52" i="22"/>
  <c r="AL49" i="22"/>
  <c r="AI49" i="22"/>
  <c r="AK49" i="22"/>
  <c r="AH49" i="22"/>
  <c r="AJ49" i="22"/>
  <c r="AK62" i="22"/>
  <c r="AH62" i="22"/>
  <c r="AL62" i="22"/>
  <c r="AI62" i="22"/>
  <c r="AJ62" i="22"/>
  <c r="AJ56" i="22"/>
  <c r="AL56" i="22"/>
  <c r="AH56" i="22"/>
  <c r="AK56" i="22"/>
  <c r="AI56" i="22"/>
  <c r="AM132" i="22"/>
  <c r="AN132" i="22"/>
  <c r="AH132" i="22"/>
  <c r="AJ132" i="22"/>
  <c r="AL132" i="22"/>
  <c r="AI132" i="22"/>
  <c r="AK132" i="22"/>
  <c r="AM83" i="22"/>
  <c r="AN83" i="22"/>
  <c r="AJ83" i="22"/>
  <c r="AH83" i="22"/>
  <c r="AI83" i="22"/>
  <c r="AL83" i="22"/>
  <c r="AK83" i="22"/>
  <c r="AM122" i="22"/>
  <c r="AN122" i="22"/>
  <c r="AL122" i="22"/>
  <c r="AI122" i="22"/>
  <c r="AJ122" i="22"/>
  <c r="AH122" i="22"/>
  <c r="AK122" i="22"/>
  <c r="AM121" i="22"/>
  <c r="AN121" i="22"/>
  <c r="AJ121" i="22"/>
  <c r="AI121" i="22"/>
  <c r="AL121" i="22"/>
  <c r="AH121" i="22"/>
  <c r="AK121" i="22"/>
  <c r="AM104" i="22"/>
  <c r="AN104" i="22"/>
  <c r="AI104" i="22"/>
  <c r="AJ104" i="22"/>
  <c r="AL104" i="22"/>
  <c r="AK104" i="22"/>
  <c r="AH104" i="22"/>
  <c r="AM87" i="22"/>
  <c r="AN87" i="22"/>
  <c r="AH87" i="22"/>
  <c r="AJ87" i="22"/>
  <c r="AI87" i="22"/>
  <c r="AL87" i="22"/>
  <c r="AK87" i="22"/>
  <c r="AN126" i="22"/>
  <c r="AM126" i="22"/>
  <c r="AJ126" i="22"/>
  <c r="AK126" i="22"/>
  <c r="AH126" i="22"/>
  <c r="AL126" i="22"/>
  <c r="AI126" i="22"/>
  <c r="AJ64" i="22"/>
  <c r="AI64" i="22"/>
  <c r="AK64" i="22"/>
  <c r="AL64" i="22"/>
  <c r="AH64" i="22"/>
  <c r="AM91" i="22"/>
  <c r="AN91" i="22"/>
  <c r="AI91" i="22"/>
  <c r="AL91" i="22"/>
  <c r="AK91" i="22"/>
  <c r="AH91" i="22"/>
  <c r="AJ91" i="22"/>
  <c r="AM98" i="22"/>
  <c r="AN98" i="22"/>
  <c r="AH98" i="22"/>
  <c r="AI98" i="22"/>
  <c r="AJ98" i="22"/>
  <c r="AL98" i="22"/>
  <c r="AK98" i="22"/>
  <c r="AN71" i="22"/>
  <c r="AM71" i="22"/>
  <c r="AJ71" i="22"/>
  <c r="AL71" i="22"/>
  <c r="AI71" i="22"/>
  <c r="AH71" i="22"/>
  <c r="AK71" i="22"/>
  <c r="AM101" i="22"/>
  <c r="AN101" i="22"/>
  <c r="AH101" i="22"/>
  <c r="AI101" i="22"/>
  <c r="AL101" i="22"/>
  <c r="AJ101" i="22"/>
  <c r="AK101" i="22"/>
  <c r="AM133" i="22"/>
  <c r="AN133" i="22"/>
  <c r="AH133" i="22"/>
  <c r="AI133" i="22"/>
  <c r="AJ133" i="22"/>
  <c r="AL133" i="22"/>
  <c r="AK133" i="22"/>
  <c r="AM84" i="22"/>
  <c r="AN84" i="22"/>
  <c r="AH84" i="22"/>
  <c r="AJ84" i="22"/>
  <c r="AL84" i="22"/>
  <c r="AI84" i="22"/>
  <c r="AK84" i="22"/>
  <c r="AM116" i="22"/>
  <c r="AN116" i="22"/>
  <c r="AH116" i="22"/>
  <c r="AI116" i="22"/>
  <c r="AJ116" i="22"/>
  <c r="AL116" i="22"/>
  <c r="AK116" i="22"/>
  <c r="AK50" i="22"/>
  <c r="AH50" i="22"/>
  <c r="AJ50" i="22"/>
  <c r="AI50" i="22"/>
  <c r="AL50" i="22"/>
  <c r="AJ65" i="22"/>
  <c r="AL65" i="22"/>
  <c r="AI65" i="22"/>
  <c r="AK65" i="22"/>
  <c r="AH65" i="22"/>
  <c r="AN99" i="22"/>
  <c r="AM99" i="22"/>
  <c r="AH99" i="22"/>
  <c r="AL99" i="22"/>
  <c r="AJ99" i="22"/>
  <c r="AI99" i="22"/>
  <c r="AK99" i="22"/>
  <c r="AM131" i="22"/>
  <c r="AN131" i="22"/>
  <c r="AL131" i="22"/>
  <c r="AI131" i="22"/>
  <c r="AJ131" i="22"/>
  <c r="AH131" i="22"/>
  <c r="AK131" i="22"/>
  <c r="AM74" i="22"/>
  <c r="AN74" i="22"/>
  <c r="AH74" i="22"/>
  <c r="AL74" i="22"/>
  <c r="AK74" i="22"/>
  <c r="AI74" i="22"/>
  <c r="AJ74" i="22"/>
  <c r="AM106" i="22"/>
  <c r="AN106" i="22"/>
  <c r="AH106" i="22"/>
  <c r="AJ106" i="22"/>
  <c r="AI106" i="22"/>
  <c r="AL106" i="22"/>
  <c r="AK106" i="22"/>
  <c r="AL48" i="22"/>
  <c r="AH48" i="22"/>
  <c r="AK48" i="22"/>
  <c r="AJ48" i="22"/>
  <c r="AI48" i="22"/>
  <c r="AM109" i="22"/>
  <c r="AN109" i="22"/>
  <c r="AL109" i="22"/>
  <c r="AH109" i="22"/>
  <c r="AI109" i="22"/>
  <c r="AJ109" i="22"/>
  <c r="AK109" i="22"/>
  <c r="AM72" i="22"/>
  <c r="AN72" i="22"/>
  <c r="AL72" i="22"/>
  <c r="AH72" i="22"/>
  <c r="AJ72" i="22"/>
  <c r="AI72" i="22"/>
  <c r="AK72" i="22"/>
  <c r="AM75" i="22"/>
  <c r="AN75" i="22"/>
  <c r="AH75" i="22"/>
  <c r="AI75" i="22"/>
  <c r="AL75" i="22"/>
  <c r="AJ75" i="22"/>
  <c r="AK75" i="22"/>
  <c r="AM107" i="22"/>
  <c r="AN107" i="22"/>
  <c r="AH107" i="22"/>
  <c r="AL107" i="22"/>
  <c r="AI107" i="22"/>
  <c r="AJ107" i="22"/>
  <c r="AK107" i="22"/>
  <c r="AM82" i="22"/>
  <c r="AN82" i="22"/>
  <c r="AH82" i="22"/>
  <c r="AJ82" i="22"/>
  <c r="AI82" i="22"/>
  <c r="AL82" i="22"/>
  <c r="AK82" i="22"/>
  <c r="AM114" i="22"/>
  <c r="AN114" i="22"/>
  <c r="AH114" i="22"/>
  <c r="AI114" i="22"/>
  <c r="AJ114" i="22"/>
  <c r="AL114" i="22"/>
  <c r="AK114" i="22"/>
  <c r="AM113" i="22"/>
  <c r="AN113" i="22"/>
  <c r="AH113" i="22"/>
  <c r="AL113" i="22"/>
  <c r="AI113" i="22"/>
  <c r="AJ113" i="22"/>
  <c r="AK113" i="22"/>
  <c r="AM128" i="22"/>
  <c r="AN128" i="22"/>
  <c r="AJ128" i="22"/>
  <c r="AI128" i="22"/>
  <c r="AH128" i="22"/>
  <c r="AL128" i="22"/>
  <c r="AK128" i="22"/>
  <c r="AM79" i="22"/>
  <c r="AN79" i="22"/>
  <c r="AI79" i="22"/>
  <c r="AJ79" i="22"/>
  <c r="AH79" i="22"/>
  <c r="AL79" i="22"/>
  <c r="AK79" i="22"/>
  <c r="AL51" i="22"/>
  <c r="AH51" i="22"/>
  <c r="AK51" i="22"/>
  <c r="AJ51" i="22"/>
  <c r="AI51" i="22"/>
  <c r="AM118" i="22"/>
  <c r="AN118" i="22"/>
  <c r="AH118" i="22"/>
  <c r="AI118" i="22"/>
  <c r="AJ118" i="22"/>
  <c r="AL118" i="22"/>
  <c r="AK118" i="22"/>
  <c r="AM117" i="22"/>
  <c r="AN117" i="22"/>
  <c r="AH117" i="22"/>
  <c r="AJ117" i="22"/>
  <c r="AL117" i="22"/>
  <c r="AI117" i="22"/>
  <c r="AK117" i="22"/>
  <c r="AM100" i="22"/>
  <c r="AN100" i="22"/>
  <c r="AL100" i="22"/>
  <c r="AH100" i="22"/>
  <c r="AI100" i="22"/>
  <c r="AJ100" i="22"/>
  <c r="AK100" i="22"/>
  <c r="AI66" i="22"/>
  <c r="AL66" i="22"/>
  <c r="AJ66" i="22"/>
  <c r="AK66" i="22"/>
  <c r="AH66" i="22"/>
  <c r="AM90" i="22"/>
  <c r="AN90" i="22"/>
  <c r="AI90" i="22"/>
  <c r="AJ90" i="22"/>
  <c r="AL90" i="22"/>
  <c r="AH90" i="22"/>
  <c r="AK90" i="22"/>
  <c r="AM89" i="22"/>
  <c r="AN89" i="22"/>
  <c r="AI89" i="22"/>
  <c r="AK89" i="22"/>
  <c r="AL89" i="22"/>
  <c r="AH89" i="22"/>
  <c r="AJ89" i="22"/>
  <c r="AG70" i="22"/>
  <c r="G10" i="22"/>
  <c r="I10" i="22" s="1"/>
  <c r="F53" i="1" s="1"/>
  <c r="E23" i="11" s="1"/>
  <c r="AM94" i="22"/>
  <c r="AN94" i="22"/>
  <c r="AL94" i="22"/>
  <c r="AH94" i="22"/>
  <c r="AJ94" i="22"/>
  <c r="AI94" i="22"/>
  <c r="AK94" i="22"/>
  <c r="AJ136" i="22"/>
  <c r="AM93" i="22"/>
  <c r="AN93" i="22"/>
  <c r="AJ93" i="22"/>
  <c r="AL93" i="22"/>
  <c r="AH93" i="22"/>
  <c r="AI93" i="22"/>
  <c r="AK93" i="22"/>
  <c r="AN76" i="22"/>
  <c r="AM76" i="22"/>
  <c r="AI76" i="22"/>
  <c r="AK76" i="22"/>
  <c r="AH76" i="22"/>
  <c r="AL76" i="22"/>
  <c r="AJ76" i="22"/>
  <c r="AL53" i="22"/>
  <c r="AJ53" i="22"/>
  <c r="AK53" i="22"/>
  <c r="AI53" i="22"/>
  <c r="AH53" i="22"/>
  <c r="AM123" i="22"/>
  <c r="AN123" i="22"/>
  <c r="AI123" i="22"/>
  <c r="AL123" i="22"/>
  <c r="AH123" i="22"/>
  <c r="AJ123" i="22"/>
  <c r="AK123" i="22"/>
  <c r="AL63" i="22"/>
  <c r="AK63" i="22"/>
  <c r="AJ63" i="22"/>
  <c r="AH63" i="22"/>
  <c r="AI63" i="22"/>
  <c r="AN136" i="22"/>
  <c r="AC136" i="22"/>
  <c r="AK136" i="22" s="1"/>
  <c r="AL136" i="22"/>
  <c r="AM73" i="22"/>
  <c r="AN73" i="22"/>
  <c r="AJ73" i="22"/>
  <c r="AI73" i="22"/>
  <c r="AL73" i="22"/>
  <c r="AH73" i="22"/>
  <c r="AK73" i="22"/>
  <c r="AM105" i="22"/>
  <c r="AN105" i="22"/>
  <c r="AH105" i="22"/>
  <c r="AI105" i="22"/>
  <c r="AJ105" i="22"/>
  <c r="AK105" i="22"/>
  <c r="AL105" i="22"/>
  <c r="AN88" i="22"/>
  <c r="AM88" i="22"/>
  <c r="AH88" i="22"/>
  <c r="AI88" i="22"/>
  <c r="AJ88" i="22"/>
  <c r="AL88" i="22"/>
  <c r="AK88" i="22"/>
  <c r="AM120" i="22"/>
  <c r="AN120" i="22"/>
  <c r="AH120" i="22"/>
  <c r="AJ120" i="22"/>
  <c r="AK120" i="22"/>
  <c r="AI120" i="22"/>
  <c r="AL120" i="22"/>
  <c r="AH54" i="22"/>
  <c r="AL54" i="22"/>
  <c r="AJ54" i="22"/>
  <c r="AK54" i="22"/>
  <c r="AI54" i="22"/>
  <c r="AM103" i="22"/>
  <c r="AN103" i="22"/>
  <c r="AJ103" i="22"/>
  <c r="AL103" i="22"/>
  <c r="AH103" i="22"/>
  <c r="AI103" i="22"/>
  <c r="AK103" i="22"/>
  <c r="AM135" i="22"/>
  <c r="AN135" i="22"/>
  <c r="AH135" i="22"/>
  <c r="AI135" i="22"/>
  <c r="AJ135" i="22"/>
  <c r="AL135" i="22"/>
  <c r="AK135" i="22"/>
  <c r="AM78" i="22"/>
  <c r="AN78" i="22"/>
  <c r="AH78" i="22"/>
  <c r="AL78" i="22"/>
  <c r="AJ78" i="22"/>
  <c r="AI78" i="22"/>
  <c r="AK78" i="22"/>
  <c r="AM110" i="22"/>
  <c r="AN110" i="22"/>
  <c r="AH110" i="22"/>
  <c r="AI110" i="22"/>
  <c r="AJ110" i="22"/>
  <c r="AL110" i="22"/>
  <c r="AK110" i="22"/>
  <c r="AJ60" i="21"/>
  <c r="AH60" i="21"/>
  <c r="AK60" i="21"/>
  <c r="AL60" i="21"/>
  <c r="AI60" i="21"/>
  <c r="AJ46" i="21"/>
  <c r="AK46" i="21"/>
  <c r="AI46" i="21"/>
  <c r="AH46" i="21"/>
  <c r="AL46" i="21"/>
  <c r="AM92" i="21"/>
  <c r="AN92" i="21"/>
  <c r="AL92" i="21"/>
  <c r="AH92" i="21"/>
  <c r="AI92" i="21"/>
  <c r="AJ92" i="21"/>
  <c r="AK92" i="21"/>
  <c r="AM91" i="21"/>
  <c r="AN91" i="21"/>
  <c r="AH91" i="21"/>
  <c r="AJ91" i="21"/>
  <c r="AK91" i="21"/>
  <c r="AI91" i="21"/>
  <c r="AL91" i="21"/>
  <c r="AK53" i="21"/>
  <c r="AJ53" i="21"/>
  <c r="AL53" i="21"/>
  <c r="AH53" i="21"/>
  <c r="AI53" i="21"/>
  <c r="AI55" i="21"/>
  <c r="AL55" i="21"/>
  <c r="AH55" i="21"/>
  <c r="AJ55" i="21"/>
  <c r="AK55" i="21"/>
  <c r="AM127" i="21"/>
  <c r="AN127" i="21"/>
  <c r="AL127" i="21"/>
  <c r="AJ127" i="21"/>
  <c r="AH127" i="21"/>
  <c r="AI127" i="21"/>
  <c r="AK127" i="21"/>
  <c r="AJ57" i="21"/>
  <c r="AK57" i="21"/>
  <c r="AH57" i="21"/>
  <c r="AI57" i="21"/>
  <c r="AL57" i="21"/>
  <c r="AM122" i="21"/>
  <c r="AN122" i="21"/>
  <c r="AH122" i="21"/>
  <c r="AI122" i="21"/>
  <c r="AJ122" i="21"/>
  <c r="AK122" i="21"/>
  <c r="AL122" i="21"/>
  <c r="AJ50" i="21"/>
  <c r="AL50" i="21"/>
  <c r="AI50" i="21"/>
  <c r="AK50" i="21"/>
  <c r="AH50" i="21"/>
  <c r="AM81" i="21"/>
  <c r="AN81" i="21"/>
  <c r="AH81" i="21"/>
  <c r="AJ81" i="21"/>
  <c r="AI81" i="21"/>
  <c r="AL81" i="21"/>
  <c r="AK81" i="21"/>
  <c r="AM113" i="21"/>
  <c r="AN113" i="21"/>
  <c r="AJ113" i="21"/>
  <c r="AI113" i="21"/>
  <c r="AH113" i="21"/>
  <c r="AL113" i="21"/>
  <c r="AK113" i="21"/>
  <c r="AH61" i="21"/>
  <c r="AK61" i="21"/>
  <c r="AJ61" i="21"/>
  <c r="AL61" i="21"/>
  <c r="AI61" i="21"/>
  <c r="AM118" i="21"/>
  <c r="AN118" i="21"/>
  <c r="AL118" i="21"/>
  <c r="AH118" i="21"/>
  <c r="AJ118" i="21"/>
  <c r="AI118" i="21"/>
  <c r="AK118" i="21"/>
  <c r="AM77" i="21"/>
  <c r="AN77" i="21"/>
  <c r="AK77" i="21"/>
  <c r="AL77" i="21"/>
  <c r="AI77" i="21"/>
  <c r="AJ77" i="21"/>
  <c r="AH77" i="21"/>
  <c r="AM96" i="21"/>
  <c r="AN96" i="21"/>
  <c r="AL96" i="21"/>
  <c r="AH96" i="21"/>
  <c r="AI96" i="21"/>
  <c r="AJ96" i="21"/>
  <c r="AK96" i="21"/>
  <c r="AI64" i="21"/>
  <c r="AH64" i="21"/>
  <c r="AL64" i="21"/>
  <c r="AK64" i="21"/>
  <c r="AJ64" i="21"/>
  <c r="AM100" i="21"/>
  <c r="AN100" i="21"/>
  <c r="AH100" i="21"/>
  <c r="AL100" i="21"/>
  <c r="AJ100" i="21"/>
  <c r="AI100" i="21"/>
  <c r="AK100" i="21"/>
  <c r="AJ68" i="21"/>
  <c r="AI68" i="21"/>
  <c r="AH68" i="21"/>
  <c r="AL68" i="21"/>
  <c r="AK68" i="21"/>
  <c r="AM131" i="21"/>
  <c r="AN131" i="21"/>
  <c r="AK131" i="21"/>
  <c r="AL131" i="21"/>
  <c r="AI131" i="21"/>
  <c r="AH131" i="21"/>
  <c r="AJ131" i="21"/>
  <c r="AM94" i="21"/>
  <c r="AN94" i="21"/>
  <c r="AL94" i="21"/>
  <c r="AJ94" i="21"/>
  <c r="AH94" i="21"/>
  <c r="AI94" i="21"/>
  <c r="AK94" i="21"/>
  <c r="AL54" i="21"/>
  <c r="AK54" i="21"/>
  <c r="AH54" i="21"/>
  <c r="AI54" i="21"/>
  <c r="AJ54" i="21"/>
  <c r="AN72" i="21"/>
  <c r="AM72" i="21"/>
  <c r="AK72" i="21"/>
  <c r="AL72" i="21"/>
  <c r="AH72" i="21"/>
  <c r="AJ72" i="21"/>
  <c r="AI72" i="21"/>
  <c r="AM104" i="21"/>
  <c r="AN104" i="21"/>
  <c r="AL104" i="21"/>
  <c r="AH104" i="21"/>
  <c r="AI104" i="21"/>
  <c r="AJ104" i="21"/>
  <c r="AK104" i="21"/>
  <c r="AM136" i="21"/>
  <c r="AN136" i="21"/>
  <c r="AH71" i="21"/>
  <c r="AN71" i="21"/>
  <c r="AM71" i="21"/>
  <c r="AL71" i="21"/>
  <c r="AI71" i="21"/>
  <c r="AJ71" i="21"/>
  <c r="AK71" i="21"/>
  <c r="AM103" i="21"/>
  <c r="AN103" i="21"/>
  <c r="AK103" i="21"/>
  <c r="AH103" i="21"/>
  <c r="AJ103" i="21"/>
  <c r="AI103" i="21"/>
  <c r="AL103" i="21"/>
  <c r="AM135" i="21"/>
  <c r="AN135" i="21"/>
  <c r="AL135" i="21"/>
  <c r="AH135" i="21"/>
  <c r="AJ135" i="21"/>
  <c r="AK135" i="21"/>
  <c r="AI135" i="21"/>
  <c r="AJ65" i="21"/>
  <c r="AI65" i="21"/>
  <c r="AK65" i="21"/>
  <c r="AH65" i="21"/>
  <c r="AL65" i="21"/>
  <c r="AM98" i="21"/>
  <c r="AN98" i="21"/>
  <c r="AH98" i="21"/>
  <c r="AL98" i="21"/>
  <c r="AI98" i="21"/>
  <c r="AJ98" i="21"/>
  <c r="AK98" i="21"/>
  <c r="AM130" i="21"/>
  <c r="AN130" i="21"/>
  <c r="AL130" i="21"/>
  <c r="AH130" i="21"/>
  <c r="AI130" i="21"/>
  <c r="AJ130" i="21"/>
  <c r="AK130" i="21"/>
  <c r="AI58" i="21"/>
  <c r="AL58" i="21"/>
  <c r="AK58" i="21"/>
  <c r="AJ58" i="21"/>
  <c r="AH58" i="21"/>
  <c r="AM89" i="21"/>
  <c r="AN89" i="21"/>
  <c r="AI89" i="21"/>
  <c r="AJ89" i="21"/>
  <c r="AL89" i="21"/>
  <c r="AH89" i="21"/>
  <c r="AK89" i="21"/>
  <c r="AM121" i="21"/>
  <c r="AN121" i="21"/>
  <c r="AH121" i="21"/>
  <c r="AJ121" i="21"/>
  <c r="AK121" i="21"/>
  <c r="AL121" i="21"/>
  <c r="AI121" i="21"/>
  <c r="AM124" i="21"/>
  <c r="AN124" i="21"/>
  <c r="AJ124" i="21"/>
  <c r="AH124" i="21"/>
  <c r="AI124" i="21"/>
  <c r="AK124" i="21"/>
  <c r="AL124" i="21"/>
  <c r="AM123" i="21"/>
  <c r="AN123" i="21"/>
  <c r="AL123" i="21"/>
  <c r="AJ123" i="21"/>
  <c r="AI123" i="21"/>
  <c r="AH123" i="21"/>
  <c r="AK123" i="21"/>
  <c r="AM86" i="21"/>
  <c r="AN86" i="21"/>
  <c r="AK86" i="21"/>
  <c r="AL86" i="21"/>
  <c r="AJ86" i="21"/>
  <c r="AI86" i="21"/>
  <c r="AH86" i="21"/>
  <c r="AM109" i="21"/>
  <c r="AN109" i="21"/>
  <c r="AH109" i="21"/>
  <c r="AI109" i="21"/>
  <c r="AJ109" i="21"/>
  <c r="AL109" i="21"/>
  <c r="AK109" i="21"/>
  <c r="AM128" i="21"/>
  <c r="AN128" i="21"/>
  <c r="AL128" i="21"/>
  <c r="AH128" i="21"/>
  <c r="AJ128" i="21"/>
  <c r="AI128" i="21"/>
  <c r="AK128" i="21"/>
  <c r="AM95" i="21"/>
  <c r="AN95" i="21"/>
  <c r="AH95" i="21"/>
  <c r="AL95" i="21"/>
  <c r="AI95" i="21"/>
  <c r="AJ95" i="21"/>
  <c r="AK95" i="21"/>
  <c r="AM90" i="21"/>
  <c r="AN90" i="21"/>
  <c r="AJ90" i="21"/>
  <c r="AK90" i="21"/>
  <c r="AI90" i="21"/>
  <c r="AH90" i="21"/>
  <c r="AL90" i="21"/>
  <c r="AM132" i="21"/>
  <c r="AN132" i="21"/>
  <c r="AI132" i="21"/>
  <c r="AK132" i="21"/>
  <c r="AJ132" i="21"/>
  <c r="AL132" i="21"/>
  <c r="AH132" i="21"/>
  <c r="AM99" i="21"/>
  <c r="AN99" i="21"/>
  <c r="AJ99" i="21"/>
  <c r="AL99" i="21"/>
  <c r="AH99" i="21"/>
  <c r="AK99" i="21"/>
  <c r="AI99" i="21"/>
  <c r="AM126" i="21"/>
  <c r="AN126" i="21"/>
  <c r="AH126" i="21"/>
  <c r="AJ126" i="21"/>
  <c r="AL126" i="21"/>
  <c r="AI126" i="21"/>
  <c r="AK126" i="21"/>
  <c r="AM85" i="21"/>
  <c r="AN85" i="21"/>
  <c r="AL85" i="21"/>
  <c r="AJ85" i="21"/>
  <c r="AI85" i="21"/>
  <c r="AH85" i="21"/>
  <c r="AK85" i="21"/>
  <c r="AM117" i="21"/>
  <c r="AN117" i="21"/>
  <c r="AH117" i="21"/>
  <c r="AJ117" i="21"/>
  <c r="AI117" i="21"/>
  <c r="AL117" i="21"/>
  <c r="AK117" i="21"/>
  <c r="AM76" i="21"/>
  <c r="AN76" i="21"/>
  <c r="AJ76" i="21"/>
  <c r="AK76" i="21"/>
  <c r="AL76" i="21"/>
  <c r="AI76" i="21"/>
  <c r="AH76" i="21"/>
  <c r="AM108" i="21"/>
  <c r="AN108" i="21"/>
  <c r="AI108" i="21"/>
  <c r="AL108" i="21"/>
  <c r="AH108" i="21"/>
  <c r="AJ108" i="21"/>
  <c r="AK108" i="21"/>
  <c r="AJ59" i="21"/>
  <c r="AL59" i="21"/>
  <c r="AH59" i="21"/>
  <c r="AK59" i="21"/>
  <c r="AI59" i="21"/>
  <c r="AM75" i="21"/>
  <c r="AN75" i="21"/>
  <c r="AH75" i="21"/>
  <c r="AI75" i="21"/>
  <c r="AJ75" i="21"/>
  <c r="AL75" i="21"/>
  <c r="AK75" i="21"/>
  <c r="AM107" i="21"/>
  <c r="AN107" i="21"/>
  <c r="AJ107" i="21"/>
  <c r="AI107" i="21"/>
  <c r="AL107" i="21"/>
  <c r="AH107" i="21"/>
  <c r="AK107" i="21"/>
  <c r="AL67" i="21"/>
  <c r="AH67" i="21"/>
  <c r="AK67" i="21"/>
  <c r="AI67" i="21"/>
  <c r="AJ67" i="21"/>
  <c r="AK69" i="21"/>
  <c r="AJ69" i="21"/>
  <c r="AL69" i="21"/>
  <c r="AI69" i="21"/>
  <c r="AH69" i="21"/>
  <c r="AM102" i="21"/>
  <c r="AN102" i="21"/>
  <c r="AL102" i="21"/>
  <c r="AI102" i="21"/>
  <c r="AH102" i="21"/>
  <c r="AK102" i="21"/>
  <c r="AJ102" i="21"/>
  <c r="AM134" i="21"/>
  <c r="AN134" i="21"/>
  <c r="AL134" i="21"/>
  <c r="AH134" i="21"/>
  <c r="AI134" i="21"/>
  <c r="AJ134" i="21"/>
  <c r="AK134" i="21"/>
  <c r="AI62" i="21"/>
  <c r="AL62" i="21"/>
  <c r="AH62" i="21"/>
  <c r="AJ62" i="21"/>
  <c r="AK62" i="21"/>
  <c r="AM93" i="21"/>
  <c r="AN93" i="21"/>
  <c r="AI93" i="21"/>
  <c r="AJ93" i="21"/>
  <c r="AL93" i="21"/>
  <c r="AH93" i="21"/>
  <c r="AK93" i="21"/>
  <c r="AM125" i="21"/>
  <c r="AN125" i="21"/>
  <c r="AJ125" i="21"/>
  <c r="AK125" i="21"/>
  <c r="AL125" i="21"/>
  <c r="AH125" i="21"/>
  <c r="AI125" i="21"/>
  <c r="AM80" i="21"/>
  <c r="AN80" i="21"/>
  <c r="AJ80" i="21"/>
  <c r="AL80" i="21"/>
  <c r="AH80" i="21"/>
  <c r="AI80" i="21"/>
  <c r="AK80" i="21"/>
  <c r="AM112" i="21"/>
  <c r="AN112" i="21"/>
  <c r="AL112" i="21"/>
  <c r="AH112" i="21"/>
  <c r="AJ112" i="21"/>
  <c r="AI112" i="21"/>
  <c r="AK112" i="21"/>
  <c r="AL48" i="21"/>
  <c r="AH48" i="21"/>
  <c r="AI48" i="21"/>
  <c r="AK48" i="21"/>
  <c r="AJ48" i="21"/>
  <c r="AM79" i="21"/>
  <c r="AN79" i="21"/>
  <c r="AJ79" i="21"/>
  <c r="AI79" i="21"/>
  <c r="AL79" i="21"/>
  <c r="AH79" i="21"/>
  <c r="AK79" i="21"/>
  <c r="AN111" i="21"/>
  <c r="AM111" i="21"/>
  <c r="AH111" i="21"/>
  <c r="AJ111" i="21"/>
  <c r="AI111" i="21"/>
  <c r="AL111" i="21"/>
  <c r="AK111" i="21"/>
  <c r="AI63" i="21"/>
  <c r="AJ63" i="21"/>
  <c r="AL63" i="21"/>
  <c r="AK63" i="21"/>
  <c r="AH63" i="21"/>
  <c r="G10" i="21"/>
  <c r="I10" i="21" s="1"/>
  <c r="E53" i="1" s="1"/>
  <c r="D23" i="11" s="1"/>
  <c r="AG74" i="21"/>
  <c r="AM106" i="21"/>
  <c r="AN106" i="21"/>
  <c r="AI106" i="21"/>
  <c r="AL106" i="21"/>
  <c r="AH106" i="21"/>
  <c r="AJ106" i="21"/>
  <c r="AK106" i="21"/>
  <c r="AH66" i="21"/>
  <c r="AK66" i="21"/>
  <c r="AJ66" i="21"/>
  <c r="AL66" i="21"/>
  <c r="AI66" i="21"/>
  <c r="AM97" i="21"/>
  <c r="AN97" i="21"/>
  <c r="AH97" i="21"/>
  <c r="AK97" i="21"/>
  <c r="AI97" i="21"/>
  <c r="AL97" i="21"/>
  <c r="AJ97" i="21"/>
  <c r="AM129" i="21"/>
  <c r="AN129" i="21"/>
  <c r="AL129" i="21"/>
  <c r="AH129" i="21"/>
  <c r="AI129" i="21"/>
  <c r="AJ129" i="21"/>
  <c r="AK129" i="21"/>
  <c r="AM84" i="21"/>
  <c r="AN84" i="21"/>
  <c r="AJ84" i="21"/>
  <c r="AH84" i="21"/>
  <c r="AL84" i="21"/>
  <c r="AI84" i="21"/>
  <c r="AK84" i="21"/>
  <c r="AN116" i="21"/>
  <c r="AM116" i="21"/>
  <c r="AJ116" i="21"/>
  <c r="AH116" i="21"/>
  <c r="AL116" i="21"/>
  <c r="AI116" i="21"/>
  <c r="AK116" i="21"/>
  <c r="AJ52" i="21"/>
  <c r="AK52" i="21"/>
  <c r="AI52" i="21"/>
  <c r="AL52" i="21"/>
  <c r="AH52" i="21"/>
  <c r="AM83" i="21"/>
  <c r="AN83" i="21"/>
  <c r="AJ83" i="21"/>
  <c r="AI83" i="21"/>
  <c r="AL83" i="21"/>
  <c r="AH83" i="21"/>
  <c r="AK83" i="21"/>
  <c r="AM115" i="21"/>
  <c r="AN115" i="21"/>
  <c r="AL115" i="21"/>
  <c r="AJ115" i="21"/>
  <c r="AI115" i="21"/>
  <c r="AH115" i="21"/>
  <c r="AK115" i="21"/>
  <c r="AK45" i="21"/>
  <c r="AH45" i="21"/>
  <c r="AI45" i="21"/>
  <c r="AJ45" i="21"/>
  <c r="AL45" i="21"/>
  <c r="AM78" i="21"/>
  <c r="AN78" i="21"/>
  <c r="AK78" i="21"/>
  <c r="AH78" i="21"/>
  <c r="AL78" i="21"/>
  <c r="AI78" i="21"/>
  <c r="AJ78" i="21"/>
  <c r="AM110" i="21"/>
  <c r="AN110" i="21"/>
  <c r="AL110" i="21"/>
  <c r="AH110" i="21"/>
  <c r="AI110" i="21"/>
  <c r="AJ110" i="21"/>
  <c r="AK110" i="21"/>
  <c r="AI47" i="21"/>
  <c r="AK47" i="21"/>
  <c r="AJ47" i="21"/>
  <c r="AH47" i="21"/>
  <c r="AL47" i="21"/>
  <c r="AN70" i="21"/>
  <c r="AH70" i="21"/>
  <c r="AJ70" i="21"/>
  <c r="AI70" i="21"/>
  <c r="AK70" i="21"/>
  <c r="AM70" i="21"/>
  <c r="AL70" i="21"/>
  <c r="AM101" i="21"/>
  <c r="AN101" i="21"/>
  <c r="AJ101" i="21"/>
  <c r="AI101" i="21"/>
  <c r="AK101" i="21"/>
  <c r="AH101" i="21"/>
  <c r="AL101" i="21"/>
  <c r="AM133" i="21"/>
  <c r="AN133" i="21"/>
  <c r="AH133" i="21"/>
  <c r="AI133" i="21"/>
  <c r="AL133" i="21"/>
  <c r="AJ133" i="21"/>
  <c r="AK133" i="21"/>
  <c r="AM88" i="21"/>
  <c r="AN88" i="21"/>
  <c r="AL88" i="21"/>
  <c r="AI88" i="21"/>
  <c r="AH88" i="21"/>
  <c r="AJ88" i="21"/>
  <c r="AK88" i="21"/>
  <c r="AM120" i="21"/>
  <c r="AN120" i="21"/>
  <c r="AL120" i="21"/>
  <c r="AH120" i="21"/>
  <c r="AJ120" i="21"/>
  <c r="AI120" i="21"/>
  <c r="AK120" i="21"/>
  <c r="AL56" i="21"/>
  <c r="AH56" i="21"/>
  <c r="AJ56" i="21"/>
  <c r="AK56" i="21"/>
  <c r="AI56" i="21"/>
  <c r="AM87" i="21"/>
  <c r="AN87" i="21"/>
  <c r="AH87" i="21"/>
  <c r="AK87" i="21"/>
  <c r="AJ87" i="21"/>
  <c r="AL87" i="21"/>
  <c r="AI87" i="21"/>
  <c r="AM119" i="21"/>
  <c r="AN119" i="21"/>
  <c r="AH119" i="21"/>
  <c r="AJ119" i="21"/>
  <c r="AI119" i="21"/>
  <c r="AL119" i="21"/>
  <c r="AK119" i="21"/>
  <c r="AI49" i="21"/>
  <c r="AJ49" i="21"/>
  <c r="AL49" i="21"/>
  <c r="AK49" i="21"/>
  <c r="AH49" i="21"/>
  <c r="AM82" i="21"/>
  <c r="AN82" i="21"/>
  <c r="AL82" i="21"/>
  <c r="AH82" i="21"/>
  <c r="AI82" i="21"/>
  <c r="AJ82" i="21"/>
  <c r="AK82" i="21"/>
  <c r="AM114" i="21"/>
  <c r="AN114" i="21"/>
  <c r="AI114" i="21"/>
  <c r="AH114" i="21"/>
  <c r="AJ114" i="21"/>
  <c r="AL114" i="21"/>
  <c r="AK114" i="21"/>
  <c r="AI51" i="21"/>
  <c r="AH51" i="21"/>
  <c r="AK51" i="21"/>
  <c r="AL51" i="21"/>
  <c r="AJ51" i="21"/>
  <c r="AM73" i="21"/>
  <c r="AN73" i="21"/>
  <c r="AH73" i="21"/>
  <c r="AI73" i="21"/>
  <c r="AJ73" i="21"/>
  <c r="AL73" i="21"/>
  <c r="AK73" i="21"/>
  <c r="AN105" i="21"/>
  <c r="AM105" i="21"/>
  <c r="AJ105" i="21"/>
  <c r="AI105" i="21"/>
  <c r="AH105" i="21"/>
  <c r="AL105" i="21"/>
  <c r="AK105" i="21"/>
  <c r="G137" i="27"/>
  <c r="H137" i="27"/>
  <c r="Y137" i="27" s="1"/>
  <c r="AM137" i="27" s="1"/>
  <c r="G137" i="26"/>
  <c r="H137" i="26"/>
  <c r="Y137" i="26" s="1"/>
  <c r="AM137" i="26" s="1"/>
  <c r="E137" i="25"/>
  <c r="I137" i="25"/>
  <c r="G137" i="24"/>
  <c r="H137" i="24"/>
  <c r="Y137" i="24" s="1"/>
  <c r="AM137" i="24" s="1"/>
  <c r="AE137" i="27"/>
  <c r="AE137" i="26"/>
  <c r="AE137" i="24"/>
  <c r="D137" i="23"/>
  <c r="C136" i="23"/>
  <c r="Z136" i="23" s="1"/>
  <c r="AH136" i="23" s="1"/>
  <c r="W136" i="23"/>
  <c r="U136" i="23"/>
  <c r="Q136" i="23"/>
  <c r="S136" i="23" s="1"/>
  <c r="AD136" i="23" s="1"/>
  <c r="AL136" i="23" s="1"/>
  <c r="AN136" i="23"/>
  <c r="J136" i="23"/>
  <c r="AA136" i="23" s="1"/>
  <c r="AI136" i="23" s="1"/>
  <c r="L136" i="23"/>
  <c r="AB136" i="23" s="1"/>
  <c r="AJ136" i="23" s="1"/>
  <c r="E137" i="22"/>
  <c r="I137" i="22"/>
  <c r="G137" i="21"/>
  <c r="H137" i="21"/>
  <c r="Y137" i="21" s="1"/>
  <c r="AM137" i="21" s="1"/>
  <c r="AE137" i="21"/>
  <c r="AH48" i="3"/>
  <c r="AH51" i="3"/>
  <c r="AH46" i="3"/>
  <c r="AH67" i="3"/>
  <c r="AH53" i="3"/>
  <c r="AH65" i="3"/>
  <c r="AH68" i="3"/>
  <c r="AH59" i="3"/>
  <c r="AH50" i="3"/>
  <c r="AA70" i="3"/>
  <c r="AH61" i="3"/>
  <c r="AH64" i="3"/>
  <c r="AH60" i="3"/>
  <c r="AH52" i="3"/>
  <c r="AH45" i="3"/>
  <c r="AH49" i="3"/>
  <c r="AH69" i="3"/>
  <c r="AH55" i="3"/>
  <c r="AH47" i="3"/>
  <c r="AH58" i="3"/>
  <c r="AH63" i="3"/>
  <c r="G10" i="3"/>
  <c r="I10" i="3" s="1"/>
  <c r="D53" i="1" s="1"/>
  <c r="C23" i="11" s="1"/>
  <c r="AN70" i="3"/>
  <c r="AI64" i="3"/>
  <c r="AJ64" i="3"/>
  <c r="AK64" i="3"/>
  <c r="AK57" i="3"/>
  <c r="AJ57" i="3"/>
  <c r="AI57" i="3"/>
  <c r="AJ61" i="3"/>
  <c r="AK61" i="3"/>
  <c r="AI61" i="3"/>
  <c r="AI60" i="3"/>
  <c r="AK60" i="3"/>
  <c r="AJ60" i="3"/>
  <c r="AK45" i="3"/>
  <c r="AJ45" i="3"/>
  <c r="AI45" i="3"/>
  <c r="AJ52" i="3"/>
  <c r="AI52" i="3"/>
  <c r="AK52" i="3"/>
  <c r="AK59" i="3"/>
  <c r="AI59" i="3"/>
  <c r="AJ59" i="3"/>
  <c r="AI66" i="3"/>
  <c r="AK66" i="3"/>
  <c r="AJ66" i="3"/>
  <c r="AK63" i="3"/>
  <c r="AJ63" i="3"/>
  <c r="AI63" i="3"/>
  <c r="AI56" i="3"/>
  <c r="AJ56" i="3"/>
  <c r="AK56" i="3"/>
  <c r="AK54" i="3"/>
  <c r="AJ54" i="3"/>
  <c r="AI54" i="3"/>
  <c r="AK55" i="3"/>
  <c r="AI55" i="3"/>
  <c r="AJ55" i="3"/>
  <c r="AH57" i="3"/>
  <c r="AJ50" i="3"/>
  <c r="AI50" i="3"/>
  <c r="AK50" i="3"/>
  <c r="AK69" i="3"/>
  <c r="AJ69" i="3"/>
  <c r="AI69" i="3"/>
  <c r="AK65" i="3"/>
  <c r="AJ65" i="3"/>
  <c r="AI65" i="3"/>
  <c r="AK47" i="3"/>
  <c r="AJ47" i="3"/>
  <c r="AI47" i="3"/>
  <c r="AH62" i="3"/>
  <c r="AH66" i="3"/>
  <c r="AH54" i="3"/>
  <c r="AK49" i="3"/>
  <c r="AJ49" i="3"/>
  <c r="AI49" i="3"/>
  <c r="AJ58" i="3"/>
  <c r="AI58" i="3"/>
  <c r="AK58" i="3"/>
  <c r="AJ51" i="3"/>
  <c r="AK51" i="3"/>
  <c r="AI51" i="3"/>
  <c r="AJ48" i="3"/>
  <c r="AI48" i="3"/>
  <c r="AK48" i="3"/>
  <c r="AI46" i="3"/>
  <c r="AK46" i="3"/>
  <c r="AJ46" i="3"/>
  <c r="AK62" i="3"/>
  <c r="AJ62" i="3"/>
  <c r="AI62" i="3"/>
  <c r="AH56" i="3"/>
  <c r="AI67" i="3"/>
  <c r="AJ67" i="3"/>
  <c r="AK67" i="3"/>
  <c r="AJ68" i="3"/>
  <c r="AK68" i="3"/>
  <c r="AI68" i="3"/>
  <c r="AJ53" i="3"/>
  <c r="AI53" i="3"/>
  <c r="AK53" i="3"/>
  <c r="AB70" i="3"/>
  <c r="AC136" i="23" l="1"/>
  <c r="AK136" i="23" s="1"/>
  <c r="AN70" i="23"/>
  <c r="AM70" i="23"/>
  <c r="AL70" i="23"/>
  <c r="AJ70" i="23"/>
  <c r="AH70" i="23"/>
  <c r="AI70" i="23"/>
  <c r="AK70" i="23"/>
  <c r="AH70" i="22"/>
  <c r="AM70" i="22"/>
  <c r="AN70" i="22"/>
  <c r="AJ70" i="22"/>
  <c r="AL70" i="22"/>
  <c r="AI70" i="22"/>
  <c r="AK70" i="22"/>
  <c r="AM74" i="21"/>
  <c r="AN74" i="21"/>
  <c r="AI74" i="21"/>
  <c r="AL74" i="21"/>
  <c r="AH74" i="21"/>
  <c r="AJ74" i="21"/>
  <c r="AK74" i="21"/>
  <c r="D138" i="27"/>
  <c r="C137" i="27"/>
  <c r="Z137" i="27" s="1"/>
  <c r="AH137" i="27" s="1"/>
  <c r="U137" i="27"/>
  <c r="Q137" i="27"/>
  <c r="S137" i="27" s="1"/>
  <c r="AD137" i="27" s="1"/>
  <c r="AL137" i="27" s="1"/>
  <c r="W137" i="27"/>
  <c r="AN137" i="27"/>
  <c r="L137" i="27"/>
  <c r="AB137" i="27" s="1"/>
  <c r="AJ137" i="27" s="1"/>
  <c r="J137" i="27"/>
  <c r="AA137" i="27" s="1"/>
  <c r="AI137" i="27" s="1"/>
  <c r="D138" i="26"/>
  <c r="C137" i="26"/>
  <c r="Z137" i="26" s="1"/>
  <c r="AH137" i="26" s="1"/>
  <c r="U137" i="26"/>
  <c r="Q137" i="26"/>
  <c r="S137" i="26" s="1"/>
  <c r="AD137" i="26" s="1"/>
  <c r="AL137" i="26" s="1"/>
  <c r="AN137" i="26"/>
  <c r="W137" i="26"/>
  <c r="L137" i="26"/>
  <c r="AB137" i="26" s="1"/>
  <c r="AJ137" i="26" s="1"/>
  <c r="J137" i="26"/>
  <c r="AA137" i="26" s="1"/>
  <c r="AI137" i="26" s="1"/>
  <c r="G137" i="25"/>
  <c r="H137" i="25"/>
  <c r="Y137" i="25" s="1"/>
  <c r="AM137" i="25" s="1"/>
  <c r="D138" i="24"/>
  <c r="C137" i="24"/>
  <c r="Z137" i="24" s="1"/>
  <c r="AH137" i="24" s="1"/>
  <c r="U137" i="24"/>
  <c r="Q137" i="24"/>
  <c r="S137" i="24" s="1"/>
  <c r="AD137" i="24" s="1"/>
  <c r="AL137" i="24" s="1"/>
  <c r="AN137" i="24"/>
  <c r="W137" i="24"/>
  <c r="J137" i="24"/>
  <c r="AA137" i="24" s="1"/>
  <c r="AI137" i="24" s="1"/>
  <c r="L137" i="24"/>
  <c r="AB137" i="24" s="1"/>
  <c r="AJ137" i="24" s="1"/>
  <c r="AE137" i="25"/>
  <c r="E137" i="23"/>
  <c r="I137" i="23"/>
  <c r="G137" i="22"/>
  <c r="H137" i="22"/>
  <c r="Y137" i="22" s="1"/>
  <c r="AM137" i="22" s="1"/>
  <c r="AE137" i="22"/>
  <c r="D138" i="21"/>
  <c r="C137" i="21"/>
  <c r="Z137" i="21" s="1"/>
  <c r="AH137" i="21" s="1"/>
  <c r="Q137" i="21"/>
  <c r="S137" i="21" s="1"/>
  <c r="AD137" i="21" s="1"/>
  <c r="AL137" i="21" s="1"/>
  <c r="U137" i="21"/>
  <c r="W137" i="21"/>
  <c r="AN137" i="21"/>
  <c r="L137" i="21"/>
  <c r="AB137" i="21" s="1"/>
  <c r="AJ137" i="21" s="1"/>
  <c r="J137" i="21"/>
  <c r="AA137" i="21" s="1"/>
  <c r="AI137" i="21" s="1"/>
  <c r="AM70" i="3"/>
  <c r="AL70" i="3"/>
  <c r="AI70" i="3"/>
  <c r="AJ70" i="3"/>
  <c r="AC70" i="3"/>
  <c r="AK70" i="3" s="1"/>
  <c r="AC137" i="26" l="1"/>
  <c r="AK137" i="26" s="1"/>
  <c r="AC137" i="21"/>
  <c r="AK137" i="21" s="1"/>
  <c r="E138" i="27"/>
  <c r="I138" i="27"/>
  <c r="E138" i="26"/>
  <c r="I138" i="26"/>
  <c r="D138" i="25"/>
  <c r="C137" i="25"/>
  <c r="Z137" i="25" s="1"/>
  <c r="AH137" i="25" s="1"/>
  <c r="Q137" i="25"/>
  <c r="S137" i="25" s="1"/>
  <c r="AD137" i="25" s="1"/>
  <c r="AL137" i="25" s="1"/>
  <c r="AN137" i="25"/>
  <c r="W137" i="25"/>
  <c r="U137" i="25"/>
  <c r="J137" i="25"/>
  <c r="AA137" i="25" s="1"/>
  <c r="AI137" i="25" s="1"/>
  <c r="L137" i="25"/>
  <c r="AB137" i="25" s="1"/>
  <c r="AJ137" i="25" s="1"/>
  <c r="E138" i="24"/>
  <c r="I138" i="24"/>
  <c r="AC137" i="27"/>
  <c r="AK137" i="27" s="1"/>
  <c r="AC137" i="24"/>
  <c r="AK137" i="24" s="1"/>
  <c r="G137" i="23"/>
  <c r="H137" i="23"/>
  <c r="Y137" i="23" s="1"/>
  <c r="AM137" i="23" s="1"/>
  <c r="AE137" i="23"/>
  <c r="D138" i="22"/>
  <c r="C137" i="22"/>
  <c r="Z137" i="22" s="1"/>
  <c r="AH137" i="22" s="1"/>
  <c r="Q137" i="22"/>
  <c r="S137" i="22" s="1"/>
  <c r="AD137" i="22" s="1"/>
  <c r="AL137" i="22" s="1"/>
  <c r="U137" i="22"/>
  <c r="W137" i="22"/>
  <c r="AN137" i="22"/>
  <c r="L137" i="22"/>
  <c r="AB137" i="22" s="1"/>
  <c r="AJ137" i="22" s="1"/>
  <c r="J137" i="22"/>
  <c r="AA137" i="22"/>
  <c r="AI137" i="22" s="1"/>
  <c r="E138" i="21"/>
  <c r="I138" i="21"/>
  <c r="AC137" i="22" l="1"/>
  <c r="AK137" i="22" s="1"/>
  <c r="G138" i="27"/>
  <c r="H138" i="27"/>
  <c r="Y138" i="27" s="1"/>
  <c r="AM138" i="27" s="1"/>
  <c r="G138" i="26"/>
  <c r="H138" i="26"/>
  <c r="Y138" i="26" s="1"/>
  <c r="AM138" i="26" s="1"/>
  <c r="E138" i="25"/>
  <c r="I138" i="25"/>
  <c r="G138" i="24"/>
  <c r="H138" i="24"/>
  <c r="Y138" i="24" s="1"/>
  <c r="AM138" i="24" s="1"/>
  <c r="AE138" i="27"/>
  <c r="AE138" i="26"/>
  <c r="AC137" i="25"/>
  <c r="AK137" i="25" s="1"/>
  <c r="AE138" i="24"/>
  <c r="D138" i="23"/>
  <c r="C137" i="23"/>
  <c r="Z137" i="23" s="1"/>
  <c r="AH137" i="23" s="1"/>
  <c r="U137" i="23"/>
  <c r="W137" i="23"/>
  <c r="AN137" i="23"/>
  <c r="Q137" i="23"/>
  <c r="S137" i="23" s="1"/>
  <c r="AD137" i="23" s="1"/>
  <c r="AL137" i="23" s="1"/>
  <c r="L137" i="23"/>
  <c r="AB137" i="23" s="1"/>
  <c r="AJ137" i="23" s="1"/>
  <c r="J137" i="23"/>
  <c r="AA137" i="23" s="1"/>
  <c r="AI137" i="23" s="1"/>
  <c r="E138" i="22"/>
  <c r="I138" i="22"/>
  <c r="G138" i="21"/>
  <c r="H138" i="21"/>
  <c r="Y138" i="21" s="1"/>
  <c r="AM138" i="21" s="1"/>
  <c r="AE138" i="21"/>
  <c r="D139" i="27" l="1"/>
  <c r="C138" i="27"/>
  <c r="Z138" i="27" s="1"/>
  <c r="AH138" i="27" s="1"/>
  <c r="Q138" i="27"/>
  <c r="S138" i="27" s="1"/>
  <c r="AD138" i="27" s="1"/>
  <c r="AL138" i="27" s="1"/>
  <c r="U138" i="27"/>
  <c r="W138" i="27"/>
  <c r="AN138" i="27"/>
  <c r="L138" i="27"/>
  <c r="AB138" i="27" s="1"/>
  <c r="AJ138" i="27" s="1"/>
  <c r="J138" i="27"/>
  <c r="AA138" i="27" s="1"/>
  <c r="AI138" i="27" s="1"/>
  <c r="D139" i="26"/>
  <c r="C138" i="26"/>
  <c r="Z138" i="26" s="1"/>
  <c r="AH138" i="26" s="1"/>
  <c r="Q138" i="26"/>
  <c r="S138" i="26" s="1"/>
  <c r="AD138" i="26" s="1"/>
  <c r="AL138" i="26" s="1"/>
  <c r="U138" i="26"/>
  <c r="AN138" i="26"/>
  <c r="W138" i="26"/>
  <c r="L138" i="26"/>
  <c r="AB138" i="26" s="1"/>
  <c r="AJ138" i="26" s="1"/>
  <c r="J138" i="26"/>
  <c r="AA138" i="26" s="1"/>
  <c r="AI138" i="26" s="1"/>
  <c r="G138" i="25"/>
  <c r="H138" i="25"/>
  <c r="Y138" i="25" s="1"/>
  <c r="AM138" i="25" s="1"/>
  <c r="D139" i="24"/>
  <c r="C138" i="24"/>
  <c r="Z138" i="24" s="1"/>
  <c r="AH138" i="24" s="1"/>
  <c r="U138" i="24"/>
  <c r="Q138" i="24"/>
  <c r="S138" i="24" s="1"/>
  <c r="AD138" i="24" s="1"/>
  <c r="AL138" i="24" s="1"/>
  <c r="AN138" i="24"/>
  <c r="W138" i="24"/>
  <c r="L138" i="24"/>
  <c r="J138" i="24"/>
  <c r="AE138" i="25"/>
  <c r="AB138" i="24"/>
  <c r="AJ138" i="24" s="1"/>
  <c r="AA138" i="24"/>
  <c r="AI138" i="24" s="1"/>
  <c r="AC137" i="23"/>
  <c r="AK137" i="23" s="1"/>
  <c r="E138" i="23"/>
  <c r="I138" i="23"/>
  <c r="G138" i="22"/>
  <c r="H138" i="22"/>
  <c r="Y138" i="22" s="1"/>
  <c r="AM138" i="22" s="1"/>
  <c r="AE138" i="22"/>
  <c r="Q138" i="21"/>
  <c r="S138" i="21" s="1"/>
  <c r="AD138" i="21" s="1"/>
  <c r="AL138" i="21" s="1"/>
  <c r="AN138" i="21"/>
  <c r="U138" i="21"/>
  <c r="W138" i="21"/>
  <c r="J138" i="21"/>
  <c r="AA138" i="21" s="1"/>
  <c r="AI138" i="21" s="1"/>
  <c r="L138" i="21"/>
  <c r="AB138" i="21" s="1"/>
  <c r="AJ138" i="21" s="1"/>
  <c r="D139" i="21"/>
  <c r="C138" i="21"/>
  <c r="Z138" i="21" s="1"/>
  <c r="AH138" i="21" s="1"/>
  <c r="AC138" i="27" l="1"/>
  <c r="AK138" i="27" s="1"/>
  <c r="AC138" i="24"/>
  <c r="AK138" i="24" s="1"/>
  <c r="AC138" i="21"/>
  <c r="AK138" i="21" s="1"/>
  <c r="E139" i="27"/>
  <c r="I139" i="27"/>
  <c r="E139" i="26"/>
  <c r="I139" i="26"/>
  <c r="D139" i="25"/>
  <c r="C138" i="25"/>
  <c r="Z138" i="25" s="1"/>
  <c r="AH138" i="25" s="1"/>
  <c r="Q138" i="25"/>
  <c r="S138" i="25" s="1"/>
  <c r="AD138" i="25" s="1"/>
  <c r="AL138" i="25" s="1"/>
  <c r="W138" i="25"/>
  <c r="AN138" i="25"/>
  <c r="U138" i="25"/>
  <c r="L138" i="25"/>
  <c r="AB138" i="25" s="1"/>
  <c r="AJ138" i="25" s="1"/>
  <c r="J138" i="25"/>
  <c r="AA138" i="25" s="1"/>
  <c r="AI138" i="25" s="1"/>
  <c r="E139" i="24"/>
  <c r="I139" i="24"/>
  <c r="AC138" i="26"/>
  <c r="AK138" i="26" s="1"/>
  <c r="G138" i="23"/>
  <c r="H138" i="23"/>
  <c r="Y138" i="23" s="1"/>
  <c r="AM138" i="23" s="1"/>
  <c r="AE138" i="23"/>
  <c r="D139" i="22"/>
  <c r="C138" i="22"/>
  <c r="Z138" i="22" s="1"/>
  <c r="AH138" i="22" s="1"/>
  <c r="W138" i="22"/>
  <c r="Q138" i="22"/>
  <c r="S138" i="22" s="1"/>
  <c r="AD138" i="22" s="1"/>
  <c r="AL138" i="22" s="1"/>
  <c r="U138" i="22"/>
  <c r="AN138" i="22"/>
  <c r="L138" i="22"/>
  <c r="AB138" i="22" s="1"/>
  <c r="AJ138" i="22" s="1"/>
  <c r="J138" i="22"/>
  <c r="AA138" i="22" s="1"/>
  <c r="AI138" i="22" s="1"/>
  <c r="E139" i="21"/>
  <c r="I139" i="21"/>
  <c r="AC138" i="25" l="1"/>
  <c r="AK138" i="25" s="1"/>
  <c r="G139" i="27"/>
  <c r="H139" i="27"/>
  <c r="Y139" i="27" s="1"/>
  <c r="AM139" i="27" s="1"/>
  <c r="G139" i="26"/>
  <c r="H139" i="26"/>
  <c r="Y139" i="26" s="1"/>
  <c r="AM139" i="26" s="1"/>
  <c r="E139" i="25"/>
  <c r="I139" i="25"/>
  <c r="G139" i="24"/>
  <c r="H139" i="24"/>
  <c r="Y139" i="24" s="1"/>
  <c r="AM139" i="24" s="1"/>
  <c r="AE139" i="27"/>
  <c r="AE139" i="26"/>
  <c r="AE139" i="24"/>
  <c r="D139" i="23"/>
  <c r="C138" i="23"/>
  <c r="Z138" i="23" s="1"/>
  <c r="AH138" i="23" s="1"/>
  <c r="Q138" i="23"/>
  <c r="S138" i="23" s="1"/>
  <c r="AD138" i="23" s="1"/>
  <c r="AL138" i="23" s="1"/>
  <c r="W138" i="23"/>
  <c r="AN138" i="23"/>
  <c r="U138" i="23"/>
  <c r="J138" i="23"/>
  <c r="AA138" i="23" s="1"/>
  <c r="AI138" i="23" s="1"/>
  <c r="L138" i="23"/>
  <c r="AB138" i="23" s="1"/>
  <c r="AJ138" i="23" s="1"/>
  <c r="E139" i="22"/>
  <c r="I139" i="22"/>
  <c r="AC138" i="22"/>
  <c r="AK138" i="22" s="1"/>
  <c r="G139" i="21"/>
  <c r="H139" i="21"/>
  <c r="Y139" i="21" s="1"/>
  <c r="AM139" i="21" s="1"/>
  <c r="AE139" i="21"/>
  <c r="AC138" i="23" l="1"/>
  <c r="AK138" i="23" s="1"/>
  <c r="D140" i="27"/>
  <c r="C139" i="27"/>
  <c r="Z139" i="27" s="1"/>
  <c r="AH139" i="27" s="1"/>
  <c r="W139" i="27"/>
  <c r="U139" i="27"/>
  <c r="Q139" i="27"/>
  <c r="S139" i="27" s="1"/>
  <c r="AD139" i="27" s="1"/>
  <c r="AL139" i="27" s="1"/>
  <c r="AN139" i="27"/>
  <c r="L139" i="27"/>
  <c r="AB139" i="27" s="1"/>
  <c r="AJ139" i="27" s="1"/>
  <c r="J139" i="27"/>
  <c r="AA139" i="27" s="1"/>
  <c r="AI139" i="27" s="1"/>
  <c r="D140" i="26"/>
  <c r="C139" i="26"/>
  <c r="Z139" i="26" s="1"/>
  <c r="AH139" i="26" s="1"/>
  <c r="U139" i="26"/>
  <c r="AN139" i="26"/>
  <c r="Q139" i="26"/>
  <c r="S139" i="26" s="1"/>
  <c r="AD139" i="26" s="1"/>
  <c r="AL139" i="26" s="1"/>
  <c r="W139" i="26"/>
  <c r="AC139" i="26" s="1"/>
  <c r="AK139" i="26" s="1"/>
  <c r="L139" i="26"/>
  <c r="AB139" i="26" s="1"/>
  <c r="AJ139" i="26" s="1"/>
  <c r="J139" i="26"/>
  <c r="AA139" i="26" s="1"/>
  <c r="AI139" i="26" s="1"/>
  <c r="G139" i="25"/>
  <c r="H139" i="25"/>
  <c r="Y139" i="25" s="1"/>
  <c r="AM139" i="25" s="1"/>
  <c r="D140" i="24"/>
  <c r="C139" i="24"/>
  <c r="Z139" i="24" s="1"/>
  <c r="AH139" i="24" s="1"/>
  <c r="W139" i="24"/>
  <c r="U139" i="24"/>
  <c r="AN139" i="24"/>
  <c r="Q139" i="24"/>
  <c r="S139" i="24" s="1"/>
  <c r="AD139" i="24" s="1"/>
  <c r="AL139" i="24" s="1"/>
  <c r="L139" i="24"/>
  <c r="AB139" i="24" s="1"/>
  <c r="AJ139" i="24" s="1"/>
  <c r="J139" i="24"/>
  <c r="AA139" i="24" s="1"/>
  <c r="AI139" i="24" s="1"/>
  <c r="AE139" i="25"/>
  <c r="E139" i="23"/>
  <c r="I139" i="23"/>
  <c r="G139" i="22"/>
  <c r="H139" i="22"/>
  <c r="Y139" i="22" s="1"/>
  <c r="AM139" i="22" s="1"/>
  <c r="AE139" i="22"/>
  <c r="U139" i="21"/>
  <c r="W139" i="21"/>
  <c r="AN139" i="21"/>
  <c r="Q139" i="21"/>
  <c r="S139" i="21" s="1"/>
  <c r="AD139" i="21" s="1"/>
  <c r="AL139" i="21" s="1"/>
  <c r="J139" i="21"/>
  <c r="AA139" i="21" s="1"/>
  <c r="AI139" i="21" s="1"/>
  <c r="L139" i="21"/>
  <c r="AB139" i="21" s="1"/>
  <c r="AJ139" i="21" s="1"/>
  <c r="D140" i="21"/>
  <c r="C139" i="21"/>
  <c r="Z139" i="21" s="1"/>
  <c r="AH139" i="21" s="1"/>
  <c r="E140" i="27" l="1"/>
  <c r="I140" i="27"/>
  <c r="E140" i="26"/>
  <c r="I140" i="26"/>
  <c r="D140" i="25"/>
  <c r="C139" i="25"/>
  <c r="Z139" i="25" s="1"/>
  <c r="AH139" i="25" s="1"/>
  <c r="U139" i="25"/>
  <c r="W139" i="25"/>
  <c r="Q139" i="25"/>
  <c r="S139" i="25" s="1"/>
  <c r="AD139" i="25" s="1"/>
  <c r="AL139" i="25" s="1"/>
  <c r="AN139" i="25"/>
  <c r="L139" i="25"/>
  <c r="AB139" i="25" s="1"/>
  <c r="AJ139" i="25" s="1"/>
  <c r="J139" i="25"/>
  <c r="AA139" i="25" s="1"/>
  <c r="AI139" i="25" s="1"/>
  <c r="E140" i="24"/>
  <c r="I140" i="24"/>
  <c r="AC139" i="27"/>
  <c r="AK139" i="27" s="1"/>
  <c r="AC139" i="24"/>
  <c r="AK139" i="24" s="1"/>
  <c r="G139" i="23"/>
  <c r="H139" i="23"/>
  <c r="Y139" i="23" s="1"/>
  <c r="AM139" i="23" s="1"/>
  <c r="AE139" i="23"/>
  <c r="D140" i="22"/>
  <c r="C139" i="22"/>
  <c r="Z139" i="22" s="1"/>
  <c r="AH139" i="22" s="1"/>
  <c r="U139" i="22"/>
  <c r="W139" i="22"/>
  <c r="AC139" i="22" s="1"/>
  <c r="AK139" i="22" s="1"/>
  <c r="Q139" i="22"/>
  <c r="S139" i="22" s="1"/>
  <c r="AD139" i="22" s="1"/>
  <c r="AL139" i="22" s="1"/>
  <c r="AN139" i="22"/>
  <c r="L139" i="22"/>
  <c r="AB139" i="22" s="1"/>
  <c r="AJ139" i="22" s="1"/>
  <c r="J139" i="22"/>
  <c r="AA139" i="22" s="1"/>
  <c r="AI139" i="22" s="1"/>
  <c r="E140" i="21"/>
  <c r="I140" i="21"/>
  <c r="AC139" i="21"/>
  <c r="AK139" i="21" s="1"/>
  <c r="G140" i="27" l="1"/>
  <c r="H140" i="27"/>
  <c r="Y140" i="27" s="1"/>
  <c r="AM140" i="27" s="1"/>
  <c r="G140" i="26"/>
  <c r="H140" i="26"/>
  <c r="Y140" i="26" s="1"/>
  <c r="AM140" i="26" s="1"/>
  <c r="E140" i="25"/>
  <c r="I140" i="25"/>
  <c r="G140" i="24"/>
  <c r="H140" i="24"/>
  <c r="Y140" i="24" s="1"/>
  <c r="AM140" i="24" s="1"/>
  <c r="AE140" i="27"/>
  <c r="AE140" i="26"/>
  <c r="AC139" i="25"/>
  <c r="AK139" i="25" s="1"/>
  <c r="AE140" i="24"/>
  <c r="D140" i="23"/>
  <c r="C139" i="23"/>
  <c r="Z139" i="23" s="1"/>
  <c r="AH139" i="23" s="1"/>
  <c r="U139" i="23"/>
  <c r="AN139" i="23"/>
  <c r="W139" i="23"/>
  <c r="Q139" i="23"/>
  <c r="S139" i="23" s="1"/>
  <c r="AD139" i="23" s="1"/>
  <c r="AL139" i="23" s="1"/>
  <c r="L139" i="23"/>
  <c r="AB139" i="23" s="1"/>
  <c r="AJ139" i="23" s="1"/>
  <c r="J139" i="23"/>
  <c r="AA139" i="23" s="1"/>
  <c r="AI139" i="23" s="1"/>
  <c r="E140" i="22"/>
  <c r="I140" i="22"/>
  <c r="G140" i="21"/>
  <c r="H140" i="21"/>
  <c r="Y140" i="21" s="1"/>
  <c r="AM140" i="21" s="1"/>
  <c r="AE140" i="21"/>
  <c r="D141" i="27" l="1"/>
  <c r="C140" i="27"/>
  <c r="Z140" i="27" s="1"/>
  <c r="AH140" i="27" s="1"/>
  <c r="W140" i="27"/>
  <c r="AN140" i="27"/>
  <c r="U140" i="27"/>
  <c r="Q140" i="27"/>
  <c r="S140" i="27" s="1"/>
  <c r="AD140" i="27" s="1"/>
  <c r="AL140" i="27" s="1"/>
  <c r="L140" i="27"/>
  <c r="AB140" i="27" s="1"/>
  <c r="AJ140" i="27" s="1"/>
  <c r="J140" i="27"/>
  <c r="AA140" i="27" s="1"/>
  <c r="AI140" i="27" s="1"/>
  <c r="D141" i="26"/>
  <c r="C140" i="26"/>
  <c r="Z140" i="26" s="1"/>
  <c r="AH140" i="26" s="1"/>
  <c r="W140" i="26"/>
  <c r="Q140" i="26"/>
  <c r="S140" i="26" s="1"/>
  <c r="AD140" i="26" s="1"/>
  <c r="AL140" i="26" s="1"/>
  <c r="U140" i="26"/>
  <c r="AN140" i="26"/>
  <c r="L140" i="26"/>
  <c r="AB140" i="26" s="1"/>
  <c r="AJ140" i="26" s="1"/>
  <c r="J140" i="26"/>
  <c r="AA140" i="26" s="1"/>
  <c r="AI140" i="26" s="1"/>
  <c r="G140" i="25"/>
  <c r="H140" i="25"/>
  <c r="Y140" i="25" s="1"/>
  <c r="AM140" i="25" s="1"/>
  <c r="D141" i="24"/>
  <c r="C140" i="24"/>
  <c r="Z140" i="24" s="1"/>
  <c r="AH140" i="24" s="1"/>
  <c r="W140" i="24"/>
  <c r="U140" i="24"/>
  <c r="AC140" i="24" s="1"/>
  <c r="AK140" i="24" s="1"/>
  <c r="AN140" i="24"/>
  <c r="Q140" i="24"/>
  <c r="S140" i="24" s="1"/>
  <c r="AD140" i="24" s="1"/>
  <c r="AL140" i="24" s="1"/>
  <c r="L140" i="24"/>
  <c r="AB140" i="24" s="1"/>
  <c r="AJ140" i="24" s="1"/>
  <c r="J140" i="24"/>
  <c r="AA140" i="24" s="1"/>
  <c r="AI140" i="24" s="1"/>
  <c r="AE140" i="25"/>
  <c r="AC139" i="23"/>
  <c r="AK139" i="23" s="1"/>
  <c r="E140" i="23"/>
  <c r="I140" i="23"/>
  <c r="G140" i="22"/>
  <c r="H140" i="22"/>
  <c r="Y140" i="22" s="1"/>
  <c r="AM140" i="22" s="1"/>
  <c r="AE140" i="22"/>
  <c r="D141" i="21"/>
  <c r="C140" i="21"/>
  <c r="Z140" i="21" s="1"/>
  <c r="AH140" i="21" s="1"/>
  <c r="W140" i="21"/>
  <c r="Q140" i="21"/>
  <c r="S140" i="21" s="1"/>
  <c r="AD140" i="21" s="1"/>
  <c r="AL140" i="21" s="1"/>
  <c r="U140" i="21"/>
  <c r="AC140" i="21" s="1"/>
  <c r="AK140" i="21" s="1"/>
  <c r="AN140" i="21"/>
  <c r="L140" i="21"/>
  <c r="AB140" i="21" s="1"/>
  <c r="AJ140" i="21" s="1"/>
  <c r="J140" i="21"/>
  <c r="AA140" i="21" s="1"/>
  <c r="AI140" i="21" s="1"/>
  <c r="AC140" i="27" l="1"/>
  <c r="AK140" i="27" s="1"/>
  <c r="E141" i="27"/>
  <c r="I141" i="27"/>
  <c r="E141" i="26"/>
  <c r="I141" i="26"/>
  <c r="D141" i="25"/>
  <c r="C140" i="25"/>
  <c r="Z140" i="25" s="1"/>
  <c r="AH140" i="25" s="1"/>
  <c r="W140" i="25"/>
  <c r="Q140" i="25"/>
  <c r="S140" i="25" s="1"/>
  <c r="AD140" i="25" s="1"/>
  <c r="AL140" i="25" s="1"/>
  <c r="U140" i="25"/>
  <c r="AN140" i="25"/>
  <c r="L140" i="25"/>
  <c r="AB140" i="25" s="1"/>
  <c r="AJ140" i="25" s="1"/>
  <c r="J140" i="25"/>
  <c r="AA140" i="25" s="1"/>
  <c r="AI140" i="25" s="1"/>
  <c r="E141" i="24"/>
  <c r="I141" i="24"/>
  <c r="AC140" i="26"/>
  <c r="AK140" i="26" s="1"/>
  <c r="G140" i="23"/>
  <c r="H140" i="23"/>
  <c r="Y140" i="23" s="1"/>
  <c r="AM140" i="23" s="1"/>
  <c r="AE140" i="23"/>
  <c r="D141" i="22"/>
  <c r="C140" i="22"/>
  <c r="Z140" i="22" s="1"/>
  <c r="AH140" i="22" s="1"/>
  <c r="W140" i="22"/>
  <c r="Q140" i="22"/>
  <c r="S140" i="22" s="1"/>
  <c r="AD140" i="22" s="1"/>
  <c r="AL140" i="22" s="1"/>
  <c r="AN140" i="22"/>
  <c r="U140" i="22"/>
  <c r="L140" i="22"/>
  <c r="AB140" i="22" s="1"/>
  <c r="AJ140" i="22" s="1"/>
  <c r="J140" i="22"/>
  <c r="AA140" i="22" s="1"/>
  <c r="AI140" i="22" s="1"/>
  <c r="E141" i="21"/>
  <c r="I141" i="21"/>
  <c r="AC140" i="25" l="1"/>
  <c r="AK140" i="25" s="1"/>
  <c r="AC140" i="22"/>
  <c r="AK140" i="22" s="1"/>
  <c r="G141" i="27"/>
  <c r="H141" i="27"/>
  <c r="Y141" i="27" s="1"/>
  <c r="AM141" i="27" s="1"/>
  <c r="G141" i="26"/>
  <c r="H141" i="26"/>
  <c r="Y141" i="26" s="1"/>
  <c r="AM141" i="26" s="1"/>
  <c r="E141" i="25"/>
  <c r="I141" i="25"/>
  <c r="G141" i="24"/>
  <c r="H141" i="24"/>
  <c r="Y141" i="24" s="1"/>
  <c r="AM141" i="24" s="1"/>
  <c r="AE141" i="27"/>
  <c r="AE141" i="26"/>
  <c r="AE141" i="24"/>
  <c r="D141" i="23"/>
  <c r="C140" i="23"/>
  <c r="Z140" i="23" s="1"/>
  <c r="AH140" i="23" s="1"/>
  <c r="W140" i="23"/>
  <c r="U140" i="23"/>
  <c r="Q140" i="23"/>
  <c r="S140" i="23" s="1"/>
  <c r="AD140" i="23" s="1"/>
  <c r="AL140" i="23" s="1"/>
  <c r="AN140" i="23"/>
  <c r="L140" i="23"/>
  <c r="AB140" i="23" s="1"/>
  <c r="AJ140" i="23" s="1"/>
  <c r="J140" i="23"/>
  <c r="AA140" i="23" s="1"/>
  <c r="AI140" i="23" s="1"/>
  <c r="E141" i="22"/>
  <c r="I141" i="22"/>
  <c r="G141" i="21"/>
  <c r="H141" i="21"/>
  <c r="Y141" i="21" s="1"/>
  <c r="AM141" i="21" s="1"/>
  <c r="AE141" i="21"/>
  <c r="AC140" i="23" l="1"/>
  <c r="AK140" i="23" s="1"/>
  <c r="D142" i="27"/>
  <c r="C141" i="27"/>
  <c r="Z141" i="27" s="1"/>
  <c r="AH141" i="27" s="1"/>
  <c r="W141" i="27"/>
  <c r="U141" i="27"/>
  <c r="Q141" i="27"/>
  <c r="S141" i="27" s="1"/>
  <c r="AD141" i="27" s="1"/>
  <c r="AL141" i="27" s="1"/>
  <c r="AN141" i="27"/>
  <c r="L141" i="27"/>
  <c r="AB141" i="27" s="1"/>
  <c r="AJ141" i="27" s="1"/>
  <c r="J141" i="27"/>
  <c r="AA141" i="27" s="1"/>
  <c r="AI141" i="27" s="1"/>
  <c r="D142" i="26"/>
  <c r="C141" i="26"/>
  <c r="Z141" i="26" s="1"/>
  <c r="AH141" i="26" s="1"/>
  <c r="U141" i="26"/>
  <c r="Q141" i="26"/>
  <c r="S141" i="26" s="1"/>
  <c r="AD141" i="26" s="1"/>
  <c r="AL141" i="26" s="1"/>
  <c r="W141" i="26"/>
  <c r="AN141" i="26"/>
  <c r="L141" i="26"/>
  <c r="AB141" i="26" s="1"/>
  <c r="AJ141" i="26" s="1"/>
  <c r="J141" i="26"/>
  <c r="AA141" i="26" s="1"/>
  <c r="AI141" i="26" s="1"/>
  <c r="G141" i="25"/>
  <c r="H141" i="25"/>
  <c r="Y141" i="25" s="1"/>
  <c r="AM141" i="25" s="1"/>
  <c r="D142" i="24"/>
  <c r="C141" i="24"/>
  <c r="Z141" i="24" s="1"/>
  <c r="AH141" i="24" s="1"/>
  <c r="U141" i="24"/>
  <c r="Q141" i="24"/>
  <c r="S141" i="24" s="1"/>
  <c r="AD141" i="24" s="1"/>
  <c r="AL141" i="24" s="1"/>
  <c r="W141" i="24"/>
  <c r="AN141" i="24"/>
  <c r="L141" i="24"/>
  <c r="AB141" i="24" s="1"/>
  <c r="AJ141" i="24" s="1"/>
  <c r="J141" i="24"/>
  <c r="AA141" i="24" s="1"/>
  <c r="AI141" i="24" s="1"/>
  <c r="AE141" i="25"/>
  <c r="E141" i="23"/>
  <c r="I141" i="23"/>
  <c r="G141" i="22"/>
  <c r="H141" i="22"/>
  <c r="Y141" i="22" s="1"/>
  <c r="AM141" i="22" s="1"/>
  <c r="AE141" i="22"/>
  <c r="D142" i="21"/>
  <c r="C141" i="21"/>
  <c r="Z141" i="21" s="1"/>
  <c r="AH141" i="21" s="1"/>
  <c r="Q141" i="21"/>
  <c r="S141" i="21" s="1"/>
  <c r="AD141" i="21" s="1"/>
  <c r="AL141" i="21" s="1"/>
  <c r="U141" i="21"/>
  <c r="W141" i="21"/>
  <c r="AN141" i="21"/>
  <c r="L141" i="21"/>
  <c r="AB141" i="21" s="1"/>
  <c r="AJ141" i="21" s="1"/>
  <c r="J141" i="21"/>
  <c r="AA141" i="21" s="1"/>
  <c r="AI141" i="21" s="1"/>
  <c r="AC141" i="24" l="1"/>
  <c r="AK141" i="24" s="1"/>
  <c r="AC141" i="21"/>
  <c r="AK141" i="21" s="1"/>
  <c r="E142" i="27"/>
  <c r="I142" i="27"/>
  <c r="E142" i="26"/>
  <c r="I142" i="26"/>
  <c r="D142" i="25"/>
  <c r="C141" i="25"/>
  <c r="Z141" i="25" s="1"/>
  <c r="AH141" i="25" s="1"/>
  <c r="U141" i="25"/>
  <c r="Q141" i="25"/>
  <c r="S141" i="25" s="1"/>
  <c r="AD141" i="25" s="1"/>
  <c r="AL141" i="25" s="1"/>
  <c r="W141" i="25"/>
  <c r="AN141" i="25"/>
  <c r="L141" i="25"/>
  <c r="AB141" i="25" s="1"/>
  <c r="AJ141" i="25" s="1"/>
  <c r="J141" i="25"/>
  <c r="AA141" i="25" s="1"/>
  <c r="AI141" i="25" s="1"/>
  <c r="E142" i="24"/>
  <c r="I142" i="24"/>
  <c r="AC141" i="27"/>
  <c r="AK141" i="27" s="1"/>
  <c r="AC141" i="26"/>
  <c r="AK141" i="26" s="1"/>
  <c r="G141" i="23"/>
  <c r="H141" i="23"/>
  <c r="Y141" i="23" s="1"/>
  <c r="AM141" i="23" s="1"/>
  <c r="AE141" i="23"/>
  <c r="D142" i="22"/>
  <c r="C141" i="22"/>
  <c r="Z141" i="22" s="1"/>
  <c r="AH141" i="22" s="1"/>
  <c r="Q141" i="22"/>
  <c r="S141" i="22" s="1"/>
  <c r="AD141" i="22" s="1"/>
  <c r="AL141" i="22" s="1"/>
  <c r="U141" i="22"/>
  <c r="W141" i="22"/>
  <c r="AN141" i="22"/>
  <c r="J141" i="22"/>
  <c r="AA141" i="22" s="1"/>
  <c r="AI141" i="22" s="1"/>
  <c r="L141" i="22"/>
  <c r="AB141" i="22" s="1"/>
  <c r="AJ141" i="22" s="1"/>
  <c r="E142" i="21"/>
  <c r="I142" i="21"/>
  <c r="AC141" i="25" l="1"/>
  <c r="AK141" i="25" s="1"/>
  <c r="G142" i="27"/>
  <c r="H142" i="27"/>
  <c r="Y142" i="27" s="1"/>
  <c r="AM142" i="27" s="1"/>
  <c r="G142" i="26"/>
  <c r="H142" i="26"/>
  <c r="Y142" i="26" s="1"/>
  <c r="AM142" i="26" s="1"/>
  <c r="E142" i="25"/>
  <c r="I142" i="25"/>
  <c r="G142" i="24"/>
  <c r="H142" i="24"/>
  <c r="Y142" i="24" s="1"/>
  <c r="AM142" i="24" s="1"/>
  <c r="AE142" i="27"/>
  <c r="AE142" i="26"/>
  <c r="AE142" i="24"/>
  <c r="D142" i="23"/>
  <c r="C141" i="23"/>
  <c r="Z141" i="23" s="1"/>
  <c r="AH141" i="23" s="1"/>
  <c r="Q141" i="23"/>
  <c r="S141" i="23" s="1"/>
  <c r="AD141" i="23" s="1"/>
  <c r="AL141" i="23" s="1"/>
  <c r="W141" i="23"/>
  <c r="AN141" i="23"/>
  <c r="U141" i="23"/>
  <c r="L141" i="23"/>
  <c r="AB141" i="23" s="1"/>
  <c r="AJ141" i="23" s="1"/>
  <c r="J141" i="23"/>
  <c r="AA141" i="23" s="1"/>
  <c r="AI141" i="23" s="1"/>
  <c r="E142" i="22"/>
  <c r="I142" i="22"/>
  <c r="AC141" i="22"/>
  <c r="AK141" i="22" s="1"/>
  <c r="G142" i="21"/>
  <c r="H142" i="21"/>
  <c r="Y142" i="21" s="1"/>
  <c r="AM142" i="21" s="1"/>
  <c r="AE142" i="21"/>
  <c r="AC141" i="23" l="1"/>
  <c r="AK141" i="23" s="1"/>
  <c r="D143" i="27"/>
  <c r="C142" i="27"/>
  <c r="Z142" i="27" s="1"/>
  <c r="AH142" i="27" s="1"/>
  <c r="Q142" i="27"/>
  <c r="S142" i="27" s="1"/>
  <c r="AD142" i="27" s="1"/>
  <c r="AL142" i="27" s="1"/>
  <c r="W142" i="27"/>
  <c r="AN142" i="27"/>
  <c r="U142" i="27"/>
  <c r="L142" i="27"/>
  <c r="AB142" i="27" s="1"/>
  <c r="AJ142" i="27" s="1"/>
  <c r="J142" i="27"/>
  <c r="AA142" i="27" s="1"/>
  <c r="AI142" i="27" s="1"/>
  <c r="D143" i="26"/>
  <c r="C142" i="26"/>
  <c r="Z142" i="26" s="1"/>
  <c r="AH142" i="26" s="1"/>
  <c r="Q142" i="26"/>
  <c r="S142" i="26" s="1"/>
  <c r="AD142" i="26" s="1"/>
  <c r="AL142" i="26" s="1"/>
  <c r="AN142" i="26"/>
  <c r="W142" i="26"/>
  <c r="U142" i="26"/>
  <c r="L142" i="26"/>
  <c r="AB142" i="26" s="1"/>
  <c r="AJ142" i="26" s="1"/>
  <c r="J142" i="26"/>
  <c r="AA142" i="26" s="1"/>
  <c r="AI142" i="26" s="1"/>
  <c r="G142" i="25"/>
  <c r="H142" i="25"/>
  <c r="Y142" i="25" s="1"/>
  <c r="AM142" i="25" s="1"/>
  <c r="D143" i="24"/>
  <c r="C142" i="24"/>
  <c r="Z142" i="24" s="1"/>
  <c r="AH142" i="24" s="1"/>
  <c r="U142" i="24"/>
  <c r="Q142" i="24"/>
  <c r="S142" i="24" s="1"/>
  <c r="AD142" i="24" s="1"/>
  <c r="AL142" i="24" s="1"/>
  <c r="W142" i="24"/>
  <c r="AN142" i="24"/>
  <c r="L142" i="24"/>
  <c r="AB142" i="24" s="1"/>
  <c r="AJ142" i="24" s="1"/>
  <c r="J142" i="24"/>
  <c r="AA142" i="24" s="1"/>
  <c r="AI142" i="24" s="1"/>
  <c r="AE142" i="25"/>
  <c r="E142" i="23"/>
  <c r="I142" i="23"/>
  <c r="G142" i="22"/>
  <c r="H142" i="22"/>
  <c r="Y142" i="22" s="1"/>
  <c r="AM142" i="22" s="1"/>
  <c r="AE142" i="22"/>
  <c r="D143" i="21"/>
  <c r="C142" i="21"/>
  <c r="Z142" i="21" s="1"/>
  <c r="AH142" i="21" s="1"/>
  <c r="Q142" i="21"/>
  <c r="S142" i="21" s="1"/>
  <c r="AD142" i="21" s="1"/>
  <c r="AL142" i="21" s="1"/>
  <c r="U142" i="21"/>
  <c r="AN142" i="21"/>
  <c r="W142" i="21"/>
  <c r="L142" i="21"/>
  <c r="AB142" i="21" s="1"/>
  <c r="AJ142" i="21" s="1"/>
  <c r="J142" i="21"/>
  <c r="AA142" i="21" s="1"/>
  <c r="AI142" i="21" s="1"/>
  <c r="AC142" i="24" l="1"/>
  <c r="AK142" i="24" s="1"/>
  <c r="AC142" i="21"/>
  <c r="AK142" i="21" s="1"/>
  <c r="E143" i="27"/>
  <c r="I143" i="27"/>
  <c r="E143" i="26"/>
  <c r="I143" i="26"/>
  <c r="D143" i="25"/>
  <c r="C142" i="25"/>
  <c r="Z142" i="25" s="1"/>
  <c r="AH142" i="25" s="1"/>
  <c r="Q142" i="25"/>
  <c r="S142" i="25" s="1"/>
  <c r="AD142" i="25" s="1"/>
  <c r="AL142" i="25" s="1"/>
  <c r="W142" i="25"/>
  <c r="AN142" i="25"/>
  <c r="U142" i="25"/>
  <c r="L142" i="25"/>
  <c r="AB142" i="25" s="1"/>
  <c r="AJ142" i="25" s="1"/>
  <c r="J142" i="25"/>
  <c r="AA142" i="25" s="1"/>
  <c r="AI142" i="25" s="1"/>
  <c r="E143" i="24"/>
  <c r="I143" i="24"/>
  <c r="AC142" i="27"/>
  <c r="AK142" i="27" s="1"/>
  <c r="AC142" i="26"/>
  <c r="AK142" i="26" s="1"/>
  <c r="G142" i="23"/>
  <c r="H142" i="23"/>
  <c r="Y142" i="23" s="1"/>
  <c r="AM142" i="23" s="1"/>
  <c r="AE142" i="23"/>
  <c r="D143" i="22"/>
  <c r="C142" i="22"/>
  <c r="Z142" i="22" s="1"/>
  <c r="AH142" i="22" s="1"/>
  <c r="Q142" i="22"/>
  <c r="S142" i="22" s="1"/>
  <c r="AD142" i="22" s="1"/>
  <c r="AL142" i="22" s="1"/>
  <c r="U142" i="22"/>
  <c r="W142" i="22"/>
  <c r="AN142" i="22"/>
  <c r="L142" i="22"/>
  <c r="AB142" i="22" s="1"/>
  <c r="AJ142" i="22" s="1"/>
  <c r="J142" i="22"/>
  <c r="AA142" i="22" s="1"/>
  <c r="AI142" i="22" s="1"/>
  <c r="E143" i="21"/>
  <c r="I143" i="21"/>
  <c r="AC142" i="22" l="1"/>
  <c r="AK142" i="22" s="1"/>
  <c r="G143" i="27"/>
  <c r="H143" i="27"/>
  <c r="Y143" i="27" s="1"/>
  <c r="AM143" i="27" s="1"/>
  <c r="G143" i="26"/>
  <c r="H143" i="26"/>
  <c r="Y143" i="26" s="1"/>
  <c r="AM143" i="26" s="1"/>
  <c r="E143" i="25"/>
  <c r="I143" i="25"/>
  <c r="G143" i="24"/>
  <c r="H143" i="24"/>
  <c r="Y143" i="24" s="1"/>
  <c r="AM143" i="24" s="1"/>
  <c r="AE143" i="27"/>
  <c r="AE143" i="26"/>
  <c r="AC142" i="25"/>
  <c r="AK142" i="25" s="1"/>
  <c r="AE143" i="24"/>
  <c r="D143" i="23"/>
  <c r="C142" i="23"/>
  <c r="Z142" i="23" s="1"/>
  <c r="AH142" i="23" s="1"/>
  <c r="U142" i="23"/>
  <c r="Q142" i="23"/>
  <c r="S142" i="23" s="1"/>
  <c r="AD142" i="23" s="1"/>
  <c r="AL142" i="23" s="1"/>
  <c r="AN142" i="23"/>
  <c r="W142" i="23"/>
  <c r="L142" i="23"/>
  <c r="AB142" i="23" s="1"/>
  <c r="AJ142" i="23" s="1"/>
  <c r="J142" i="23"/>
  <c r="AA142" i="23" s="1"/>
  <c r="AI142" i="23" s="1"/>
  <c r="E143" i="22"/>
  <c r="I143" i="22"/>
  <c r="G143" i="21"/>
  <c r="H143" i="21"/>
  <c r="Y143" i="21" s="1"/>
  <c r="AM143" i="21" s="1"/>
  <c r="AE143" i="21"/>
  <c r="D144" i="27" l="1"/>
  <c r="C143" i="27"/>
  <c r="Z143" i="27" s="1"/>
  <c r="AH143" i="27" s="1"/>
  <c r="U143" i="27"/>
  <c r="W143" i="27"/>
  <c r="Q143" i="27"/>
  <c r="S143" i="27" s="1"/>
  <c r="AD143" i="27" s="1"/>
  <c r="AL143" i="27" s="1"/>
  <c r="AN143" i="27"/>
  <c r="L143" i="27"/>
  <c r="AB143" i="27" s="1"/>
  <c r="AJ143" i="27" s="1"/>
  <c r="J143" i="27"/>
  <c r="AA143" i="27" s="1"/>
  <c r="AI143" i="27" s="1"/>
  <c r="D144" i="26"/>
  <c r="C143" i="26"/>
  <c r="Z143" i="26" s="1"/>
  <c r="AH143" i="26" s="1"/>
  <c r="U143" i="26"/>
  <c r="AN143" i="26"/>
  <c r="W143" i="26"/>
  <c r="Q143" i="26"/>
  <c r="S143" i="26" s="1"/>
  <c r="AD143" i="26" s="1"/>
  <c r="AL143" i="26" s="1"/>
  <c r="L143" i="26"/>
  <c r="AB143" i="26" s="1"/>
  <c r="AJ143" i="26" s="1"/>
  <c r="J143" i="26"/>
  <c r="AA143" i="26" s="1"/>
  <c r="AI143" i="26" s="1"/>
  <c r="G143" i="25"/>
  <c r="H143" i="25"/>
  <c r="Y143" i="25" s="1"/>
  <c r="AM143" i="25" s="1"/>
  <c r="D144" i="24"/>
  <c r="C143" i="24"/>
  <c r="Z143" i="24" s="1"/>
  <c r="AH143" i="24" s="1"/>
  <c r="U143" i="24"/>
  <c r="AN143" i="24"/>
  <c r="W143" i="24"/>
  <c r="Q143" i="24"/>
  <c r="S143" i="24" s="1"/>
  <c r="AD143" i="24" s="1"/>
  <c r="AL143" i="24" s="1"/>
  <c r="L143" i="24"/>
  <c r="AB143" i="24" s="1"/>
  <c r="AJ143" i="24" s="1"/>
  <c r="J143" i="24"/>
  <c r="AA143" i="24" s="1"/>
  <c r="AI143" i="24" s="1"/>
  <c r="AE143" i="25"/>
  <c r="AC142" i="23"/>
  <c r="AK142" i="23" s="1"/>
  <c r="E143" i="23"/>
  <c r="I143" i="23"/>
  <c r="G143" i="22"/>
  <c r="H143" i="22"/>
  <c r="Y143" i="22" s="1"/>
  <c r="AM143" i="22" s="1"/>
  <c r="AE143" i="22"/>
  <c r="D144" i="21"/>
  <c r="C143" i="21"/>
  <c r="Z143" i="21" s="1"/>
  <c r="AH143" i="21" s="1"/>
  <c r="U143" i="21"/>
  <c r="W143" i="21"/>
  <c r="AN143" i="21"/>
  <c r="Q143" i="21"/>
  <c r="S143" i="21" s="1"/>
  <c r="AD143" i="21" s="1"/>
  <c r="AL143" i="21" s="1"/>
  <c r="L143" i="21"/>
  <c r="AB143" i="21" s="1"/>
  <c r="AJ143" i="21" s="1"/>
  <c r="J143" i="21"/>
  <c r="AA143" i="21" s="1"/>
  <c r="AI143" i="21" s="1"/>
  <c r="AC143" i="26" l="1"/>
  <c r="AK143" i="26" s="1"/>
  <c r="E144" i="27"/>
  <c r="I144" i="27"/>
  <c r="E144" i="26"/>
  <c r="I144" i="26"/>
  <c r="D144" i="25"/>
  <c r="C143" i="25"/>
  <c r="Z143" i="25" s="1"/>
  <c r="AH143" i="25" s="1"/>
  <c r="W143" i="25"/>
  <c r="U143" i="25"/>
  <c r="AN143" i="25"/>
  <c r="Q143" i="25"/>
  <c r="S143" i="25" s="1"/>
  <c r="AD143" i="25" s="1"/>
  <c r="AL143" i="25" s="1"/>
  <c r="L143" i="25"/>
  <c r="AB143" i="25" s="1"/>
  <c r="AJ143" i="25" s="1"/>
  <c r="J143" i="25"/>
  <c r="AA143" i="25" s="1"/>
  <c r="AI143" i="25" s="1"/>
  <c r="E144" i="24"/>
  <c r="I144" i="24"/>
  <c r="AC143" i="27"/>
  <c r="AK143" i="27" s="1"/>
  <c r="AC143" i="24"/>
  <c r="AK143" i="24" s="1"/>
  <c r="G143" i="23"/>
  <c r="H143" i="23"/>
  <c r="Y143" i="23" s="1"/>
  <c r="AM143" i="23" s="1"/>
  <c r="AE143" i="23"/>
  <c r="D144" i="22"/>
  <c r="C143" i="22"/>
  <c r="Z143" i="22" s="1"/>
  <c r="AH143" i="22" s="1"/>
  <c r="U143" i="22"/>
  <c r="W143" i="22"/>
  <c r="AN143" i="22"/>
  <c r="Q143" i="22"/>
  <c r="S143" i="22" s="1"/>
  <c r="AD143" i="22" s="1"/>
  <c r="AL143" i="22" s="1"/>
  <c r="L143" i="22"/>
  <c r="AB143" i="22" s="1"/>
  <c r="AJ143" i="22" s="1"/>
  <c r="J143" i="22"/>
  <c r="AA143" i="22" s="1"/>
  <c r="AI143" i="22" s="1"/>
  <c r="E144" i="21"/>
  <c r="I144" i="21"/>
  <c r="AC143" i="21"/>
  <c r="AK143" i="21" s="1"/>
  <c r="G144" i="27" l="1"/>
  <c r="H144" i="27"/>
  <c r="Y144" i="27" s="1"/>
  <c r="AM144" i="27" s="1"/>
  <c r="G144" i="26"/>
  <c r="H144" i="26"/>
  <c r="Y144" i="26" s="1"/>
  <c r="AM144" i="26" s="1"/>
  <c r="E144" i="25"/>
  <c r="I144" i="25"/>
  <c r="G144" i="24"/>
  <c r="H144" i="24"/>
  <c r="Y144" i="24" s="1"/>
  <c r="AM144" i="24" s="1"/>
  <c r="AE144" i="27"/>
  <c r="AE144" i="26"/>
  <c r="AC143" i="25"/>
  <c r="AK143" i="25" s="1"/>
  <c r="AE144" i="24"/>
  <c r="D144" i="23"/>
  <c r="C143" i="23"/>
  <c r="Z143" i="23" s="1"/>
  <c r="AH143" i="23" s="1"/>
  <c r="U143" i="23"/>
  <c r="W143" i="23"/>
  <c r="Q143" i="23"/>
  <c r="S143" i="23" s="1"/>
  <c r="AD143" i="23" s="1"/>
  <c r="AL143" i="23" s="1"/>
  <c r="AN143" i="23"/>
  <c r="L143" i="23"/>
  <c r="AB143" i="23" s="1"/>
  <c r="AJ143" i="23" s="1"/>
  <c r="J143" i="23"/>
  <c r="AA143" i="23" s="1"/>
  <c r="AI143" i="23" s="1"/>
  <c r="E144" i="22"/>
  <c r="I144" i="22"/>
  <c r="AC143" i="22"/>
  <c r="AK143" i="22" s="1"/>
  <c r="G144" i="21"/>
  <c r="H144" i="21"/>
  <c r="Y144" i="21" s="1"/>
  <c r="AM144" i="21" s="1"/>
  <c r="AE144" i="21"/>
  <c r="D145" i="27" l="1"/>
  <c r="C144" i="27"/>
  <c r="Z144" i="27" s="1"/>
  <c r="AH144" i="27" s="1"/>
  <c r="W144" i="27"/>
  <c r="AN144" i="27"/>
  <c r="U144" i="27"/>
  <c r="Q144" i="27"/>
  <c r="S144" i="27" s="1"/>
  <c r="AD144" i="27" s="1"/>
  <c r="AL144" i="27" s="1"/>
  <c r="L144" i="27"/>
  <c r="AB144" i="27" s="1"/>
  <c r="AJ144" i="27" s="1"/>
  <c r="J144" i="27"/>
  <c r="AA144" i="27" s="1"/>
  <c r="AI144" i="27" s="1"/>
  <c r="D145" i="26"/>
  <c r="C144" i="26"/>
  <c r="Z144" i="26" s="1"/>
  <c r="AH144" i="26" s="1"/>
  <c r="W144" i="26"/>
  <c r="Q144" i="26"/>
  <c r="S144" i="26" s="1"/>
  <c r="AD144" i="26" s="1"/>
  <c r="AL144" i="26" s="1"/>
  <c r="AN144" i="26"/>
  <c r="U144" i="26"/>
  <c r="L144" i="26"/>
  <c r="AB144" i="26" s="1"/>
  <c r="AJ144" i="26" s="1"/>
  <c r="J144" i="26"/>
  <c r="AA144" i="26" s="1"/>
  <c r="AI144" i="26" s="1"/>
  <c r="G144" i="25"/>
  <c r="H144" i="25"/>
  <c r="Y144" i="25" s="1"/>
  <c r="AM144" i="25" s="1"/>
  <c r="D145" i="24"/>
  <c r="C144" i="24"/>
  <c r="Z144" i="24" s="1"/>
  <c r="AH144" i="24" s="1"/>
  <c r="W144" i="24"/>
  <c r="AN144" i="24"/>
  <c r="U144" i="24"/>
  <c r="AC144" i="24" s="1"/>
  <c r="AK144" i="24" s="1"/>
  <c r="Q144" i="24"/>
  <c r="S144" i="24" s="1"/>
  <c r="AD144" i="24" s="1"/>
  <c r="AL144" i="24" s="1"/>
  <c r="L144" i="24"/>
  <c r="AB144" i="24" s="1"/>
  <c r="AJ144" i="24" s="1"/>
  <c r="J144" i="24"/>
  <c r="AA144" i="24" s="1"/>
  <c r="AI144" i="24" s="1"/>
  <c r="AE144" i="25"/>
  <c r="AC143" i="23"/>
  <c r="AK143" i="23" s="1"/>
  <c r="E144" i="23"/>
  <c r="I144" i="23"/>
  <c r="G144" i="22"/>
  <c r="H144" i="22"/>
  <c r="Y144" i="22" s="1"/>
  <c r="AM144" i="22" s="1"/>
  <c r="AE144" i="22"/>
  <c r="D145" i="21"/>
  <c r="C144" i="21"/>
  <c r="Z144" i="21" s="1"/>
  <c r="AH144" i="21" s="1"/>
  <c r="W144" i="21"/>
  <c r="AN144" i="21"/>
  <c r="U144" i="21"/>
  <c r="Q144" i="21"/>
  <c r="S144" i="21" s="1"/>
  <c r="AD144" i="21" s="1"/>
  <c r="AL144" i="21" s="1"/>
  <c r="J144" i="21"/>
  <c r="AA144" i="21" s="1"/>
  <c r="AI144" i="21" s="1"/>
  <c r="L144" i="21"/>
  <c r="AB144" i="21" s="1"/>
  <c r="AJ144" i="21" s="1"/>
  <c r="E145" i="27" l="1"/>
  <c r="I145" i="27"/>
  <c r="E145" i="26"/>
  <c r="I145" i="26"/>
  <c r="D145" i="25"/>
  <c r="C144" i="25"/>
  <c r="Z144" i="25" s="1"/>
  <c r="AH144" i="25" s="1"/>
  <c r="Q144" i="25"/>
  <c r="S144" i="25" s="1"/>
  <c r="AD144" i="25" s="1"/>
  <c r="AL144" i="25" s="1"/>
  <c r="W144" i="25"/>
  <c r="AN144" i="25"/>
  <c r="U144" i="25"/>
  <c r="J144" i="25"/>
  <c r="AA144" i="25" s="1"/>
  <c r="AI144" i="25" s="1"/>
  <c r="L144" i="25"/>
  <c r="AB144" i="25" s="1"/>
  <c r="AJ144" i="25" s="1"/>
  <c r="E145" i="24"/>
  <c r="I145" i="24"/>
  <c r="AC144" i="27"/>
  <c r="AK144" i="27" s="1"/>
  <c r="AC144" i="26"/>
  <c r="AK144" i="26" s="1"/>
  <c r="G144" i="23"/>
  <c r="H144" i="23"/>
  <c r="Y144" i="23" s="1"/>
  <c r="AM144" i="23" s="1"/>
  <c r="AE144" i="23"/>
  <c r="D145" i="22"/>
  <c r="C144" i="22"/>
  <c r="Z144" i="22" s="1"/>
  <c r="AH144" i="22" s="1"/>
  <c r="W144" i="22"/>
  <c r="Q144" i="22"/>
  <c r="S144" i="22" s="1"/>
  <c r="AD144" i="22" s="1"/>
  <c r="AL144" i="22" s="1"/>
  <c r="U144" i="22"/>
  <c r="AN144" i="22"/>
  <c r="L144" i="22"/>
  <c r="AB144" i="22" s="1"/>
  <c r="AJ144" i="22" s="1"/>
  <c r="J144" i="22"/>
  <c r="AA144" i="22" s="1"/>
  <c r="AI144" i="22" s="1"/>
  <c r="E145" i="21"/>
  <c r="I145" i="21"/>
  <c r="AC144" i="21"/>
  <c r="AK144" i="21" s="1"/>
  <c r="G145" i="27" l="1"/>
  <c r="H145" i="27"/>
  <c r="Y145" i="27" s="1"/>
  <c r="AM145" i="27" s="1"/>
  <c r="G145" i="26"/>
  <c r="H145" i="26"/>
  <c r="Y145" i="26" s="1"/>
  <c r="AM145" i="26" s="1"/>
  <c r="E145" i="25"/>
  <c r="I145" i="25"/>
  <c r="G145" i="24"/>
  <c r="H145" i="24"/>
  <c r="Y145" i="24" s="1"/>
  <c r="AM145" i="24" s="1"/>
  <c r="AE145" i="27"/>
  <c r="AE145" i="26"/>
  <c r="AC144" i="25"/>
  <c r="AK144" i="25" s="1"/>
  <c r="AE145" i="24"/>
  <c r="D145" i="23"/>
  <c r="C144" i="23"/>
  <c r="Z144" i="23" s="1"/>
  <c r="AH144" i="23" s="1"/>
  <c r="W144" i="23"/>
  <c r="Q144" i="23"/>
  <c r="S144" i="23" s="1"/>
  <c r="AD144" i="23" s="1"/>
  <c r="AL144" i="23" s="1"/>
  <c r="U144" i="23"/>
  <c r="AN144" i="23"/>
  <c r="L144" i="23"/>
  <c r="AB144" i="23" s="1"/>
  <c r="AJ144" i="23" s="1"/>
  <c r="J144" i="23"/>
  <c r="AA144" i="23" s="1"/>
  <c r="AI144" i="23" s="1"/>
  <c r="E145" i="22"/>
  <c r="I145" i="22"/>
  <c r="AC144" i="22"/>
  <c r="AK144" i="22" s="1"/>
  <c r="G145" i="21"/>
  <c r="H145" i="21"/>
  <c r="Y145" i="21" s="1"/>
  <c r="AM145" i="21" s="1"/>
  <c r="AE145" i="21"/>
  <c r="AC144" i="23" l="1"/>
  <c r="AK144" i="23" s="1"/>
  <c r="D146" i="27"/>
  <c r="C145" i="27"/>
  <c r="Z145" i="27" s="1"/>
  <c r="AH145" i="27" s="1"/>
  <c r="W145" i="27"/>
  <c r="U145" i="27"/>
  <c r="Q145" i="27"/>
  <c r="S145" i="27" s="1"/>
  <c r="AD145" i="27" s="1"/>
  <c r="AL145" i="27" s="1"/>
  <c r="AN145" i="27"/>
  <c r="L145" i="27"/>
  <c r="AB145" i="27" s="1"/>
  <c r="AJ145" i="27" s="1"/>
  <c r="J145" i="27"/>
  <c r="AA145" i="27" s="1"/>
  <c r="AI145" i="27" s="1"/>
  <c r="D146" i="26"/>
  <c r="C145" i="26"/>
  <c r="Z145" i="26" s="1"/>
  <c r="AH145" i="26" s="1"/>
  <c r="U145" i="26"/>
  <c r="Q145" i="26"/>
  <c r="S145" i="26" s="1"/>
  <c r="AD145" i="26" s="1"/>
  <c r="AL145" i="26" s="1"/>
  <c r="W145" i="26"/>
  <c r="AC145" i="26" s="1"/>
  <c r="AK145" i="26" s="1"/>
  <c r="AN145" i="26"/>
  <c r="L145" i="26"/>
  <c r="AB145" i="26" s="1"/>
  <c r="AJ145" i="26" s="1"/>
  <c r="J145" i="26"/>
  <c r="AA145" i="26" s="1"/>
  <c r="AI145" i="26" s="1"/>
  <c r="G145" i="25"/>
  <c r="H145" i="25"/>
  <c r="Y145" i="25" s="1"/>
  <c r="AM145" i="25" s="1"/>
  <c r="D146" i="24"/>
  <c r="C145" i="24"/>
  <c r="Z145" i="24" s="1"/>
  <c r="AH145" i="24" s="1"/>
  <c r="AN145" i="24"/>
  <c r="W145" i="24"/>
  <c r="Q145" i="24"/>
  <c r="S145" i="24" s="1"/>
  <c r="AD145" i="24" s="1"/>
  <c r="AL145" i="24" s="1"/>
  <c r="U145" i="24"/>
  <c r="L145" i="24"/>
  <c r="AB145" i="24" s="1"/>
  <c r="AJ145" i="24" s="1"/>
  <c r="J145" i="24"/>
  <c r="AA145" i="24" s="1"/>
  <c r="AI145" i="24" s="1"/>
  <c r="AE145" i="25"/>
  <c r="E145" i="23"/>
  <c r="I145" i="23"/>
  <c r="G145" i="22"/>
  <c r="H145" i="22"/>
  <c r="Y145" i="22" s="1"/>
  <c r="AM145" i="22" s="1"/>
  <c r="AE145" i="22"/>
  <c r="D146" i="21"/>
  <c r="C145" i="21"/>
  <c r="Z145" i="21" s="1"/>
  <c r="AH145" i="21" s="1"/>
  <c r="U145" i="21"/>
  <c r="Q145" i="21"/>
  <c r="S145" i="21" s="1"/>
  <c r="AD145" i="21" s="1"/>
  <c r="AL145" i="21" s="1"/>
  <c r="AN145" i="21"/>
  <c r="W145" i="21"/>
  <c r="J145" i="21"/>
  <c r="AA145" i="21" s="1"/>
  <c r="AI145" i="21" s="1"/>
  <c r="L145" i="21"/>
  <c r="AB145" i="21" s="1"/>
  <c r="AJ145" i="21" s="1"/>
  <c r="AC145" i="27" l="1"/>
  <c r="AK145" i="27" s="1"/>
  <c r="AC145" i="21"/>
  <c r="AK145" i="21" s="1"/>
  <c r="E146" i="27"/>
  <c r="I146" i="27"/>
  <c r="E146" i="26"/>
  <c r="I146" i="26"/>
  <c r="D146" i="25"/>
  <c r="C145" i="25"/>
  <c r="Z145" i="25" s="1"/>
  <c r="AH145" i="25" s="1"/>
  <c r="U145" i="25"/>
  <c r="W145" i="25"/>
  <c r="Q145" i="25"/>
  <c r="S145" i="25" s="1"/>
  <c r="AD145" i="25" s="1"/>
  <c r="AL145" i="25" s="1"/>
  <c r="AN145" i="25"/>
  <c r="L145" i="25"/>
  <c r="AB145" i="25" s="1"/>
  <c r="AJ145" i="25" s="1"/>
  <c r="J145" i="25"/>
  <c r="AA145" i="25" s="1"/>
  <c r="AI145" i="25" s="1"/>
  <c r="E146" i="24"/>
  <c r="I146" i="24"/>
  <c r="AC145" i="24"/>
  <c r="AK145" i="24" s="1"/>
  <c r="G145" i="23"/>
  <c r="H145" i="23"/>
  <c r="Y145" i="23" s="1"/>
  <c r="AM145" i="23" s="1"/>
  <c r="AE145" i="23"/>
  <c r="D146" i="22"/>
  <c r="C145" i="22"/>
  <c r="Z145" i="22" s="1"/>
  <c r="AH145" i="22" s="1"/>
  <c r="Q145" i="22"/>
  <c r="S145" i="22" s="1"/>
  <c r="AD145" i="22" s="1"/>
  <c r="AL145" i="22" s="1"/>
  <c r="AN145" i="22"/>
  <c r="W145" i="22"/>
  <c r="U145" i="22"/>
  <c r="L145" i="22"/>
  <c r="AB145" i="22" s="1"/>
  <c r="AJ145" i="22" s="1"/>
  <c r="J145" i="22"/>
  <c r="AA145" i="22" s="1"/>
  <c r="AI145" i="22" s="1"/>
  <c r="E146" i="21"/>
  <c r="I146" i="21"/>
  <c r="AC145" i="25" l="1"/>
  <c r="AK145" i="25" s="1"/>
  <c r="G146" i="27"/>
  <c r="H146" i="27"/>
  <c r="Y146" i="27" s="1"/>
  <c r="AM146" i="27" s="1"/>
  <c r="G146" i="26"/>
  <c r="H146" i="26"/>
  <c r="Y146" i="26" s="1"/>
  <c r="AM146" i="26" s="1"/>
  <c r="E146" i="25"/>
  <c r="I146" i="25"/>
  <c r="G146" i="24"/>
  <c r="H146" i="24"/>
  <c r="Y146" i="24" s="1"/>
  <c r="AM146" i="24" s="1"/>
  <c r="AE146" i="27"/>
  <c r="AE146" i="26"/>
  <c r="AE146" i="24"/>
  <c r="D146" i="23"/>
  <c r="C145" i="23"/>
  <c r="Z145" i="23" s="1"/>
  <c r="AH145" i="23" s="1"/>
  <c r="W145" i="23"/>
  <c r="AN145" i="23"/>
  <c r="U145" i="23"/>
  <c r="Q145" i="23"/>
  <c r="S145" i="23" s="1"/>
  <c r="AD145" i="23" s="1"/>
  <c r="AL145" i="23" s="1"/>
  <c r="L145" i="23"/>
  <c r="AB145" i="23" s="1"/>
  <c r="AJ145" i="23" s="1"/>
  <c r="J145" i="23"/>
  <c r="AA145" i="23" s="1"/>
  <c r="AI145" i="23" s="1"/>
  <c r="E146" i="22"/>
  <c r="I146" i="22"/>
  <c r="AC145" i="22"/>
  <c r="AK145" i="22" s="1"/>
  <c r="G146" i="21"/>
  <c r="H146" i="21"/>
  <c r="Y146" i="21" s="1"/>
  <c r="AM146" i="21" s="1"/>
  <c r="AE146" i="21"/>
  <c r="AC145" i="23" l="1"/>
  <c r="AK145" i="23" s="1"/>
  <c r="D147" i="27"/>
  <c r="C146" i="27"/>
  <c r="Z146" i="27" s="1"/>
  <c r="AH146" i="27" s="1"/>
  <c r="Q146" i="27"/>
  <c r="S146" i="27" s="1"/>
  <c r="AD146" i="27" s="1"/>
  <c r="AL146" i="27" s="1"/>
  <c r="U146" i="27"/>
  <c r="W146" i="27"/>
  <c r="AN146" i="27"/>
  <c r="L146" i="27"/>
  <c r="AB146" i="27" s="1"/>
  <c r="AJ146" i="27" s="1"/>
  <c r="J146" i="27"/>
  <c r="AA146" i="27" s="1"/>
  <c r="AI146" i="27" s="1"/>
  <c r="D147" i="26"/>
  <c r="C146" i="26"/>
  <c r="Z146" i="26" s="1"/>
  <c r="AH146" i="26" s="1"/>
  <c r="U146" i="26"/>
  <c r="Q146" i="26"/>
  <c r="S146" i="26" s="1"/>
  <c r="AD146" i="26" s="1"/>
  <c r="AL146" i="26" s="1"/>
  <c r="AN146" i="26"/>
  <c r="W146" i="26"/>
  <c r="J146" i="26"/>
  <c r="AA146" i="26" s="1"/>
  <c r="AI146" i="26" s="1"/>
  <c r="L146" i="26"/>
  <c r="AB146" i="26" s="1"/>
  <c r="AJ146" i="26" s="1"/>
  <c r="G146" i="25"/>
  <c r="H146" i="25"/>
  <c r="Y146" i="25" s="1"/>
  <c r="AM146" i="25" s="1"/>
  <c r="Q146" i="24"/>
  <c r="S146" i="24" s="1"/>
  <c r="AD146" i="24" s="1"/>
  <c r="AL146" i="24" s="1"/>
  <c r="U146" i="24"/>
  <c r="W146" i="24"/>
  <c r="AN146" i="24"/>
  <c r="J146" i="24"/>
  <c r="AA146" i="24" s="1"/>
  <c r="AI146" i="24" s="1"/>
  <c r="L146" i="24"/>
  <c r="AB146" i="24" s="1"/>
  <c r="AJ146" i="24" s="1"/>
  <c r="D147" i="24"/>
  <c r="C146" i="24"/>
  <c r="Z146" i="24" s="1"/>
  <c r="AH146" i="24" s="1"/>
  <c r="AE146" i="25"/>
  <c r="E146" i="23"/>
  <c r="I146" i="23"/>
  <c r="G146" i="22"/>
  <c r="H146" i="22"/>
  <c r="Y146" i="22" s="1"/>
  <c r="AM146" i="22" s="1"/>
  <c r="AE146" i="22"/>
  <c r="D147" i="21"/>
  <c r="C146" i="21"/>
  <c r="Z146" i="21" s="1"/>
  <c r="AH146" i="21" s="1"/>
  <c r="U146" i="21"/>
  <c r="Q146" i="21"/>
  <c r="S146" i="21" s="1"/>
  <c r="AD146" i="21" s="1"/>
  <c r="AL146" i="21" s="1"/>
  <c r="W146" i="21"/>
  <c r="AN146" i="21"/>
  <c r="J146" i="21"/>
  <c r="AA146" i="21" s="1"/>
  <c r="AI146" i="21" s="1"/>
  <c r="L146" i="21"/>
  <c r="AB146" i="21" s="1"/>
  <c r="AJ146" i="21" s="1"/>
  <c r="E147" i="27" l="1"/>
  <c r="I147" i="27"/>
  <c r="E147" i="26"/>
  <c r="I147" i="26"/>
  <c r="D147" i="25"/>
  <c r="C146" i="25"/>
  <c r="Z146" i="25" s="1"/>
  <c r="AH146" i="25" s="1"/>
  <c r="Q146" i="25"/>
  <c r="S146" i="25" s="1"/>
  <c r="AD146" i="25" s="1"/>
  <c r="AL146" i="25" s="1"/>
  <c r="U146" i="25"/>
  <c r="AN146" i="25"/>
  <c r="W146" i="25"/>
  <c r="L146" i="25"/>
  <c r="AB146" i="25" s="1"/>
  <c r="AJ146" i="25" s="1"/>
  <c r="J146" i="25"/>
  <c r="AA146" i="25" s="1"/>
  <c r="AI146" i="25" s="1"/>
  <c r="E147" i="24"/>
  <c r="I147" i="24"/>
  <c r="AC146" i="27"/>
  <c r="AK146" i="27" s="1"/>
  <c r="AC146" i="26"/>
  <c r="AK146" i="26" s="1"/>
  <c r="AC146" i="24"/>
  <c r="AK146" i="24" s="1"/>
  <c r="G146" i="23"/>
  <c r="H146" i="23"/>
  <c r="Y146" i="23" s="1"/>
  <c r="AM146" i="23" s="1"/>
  <c r="AE146" i="23"/>
  <c r="D147" i="22"/>
  <c r="C146" i="22"/>
  <c r="Z146" i="22" s="1"/>
  <c r="AH146" i="22" s="1"/>
  <c r="W146" i="22"/>
  <c r="U146" i="22"/>
  <c r="Q146" i="22"/>
  <c r="S146" i="22" s="1"/>
  <c r="AD146" i="22" s="1"/>
  <c r="AL146" i="22" s="1"/>
  <c r="AN146" i="22"/>
  <c r="L146" i="22"/>
  <c r="AB146" i="22" s="1"/>
  <c r="AJ146" i="22" s="1"/>
  <c r="J146" i="22"/>
  <c r="AA146" i="22" s="1"/>
  <c r="AI146" i="22" s="1"/>
  <c r="E147" i="21"/>
  <c r="I147" i="21"/>
  <c r="AC146" i="21"/>
  <c r="AK146" i="21" s="1"/>
  <c r="AC146" i="25" l="1"/>
  <c r="AK146" i="25" s="1"/>
  <c r="AC146" i="22"/>
  <c r="AK146" i="22" s="1"/>
  <c r="G147" i="27"/>
  <c r="H147" i="27"/>
  <c r="Y147" i="27" s="1"/>
  <c r="AM147" i="27" s="1"/>
  <c r="G147" i="26"/>
  <c r="H147" i="26"/>
  <c r="Y147" i="26" s="1"/>
  <c r="AM147" i="26" s="1"/>
  <c r="E147" i="25"/>
  <c r="I147" i="25"/>
  <c r="G147" i="24"/>
  <c r="H147" i="24"/>
  <c r="Y147" i="24" s="1"/>
  <c r="AM147" i="24" s="1"/>
  <c r="AE147" i="27"/>
  <c r="AE147" i="26"/>
  <c r="AE147" i="24"/>
  <c r="D147" i="23"/>
  <c r="C146" i="23"/>
  <c r="Z146" i="23" s="1"/>
  <c r="AH146" i="23" s="1"/>
  <c r="Q146" i="23"/>
  <c r="S146" i="23" s="1"/>
  <c r="AD146" i="23" s="1"/>
  <c r="AL146" i="23" s="1"/>
  <c r="AN146" i="23"/>
  <c r="U146" i="23"/>
  <c r="W146" i="23"/>
  <c r="L146" i="23"/>
  <c r="AB146" i="23" s="1"/>
  <c r="AJ146" i="23" s="1"/>
  <c r="J146" i="23"/>
  <c r="AA146" i="23" s="1"/>
  <c r="AI146" i="23" s="1"/>
  <c r="E147" i="22"/>
  <c r="I147" i="22"/>
  <c r="G147" i="21"/>
  <c r="H147" i="21"/>
  <c r="Y147" i="21" s="1"/>
  <c r="AM147" i="21" s="1"/>
  <c r="AE147" i="21"/>
  <c r="D148" i="27" l="1"/>
  <c r="C147" i="27"/>
  <c r="Z147" i="27" s="1"/>
  <c r="AH147" i="27" s="1"/>
  <c r="U147" i="27"/>
  <c r="W147" i="27"/>
  <c r="AN147" i="27"/>
  <c r="Q147" i="27"/>
  <c r="S147" i="27" s="1"/>
  <c r="AD147" i="27" s="1"/>
  <c r="AL147" i="27" s="1"/>
  <c r="J147" i="27"/>
  <c r="AA147" i="27" s="1"/>
  <c r="AI147" i="27" s="1"/>
  <c r="L147" i="27"/>
  <c r="AB147" i="27" s="1"/>
  <c r="AJ147" i="27" s="1"/>
  <c r="D148" i="26"/>
  <c r="C147" i="26"/>
  <c r="Z147" i="26" s="1"/>
  <c r="AH147" i="26" s="1"/>
  <c r="U147" i="26"/>
  <c r="AN147" i="26"/>
  <c r="Q147" i="26"/>
  <c r="S147" i="26" s="1"/>
  <c r="AD147" i="26" s="1"/>
  <c r="AL147" i="26" s="1"/>
  <c r="W147" i="26"/>
  <c r="L147" i="26"/>
  <c r="AB147" i="26" s="1"/>
  <c r="AJ147" i="26" s="1"/>
  <c r="J147" i="26"/>
  <c r="AA147" i="26" s="1"/>
  <c r="AI147" i="26" s="1"/>
  <c r="G147" i="25"/>
  <c r="H147" i="25"/>
  <c r="Y147" i="25" s="1"/>
  <c r="AM147" i="25" s="1"/>
  <c r="D148" i="24"/>
  <c r="C147" i="24"/>
  <c r="Z147" i="24" s="1"/>
  <c r="AH147" i="24" s="1"/>
  <c r="W147" i="24"/>
  <c r="U147" i="24"/>
  <c r="Q147" i="24"/>
  <c r="S147" i="24" s="1"/>
  <c r="AD147" i="24" s="1"/>
  <c r="AL147" i="24" s="1"/>
  <c r="AN147" i="24"/>
  <c r="L147" i="24"/>
  <c r="AB147" i="24" s="1"/>
  <c r="AJ147" i="24" s="1"/>
  <c r="J147" i="24"/>
  <c r="AA147" i="24" s="1"/>
  <c r="AI147" i="24" s="1"/>
  <c r="AE147" i="25"/>
  <c r="AC146" i="23"/>
  <c r="AK146" i="23" s="1"/>
  <c r="E147" i="23"/>
  <c r="I147" i="23"/>
  <c r="G147" i="22"/>
  <c r="H147" i="22"/>
  <c r="Y147" i="22" s="1"/>
  <c r="AM147" i="22" s="1"/>
  <c r="AE147" i="22"/>
  <c r="D148" i="21"/>
  <c r="C147" i="21"/>
  <c r="Z147" i="21" s="1"/>
  <c r="AH147" i="21" s="1"/>
  <c r="U147" i="21"/>
  <c r="W147" i="21"/>
  <c r="Q147" i="21"/>
  <c r="S147" i="21" s="1"/>
  <c r="AD147" i="21" s="1"/>
  <c r="AL147" i="21" s="1"/>
  <c r="AN147" i="21"/>
  <c r="L147" i="21"/>
  <c r="AB147" i="21" s="1"/>
  <c r="AJ147" i="21" s="1"/>
  <c r="J147" i="21"/>
  <c r="AA147" i="21" s="1"/>
  <c r="AI147" i="21" s="1"/>
  <c r="E148" i="27" l="1"/>
  <c r="I148" i="27"/>
  <c r="E148" i="26"/>
  <c r="I148" i="26"/>
  <c r="D148" i="25"/>
  <c r="C147" i="25"/>
  <c r="Z147" i="25" s="1"/>
  <c r="AH147" i="25" s="1"/>
  <c r="U147" i="25"/>
  <c r="AN147" i="25"/>
  <c r="Q147" i="25"/>
  <c r="S147" i="25" s="1"/>
  <c r="AD147" i="25" s="1"/>
  <c r="AL147" i="25" s="1"/>
  <c r="W147" i="25"/>
  <c r="L147" i="25"/>
  <c r="AB147" i="25" s="1"/>
  <c r="AJ147" i="25" s="1"/>
  <c r="J147" i="25"/>
  <c r="AA147" i="25" s="1"/>
  <c r="AI147" i="25" s="1"/>
  <c r="E148" i="24"/>
  <c r="I148" i="24"/>
  <c r="AC147" i="27"/>
  <c r="AK147" i="27" s="1"/>
  <c r="AC147" i="26"/>
  <c r="AK147" i="26" s="1"/>
  <c r="AC147" i="24"/>
  <c r="AK147" i="24" s="1"/>
  <c r="G147" i="23"/>
  <c r="H147" i="23"/>
  <c r="Y147" i="23" s="1"/>
  <c r="AM147" i="23" s="1"/>
  <c r="AE147" i="23"/>
  <c r="D148" i="22"/>
  <c r="C147" i="22"/>
  <c r="Z147" i="22" s="1"/>
  <c r="AH147" i="22" s="1"/>
  <c r="U147" i="22"/>
  <c r="W147" i="22"/>
  <c r="AN147" i="22"/>
  <c r="Q147" i="22"/>
  <c r="S147" i="22" s="1"/>
  <c r="AD147" i="22" s="1"/>
  <c r="AL147" i="22" s="1"/>
  <c r="L147" i="22"/>
  <c r="AB147" i="22" s="1"/>
  <c r="AJ147" i="22" s="1"/>
  <c r="J147" i="22"/>
  <c r="AA147" i="22"/>
  <c r="AI147" i="22" s="1"/>
  <c r="E148" i="21"/>
  <c r="I148" i="21"/>
  <c r="AC147" i="21"/>
  <c r="AK147" i="21" s="1"/>
  <c r="AC147" i="25" l="1"/>
  <c r="AK147" i="25" s="1"/>
  <c r="AC147" i="22"/>
  <c r="AK147" i="22" s="1"/>
  <c r="G148" i="27"/>
  <c r="H148" i="27"/>
  <c r="Y148" i="27" s="1"/>
  <c r="AM148" i="27" s="1"/>
  <c r="G148" i="26"/>
  <c r="H148" i="26"/>
  <c r="Y148" i="26" s="1"/>
  <c r="AM148" i="26" s="1"/>
  <c r="E148" i="25"/>
  <c r="I148" i="25"/>
  <c r="G148" i="24"/>
  <c r="H148" i="24"/>
  <c r="AE148" i="27"/>
  <c r="AE148" i="26"/>
  <c r="Y148" i="24"/>
  <c r="AM148" i="24" s="1"/>
  <c r="AE148" i="24"/>
  <c r="D148" i="23"/>
  <c r="C147" i="23"/>
  <c r="Z147" i="23" s="1"/>
  <c r="AH147" i="23" s="1"/>
  <c r="U147" i="23"/>
  <c r="Q147" i="23"/>
  <c r="S147" i="23" s="1"/>
  <c r="AD147" i="23" s="1"/>
  <c r="AL147" i="23" s="1"/>
  <c r="W147" i="23"/>
  <c r="AN147" i="23"/>
  <c r="L147" i="23"/>
  <c r="AB147" i="23" s="1"/>
  <c r="AJ147" i="23" s="1"/>
  <c r="J147" i="23"/>
  <c r="AA147" i="23" s="1"/>
  <c r="AI147" i="23" s="1"/>
  <c r="E148" i="22"/>
  <c r="I148" i="22"/>
  <c r="G148" i="21"/>
  <c r="H148" i="21"/>
  <c r="Y148" i="21" s="1"/>
  <c r="AM148" i="21" s="1"/>
  <c r="AE148" i="21"/>
  <c r="D149" i="27" l="1"/>
  <c r="C148" i="27"/>
  <c r="Z148" i="27" s="1"/>
  <c r="AH148" i="27" s="1"/>
  <c r="W148" i="27"/>
  <c r="Q148" i="27"/>
  <c r="S148" i="27" s="1"/>
  <c r="AD148" i="27" s="1"/>
  <c r="AL148" i="27" s="1"/>
  <c r="U148" i="27"/>
  <c r="AN148" i="27"/>
  <c r="L148" i="27"/>
  <c r="AB148" i="27" s="1"/>
  <c r="AJ148" i="27" s="1"/>
  <c r="J148" i="27"/>
  <c r="AA148" i="27" s="1"/>
  <c r="AI148" i="27" s="1"/>
  <c r="D149" i="26"/>
  <c r="C148" i="26"/>
  <c r="Z148" i="26" s="1"/>
  <c r="AH148" i="26" s="1"/>
  <c r="W148" i="26"/>
  <c r="AN148" i="26"/>
  <c r="U148" i="26"/>
  <c r="Q148" i="26"/>
  <c r="S148" i="26" s="1"/>
  <c r="AD148" i="26" s="1"/>
  <c r="AL148" i="26" s="1"/>
  <c r="L148" i="26"/>
  <c r="AB148" i="26" s="1"/>
  <c r="AJ148" i="26" s="1"/>
  <c r="J148" i="26"/>
  <c r="AA148" i="26" s="1"/>
  <c r="AI148" i="26" s="1"/>
  <c r="G148" i="25"/>
  <c r="H148" i="25"/>
  <c r="Y148" i="25" s="1"/>
  <c r="AM148" i="25" s="1"/>
  <c r="D149" i="24"/>
  <c r="C148" i="24"/>
  <c r="Z148" i="24" s="1"/>
  <c r="AH148" i="24" s="1"/>
  <c r="W148" i="24"/>
  <c r="Q148" i="24"/>
  <c r="S148" i="24" s="1"/>
  <c r="AD148" i="24" s="1"/>
  <c r="AL148" i="24" s="1"/>
  <c r="AN148" i="24"/>
  <c r="U148" i="24"/>
  <c r="L148" i="24"/>
  <c r="AB148" i="24" s="1"/>
  <c r="AJ148" i="24" s="1"/>
  <c r="J148" i="24"/>
  <c r="AA148" i="24" s="1"/>
  <c r="AI148" i="24" s="1"/>
  <c r="AE148" i="25"/>
  <c r="AC147" i="23"/>
  <c r="AK147" i="23" s="1"/>
  <c r="E148" i="23"/>
  <c r="I148" i="23"/>
  <c r="G148" i="22"/>
  <c r="H148" i="22"/>
  <c r="Y148" i="22" s="1"/>
  <c r="AM148" i="22" s="1"/>
  <c r="AE148" i="22"/>
  <c r="D149" i="21"/>
  <c r="C148" i="21"/>
  <c r="Z148" i="21" s="1"/>
  <c r="AH148" i="21" s="1"/>
  <c r="W148" i="21"/>
  <c r="AN148" i="21"/>
  <c r="U148" i="21"/>
  <c r="Q148" i="21"/>
  <c r="S148" i="21" s="1"/>
  <c r="AD148" i="21" s="1"/>
  <c r="AL148" i="21" s="1"/>
  <c r="J148" i="21"/>
  <c r="AA148" i="21" s="1"/>
  <c r="AI148" i="21" s="1"/>
  <c r="L148" i="21"/>
  <c r="AB148" i="21" s="1"/>
  <c r="AJ148" i="21" s="1"/>
  <c r="AC148" i="27" l="1"/>
  <c r="AK148" i="27" s="1"/>
  <c r="E149" i="27"/>
  <c r="I149" i="27"/>
  <c r="E149" i="26"/>
  <c r="I149" i="26"/>
  <c r="D149" i="25"/>
  <c r="C148" i="25"/>
  <c r="Z148" i="25" s="1"/>
  <c r="AH148" i="25" s="1"/>
  <c r="Q148" i="25"/>
  <c r="S148" i="25" s="1"/>
  <c r="AD148" i="25" s="1"/>
  <c r="AL148" i="25" s="1"/>
  <c r="W148" i="25"/>
  <c r="U148" i="25"/>
  <c r="AN148" i="25"/>
  <c r="L148" i="25"/>
  <c r="AB148" i="25" s="1"/>
  <c r="AJ148" i="25" s="1"/>
  <c r="J148" i="25"/>
  <c r="AA148" i="25" s="1"/>
  <c r="AI148" i="25" s="1"/>
  <c r="E149" i="24"/>
  <c r="I149" i="24"/>
  <c r="AC148" i="26"/>
  <c r="AK148" i="26" s="1"/>
  <c r="AC148" i="24"/>
  <c r="AK148" i="24" s="1"/>
  <c r="G148" i="23"/>
  <c r="H148" i="23"/>
  <c r="Y148" i="23" s="1"/>
  <c r="AM148" i="23" s="1"/>
  <c r="AE148" i="23"/>
  <c r="D149" i="22"/>
  <c r="C148" i="22"/>
  <c r="Z148" i="22" s="1"/>
  <c r="AH148" i="22" s="1"/>
  <c r="W148" i="22"/>
  <c r="Q148" i="22"/>
  <c r="S148" i="22" s="1"/>
  <c r="AD148" i="22" s="1"/>
  <c r="AL148" i="22" s="1"/>
  <c r="U148" i="22"/>
  <c r="AN148" i="22"/>
  <c r="L148" i="22"/>
  <c r="AB148" i="22" s="1"/>
  <c r="AJ148" i="22" s="1"/>
  <c r="J148" i="22"/>
  <c r="AA148" i="22" s="1"/>
  <c r="AI148" i="22" s="1"/>
  <c r="E149" i="21"/>
  <c r="I149" i="21"/>
  <c r="AC148" i="21"/>
  <c r="AK148" i="21" s="1"/>
  <c r="AC148" i="25" l="1"/>
  <c r="AK148" i="25" s="1"/>
  <c r="G149" i="27"/>
  <c r="H149" i="27"/>
  <c r="Y149" i="27" s="1"/>
  <c r="AM149" i="27" s="1"/>
  <c r="G149" i="26"/>
  <c r="H149" i="26"/>
  <c r="Y149" i="26" s="1"/>
  <c r="AM149" i="26" s="1"/>
  <c r="E149" i="25"/>
  <c r="I149" i="25"/>
  <c r="G149" i="24"/>
  <c r="H149" i="24"/>
  <c r="Y149" i="24" s="1"/>
  <c r="AM149" i="24" s="1"/>
  <c r="AE149" i="27"/>
  <c r="AE149" i="26"/>
  <c r="AE149" i="24"/>
  <c r="D149" i="23"/>
  <c r="C148" i="23"/>
  <c r="Z148" i="23" s="1"/>
  <c r="AH148" i="23" s="1"/>
  <c r="W148" i="23"/>
  <c r="AN148" i="23"/>
  <c r="U148" i="23"/>
  <c r="Q148" i="23"/>
  <c r="S148" i="23" s="1"/>
  <c r="AD148" i="23" s="1"/>
  <c r="AL148" i="23" s="1"/>
  <c r="L148" i="23"/>
  <c r="AB148" i="23" s="1"/>
  <c r="AJ148" i="23" s="1"/>
  <c r="J148" i="23"/>
  <c r="AA148" i="23" s="1"/>
  <c r="AI148" i="23" s="1"/>
  <c r="E149" i="22"/>
  <c r="I149" i="22"/>
  <c r="AC148" i="22"/>
  <c r="AK148" i="22" s="1"/>
  <c r="G149" i="21"/>
  <c r="H149" i="21"/>
  <c r="Y149" i="21"/>
  <c r="AM149" i="21" s="1"/>
  <c r="AE149" i="21"/>
  <c r="AC148" i="23" l="1"/>
  <c r="AK148" i="23" s="1"/>
  <c r="D150" i="27"/>
  <c r="C149" i="27"/>
  <c r="Z149" i="27" s="1"/>
  <c r="AH149" i="27" s="1"/>
  <c r="AN149" i="27"/>
  <c r="U149" i="27"/>
  <c r="W149" i="27"/>
  <c r="Q149" i="27"/>
  <c r="S149" i="27" s="1"/>
  <c r="AD149" i="27" s="1"/>
  <c r="AL149" i="27" s="1"/>
  <c r="L149" i="27"/>
  <c r="AB149" i="27" s="1"/>
  <c r="AJ149" i="27" s="1"/>
  <c r="J149" i="27"/>
  <c r="AA149" i="27" s="1"/>
  <c r="AI149" i="27" s="1"/>
  <c r="D150" i="26"/>
  <c r="C149" i="26"/>
  <c r="Z149" i="26" s="1"/>
  <c r="AH149" i="26" s="1"/>
  <c r="U149" i="26"/>
  <c r="Q149" i="26"/>
  <c r="S149" i="26" s="1"/>
  <c r="AD149" i="26" s="1"/>
  <c r="AL149" i="26" s="1"/>
  <c r="AN149" i="26"/>
  <c r="W149" i="26"/>
  <c r="J149" i="26"/>
  <c r="AA149" i="26" s="1"/>
  <c r="AI149" i="26" s="1"/>
  <c r="L149" i="26"/>
  <c r="AB149" i="26" s="1"/>
  <c r="AJ149" i="26" s="1"/>
  <c r="G149" i="25"/>
  <c r="H149" i="25"/>
  <c r="Y149" i="25" s="1"/>
  <c r="AM149" i="25" s="1"/>
  <c r="D150" i="24"/>
  <c r="C149" i="24"/>
  <c r="Z149" i="24" s="1"/>
  <c r="AH149" i="24" s="1"/>
  <c r="Q149" i="24"/>
  <c r="S149" i="24" s="1"/>
  <c r="AD149" i="24" s="1"/>
  <c r="AL149" i="24" s="1"/>
  <c r="U149" i="24"/>
  <c r="AN149" i="24"/>
  <c r="W149" i="24"/>
  <c r="L149" i="24"/>
  <c r="AB149" i="24" s="1"/>
  <c r="AJ149" i="24" s="1"/>
  <c r="J149" i="24"/>
  <c r="AA149" i="24" s="1"/>
  <c r="AI149" i="24" s="1"/>
  <c r="AE149" i="25"/>
  <c r="E149" i="23"/>
  <c r="I149" i="23"/>
  <c r="G149" i="22"/>
  <c r="H149" i="22"/>
  <c r="Y149" i="22" s="1"/>
  <c r="AM149" i="22" s="1"/>
  <c r="AE149" i="22"/>
  <c r="D150" i="21"/>
  <c r="C149" i="21"/>
  <c r="Z149" i="21" s="1"/>
  <c r="AH149" i="21" s="1"/>
  <c r="Q149" i="21"/>
  <c r="S149" i="21" s="1"/>
  <c r="AD149" i="21" s="1"/>
  <c r="AL149" i="21" s="1"/>
  <c r="U149" i="21"/>
  <c r="W149" i="21"/>
  <c r="AN149" i="21"/>
  <c r="L149" i="21"/>
  <c r="AB149" i="21" s="1"/>
  <c r="AJ149" i="21" s="1"/>
  <c r="J149" i="21"/>
  <c r="AA149" i="21" s="1"/>
  <c r="AI149" i="21" s="1"/>
  <c r="AC149" i="26" l="1"/>
  <c r="AK149" i="26" s="1"/>
  <c r="AC149" i="27"/>
  <c r="AK149" i="27" s="1"/>
  <c r="AC149" i="24"/>
  <c r="AK149" i="24" s="1"/>
  <c r="AC149" i="21"/>
  <c r="AK149" i="21" s="1"/>
  <c r="E150" i="27"/>
  <c r="I150" i="27"/>
  <c r="E150" i="26"/>
  <c r="I150" i="26"/>
  <c r="D150" i="25"/>
  <c r="C149" i="25"/>
  <c r="Z149" i="25" s="1"/>
  <c r="AH149" i="25" s="1"/>
  <c r="U149" i="25"/>
  <c r="W149" i="25"/>
  <c r="Q149" i="25"/>
  <c r="S149" i="25" s="1"/>
  <c r="AD149" i="25" s="1"/>
  <c r="AL149" i="25" s="1"/>
  <c r="AN149" i="25"/>
  <c r="L149" i="25"/>
  <c r="AB149" i="25" s="1"/>
  <c r="AJ149" i="25" s="1"/>
  <c r="J149" i="25"/>
  <c r="AA149" i="25" s="1"/>
  <c r="AI149" i="25" s="1"/>
  <c r="E150" i="24"/>
  <c r="I150" i="24"/>
  <c r="G149" i="23"/>
  <c r="H149" i="23"/>
  <c r="Y149" i="23" s="1"/>
  <c r="AM149" i="23" s="1"/>
  <c r="AE149" i="23"/>
  <c r="D150" i="22"/>
  <c r="C149" i="22"/>
  <c r="Z149" i="22" s="1"/>
  <c r="AH149" i="22" s="1"/>
  <c r="Q149" i="22"/>
  <c r="S149" i="22" s="1"/>
  <c r="AD149" i="22" s="1"/>
  <c r="AL149" i="22" s="1"/>
  <c r="AN149" i="22"/>
  <c r="W149" i="22"/>
  <c r="U149" i="22"/>
  <c r="AC149" i="22" s="1"/>
  <c r="AK149" i="22" s="1"/>
  <c r="L149" i="22"/>
  <c r="AB149" i="22" s="1"/>
  <c r="AJ149" i="22" s="1"/>
  <c r="J149" i="22"/>
  <c r="AA149" i="22" s="1"/>
  <c r="AI149" i="22" s="1"/>
  <c r="E150" i="21"/>
  <c r="I150" i="21"/>
  <c r="AC149" i="25" l="1"/>
  <c r="AK149" i="25" s="1"/>
  <c r="G150" i="27"/>
  <c r="H150" i="27"/>
  <c r="Y150" i="27" s="1"/>
  <c r="AM150" i="27" s="1"/>
  <c r="G150" i="26"/>
  <c r="H150" i="26"/>
  <c r="Y150" i="26" s="1"/>
  <c r="AM150" i="26" s="1"/>
  <c r="E150" i="25"/>
  <c r="I150" i="25"/>
  <c r="G150" i="24"/>
  <c r="H150" i="24"/>
  <c r="Y150" i="24" s="1"/>
  <c r="AM150" i="24" s="1"/>
  <c r="AE150" i="27"/>
  <c r="AE150" i="26"/>
  <c r="AE150" i="24"/>
  <c r="D150" i="23"/>
  <c r="C149" i="23"/>
  <c r="Z149" i="23" s="1"/>
  <c r="AH149" i="23" s="1"/>
  <c r="Q149" i="23"/>
  <c r="S149" i="23" s="1"/>
  <c r="AD149" i="23" s="1"/>
  <c r="AL149" i="23" s="1"/>
  <c r="U149" i="23"/>
  <c r="W149" i="23"/>
  <c r="AN149" i="23"/>
  <c r="J149" i="23"/>
  <c r="AA149" i="23" s="1"/>
  <c r="AI149" i="23" s="1"/>
  <c r="L149" i="23"/>
  <c r="AB149" i="23" s="1"/>
  <c r="AJ149" i="23" s="1"/>
  <c r="E150" i="22"/>
  <c r="I150" i="22"/>
  <c r="G150" i="21"/>
  <c r="H150" i="21"/>
  <c r="Y150" i="21" s="1"/>
  <c r="AM150" i="21" s="1"/>
  <c r="AE150" i="21"/>
  <c r="D151" i="27" l="1"/>
  <c r="C150" i="27"/>
  <c r="Z150" i="27" s="1"/>
  <c r="AH150" i="27" s="1"/>
  <c r="Q150" i="27"/>
  <c r="S150" i="27" s="1"/>
  <c r="AD150" i="27" s="1"/>
  <c r="AL150" i="27" s="1"/>
  <c r="U150" i="27"/>
  <c r="W150" i="27"/>
  <c r="AN150" i="27"/>
  <c r="L150" i="27"/>
  <c r="AB150" i="27" s="1"/>
  <c r="AJ150" i="27" s="1"/>
  <c r="J150" i="27"/>
  <c r="AA150" i="27" s="1"/>
  <c r="AI150" i="27" s="1"/>
  <c r="D151" i="26"/>
  <c r="C150" i="26"/>
  <c r="Z150" i="26" s="1"/>
  <c r="AH150" i="26" s="1"/>
  <c r="U150" i="26"/>
  <c r="Q150" i="26"/>
  <c r="S150" i="26" s="1"/>
  <c r="AD150" i="26" s="1"/>
  <c r="AL150" i="26" s="1"/>
  <c r="W150" i="26"/>
  <c r="AN150" i="26"/>
  <c r="L150" i="26"/>
  <c r="AB150" i="26" s="1"/>
  <c r="AJ150" i="26" s="1"/>
  <c r="J150" i="26"/>
  <c r="AA150" i="26" s="1"/>
  <c r="AI150" i="26" s="1"/>
  <c r="G150" i="25"/>
  <c r="H150" i="25"/>
  <c r="D151" i="24"/>
  <c r="C150" i="24"/>
  <c r="Z150" i="24" s="1"/>
  <c r="AH150" i="24" s="1"/>
  <c r="Q150" i="24"/>
  <c r="S150" i="24" s="1"/>
  <c r="AD150" i="24" s="1"/>
  <c r="AL150" i="24" s="1"/>
  <c r="U150" i="24"/>
  <c r="AN150" i="24"/>
  <c r="W150" i="24"/>
  <c r="L150" i="24"/>
  <c r="AB150" i="24" s="1"/>
  <c r="AJ150" i="24" s="1"/>
  <c r="J150" i="24"/>
  <c r="AA150" i="24" s="1"/>
  <c r="AI150" i="24" s="1"/>
  <c r="Y150" i="25"/>
  <c r="AM150" i="25" s="1"/>
  <c r="AE150" i="25"/>
  <c r="AC149" i="23"/>
  <c r="AK149" i="23" s="1"/>
  <c r="E150" i="23"/>
  <c r="I150" i="23"/>
  <c r="G150" i="22"/>
  <c r="H150" i="22"/>
  <c r="Y150" i="22" s="1"/>
  <c r="AM150" i="22" s="1"/>
  <c r="AE150" i="22"/>
  <c r="D151" i="21"/>
  <c r="C150" i="21"/>
  <c r="Z150" i="21" s="1"/>
  <c r="AH150" i="21" s="1"/>
  <c r="Q150" i="21"/>
  <c r="S150" i="21" s="1"/>
  <c r="AD150" i="21" s="1"/>
  <c r="AL150" i="21" s="1"/>
  <c r="U150" i="21"/>
  <c r="AN150" i="21"/>
  <c r="W150" i="21"/>
  <c r="L150" i="21"/>
  <c r="AB150" i="21" s="1"/>
  <c r="AJ150" i="21" s="1"/>
  <c r="J150" i="21"/>
  <c r="AA150" i="21" s="1"/>
  <c r="AI150" i="21" s="1"/>
  <c r="AC150" i="26" l="1"/>
  <c r="AK150" i="26" s="1"/>
  <c r="E151" i="27"/>
  <c r="I151" i="27"/>
  <c r="E151" i="26"/>
  <c r="I151" i="26"/>
  <c r="D151" i="25"/>
  <c r="C150" i="25"/>
  <c r="Z150" i="25" s="1"/>
  <c r="AH150" i="25" s="1"/>
  <c r="Q150" i="25"/>
  <c r="S150" i="25" s="1"/>
  <c r="AD150" i="25" s="1"/>
  <c r="AL150" i="25" s="1"/>
  <c r="W150" i="25"/>
  <c r="U150" i="25"/>
  <c r="AN150" i="25"/>
  <c r="L150" i="25"/>
  <c r="AB150" i="25" s="1"/>
  <c r="AJ150" i="25" s="1"/>
  <c r="J150" i="25"/>
  <c r="AA150" i="25" s="1"/>
  <c r="AI150" i="25" s="1"/>
  <c r="E151" i="24"/>
  <c r="I151" i="24"/>
  <c r="AC150" i="27"/>
  <c r="AK150" i="27" s="1"/>
  <c r="AC150" i="24"/>
  <c r="AK150" i="24" s="1"/>
  <c r="G150" i="23"/>
  <c r="H150" i="23"/>
  <c r="Y150" i="23" s="1"/>
  <c r="AM150" i="23" s="1"/>
  <c r="AE150" i="23"/>
  <c r="D151" i="22"/>
  <c r="C150" i="22"/>
  <c r="Z150" i="22" s="1"/>
  <c r="AH150" i="22" s="1"/>
  <c r="U150" i="22"/>
  <c r="W150" i="22"/>
  <c r="Q150" i="22"/>
  <c r="S150" i="22" s="1"/>
  <c r="AD150" i="22" s="1"/>
  <c r="AL150" i="22" s="1"/>
  <c r="AN150" i="22"/>
  <c r="L150" i="22"/>
  <c r="AB150" i="22" s="1"/>
  <c r="AJ150" i="22" s="1"/>
  <c r="J150" i="22"/>
  <c r="AA150" i="22" s="1"/>
  <c r="AI150" i="22" s="1"/>
  <c r="E151" i="21"/>
  <c r="I151" i="21"/>
  <c r="AC150" i="21"/>
  <c r="AK150" i="21" s="1"/>
  <c r="AC150" i="22" l="1"/>
  <c r="AK150" i="22" s="1"/>
  <c r="G151" i="27"/>
  <c r="H151" i="27"/>
  <c r="Y151" i="27" s="1"/>
  <c r="AM151" i="27" s="1"/>
  <c r="G151" i="26"/>
  <c r="H151" i="26"/>
  <c r="Y151" i="26" s="1"/>
  <c r="AM151" i="26" s="1"/>
  <c r="E151" i="25"/>
  <c r="I151" i="25"/>
  <c r="G151" i="24"/>
  <c r="H151" i="24"/>
  <c r="Y151" i="24" s="1"/>
  <c r="AM151" i="24" s="1"/>
  <c r="AE151" i="27"/>
  <c r="AE151" i="26"/>
  <c r="AC150" i="25"/>
  <c r="AK150" i="25" s="1"/>
  <c r="AE151" i="24"/>
  <c r="D151" i="23"/>
  <c r="C150" i="23"/>
  <c r="Z150" i="23" s="1"/>
  <c r="AH150" i="23" s="1"/>
  <c r="U150" i="23"/>
  <c r="Q150" i="23"/>
  <c r="S150" i="23" s="1"/>
  <c r="AD150" i="23" s="1"/>
  <c r="AL150" i="23" s="1"/>
  <c r="W150" i="23"/>
  <c r="AN150" i="23"/>
  <c r="L150" i="23"/>
  <c r="AB150" i="23" s="1"/>
  <c r="AJ150" i="23" s="1"/>
  <c r="J150" i="23"/>
  <c r="AA150" i="23" s="1"/>
  <c r="AI150" i="23" s="1"/>
  <c r="E151" i="22"/>
  <c r="I151" i="22"/>
  <c r="G151" i="21"/>
  <c r="H151" i="21"/>
  <c r="Y151" i="21" s="1"/>
  <c r="AM151" i="21" s="1"/>
  <c r="AE151" i="21"/>
  <c r="D152" i="27" l="1"/>
  <c r="C151" i="27"/>
  <c r="Z151" i="27" s="1"/>
  <c r="AH151" i="27" s="1"/>
  <c r="U151" i="27"/>
  <c r="W151" i="27"/>
  <c r="AN151" i="27"/>
  <c r="Q151" i="27"/>
  <c r="S151" i="27" s="1"/>
  <c r="AD151" i="27" s="1"/>
  <c r="AL151" i="27" s="1"/>
  <c r="L151" i="27"/>
  <c r="AB151" i="27" s="1"/>
  <c r="AJ151" i="27" s="1"/>
  <c r="J151" i="27"/>
  <c r="AA151" i="27" s="1"/>
  <c r="AI151" i="27" s="1"/>
  <c r="D152" i="26"/>
  <c r="C151" i="26"/>
  <c r="Z151" i="26" s="1"/>
  <c r="AH151" i="26" s="1"/>
  <c r="U151" i="26"/>
  <c r="W151" i="26"/>
  <c r="Q151" i="26"/>
  <c r="S151" i="26" s="1"/>
  <c r="AD151" i="26" s="1"/>
  <c r="AL151" i="26" s="1"/>
  <c r="AN151" i="26"/>
  <c r="L151" i="26"/>
  <c r="AB151" i="26" s="1"/>
  <c r="AJ151" i="26" s="1"/>
  <c r="J151" i="26"/>
  <c r="AA151" i="26" s="1"/>
  <c r="AI151" i="26" s="1"/>
  <c r="G151" i="25"/>
  <c r="H151" i="25"/>
  <c r="Y151" i="25" s="1"/>
  <c r="AM151" i="25" s="1"/>
  <c r="D152" i="24"/>
  <c r="C151" i="24"/>
  <c r="Z151" i="24" s="1"/>
  <c r="AH151" i="24" s="1"/>
  <c r="U151" i="24"/>
  <c r="W151" i="24"/>
  <c r="Q151" i="24"/>
  <c r="S151" i="24" s="1"/>
  <c r="AD151" i="24" s="1"/>
  <c r="AL151" i="24" s="1"/>
  <c r="AN151" i="24"/>
  <c r="J151" i="24"/>
  <c r="AA151" i="24" s="1"/>
  <c r="AI151" i="24" s="1"/>
  <c r="L151" i="24"/>
  <c r="AB151" i="24" s="1"/>
  <c r="AJ151" i="24" s="1"/>
  <c r="AE151" i="25"/>
  <c r="AC150" i="23"/>
  <c r="AK150" i="23" s="1"/>
  <c r="E151" i="23"/>
  <c r="I151" i="23"/>
  <c r="G151" i="22"/>
  <c r="H151" i="22"/>
  <c r="Y151" i="22" s="1"/>
  <c r="AM151" i="22" s="1"/>
  <c r="AE151" i="22"/>
  <c r="D152" i="21"/>
  <c r="C151" i="21"/>
  <c r="Z151" i="21" s="1"/>
  <c r="AH151" i="21" s="1"/>
  <c r="U151" i="21"/>
  <c r="W151" i="21"/>
  <c r="AN151" i="21"/>
  <c r="Q151" i="21"/>
  <c r="S151" i="21" s="1"/>
  <c r="AD151" i="21" s="1"/>
  <c r="AL151" i="21" s="1"/>
  <c r="L151" i="21"/>
  <c r="AB151" i="21" s="1"/>
  <c r="AJ151" i="21" s="1"/>
  <c r="J151" i="21"/>
  <c r="AA151" i="21" s="1"/>
  <c r="AI151" i="21" s="1"/>
  <c r="AC151" i="24" l="1"/>
  <c r="AK151" i="24" s="1"/>
  <c r="E152" i="27"/>
  <c r="I152" i="27"/>
  <c r="E152" i="26"/>
  <c r="I152" i="26"/>
  <c r="D152" i="25"/>
  <c r="C151" i="25"/>
  <c r="Z151" i="25" s="1"/>
  <c r="AH151" i="25" s="1"/>
  <c r="U151" i="25"/>
  <c r="AN151" i="25"/>
  <c r="Q151" i="25"/>
  <c r="S151" i="25" s="1"/>
  <c r="AD151" i="25" s="1"/>
  <c r="AL151" i="25" s="1"/>
  <c r="W151" i="25"/>
  <c r="L151" i="25"/>
  <c r="AB151" i="25" s="1"/>
  <c r="AJ151" i="25" s="1"/>
  <c r="J151" i="25"/>
  <c r="AA151" i="25" s="1"/>
  <c r="AI151" i="25" s="1"/>
  <c r="E152" i="24"/>
  <c r="I152" i="24"/>
  <c r="AC151" i="27"/>
  <c r="AK151" i="27" s="1"/>
  <c r="AC151" i="26"/>
  <c r="AK151" i="26" s="1"/>
  <c r="G151" i="23"/>
  <c r="H151" i="23"/>
  <c r="Y151" i="23" s="1"/>
  <c r="AM151" i="23" s="1"/>
  <c r="AE151" i="23"/>
  <c r="D152" i="22"/>
  <c r="C151" i="22"/>
  <c r="Z151" i="22" s="1"/>
  <c r="AH151" i="22" s="1"/>
  <c r="U151" i="22"/>
  <c r="W151" i="22"/>
  <c r="AC151" i="22" s="1"/>
  <c r="AK151" i="22" s="1"/>
  <c r="AN151" i="22"/>
  <c r="Q151" i="22"/>
  <c r="S151" i="22" s="1"/>
  <c r="AD151" i="22" s="1"/>
  <c r="AL151" i="22" s="1"/>
  <c r="L151" i="22"/>
  <c r="AB151" i="22" s="1"/>
  <c r="AJ151" i="22" s="1"/>
  <c r="J151" i="22"/>
  <c r="AA151" i="22" s="1"/>
  <c r="AI151" i="22" s="1"/>
  <c r="E152" i="21"/>
  <c r="I152" i="21"/>
  <c r="AC151" i="21"/>
  <c r="AK151" i="21" s="1"/>
  <c r="G152" i="27" l="1"/>
  <c r="H152" i="27"/>
  <c r="Y152" i="27" s="1"/>
  <c r="AM152" i="27" s="1"/>
  <c r="G152" i="26"/>
  <c r="H152" i="26"/>
  <c r="Y152" i="26" s="1"/>
  <c r="AM152" i="26" s="1"/>
  <c r="E152" i="25"/>
  <c r="I152" i="25"/>
  <c r="G152" i="24"/>
  <c r="H152" i="24"/>
  <c r="Y152" i="24" s="1"/>
  <c r="AM152" i="24" s="1"/>
  <c r="AE152" i="27"/>
  <c r="AE152" i="26"/>
  <c r="AC151" i="25"/>
  <c r="AK151" i="25" s="1"/>
  <c r="AE152" i="24"/>
  <c r="D152" i="23"/>
  <c r="C151" i="23"/>
  <c r="Z151" i="23" s="1"/>
  <c r="AH151" i="23" s="1"/>
  <c r="U151" i="23"/>
  <c r="Q151" i="23"/>
  <c r="S151" i="23" s="1"/>
  <c r="AD151" i="23" s="1"/>
  <c r="AL151" i="23" s="1"/>
  <c r="W151" i="23"/>
  <c r="AN151" i="23"/>
  <c r="L151" i="23"/>
  <c r="AB151" i="23" s="1"/>
  <c r="AJ151" i="23" s="1"/>
  <c r="J151" i="23"/>
  <c r="AA151" i="23" s="1"/>
  <c r="AI151" i="23" s="1"/>
  <c r="E152" i="22"/>
  <c r="I152" i="22"/>
  <c r="G152" i="21"/>
  <c r="H152" i="21"/>
  <c r="Y152" i="21" s="1"/>
  <c r="AM152" i="21" s="1"/>
  <c r="AE152" i="21"/>
  <c r="D153" i="27" l="1"/>
  <c r="C152" i="27"/>
  <c r="Z152" i="27" s="1"/>
  <c r="AH152" i="27" s="1"/>
  <c r="W152" i="27"/>
  <c r="Q152" i="27"/>
  <c r="S152" i="27" s="1"/>
  <c r="AD152" i="27" s="1"/>
  <c r="AL152" i="27" s="1"/>
  <c r="U152" i="27"/>
  <c r="AN152" i="27"/>
  <c r="L152" i="27"/>
  <c r="AB152" i="27" s="1"/>
  <c r="AJ152" i="27" s="1"/>
  <c r="J152" i="27"/>
  <c r="AA152" i="27" s="1"/>
  <c r="AI152" i="27" s="1"/>
  <c r="D153" i="26"/>
  <c r="C152" i="26"/>
  <c r="Z152" i="26" s="1"/>
  <c r="AH152" i="26" s="1"/>
  <c r="W152" i="26"/>
  <c r="AN152" i="26"/>
  <c r="Q152" i="26"/>
  <c r="S152" i="26" s="1"/>
  <c r="AD152" i="26" s="1"/>
  <c r="AL152" i="26" s="1"/>
  <c r="U152" i="26"/>
  <c r="L152" i="26"/>
  <c r="AB152" i="26" s="1"/>
  <c r="AJ152" i="26" s="1"/>
  <c r="J152" i="26"/>
  <c r="AA152" i="26" s="1"/>
  <c r="AI152" i="26" s="1"/>
  <c r="G152" i="25"/>
  <c r="H152" i="25"/>
  <c r="Y152" i="25" s="1"/>
  <c r="AM152" i="25" s="1"/>
  <c r="D153" i="24"/>
  <c r="C152" i="24"/>
  <c r="Z152" i="24" s="1"/>
  <c r="AH152" i="24" s="1"/>
  <c r="W152" i="24"/>
  <c r="U152" i="24"/>
  <c r="AC152" i="24" s="1"/>
  <c r="AK152" i="24" s="1"/>
  <c r="Q152" i="24"/>
  <c r="S152" i="24" s="1"/>
  <c r="AD152" i="24" s="1"/>
  <c r="AL152" i="24" s="1"/>
  <c r="AN152" i="24"/>
  <c r="L152" i="24"/>
  <c r="AB152" i="24" s="1"/>
  <c r="AJ152" i="24" s="1"/>
  <c r="J152" i="24"/>
  <c r="AA152" i="24" s="1"/>
  <c r="AI152" i="24" s="1"/>
  <c r="AE152" i="25"/>
  <c r="AC151" i="23"/>
  <c r="AK151" i="23" s="1"/>
  <c r="E152" i="23"/>
  <c r="I152" i="23"/>
  <c r="G152" i="22"/>
  <c r="H152" i="22"/>
  <c r="Y152" i="22" s="1"/>
  <c r="AM152" i="22" s="1"/>
  <c r="AE152" i="22"/>
  <c r="D153" i="21"/>
  <c r="C152" i="21"/>
  <c r="Z152" i="21" s="1"/>
  <c r="AH152" i="21" s="1"/>
  <c r="W152" i="21"/>
  <c r="Q152" i="21"/>
  <c r="S152" i="21" s="1"/>
  <c r="AD152" i="21" s="1"/>
  <c r="AL152" i="21" s="1"/>
  <c r="U152" i="21"/>
  <c r="AN152" i="21"/>
  <c r="L152" i="21"/>
  <c r="AB152" i="21" s="1"/>
  <c r="AJ152" i="21" s="1"/>
  <c r="J152" i="21"/>
  <c r="AA152" i="21" s="1"/>
  <c r="AI152" i="21" s="1"/>
  <c r="AC152" i="27" l="1"/>
  <c r="AK152" i="27" s="1"/>
  <c r="AC152" i="26"/>
  <c r="AK152" i="26" s="1"/>
  <c r="E153" i="27"/>
  <c r="I153" i="27"/>
  <c r="E153" i="26"/>
  <c r="I153" i="26"/>
  <c r="D153" i="25"/>
  <c r="C152" i="25"/>
  <c r="Z152" i="25" s="1"/>
  <c r="AH152" i="25" s="1"/>
  <c r="Q152" i="25"/>
  <c r="S152" i="25" s="1"/>
  <c r="AD152" i="25" s="1"/>
  <c r="AL152" i="25" s="1"/>
  <c r="W152" i="25"/>
  <c r="U152" i="25"/>
  <c r="AN152" i="25"/>
  <c r="L152" i="25"/>
  <c r="AB152" i="25" s="1"/>
  <c r="AJ152" i="25" s="1"/>
  <c r="J152" i="25"/>
  <c r="AA152" i="25" s="1"/>
  <c r="AI152" i="25" s="1"/>
  <c r="E153" i="24"/>
  <c r="I153" i="24"/>
  <c r="G152" i="23"/>
  <c r="H152" i="23"/>
  <c r="Y152" i="23" s="1"/>
  <c r="AM152" i="23" s="1"/>
  <c r="AE152" i="23"/>
  <c r="D153" i="22"/>
  <c r="C152" i="22"/>
  <c r="Z152" i="22" s="1"/>
  <c r="AH152" i="22" s="1"/>
  <c r="W152" i="22"/>
  <c r="AN152" i="22"/>
  <c r="Q152" i="22"/>
  <c r="S152" i="22" s="1"/>
  <c r="AD152" i="22" s="1"/>
  <c r="AL152" i="22" s="1"/>
  <c r="U152" i="22"/>
  <c r="L152" i="22"/>
  <c r="AB152" i="22" s="1"/>
  <c r="AJ152" i="22" s="1"/>
  <c r="J152" i="22"/>
  <c r="AA152" i="22" s="1"/>
  <c r="AI152" i="22" s="1"/>
  <c r="E153" i="21"/>
  <c r="I153" i="21"/>
  <c r="AC152" i="21"/>
  <c r="AK152" i="21" s="1"/>
  <c r="AC152" i="25" l="1"/>
  <c r="AK152" i="25" s="1"/>
  <c r="G153" i="27"/>
  <c r="H153" i="27"/>
  <c r="Y153" i="27" s="1"/>
  <c r="AM153" i="27" s="1"/>
  <c r="G153" i="26"/>
  <c r="H153" i="26"/>
  <c r="Y153" i="26" s="1"/>
  <c r="AM153" i="26" s="1"/>
  <c r="E153" i="25"/>
  <c r="I153" i="25"/>
  <c r="G153" i="24"/>
  <c r="H153" i="24"/>
  <c r="Y153" i="24" s="1"/>
  <c r="AM153" i="24" s="1"/>
  <c r="AE153" i="27"/>
  <c r="AE153" i="26"/>
  <c r="AE153" i="24"/>
  <c r="D153" i="23"/>
  <c r="C152" i="23"/>
  <c r="Z152" i="23" s="1"/>
  <c r="AH152" i="23" s="1"/>
  <c r="W152" i="23"/>
  <c r="AN152" i="23"/>
  <c r="Q152" i="23"/>
  <c r="S152" i="23" s="1"/>
  <c r="AD152" i="23" s="1"/>
  <c r="AL152" i="23" s="1"/>
  <c r="U152" i="23"/>
  <c r="L152" i="23"/>
  <c r="AB152" i="23" s="1"/>
  <c r="AJ152" i="23" s="1"/>
  <c r="J152" i="23"/>
  <c r="AA152" i="23" s="1"/>
  <c r="AI152" i="23" s="1"/>
  <c r="E153" i="22"/>
  <c r="I153" i="22"/>
  <c r="AC152" i="22"/>
  <c r="AK152" i="22" s="1"/>
  <c r="G153" i="21"/>
  <c r="H153" i="21"/>
  <c r="Y153" i="21" s="1"/>
  <c r="AM153" i="21" s="1"/>
  <c r="AE153" i="21"/>
  <c r="AC152" i="23" l="1"/>
  <c r="AK152" i="23" s="1"/>
  <c r="D154" i="27"/>
  <c r="C153" i="27"/>
  <c r="Z153" i="27" s="1"/>
  <c r="AH153" i="27" s="1"/>
  <c r="W153" i="27"/>
  <c r="U153" i="27"/>
  <c r="AN153" i="27"/>
  <c r="Q153" i="27"/>
  <c r="S153" i="27" s="1"/>
  <c r="AD153" i="27" s="1"/>
  <c r="AL153" i="27" s="1"/>
  <c r="L153" i="27"/>
  <c r="AB153" i="27" s="1"/>
  <c r="AJ153" i="27" s="1"/>
  <c r="J153" i="27"/>
  <c r="AA153" i="27" s="1"/>
  <c r="AI153" i="27" s="1"/>
  <c r="D154" i="26"/>
  <c r="C153" i="26"/>
  <c r="Z153" i="26" s="1"/>
  <c r="AH153" i="26" s="1"/>
  <c r="Q153" i="26"/>
  <c r="U153" i="26"/>
  <c r="AN153" i="26"/>
  <c r="W153" i="26"/>
  <c r="AC153" i="26" s="1"/>
  <c r="AK153" i="26" s="1"/>
  <c r="L153" i="26"/>
  <c r="AB153" i="26" s="1"/>
  <c r="AJ153" i="26" s="1"/>
  <c r="J153" i="26"/>
  <c r="AA153" i="26" s="1"/>
  <c r="AI153" i="26" s="1"/>
  <c r="G153" i="25"/>
  <c r="H153" i="25"/>
  <c r="Y153" i="25" s="1"/>
  <c r="AM153" i="25" s="1"/>
  <c r="D154" i="24"/>
  <c r="C153" i="24"/>
  <c r="Z153" i="24" s="1"/>
  <c r="AH153" i="24" s="1"/>
  <c r="W153" i="24"/>
  <c r="U153" i="24"/>
  <c r="AC153" i="24" s="1"/>
  <c r="AK153" i="24" s="1"/>
  <c r="AN153" i="24"/>
  <c r="Q153" i="24"/>
  <c r="S153" i="24" s="1"/>
  <c r="AD153" i="24" s="1"/>
  <c r="AL153" i="24" s="1"/>
  <c r="L153" i="24"/>
  <c r="AB153" i="24" s="1"/>
  <c r="AJ153" i="24" s="1"/>
  <c r="J153" i="24"/>
  <c r="AA153" i="24" s="1"/>
  <c r="AI153" i="24" s="1"/>
  <c r="S153" i="26"/>
  <c r="AD153" i="26" s="1"/>
  <c r="AL153" i="26" s="1"/>
  <c r="AE153" i="25"/>
  <c r="E153" i="23"/>
  <c r="I153" i="23"/>
  <c r="G153" i="22"/>
  <c r="H153" i="22"/>
  <c r="Y153" i="22" s="1"/>
  <c r="AM153" i="22" s="1"/>
  <c r="AE153" i="22"/>
  <c r="D154" i="21"/>
  <c r="C153" i="21"/>
  <c r="Z153" i="21" s="1"/>
  <c r="AH153" i="21" s="1"/>
  <c r="Q153" i="21"/>
  <c r="S153" i="21" s="1"/>
  <c r="AD153" i="21" s="1"/>
  <c r="AL153" i="21" s="1"/>
  <c r="U153" i="21"/>
  <c r="AN153" i="21"/>
  <c r="W153" i="21"/>
  <c r="J153" i="21"/>
  <c r="AA153" i="21" s="1"/>
  <c r="AI153" i="21" s="1"/>
  <c r="L153" i="21"/>
  <c r="AB153" i="21" s="1"/>
  <c r="AJ153" i="21" s="1"/>
  <c r="AC153" i="27" l="1"/>
  <c r="AK153" i="27" s="1"/>
  <c r="E154" i="27"/>
  <c r="I154" i="27"/>
  <c r="E154" i="26"/>
  <c r="I154" i="26"/>
  <c r="D154" i="25"/>
  <c r="C153" i="25"/>
  <c r="Z153" i="25" s="1"/>
  <c r="AH153" i="25" s="1"/>
  <c r="Q153" i="25"/>
  <c r="S153" i="25" s="1"/>
  <c r="AD153" i="25" s="1"/>
  <c r="AL153" i="25" s="1"/>
  <c r="AN153" i="25"/>
  <c r="U153" i="25"/>
  <c r="W153" i="25"/>
  <c r="J153" i="25"/>
  <c r="AA153" i="25" s="1"/>
  <c r="AI153" i="25" s="1"/>
  <c r="L153" i="25"/>
  <c r="E154" i="24"/>
  <c r="I154" i="24"/>
  <c r="AB153" i="25"/>
  <c r="AJ153" i="25" s="1"/>
  <c r="G153" i="23"/>
  <c r="H153" i="23"/>
  <c r="Y153" i="23" s="1"/>
  <c r="AM153" i="23" s="1"/>
  <c r="AE153" i="23"/>
  <c r="D154" i="22"/>
  <c r="C153" i="22"/>
  <c r="Z153" i="22" s="1"/>
  <c r="AH153" i="22" s="1"/>
  <c r="Q153" i="22"/>
  <c r="S153" i="22" s="1"/>
  <c r="AD153" i="22" s="1"/>
  <c r="AL153" i="22" s="1"/>
  <c r="AN153" i="22"/>
  <c r="U153" i="22"/>
  <c r="W153" i="22"/>
  <c r="L153" i="22"/>
  <c r="AB153" i="22" s="1"/>
  <c r="AJ153" i="22" s="1"/>
  <c r="J153" i="22"/>
  <c r="AA153" i="22" s="1"/>
  <c r="AI153" i="22" s="1"/>
  <c r="E154" i="21"/>
  <c r="I154" i="21"/>
  <c r="AC153" i="21"/>
  <c r="AK153" i="21" s="1"/>
  <c r="G154" i="27" l="1"/>
  <c r="H154" i="27"/>
  <c r="Y154" i="27" s="1"/>
  <c r="AM154" i="27" s="1"/>
  <c r="G154" i="26"/>
  <c r="H154" i="26"/>
  <c r="Y154" i="26" s="1"/>
  <c r="AM154" i="26" s="1"/>
  <c r="E154" i="25"/>
  <c r="I154" i="25"/>
  <c r="G154" i="24"/>
  <c r="H154" i="24"/>
  <c r="Y154" i="24" s="1"/>
  <c r="AM154" i="24" s="1"/>
  <c r="AE154" i="27"/>
  <c r="AE154" i="26"/>
  <c r="AC153" i="25"/>
  <c r="AK153" i="25" s="1"/>
  <c r="AE154" i="24"/>
  <c r="D154" i="23"/>
  <c r="C153" i="23"/>
  <c r="Z153" i="23" s="1"/>
  <c r="AH153" i="23" s="1"/>
  <c r="W153" i="23"/>
  <c r="Q153" i="23"/>
  <c r="S153" i="23" s="1"/>
  <c r="AD153" i="23" s="1"/>
  <c r="AL153" i="23" s="1"/>
  <c r="AN153" i="23"/>
  <c r="U153" i="23"/>
  <c r="L153" i="23"/>
  <c r="AB153" i="23" s="1"/>
  <c r="AJ153" i="23" s="1"/>
  <c r="J153" i="23"/>
  <c r="AA153" i="23" s="1"/>
  <c r="AI153" i="23" s="1"/>
  <c r="E154" i="22"/>
  <c r="I154" i="22"/>
  <c r="AC153" i="22"/>
  <c r="AK153" i="22" s="1"/>
  <c r="G154" i="21"/>
  <c r="H154" i="21"/>
  <c r="Y154" i="21" s="1"/>
  <c r="AM154" i="21" s="1"/>
  <c r="AE154" i="21"/>
  <c r="AC153" i="23" l="1"/>
  <c r="AK153" i="23" s="1"/>
  <c r="D155" i="27"/>
  <c r="C154" i="27"/>
  <c r="Z154" i="27" s="1"/>
  <c r="AH154" i="27" s="1"/>
  <c r="Q154" i="27"/>
  <c r="AN154" i="27"/>
  <c r="W154" i="27"/>
  <c r="U154" i="27"/>
  <c r="L154" i="27"/>
  <c r="AB154" i="27" s="1"/>
  <c r="AJ154" i="27" s="1"/>
  <c r="J154" i="27"/>
  <c r="AA154" i="27" s="1"/>
  <c r="AI154" i="27" s="1"/>
  <c r="Q154" i="26"/>
  <c r="S154" i="26" s="1"/>
  <c r="AD154" i="26" s="1"/>
  <c r="AL154" i="26" s="1"/>
  <c r="W154" i="26"/>
  <c r="U154" i="26"/>
  <c r="AN154" i="26"/>
  <c r="L154" i="26"/>
  <c r="AB154" i="26" s="1"/>
  <c r="AJ154" i="26" s="1"/>
  <c r="J154" i="26"/>
  <c r="AA154" i="26" s="1"/>
  <c r="AI154" i="26" s="1"/>
  <c r="D155" i="26"/>
  <c r="C154" i="26"/>
  <c r="Z154" i="26" s="1"/>
  <c r="AH154" i="26" s="1"/>
  <c r="G154" i="25"/>
  <c r="H154" i="25"/>
  <c r="Y154" i="25" s="1"/>
  <c r="AM154" i="25" s="1"/>
  <c r="D155" i="24"/>
  <c r="C154" i="24"/>
  <c r="Z154" i="24" s="1"/>
  <c r="AH154" i="24" s="1"/>
  <c r="Q154" i="24"/>
  <c r="S154" i="24" s="1"/>
  <c r="AD154" i="24" s="1"/>
  <c r="AL154" i="24" s="1"/>
  <c r="U154" i="24"/>
  <c r="W154" i="24"/>
  <c r="AN154" i="24"/>
  <c r="L154" i="24"/>
  <c r="AB154" i="24" s="1"/>
  <c r="AJ154" i="24" s="1"/>
  <c r="J154" i="24"/>
  <c r="AA154" i="24" s="1"/>
  <c r="AI154" i="24" s="1"/>
  <c r="S154" i="27"/>
  <c r="AD154" i="27" s="1"/>
  <c r="AL154" i="27" s="1"/>
  <c r="AE154" i="25"/>
  <c r="E154" i="23"/>
  <c r="I154" i="23"/>
  <c r="G154" i="22"/>
  <c r="H154" i="22"/>
  <c r="Y154" i="22" s="1"/>
  <c r="AM154" i="22" s="1"/>
  <c r="AE154" i="22"/>
  <c r="D155" i="21"/>
  <c r="C154" i="21"/>
  <c r="Z154" i="21" s="1"/>
  <c r="AH154" i="21" s="1"/>
  <c r="Q154" i="21"/>
  <c r="S154" i="21" s="1"/>
  <c r="AD154" i="21" s="1"/>
  <c r="AL154" i="21" s="1"/>
  <c r="W154" i="21"/>
  <c r="AN154" i="21"/>
  <c r="U154" i="21"/>
  <c r="J154" i="21"/>
  <c r="AA154" i="21" s="1"/>
  <c r="AI154" i="21" s="1"/>
  <c r="L154" i="21"/>
  <c r="AB154" i="21" s="1"/>
  <c r="AJ154" i="21" s="1"/>
  <c r="E155" i="27" l="1"/>
  <c r="I155" i="27"/>
  <c r="E155" i="26"/>
  <c r="I155" i="26"/>
  <c r="D155" i="25"/>
  <c r="C154" i="25"/>
  <c r="Z154" i="25" s="1"/>
  <c r="AH154" i="25" s="1"/>
  <c r="Q154" i="25"/>
  <c r="S154" i="25" s="1"/>
  <c r="AD154" i="25" s="1"/>
  <c r="AL154" i="25" s="1"/>
  <c r="U154" i="25"/>
  <c r="AN154" i="25"/>
  <c r="W154" i="25"/>
  <c r="L154" i="25"/>
  <c r="AB154" i="25" s="1"/>
  <c r="AJ154" i="25" s="1"/>
  <c r="J154" i="25"/>
  <c r="AA154" i="25" s="1"/>
  <c r="AI154" i="25" s="1"/>
  <c r="E155" i="24"/>
  <c r="I155" i="24"/>
  <c r="AC154" i="27"/>
  <c r="AK154" i="27" s="1"/>
  <c r="AC154" i="26"/>
  <c r="AK154" i="26" s="1"/>
  <c r="AC154" i="24"/>
  <c r="AK154" i="24" s="1"/>
  <c r="G154" i="23"/>
  <c r="H154" i="23"/>
  <c r="Y154" i="23" s="1"/>
  <c r="AM154" i="23" s="1"/>
  <c r="AE154" i="23"/>
  <c r="D155" i="22"/>
  <c r="C154" i="22"/>
  <c r="Z154" i="22" s="1"/>
  <c r="AH154" i="22" s="1"/>
  <c r="U154" i="22"/>
  <c r="W154" i="22"/>
  <c r="Q154" i="22"/>
  <c r="S154" i="22" s="1"/>
  <c r="AD154" i="22" s="1"/>
  <c r="AL154" i="22" s="1"/>
  <c r="AN154" i="22"/>
  <c r="L154" i="22"/>
  <c r="AB154" i="22" s="1"/>
  <c r="AJ154" i="22" s="1"/>
  <c r="J154" i="22"/>
  <c r="AA154" i="22" s="1"/>
  <c r="AI154" i="22" s="1"/>
  <c r="E155" i="21"/>
  <c r="I155" i="21"/>
  <c r="AC154" i="21"/>
  <c r="AK154" i="21" s="1"/>
  <c r="AC154" i="25" l="1"/>
  <c r="AK154" i="25" s="1"/>
  <c r="G155" i="27"/>
  <c r="H155" i="27"/>
  <c r="Y155" i="27" s="1"/>
  <c r="AM155" i="27" s="1"/>
  <c r="G155" i="26"/>
  <c r="H155" i="26"/>
  <c r="Y155" i="26" s="1"/>
  <c r="AM155" i="26" s="1"/>
  <c r="E155" i="25"/>
  <c r="I155" i="25"/>
  <c r="G155" i="24"/>
  <c r="H155" i="24"/>
  <c r="Y155" i="24" s="1"/>
  <c r="AM155" i="24" s="1"/>
  <c r="AE155" i="27"/>
  <c r="AE155" i="26"/>
  <c r="AE155" i="24"/>
  <c r="D155" i="23"/>
  <c r="C154" i="23"/>
  <c r="Z154" i="23" s="1"/>
  <c r="AH154" i="23" s="1"/>
  <c r="Q154" i="23"/>
  <c r="S154" i="23" s="1"/>
  <c r="AD154" i="23" s="1"/>
  <c r="AL154" i="23" s="1"/>
  <c r="W154" i="23"/>
  <c r="AN154" i="23"/>
  <c r="U154" i="23"/>
  <c r="L154" i="23"/>
  <c r="AB154" i="23" s="1"/>
  <c r="AJ154" i="23" s="1"/>
  <c r="J154" i="23"/>
  <c r="AA154" i="23" s="1"/>
  <c r="AI154" i="23" s="1"/>
  <c r="E155" i="22"/>
  <c r="I155" i="22"/>
  <c r="AC154" i="22"/>
  <c r="AK154" i="22" s="1"/>
  <c r="G155" i="21"/>
  <c r="H155" i="21"/>
  <c r="Y155" i="21" s="1"/>
  <c r="AM155" i="21" s="1"/>
  <c r="AE155" i="21"/>
  <c r="AC154" i="23" l="1"/>
  <c r="AK154" i="23" s="1"/>
  <c r="D156" i="27"/>
  <c r="C155" i="27"/>
  <c r="Z155" i="27" s="1"/>
  <c r="AH155" i="27" s="1"/>
  <c r="U155" i="27"/>
  <c r="W155" i="27"/>
  <c r="AN155" i="27"/>
  <c r="Q155" i="27"/>
  <c r="S155" i="27" s="1"/>
  <c r="AD155" i="27" s="1"/>
  <c r="AL155" i="27" s="1"/>
  <c r="L155" i="27"/>
  <c r="AB155" i="27" s="1"/>
  <c r="AJ155" i="27" s="1"/>
  <c r="J155" i="27"/>
  <c r="AA155" i="27" s="1"/>
  <c r="AI155" i="27" s="1"/>
  <c r="D156" i="26"/>
  <c r="C155" i="26"/>
  <c r="Z155" i="26" s="1"/>
  <c r="AH155" i="26" s="1"/>
  <c r="U155" i="26"/>
  <c r="AN155" i="26"/>
  <c r="W155" i="26"/>
  <c r="Q155" i="26"/>
  <c r="S155" i="26" s="1"/>
  <c r="AD155" i="26" s="1"/>
  <c r="AL155" i="26" s="1"/>
  <c r="J155" i="26"/>
  <c r="AA155" i="26" s="1"/>
  <c r="AI155" i="26" s="1"/>
  <c r="L155" i="26"/>
  <c r="AB155" i="26" s="1"/>
  <c r="AJ155" i="26" s="1"/>
  <c r="G155" i="25"/>
  <c r="H155" i="25"/>
  <c r="Y155" i="25" s="1"/>
  <c r="AM155" i="25" s="1"/>
  <c r="D156" i="24"/>
  <c r="C155" i="24"/>
  <c r="Z155" i="24" s="1"/>
  <c r="AH155" i="24" s="1"/>
  <c r="W155" i="24"/>
  <c r="U155" i="24"/>
  <c r="AC155" i="24" s="1"/>
  <c r="AK155" i="24" s="1"/>
  <c r="AN155" i="24"/>
  <c r="Q155" i="24"/>
  <c r="S155" i="24" s="1"/>
  <c r="AD155" i="24" s="1"/>
  <c r="AL155" i="24" s="1"/>
  <c r="L155" i="24"/>
  <c r="AB155" i="24" s="1"/>
  <c r="AJ155" i="24" s="1"/>
  <c r="J155" i="24"/>
  <c r="AA155" i="24" s="1"/>
  <c r="AI155" i="24" s="1"/>
  <c r="AE155" i="25"/>
  <c r="E155" i="23"/>
  <c r="I155" i="23"/>
  <c r="G155" i="22"/>
  <c r="H155" i="22"/>
  <c r="Y155" i="22" s="1"/>
  <c r="AM155" i="22" s="1"/>
  <c r="AE155" i="22"/>
  <c r="D156" i="21"/>
  <c r="C155" i="21"/>
  <c r="Z155" i="21" s="1"/>
  <c r="AH155" i="21" s="1"/>
  <c r="U155" i="21"/>
  <c r="W155" i="21"/>
  <c r="Q155" i="21"/>
  <c r="S155" i="21" s="1"/>
  <c r="AD155" i="21" s="1"/>
  <c r="AL155" i="21" s="1"/>
  <c r="AN155" i="21"/>
  <c r="L155" i="21"/>
  <c r="AB155" i="21" s="1"/>
  <c r="AJ155" i="21" s="1"/>
  <c r="J155" i="21"/>
  <c r="AA155" i="21" s="1"/>
  <c r="AI155" i="21" s="1"/>
  <c r="AC155" i="21" l="1"/>
  <c r="AK155" i="21" s="1"/>
  <c r="E156" i="27"/>
  <c r="I156" i="27"/>
  <c r="E156" i="26"/>
  <c r="I156" i="26"/>
  <c r="D156" i="25"/>
  <c r="C155" i="25"/>
  <c r="Z155" i="25" s="1"/>
  <c r="AH155" i="25" s="1"/>
  <c r="W155" i="25"/>
  <c r="U155" i="25"/>
  <c r="AN155" i="25"/>
  <c r="Q155" i="25"/>
  <c r="S155" i="25" s="1"/>
  <c r="AD155" i="25" s="1"/>
  <c r="AL155" i="25" s="1"/>
  <c r="L155" i="25"/>
  <c r="AB155" i="25" s="1"/>
  <c r="AJ155" i="25" s="1"/>
  <c r="J155" i="25"/>
  <c r="AA155" i="25" s="1"/>
  <c r="AI155" i="25" s="1"/>
  <c r="E156" i="24"/>
  <c r="I156" i="24"/>
  <c r="AC155" i="27"/>
  <c r="AK155" i="27" s="1"/>
  <c r="AC155" i="26"/>
  <c r="AK155" i="26" s="1"/>
  <c r="G155" i="23"/>
  <c r="H155" i="23"/>
  <c r="Y155" i="23" s="1"/>
  <c r="AM155" i="23" s="1"/>
  <c r="AE155" i="23"/>
  <c r="D156" i="22"/>
  <c r="C155" i="22"/>
  <c r="Z155" i="22" s="1"/>
  <c r="AH155" i="22" s="1"/>
  <c r="U155" i="22"/>
  <c r="AN155" i="22"/>
  <c r="W155" i="22"/>
  <c r="Q155" i="22"/>
  <c r="S155" i="22" s="1"/>
  <c r="AD155" i="22" s="1"/>
  <c r="AL155" i="22" s="1"/>
  <c r="L155" i="22"/>
  <c r="J155" i="22"/>
  <c r="AB155" i="22"/>
  <c r="AJ155" i="22" s="1"/>
  <c r="AA155" i="22"/>
  <c r="AI155" i="22" s="1"/>
  <c r="E156" i="21"/>
  <c r="I156" i="21"/>
  <c r="G156" i="27" l="1"/>
  <c r="H156" i="27"/>
  <c r="Y156" i="27" s="1"/>
  <c r="AM156" i="27" s="1"/>
  <c r="G156" i="26"/>
  <c r="H156" i="26"/>
  <c r="Y156" i="26" s="1"/>
  <c r="AM156" i="26" s="1"/>
  <c r="E156" i="25"/>
  <c r="I156" i="25"/>
  <c r="G156" i="24"/>
  <c r="H156" i="24"/>
  <c r="Y156" i="24" s="1"/>
  <c r="AM156" i="24" s="1"/>
  <c r="AE156" i="27"/>
  <c r="AE156" i="26"/>
  <c r="AC155" i="25"/>
  <c r="AK155" i="25" s="1"/>
  <c r="AE156" i="24"/>
  <c r="D156" i="23"/>
  <c r="C155" i="23"/>
  <c r="Z155" i="23" s="1"/>
  <c r="AH155" i="23" s="1"/>
  <c r="U155" i="23"/>
  <c r="AN155" i="23"/>
  <c r="W155" i="23"/>
  <c r="Q155" i="23"/>
  <c r="S155" i="23" s="1"/>
  <c r="AD155" i="23" s="1"/>
  <c r="AL155" i="23" s="1"/>
  <c r="J155" i="23"/>
  <c r="AA155" i="23" s="1"/>
  <c r="AI155" i="23" s="1"/>
  <c r="L155" i="23"/>
  <c r="AB155" i="23" s="1"/>
  <c r="AJ155" i="23" s="1"/>
  <c r="E156" i="22"/>
  <c r="I156" i="22"/>
  <c r="AC155" i="22"/>
  <c r="AK155" i="22" s="1"/>
  <c r="G156" i="21"/>
  <c r="H156" i="21"/>
  <c r="Y156" i="21" s="1"/>
  <c r="AM156" i="21" s="1"/>
  <c r="AE156" i="21"/>
  <c r="D157" i="27" l="1"/>
  <c r="C156" i="27"/>
  <c r="Z156" i="27" s="1"/>
  <c r="AH156" i="27" s="1"/>
  <c r="W156" i="27"/>
  <c r="Q156" i="27"/>
  <c r="S156" i="27" s="1"/>
  <c r="AD156" i="27" s="1"/>
  <c r="AL156" i="27" s="1"/>
  <c r="AN156" i="27"/>
  <c r="U156" i="27"/>
  <c r="L156" i="27"/>
  <c r="AB156" i="27" s="1"/>
  <c r="AJ156" i="27" s="1"/>
  <c r="J156" i="27"/>
  <c r="AA156" i="27" s="1"/>
  <c r="AI156" i="27" s="1"/>
  <c r="D157" i="26"/>
  <c r="C156" i="26"/>
  <c r="Z156" i="26" s="1"/>
  <c r="AH156" i="26" s="1"/>
  <c r="W156" i="26"/>
  <c r="AN156" i="26"/>
  <c r="U156" i="26"/>
  <c r="Q156" i="26"/>
  <c r="S156" i="26" s="1"/>
  <c r="AD156" i="26" s="1"/>
  <c r="AL156" i="26" s="1"/>
  <c r="L156" i="26"/>
  <c r="AB156" i="26" s="1"/>
  <c r="AJ156" i="26" s="1"/>
  <c r="J156" i="26"/>
  <c r="AA156" i="26" s="1"/>
  <c r="AI156" i="26" s="1"/>
  <c r="G156" i="25"/>
  <c r="H156" i="25"/>
  <c r="Y156" i="25" s="1"/>
  <c r="AM156" i="25" s="1"/>
  <c r="D157" i="24"/>
  <c r="C156" i="24"/>
  <c r="Z156" i="24" s="1"/>
  <c r="AH156" i="24" s="1"/>
  <c r="W156" i="24"/>
  <c r="Q156" i="24"/>
  <c r="S156" i="24" s="1"/>
  <c r="AD156" i="24" s="1"/>
  <c r="AL156" i="24" s="1"/>
  <c r="AN156" i="24"/>
  <c r="U156" i="24"/>
  <c r="L156" i="24"/>
  <c r="AB156" i="24" s="1"/>
  <c r="AJ156" i="24" s="1"/>
  <c r="J156" i="24"/>
  <c r="AA156" i="24" s="1"/>
  <c r="AI156" i="24" s="1"/>
  <c r="AE156" i="25"/>
  <c r="AC155" i="23"/>
  <c r="AK155" i="23" s="1"/>
  <c r="E156" i="23"/>
  <c r="I156" i="23"/>
  <c r="G156" i="22"/>
  <c r="H156" i="22"/>
  <c r="Y156" i="22" s="1"/>
  <c r="AM156" i="22" s="1"/>
  <c r="AE156" i="22"/>
  <c r="D157" i="21"/>
  <c r="C156" i="21"/>
  <c r="Z156" i="21" s="1"/>
  <c r="AH156" i="21" s="1"/>
  <c r="W156" i="21"/>
  <c r="AN156" i="21"/>
  <c r="Q156" i="21"/>
  <c r="S156" i="21" s="1"/>
  <c r="AD156" i="21" s="1"/>
  <c r="AL156" i="21" s="1"/>
  <c r="U156" i="21"/>
  <c r="L156" i="21"/>
  <c r="AB156" i="21" s="1"/>
  <c r="AJ156" i="21" s="1"/>
  <c r="J156" i="21"/>
  <c r="AA156" i="21" s="1"/>
  <c r="AI156" i="21" s="1"/>
  <c r="AC156" i="27" l="1"/>
  <c r="AK156" i="27" s="1"/>
  <c r="E157" i="27"/>
  <c r="I157" i="27"/>
  <c r="E157" i="26"/>
  <c r="I157" i="26"/>
  <c r="D157" i="25"/>
  <c r="C156" i="25"/>
  <c r="Z156" i="25" s="1"/>
  <c r="AH156" i="25" s="1"/>
  <c r="Q156" i="25"/>
  <c r="S156" i="25" s="1"/>
  <c r="AD156" i="25" s="1"/>
  <c r="AL156" i="25" s="1"/>
  <c r="W156" i="25"/>
  <c r="AN156" i="25"/>
  <c r="U156" i="25"/>
  <c r="L156" i="25"/>
  <c r="AB156" i="25" s="1"/>
  <c r="AJ156" i="25" s="1"/>
  <c r="J156" i="25"/>
  <c r="AA156" i="25" s="1"/>
  <c r="AI156" i="25" s="1"/>
  <c r="E157" i="24"/>
  <c r="I157" i="24"/>
  <c r="AC156" i="26"/>
  <c r="AK156" i="26" s="1"/>
  <c r="AC156" i="24"/>
  <c r="AK156" i="24" s="1"/>
  <c r="G156" i="23"/>
  <c r="H156" i="23"/>
  <c r="Y156" i="23" s="1"/>
  <c r="AM156" i="23" s="1"/>
  <c r="AE156" i="23"/>
  <c r="D157" i="22"/>
  <c r="C156" i="22"/>
  <c r="Z156" i="22" s="1"/>
  <c r="AH156" i="22" s="1"/>
  <c r="W156" i="22"/>
  <c r="AN156" i="22"/>
  <c r="Q156" i="22"/>
  <c r="S156" i="22" s="1"/>
  <c r="AD156" i="22" s="1"/>
  <c r="AL156" i="22" s="1"/>
  <c r="U156" i="22"/>
  <c r="L156" i="22"/>
  <c r="AB156" i="22" s="1"/>
  <c r="AJ156" i="22" s="1"/>
  <c r="J156" i="22"/>
  <c r="AA156" i="22" s="1"/>
  <c r="AI156" i="22" s="1"/>
  <c r="E157" i="21"/>
  <c r="I157" i="21"/>
  <c r="AC156" i="21"/>
  <c r="AK156" i="21" s="1"/>
  <c r="G157" i="27" l="1"/>
  <c r="H157" i="27"/>
  <c r="Y157" i="27" s="1"/>
  <c r="AM157" i="27" s="1"/>
  <c r="G157" i="26"/>
  <c r="H157" i="26"/>
  <c r="Y157" i="26" s="1"/>
  <c r="AM157" i="26" s="1"/>
  <c r="E157" i="25"/>
  <c r="I157" i="25"/>
  <c r="G157" i="24"/>
  <c r="H157" i="24"/>
  <c r="Y157" i="24" s="1"/>
  <c r="AM157" i="24" s="1"/>
  <c r="AE157" i="27"/>
  <c r="AE157" i="26"/>
  <c r="AC156" i="25"/>
  <c r="AK156" i="25" s="1"/>
  <c r="AE157" i="24"/>
  <c r="D157" i="23"/>
  <c r="C156" i="23"/>
  <c r="Z156" i="23" s="1"/>
  <c r="AH156" i="23" s="1"/>
  <c r="W156" i="23"/>
  <c r="AN156" i="23"/>
  <c r="U156" i="23"/>
  <c r="Q156" i="23"/>
  <c r="S156" i="23" s="1"/>
  <c r="AD156" i="23" s="1"/>
  <c r="AL156" i="23" s="1"/>
  <c r="J156" i="23"/>
  <c r="AA156" i="23" s="1"/>
  <c r="AI156" i="23" s="1"/>
  <c r="L156" i="23"/>
  <c r="AB156" i="23" s="1"/>
  <c r="AJ156" i="23" s="1"/>
  <c r="E157" i="22"/>
  <c r="I157" i="22"/>
  <c r="AC156" i="22"/>
  <c r="AK156" i="22" s="1"/>
  <c r="G157" i="21"/>
  <c r="H157" i="21"/>
  <c r="Y157" i="21" s="1"/>
  <c r="AM157" i="21" s="1"/>
  <c r="AE157" i="21"/>
  <c r="AC156" i="23" l="1"/>
  <c r="AK156" i="23" s="1"/>
  <c r="D158" i="27"/>
  <c r="C157" i="27"/>
  <c r="Z157" i="27" s="1"/>
  <c r="AH157" i="27" s="1"/>
  <c r="AN157" i="27"/>
  <c r="Q157" i="27"/>
  <c r="S157" i="27" s="1"/>
  <c r="AD157" i="27" s="1"/>
  <c r="AL157" i="27" s="1"/>
  <c r="W157" i="27"/>
  <c r="U157" i="27"/>
  <c r="L157" i="27"/>
  <c r="AB157" i="27" s="1"/>
  <c r="AJ157" i="27" s="1"/>
  <c r="J157" i="27"/>
  <c r="AA157" i="27" s="1"/>
  <c r="AI157" i="27" s="1"/>
  <c r="D158" i="26"/>
  <c r="C157" i="26"/>
  <c r="Z157" i="26" s="1"/>
  <c r="AH157" i="26" s="1"/>
  <c r="Q157" i="26"/>
  <c r="S157" i="26" s="1"/>
  <c r="AD157" i="26" s="1"/>
  <c r="AL157" i="26" s="1"/>
  <c r="U157" i="26"/>
  <c r="AN157" i="26"/>
  <c r="W157" i="26"/>
  <c r="L157" i="26"/>
  <c r="AB157" i="26" s="1"/>
  <c r="AJ157" i="26" s="1"/>
  <c r="J157" i="26"/>
  <c r="AA157" i="26" s="1"/>
  <c r="AI157" i="26" s="1"/>
  <c r="G157" i="25"/>
  <c r="H157" i="25"/>
  <c r="Y157" i="25" s="1"/>
  <c r="AM157" i="25" s="1"/>
  <c r="D158" i="24"/>
  <c r="C157" i="24"/>
  <c r="Z157" i="24" s="1"/>
  <c r="AH157" i="24" s="1"/>
  <c r="W157" i="24"/>
  <c r="U157" i="24"/>
  <c r="Q157" i="24"/>
  <c r="S157" i="24" s="1"/>
  <c r="AD157" i="24" s="1"/>
  <c r="AL157" i="24" s="1"/>
  <c r="AN157" i="24"/>
  <c r="L157" i="24"/>
  <c r="AB157" i="24" s="1"/>
  <c r="AJ157" i="24" s="1"/>
  <c r="J157" i="24"/>
  <c r="AA157" i="24" s="1"/>
  <c r="AI157" i="24" s="1"/>
  <c r="AE157" i="25"/>
  <c r="E157" i="23"/>
  <c r="I157" i="23"/>
  <c r="G157" i="22"/>
  <c r="H157" i="22"/>
  <c r="Y157" i="22" s="1"/>
  <c r="AM157" i="22" s="1"/>
  <c r="AE157" i="22"/>
  <c r="D158" i="21"/>
  <c r="C157" i="21"/>
  <c r="Z157" i="21" s="1"/>
  <c r="AH157" i="21" s="1"/>
  <c r="Q157" i="21"/>
  <c r="S157" i="21" s="1"/>
  <c r="AD157" i="21" s="1"/>
  <c r="AL157" i="21" s="1"/>
  <c r="AN157" i="21"/>
  <c r="W157" i="21"/>
  <c r="U157" i="21"/>
  <c r="L157" i="21"/>
  <c r="AB157" i="21" s="1"/>
  <c r="AJ157" i="21" s="1"/>
  <c r="J157" i="21"/>
  <c r="AA157" i="21" s="1"/>
  <c r="AI157" i="21" s="1"/>
  <c r="AC157" i="24" l="1"/>
  <c r="AK157" i="24" s="1"/>
  <c r="AC157" i="26"/>
  <c r="AK157" i="26" s="1"/>
  <c r="AC157" i="27"/>
  <c r="AK157" i="27" s="1"/>
  <c r="AC157" i="21"/>
  <c r="AK157" i="21" s="1"/>
  <c r="E158" i="27"/>
  <c r="I158" i="27"/>
  <c r="E158" i="26"/>
  <c r="I158" i="26"/>
  <c r="D158" i="25"/>
  <c r="C157" i="25"/>
  <c r="Z157" i="25" s="1"/>
  <c r="AH157" i="25" s="1"/>
  <c r="Q157" i="25"/>
  <c r="S157" i="25" s="1"/>
  <c r="AD157" i="25" s="1"/>
  <c r="AL157" i="25" s="1"/>
  <c r="AN157" i="25"/>
  <c r="W157" i="25"/>
  <c r="U157" i="25"/>
  <c r="L157" i="25"/>
  <c r="AB157" i="25" s="1"/>
  <c r="AJ157" i="25" s="1"/>
  <c r="J157" i="25"/>
  <c r="AA157" i="25" s="1"/>
  <c r="AI157" i="25" s="1"/>
  <c r="E158" i="24"/>
  <c r="I158" i="24"/>
  <c r="G157" i="23"/>
  <c r="H157" i="23"/>
  <c r="Y157" i="23" s="1"/>
  <c r="AM157" i="23" s="1"/>
  <c r="AE157" i="23"/>
  <c r="D158" i="22"/>
  <c r="C157" i="22"/>
  <c r="Z157" i="22" s="1"/>
  <c r="AH157" i="22" s="1"/>
  <c r="Q157" i="22"/>
  <c r="S157" i="22" s="1"/>
  <c r="AD157" i="22" s="1"/>
  <c r="AL157" i="22" s="1"/>
  <c r="U157" i="22"/>
  <c r="AN157" i="22"/>
  <c r="W157" i="22"/>
  <c r="L157" i="22"/>
  <c r="AB157" i="22" s="1"/>
  <c r="AJ157" i="22" s="1"/>
  <c r="J157" i="22"/>
  <c r="AA157" i="22" s="1"/>
  <c r="AI157" i="22" s="1"/>
  <c r="E158" i="21"/>
  <c r="I158" i="21"/>
  <c r="AC157" i="22" l="1"/>
  <c r="AK157" i="22" s="1"/>
  <c r="G158" i="27"/>
  <c r="H158" i="27"/>
  <c r="Y158" i="27" s="1"/>
  <c r="AM158" i="27" s="1"/>
  <c r="G158" i="26"/>
  <c r="H158" i="26"/>
  <c r="Y158" i="26" s="1"/>
  <c r="AM158" i="26" s="1"/>
  <c r="E158" i="25"/>
  <c r="I158" i="25"/>
  <c r="G158" i="24"/>
  <c r="H158" i="24"/>
  <c r="Y158" i="24" s="1"/>
  <c r="AM158" i="24" s="1"/>
  <c r="AE158" i="27"/>
  <c r="AE158" i="26"/>
  <c r="AC157" i="25"/>
  <c r="AK157" i="25" s="1"/>
  <c r="AE158" i="24"/>
  <c r="D158" i="23"/>
  <c r="C157" i="23"/>
  <c r="Z157" i="23" s="1"/>
  <c r="AH157" i="23" s="1"/>
  <c r="AN157" i="23"/>
  <c r="W157" i="23"/>
  <c r="U157" i="23"/>
  <c r="Q157" i="23"/>
  <c r="S157" i="23" s="1"/>
  <c r="AD157" i="23" s="1"/>
  <c r="AL157" i="23" s="1"/>
  <c r="L157" i="23"/>
  <c r="AB157" i="23" s="1"/>
  <c r="AJ157" i="23" s="1"/>
  <c r="J157" i="23"/>
  <c r="AA157" i="23" s="1"/>
  <c r="AI157" i="23" s="1"/>
  <c r="E158" i="22"/>
  <c r="I158" i="22"/>
  <c r="G158" i="21"/>
  <c r="H158" i="21"/>
  <c r="Y158" i="21" s="1"/>
  <c r="AM158" i="21" s="1"/>
  <c r="AE158" i="21"/>
  <c r="AC157" i="23" l="1"/>
  <c r="AK157" i="23" s="1"/>
  <c r="D159" i="27"/>
  <c r="C158" i="27"/>
  <c r="Z158" i="27" s="1"/>
  <c r="AH158" i="27" s="1"/>
  <c r="Q158" i="27"/>
  <c r="S158" i="27" s="1"/>
  <c r="AD158" i="27" s="1"/>
  <c r="AL158" i="27" s="1"/>
  <c r="U158" i="27"/>
  <c r="AN158" i="27"/>
  <c r="W158" i="27"/>
  <c r="L158" i="27"/>
  <c r="AB158" i="27" s="1"/>
  <c r="AJ158" i="27" s="1"/>
  <c r="J158" i="27"/>
  <c r="AA158" i="27" s="1"/>
  <c r="AI158" i="27" s="1"/>
  <c r="D159" i="26"/>
  <c r="C158" i="26"/>
  <c r="Z158" i="26" s="1"/>
  <c r="AH158" i="26" s="1"/>
  <c r="Q158" i="26"/>
  <c r="S158" i="26" s="1"/>
  <c r="AD158" i="26" s="1"/>
  <c r="AL158" i="26" s="1"/>
  <c r="U158" i="26"/>
  <c r="W158" i="26"/>
  <c r="AN158" i="26"/>
  <c r="J158" i="26"/>
  <c r="AA158" i="26" s="1"/>
  <c r="AI158" i="26" s="1"/>
  <c r="L158" i="26"/>
  <c r="AB158" i="26" s="1"/>
  <c r="AJ158" i="26" s="1"/>
  <c r="G158" i="25"/>
  <c r="H158" i="25"/>
  <c r="Y158" i="25" s="1"/>
  <c r="AM158" i="25" s="1"/>
  <c r="D159" i="24"/>
  <c r="C158" i="24"/>
  <c r="Z158" i="24" s="1"/>
  <c r="AH158" i="24" s="1"/>
  <c r="Q158" i="24"/>
  <c r="S158" i="24" s="1"/>
  <c r="AD158" i="24" s="1"/>
  <c r="AL158" i="24" s="1"/>
  <c r="U158" i="24"/>
  <c r="W158" i="24"/>
  <c r="AN158" i="24"/>
  <c r="J158" i="24"/>
  <c r="AA158" i="24" s="1"/>
  <c r="AI158" i="24" s="1"/>
  <c r="L158" i="24"/>
  <c r="AB158" i="24" s="1"/>
  <c r="AJ158" i="24" s="1"/>
  <c r="AE158" i="25"/>
  <c r="E158" i="23"/>
  <c r="I158" i="23"/>
  <c r="G158" i="22"/>
  <c r="H158" i="22"/>
  <c r="Y158" i="22" s="1"/>
  <c r="AM158" i="22" s="1"/>
  <c r="AE158" i="22"/>
  <c r="D159" i="21"/>
  <c r="C158" i="21"/>
  <c r="Z158" i="21" s="1"/>
  <c r="AH158" i="21" s="1"/>
  <c r="Q158" i="21"/>
  <c r="S158" i="21" s="1"/>
  <c r="AD158" i="21" s="1"/>
  <c r="AL158" i="21" s="1"/>
  <c r="U158" i="21"/>
  <c r="AN158" i="21"/>
  <c r="W158" i="21"/>
  <c r="J158" i="21"/>
  <c r="AA158" i="21" s="1"/>
  <c r="AI158" i="21" s="1"/>
  <c r="L158" i="21"/>
  <c r="AB158" i="21" s="1"/>
  <c r="AJ158" i="21" s="1"/>
  <c r="E159" i="27" l="1"/>
  <c r="I159" i="27"/>
  <c r="E159" i="26"/>
  <c r="I159" i="26"/>
  <c r="D159" i="25"/>
  <c r="C158" i="25"/>
  <c r="Z158" i="25" s="1"/>
  <c r="AH158" i="25" s="1"/>
  <c r="Q158" i="25"/>
  <c r="S158" i="25" s="1"/>
  <c r="AD158" i="25" s="1"/>
  <c r="AL158" i="25" s="1"/>
  <c r="AN158" i="25"/>
  <c r="W158" i="25"/>
  <c r="U158" i="25"/>
  <c r="L158" i="25"/>
  <c r="AB158" i="25" s="1"/>
  <c r="AJ158" i="25" s="1"/>
  <c r="J158" i="25"/>
  <c r="AA158" i="25" s="1"/>
  <c r="AI158" i="25" s="1"/>
  <c r="E159" i="24"/>
  <c r="I159" i="24"/>
  <c r="AC158" i="27"/>
  <c r="AK158" i="27" s="1"/>
  <c r="AC158" i="26"/>
  <c r="AK158" i="26" s="1"/>
  <c r="AC158" i="24"/>
  <c r="AK158" i="24" s="1"/>
  <c r="G158" i="23"/>
  <c r="H158" i="23"/>
  <c r="Y158" i="23" s="1"/>
  <c r="AM158" i="23" s="1"/>
  <c r="AE158" i="23"/>
  <c r="D159" i="22"/>
  <c r="C158" i="22"/>
  <c r="Z158" i="22" s="1"/>
  <c r="AH158" i="22" s="1"/>
  <c r="U158" i="22"/>
  <c r="W158" i="22"/>
  <c r="Q158" i="22"/>
  <c r="S158" i="22" s="1"/>
  <c r="AD158" i="22" s="1"/>
  <c r="AL158" i="22" s="1"/>
  <c r="AN158" i="22"/>
  <c r="L158" i="22"/>
  <c r="AB158" i="22" s="1"/>
  <c r="AJ158" i="22" s="1"/>
  <c r="J158" i="22"/>
  <c r="AA158" i="22" s="1"/>
  <c r="AI158" i="22" s="1"/>
  <c r="E159" i="21"/>
  <c r="I159" i="21"/>
  <c r="AC158" i="21"/>
  <c r="AK158" i="21" s="1"/>
  <c r="AC158" i="25" l="1"/>
  <c r="AK158" i="25" s="1"/>
  <c r="AC158" i="22"/>
  <c r="AK158" i="22" s="1"/>
  <c r="G159" i="27"/>
  <c r="H159" i="27"/>
  <c r="Y159" i="27" s="1"/>
  <c r="AM159" i="27" s="1"/>
  <c r="G159" i="26"/>
  <c r="H159" i="26"/>
  <c r="Y159" i="26" s="1"/>
  <c r="AM159" i="26" s="1"/>
  <c r="E159" i="25"/>
  <c r="I159" i="25"/>
  <c r="G159" i="24"/>
  <c r="H159" i="24"/>
  <c r="Y159" i="24" s="1"/>
  <c r="AM159" i="24" s="1"/>
  <c r="AE159" i="27"/>
  <c r="AE159" i="26"/>
  <c r="AE159" i="24"/>
  <c r="D159" i="23"/>
  <c r="C158" i="23"/>
  <c r="Z158" i="23" s="1"/>
  <c r="AH158" i="23" s="1"/>
  <c r="Q158" i="23"/>
  <c r="S158" i="23" s="1"/>
  <c r="AD158" i="23" s="1"/>
  <c r="AL158" i="23" s="1"/>
  <c r="W158" i="23"/>
  <c r="AN158" i="23"/>
  <c r="U158" i="23"/>
  <c r="J158" i="23"/>
  <c r="AA158" i="23" s="1"/>
  <c r="AI158" i="23" s="1"/>
  <c r="L158" i="23"/>
  <c r="AB158" i="23" s="1"/>
  <c r="AJ158" i="23" s="1"/>
  <c r="E159" i="22"/>
  <c r="I159" i="22"/>
  <c r="G159" i="21"/>
  <c r="H159" i="21"/>
  <c r="Y159" i="21"/>
  <c r="AM159" i="21" s="1"/>
  <c r="AE159" i="21"/>
  <c r="AC158" i="23" l="1"/>
  <c r="AK158" i="23" s="1"/>
  <c r="D160" i="27"/>
  <c r="C159" i="27"/>
  <c r="Z159" i="27" s="1"/>
  <c r="AH159" i="27" s="1"/>
  <c r="U159" i="27"/>
  <c r="AN159" i="27"/>
  <c r="Q159" i="27"/>
  <c r="S159" i="27" s="1"/>
  <c r="AD159" i="27" s="1"/>
  <c r="AL159" i="27" s="1"/>
  <c r="W159" i="27"/>
  <c r="J159" i="27"/>
  <c r="AA159" i="27" s="1"/>
  <c r="AI159" i="27" s="1"/>
  <c r="L159" i="27"/>
  <c r="AB159" i="27" s="1"/>
  <c r="AJ159" i="27" s="1"/>
  <c r="D160" i="26"/>
  <c r="C159" i="26"/>
  <c r="Z159" i="26" s="1"/>
  <c r="AH159" i="26" s="1"/>
  <c r="U159" i="26"/>
  <c r="W159" i="26"/>
  <c r="Q159" i="26"/>
  <c r="S159" i="26" s="1"/>
  <c r="AD159" i="26" s="1"/>
  <c r="AL159" i="26" s="1"/>
  <c r="AN159" i="26"/>
  <c r="L159" i="26"/>
  <c r="AB159" i="26" s="1"/>
  <c r="AJ159" i="26" s="1"/>
  <c r="J159" i="26"/>
  <c r="AA159" i="26" s="1"/>
  <c r="AI159" i="26" s="1"/>
  <c r="G159" i="25"/>
  <c r="H159" i="25"/>
  <c r="Y159" i="25" s="1"/>
  <c r="AM159" i="25" s="1"/>
  <c r="D160" i="24"/>
  <c r="C159" i="24"/>
  <c r="Z159" i="24" s="1"/>
  <c r="AH159" i="24" s="1"/>
  <c r="U159" i="24"/>
  <c r="W159" i="24"/>
  <c r="AN159" i="24"/>
  <c r="Q159" i="24"/>
  <c r="S159" i="24" s="1"/>
  <c r="AD159" i="24" s="1"/>
  <c r="AL159" i="24" s="1"/>
  <c r="L159" i="24"/>
  <c r="AB159" i="24" s="1"/>
  <c r="AJ159" i="24" s="1"/>
  <c r="J159" i="24"/>
  <c r="AA159" i="24" s="1"/>
  <c r="AI159" i="24" s="1"/>
  <c r="AE159" i="25"/>
  <c r="E159" i="23"/>
  <c r="I159" i="23"/>
  <c r="G159" i="22"/>
  <c r="H159" i="22"/>
  <c r="Y159" i="22" s="1"/>
  <c r="AM159" i="22" s="1"/>
  <c r="AE159" i="22"/>
  <c r="D160" i="21"/>
  <c r="C159" i="21"/>
  <c r="Z159" i="21" s="1"/>
  <c r="AH159" i="21" s="1"/>
  <c r="U159" i="21"/>
  <c r="Q159" i="21"/>
  <c r="S159" i="21" s="1"/>
  <c r="AD159" i="21" s="1"/>
  <c r="AL159" i="21" s="1"/>
  <c r="W159" i="21"/>
  <c r="AN159" i="21"/>
  <c r="L159" i="21"/>
  <c r="AB159" i="21" s="1"/>
  <c r="AJ159" i="21" s="1"/>
  <c r="J159" i="21"/>
  <c r="AA159" i="21" s="1"/>
  <c r="AI159" i="21" s="1"/>
  <c r="AC159" i="26" l="1"/>
  <c r="AK159" i="26" s="1"/>
  <c r="AC159" i="21"/>
  <c r="AK159" i="21" s="1"/>
  <c r="E160" i="27"/>
  <c r="I160" i="27"/>
  <c r="E160" i="26"/>
  <c r="I160" i="26"/>
  <c r="D160" i="25"/>
  <c r="C159" i="25"/>
  <c r="Z159" i="25" s="1"/>
  <c r="AH159" i="25" s="1"/>
  <c r="U159" i="25"/>
  <c r="W159" i="25"/>
  <c r="AN159" i="25"/>
  <c r="Q159" i="25"/>
  <c r="S159" i="25" s="1"/>
  <c r="AD159" i="25" s="1"/>
  <c r="AL159" i="25" s="1"/>
  <c r="L159" i="25"/>
  <c r="AB159" i="25" s="1"/>
  <c r="AJ159" i="25" s="1"/>
  <c r="J159" i="25"/>
  <c r="AA159" i="25" s="1"/>
  <c r="AI159" i="25" s="1"/>
  <c r="E160" i="24"/>
  <c r="I160" i="24"/>
  <c r="AC159" i="27"/>
  <c r="AK159" i="27" s="1"/>
  <c r="AC159" i="24"/>
  <c r="AK159" i="24" s="1"/>
  <c r="G159" i="23"/>
  <c r="H159" i="23"/>
  <c r="Y159" i="23" s="1"/>
  <c r="AM159" i="23" s="1"/>
  <c r="AE159" i="23"/>
  <c r="D160" i="22"/>
  <c r="C159" i="22"/>
  <c r="Z159" i="22" s="1"/>
  <c r="AH159" i="22" s="1"/>
  <c r="U159" i="22"/>
  <c r="Q159" i="22"/>
  <c r="S159" i="22" s="1"/>
  <c r="AD159" i="22" s="1"/>
  <c r="AL159" i="22" s="1"/>
  <c r="AN159" i="22"/>
  <c r="W159" i="22"/>
  <c r="L159" i="22"/>
  <c r="AB159" i="22" s="1"/>
  <c r="AJ159" i="22" s="1"/>
  <c r="J159" i="22"/>
  <c r="AA159" i="22" s="1"/>
  <c r="AI159" i="22" s="1"/>
  <c r="E160" i="21"/>
  <c r="I160" i="21"/>
  <c r="AC159" i="25" l="1"/>
  <c r="AK159" i="25" s="1"/>
  <c r="G160" i="27"/>
  <c r="H160" i="27"/>
  <c r="Y160" i="27" s="1"/>
  <c r="AM160" i="27" s="1"/>
  <c r="G160" i="26"/>
  <c r="H160" i="26"/>
  <c r="Y160" i="26" s="1"/>
  <c r="AM160" i="26" s="1"/>
  <c r="E160" i="25"/>
  <c r="I160" i="25"/>
  <c r="G160" i="24"/>
  <c r="H160" i="24"/>
  <c r="Y160" i="24" s="1"/>
  <c r="AM160" i="24" s="1"/>
  <c r="AE160" i="27"/>
  <c r="AE160" i="26"/>
  <c r="AE160" i="24"/>
  <c r="D160" i="23"/>
  <c r="C159" i="23"/>
  <c r="Z159" i="23" s="1"/>
  <c r="AH159" i="23" s="1"/>
  <c r="U159" i="23"/>
  <c r="AN159" i="23"/>
  <c r="W159" i="23"/>
  <c r="Q159" i="23"/>
  <c r="S159" i="23" s="1"/>
  <c r="AD159" i="23" s="1"/>
  <c r="AL159" i="23" s="1"/>
  <c r="L159" i="23"/>
  <c r="AB159" i="23" s="1"/>
  <c r="AJ159" i="23" s="1"/>
  <c r="J159" i="23"/>
  <c r="AA159" i="23" s="1"/>
  <c r="AI159" i="23" s="1"/>
  <c r="E160" i="22"/>
  <c r="I160" i="22"/>
  <c r="AC159" i="22"/>
  <c r="AK159" i="22" s="1"/>
  <c r="G160" i="21"/>
  <c r="H160" i="21"/>
  <c r="Y160" i="21" s="1"/>
  <c r="AM160" i="21" s="1"/>
  <c r="AE160" i="21"/>
  <c r="D161" i="27" l="1"/>
  <c r="C160" i="27"/>
  <c r="Z160" i="27" s="1"/>
  <c r="AH160" i="27" s="1"/>
  <c r="Q160" i="27"/>
  <c r="S160" i="27" s="1"/>
  <c r="AD160" i="27" s="1"/>
  <c r="AL160" i="27" s="1"/>
  <c r="W160" i="27"/>
  <c r="U160" i="27"/>
  <c r="AN160" i="27"/>
  <c r="L160" i="27"/>
  <c r="AB160" i="27" s="1"/>
  <c r="AJ160" i="27" s="1"/>
  <c r="J160" i="27"/>
  <c r="AA160" i="27" s="1"/>
  <c r="AI160" i="27" s="1"/>
  <c r="D161" i="26"/>
  <c r="C160" i="26"/>
  <c r="Z160" i="26" s="1"/>
  <c r="AH160" i="26" s="1"/>
  <c r="W160" i="26"/>
  <c r="Q160" i="26"/>
  <c r="S160" i="26" s="1"/>
  <c r="AD160" i="26" s="1"/>
  <c r="AL160" i="26" s="1"/>
  <c r="AN160" i="26"/>
  <c r="U160" i="26"/>
  <c r="L160" i="26"/>
  <c r="AB160" i="26" s="1"/>
  <c r="AJ160" i="26" s="1"/>
  <c r="J160" i="26"/>
  <c r="AA160" i="26" s="1"/>
  <c r="AI160" i="26" s="1"/>
  <c r="G160" i="25"/>
  <c r="H160" i="25"/>
  <c r="Y160" i="25" s="1"/>
  <c r="AM160" i="25" s="1"/>
  <c r="D161" i="24"/>
  <c r="C160" i="24"/>
  <c r="Z160" i="24" s="1"/>
  <c r="AH160" i="24" s="1"/>
  <c r="W160" i="24"/>
  <c r="U160" i="24"/>
  <c r="AN160" i="24"/>
  <c r="Q160" i="24"/>
  <c r="S160" i="24" s="1"/>
  <c r="AD160" i="24" s="1"/>
  <c r="AL160" i="24" s="1"/>
  <c r="L160" i="24"/>
  <c r="AB160" i="24" s="1"/>
  <c r="AJ160" i="24" s="1"/>
  <c r="J160" i="24"/>
  <c r="AA160" i="24" s="1"/>
  <c r="AI160" i="24" s="1"/>
  <c r="AE160" i="25"/>
  <c r="AC159" i="23"/>
  <c r="AK159" i="23" s="1"/>
  <c r="E160" i="23"/>
  <c r="I160" i="23"/>
  <c r="G160" i="22"/>
  <c r="H160" i="22"/>
  <c r="Y160" i="22" s="1"/>
  <c r="AM160" i="22" s="1"/>
  <c r="AE160" i="22"/>
  <c r="D161" i="21"/>
  <c r="C160" i="21"/>
  <c r="Z160" i="21" s="1"/>
  <c r="AH160" i="21" s="1"/>
  <c r="W160" i="21"/>
  <c r="Q160" i="21"/>
  <c r="S160" i="21" s="1"/>
  <c r="AD160" i="21" s="1"/>
  <c r="AL160" i="21" s="1"/>
  <c r="U160" i="21"/>
  <c r="AN160" i="21"/>
  <c r="J160" i="21"/>
  <c r="AA160" i="21" s="1"/>
  <c r="AI160" i="21" s="1"/>
  <c r="L160" i="21"/>
  <c r="AB160" i="21" s="1"/>
  <c r="AJ160" i="21" s="1"/>
  <c r="AC160" i="26" l="1"/>
  <c r="AK160" i="26" s="1"/>
  <c r="E161" i="27"/>
  <c r="I161" i="27"/>
  <c r="E161" i="26"/>
  <c r="I161" i="26"/>
  <c r="D161" i="25"/>
  <c r="C160" i="25"/>
  <c r="Z160" i="25" s="1"/>
  <c r="AH160" i="25" s="1"/>
  <c r="W160" i="25"/>
  <c r="Q160" i="25"/>
  <c r="S160" i="25" s="1"/>
  <c r="AD160" i="25" s="1"/>
  <c r="AL160" i="25" s="1"/>
  <c r="AN160" i="25"/>
  <c r="U160" i="25"/>
  <c r="L160" i="25"/>
  <c r="AB160" i="25" s="1"/>
  <c r="AJ160" i="25" s="1"/>
  <c r="J160" i="25"/>
  <c r="AA160" i="25" s="1"/>
  <c r="AI160" i="25" s="1"/>
  <c r="E161" i="24"/>
  <c r="I161" i="24"/>
  <c r="AC160" i="27"/>
  <c r="AK160" i="27" s="1"/>
  <c r="AC160" i="24"/>
  <c r="AK160" i="24" s="1"/>
  <c r="G160" i="23"/>
  <c r="H160" i="23"/>
  <c r="Y160" i="23" s="1"/>
  <c r="AM160" i="23" s="1"/>
  <c r="AE160" i="23"/>
  <c r="D161" i="22"/>
  <c r="C160" i="22"/>
  <c r="Z160" i="22" s="1"/>
  <c r="AH160" i="22" s="1"/>
  <c r="W160" i="22"/>
  <c r="Q160" i="22"/>
  <c r="S160" i="22" s="1"/>
  <c r="AD160" i="22" s="1"/>
  <c r="AL160" i="22" s="1"/>
  <c r="AN160" i="22"/>
  <c r="U160" i="22"/>
  <c r="L160" i="22"/>
  <c r="AB160" i="22" s="1"/>
  <c r="AJ160" i="22" s="1"/>
  <c r="J160" i="22"/>
  <c r="AA160" i="22" s="1"/>
  <c r="AI160" i="22" s="1"/>
  <c r="E161" i="21"/>
  <c r="I161" i="21"/>
  <c r="AC160" i="21"/>
  <c r="AK160" i="21" s="1"/>
  <c r="AC160" i="22" l="1"/>
  <c r="AK160" i="22" s="1"/>
  <c r="G161" i="27"/>
  <c r="H161" i="27"/>
  <c r="Y161" i="27" s="1"/>
  <c r="AM161" i="27" s="1"/>
  <c r="G161" i="26"/>
  <c r="H161" i="26"/>
  <c r="Y161" i="26" s="1"/>
  <c r="AM161" i="26" s="1"/>
  <c r="E161" i="25"/>
  <c r="I161" i="25"/>
  <c r="G161" i="24"/>
  <c r="H161" i="24"/>
  <c r="Y161" i="24" s="1"/>
  <c r="AM161" i="24" s="1"/>
  <c r="AE161" i="27"/>
  <c r="AE161" i="26"/>
  <c r="AC160" i="25"/>
  <c r="AK160" i="25" s="1"/>
  <c r="AE161" i="24"/>
  <c r="D161" i="23"/>
  <c r="C160" i="23"/>
  <c r="Z160" i="23" s="1"/>
  <c r="AH160" i="23" s="1"/>
  <c r="W160" i="23"/>
  <c r="U160" i="23"/>
  <c r="AN160" i="23"/>
  <c r="Q160" i="23"/>
  <c r="S160" i="23" s="1"/>
  <c r="AD160" i="23" s="1"/>
  <c r="AL160" i="23" s="1"/>
  <c r="L160" i="23"/>
  <c r="AB160" i="23" s="1"/>
  <c r="AJ160" i="23" s="1"/>
  <c r="J160" i="23"/>
  <c r="AA160" i="23" s="1"/>
  <c r="AI160" i="23" s="1"/>
  <c r="E161" i="22"/>
  <c r="I161" i="22"/>
  <c r="G161" i="21"/>
  <c r="H161" i="21"/>
  <c r="Y161" i="21" s="1"/>
  <c r="AM161" i="21" s="1"/>
  <c r="AE161" i="21"/>
  <c r="AC160" i="23" l="1"/>
  <c r="AK160" i="23" s="1"/>
  <c r="D162" i="27"/>
  <c r="C161" i="27"/>
  <c r="Z161" i="27" s="1"/>
  <c r="AH161" i="27" s="1"/>
  <c r="U161" i="27"/>
  <c r="AN161" i="27"/>
  <c r="Q161" i="27"/>
  <c r="S161" i="27" s="1"/>
  <c r="AD161" i="27" s="1"/>
  <c r="AL161" i="27" s="1"/>
  <c r="W161" i="27"/>
  <c r="AC161" i="27" s="1"/>
  <c r="AK161" i="27" s="1"/>
  <c r="L161" i="27"/>
  <c r="AB161" i="27" s="1"/>
  <c r="AJ161" i="27" s="1"/>
  <c r="J161" i="27"/>
  <c r="AA161" i="27" s="1"/>
  <c r="AI161" i="27" s="1"/>
  <c r="D162" i="26"/>
  <c r="C161" i="26"/>
  <c r="Z161" i="26" s="1"/>
  <c r="AH161" i="26" s="1"/>
  <c r="Q161" i="26"/>
  <c r="S161" i="26" s="1"/>
  <c r="AD161" i="26" s="1"/>
  <c r="AL161" i="26" s="1"/>
  <c r="U161" i="26"/>
  <c r="AN161" i="26"/>
  <c r="W161" i="26"/>
  <c r="L161" i="26"/>
  <c r="AB161" i="26" s="1"/>
  <c r="AJ161" i="26" s="1"/>
  <c r="J161" i="26"/>
  <c r="AA161" i="26" s="1"/>
  <c r="AI161" i="26" s="1"/>
  <c r="G161" i="25"/>
  <c r="H161" i="25"/>
  <c r="Y161" i="25" s="1"/>
  <c r="AM161" i="25" s="1"/>
  <c r="D162" i="24"/>
  <c r="C161" i="24"/>
  <c r="Z161" i="24" s="1"/>
  <c r="AH161" i="24" s="1"/>
  <c r="Q161" i="24"/>
  <c r="S161" i="24" s="1"/>
  <c r="AD161" i="24" s="1"/>
  <c r="AL161" i="24" s="1"/>
  <c r="W161" i="24"/>
  <c r="U161" i="24"/>
  <c r="AC161" i="24" s="1"/>
  <c r="AK161" i="24" s="1"/>
  <c r="AN161" i="24"/>
  <c r="L161" i="24"/>
  <c r="AB161" i="24" s="1"/>
  <c r="AJ161" i="24" s="1"/>
  <c r="J161" i="24"/>
  <c r="AA161" i="24" s="1"/>
  <c r="AI161" i="24" s="1"/>
  <c r="AE161" i="25"/>
  <c r="E161" i="23"/>
  <c r="I161" i="23"/>
  <c r="G161" i="22"/>
  <c r="H161" i="22"/>
  <c r="Y161" i="22" s="1"/>
  <c r="AM161" i="22" s="1"/>
  <c r="AE161" i="22"/>
  <c r="D162" i="21"/>
  <c r="C161" i="21"/>
  <c r="Z161" i="21" s="1"/>
  <c r="AH161" i="21" s="1"/>
  <c r="Q161" i="21"/>
  <c r="S161" i="21" s="1"/>
  <c r="AD161" i="21" s="1"/>
  <c r="AL161" i="21" s="1"/>
  <c r="U161" i="21"/>
  <c r="W161" i="21"/>
  <c r="AN161" i="21"/>
  <c r="L161" i="21"/>
  <c r="AB161" i="21" s="1"/>
  <c r="AJ161" i="21" s="1"/>
  <c r="J161" i="21"/>
  <c r="AA161" i="21" s="1"/>
  <c r="AI161" i="21" s="1"/>
  <c r="AC161" i="26" l="1"/>
  <c r="AK161" i="26" s="1"/>
  <c r="E162" i="27"/>
  <c r="I162" i="27"/>
  <c r="E162" i="26"/>
  <c r="I162" i="26"/>
  <c r="D162" i="25"/>
  <c r="C161" i="25"/>
  <c r="Z161" i="25" s="1"/>
  <c r="AH161" i="25" s="1"/>
  <c r="Q161" i="25"/>
  <c r="S161" i="25" s="1"/>
  <c r="AD161" i="25" s="1"/>
  <c r="AL161" i="25" s="1"/>
  <c r="W161" i="25"/>
  <c r="AN161" i="25"/>
  <c r="U161" i="25"/>
  <c r="L161" i="25"/>
  <c r="AB161" i="25" s="1"/>
  <c r="AJ161" i="25" s="1"/>
  <c r="J161" i="25"/>
  <c r="AA161" i="25" s="1"/>
  <c r="AI161" i="25" s="1"/>
  <c r="E162" i="24"/>
  <c r="I162" i="24"/>
  <c r="G161" i="23"/>
  <c r="H161" i="23"/>
  <c r="Y161" i="23" s="1"/>
  <c r="AM161" i="23" s="1"/>
  <c r="AE161" i="23"/>
  <c r="D162" i="22"/>
  <c r="C161" i="22"/>
  <c r="Z161" i="22" s="1"/>
  <c r="AH161" i="22" s="1"/>
  <c r="Q161" i="22"/>
  <c r="S161" i="22" s="1"/>
  <c r="AD161" i="22" s="1"/>
  <c r="AL161" i="22" s="1"/>
  <c r="U161" i="22"/>
  <c r="AN161" i="22"/>
  <c r="W161" i="22"/>
  <c r="L161" i="22"/>
  <c r="J161" i="22"/>
  <c r="AA161" i="22" s="1"/>
  <c r="AI161" i="22" s="1"/>
  <c r="AB161" i="22"/>
  <c r="AJ161" i="22" s="1"/>
  <c r="E162" i="21"/>
  <c r="I162" i="21"/>
  <c r="AC161" i="21"/>
  <c r="AK161" i="21" s="1"/>
  <c r="AC161" i="25" l="1"/>
  <c r="AK161" i="25" s="1"/>
  <c r="G162" i="27"/>
  <c r="H162" i="27"/>
  <c r="Y162" i="27" s="1"/>
  <c r="AM162" i="27" s="1"/>
  <c r="G162" i="26"/>
  <c r="H162" i="26"/>
  <c r="Y162" i="26" s="1"/>
  <c r="AM162" i="26" s="1"/>
  <c r="E162" i="25"/>
  <c r="I162" i="25"/>
  <c r="G162" i="24"/>
  <c r="H162" i="24"/>
  <c r="Y162" i="24" s="1"/>
  <c r="AM162" i="24" s="1"/>
  <c r="AE162" i="27"/>
  <c r="AE162" i="26"/>
  <c r="AE162" i="24"/>
  <c r="D162" i="23"/>
  <c r="C161" i="23"/>
  <c r="Z161" i="23" s="1"/>
  <c r="AH161" i="23" s="1"/>
  <c r="U161" i="23"/>
  <c r="W161" i="23"/>
  <c r="Q161" i="23"/>
  <c r="S161" i="23" s="1"/>
  <c r="AD161" i="23" s="1"/>
  <c r="AL161" i="23" s="1"/>
  <c r="AN161" i="23"/>
  <c r="L161" i="23"/>
  <c r="AB161" i="23" s="1"/>
  <c r="AJ161" i="23" s="1"/>
  <c r="J161" i="23"/>
  <c r="AA161" i="23" s="1"/>
  <c r="AI161" i="23" s="1"/>
  <c r="E162" i="22"/>
  <c r="I162" i="22"/>
  <c r="AC161" i="22"/>
  <c r="AK161" i="22" s="1"/>
  <c r="G162" i="21"/>
  <c r="H162" i="21"/>
  <c r="Y162" i="21" s="1"/>
  <c r="AM162" i="21" s="1"/>
  <c r="AE162" i="21"/>
  <c r="D163" i="27" l="1"/>
  <c r="C162" i="27"/>
  <c r="Z162" i="27" s="1"/>
  <c r="AH162" i="27" s="1"/>
  <c r="Q162" i="27"/>
  <c r="AN162" i="27"/>
  <c r="W162" i="27"/>
  <c r="U162" i="27"/>
  <c r="AC162" i="27" s="1"/>
  <c r="AK162" i="27" s="1"/>
  <c r="L162" i="27"/>
  <c r="AB162" i="27" s="1"/>
  <c r="AJ162" i="27" s="1"/>
  <c r="J162" i="27"/>
  <c r="AA162" i="27" s="1"/>
  <c r="AI162" i="27" s="1"/>
  <c r="D163" i="26"/>
  <c r="C162" i="26"/>
  <c r="Z162" i="26" s="1"/>
  <c r="AH162" i="26" s="1"/>
  <c r="U162" i="26"/>
  <c r="Q162" i="26"/>
  <c r="S162" i="26" s="1"/>
  <c r="AD162" i="26" s="1"/>
  <c r="AL162" i="26" s="1"/>
  <c r="W162" i="26"/>
  <c r="AN162" i="26"/>
  <c r="L162" i="26"/>
  <c r="AB162" i="26" s="1"/>
  <c r="AJ162" i="26" s="1"/>
  <c r="J162" i="26"/>
  <c r="AA162" i="26" s="1"/>
  <c r="AI162" i="26" s="1"/>
  <c r="G162" i="25"/>
  <c r="H162" i="25"/>
  <c r="Y162" i="25" s="1"/>
  <c r="AM162" i="25" s="1"/>
  <c r="D163" i="24"/>
  <c r="C162" i="24"/>
  <c r="Z162" i="24" s="1"/>
  <c r="AH162" i="24" s="1"/>
  <c r="Q162" i="24"/>
  <c r="S162" i="24" s="1"/>
  <c r="AD162" i="24" s="1"/>
  <c r="AL162" i="24" s="1"/>
  <c r="U162" i="24"/>
  <c r="W162" i="24"/>
  <c r="AN162" i="24"/>
  <c r="L162" i="24"/>
  <c r="J162" i="24"/>
  <c r="S162" i="27"/>
  <c r="AD162" i="27" s="1"/>
  <c r="AL162" i="27" s="1"/>
  <c r="AE162" i="25"/>
  <c r="AB162" i="24"/>
  <c r="AJ162" i="24" s="1"/>
  <c r="AA162" i="24"/>
  <c r="AI162" i="24" s="1"/>
  <c r="AC161" i="23"/>
  <c r="AK161" i="23" s="1"/>
  <c r="E162" i="23"/>
  <c r="I162" i="23"/>
  <c r="G162" i="22"/>
  <c r="H162" i="22"/>
  <c r="Y162" i="22" s="1"/>
  <c r="AM162" i="22" s="1"/>
  <c r="AE162" i="22"/>
  <c r="D163" i="21"/>
  <c r="C162" i="21"/>
  <c r="Z162" i="21" s="1"/>
  <c r="AH162" i="21" s="1"/>
  <c r="Q162" i="21"/>
  <c r="S162" i="21" s="1"/>
  <c r="AD162" i="21" s="1"/>
  <c r="AL162" i="21" s="1"/>
  <c r="U162" i="21"/>
  <c r="AN162" i="21"/>
  <c r="W162" i="21"/>
  <c r="L162" i="21"/>
  <c r="AB162" i="21" s="1"/>
  <c r="AJ162" i="21" s="1"/>
  <c r="J162" i="21"/>
  <c r="AA162" i="21"/>
  <c r="AI162" i="21" s="1"/>
  <c r="AC162" i="24" l="1"/>
  <c r="AK162" i="24" s="1"/>
  <c r="AC162" i="21"/>
  <c r="AK162" i="21" s="1"/>
  <c r="E163" i="27"/>
  <c r="I163" i="27"/>
  <c r="E163" i="26"/>
  <c r="I163" i="26"/>
  <c r="D163" i="25"/>
  <c r="C162" i="25"/>
  <c r="Z162" i="25" s="1"/>
  <c r="AH162" i="25" s="1"/>
  <c r="Q162" i="25"/>
  <c r="S162" i="25" s="1"/>
  <c r="AD162" i="25" s="1"/>
  <c r="AL162" i="25" s="1"/>
  <c r="W162" i="25"/>
  <c r="U162" i="25"/>
  <c r="AN162" i="25"/>
  <c r="L162" i="25"/>
  <c r="AB162" i="25" s="1"/>
  <c r="AJ162" i="25" s="1"/>
  <c r="J162" i="25"/>
  <c r="AA162" i="25" s="1"/>
  <c r="AI162" i="25" s="1"/>
  <c r="E163" i="24"/>
  <c r="I163" i="24"/>
  <c r="AC162" i="26"/>
  <c r="AK162" i="26" s="1"/>
  <c r="G162" i="23"/>
  <c r="H162" i="23"/>
  <c r="Y162" i="23" s="1"/>
  <c r="AM162" i="23" s="1"/>
  <c r="AE162" i="23"/>
  <c r="D163" i="22"/>
  <c r="C162" i="22"/>
  <c r="Z162" i="22" s="1"/>
  <c r="AH162" i="22" s="1"/>
  <c r="U162" i="22"/>
  <c r="Q162" i="22"/>
  <c r="S162" i="22" s="1"/>
  <c r="AD162" i="22" s="1"/>
  <c r="AL162" i="22" s="1"/>
  <c r="W162" i="22"/>
  <c r="AN162" i="22"/>
  <c r="L162" i="22"/>
  <c r="AB162" i="22" s="1"/>
  <c r="AJ162" i="22" s="1"/>
  <c r="J162" i="22"/>
  <c r="AA162" i="22" s="1"/>
  <c r="AI162" i="22" s="1"/>
  <c r="E163" i="21"/>
  <c r="I163" i="21"/>
  <c r="G163" i="27" l="1"/>
  <c r="H163" i="27"/>
  <c r="Y163" i="27" s="1"/>
  <c r="AM163" i="27" s="1"/>
  <c r="G163" i="26"/>
  <c r="H163" i="26"/>
  <c r="Y163" i="26" s="1"/>
  <c r="AM163" i="26" s="1"/>
  <c r="E163" i="25"/>
  <c r="I163" i="25"/>
  <c r="G163" i="24"/>
  <c r="H163" i="24"/>
  <c r="Y163" i="24" s="1"/>
  <c r="AM163" i="24" s="1"/>
  <c r="AE163" i="27"/>
  <c r="AE163" i="26"/>
  <c r="AC162" i="25"/>
  <c r="AK162" i="25" s="1"/>
  <c r="AE163" i="24"/>
  <c r="D163" i="23"/>
  <c r="C162" i="23"/>
  <c r="Z162" i="23" s="1"/>
  <c r="AH162" i="23" s="1"/>
  <c r="Q162" i="23"/>
  <c r="S162" i="23" s="1"/>
  <c r="AD162" i="23" s="1"/>
  <c r="AL162" i="23" s="1"/>
  <c r="AN162" i="23"/>
  <c r="W162" i="23"/>
  <c r="U162" i="23"/>
  <c r="L162" i="23"/>
  <c r="AB162" i="23" s="1"/>
  <c r="AJ162" i="23" s="1"/>
  <c r="J162" i="23"/>
  <c r="AA162" i="23" s="1"/>
  <c r="AI162" i="23" s="1"/>
  <c r="E163" i="22"/>
  <c r="I163" i="22"/>
  <c r="AC162" i="22"/>
  <c r="AK162" i="22" s="1"/>
  <c r="G163" i="21"/>
  <c r="H163" i="21"/>
  <c r="Y163" i="21" s="1"/>
  <c r="AM163" i="21" s="1"/>
  <c r="AE163" i="21"/>
  <c r="AC162" i="23" l="1"/>
  <c r="AK162" i="23" s="1"/>
  <c r="D164" i="27"/>
  <c r="C163" i="27"/>
  <c r="Z163" i="27" s="1"/>
  <c r="AH163" i="27" s="1"/>
  <c r="U163" i="27"/>
  <c r="Q163" i="27"/>
  <c r="S163" i="27" s="1"/>
  <c r="AD163" i="27" s="1"/>
  <c r="AL163" i="27" s="1"/>
  <c r="AN163" i="27"/>
  <c r="W163" i="27"/>
  <c r="AC163" i="27" s="1"/>
  <c r="AK163" i="27" s="1"/>
  <c r="L163" i="27"/>
  <c r="AB163" i="27" s="1"/>
  <c r="AJ163" i="27" s="1"/>
  <c r="J163" i="27"/>
  <c r="AA163" i="27" s="1"/>
  <c r="AI163" i="27" s="1"/>
  <c r="D164" i="26"/>
  <c r="C163" i="26"/>
  <c r="Z163" i="26" s="1"/>
  <c r="AH163" i="26" s="1"/>
  <c r="U163" i="26"/>
  <c r="Q163" i="26"/>
  <c r="S163" i="26" s="1"/>
  <c r="AD163" i="26" s="1"/>
  <c r="AL163" i="26" s="1"/>
  <c r="W163" i="26"/>
  <c r="AN163" i="26"/>
  <c r="L163" i="26"/>
  <c r="AB163" i="26" s="1"/>
  <c r="AJ163" i="26" s="1"/>
  <c r="J163" i="26"/>
  <c r="AA163" i="26" s="1"/>
  <c r="AI163" i="26" s="1"/>
  <c r="G163" i="25"/>
  <c r="H163" i="25"/>
  <c r="Y163" i="25" s="1"/>
  <c r="AM163" i="25" s="1"/>
  <c r="D164" i="24"/>
  <c r="C163" i="24"/>
  <c r="Z163" i="24" s="1"/>
  <c r="AH163" i="24" s="1"/>
  <c r="U163" i="24"/>
  <c r="W163" i="24"/>
  <c r="AN163" i="24"/>
  <c r="Q163" i="24"/>
  <c r="S163" i="24" s="1"/>
  <c r="AD163" i="24" s="1"/>
  <c r="AL163" i="24" s="1"/>
  <c r="L163" i="24"/>
  <c r="AB163" i="24" s="1"/>
  <c r="AJ163" i="24" s="1"/>
  <c r="J163" i="24"/>
  <c r="AA163" i="24" s="1"/>
  <c r="AI163" i="24" s="1"/>
  <c r="AE163" i="25"/>
  <c r="E163" i="23"/>
  <c r="I163" i="23"/>
  <c r="G163" i="22"/>
  <c r="H163" i="22"/>
  <c r="Y163" i="22" s="1"/>
  <c r="AM163" i="22" s="1"/>
  <c r="AE163" i="22"/>
  <c r="D164" i="21"/>
  <c r="C163" i="21"/>
  <c r="Z163" i="21" s="1"/>
  <c r="AH163" i="21" s="1"/>
  <c r="U163" i="21"/>
  <c r="AN163" i="21"/>
  <c r="W163" i="21"/>
  <c r="Q163" i="21"/>
  <c r="S163" i="21" s="1"/>
  <c r="AD163" i="21" s="1"/>
  <c r="AL163" i="21" s="1"/>
  <c r="L163" i="21"/>
  <c r="AB163" i="21" s="1"/>
  <c r="AJ163" i="21" s="1"/>
  <c r="J163" i="21"/>
  <c r="AA163" i="21" s="1"/>
  <c r="AI163" i="21" s="1"/>
  <c r="E164" i="27" l="1"/>
  <c r="I164" i="27"/>
  <c r="E164" i="26"/>
  <c r="I164" i="26"/>
  <c r="D164" i="25"/>
  <c r="C163" i="25"/>
  <c r="Z163" i="25" s="1"/>
  <c r="AH163" i="25" s="1"/>
  <c r="U163" i="25"/>
  <c r="AN163" i="25"/>
  <c r="Q163" i="25"/>
  <c r="S163" i="25" s="1"/>
  <c r="AD163" i="25" s="1"/>
  <c r="AL163" i="25" s="1"/>
  <c r="W163" i="25"/>
  <c r="L163" i="25"/>
  <c r="AB163" i="25" s="1"/>
  <c r="AJ163" i="25" s="1"/>
  <c r="J163" i="25"/>
  <c r="E164" i="24"/>
  <c r="I164" i="24"/>
  <c r="AC163" i="26"/>
  <c r="AK163" i="26" s="1"/>
  <c r="AA163" i="25"/>
  <c r="AI163" i="25" s="1"/>
  <c r="AC163" i="24"/>
  <c r="AK163" i="24" s="1"/>
  <c r="G163" i="23"/>
  <c r="H163" i="23"/>
  <c r="Y163" i="23" s="1"/>
  <c r="AM163" i="23" s="1"/>
  <c r="AE163" i="23"/>
  <c r="D164" i="22"/>
  <c r="C163" i="22"/>
  <c r="Z163" i="22" s="1"/>
  <c r="AH163" i="22" s="1"/>
  <c r="U163" i="22"/>
  <c r="W163" i="22"/>
  <c r="Q163" i="22"/>
  <c r="S163" i="22" s="1"/>
  <c r="AD163" i="22" s="1"/>
  <c r="AL163" i="22" s="1"/>
  <c r="AN163" i="22"/>
  <c r="L163" i="22"/>
  <c r="AB163" i="22" s="1"/>
  <c r="AJ163" i="22" s="1"/>
  <c r="J163" i="22"/>
  <c r="AA163" i="22" s="1"/>
  <c r="AI163" i="22" s="1"/>
  <c r="E164" i="21"/>
  <c r="I164" i="21"/>
  <c r="AC163" i="21"/>
  <c r="AK163" i="21" s="1"/>
  <c r="AC163" i="25" l="1"/>
  <c r="AK163" i="25" s="1"/>
  <c r="G164" i="27"/>
  <c r="H164" i="27"/>
  <c r="Y164" i="27" s="1"/>
  <c r="AM164" i="27" s="1"/>
  <c r="G164" i="26"/>
  <c r="H164" i="26"/>
  <c r="Y164" i="26" s="1"/>
  <c r="AM164" i="26" s="1"/>
  <c r="E164" i="25"/>
  <c r="I164" i="25"/>
  <c r="G164" i="24"/>
  <c r="H164" i="24"/>
  <c r="Y164" i="24" s="1"/>
  <c r="AM164" i="24" s="1"/>
  <c r="AE164" i="27"/>
  <c r="AE164" i="26"/>
  <c r="AE164" i="24"/>
  <c r="D164" i="23"/>
  <c r="C163" i="23"/>
  <c r="Z163" i="23" s="1"/>
  <c r="AH163" i="23" s="1"/>
  <c r="U163" i="23"/>
  <c r="Q163" i="23"/>
  <c r="S163" i="23" s="1"/>
  <c r="AD163" i="23" s="1"/>
  <c r="AL163" i="23" s="1"/>
  <c r="AN163" i="23"/>
  <c r="W163" i="23"/>
  <c r="L163" i="23"/>
  <c r="AB163" i="23" s="1"/>
  <c r="AJ163" i="23" s="1"/>
  <c r="J163" i="23"/>
  <c r="AA163" i="23" s="1"/>
  <c r="AI163" i="23" s="1"/>
  <c r="E164" i="22"/>
  <c r="I164" i="22"/>
  <c r="AC163" i="22"/>
  <c r="AK163" i="22" s="1"/>
  <c r="G164" i="21"/>
  <c r="H164" i="21"/>
  <c r="Y164" i="21" s="1"/>
  <c r="AM164" i="21" s="1"/>
  <c r="AE164" i="21"/>
  <c r="D165" i="27" l="1"/>
  <c r="C164" i="27"/>
  <c r="Z164" i="27" s="1"/>
  <c r="AH164" i="27" s="1"/>
  <c r="Q164" i="27"/>
  <c r="W164" i="27"/>
  <c r="U164" i="27"/>
  <c r="AN164" i="27"/>
  <c r="L164" i="27"/>
  <c r="AB164" i="27" s="1"/>
  <c r="AJ164" i="27" s="1"/>
  <c r="J164" i="27"/>
  <c r="AA164" i="27" s="1"/>
  <c r="AI164" i="27" s="1"/>
  <c r="D165" i="26"/>
  <c r="C164" i="26"/>
  <c r="Z164" i="26" s="1"/>
  <c r="AH164" i="26" s="1"/>
  <c r="Q164" i="26"/>
  <c r="S164" i="26" s="1"/>
  <c r="AD164" i="26" s="1"/>
  <c r="AL164" i="26" s="1"/>
  <c r="W164" i="26"/>
  <c r="U164" i="26"/>
  <c r="AN164" i="26"/>
  <c r="L164" i="26"/>
  <c r="AB164" i="26" s="1"/>
  <c r="AJ164" i="26" s="1"/>
  <c r="J164" i="26"/>
  <c r="AA164" i="26" s="1"/>
  <c r="AI164" i="26" s="1"/>
  <c r="G164" i="25"/>
  <c r="H164" i="25"/>
  <c r="Y164" i="25" s="1"/>
  <c r="AM164" i="25" s="1"/>
  <c r="D165" i="24"/>
  <c r="C164" i="24"/>
  <c r="Z164" i="24" s="1"/>
  <c r="AH164" i="24" s="1"/>
  <c r="W164" i="24"/>
  <c r="Q164" i="24"/>
  <c r="S164" i="24" s="1"/>
  <c r="AD164" i="24" s="1"/>
  <c r="AL164" i="24" s="1"/>
  <c r="U164" i="24"/>
  <c r="AC164" i="24" s="1"/>
  <c r="AK164" i="24" s="1"/>
  <c r="AN164" i="24"/>
  <c r="L164" i="24"/>
  <c r="AB164" i="24" s="1"/>
  <c r="AJ164" i="24" s="1"/>
  <c r="J164" i="24"/>
  <c r="S164" i="27"/>
  <c r="AD164" i="27" s="1"/>
  <c r="AL164" i="27" s="1"/>
  <c r="AE164" i="25"/>
  <c r="AA164" i="24"/>
  <c r="AI164" i="24" s="1"/>
  <c r="AC163" i="23"/>
  <c r="AK163" i="23" s="1"/>
  <c r="E164" i="23"/>
  <c r="I164" i="23"/>
  <c r="G164" i="22"/>
  <c r="H164" i="22"/>
  <c r="Y164" i="22" s="1"/>
  <c r="AM164" i="22" s="1"/>
  <c r="AE164" i="22"/>
  <c r="D165" i="21"/>
  <c r="C164" i="21"/>
  <c r="Z164" i="21" s="1"/>
  <c r="AH164" i="21" s="1"/>
  <c r="W164" i="21"/>
  <c r="Q164" i="21"/>
  <c r="S164" i="21" s="1"/>
  <c r="AD164" i="21" s="1"/>
  <c r="AL164" i="21" s="1"/>
  <c r="U164" i="21"/>
  <c r="AN164" i="21"/>
  <c r="J164" i="21"/>
  <c r="AA164" i="21" s="1"/>
  <c r="AI164" i="21" s="1"/>
  <c r="L164" i="21"/>
  <c r="AB164" i="21" s="1"/>
  <c r="AJ164" i="21" s="1"/>
  <c r="AC164" i="27" l="1"/>
  <c r="AK164" i="27" s="1"/>
  <c r="E165" i="27"/>
  <c r="I165" i="27"/>
  <c r="E165" i="26"/>
  <c r="I165" i="26"/>
  <c r="D165" i="25"/>
  <c r="C164" i="25"/>
  <c r="Z164" i="25" s="1"/>
  <c r="AH164" i="25" s="1"/>
  <c r="W164" i="25"/>
  <c r="Q164" i="25"/>
  <c r="S164" i="25" s="1"/>
  <c r="AD164" i="25" s="1"/>
  <c r="AL164" i="25" s="1"/>
  <c r="U164" i="25"/>
  <c r="AN164" i="25"/>
  <c r="L164" i="25"/>
  <c r="AB164" i="25" s="1"/>
  <c r="AJ164" i="25" s="1"/>
  <c r="J164" i="25"/>
  <c r="AA164" i="25" s="1"/>
  <c r="AI164" i="25" s="1"/>
  <c r="E165" i="24"/>
  <c r="I165" i="24"/>
  <c r="AC164" i="26"/>
  <c r="AK164" i="26" s="1"/>
  <c r="G164" i="23"/>
  <c r="H164" i="23"/>
  <c r="Y164" i="23" s="1"/>
  <c r="AM164" i="23" s="1"/>
  <c r="AE164" i="23"/>
  <c r="D165" i="22"/>
  <c r="C164" i="22"/>
  <c r="Z164" i="22" s="1"/>
  <c r="AH164" i="22" s="1"/>
  <c r="W164" i="22"/>
  <c r="Q164" i="22"/>
  <c r="S164" i="22" s="1"/>
  <c r="AD164" i="22" s="1"/>
  <c r="AL164" i="22" s="1"/>
  <c r="U164" i="22"/>
  <c r="AN164" i="22"/>
  <c r="L164" i="22"/>
  <c r="AB164" i="22" s="1"/>
  <c r="AJ164" i="22" s="1"/>
  <c r="J164" i="22"/>
  <c r="AA164" i="22" s="1"/>
  <c r="AI164" i="22" s="1"/>
  <c r="E165" i="21"/>
  <c r="I165" i="21"/>
  <c r="AC164" i="21"/>
  <c r="AK164" i="21" s="1"/>
  <c r="AC164" i="25" l="1"/>
  <c r="AK164" i="25" s="1"/>
  <c r="AC164" i="22"/>
  <c r="AK164" i="22" s="1"/>
  <c r="G165" i="27"/>
  <c r="H165" i="27"/>
  <c r="Y165" i="27" s="1"/>
  <c r="AM165" i="27" s="1"/>
  <c r="G165" i="26"/>
  <c r="H165" i="26"/>
  <c r="Y165" i="26" s="1"/>
  <c r="AM165" i="26" s="1"/>
  <c r="E165" i="25"/>
  <c r="I165" i="25"/>
  <c r="G165" i="24"/>
  <c r="H165" i="24"/>
  <c r="Y165" i="24" s="1"/>
  <c r="AM165" i="24" s="1"/>
  <c r="AE165" i="27"/>
  <c r="AE165" i="26"/>
  <c r="AE165" i="24"/>
  <c r="D165" i="23"/>
  <c r="C164" i="23"/>
  <c r="Z164" i="23" s="1"/>
  <c r="AH164" i="23" s="1"/>
  <c r="W164" i="23"/>
  <c r="U164" i="23"/>
  <c r="AN164" i="23"/>
  <c r="Q164" i="23"/>
  <c r="S164" i="23" s="1"/>
  <c r="AD164" i="23" s="1"/>
  <c r="AL164" i="23" s="1"/>
  <c r="L164" i="23"/>
  <c r="AB164" i="23" s="1"/>
  <c r="AJ164" i="23" s="1"/>
  <c r="J164" i="23"/>
  <c r="AA164" i="23" s="1"/>
  <c r="AI164" i="23" s="1"/>
  <c r="E165" i="22"/>
  <c r="I165" i="22"/>
  <c r="G165" i="21"/>
  <c r="H165" i="21"/>
  <c r="Y165" i="21" s="1"/>
  <c r="AM165" i="21" s="1"/>
  <c r="AE165" i="21"/>
  <c r="AC164" i="23" l="1"/>
  <c r="AK164" i="23" s="1"/>
  <c r="D166" i="27"/>
  <c r="C165" i="27"/>
  <c r="Z165" i="27" s="1"/>
  <c r="AH165" i="27" s="1"/>
  <c r="AN165" i="27"/>
  <c r="U165" i="27"/>
  <c r="Q165" i="27"/>
  <c r="S165" i="27" s="1"/>
  <c r="AD165" i="27" s="1"/>
  <c r="AL165" i="27" s="1"/>
  <c r="W165" i="27"/>
  <c r="AC165" i="27" s="1"/>
  <c r="AK165" i="27" s="1"/>
  <c r="L165" i="27"/>
  <c r="AB165" i="27" s="1"/>
  <c r="AJ165" i="27" s="1"/>
  <c r="J165" i="27"/>
  <c r="AA165" i="27" s="1"/>
  <c r="AI165" i="27" s="1"/>
  <c r="D166" i="26"/>
  <c r="C165" i="26"/>
  <c r="Z165" i="26" s="1"/>
  <c r="AH165" i="26" s="1"/>
  <c r="U165" i="26"/>
  <c r="W165" i="26"/>
  <c r="AN165" i="26"/>
  <c r="Q165" i="26"/>
  <c r="S165" i="26" s="1"/>
  <c r="AD165" i="26" s="1"/>
  <c r="AL165" i="26" s="1"/>
  <c r="J165" i="26"/>
  <c r="AA165" i="26" s="1"/>
  <c r="AI165" i="26" s="1"/>
  <c r="L165" i="26"/>
  <c r="AB165" i="26" s="1"/>
  <c r="AJ165" i="26" s="1"/>
  <c r="G165" i="25"/>
  <c r="H165" i="25"/>
  <c r="Y165" i="25" s="1"/>
  <c r="AM165" i="25" s="1"/>
  <c r="D166" i="24"/>
  <c r="C165" i="24"/>
  <c r="Z165" i="24" s="1"/>
  <c r="AH165" i="24" s="1"/>
  <c r="Q165" i="24"/>
  <c r="S165" i="24" s="1"/>
  <c r="AD165" i="24" s="1"/>
  <c r="AL165" i="24" s="1"/>
  <c r="U165" i="24"/>
  <c r="W165" i="24"/>
  <c r="AN165" i="24"/>
  <c r="L165" i="24"/>
  <c r="AB165" i="24" s="1"/>
  <c r="AJ165" i="24" s="1"/>
  <c r="J165" i="24"/>
  <c r="AA165" i="24" s="1"/>
  <c r="AI165" i="24" s="1"/>
  <c r="AE165" i="25"/>
  <c r="E165" i="23"/>
  <c r="I165" i="23"/>
  <c r="G165" i="22"/>
  <c r="H165" i="22"/>
  <c r="Y165" i="22" s="1"/>
  <c r="AM165" i="22" s="1"/>
  <c r="AE165" i="22"/>
  <c r="D166" i="21"/>
  <c r="C165" i="21"/>
  <c r="Z165" i="21" s="1"/>
  <c r="AH165" i="21" s="1"/>
  <c r="Q165" i="21"/>
  <c r="S165" i="21" s="1"/>
  <c r="AD165" i="21" s="1"/>
  <c r="AL165" i="21" s="1"/>
  <c r="U165" i="21"/>
  <c r="W165" i="21"/>
  <c r="AN165" i="21"/>
  <c r="L165" i="21"/>
  <c r="AB165" i="21" s="1"/>
  <c r="AJ165" i="21" s="1"/>
  <c r="J165" i="21"/>
  <c r="AA165" i="21" s="1"/>
  <c r="AI165" i="21" s="1"/>
  <c r="AC165" i="24" l="1"/>
  <c r="AK165" i="24" s="1"/>
  <c r="E166" i="27"/>
  <c r="I166" i="27"/>
  <c r="E166" i="26"/>
  <c r="I166" i="26"/>
  <c r="D166" i="25"/>
  <c r="C165" i="25"/>
  <c r="Z165" i="25" s="1"/>
  <c r="AH165" i="25" s="1"/>
  <c r="Q165" i="25"/>
  <c r="S165" i="25" s="1"/>
  <c r="AD165" i="25" s="1"/>
  <c r="AL165" i="25" s="1"/>
  <c r="U165" i="25"/>
  <c r="AN165" i="25"/>
  <c r="W165" i="25"/>
  <c r="L165" i="25"/>
  <c r="AB165" i="25" s="1"/>
  <c r="AJ165" i="25" s="1"/>
  <c r="J165" i="25"/>
  <c r="AA165" i="25" s="1"/>
  <c r="AI165" i="25" s="1"/>
  <c r="E166" i="24"/>
  <c r="I166" i="24"/>
  <c r="AC165" i="26"/>
  <c r="AK165" i="26" s="1"/>
  <c r="G165" i="23"/>
  <c r="H165" i="23"/>
  <c r="Y165" i="23" s="1"/>
  <c r="AM165" i="23" s="1"/>
  <c r="AE165" i="23"/>
  <c r="D166" i="22"/>
  <c r="C165" i="22"/>
  <c r="Z165" i="22" s="1"/>
  <c r="AH165" i="22" s="1"/>
  <c r="Q165" i="22"/>
  <c r="S165" i="22" s="1"/>
  <c r="AD165" i="22" s="1"/>
  <c r="AL165" i="22" s="1"/>
  <c r="U165" i="22"/>
  <c r="AN165" i="22"/>
  <c r="W165" i="22"/>
  <c r="L165" i="22"/>
  <c r="AB165" i="22" s="1"/>
  <c r="AJ165" i="22" s="1"/>
  <c r="J165" i="22"/>
  <c r="AA165" i="22" s="1"/>
  <c r="AI165" i="22" s="1"/>
  <c r="E166" i="21"/>
  <c r="I166" i="21"/>
  <c r="AC165" i="21"/>
  <c r="AK165" i="21" s="1"/>
  <c r="AC165" i="25" l="1"/>
  <c r="AK165" i="25" s="1"/>
  <c r="AC165" i="22"/>
  <c r="AK165" i="22" s="1"/>
  <c r="G166" i="27"/>
  <c r="H166" i="27"/>
  <c r="Y166" i="27" s="1"/>
  <c r="AM166" i="27" s="1"/>
  <c r="G166" i="26"/>
  <c r="H166" i="26"/>
  <c r="Y166" i="26" s="1"/>
  <c r="AM166" i="26" s="1"/>
  <c r="E166" i="25"/>
  <c r="I166" i="25"/>
  <c r="G166" i="24"/>
  <c r="H166" i="24"/>
  <c r="Y166" i="24" s="1"/>
  <c r="AM166" i="24" s="1"/>
  <c r="AE166" i="27"/>
  <c r="AE166" i="26"/>
  <c r="AE166" i="24"/>
  <c r="D166" i="23"/>
  <c r="C165" i="23"/>
  <c r="Z165" i="23" s="1"/>
  <c r="AH165" i="23" s="1"/>
  <c r="AN165" i="23"/>
  <c r="U165" i="23"/>
  <c r="Q165" i="23"/>
  <c r="S165" i="23" s="1"/>
  <c r="AD165" i="23" s="1"/>
  <c r="AL165" i="23" s="1"/>
  <c r="W165" i="23"/>
  <c r="L165" i="23"/>
  <c r="AB165" i="23" s="1"/>
  <c r="AJ165" i="23" s="1"/>
  <c r="J165" i="23"/>
  <c r="AA165" i="23" s="1"/>
  <c r="AI165" i="23" s="1"/>
  <c r="E166" i="22"/>
  <c r="I166" i="22"/>
  <c r="G166" i="21"/>
  <c r="H166" i="21"/>
  <c r="Y166" i="21" s="1"/>
  <c r="AM166" i="21" s="1"/>
  <c r="AE166" i="21"/>
  <c r="D167" i="27" l="1"/>
  <c r="C166" i="27"/>
  <c r="Z166" i="27" s="1"/>
  <c r="AH166" i="27" s="1"/>
  <c r="Q166" i="27"/>
  <c r="S166" i="27" s="1"/>
  <c r="AD166" i="27" s="1"/>
  <c r="AL166" i="27" s="1"/>
  <c r="AN166" i="27"/>
  <c r="W166" i="27"/>
  <c r="U166" i="27"/>
  <c r="AC166" i="27" s="1"/>
  <c r="AK166" i="27" s="1"/>
  <c r="L166" i="27"/>
  <c r="AB166" i="27" s="1"/>
  <c r="AJ166" i="27" s="1"/>
  <c r="J166" i="27"/>
  <c r="AA166" i="27" s="1"/>
  <c r="AI166" i="27" s="1"/>
  <c r="D167" i="26"/>
  <c r="C166" i="26"/>
  <c r="Z166" i="26" s="1"/>
  <c r="AH166" i="26" s="1"/>
  <c r="W166" i="26"/>
  <c r="Q166" i="26"/>
  <c r="S166" i="26" s="1"/>
  <c r="AD166" i="26" s="1"/>
  <c r="AL166" i="26" s="1"/>
  <c r="AN166" i="26"/>
  <c r="U166" i="26"/>
  <c r="L166" i="26"/>
  <c r="AB166" i="26" s="1"/>
  <c r="AJ166" i="26" s="1"/>
  <c r="J166" i="26"/>
  <c r="AA166" i="26" s="1"/>
  <c r="AI166" i="26" s="1"/>
  <c r="G166" i="25"/>
  <c r="H166" i="25"/>
  <c r="Y166" i="25" s="1"/>
  <c r="AM166" i="25" s="1"/>
  <c r="D167" i="24"/>
  <c r="C166" i="24"/>
  <c r="Z166" i="24" s="1"/>
  <c r="AH166" i="24" s="1"/>
  <c r="Q166" i="24"/>
  <c r="S166" i="24" s="1"/>
  <c r="AD166" i="24" s="1"/>
  <c r="AL166" i="24" s="1"/>
  <c r="W166" i="24"/>
  <c r="AN166" i="24"/>
  <c r="U166" i="24"/>
  <c r="L166" i="24"/>
  <c r="AB166" i="24" s="1"/>
  <c r="AJ166" i="24" s="1"/>
  <c r="J166" i="24"/>
  <c r="AA166" i="24" s="1"/>
  <c r="AI166" i="24" s="1"/>
  <c r="AE166" i="25"/>
  <c r="AC165" i="23"/>
  <c r="AK165" i="23" s="1"/>
  <c r="E166" i="23"/>
  <c r="I166" i="23"/>
  <c r="G166" i="22"/>
  <c r="H166" i="22"/>
  <c r="Y166" i="22" s="1"/>
  <c r="AM166" i="22" s="1"/>
  <c r="AE166" i="22"/>
  <c r="D167" i="21"/>
  <c r="C166" i="21"/>
  <c r="Z166" i="21" s="1"/>
  <c r="AH166" i="21" s="1"/>
  <c r="Q166" i="21"/>
  <c r="S166" i="21" s="1"/>
  <c r="AD166" i="21" s="1"/>
  <c r="AL166" i="21" s="1"/>
  <c r="W166" i="21"/>
  <c r="U166" i="21"/>
  <c r="AN166" i="21"/>
  <c r="L166" i="21"/>
  <c r="AB166" i="21" s="1"/>
  <c r="AJ166" i="21" s="1"/>
  <c r="J166" i="21"/>
  <c r="AA166" i="21"/>
  <c r="AI166" i="21" s="1"/>
  <c r="AC166" i="26" l="1"/>
  <c r="AK166" i="26" s="1"/>
  <c r="E167" i="27"/>
  <c r="I167" i="27"/>
  <c r="E167" i="26"/>
  <c r="I167" i="26"/>
  <c r="D167" i="25"/>
  <c r="C166" i="25"/>
  <c r="Z166" i="25" s="1"/>
  <c r="AH166" i="25" s="1"/>
  <c r="Q166" i="25"/>
  <c r="S166" i="25" s="1"/>
  <c r="AD166" i="25" s="1"/>
  <c r="AL166" i="25" s="1"/>
  <c r="W166" i="25"/>
  <c r="U166" i="25"/>
  <c r="AN166" i="25"/>
  <c r="L166" i="25"/>
  <c r="AB166" i="25" s="1"/>
  <c r="AJ166" i="25" s="1"/>
  <c r="J166" i="25"/>
  <c r="AA166" i="25" s="1"/>
  <c r="AI166" i="25" s="1"/>
  <c r="E167" i="24"/>
  <c r="I167" i="24"/>
  <c r="AC166" i="24"/>
  <c r="AK166" i="24" s="1"/>
  <c r="G166" i="23"/>
  <c r="H166" i="23"/>
  <c r="Y166" i="23" s="1"/>
  <c r="AM166" i="23" s="1"/>
  <c r="AE166" i="23"/>
  <c r="D167" i="22"/>
  <c r="C166" i="22"/>
  <c r="Z166" i="22" s="1"/>
  <c r="AH166" i="22" s="1"/>
  <c r="U166" i="22"/>
  <c r="Q166" i="22"/>
  <c r="S166" i="22" s="1"/>
  <c r="AD166" i="22" s="1"/>
  <c r="AL166" i="22" s="1"/>
  <c r="W166" i="22"/>
  <c r="AN166" i="22"/>
  <c r="L166" i="22"/>
  <c r="AB166" i="22" s="1"/>
  <c r="AJ166" i="22" s="1"/>
  <c r="J166" i="22"/>
  <c r="AA166" i="22" s="1"/>
  <c r="AI166" i="22" s="1"/>
  <c r="E167" i="21"/>
  <c r="I167" i="21"/>
  <c r="AC166" i="21"/>
  <c r="AK166" i="21" s="1"/>
  <c r="AC166" i="22" l="1"/>
  <c r="AK166" i="22" s="1"/>
  <c r="G167" i="27"/>
  <c r="H167" i="27"/>
  <c r="Y167" i="27" s="1"/>
  <c r="AM167" i="27" s="1"/>
  <c r="G167" i="26"/>
  <c r="H167" i="26"/>
  <c r="Y167" i="26" s="1"/>
  <c r="AM167" i="26" s="1"/>
  <c r="E167" i="25"/>
  <c r="I167" i="25"/>
  <c r="G167" i="24"/>
  <c r="H167" i="24"/>
  <c r="Y167" i="24" s="1"/>
  <c r="AM167" i="24" s="1"/>
  <c r="AE167" i="27"/>
  <c r="AE167" i="26"/>
  <c r="AC166" i="25"/>
  <c r="AK166" i="25" s="1"/>
  <c r="AE167" i="24"/>
  <c r="D167" i="23"/>
  <c r="C166" i="23"/>
  <c r="Z166" i="23" s="1"/>
  <c r="AH166" i="23" s="1"/>
  <c r="Q166" i="23"/>
  <c r="S166" i="23" s="1"/>
  <c r="AD166" i="23" s="1"/>
  <c r="AL166" i="23" s="1"/>
  <c r="AN166" i="23"/>
  <c r="U166" i="23"/>
  <c r="W166" i="23"/>
  <c r="L166" i="23"/>
  <c r="AB166" i="23" s="1"/>
  <c r="AJ166" i="23" s="1"/>
  <c r="J166" i="23"/>
  <c r="AA166" i="23" s="1"/>
  <c r="AI166" i="23" s="1"/>
  <c r="E167" i="22"/>
  <c r="I167" i="22"/>
  <c r="G167" i="21"/>
  <c r="H167" i="21"/>
  <c r="Y167" i="21" s="1"/>
  <c r="AM167" i="21" s="1"/>
  <c r="AE167" i="21"/>
  <c r="D168" i="27" l="1"/>
  <c r="C167" i="27"/>
  <c r="Z167" i="27" s="1"/>
  <c r="AH167" i="27" s="1"/>
  <c r="U167" i="27"/>
  <c r="AN167" i="27"/>
  <c r="W167" i="27"/>
  <c r="Q167" i="27"/>
  <c r="S167" i="27" s="1"/>
  <c r="AD167" i="27" s="1"/>
  <c r="AL167" i="27" s="1"/>
  <c r="L167" i="27"/>
  <c r="AB167" i="27" s="1"/>
  <c r="AJ167" i="27" s="1"/>
  <c r="J167" i="27"/>
  <c r="AA167" i="27" s="1"/>
  <c r="AI167" i="27" s="1"/>
  <c r="D168" i="26"/>
  <c r="C167" i="26"/>
  <c r="Z167" i="26" s="1"/>
  <c r="AH167" i="26" s="1"/>
  <c r="W167" i="26"/>
  <c r="U167" i="26"/>
  <c r="Q167" i="26"/>
  <c r="S167" i="26" s="1"/>
  <c r="AD167" i="26" s="1"/>
  <c r="AL167" i="26" s="1"/>
  <c r="AN167" i="26"/>
  <c r="L167" i="26"/>
  <c r="AB167" i="26" s="1"/>
  <c r="AJ167" i="26" s="1"/>
  <c r="J167" i="26"/>
  <c r="AA167" i="26" s="1"/>
  <c r="AI167" i="26" s="1"/>
  <c r="G167" i="25"/>
  <c r="H167" i="25"/>
  <c r="Y167" i="25" s="1"/>
  <c r="AM167" i="25" s="1"/>
  <c r="D168" i="24"/>
  <c r="C167" i="24"/>
  <c r="Z167" i="24" s="1"/>
  <c r="AH167" i="24" s="1"/>
  <c r="U167" i="24"/>
  <c r="Q167" i="24"/>
  <c r="S167" i="24" s="1"/>
  <c r="AD167" i="24" s="1"/>
  <c r="AL167" i="24" s="1"/>
  <c r="W167" i="24"/>
  <c r="AN167" i="24"/>
  <c r="L167" i="24"/>
  <c r="AB167" i="24" s="1"/>
  <c r="AJ167" i="24" s="1"/>
  <c r="J167" i="24"/>
  <c r="AA167" i="24" s="1"/>
  <c r="AI167" i="24" s="1"/>
  <c r="AE167" i="25"/>
  <c r="AC166" i="23"/>
  <c r="AK166" i="23" s="1"/>
  <c r="E167" i="23"/>
  <c r="I167" i="23"/>
  <c r="G167" i="22"/>
  <c r="H167" i="22"/>
  <c r="Y167" i="22" s="1"/>
  <c r="AM167" i="22" s="1"/>
  <c r="AE167" i="22"/>
  <c r="D168" i="21"/>
  <c r="C167" i="21"/>
  <c r="Z167" i="21" s="1"/>
  <c r="AH167" i="21" s="1"/>
  <c r="U167" i="21"/>
  <c r="AN167" i="21"/>
  <c r="Q167" i="21"/>
  <c r="S167" i="21" s="1"/>
  <c r="AD167" i="21" s="1"/>
  <c r="AL167" i="21" s="1"/>
  <c r="W167" i="21"/>
  <c r="J167" i="21"/>
  <c r="AA167" i="21" s="1"/>
  <c r="AI167" i="21" s="1"/>
  <c r="L167" i="21"/>
  <c r="AB167" i="21" s="1"/>
  <c r="AJ167" i="21" s="1"/>
  <c r="AC167" i="26" l="1"/>
  <c r="AK167" i="26" s="1"/>
  <c r="AC167" i="27"/>
  <c r="AK167" i="27" s="1"/>
  <c r="AC167" i="24"/>
  <c r="AK167" i="24" s="1"/>
  <c r="E168" i="27"/>
  <c r="I168" i="27"/>
  <c r="E168" i="26"/>
  <c r="I168" i="26"/>
  <c r="D168" i="25"/>
  <c r="C167" i="25"/>
  <c r="Z167" i="25" s="1"/>
  <c r="AH167" i="25" s="1"/>
  <c r="U167" i="25"/>
  <c r="W167" i="25"/>
  <c r="Q167" i="25"/>
  <c r="S167" i="25" s="1"/>
  <c r="AD167" i="25" s="1"/>
  <c r="AL167" i="25" s="1"/>
  <c r="AN167" i="25"/>
  <c r="L167" i="25"/>
  <c r="AB167" i="25" s="1"/>
  <c r="AJ167" i="25" s="1"/>
  <c r="J167" i="25"/>
  <c r="AA167" i="25" s="1"/>
  <c r="AI167" i="25" s="1"/>
  <c r="E168" i="24"/>
  <c r="I168" i="24"/>
  <c r="G167" i="23"/>
  <c r="H167" i="23"/>
  <c r="Y167" i="23" s="1"/>
  <c r="AM167" i="23" s="1"/>
  <c r="AE167" i="23"/>
  <c r="D168" i="22"/>
  <c r="C167" i="22"/>
  <c r="Z167" i="22" s="1"/>
  <c r="AH167" i="22" s="1"/>
  <c r="U167" i="22"/>
  <c r="W167" i="22"/>
  <c r="Q167" i="22"/>
  <c r="S167" i="22" s="1"/>
  <c r="AD167" i="22" s="1"/>
  <c r="AL167" i="22" s="1"/>
  <c r="AN167" i="22"/>
  <c r="J167" i="22"/>
  <c r="AA167" i="22" s="1"/>
  <c r="AI167" i="22" s="1"/>
  <c r="L167" i="22"/>
  <c r="AB167" i="22" s="1"/>
  <c r="AJ167" i="22" s="1"/>
  <c r="E168" i="21"/>
  <c r="I168" i="21"/>
  <c r="AC167" i="21"/>
  <c r="AK167" i="21" s="1"/>
  <c r="AC167" i="22" l="1"/>
  <c r="AK167" i="22" s="1"/>
  <c r="G168" i="27"/>
  <c r="H168" i="27"/>
  <c r="Y168" i="27" s="1"/>
  <c r="AM168" i="27" s="1"/>
  <c r="G168" i="26"/>
  <c r="H168" i="26"/>
  <c r="Y168" i="26" s="1"/>
  <c r="AM168" i="26" s="1"/>
  <c r="E168" i="25"/>
  <c r="I168" i="25"/>
  <c r="G168" i="24"/>
  <c r="H168" i="24"/>
  <c r="Y168" i="24" s="1"/>
  <c r="AM168" i="24" s="1"/>
  <c r="AE168" i="27"/>
  <c r="AE168" i="26"/>
  <c r="AC167" i="25"/>
  <c r="AK167" i="25" s="1"/>
  <c r="AE168" i="24"/>
  <c r="D168" i="23"/>
  <c r="C167" i="23"/>
  <c r="Z167" i="23" s="1"/>
  <c r="AH167" i="23" s="1"/>
  <c r="U167" i="23"/>
  <c r="Q167" i="23"/>
  <c r="S167" i="23" s="1"/>
  <c r="AD167" i="23" s="1"/>
  <c r="AL167" i="23" s="1"/>
  <c r="AN167" i="23"/>
  <c r="W167" i="23"/>
  <c r="J167" i="23"/>
  <c r="AA167" i="23" s="1"/>
  <c r="AI167" i="23" s="1"/>
  <c r="L167" i="23"/>
  <c r="AB167" i="23" s="1"/>
  <c r="AJ167" i="23" s="1"/>
  <c r="E168" i="22"/>
  <c r="I168" i="22"/>
  <c r="G168" i="21"/>
  <c r="H168" i="21"/>
  <c r="Y168" i="21" s="1"/>
  <c r="AM168" i="21" s="1"/>
  <c r="AE168" i="21"/>
  <c r="D169" i="27" l="1"/>
  <c r="C168" i="27"/>
  <c r="Z168" i="27" s="1"/>
  <c r="AH168" i="27" s="1"/>
  <c r="Q168" i="27"/>
  <c r="S168" i="27" s="1"/>
  <c r="AD168" i="27" s="1"/>
  <c r="AL168" i="27" s="1"/>
  <c r="W168" i="27"/>
  <c r="AN168" i="27"/>
  <c r="U168" i="27"/>
  <c r="L168" i="27"/>
  <c r="AB168" i="27" s="1"/>
  <c r="AJ168" i="27" s="1"/>
  <c r="J168" i="27"/>
  <c r="AA168" i="27" s="1"/>
  <c r="AI168" i="27" s="1"/>
  <c r="D169" i="26"/>
  <c r="C168" i="26"/>
  <c r="Z168" i="26" s="1"/>
  <c r="AH168" i="26" s="1"/>
  <c r="Q168" i="26"/>
  <c r="W168" i="26"/>
  <c r="U168" i="26"/>
  <c r="AN168" i="26"/>
  <c r="J168" i="26"/>
  <c r="AA168" i="26" s="1"/>
  <c r="AI168" i="26" s="1"/>
  <c r="L168" i="26"/>
  <c r="AB168" i="26" s="1"/>
  <c r="AJ168" i="26" s="1"/>
  <c r="G168" i="25"/>
  <c r="H168" i="25"/>
  <c r="Y168" i="25" s="1"/>
  <c r="AM168" i="25" s="1"/>
  <c r="D169" i="24"/>
  <c r="C168" i="24"/>
  <c r="Z168" i="24" s="1"/>
  <c r="AH168" i="24" s="1"/>
  <c r="W168" i="24"/>
  <c r="Q168" i="24"/>
  <c r="S168" i="24" s="1"/>
  <c r="AD168" i="24" s="1"/>
  <c r="AL168" i="24" s="1"/>
  <c r="AN168" i="24"/>
  <c r="U168" i="24"/>
  <c r="L168" i="24"/>
  <c r="J168" i="24"/>
  <c r="AA168" i="24" s="1"/>
  <c r="AI168" i="24" s="1"/>
  <c r="S168" i="26"/>
  <c r="AD168" i="26" s="1"/>
  <c r="AL168" i="26" s="1"/>
  <c r="AE168" i="25"/>
  <c r="AB168" i="24"/>
  <c r="AJ168" i="24" s="1"/>
  <c r="AC167" i="23"/>
  <c r="AK167" i="23" s="1"/>
  <c r="E168" i="23"/>
  <c r="I168" i="23"/>
  <c r="G168" i="22"/>
  <c r="H168" i="22"/>
  <c r="Y168" i="22" s="1"/>
  <c r="AM168" i="22" s="1"/>
  <c r="AE168" i="22"/>
  <c r="D169" i="21"/>
  <c r="C168" i="21"/>
  <c r="Z168" i="21" s="1"/>
  <c r="AH168" i="21" s="1"/>
  <c r="W168" i="21"/>
  <c r="Q168" i="21"/>
  <c r="S168" i="21" s="1"/>
  <c r="AD168" i="21" s="1"/>
  <c r="AL168" i="21" s="1"/>
  <c r="U168" i="21"/>
  <c r="AN168" i="21"/>
  <c r="L168" i="21"/>
  <c r="AB168" i="21" s="1"/>
  <c r="AJ168" i="21" s="1"/>
  <c r="J168" i="21"/>
  <c r="AA168" i="21" s="1"/>
  <c r="AI168" i="21" s="1"/>
  <c r="E169" i="27" l="1"/>
  <c r="I169" i="27"/>
  <c r="E169" i="26"/>
  <c r="I169" i="26"/>
  <c r="D169" i="25"/>
  <c r="C168" i="25"/>
  <c r="Z168" i="25" s="1"/>
  <c r="AH168" i="25" s="1"/>
  <c r="W168" i="25"/>
  <c r="Q168" i="25"/>
  <c r="S168" i="25" s="1"/>
  <c r="AD168" i="25" s="1"/>
  <c r="AL168" i="25" s="1"/>
  <c r="U168" i="25"/>
  <c r="AN168" i="25"/>
  <c r="L168" i="25"/>
  <c r="AB168" i="25" s="1"/>
  <c r="AJ168" i="25" s="1"/>
  <c r="J168" i="25"/>
  <c r="AA168" i="25" s="1"/>
  <c r="AI168" i="25" s="1"/>
  <c r="E169" i="24"/>
  <c r="I169" i="24"/>
  <c r="AC168" i="27"/>
  <c r="AK168" i="27" s="1"/>
  <c r="AC168" i="26"/>
  <c r="AK168" i="26" s="1"/>
  <c r="AC168" i="24"/>
  <c r="AK168" i="24" s="1"/>
  <c r="G168" i="23"/>
  <c r="H168" i="23"/>
  <c r="Y168" i="23" s="1"/>
  <c r="AM168" i="23" s="1"/>
  <c r="AE168" i="23"/>
  <c r="D169" i="22"/>
  <c r="C168" i="22"/>
  <c r="Z168" i="22" s="1"/>
  <c r="AH168" i="22" s="1"/>
  <c r="W168" i="22"/>
  <c r="Q168" i="22"/>
  <c r="S168" i="22" s="1"/>
  <c r="AD168" i="22" s="1"/>
  <c r="AL168" i="22" s="1"/>
  <c r="AN168" i="22"/>
  <c r="U168" i="22"/>
  <c r="L168" i="22"/>
  <c r="AB168" i="22" s="1"/>
  <c r="AJ168" i="22" s="1"/>
  <c r="J168" i="22"/>
  <c r="AA168" i="22" s="1"/>
  <c r="AI168" i="22" s="1"/>
  <c r="E169" i="21"/>
  <c r="I169" i="21"/>
  <c r="AC168" i="21"/>
  <c r="AK168" i="21" s="1"/>
  <c r="AC168" i="25" l="1"/>
  <c r="AK168" i="25" s="1"/>
  <c r="AC168" i="22"/>
  <c r="AK168" i="22" s="1"/>
  <c r="G169" i="27"/>
  <c r="H169" i="27"/>
  <c r="Y169" i="27" s="1"/>
  <c r="AM169" i="27" s="1"/>
  <c r="G169" i="26"/>
  <c r="H169" i="26"/>
  <c r="Y169" i="26" s="1"/>
  <c r="AM169" i="26" s="1"/>
  <c r="E169" i="25"/>
  <c r="I169" i="25"/>
  <c r="G169" i="24"/>
  <c r="H169" i="24"/>
  <c r="Y169" i="24" s="1"/>
  <c r="AM169" i="24" s="1"/>
  <c r="AE169" i="27"/>
  <c r="AE169" i="26"/>
  <c r="AE169" i="24"/>
  <c r="D169" i="23"/>
  <c r="C168" i="23"/>
  <c r="Z168" i="23" s="1"/>
  <c r="AH168" i="23" s="1"/>
  <c r="U168" i="23"/>
  <c r="W168" i="23"/>
  <c r="AN168" i="23"/>
  <c r="Q168" i="23"/>
  <c r="S168" i="23" s="1"/>
  <c r="AD168" i="23" s="1"/>
  <c r="AL168" i="23" s="1"/>
  <c r="L168" i="23"/>
  <c r="AB168" i="23" s="1"/>
  <c r="AJ168" i="23" s="1"/>
  <c r="J168" i="23"/>
  <c r="AA168" i="23" s="1"/>
  <c r="AI168" i="23" s="1"/>
  <c r="E169" i="22"/>
  <c r="I169" i="22"/>
  <c r="G169" i="21"/>
  <c r="H169" i="21"/>
  <c r="Y169" i="21" s="1"/>
  <c r="AM169" i="21" s="1"/>
  <c r="AE169" i="21"/>
  <c r="D170" i="27" l="1"/>
  <c r="C169" i="27"/>
  <c r="Z169" i="27" s="1"/>
  <c r="AH169" i="27" s="1"/>
  <c r="Q169" i="27"/>
  <c r="U169" i="27"/>
  <c r="AN169" i="27"/>
  <c r="W169" i="27"/>
  <c r="AC169" i="27" s="1"/>
  <c r="AK169" i="27" s="1"/>
  <c r="L169" i="27"/>
  <c r="AB169" i="27" s="1"/>
  <c r="AJ169" i="27" s="1"/>
  <c r="J169" i="27"/>
  <c r="AA169" i="27" s="1"/>
  <c r="AI169" i="27" s="1"/>
  <c r="D170" i="26"/>
  <c r="C169" i="26"/>
  <c r="Z169" i="26" s="1"/>
  <c r="AH169" i="26" s="1"/>
  <c r="U169" i="26"/>
  <c r="W169" i="26"/>
  <c r="AN169" i="26"/>
  <c r="Q169" i="26"/>
  <c r="S169" i="26" s="1"/>
  <c r="AD169" i="26" s="1"/>
  <c r="AL169" i="26" s="1"/>
  <c r="L169" i="26"/>
  <c r="AB169" i="26" s="1"/>
  <c r="AJ169" i="26" s="1"/>
  <c r="J169" i="26"/>
  <c r="AA169" i="26" s="1"/>
  <c r="AI169" i="26" s="1"/>
  <c r="G169" i="25"/>
  <c r="H169" i="25"/>
  <c r="Y169" i="25" s="1"/>
  <c r="AM169" i="25" s="1"/>
  <c r="D170" i="24"/>
  <c r="C169" i="24"/>
  <c r="Z169" i="24" s="1"/>
  <c r="AH169" i="24" s="1"/>
  <c r="Q169" i="24"/>
  <c r="S169" i="24" s="1"/>
  <c r="AD169" i="24" s="1"/>
  <c r="AL169" i="24" s="1"/>
  <c r="U169" i="24"/>
  <c r="W169" i="24"/>
  <c r="AN169" i="24"/>
  <c r="L169" i="24"/>
  <c r="AB169" i="24" s="1"/>
  <c r="AJ169" i="24" s="1"/>
  <c r="J169" i="24"/>
  <c r="AA169" i="24" s="1"/>
  <c r="AI169" i="24" s="1"/>
  <c r="S169" i="27"/>
  <c r="AD169" i="27" s="1"/>
  <c r="AL169" i="27" s="1"/>
  <c r="AE169" i="25"/>
  <c r="AC168" i="23"/>
  <c r="AK168" i="23" s="1"/>
  <c r="E169" i="23"/>
  <c r="I169" i="23"/>
  <c r="G169" i="22"/>
  <c r="H169" i="22"/>
  <c r="Y169" i="22" s="1"/>
  <c r="AM169" i="22" s="1"/>
  <c r="AE169" i="22"/>
  <c r="D170" i="21"/>
  <c r="C169" i="21"/>
  <c r="Z169" i="21" s="1"/>
  <c r="AH169" i="21" s="1"/>
  <c r="Q169" i="21"/>
  <c r="S169" i="21" s="1"/>
  <c r="AD169" i="21" s="1"/>
  <c r="AL169" i="21" s="1"/>
  <c r="W169" i="21"/>
  <c r="AN169" i="21"/>
  <c r="U169" i="21"/>
  <c r="L169" i="21"/>
  <c r="AB169" i="21" s="1"/>
  <c r="AJ169" i="21" s="1"/>
  <c r="J169" i="21"/>
  <c r="AA169" i="21"/>
  <c r="AI169" i="21" s="1"/>
  <c r="AC169" i="26" l="1"/>
  <c r="AK169" i="26" s="1"/>
  <c r="AC169" i="24"/>
  <c r="AK169" i="24" s="1"/>
  <c r="AC169" i="21"/>
  <c r="AK169" i="21" s="1"/>
  <c r="E170" i="27"/>
  <c r="I170" i="27"/>
  <c r="E170" i="26"/>
  <c r="I170" i="26"/>
  <c r="D170" i="25"/>
  <c r="C169" i="25"/>
  <c r="Z169" i="25" s="1"/>
  <c r="AH169" i="25" s="1"/>
  <c r="Q169" i="25"/>
  <c r="S169" i="25" s="1"/>
  <c r="AD169" i="25" s="1"/>
  <c r="AL169" i="25" s="1"/>
  <c r="U169" i="25"/>
  <c r="AN169" i="25"/>
  <c r="W169" i="25"/>
  <c r="L169" i="25"/>
  <c r="AB169" i="25" s="1"/>
  <c r="AJ169" i="25" s="1"/>
  <c r="J169" i="25"/>
  <c r="AA169" i="25" s="1"/>
  <c r="AI169" i="25" s="1"/>
  <c r="E170" i="24"/>
  <c r="I170" i="24"/>
  <c r="G169" i="23"/>
  <c r="H169" i="23"/>
  <c r="Y169" i="23" s="1"/>
  <c r="AM169" i="23" s="1"/>
  <c r="AE169" i="23"/>
  <c r="D170" i="22"/>
  <c r="C169" i="22"/>
  <c r="Z169" i="22" s="1"/>
  <c r="AH169" i="22" s="1"/>
  <c r="Q169" i="22"/>
  <c r="S169" i="22" s="1"/>
  <c r="AD169" i="22" s="1"/>
  <c r="AL169" i="22" s="1"/>
  <c r="W169" i="22"/>
  <c r="U169" i="22"/>
  <c r="AN169" i="22"/>
  <c r="L169" i="22"/>
  <c r="AB169" i="22" s="1"/>
  <c r="AJ169" i="22" s="1"/>
  <c r="J169" i="22"/>
  <c r="AA169" i="22" s="1"/>
  <c r="AI169" i="22" s="1"/>
  <c r="E170" i="21"/>
  <c r="I170" i="21"/>
  <c r="AC169" i="25" l="1"/>
  <c r="AK169" i="25" s="1"/>
  <c r="AC169" i="22"/>
  <c r="AK169" i="22" s="1"/>
  <c r="G170" i="27"/>
  <c r="H170" i="27"/>
  <c r="Y170" i="27" s="1"/>
  <c r="AM170" i="27" s="1"/>
  <c r="G170" i="26"/>
  <c r="H170" i="26"/>
  <c r="Y170" i="26" s="1"/>
  <c r="AM170" i="26" s="1"/>
  <c r="E170" i="25"/>
  <c r="I170" i="25"/>
  <c r="G170" i="24"/>
  <c r="H170" i="24"/>
  <c r="Y170" i="24" s="1"/>
  <c r="AM170" i="24" s="1"/>
  <c r="AE170" i="27"/>
  <c r="AE170" i="26"/>
  <c r="AE170" i="24"/>
  <c r="D170" i="23"/>
  <c r="C169" i="23"/>
  <c r="Z169" i="23" s="1"/>
  <c r="AH169" i="23" s="1"/>
  <c r="W169" i="23"/>
  <c r="AN169" i="23"/>
  <c r="U169" i="23"/>
  <c r="Q169" i="23"/>
  <c r="S169" i="23" s="1"/>
  <c r="AD169" i="23" s="1"/>
  <c r="AL169" i="23" s="1"/>
  <c r="L169" i="23"/>
  <c r="AB169" i="23" s="1"/>
  <c r="AJ169" i="23" s="1"/>
  <c r="J169" i="23"/>
  <c r="AA169" i="23" s="1"/>
  <c r="AI169" i="23" s="1"/>
  <c r="E170" i="22"/>
  <c r="I170" i="22"/>
  <c r="G170" i="21"/>
  <c r="H170" i="21"/>
  <c r="Y170" i="21" s="1"/>
  <c r="AM170" i="21" s="1"/>
  <c r="AE170" i="21"/>
  <c r="AC169" i="23" l="1"/>
  <c r="AK169" i="23" s="1"/>
  <c r="C170" i="27"/>
  <c r="Z170" i="27" s="1"/>
  <c r="AH170" i="27" s="1"/>
  <c r="Q170" i="27"/>
  <c r="S170" i="27" s="1"/>
  <c r="AD170" i="27" s="1"/>
  <c r="AL170" i="27" s="1"/>
  <c r="U170" i="27"/>
  <c r="AN170" i="27"/>
  <c r="W170" i="27"/>
  <c r="J170" i="27"/>
  <c r="AA170" i="27" s="1"/>
  <c r="AI170" i="27" s="1"/>
  <c r="L170" i="27"/>
  <c r="AB170" i="27" s="1"/>
  <c r="AJ170" i="27" s="1"/>
  <c r="C170" i="26"/>
  <c r="Z170" i="26" s="1"/>
  <c r="AH170" i="26" s="1"/>
  <c r="U170" i="26"/>
  <c r="Q170" i="26"/>
  <c r="S170" i="26" s="1"/>
  <c r="AD170" i="26" s="1"/>
  <c r="AL170" i="26" s="1"/>
  <c r="AN170" i="26"/>
  <c r="G9" i="26" s="1"/>
  <c r="I9" i="26" s="1"/>
  <c r="W170" i="26"/>
  <c r="L170" i="26"/>
  <c r="AB170" i="26" s="1"/>
  <c r="AJ170" i="26" s="1"/>
  <c r="J170" i="26"/>
  <c r="AA170" i="26" s="1"/>
  <c r="AI170" i="26" s="1"/>
  <c r="G170" i="25"/>
  <c r="H170" i="25"/>
  <c r="Y170" i="25" s="1"/>
  <c r="AM170" i="25" s="1"/>
  <c r="C170" i="24"/>
  <c r="Z170" i="24" s="1"/>
  <c r="AH170" i="24" s="1"/>
  <c r="Q170" i="24"/>
  <c r="S170" i="24" s="1"/>
  <c r="AD170" i="24" s="1"/>
  <c r="AL170" i="24" s="1"/>
  <c r="AN170" i="24"/>
  <c r="W170" i="24"/>
  <c r="U170" i="24"/>
  <c r="L170" i="24"/>
  <c r="AB170" i="24" s="1"/>
  <c r="AJ170" i="24" s="1"/>
  <c r="J170" i="24"/>
  <c r="AA170" i="24" s="1"/>
  <c r="AI170" i="24" s="1"/>
  <c r="G5" i="24" s="1"/>
  <c r="I5" i="24" s="1"/>
  <c r="AE170" i="25"/>
  <c r="E170" i="23"/>
  <c r="I170" i="23"/>
  <c r="G170" i="22"/>
  <c r="H170" i="22"/>
  <c r="Y170" i="22" s="1"/>
  <c r="AM170" i="22" s="1"/>
  <c r="AE170" i="22"/>
  <c r="C170" i="21"/>
  <c r="Z170" i="21" s="1"/>
  <c r="AH170" i="21" s="1"/>
  <c r="Q170" i="21"/>
  <c r="S170" i="21" s="1"/>
  <c r="AD170" i="21" s="1"/>
  <c r="AL170" i="21" s="1"/>
  <c r="W170" i="21"/>
  <c r="U170" i="21"/>
  <c r="AN170" i="21"/>
  <c r="J170" i="21"/>
  <c r="AA170" i="21" s="1"/>
  <c r="AI170" i="21" s="1"/>
  <c r="G5" i="21" s="1"/>
  <c r="I5" i="21" s="1"/>
  <c r="L170" i="21"/>
  <c r="AB170" i="21" s="1"/>
  <c r="AJ170" i="21" s="1"/>
  <c r="G8" i="26" l="1"/>
  <c r="I8" i="26" s="1"/>
  <c r="G4" i="21"/>
  <c r="I4" i="21" s="1"/>
  <c r="AC170" i="26"/>
  <c r="AK170" i="26" s="1"/>
  <c r="G7" i="26" s="1"/>
  <c r="I7" i="26" s="1"/>
  <c r="G4" i="24"/>
  <c r="I4" i="24" s="1"/>
  <c r="H47" i="1" s="1"/>
  <c r="G17" i="11" s="1"/>
  <c r="AC170" i="27"/>
  <c r="AK170" i="27" s="1"/>
  <c r="G7" i="27" s="1"/>
  <c r="I7" i="27" s="1"/>
  <c r="G4" i="27"/>
  <c r="I4" i="27" s="1"/>
  <c r="G8" i="21"/>
  <c r="I8" i="21" s="1"/>
  <c r="G3" i="26"/>
  <c r="I3" i="26" s="1"/>
  <c r="C170" i="25"/>
  <c r="Z170" i="25" s="1"/>
  <c r="AH170" i="25" s="1"/>
  <c r="Q170" i="25"/>
  <c r="S170" i="25" s="1"/>
  <c r="AD170" i="25" s="1"/>
  <c r="AL170" i="25" s="1"/>
  <c r="AN170" i="25"/>
  <c r="W170" i="25"/>
  <c r="U170" i="25"/>
  <c r="L170" i="25"/>
  <c r="AB170" i="25" s="1"/>
  <c r="AJ170" i="25" s="1"/>
  <c r="J170" i="25"/>
  <c r="AA170" i="25" s="1"/>
  <c r="AI170" i="25" s="1"/>
  <c r="G8" i="27"/>
  <c r="I8" i="27" s="1"/>
  <c r="G9" i="27"/>
  <c r="I9" i="27" s="1"/>
  <c r="G5" i="27"/>
  <c r="I5" i="27" s="1"/>
  <c r="G6" i="27"/>
  <c r="I6" i="27" s="1"/>
  <c r="G6" i="26"/>
  <c r="I6" i="26" s="1"/>
  <c r="G4" i="26"/>
  <c r="I4" i="26" s="1"/>
  <c r="G5" i="26"/>
  <c r="I5" i="26" s="1"/>
  <c r="G9" i="24"/>
  <c r="I9" i="24" s="1"/>
  <c r="AC170" i="24"/>
  <c r="AK170" i="24" s="1"/>
  <c r="G8" i="24"/>
  <c r="I8" i="24" s="1"/>
  <c r="G6" i="24"/>
  <c r="I6" i="24" s="1"/>
  <c r="G170" i="23"/>
  <c r="H170" i="23"/>
  <c r="Y170" i="23" s="1"/>
  <c r="AM170" i="23" s="1"/>
  <c r="AE170" i="23"/>
  <c r="C170" i="22"/>
  <c r="Z170" i="22" s="1"/>
  <c r="AH170" i="22" s="1"/>
  <c r="G4" i="22" s="1"/>
  <c r="I4" i="22" s="1"/>
  <c r="Q170" i="22"/>
  <c r="S170" i="22" s="1"/>
  <c r="AD170" i="22" s="1"/>
  <c r="AL170" i="22" s="1"/>
  <c r="U170" i="22"/>
  <c r="AN170" i="22"/>
  <c r="W170" i="22"/>
  <c r="L170" i="22"/>
  <c r="AB170" i="22" s="1"/>
  <c r="AJ170" i="22" s="1"/>
  <c r="J170" i="22"/>
  <c r="AA170" i="22" s="1"/>
  <c r="AI170" i="22" s="1"/>
  <c r="G9" i="21"/>
  <c r="I9" i="21" s="1"/>
  <c r="AC170" i="21"/>
  <c r="AK170" i="21" s="1"/>
  <c r="G7" i="21" s="1"/>
  <c r="I7" i="21" s="1"/>
  <c r="G6" i="21"/>
  <c r="I6" i="21" s="1"/>
  <c r="G3" i="27" l="1"/>
  <c r="I3" i="27" s="1"/>
  <c r="G4" i="25"/>
  <c r="I4" i="25" s="1"/>
  <c r="G6" i="22"/>
  <c r="I6" i="22" s="1"/>
  <c r="G8" i="25"/>
  <c r="I8" i="25" s="1"/>
  <c r="G9" i="25"/>
  <c r="I9" i="25" s="1"/>
  <c r="G5" i="25"/>
  <c r="I5" i="25" s="1"/>
  <c r="G6" i="25"/>
  <c r="I6" i="25" s="1"/>
  <c r="AC170" i="25"/>
  <c r="AK170" i="25" s="1"/>
  <c r="G7" i="24"/>
  <c r="I7" i="24" s="1"/>
  <c r="H50" i="1" s="1"/>
  <c r="G20" i="11" s="1"/>
  <c r="G3" i="24"/>
  <c r="I3" i="24" s="1"/>
  <c r="C170" i="23"/>
  <c r="Z170" i="23" s="1"/>
  <c r="AH170" i="23" s="1"/>
  <c r="Q170" i="23"/>
  <c r="S170" i="23" s="1"/>
  <c r="AD170" i="23" s="1"/>
  <c r="AL170" i="23" s="1"/>
  <c r="AN170" i="23"/>
  <c r="G9" i="23" s="1"/>
  <c r="I9" i="23" s="1"/>
  <c r="G52" i="1" s="1"/>
  <c r="U170" i="23"/>
  <c r="W170" i="23"/>
  <c r="L170" i="23"/>
  <c r="AB170" i="23" s="1"/>
  <c r="AJ170" i="23" s="1"/>
  <c r="J170" i="23"/>
  <c r="AA170" i="23" s="1"/>
  <c r="AI170" i="23" s="1"/>
  <c r="G8" i="22"/>
  <c r="I8" i="22" s="1"/>
  <c r="AC170" i="22"/>
  <c r="AK170" i="22" s="1"/>
  <c r="G7" i="22" s="1"/>
  <c r="I7" i="22" s="1"/>
  <c r="G9" i="22"/>
  <c r="I9" i="22" s="1"/>
  <c r="G5" i="22"/>
  <c r="I5" i="22" s="1"/>
  <c r="G3" i="21"/>
  <c r="I3" i="21" s="1"/>
  <c r="H52" i="1"/>
  <c r="H48" i="1"/>
  <c r="G18" i="11" s="1"/>
  <c r="H49" i="1"/>
  <c r="G19" i="11" s="1"/>
  <c r="H51" i="1"/>
  <c r="G21" i="11" s="1"/>
  <c r="K47" i="1"/>
  <c r="J17" i="11" s="1"/>
  <c r="J47" i="1"/>
  <c r="I17" i="11" s="1"/>
  <c r="J51" i="1"/>
  <c r="I21" i="11" s="1"/>
  <c r="J48" i="1"/>
  <c r="I18" i="11" s="1"/>
  <c r="J50" i="1"/>
  <c r="I20" i="11" s="1"/>
  <c r="J49" i="1"/>
  <c r="I19" i="11" s="1"/>
  <c r="G5" i="23" l="1"/>
  <c r="I5" i="23" s="1"/>
  <c r="G48" i="1" s="1"/>
  <c r="F18" i="11" s="1"/>
  <c r="G6" i="23"/>
  <c r="I6" i="23" s="1"/>
  <c r="G49" i="1" s="1"/>
  <c r="F19" i="11" s="1"/>
  <c r="G3" i="22"/>
  <c r="I3" i="22" s="1"/>
  <c r="G7" i="25"/>
  <c r="I7" i="25" s="1"/>
  <c r="I50" i="1" s="1"/>
  <c r="H20" i="11" s="1"/>
  <c r="G3" i="25"/>
  <c r="I3" i="25" s="1"/>
  <c r="G4" i="23"/>
  <c r="I4" i="23" s="1"/>
  <c r="G47" i="1" s="1"/>
  <c r="F17" i="11" s="1"/>
  <c r="AC170" i="23"/>
  <c r="AK170" i="23" s="1"/>
  <c r="G7" i="23" s="1"/>
  <c r="I7" i="23" s="1"/>
  <c r="G50" i="1" s="1"/>
  <c r="F20" i="11" s="1"/>
  <c r="G8" i="23"/>
  <c r="I8" i="23" s="1"/>
  <c r="G51" i="1" s="1"/>
  <c r="F21" i="11" s="1"/>
  <c r="F47" i="1"/>
  <c r="E17" i="11" s="1"/>
  <c r="K48" i="1"/>
  <c r="J18" i="11" s="1"/>
  <c r="K49" i="1"/>
  <c r="J19" i="11" s="1"/>
  <c r="E51" i="1"/>
  <c r="D21" i="11" s="1"/>
  <c r="E47" i="1"/>
  <c r="D17" i="11" s="1"/>
  <c r="G14" i="11"/>
  <c r="G33" i="11" s="1"/>
  <c r="G22" i="11"/>
  <c r="F14" i="11"/>
  <c r="F33" i="11" s="1"/>
  <c r="F22" i="11"/>
  <c r="F51" i="1"/>
  <c r="E21" i="11" s="1"/>
  <c r="K50" i="1"/>
  <c r="J20" i="11" s="1"/>
  <c r="I47" i="1"/>
  <c r="H17" i="11" s="1"/>
  <c r="I49" i="1"/>
  <c r="H19" i="11" s="1"/>
  <c r="I48" i="1"/>
  <c r="H18" i="11" s="1"/>
  <c r="I51" i="1"/>
  <c r="H21" i="11" s="1"/>
  <c r="I52" i="1"/>
  <c r="H46" i="1"/>
  <c r="F49" i="1"/>
  <c r="E19" i="11" s="1"/>
  <c r="F48" i="1"/>
  <c r="E18" i="11" s="1"/>
  <c r="E48" i="1"/>
  <c r="D18" i="11" s="1"/>
  <c r="E49" i="1"/>
  <c r="D19" i="11" s="1"/>
  <c r="K51" i="1"/>
  <c r="J21" i="11" s="1"/>
  <c r="K52" i="1"/>
  <c r="J52" i="1"/>
  <c r="J46" i="1"/>
  <c r="F50" i="1"/>
  <c r="E20" i="11" s="1"/>
  <c r="F52" i="1"/>
  <c r="E50" i="1"/>
  <c r="D20" i="11" s="1"/>
  <c r="G3" i="23" l="1"/>
  <c r="I3" i="23" s="1"/>
  <c r="G46" i="1" s="1"/>
  <c r="F25" i="13" s="1"/>
  <c r="F26" i="13" s="1"/>
  <c r="K46" i="1"/>
  <c r="J16" i="11" s="1"/>
  <c r="F46" i="1"/>
  <c r="E25" i="13" s="1"/>
  <c r="J14" i="11"/>
  <c r="J33" i="11" s="1"/>
  <c r="J22" i="11"/>
  <c r="I14" i="11"/>
  <c r="I33" i="11" s="1"/>
  <c r="I22" i="11"/>
  <c r="H14" i="11"/>
  <c r="H33" i="11" s="1"/>
  <c r="H22" i="11"/>
  <c r="E14" i="11"/>
  <c r="E33" i="11" s="1"/>
  <c r="E22" i="11"/>
  <c r="I16" i="11"/>
  <c r="I25" i="13"/>
  <c r="G16" i="11"/>
  <c r="G25" i="13"/>
  <c r="I46" i="1"/>
  <c r="E52" i="1"/>
  <c r="E46" i="1"/>
  <c r="J25" i="13" l="1"/>
  <c r="J26" i="13" s="1"/>
  <c r="F34" i="11"/>
  <c r="F16" i="11"/>
  <c r="E16" i="11"/>
  <c r="D14" i="11"/>
  <c r="D33" i="11" s="1"/>
  <c r="D22" i="11"/>
  <c r="I34" i="11"/>
  <c r="I26" i="13"/>
  <c r="H25" i="13"/>
  <c r="H16" i="11"/>
  <c r="G26" i="13"/>
  <c r="G34" i="11"/>
  <c r="F35" i="11"/>
  <c r="F27" i="13"/>
  <c r="E34" i="11"/>
  <c r="E26" i="13"/>
  <c r="D16" i="11"/>
  <c r="D25" i="13"/>
  <c r="J34" i="11" l="1"/>
  <c r="J35" i="11"/>
  <c r="J27" i="13"/>
  <c r="I27" i="13"/>
  <c r="I35" i="11"/>
  <c r="H26" i="13"/>
  <c r="H34" i="11"/>
  <c r="G35" i="11"/>
  <c r="G27" i="13"/>
  <c r="F28" i="13"/>
  <c r="F36" i="11"/>
  <c r="E27" i="13"/>
  <c r="E35" i="11"/>
  <c r="D34" i="11"/>
  <c r="D26" i="13"/>
  <c r="J36" i="11" l="1"/>
  <c r="J28" i="13"/>
  <c r="I36" i="11"/>
  <c r="I28" i="13"/>
  <c r="H35" i="11"/>
  <c r="H27" i="13"/>
  <c r="G36" i="11"/>
  <c r="G28" i="13"/>
  <c r="F37" i="11"/>
  <c r="F29" i="13"/>
  <c r="E36" i="11"/>
  <c r="E28" i="13"/>
  <c r="D35" i="11"/>
  <c r="D27" i="13"/>
  <c r="J29" i="13" l="1"/>
  <c r="J37" i="11"/>
  <c r="I37" i="11"/>
  <c r="I29" i="13"/>
  <c r="H36" i="11"/>
  <c r="H28" i="13"/>
  <c r="G37" i="11"/>
  <c r="G29" i="13"/>
  <c r="F38" i="11"/>
  <c r="F30" i="13"/>
  <c r="E37" i="11"/>
  <c r="E29" i="13"/>
  <c r="D28" i="13"/>
  <c r="D36" i="11"/>
  <c r="J30" i="13" l="1"/>
  <c r="J38" i="11"/>
  <c r="I30" i="13"/>
  <c r="I38" i="11"/>
  <c r="H29" i="13"/>
  <c r="H37" i="11"/>
  <c r="G38" i="11"/>
  <c r="G30" i="13"/>
  <c r="F31" i="13"/>
  <c r="F39" i="11"/>
  <c r="E38" i="11"/>
  <c r="E30" i="13"/>
  <c r="D37" i="11"/>
  <c r="D29" i="13"/>
  <c r="J39" i="11" l="1"/>
  <c r="J31" i="13"/>
  <c r="I39" i="11"/>
  <c r="I31" i="13"/>
  <c r="H38" i="11"/>
  <c r="H30" i="13"/>
  <c r="G31" i="13"/>
  <c r="G39" i="11"/>
  <c r="F32" i="13"/>
  <c r="F40" i="11"/>
  <c r="E39" i="11"/>
  <c r="E31" i="13"/>
  <c r="D38" i="11"/>
  <c r="D30" i="13"/>
  <c r="J40" i="11" l="1"/>
  <c r="J32" i="13"/>
  <c r="I32" i="13"/>
  <c r="I40" i="11"/>
  <c r="H31" i="13"/>
  <c r="H39" i="11"/>
  <c r="G40" i="11"/>
  <c r="G32" i="13"/>
  <c r="F33" i="13"/>
  <c r="F41" i="11"/>
  <c r="E40" i="11"/>
  <c r="E32" i="13"/>
  <c r="D31" i="13"/>
  <c r="D39" i="11"/>
  <c r="J33" i="13" l="1"/>
  <c r="J41" i="11"/>
  <c r="I41" i="11"/>
  <c r="I33" i="13"/>
  <c r="H32" i="13"/>
  <c r="H40" i="11"/>
  <c r="G33" i="13"/>
  <c r="G41" i="11"/>
  <c r="F34" i="13"/>
  <c r="F42" i="11"/>
  <c r="E41" i="11"/>
  <c r="E33" i="13"/>
  <c r="D32" i="13"/>
  <c r="D40" i="11"/>
  <c r="J34" i="13" l="1"/>
  <c r="J42" i="11"/>
  <c r="I42" i="11"/>
  <c r="I34" i="13"/>
  <c r="H41" i="11"/>
  <c r="H33" i="13"/>
  <c r="G42" i="11"/>
  <c r="G34" i="13"/>
  <c r="F35" i="13"/>
  <c r="F43" i="11"/>
  <c r="E34" i="13"/>
  <c r="E42" i="11"/>
  <c r="D33" i="13"/>
  <c r="D41" i="11"/>
  <c r="AE71" i="3"/>
  <c r="AA71" i="3"/>
  <c r="AB71" i="3"/>
  <c r="D72" i="3" l="1"/>
  <c r="Z71" i="3"/>
  <c r="J35" i="13"/>
  <c r="J43" i="11"/>
  <c r="I43" i="11"/>
  <c r="I35" i="13"/>
  <c r="H42" i="11"/>
  <c r="H34" i="13"/>
  <c r="G43" i="11"/>
  <c r="G35" i="13"/>
  <c r="F36" i="13"/>
  <c r="F44" i="11"/>
  <c r="E43" i="11"/>
  <c r="E35" i="13"/>
  <c r="D42" i="11"/>
  <c r="D34" i="13"/>
  <c r="AN71" i="3"/>
  <c r="AC71" i="3"/>
  <c r="I72" i="3" l="1"/>
  <c r="E72" i="3"/>
  <c r="J36" i="13"/>
  <c r="J44" i="11"/>
  <c r="I44" i="11"/>
  <c r="I36" i="13"/>
  <c r="H43" i="11"/>
  <c r="H35" i="13"/>
  <c r="G36" i="13"/>
  <c r="G44" i="11"/>
  <c r="F37" i="13"/>
  <c r="F45" i="11"/>
  <c r="E44" i="11"/>
  <c r="E36" i="13"/>
  <c r="D43" i="11"/>
  <c r="D35" i="13"/>
  <c r="AM71" i="3"/>
  <c r="AL71" i="3"/>
  <c r="AH71" i="3"/>
  <c r="AI71" i="3"/>
  <c r="AJ71" i="3"/>
  <c r="AK71" i="3"/>
  <c r="H72" i="3" l="1"/>
  <c r="Y72" i="3" s="1"/>
  <c r="G72" i="3"/>
  <c r="J45" i="11"/>
  <c r="J37" i="13"/>
  <c r="I45" i="11"/>
  <c r="I37" i="13"/>
  <c r="H44" i="11"/>
  <c r="H36" i="13"/>
  <c r="G37" i="13"/>
  <c r="G45" i="11"/>
  <c r="F38" i="13"/>
  <c r="F46" i="11"/>
  <c r="E45" i="11"/>
  <c r="E37" i="13"/>
  <c r="D44" i="11"/>
  <c r="D36" i="13"/>
  <c r="AE72" i="3"/>
  <c r="U72" i="3" l="1"/>
  <c r="W72" i="3"/>
  <c r="Q72" i="3"/>
  <c r="S72" i="3" s="1"/>
  <c r="AD72" i="3" s="1"/>
  <c r="J72" i="3"/>
  <c r="AA72" i="3" s="1"/>
  <c r="L72" i="3"/>
  <c r="AB72" i="3" s="1"/>
  <c r="D73" i="3"/>
  <c r="Z72" i="3"/>
  <c r="AN72" i="3"/>
  <c r="J38" i="13"/>
  <c r="J46" i="11"/>
  <c r="I46" i="11"/>
  <c r="I38" i="13"/>
  <c r="H45" i="11"/>
  <c r="H37" i="13"/>
  <c r="G38" i="13"/>
  <c r="G46" i="11"/>
  <c r="F47" i="11"/>
  <c r="F39" i="13"/>
  <c r="E38" i="13"/>
  <c r="E46" i="11"/>
  <c r="D45" i="11"/>
  <c r="D37" i="13"/>
  <c r="I73" i="3" l="1"/>
  <c r="E73" i="3"/>
  <c r="AM72" i="3"/>
  <c r="AH72" i="3"/>
  <c r="AJ72" i="3"/>
  <c r="AL72" i="3"/>
  <c r="AI72" i="3"/>
  <c r="J47" i="11"/>
  <c r="J39" i="13"/>
  <c r="I39" i="13"/>
  <c r="I47" i="11"/>
  <c r="H46" i="11"/>
  <c r="H38" i="13"/>
  <c r="G47" i="11"/>
  <c r="G39" i="13"/>
  <c r="F40" i="13"/>
  <c r="F48" i="11"/>
  <c r="E47" i="11"/>
  <c r="E39" i="13"/>
  <c r="D38" i="13"/>
  <c r="D46" i="11"/>
  <c r="AC72" i="3"/>
  <c r="AK72" i="3" s="1"/>
  <c r="AE73" i="3" l="1"/>
  <c r="D74" i="3" s="1"/>
  <c r="H73" i="3"/>
  <c r="Y73" i="3" s="1"/>
  <c r="G73" i="3"/>
  <c r="AN73" i="3" s="1"/>
  <c r="J48" i="11"/>
  <c r="J40" i="13"/>
  <c r="I48" i="11"/>
  <c r="I40" i="13"/>
  <c r="H47" i="11"/>
  <c r="H39" i="13"/>
  <c r="G40" i="13"/>
  <c r="G48" i="11"/>
  <c r="F49" i="11"/>
  <c r="F41" i="13"/>
  <c r="E48" i="11"/>
  <c r="E40" i="13"/>
  <c r="D47" i="11"/>
  <c r="D39" i="13"/>
  <c r="Z73" i="3" l="1"/>
  <c r="AH73" i="3" s="1"/>
  <c r="I74" i="3"/>
  <c r="U73" i="3"/>
  <c r="W73" i="3"/>
  <c r="Q73" i="3"/>
  <c r="S73" i="3" s="1"/>
  <c r="AD73" i="3" s="1"/>
  <c r="AL73" i="3" s="1"/>
  <c r="J73" i="3"/>
  <c r="AA73" i="3" s="1"/>
  <c r="AI73" i="3" s="1"/>
  <c r="L73" i="3"/>
  <c r="AB73" i="3" s="1"/>
  <c r="AJ73" i="3" s="1"/>
  <c r="E74" i="3"/>
  <c r="J49" i="11"/>
  <c r="J41" i="13"/>
  <c r="I49" i="11"/>
  <c r="I41" i="13"/>
  <c r="H40" i="13"/>
  <c r="H48" i="11"/>
  <c r="G49" i="11"/>
  <c r="G41" i="13"/>
  <c r="F50" i="11"/>
  <c r="F42" i="13"/>
  <c r="E49" i="11"/>
  <c r="E41" i="13"/>
  <c r="D40" i="13"/>
  <c r="D48" i="11"/>
  <c r="AM73" i="3"/>
  <c r="H74" i="3" l="1"/>
  <c r="G74" i="3"/>
  <c r="AC73" i="3"/>
  <c r="AK73" i="3" s="1"/>
  <c r="J50" i="11"/>
  <c r="J42" i="13"/>
  <c r="I42" i="13"/>
  <c r="I50" i="11"/>
  <c r="H49" i="11"/>
  <c r="H41" i="13"/>
  <c r="G42" i="13"/>
  <c r="G50" i="11"/>
  <c r="F51" i="11"/>
  <c r="F43" i="13"/>
  <c r="E50" i="11"/>
  <c r="E42" i="13"/>
  <c r="D41" i="13"/>
  <c r="D49" i="11"/>
  <c r="Y74" i="3"/>
  <c r="AE74" i="3"/>
  <c r="U74" i="3" l="1"/>
  <c r="W74" i="3"/>
  <c r="Q74" i="3"/>
  <c r="S74" i="3" s="1"/>
  <c r="AD74" i="3" s="1"/>
  <c r="L74" i="3"/>
  <c r="AB74" i="3" s="1"/>
  <c r="J74" i="3"/>
  <c r="AA74" i="3" s="1"/>
  <c r="D75" i="3"/>
  <c r="Z74" i="3"/>
  <c r="J43" i="13"/>
  <c r="J51" i="11"/>
  <c r="I43" i="13"/>
  <c r="I51" i="11"/>
  <c r="H50" i="11"/>
  <c r="H42" i="13"/>
  <c r="G51" i="11"/>
  <c r="G43" i="13"/>
  <c r="F52" i="11"/>
  <c r="F44" i="13"/>
  <c r="E43" i="13"/>
  <c r="E51" i="11"/>
  <c r="D42" i="13"/>
  <c r="D50" i="11"/>
  <c r="AN74" i="3"/>
  <c r="I75" i="3" l="1"/>
  <c r="E75" i="3"/>
  <c r="J44" i="13"/>
  <c r="J52" i="11"/>
  <c r="I52" i="11"/>
  <c r="I44" i="13"/>
  <c r="H51" i="11"/>
  <c r="H43" i="13"/>
  <c r="G44" i="13"/>
  <c r="G52" i="11"/>
  <c r="F53" i="11"/>
  <c r="F45" i="13"/>
  <c r="E52" i="11"/>
  <c r="E44" i="13"/>
  <c r="D51" i="11"/>
  <c r="D43" i="13"/>
  <c r="AM74" i="3"/>
  <c r="AL74" i="3"/>
  <c r="AJ74" i="3"/>
  <c r="AC74" i="3"/>
  <c r="AK74" i="3" s="1"/>
  <c r="AH74" i="3"/>
  <c r="AI74" i="3"/>
  <c r="G75" i="3" l="1"/>
  <c r="H75" i="3"/>
  <c r="Y75" i="3" s="1"/>
  <c r="J45" i="13"/>
  <c r="J53" i="11"/>
  <c r="I53" i="11"/>
  <c r="I45" i="13"/>
  <c r="H44" i="13"/>
  <c r="H52" i="11"/>
  <c r="G53" i="11"/>
  <c r="G45" i="13"/>
  <c r="F46" i="13"/>
  <c r="F54" i="11"/>
  <c r="E53" i="11"/>
  <c r="E45" i="13"/>
  <c r="D44" i="13"/>
  <c r="D52" i="11"/>
  <c r="AE75" i="3"/>
  <c r="U75" i="3" l="1"/>
  <c r="Q75" i="3"/>
  <c r="S75" i="3" s="1"/>
  <c r="AD75" i="3" s="1"/>
  <c r="W75" i="3"/>
  <c r="J75" i="3"/>
  <c r="AA75" i="3" s="1"/>
  <c r="L75" i="3"/>
  <c r="AB75" i="3" s="1"/>
  <c r="D76" i="3"/>
  <c r="Z75" i="3"/>
  <c r="J54" i="11"/>
  <c r="J46" i="13"/>
  <c r="I54" i="11"/>
  <c r="I46" i="13"/>
  <c r="H45" i="13"/>
  <c r="H53" i="11"/>
  <c r="G54" i="11"/>
  <c r="G46" i="13"/>
  <c r="F47" i="13"/>
  <c r="F55" i="11"/>
  <c r="E54" i="11"/>
  <c r="E46" i="13"/>
  <c r="D53" i="11"/>
  <c r="D45" i="13"/>
  <c r="AN75" i="3"/>
  <c r="I76" i="3" l="1"/>
  <c r="E76" i="3"/>
  <c r="J55" i="11"/>
  <c r="J47" i="13"/>
  <c r="I55" i="11"/>
  <c r="I47" i="13"/>
  <c r="H54" i="11"/>
  <c r="H46" i="13"/>
  <c r="G55" i="11"/>
  <c r="G47" i="13"/>
  <c r="F48" i="13"/>
  <c r="F56" i="11"/>
  <c r="E47" i="13"/>
  <c r="E55" i="11"/>
  <c r="D46" i="13"/>
  <c r="D54" i="11"/>
  <c r="AL75" i="3"/>
  <c r="AM75" i="3"/>
  <c r="AI75" i="3"/>
  <c r="AC75" i="3"/>
  <c r="AK75" i="3" s="1"/>
  <c r="AH75" i="3"/>
  <c r="AJ75" i="3"/>
  <c r="H76" i="3" l="1"/>
  <c r="Y76" i="3" s="1"/>
  <c r="G76" i="3"/>
  <c r="J56" i="11"/>
  <c r="J48" i="13"/>
  <c r="I56" i="11"/>
  <c r="I48" i="13"/>
  <c r="H47" i="13"/>
  <c r="H55" i="11"/>
  <c r="G56" i="11"/>
  <c r="G48" i="13"/>
  <c r="F57" i="11"/>
  <c r="F49" i="13"/>
  <c r="E56" i="11"/>
  <c r="E48" i="13"/>
  <c r="D55" i="11"/>
  <c r="D47" i="13"/>
  <c r="AE76" i="3"/>
  <c r="Q76" i="3" l="1"/>
  <c r="W76" i="3"/>
  <c r="U76" i="3"/>
  <c r="J76" i="3"/>
  <c r="AA76" i="3" s="1"/>
  <c r="L76" i="3"/>
  <c r="D77" i="3"/>
  <c r="Z76" i="3"/>
  <c r="AB76" i="3"/>
  <c r="S76" i="3"/>
  <c r="AD76" i="3" s="1"/>
  <c r="J57" i="11"/>
  <c r="J49" i="13"/>
  <c r="I57" i="11"/>
  <c r="I49" i="13"/>
  <c r="H56" i="11"/>
  <c r="H48" i="13"/>
  <c r="G49" i="13"/>
  <c r="G57" i="11"/>
  <c r="F58" i="11"/>
  <c r="F50" i="13"/>
  <c r="E57" i="11"/>
  <c r="E49" i="13"/>
  <c r="D56" i="11"/>
  <c r="D48" i="13"/>
  <c r="AN76" i="3"/>
  <c r="I77" i="3" l="1"/>
  <c r="E77" i="3"/>
  <c r="J50" i="13"/>
  <c r="J58" i="11"/>
  <c r="I58" i="11"/>
  <c r="I50" i="13"/>
  <c r="H57" i="11"/>
  <c r="H49" i="13"/>
  <c r="G50" i="13"/>
  <c r="G58" i="11"/>
  <c r="F59" i="11"/>
  <c r="F51" i="13"/>
  <c r="E58" i="11"/>
  <c r="E50" i="13"/>
  <c r="D49" i="13"/>
  <c r="D57" i="11"/>
  <c r="AL76" i="3"/>
  <c r="AM76" i="3"/>
  <c r="AC76" i="3"/>
  <c r="AK76" i="3" s="1"/>
  <c r="AI76" i="3"/>
  <c r="AH76" i="3"/>
  <c r="AJ76" i="3"/>
  <c r="G77" i="3" l="1"/>
  <c r="H77" i="3"/>
  <c r="Y77" i="3" s="1"/>
  <c r="J51" i="13"/>
  <c r="J59" i="11"/>
  <c r="I59" i="11"/>
  <c r="I51" i="13"/>
  <c r="H50" i="13"/>
  <c r="H58" i="11"/>
  <c r="G59" i="11"/>
  <c r="G51" i="13"/>
  <c r="F52" i="13"/>
  <c r="F60" i="11"/>
  <c r="E59" i="11"/>
  <c r="E51" i="13"/>
  <c r="D58" i="11"/>
  <c r="D50" i="13"/>
  <c r="AE77" i="3"/>
  <c r="W77" i="3" l="1"/>
  <c r="U77" i="3"/>
  <c r="Q77" i="3"/>
  <c r="S77" i="3" s="1"/>
  <c r="AD77" i="3" s="1"/>
  <c r="J77" i="3"/>
  <c r="L77" i="3"/>
  <c r="AB77" i="3" s="1"/>
  <c r="D78" i="3"/>
  <c r="AA77" i="3"/>
  <c r="J60" i="11"/>
  <c r="J52" i="13"/>
  <c r="I60" i="11"/>
  <c r="I52" i="13"/>
  <c r="H51" i="13"/>
  <c r="H59" i="11"/>
  <c r="G60" i="11"/>
  <c r="G52" i="13"/>
  <c r="F61" i="11"/>
  <c r="F53" i="13"/>
  <c r="E52" i="13"/>
  <c r="E60" i="11"/>
  <c r="D51" i="13"/>
  <c r="D59" i="11"/>
  <c r="Z77" i="3"/>
  <c r="AN77" i="3"/>
  <c r="I78" i="3" l="1"/>
  <c r="E78" i="3"/>
  <c r="J53" i="13"/>
  <c r="J61" i="11"/>
  <c r="I53" i="13"/>
  <c r="I61" i="11"/>
  <c r="H52" i="13"/>
  <c r="H60" i="11"/>
  <c r="G61" i="11"/>
  <c r="G53" i="13"/>
  <c r="F62" i="11"/>
  <c r="F54" i="13"/>
  <c r="E53" i="13"/>
  <c r="E61" i="11"/>
  <c r="D60" i="11"/>
  <c r="D52" i="13"/>
  <c r="AM77" i="3"/>
  <c r="AL77" i="3"/>
  <c r="AI77" i="3"/>
  <c r="AH77" i="3"/>
  <c r="AJ77" i="3"/>
  <c r="AC77" i="3"/>
  <c r="AK77" i="3" s="1"/>
  <c r="G78" i="3" l="1"/>
  <c r="H78" i="3"/>
  <c r="Y78" i="3" s="1"/>
  <c r="J62" i="11"/>
  <c r="J54" i="13"/>
  <c r="I62" i="11"/>
  <c r="I54" i="13"/>
  <c r="H53" i="13"/>
  <c r="H61" i="11"/>
  <c r="G54" i="13"/>
  <c r="G62" i="11"/>
  <c r="F63" i="11"/>
  <c r="F55" i="13"/>
  <c r="E54" i="13"/>
  <c r="E62" i="11"/>
  <c r="D53" i="13"/>
  <c r="D61" i="11"/>
  <c r="AE78" i="3"/>
  <c r="W78" i="3" l="1"/>
  <c r="U78" i="3"/>
  <c r="Q78" i="3"/>
  <c r="S78" i="3" s="1"/>
  <c r="AD78" i="3" s="1"/>
  <c r="L78" i="3"/>
  <c r="AB78" i="3" s="1"/>
  <c r="J78" i="3"/>
  <c r="AA78" i="3" s="1"/>
  <c r="D79" i="3"/>
  <c r="Z78" i="3"/>
  <c r="J63" i="11"/>
  <c r="J55" i="13"/>
  <c r="I63" i="11"/>
  <c r="I55" i="13"/>
  <c r="H54" i="13"/>
  <c r="H62" i="11"/>
  <c r="G55" i="13"/>
  <c r="G63" i="11"/>
  <c r="F64" i="11"/>
  <c r="F56" i="13"/>
  <c r="E63" i="11"/>
  <c r="E55" i="13"/>
  <c r="D54" i="13"/>
  <c r="D62" i="11"/>
  <c r="AN78" i="3"/>
  <c r="I79" i="3" l="1"/>
  <c r="E79" i="3"/>
  <c r="J64" i="11"/>
  <c r="J56" i="13"/>
  <c r="I56" i="13"/>
  <c r="I64" i="11"/>
  <c r="H63" i="11"/>
  <c r="H55" i="13"/>
  <c r="G64" i="11"/>
  <c r="G56" i="13"/>
  <c r="F65" i="11"/>
  <c r="F57" i="13"/>
  <c r="E56" i="13"/>
  <c r="E64" i="11"/>
  <c r="D63" i="11"/>
  <c r="D55" i="13"/>
  <c r="AC78" i="3"/>
  <c r="AK78" i="3" s="1"/>
  <c r="AL78" i="3"/>
  <c r="AM78" i="3"/>
  <c r="AJ78" i="3"/>
  <c r="AH78" i="3"/>
  <c r="AI78" i="3"/>
  <c r="G79" i="3" l="1"/>
  <c r="H79" i="3"/>
  <c r="Y79" i="3" s="1"/>
  <c r="J57" i="13"/>
  <c r="J65" i="11"/>
  <c r="I65" i="11"/>
  <c r="I57" i="13"/>
  <c r="H56" i="13"/>
  <c r="H64" i="11"/>
  <c r="G57" i="13"/>
  <c r="G65" i="11"/>
  <c r="F66" i="11"/>
  <c r="F58" i="13"/>
  <c r="E65" i="11"/>
  <c r="E57" i="13"/>
  <c r="D64" i="11"/>
  <c r="D56" i="13"/>
  <c r="AE79" i="3"/>
  <c r="U79" i="3" l="1"/>
  <c r="Q79" i="3"/>
  <c r="S79" i="3" s="1"/>
  <c r="AD79" i="3" s="1"/>
  <c r="W79" i="3"/>
  <c r="L79" i="3"/>
  <c r="AB79" i="3" s="1"/>
  <c r="J79" i="3"/>
  <c r="AA79" i="3" s="1"/>
  <c r="D80" i="3"/>
  <c r="Z79" i="3"/>
  <c r="J66" i="11"/>
  <c r="J58" i="13"/>
  <c r="I66" i="11"/>
  <c r="I58" i="13"/>
  <c r="H65" i="11"/>
  <c r="H57" i="13"/>
  <c r="G66" i="11"/>
  <c r="G58" i="13"/>
  <c r="F67" i="11"/>
  <c r="F59" i="13"/>
  <c r="E66" i="11"/>
  <c r="E58" i="13"/>
  <c r="D57" i="13"/>
  <c r="D65" i="11"/>
  <c r="AN79" i="3"/>
  <c r="I80" i="3" l="1"/>
  <c r="E80" i="3"/>
  <c r="J67" i="11"/>
  <c r="J59" i="13"/>
  <c r="I67" i="11"/>
  <c r="I59" i="13"/>
  <c r="H58" i="13"/>
  <c r="H66" i="11"/>
  <c r="G67" i="11"/>
  <c r="G59" i="13"/>
  <c r="F60" i="13"/>
  <c r="F68" i="11"/>
  <c r="E67" i="11"/>
  <c r="E59" i="13"/>
  <c r="D58" i="13"/>
  <c r="D66" i="11"/>
  <c r="AL79" i="3"/>
  <c r="AM79" i="3"/>
  <c r="AI79" i="3"/>
  <c r="AJ79" i="3"/>
  <c r="AH79" i="3"/>
  <c r="AC79" i="3"/>
  <c r="AK79" i="3" s="1"/>
  <c r="H80" i="3" l="1"/>
  <c r="Y80" i="3" s="1"/>
  <c r="G80" i="3"/>
  <c r="J68" i="11"/>
  <c r="J60" i="13"/>
  <c r="I68" i="11"/>
  <c r="I60" i="13"/>
  <c r="H67" i="11"/>
  <c r="H59" i="13"/>
  <c r="G60" i="13"/>
  <c r="G68" i="11"/>
  <c r="F61" i="13"/>
  <c r="F69" i="11"/>
  <c r="E68" i="11"/>
  <c r="E60" i="13"/>
  <c r="D67" i="11"/>
  <c r="D59" i="13"/>
  <c r="AE80" i="3"/>
  <c r="U80" i="3" l="1"/>
  <c r="W80" i="3"/>
  <c r="Q80" i="3"/>
  <c r="S80" i="3" s="1"/>
  <c r="AD80" i="3" s="1"/>
  <c r="J80" i="3"/>
  <c r="AA80" i="3" s="1"/>
  <c r="L80" i="3"/>
  <c r="D81" i="3"/>
  <c r="AB80" i="3"/>
  <c r="J61" i="13"/>
  <c r="J69" i="11"/>
  <c r="I61" i="13"/>
  <c r="I69" i="11"/>
  <c r="H60" i="13"/>
  <c r="H68" i="11"/>
  <c r="G61" i="13"/>
  <c r="G69" i="11"/>
  <c r="F70" i="11"/>
  <c r="F62" i="13"/>
  <c r="E69" i="11"/>
  <c r="E61" i="13"/>
  <c r="D60" i="13"/>
  <c r="D68" i="11"/>
  <c r="Z80" i="3"/>
  <c r="AN80" i="3"/>
  <c r="I81" i="3" l="1"/>
  <c r="E81" i="3"/>
  <c r="J70" i="11"/>
  <c r="J62" i="13"/>
  <c r="I62" i="13"/>
  <c r="I70" i="11"/>
  <c r="H61" i="13"/>
  <c r="H69" i="11"/>
  <c r="G70" i="11"/>
  <c r="G62" i="13"/>
  <c r="F71" i="11"/>
  <c r="F63" i="13"/>
  <c r="E70" i="11"/>
  <c r="E62" i="13"/>
  <c r="D61" i="13"/>
  <c r="D69" i="11"/>
  <c r="AL80" i="3"/>
  <c r="AM80" i="3"/>
  <c r="AC80" i="3"/>
  <c r="AK80" i="3" s="1"/>
  <c r="AJ80" i="3"/>
  <c r="AH80" i="3"/>
  <c r="AI80" i="3"/>
  <c r="G81" i="3" l="1"/>
  <c r="H81" i="3"/>
  <c r="Y81" i="3" s="1"/>
  <c r="J63" i="13"/>
  <c r="J71" i="11"/>
  <c r="I63" i="13"/>
  <c r="I71" i="11"/>
  <c r="H70" i="11"/>
  <c r="H62" i="13"/>
  <c r="G71" i="11"/>
  <c r="G63" i="13"/>
  <c r="F72" i="11"/>
  <c r="F64" i="13"/>
  <c r="E71" i="11"/>
  <c r="E63" i="13"/>
  <c r="D62" i="13"/>
  <c r="D70" i="11"/>
  <c r="AE81" i="3"/>
  <c r="U81" i="3" l="1"/>
  <c r="Q81" i="3"/>
  <c r="S81" i="3" s="1"/>
  <c r="AD81" i="3" s="1"/>
  <c r="W81" i="3"/>
  <c r="L81" i="3"/>
  <c r="AB81" i="3" s="1"/>
  <c r="J81" i="3"/>
  <c r="AA81" i="3" s="1"/>
  <c r="D82" i="3"/>
  <c r="Z81" i="3"/>
  <c r="J72" i="11"/>
  <c r="J64" i="13"/>
  <c r="I72" i="11"/>
  <c r="I64" i="13"/>
  <c r="H71" i="11"/>
  <c r="H63" i="13"/>
  <c r="G72" i="11"/>
  <c r="G64" i="13"/>
  <c r="F65" i="13"/>
  <c r="F73" i="11"/>
  <c r="E72" i="11"/>
  <c r="E64" i="13"/>
  <c r="D71" i="11"/>
  <c r="D63" i="13"/>
  <c r="AN81" i="3"/>
  <c r="I82" i="3" l="1"/>
  <c r="E82" i="3"/>
  <c r="J73" i="11"/>
  <c r="J65" i="13"/>
  <c r="I73" i="11"/>
  <c r="I65" i="13"/>
  <c r="H64" i="13"/>
  <c r="H72" i="11"/>
  <c r="G73" i="11"/>
  <c r="G65" i="13"/>
  <c r="F66" i="13"/>
  <c r="F74" i="11"/>
  <c r="E73" i="11"/>
  <c r="E65" i="13"/>
  <c r="D72" i="11"/>
  <c r="D64" i="13"/>
  <c r="AL81" i="3"/>
  <c r="AM81" i="3"/>
  <c r="AI81" i="3"/>
  <c r="AH81" i="3"/>
  <c r="AC81" i="3"/>
  <c r="AK81" i="3" s="1"/>
  <c r="AJ81" i="3"/>
  <c r="G82" i="3" l="1"/>
  <c r="H82" i="3"/>
  <c r="Y82" i="3" s="1"/>
  <c r="J74" i="11"/>
  <c r="J66" i="13"/>
  <c r="I66" i="13"/>
  <c r="I74" i="11"/>
  <c r="H65" i="13"/>
  <c r="H73" i="11"/>
  <c r="G74" i="11"/>
  <c r="G66" i="13"/>
  <c r="F67" i="13"/>
  <c r="F75" i="11"/>
  <c r="E74" i="11"/>
  <c r="E66" i="13"/>
  <c r="D73" i="11"/>
  <c r="D65" i="13"/>
  <c r="AE82" i="3"/>
  <c r="W82" i="3" l="1"/>
  <c r="Q82" i="3"/>
  <c r="S82" i="3" s="1"/>
  <c r="AD82" i="3" s="1"/>
  <c r="U82" i="3"/>
  <c r="J82" i="3"/>
  <c r="L82" i="3"/>
  <c r="D83" i="3"/>
  <c r="AB82" i="3"/>
  <c r="AA82" i="3"/>
  <c r="J67" i="13"/>
  <c r="J75" i="11"/>
  <c r="I75" i="11"/>
  <c r="I67" i="13"/>
  <c r="H74" i="11"/>
  <c r="H66" i="13"/>
  <c r="G75" i="11"/>
  <c r="G67" i="13"/>
  <c r="F76" i="11"/>
  <c r="F68" i="13"/>
  <c r="E75" i="11"/>
  <c r="E67" i="13"/>
  <c r="D74" i="11"/>
  <c r="D66" i="13"/>
  <c r="Z82" i="3"/>
  <c r="AN82" i="3"/>
  <c r="I83" i="3" l="1"/>
  <c r="E83" i="3"/>
  <c r="J76" i="11"/>
  <c r="J68" i="13"/>
  <c r="I76" i="11"/>
  <c r="I68" i="13"/>
  <c r="H75" i="11"/>
  <c r="H67" i="13"/>
  <c r="G76" i="11"/>
  <c r="G68" i="13"/>
  <c r="F69" i="13"/>
  <c r="F77" i="11"/>
  <c r="E76" i="11"/>
  <c r="E68" i="13"/>
  <c r="D75" i="11"/>
  <c r="D67" i="13"/>
  <c r="AL82" i="3"/>
  <c r="AM82" i="3"/>
  <c r="AI82" i="3"/>
  <c r="AJ82" i="3"/>
  <c r="AH82" i="3"/>
  <c r="AC82" i="3"/>
  <c r="AK82" i="3" s="1"/>
  <c r="H83" i="3" l="1"/>
  <c r="Y83" i="3" s="1"/>
  <c r="G83" i="3"/>
  <c r="J69" i="13"/>
  <c r="J77" i="11"/>
  <c r="I77" i="11"/>
  <c r="I69" i="13"/>
  <c r="H76" i="11"/>
  <c r="H68" i="13"/>
  <c r="G77" i="11"/>
  <c r="G69" i="13"/>
  <c r="F78" i="11"/>
  <c r="F70" i="13"/>
  <c r="E77" i="11"/>
  <c r="E69" i="13"/>
  <c r="D76" i="11"/>
  <c r="D68" i="13"/>
  <c r="AE83" i="3"/>
  <c r="W83" i="3" l="1"/>
  <c r="Q83" i="3"/>
  <c r="U83" i="3"/>
  <c r="J83" i="3"/>
  <c r="AA83" i="3" s="1"/>
  <c r="L83" i="3"/>
  <c r="D84" i="3"/>
  <c r="AB83" i="3"/>
  <c r="S83" i="3"/>
  <c r="AD83" i="3" s="1"/>
  <c r="J78" i="11"/>
  <c r="J70" i="13"/>
  <c r="I78" i="11"/>
  <c r="I70" i="13"/>
  <c r="H77" i="11"/>
  <c r="H69" i="13"/>
  <c r="G78" i="11"/>
  <c r="G70" i="13"/>
  <c r="F71" i="13"/>
  <c r="F79" i="11"/>
  <c r="E78" i="11"/>
  <c r="E70" i="13"/>
  <c r="D77" i="11"/>
  <c r="D69" i="13"/>
  <c r="Z83" i="3"/>
  <c r="AN83" i="3"/>
  <c r="I84" i="3" l="1"/>
  <c r="E84" i="3"/>
  <c r="J71" i="13"/>
  <c r="J79" i="11"/>
  <c r="I79" i="11"/>
  <c r="I71" i="13"/>
  <c r="H78" i="11"/>
  <c r="H70" i="13"/>
  <c r="G79" i="11"/>
  <c r="G71" i="13"/>
  <c r="F80" i="11"/>
  <c r="F72" i="13"/>
  <c r="E79" i="11"/>
  <c r="E71" i="13"/>
  <c r="D78" i="11"/>
  <c r="D70" i="13"/>
  <c r="AL83" i="3"/>
  <c r="AM83" i="3"/>
  <c r="AH83" i="3"/>
  <c r="AJ83" i="3"/>
  <c r="AC83" i="3"/>
  <c r="AK83" i="3" s="1"/>
  <c r="AI83" i="3"/>
  <c r="H84" i="3" l="1"/>
  <c r="Y84" i="3" s="1"/>
  <c r="G84" i="3"/>
  <c r="J72" i="13"/>
  <c r="J80" i="11"/>
  <c r="I80" i="11"/>
  <c r="I72" i="13"/>
  <c r="H79" i="11"/>
  <c r="H71" i="13"/>
  <c r="G80" i="11"/>
  <c r="G72" i="13"/>
  <c r="F81" i="11"/>
  <c r="F73" i="13"/>
  <c r="E80" i="11"/>
  <c r="E72" i="13"/>
  <c r="D71" i="13"/>
  <c r="D79" i="11"/>
  <c r="AE84" i="3"/>
  <c r="J84" i="3" l="1"/>
  <c r="AA84" i="3" s="1"/>
  <c r="Q84" i="3"/>
  <c r="S84" i="3" s="1"/>
  <c r="AD84" i="3" s="1"/>
  <c r="W84" i="3"/>
  <c r="U84" i="3"/>
  <c r="L84" i="3"/>
  <c r="AB84" i="3" s="1"/>
  <c r="D85" i="3"/>
  <c r="J81" i="11"/>
  <c r="J73" i="13"/>
  <c r="I81" i="11"/>
  <c r="I73" i="13"/>
  <c r="H80" i="11"/>
  <c r="H72" i="13"/>
  <c r="G73" i="13"/>
  <c r="G81" i="11"/>
  <c r="F82" i="11"/>
  <c r="F74" i="13"/>
  <c r="E81" i="11"/>
  <c r="E73" i="13"/>
  <c r="D80" i="11"/>
  <c r="D72" i="13"/>
  <c r="Z84" i="3"/>
  <c r="AN84" i="3"/>
  <c r="I85" i="3" l="1"/>
  <c r="E85" i="3"/>
  <c r="J82" i="11"/>
  <c r="J74" i="13"/>
  <c r="I82" i="11"/>
  <c r="I74" i="13"/>
  <c r="H81" i="11"/>
  <c r="H73" i="13"/>
  <c r="G82" i="11"/>
  <c r="G74" i="13"/>
  <c r="F75" i="13"/>
  <c r="F83" i="11"/>
  <c r="E74" i="13"/>
  <c r="E82" i="11"/>
  <c r="D81" i="11"/>
  <c r="D73" i="13"/>
  <c r="AL84" i="3"/>
  <c r="AM84" i="3"/>
  <c r="AJ84" i="3"/>
  <c r="AH84" i="3"/>
  <c r="AC84" i="3"/>
  <c r="AK84" i="3" s="1"/>
  <c r="AI84" i="3"/>
  <c r="H85" i="3" l="1"/>
  <c r="Y85" i="3" s="1"/>
  <c r="G85" i="3"/>
  <c r="J83" i="11"/>
  <c r="J75" i="13"/>
  <c r="I83" i="11"/>
  <c r="I75" i="13"/>
  <c r="H74" i="13"/>
  <c r="H82" i="11"/>
  <c r="G83" i="11"/>
  <c r="G75" i="13"/>
  <c r="F84" i="11"/>
  <c r="F76" i="13"/>
  <c r="E83" i="11"/>
  <c r="E75" i="13"/>
  <c r="D82" i="11"/>
  <c r="D74" i="13"/>
  <c r="AE85" i="3"/>
  <c r="U85" i="3" l="1"/>
  <c r="Q85" i="3"/>
  <c r="S85" i="3" s="1"/>
  <c r="AD85" i="3" s="1"/>
  <c r="W85" i="3"/>
  <c r="J85" i="3"/>
  <c r="AA85" i="3" s="1"/>
  <c r="L85" i="3"/>
  <c r="AB85" i="3" s="1"/>
  <c r="D86" i="3"/>
  <c r="Z85" i="3"/>
  <c r="J84" i="11"/>
  <c r="J76" i="13"/>
  <c r="I76" i="13"/>
  <c r="I84" i="11"/>
  <c r="H75" i="13"/>
  <c r="H83" i="11"/>
  <c r="G84" i="11"/>
  <c r="G76" i="13"/>
  <c r="F85" i="11"/>
  <c r="F77" i="13"/>
  <c r="E76" i="13"/>
  <c r="E84" i="11"/>
  <c r="D83" i="11"/>
  <c r="D75" i="13"/>
  <c r="AN85" i="3"/>
  <c r="I86" i="3" l="1"/>
  <c r="E86" i="3"/>
  <c r="J85" i="11"/>
  <c r="J77" i="13"/>
  <c r="I85" i="11"/>
  <c r="I77" i="13"/>
  <c r="H76" i="13"/>
  <c r="H84" i="11"/>
  <c r="G85" i="11"/>
  <c r="G77" i="13"/>
  <c r="F86" i="11"/>
  <c r="F78" i="13"/>
  <c r="E85" i="11"/>
  <c r="E77" i="13"/>
  <c r="D84" i="11"/>
  <c r="D76" i="13"/>
  <c r="AL85" i="3"/>
  <c r="AM85" i="3"/>
  <c r="AI85" i="3"/>
  <c r="AJ85" i="3"/>
  <c r="AH85" i="3"/>
  <c r="AC85" i="3"/>
  <c r="AK85" i="3" s="1"/>
  <c r="H86" i="3" l="1"/>
  <c r="G86" i="3"/>
  <c r="J78" i="13"/>
  <c r="J86" i="11"/>
  <c r="I86" i="11"/>
  <c r="I78" i="13"/>
  <c r="H85" i="11"/>
  <c r="H77" i="13"/>
  <c r="G86" i="11"/>
  <c r="G78" i="13"/>
  <c r="F87" i="11"/>
  <c r="F79" i="13"/>
  <c r="E78" i="13"/>
  <c r="E86" i="11"/>
  <c r="D85" i="11"/>
  <c r="D77" i="13"/>
  <c r="Y86" i="3"/>
  <c r="AE86" i="3"/>
  <c r="U86" i="3" l="1"/>
  <c r="W86" i="3"/>
  <c r="Q86" i="3"/>
  <c r="S86" i="3" s="1"/>
  <c r="AD86" i="3" s="1"/>
  <c r="J86" i="3"/>
  <c r="AA86" i="3" s="1"/>
  <c r="L86" i="3"/>
  <c r="AB86" i="3" s="1"/>
  <c r="D87" i="3"/>
  <c r="J87" i="11"/>
  <c r="J79" i="13"/>
  <c r="I87" i="11"/>
  <c r="I79" i="13"/>
  <c r="H78" i="13"/>
  <c r="H86" i="11"/>
  <c r="G87" i="11"/>
  <c r="G79" i="13"/>
  <c r="F88" i="11"/>
  <c r="F80" i="13"/>
  <c r="E87" i="11"/>
  <c r="E79" i="13"/>
  <c r="D86" i="11"/>
  <c r="D78" i="13"/>
  <c r="Z86" i="3"/>
  <c r="AN86" i="3"/>
  <c r="I87" i="3" l="1"/>
  <c r="E87" i="3"/>
  <c r="J88" i="11"/>
  <c r="J80" i="13"/>
  <c r="I80" i="13"/>
  <c r="I88" i="11"/>
  <c r="H87" i="11"/>
  <c r="H79" i="13"/>
  <c r="G88" i="11"/>
  <c r="G80" i="13"/>
  <c r="F81" i="13"/>
  <c r="F89" i="11"/>
  <c r="E80" i="13"/>
  <c r="E88" i="11"/>
  <c r="D87" i="11"/>
  <c r="D79" i="13"/>
  <c r="AL86" i="3"/>
  <c r="AM86" i="3"/>
  <c r="AH86" i="3"/>
  <c r="AI86" i="3"/>
  <c r="AJ86" i="3"/>
  <c r="AC86" i="3"/>
  <c r="AK86" i="3" s="1"/>
  <c r="H87" i="3" l="1"/>
  <c r="G87" i="3"/>
  <c r="Y87" i="3"/>
  <c r="J89" i="11"/>
  <c r="J81" i="13"/>
  <c r="I81" i="13"/>
  <c r="I89" i="11"/>
  <c r="H80" i="13"/>
  <c r="H88" i="11"/>
  <c r="G81" i="13"/>
  <c r="G89" i="11"/>
  <c r="F82" i="13"/>
  <c r="F90" i="11"/>
  <c r="E89" i="11"/>
  <c r="E81" i="13"/>
  <c r="D80" i="13"/>
  <c r="D88" i="11"/>
  <c r="AE87" i="3"/>
  <c r="W87" i="3" l="1"/>
  <c r="Q87" i="3"/>
  <c r="S87" i="3" s="1"/>
  <c r="AD87" i="3" s="1"/>
  <c r="U87" i="3"/>
  <c r="L87" i="3"/>
  <c r="AB87" i="3" s="1"/>
  <c r="J87" i="3"/>
  <c r="AA87" i="3" s="1"/>
  <c r="D88" i="3"/>
  <c r="Z87" i="3"/>
  <c r="J90" i="11"/>
  <c r="J82" i="13"/>
  <c r="I90" i="11"/>
  <c r="I82" i="13"/>
  <c r="H81" i="13"/>
  <c r="H89" i="11"/>
  <c r="G90" i="11"/>
  <c r="G82" i="13"/>
  <c r="F91" i="11"/>
  <c r="F83" i="13"/>
  <c r="E90" i="11"/>
  <c r="E82" i="13"/>
  <c r="D89" i="11"/>
  <c r="D81" i="13"/>
  <c r="AN87" i="3"/>
  <c r="I88" i="3" l="1"/>
  <c r="E88" i="3"/>
  <c r="J83" i="13"/>
  <c r="J91" i="11"/>
  <c r="I83" i="13"/>
  <c r="I91" i="11"/>
  <c r="H90" i="11"/>
  <c r="H82" i="13"/>
  <c r="G91" i="11"/>
  <c r="G83" i="13"/>
  <c r="F84" i="13"/>
  <c r="F92" i="11"/>
  <c r="E83" i="13"/>
  <c r="E91" i="11"/>
  <c r="D90" i="11"/>
  <c r="D82" i="13"/>
  <c r="AL87" i="3"/>
  <c r="AM87" i="3"/>
  <c r="AH87" i="3"/>
  <c r="AI87" i="3"/>
  <c r="AJ87" i="3"/>
  <c r="AC87" i="3"/>
  <c r="AK87" i="3" s="1"/>
  <c r="H88" i="3" l="1"/>
  <c r="Y88" i="3" s="1"/>
  <c r="G88" i="3"/>
  <c r="J92" i="11"/>
  <c r="J84" i="13"/>
  <c r="I92" i="11"/>
  <c r="I84" i="13"/>
  <c r="H91" i="11"/>
  <c r="H83" i="13"/>
  <c r="G92" i="11"/>
  <c r="G84" i="13"/>
  <c r="F85" i="13"/>
  <c r="F93" i="11"/>
  <c r="E92" i="11"/>
  <c r="E84" i="13"/>
  <c r="D83" i="13"/>
  <c r="D91" i="11"/>
  <c r="AE88" i="3"/>
  <c r="J88" i="3" l="1"/>
  <c r="AA88" i="3" s="1"/>
  <c r="U88" i="3"/>
  <c r="Q88" i="3"/>
  <c r="W88" i="3"/>
  <c r="L88" i="3"/>
  <c r="AB88" i="3" s="1"/>
  <c r="D89" i="3"/>
  <c r="S88" i="3"/>
  <c r="AD88" i="3" s="1"/>
  <c r="J85" i="13"/>
  <c r="J93" i="11"/>
  <c r="I93" i="11"/>
  <c r="I85" i="13"/>
  <c r="H92" i="11"/>
  <c r="H84" i="13"/>
  <c r="G85" i="13"/>
  <c r="G93" i="11"/>
  <c r="F94" i="11"/>
  <c r="F86" i="13"/>
  <c r="E93" i="11"/>
  <c r="E85" i="13"/>
  <c r="D92" i="11"/>
  <c r="D84" i="13"/>
  <c r="Z88" i="3"/>
  <c r="AN88" i="3"/>
  <c r="I89" i="3" l="1"/>
  <c r="E89" i="3"/>
  <c r="J94" i="11"/>
  <c r="J86" i="13"/>
  <c r="I86" i="13"/>
  <c r="I94" i="11"/>
  <c r="H93" i="11"/>
  <c r="H85" i="13"/>
  <c r="G94" i="11"/>
  <c r="G86" i="13"/>
  <c r="F95" i="11"/>
  <c r="F87" i="13"/>
  <c r="E94" i="11"/>
  <c r="E86" i="13"/>
  <c r="D85" i="13"/>
  <c r="D93" i="11"/>
  <c r="AL88" i="3"/>
  <c r="AM88" i="3"/>
  <c r="AJ88" i="3"/>
  <c r="AH88" i="3"/>
  <c r="AC88" i="3"/>
  <c r="AK88" i="3" s="1"/>
  <c r="AI88" i="3"/>
  <c r="G89" i="3" l="1"/>
  <c r="H89" i="3"/>
  <c r="Y89" i="3" s="1"/>
  <c r="J95" i="11"/>
  <c r="J87" i="13"/>
  <c r="I87" i="13"/>
  <c r="I95" i="11"/>
  <c r="H86" i="13"/>
  <c r="H94" i="11"/>
  <c r="G87" i="13"/>
  <c r="G95" i="11"/>
  <c r="F88" i="13"/>
  <c r="F96" i="11"/>
  <c r="E95" i="11"/>
  <c r="E87" i="13"/>
  <c r="D94" i="11"/>
  <c r="D86" i="13"/>
  <c r="AE89" i="3"/>
  <c r="J89" i="3" l="1"/>
  <c r="AA89" i="3" s="1"/>
  <c r="W89" i="3"/>
  <c r="Q89" i="3"/>
  <c r="S89" i="3" s="1"/>
  <c r="AD89" i="3" s="1"/>
  <c r="U89" i="3"/>
  <c r="L89" i="3"/>
  <c r="AB89" i="3" s="1"/>
  <c r="D90" i="3"/>
  <c r="Z89" i="3"/>
  <c r="J88" i="13"/>
  <c r="J96" i="11"/>
  <c r="I96" i="11"/>
  <c r="I88" i="13"/>
  <c r="H87" i="13"/>
  <c r="H95" i="11"/>
  <c r="G96" i="11"/>
  <c r="G88" i="13"/>
  <c r="F89" i="13"/>
  <c r="F97" i="11"/>
  <c r="E88" i="13"/>
  <c r="E96" i="11"/>
  <c r="D87" i="13"/>
  <c r="D95" i="11"/>
  <c r="AN89" i="3"/>
  <c r="I90" i="3" l="1"/>
  <c r="E90" i="3"/>
  <c r="J89" i="13"/>
  <c r="J97" i="11"/>
  <c r="I97" i="11"/>
  <c r="I89" i="13"/>
  <c r="H96" i="11"/>
  <c r="H88" i="13"/>
  <c r="G97" i="11"/>
  <c r="G89" i="13"/>
  <c r="F90" i="13"/>
  <c r="F98" i="11"/>
  <c r="E89" i="13"/>
  <c r="E97" i="11"/>
  <c r="D96" i="11"/>
  <c r="D88" i="13"/>
  <c r="AM89" i="3"/>
  <c r="AL89" i="3"/>
  <c r="AH89" i="3"/>
  <c r="AI89" i="3"/>
  <c r="AC89" i="3"/>
  <c r="AK89" i="3" s="1"/>
  <c r="AJ89" i="3"/>
  <c r="G90" i="3" l="1"/>
  <c r="H90" i="3"/>
  <c r="Y90" i="3" s="1"/>
  <c r="J98" i="11"/>
  <c r="J90" i="13"/>
  <c r="I98" i="11"/>
  <c r="I90" i="13"/>
  <c r="H97" i="11"/>
  <c r="H89" i="13"/>
  <c r="G98" i="11"/>
  <c r="G90" i="13"/>
  <c r="F91" i="13"/>
  <c r="F99" i="11"/>
  <c r="E98" i="11"/>
  <c r="E90" i="13"/>
  <c r="D89" i="13"/>
  <c r="D97" i="11"/>
  <c r="AE90" i="3"/>
  <c r="W90" i="3" l="1"/>
  <c r="Q90" i="3"/>
  <c r="S90" i="3" s="1"/>
  <c r="AD90" i="3" s="1"/>
  <c r="U90" i="3"/>
  <c r="J90" i="3"/>
  <c r="AA90" i="3" s="1"/>
  <c r="L90" i="3"/>
  <c r="AB90" i="3" s="1"/>
  <c r="D91" i="3"/>
  <c r="J99" i="11"/>
  <c r="J91" i="13"/>
  <c r="I99" i="11"/>
  <c r="I91" i="13"/>
  <c r="H98" i="11"/>
  <c r="H90" i="13"/>
  <c r="G91" i="13"/>
  <c r="G99" i="11"/>
  <c r="F92" i="13"/>
  <c r="F100" i="11"/>
  <c r="E91" i="13"/>
  <c r="E99" i="11"/>
  <c r="D90" i="13"/>
  <c r="D98" i="11"/>
  <c r="Z90" i="3"/>
  <c r="AN90" i="3"/>
  <c r="I91" i="3" l="1"/>
  <c r="E91" i="3"/>
  <c r="J100" i="11"/>
  <c r="J92" i="13"/>
  <c r="I100" i="11"/>
  <c r="I92" i="13"/>
  <c r="H99" i="11"/>
  <c r="H91" i="13"/>
  <c r="G100" i="11"/>
  <c r="G92" i="13"/>
  <c r="F93" i="13"/>
  <c r="F101" i="11"/>
  <c r="E100" i="11"/>
  <c r="E92" i="13"/>
  <c r="D99" i="11"/>
  <c r="D91" i="13"/>
  <c r="AL90" i="3"/>
  <c r="AM90" i="3"/>
  <c r="AI90" i="3"/>
  <c r="AH90" i="3"/>
  <c r="AC90" i="3"/>
  <c r="AK90" i="3" s="1"/>
  <c r="AJ90" i="3"/>
  <c r="G91" i="3" l="1"/>
  <c r="H91" i="3"/>
  <c r="Y91" i="3" s="1"/>
  <c r="J101" i="11"/>
  <c r="J93" i="13"/>
  <c r="I101" i="11"/>
  <c r="I93" i="13"/>
  <c r="H100" i="11"/>
  <c r="H92" i="13"/>
  <c r="G93" i="13"/>
  <c r="G101" i="11"/>
  <c r="F102" i="11"/>
  <c r="F94" i="13"/>
  <c r="E101" i="11"/>
  <c r="E93" i="13"/>
  <c r="D100" i="11"/>
  <c r="D92" i="13"/>
  <c r="AE91" i="3"/>
  <c r="Q91" i="3" l="1"/>
  <c r="S91" i="3" s="1"/>
  <c r="AD91" i="3" s="1"/>
  <c r="W91" i="3"/>
  <c r="U91" i="3"/>
  <c r="J91" i="3"/>
  <c r="AA91" i="3" s="1"/>
  <c r="L91" i="3"/>
  <c r="D92" i="3"/>
  <c r="AB91" i="3"/>
  <c r="J102" i="11"/>
  <c r="J94" i="13"/>
  <c r="I102" i="11"/>
  <c r="I94" i="13"/>
  <c r="H101" i="11"/>
  <c r="H93" i="13"/>
  <c r="G102" i="11"/>
  <c r="G94" i="13"/>
  <c r="F103" i="11"/>
  <c r="F95" i="13"/>
  <c r="E94" i="13"/>
  <c r="E102" i="11"/>
  <c r="D101" i="11"/>
  <c r="D93" i="13"/>
  <c r="Z91" i="3"/>
  <c r="AN91" i="3"/>
  <c r="I92" i="3" l="1"/>
  <c r="E92" i="3"/>
  <c r="J103" i="11"/>
  <c r="J95" i="13"/>
  <c r="I103" i="11"/>
  <c r="I95" i="13"/>
  <c r="H94" i="13"/>
  <c r="H102" i="11"/>
  <c r="G103" i="11"/>
  <c r="G95" i="13"/>
  <c r="F104" i="11"/>
  <c r="F96" i="13"/>
  <c r="E95" i="13"/>
  <c r="E103" i="11"/>
  <c r="D94" i="13"/>
  <c r="D102" i="11"/>
  <c r="AM91" i="3"/>
  <c r="AL91" i="3"/>
  <c r="AI91" i="3"/>
  <c r="AH91" i="3"/>
  <c r="AJ91" i="3"/>
  <c r="AC91" i="3"/>
  <c r="AK91" i="3" s="1"/>
  <c r="H92" i="3" l="1"/>
  <c r="Y92" i="3" s="1"/>
  <c r="G92" i="3"/>
  <c r="J104" i="11"/>
  <c r="J96" i="13"/>
  <c r="I96" i="13"/>
  <c r="I104" i="11"/>
  <c r="H95" i="13"/>
  <c r="H103" i="11"/>
  <c r="G96" i="13"/>
  <c r="G104" i="11"/>
  <c r="F97" i="13"/>
  <c r="F105" i="11"/>
  <c r="E104" i="11"/>
  <c r="E96" i="13"/>
  <c r="D103" i="11"/>
  <c r="D95" i="13"/>
  <c r="AE92" i="3"/>
  <c r="W92" i="3" l="1"/>
  <c r="U92" i="3"/>
  <c r="Q92" i="3"/>
  <c r="S92" i="3" s="1"/>
  <c r="AD92" i="3" s="1"/>
  <c r="J92" i="3"/>
  <c r="AA92" i="3" s="1"/>
  <c r="L92" i="3"/>
  <c r="AB92" i="3" s="1"/>
  <c r="D93" i="3"/>
  <c r="Z92" i="3"/>
  <c r="J105" i="11"/>
  <c r="J97" i="13"/>
  <c r="I97" i="13"/>
  <c r="I105" i="11"/>
  <c r="H104" i="11"/>
  <c r="H96" i="13"/>
  <c r="G97" i="13"/>
  <c r="G105" i="11"/>
  <c r="F106" i="11"/>
  <c r="F98" i="13"/>
  <c r="E97" i="13"/>
  <c r="E105" i="11"/>
  <c r="D104" i="11"/>
  <c r="D96" i="13"/>
  <c r="AN92" i="3"/>
  <c r="I93" i="3" l="1"/>
  <c r="E93" i="3"/>
  <c r="J98" i="13"/>
  <c r="J106" i="11"/>
  <c r="I98" i="13"/>
  <c r="I106" i="11"/>
  <c r="H105" i="11"/>
  <c r="H97" i="13"/>
  <c r="G98" i="13"/>
  <c r="G106" i="11"/>
  <c r="F107" i="11"/>
  <c r="F99" i="13"/>
  <c r="E106" i="11"/>
  <c r="E98" i="13"/>
  <c r="D97" i="13"/>
  <c r="D105" i="11"/>
  <c r="AL92" i="3"/>
  <c r="AM92" i="3"/>
  <c r="AI92" i="3"/>
  <c r="AH92" i="3"/>
  <c r="AJ92" i="3"/>
  <c r="AC92" i="3"/>
  <c r="AK92" i="3" s="1"/>
  <c r="H93" i="3" l="1"/>
  <c r="G93" i="3"/>
  <c r="J107" i="11"/>
  <c r="J99" i="13"/>
  <c r="I107" i="11"/>
  <c r="I99" i="13"/>
  <c r="H106" i="11"/>
  <c r="H98" i="13"/>
  <c r="G107" i="11"/>
  <c r="G99" i="13"/>
  <c r="F100" i="13"/>
  <c r="F108" i="11"/>
  <c r="E107" i="11"/>
  <c r="E99" i="13"/>
  <c r="D98" i="13"/>
  <c r="D106" i="11"/>
  <c r="Y93" i="3"/>
  <c r="AE93" i="3"/>
  <c r="W93" i="3" l="1"/>
  <c r="U93" i="3"/>
  <c r="Q93" i="3"/>
  <c r="S93" i="3" s="1"/>
  <c r="AD93" i="3" s="1"/>
  <c r="J93" i="3"/>
  <c r="AA93" i="3" s="1"/>
  <c r="L93" i="3"/>
  <c r="AB93" i="3" s="1"/>
  <c r="D94" i="3"/>
  <c r="J108" i="11"/>
  <c r="J100" i="13"/>
  <c r="I108" i="11"/>
  <c r="I100" i="13"/>
  <c r="H107" i="11"/>
  <c r="H99" i="13"/>
  <c r="G108" i="11"/>
  <c r="G100" i="13"/>
  <c r="F109" i="11"/>
  <c r="F101" i="13"/>
  <c r="E108" i="11"/>
  <c r="E100" i="13"/>
  <c r="D107" i="11"/>
  <c r="D99" i="13"/>
  <c r="Z93" i="3"/>
  <c r="AN93" i="3"/>
  <c r="I94" i="3" l="1"/>
  <c r="E94" i="3"/>
  <c r="J109" i="11"/>
  <c r="J101" i="13"/>
  <c r="I101" i="13"/>
  <c r="I109" i="11"/>
  <c r="H108" i="11"/>
  <c r="H100" i="13"/>
  <c r="G101" i="13"/>
  <c r="G109" i="11"/>
  <c r="F102" i="13"/>
  <c r="F110" i="11"/>
  <c r="E109" i="11"/>
  <c r="E101" i="13"/>
  <c r="D108" i="11"/>
  <c r="D100" i="13"/>
  <c r="AL93" i="3"/>
  <c r="AM93" i="3"/>
  <c r="AH93" i="3"/>
  <c r="AJ93" i="3"/>
  <c r="AC93" i="3"/>
  <c r="AK93" i="3" s="1"/>
  <c r="AI93" i="3"/>
  <c r="G94" i="3" l="1"/>
  <c r="H94" i="3"/>
  <c r="Y94" i="3" s="1"/>
  <c r="J110" i="11"/>
  <c r="J102" i="13"/>
  <c r="I110" i="11"/>
  <c r="I102" i="13"/>
  <c r="H101" i="13"/>
  <c r="H109" i="11"/>
  <c r="G110" i="11"/>
  <c r="G102" i="13"/>
  <c r="F111" i="11"/>
  <c r="F103" i="13"/>
  <c r="E110" i="11"/>
  <c r="E102" i="13"/>
  <c r="D101" i="13"/>
  <c r="D109" i="11"/>
  <c r="AE94" i="3"/>
  <c r="U94" i="3" l="1"/>
  <c r="W94" i="3"/>
  <c r="Q94" i="3"/>
  <c r="J94" i="3"/>
  <c r="AA94" i="3" s="1"/>
  <c r="L94" i="3"/>
  <c r="D95" i="3"/>
  <c r="Z94" i="3"/>
  <c r="AB94" i="3"/>
  <c r="J111" i="11"/>
  <c r="J103" i="13"/>
  <c r="I111" i="11"/>
  <c r="I103" i="13"/>
  <c r="H110" i="11"/>
  <c r="H102" i="13"/>
  <c r="G103" i="13"/>
  <c r="G111" i="11"/>
  <c r="F112" i="11"/>
  <c r="F104" i="13"/>
  <c r="E111" i="11"/>
  <c r="E103" i="13"/>
  <c r="D102" i="13"/>
  <c r="D110" i="11"/>
  <c r="S94" i="3"/>
  <c r="AD94" i="3" s="1"/>
  <c r="AN94" i="3"/>
  <c r="I95" i="3" l="1"/>
  <c r="E95" i="3"/>
  <c r="J112" i="11"/>
  <c r="J104" i="13"/>
  <c r="I104" i="13"/>
  <c r="I112" i="11"/>
  <c r="H111" i="11"/>
  <c r="H103" i="13"/>
  <c r="G104" i="13"/>
  <c r="G112" i="11"/>
  <c r="F113" i="11"/>
  <c r="F105" i="13"/>
  <c r="E104" i="13"/>
  <c r="E112" i="11"/>
  <c r="D111" i="11"/>
  <c r="D103" i="13"/>
  <c r="AL94" i="3"/>
  <c r="AM94" i="3"/>
  <c r="AH94" i="3"/>
  <c r="AI94" i="3"/>
  <c r="AJ94" i="3"/>
  <c r="AC94" i="3"/>
  <c r="AK94" i="3" s="1"/>
  <c r="H95" i="3" l="1"/>
  <c r="Y95" i="3" s="1"/>
  <c r="G95" i="3"/>
  <c r="J113" i="11"/>
  <c r="J105" i="13"/>
  <c r="I113" i="11"/>
  <c r="I105" i="13"/>
  <c r="H104" i="13"/>
  <c r="H112" i="11"/>
  <c r="G105" i="13"/>
  <c r="G113" i="11"/>
  <c r="F114" i="11"/>
  <c r="F106" i="13"/>
  <c r="F107" i="13" s="1"/>
  <c r="F108" i="13" s="1"/>
  <c r="F109" i="13" s="1"/>
  <c r="F110" i="13" s="1"/>
  <c r="F111" i="13" s="1"/>
  <c r="F112" i="13" s="1"/>
  <c r="F113" i="13" s="1"/>
  <c r="F114" i="13" s="1"/>
  <c r="F115" i="13" s="1"/>
  <c r="F116" i="13" s="1"/>
  <c r="F117" i="13" s="1"/>
  <c r="F118" i="13" s="1"/>
  <c r="F119" i="13" s="1"/>
  <c r="F120" i="13" s="1"/>
  <c r="F121" i="13" s="1"/>
  <c r="F122" i="13" s="1"/>
  <c r="F123" i="13" s="1"/>
  <c r="F124" i="13" s="1"/>
  <c r="F125" i="13" s="1"/>
  <c r="E105" i="13"/>
  <c r="E113" i="11"/>
  <c r="D104" i="13"/>
  <c r="D112" i="11"/>
  <c r="AE95" i="3"/>
  <c r="J95" i="3" l="1"/>
  <c r="W95" i="3"/>
  <c r="U95" i="3"/>
  <c r="Q95" i="3"/>
  <c r="L95" i="3"/>
  <c r="AB95" i="3" s="1"/>
  <c r="D96" i="3"/>
  <c r="Z95" i="3"/>
  <c r="S95" i="3"/>
  <c r="AD95" i="3" s="1"/>
  <c r="AA95" i="3"/>
  <c r="J114" i="11"/>
  <c r="J106" i="13"/>
  <c r="J107" i="13" s="1"/>
  <c r="J108" i="13" s="1"/>
  <c r="J109" i="13" s="1"/>
  <c r="J110" i="13" s="1"/>
  <c r="J111" i="13" s="1"/>
  <c r="J112" i="13" s="1"/>
  <c r="J113" i="13" s="1"/>
  <c r="J114" i="13" s="1"/>
  <c r="J115" i="13" s="1"/>
  <c r="J116" i="13" s="1"/>
  <c r="J117" i="13" s="1"/>
  <c r="J118" i="13" s="1"/>
  <c r="J119" i="13" s="1"/>
  <c r="J120" i="13" s="1"/>
  <c r="J121" i="13" s="1"/>
  <c r="J122" i="13" s="1"/>
  <c r="J123" i="13" s="1"/>
  <c r="J124" i="13" s="1"/>
  <c r="J125" i="13" s="1"/>
  <c r="I114" i="11"/>
  <c r="I106" i="13"/>
  <c r="I107" i="13" s="1"/>
  <c r="I108" i="13" s="1"/>
  <c r="I109" i="13" s="1"/>
  <c r="I110" i="13" s="1"/>
  <c r="I111" i="13" s="1"/>
  <c r="I112" i="13" s="1"/>
  <c r="I113" i="13" s="1"/>
  <c r="I114" i="13" s="1"/>
  <c r="I115" i="13" s="1"/>
  <c r="I116" i="13" s="1"/>
  <c r="I117" i="13" s="1"/>
  <c r="I118" i="13" s="1"/>
  <c r="I119" i="13" s="1"/>
  <c r="I120" i="13" s="1"/>
  <c r="I121" i="13" s="1"/>
  <c r="I122" i="13" s="1"/>
  <c r="I123" i="13" s="1"/>
  <c r="I124" i="13" s="1"/>
  <c r="I125" i="13" s="1"/>
  <c r="H113" i="11"/>
  <c r="H105" i="13"/>
  <c r="G106" i="13"/>
  <c r="G107" i="13" s="1"/>
  <c r="G108" i="13" s="1"/>
  <c r="G109" i="13" s="1"/>
  <c r="G110" i="13" s="1"/>
  <c r="G111" i="13" s="1"/>
  <c r="G112" i="13" s="1"/>
  <c r="G113" i="13" s="1"/>
  <c r="G114" i="13" s="1"/>
  <c r="G115" i="13" s="1"/>
  <c r="G116" i="13" s="1"/>
  <c r="G117" i="13" s="1"/>
  <c r="G118" i="13" s="1"/>
  <c r="G119" i="13" s="1"/>
  <c r="G120" i="13" s="1"/>
  <c r="G121" i="13" s="1"/>
  <c r="G122" i="13" s="1"/>
  <c r="G123" i="13" s="1"/>
  <c r="G124" i="13" s="1"/>
  <c r="G125" i="13" s="1"/>
  <c r="G114" i="11"/>
  <c r="E114" i="11"/>
  <c r="E106" i="13"/>
  <c r="E107" i="13" s="1"/>
  <c r="E108" i="13" s="1"/>
  <c r="E109" i="13" s="1"/>
  <c r="E110" i="13" s="1"/>
  <c r="E111" i="13" s="1"/>
  <c r="E112" i="13" s="1"/>
  <c r="E113" i="13" s="1"/>
  <c r="E114" i="13" s="1"/>
  <c r="E115" i="13" s="1"/>
  <c r="E116" i="13" s="1"/>
  <c r="E117" i="13" s="1"/>
  <c r="E118" i="13" s="1"/>
  <c r="E119" i="13" s="1"/>
  <c r="E120" i="13" s="1"/>
  <c r="E121" i="13" s="1"/>
  <c r="E122" i="13" s="1"/>
  <c r="E123" i="13" s="1"/>
  <c r="E124" i="13" s="1"/>
  <c r="E125" i="13" s="1"/>
  <c r="D105" i="13"/>
  <c r="D113" i="11"/>
  <c r="AN95" i="3"/>
  <c r="I96" i="3" l="1"/>
  <c r="E96" i="3"/>
  <c r="H114" i="11"/>
  <c r="H106" i="13"/>
  <c r="H107" i="13" s="1"/>
  <c r="H108" i="13" s="1"/>
  <c r="H109" i="13" s="1"/>
  <c r="H110" i="13" s="1"/>
  <c r="H111" i="13" s="1"/>
  <c r="H112" i="13" s="1"/>
  <c r="H113" i="13" s="1"/>
  <c r="H114" i="13" s="1"/>
  <c r="H115" i="13" s="1"/>
  <c r="H116" i="13" s="1"/>
  <c r="H117" i="13" s="1"/>
  <c r="H118" i="13" s="1"/>
  <c r="H119" i="13" s="1"/>
  <c r="H120" i="13" s="1"/>
  <c r="H121" i="13" s="1"/>
  <c r="H122" i="13" s="1"/>
  <c r="H123" i="13" s="1"/>
  <c r="H124" i="13" s="1"/>
  <c r="H125" i="13" s="1"/>
  <c r="D114" i="11"/>
  <c r="D106" i="13"/>
  <c r="D107" i="13" s="1"/>
  <c r="D108" i="13" s="1"/>
  <c r="D109" i="13" s="1"/>
  <c r="D110" i="13" s="1"/>
  <c r="D111" i="13" s="1"/>
  <c r="D112" i="13" s="1"/>
  <c r="D113" i="13" s="1"/>
  <c r="D114" i="13" s="1"/>
  <c r="D115" i="13" s="1"/>
  <c r="D116" i="13" s="1"/>
  <c r="D117" i="13" s="1"/>
  <c r="D118" i="13" s="1"/>
  <c r="D119" i="13" s="1"/>
  <c r="D120" i="13" s="1"/>
  <c r="D121" i="13" s="1"/>
  <c r="D122" i="13" s="1"/>
  <c r="D123" i="13" s="1"/>
  <c r="D124" i="13" s="1"/>
  <c r="D125" i="13" s="1"/>
  <c r="AL95" i="3"/>
  <c r="AM95" i="3"/>
  <c r="AH95" i="3"/>
  <c r="AI95" i="3"/>
  <c r="AJ95" i="3"/>
  <c r="AC95" i="3"/>
  <c r="AK95" i="3" s="1"/>
  <c r="G96" i="3" l="1"/>
  <c r="H96" i="3"/>
  <c r="Y96" i="3" s="1"/>
  <c r="AE96" i="3"/>
  <c r="U96" i="3" l="1"/>
  <c r="W96" i="3"/>
  <c r="Q96" i="3"/>
  <c r="S96" i="3" s="1"/>
  <c r="AD96" i="3" s="1"/>
  <c r="L96" i="3"/>
  <c r="J96" i="3"/>
  <c r="AA96" i="3" s="1"/>
  <c r="D97" i="3"/>
  <c r="Z96" i="3"/>
  <c r="AB96" i="3"/>
  <c r="AN96" i="3"/>
  <c r="I97" i="3" l="1"/>
  <c r="E97" i="3"/>
  <c r="AL96" i="3"/>
  <c r="AM96" i="3"/>
  <c r="AH96" i="3"/>
  <c r="AI96" i="3"/>
  <c r="AC96" i="3"/>
  <c r="AK96" i="3" s="1"/>
  <c r="AJ96" i="3"/>
  <c r="H97" i="3" l="1"/>
  <c r="Y97" i="3" s="1"/>
  <c r="G97" i="3"/>
  <c r="AE97" i="3"/>
  <c r="U97" i="3" l="1"/>
  <c r="W97" i="3"/>
  <c r="Q97" i="3"/>
  <c r="S97" i="3" s="1"/>
  <c r="AD97" i="3" s="1"/>
  <c r="L97" i="3"/>
  <c r="AB97" i="3" s="1"/>
  <c r="J97" i="3"/>
  <c r="AA97" i="3" s="1"/>
  <c r="D98" i="3"/>
  <c r="Z97" i="3"/>
  <c r="AN97" i="3"/>
  <c r="I98" i="3" l="1"/>
  <c r="E98" i="3"/>
  <c r="AL97" i="3"/>
  <c r="AM97" i="3"/>
  <c r="AI97" i="3"/>
  <c r="AH97" i="3"/>
  <c r="AJ97" i="3"/>
  <c r="AC97" i="3"/>
  <c r="AK97" i="3" s="1"/>
  <c r="H98" i="3" l="1"/>
  <c r="Y98" i="3" s="1"/>
  <c r="G98" i="3"/>
  <c r="AE98" i="3"/>
  <c r="J98" i="3" l="1"/>
  <c r="AA98" i="3" s="1"/>
  <c r="Q98" i="3"/>
  <c r="S98" i="3" s="1"/>
  <c r="AD98" i="3" s="1"/>
  <c r="W98" i="3"/>
  <c r="U98" i="3"/>
  <c r="L98" i="3"/>
  <c r="D99" i="3"/>
  <c r="AB98" i="3"/>
  <c r="Z98" i="3"/>
  <c r="AN98" i="3"/>
  <c r="I99" i="3" l="1"/>
  <c r="E99" i="3"/>
  <c r="AL98" i="3"/>
  <c r="AM98" i="3"/>
  <c r="AH98" i="3"/>
  <c r="AI98" i="3"/>
  <c r="AJ98" i="3"/>
  <c r="AC98" i="3"/>
  <c r="AK98" i="3" s="1"/>
  <c r="H99" i="3" l="1"/>
  <c r="Y99" i="3" s="1"/>
  <c r="G99" i="3"/>
  <c r="AE99" i="3"/>
  <c r="U99" i="3" l="1"/>
  <c r="W99" i="3"/>
  <c r="Q99" i="3"/>
  <c r="S99" i="3" s="1"/>
  <c r="AD99" i="3" s="1"/>
  <c r="J99" i="3"/>
  <c r="AA99" i="3" s="1"/>
  <c r="L99" i="3"/>
  <c r="D100" i="3"/>
  <c r="AB99" i="3"/>
  <c r="Z99" i="3"/>
  <c r="AN99" i="3"/>
  <c r="I100" i="3" l="1"/>
  <c r="E100" i="3"/>
  <c r="AL99" i="3"/>
  <c r="AM99" i="3"/>
  <c r="AJ99" i="3"/>
  <c r="AC99" i="3"/>
  <c r="AK99" i="3" s="1"/>
  <c r="AH99" i="3"/>
  <c r="AI99" i="3"/>
  <c r="H100" i="3" l="1"/>
  <c r="Y100" i="3" s="1"/>
  <c r="G100" i="3"/>
  <c r="AE100" i="3"/>
  <c r="J100" i="3" l="1"/>
  <c r="AA100" i="3" s="1"/>
  <c r="W100" i="3"/>
  <c r="Q100" i="3"/>
  <c r="S100" i="3" s="1"/>
  <c r="AD100" i="3" s="1"/>
  <c r="U100" i="3"/>
  <c r="L100" i="3"/>
  <c r="AB100" i="3" s="1"/>
  <c r="D101" i="3"/>
  <c r="Z100" i="3"/>
  <c r="AN100" i="3"/>
  <c r="I101" i="3" l="1"/>
  <c r="E101" i="3"/>
  <c r="AL100" i="3"/>
  <c r="AM100" i="3"/>
  <c r="AH100" i="3"/>
  <c r="AC100" i="3"/>
  <c r="AK100" i="3" s="1"/>
  <c r="AI100" i="3"/>
  <c r="AJ100" i="3"/>
  <c r="H101" i="3" l="1"/>
  <c r="Y101" i="3" s="1"/>
  <c r="G101" i="3"/>
  <c r="AE101" i="3"/>
  <c r="Q101" i="3" l="1"/>
  <c r="S101" i="3" s="1"/>
  <c r="AD101" i="3" s="1"/>
  <c r="U101" i="3"/>
  <c r="W101" i="3"/>
  <c r="J101" i="3"/>
  <c r="AA101" i="3" s="1"/>
  <c r="L101" i="3"/>
  <c r="AB101" i="3" s="1"/>
  <c r="D102" i="3"/>
  <c r="Z101" i="3"/>
  <c r="AN101" i="3"/>
  <c r="I102" i="3" l="1"/>
  <c r="E102" i="3"/>
  <c r="AL101" i="3"/>
  <c r="AM101" i="3"/>
  <c r="AH101" i="3"/>
  <c r="AJ101" i="3"/>
  <c r="AI101" i="3"/>
  <c r="AC101" i="3"/>
  <c r="AK101" i="3" s="1"/>
  <c r="G102" i="3" l="1"/>
  <c r="H102" i="3"/>
  <c r="Y102" i="3" s="1"/>
  <c r="AE102" i="3"/>
  <c r="W102" i="3" l="1"/>
  <c r="Q102" i="3"/>
  <c r="U102" i="3"/>
  <c r="J102" i="3"/>
  <c r="AA102" i="3" s="1"/>
  <c r="L102" i="3"/>
  <c r="AB102" i="3" s="1"/>
  <c r="D103" i="3"/>
  <c r="S102" i="3"/>
  <c r="AD102" i="3" s="1"/>
  <c r="Z102" i="3"/>
  <c r="AN102" i="3"/>
  <c r="I103" i="3" l="1"/>
  <c r="E103" i="3"/>
  <c r="AL102" i="3"/>
  <c r="AM102" i="3"/>
  <c r="AJ102" i="3"/>
  <c r="AI102" i="3"/>
  <c r="AH102" i="3"/>
  <c r="AC102" i="3"/>
  <c r="AK102" i="3" s="1"/>
  <c r="G103" i="3" l="1"/>
  <c r="H103" i="3"/>
  <c r="Y103" i="3" s="1"/>
  <c r="AE103" i="3"/>
  <c r="Q103" i="3" l="1"/>
  <c r="S103" i="3" s="1"/>
  <c r="AD103" i="3" s="1"/>
  <c r="U103" i="3"/>
  <c r="W103" i="3"/>
  <c r="J103" i="3"/>
  <c r="AA103" i="3" s="1"/>
  <c r="L103" i="3"/>
  <c r="AB103" i="3" s="1"/>
  <c r="D104" i="3"/>
  <c r="Z103" i="3"/>
  <c r="AN103" i="3"/>
  <c r="I104" i="3" l="1"/>
  <c r="E104" i="3"/>
  <c r="AL103" i="3"/>
  <c r="AM103" i="3"/>
  <c r="AH103" i="3"/>
  <c r="AJ103" i="3"/>
  <c r="AC103" i="3"/>
  <c r="AK103" i="3" s="1"/>
  <c r="AI103" i="3"/>
  <c r="G104" i="3" l="1"/>
  <c r="H104" i="3"/>
  <c r="Y104" i="3" s="1"/>
  <c r="AE104" i="3"/>
  <c r="W104" i="3" l="1"/>
  <c r="U104" i="3"/>
  <c r="Q104" i="3"/>
  <c r="S104" i="3" s="1"/>
  <c r="AD104" i="3" s="1"/>
  <c r="J104" i="3"/>
  <c r="AA104" i="3" s="1"/>
  <c r="L104" i="3"/>
  <c r="D105" i="3"/>
  <c r="AB104" i="3"/>
  <c r="Z104" i="3"/>
  <c r="AN104" i="3"/>
  <c r="I105" i="3" l="1"/>
  <c r="E105" i="3"/>
  <c r="AL104" i="3"/>
  <c r="AM104" i="3"/>
  <c r="AH104" i="3"/>
  <c r="AI104" i="3"/>
  <c r="AJ104" i="3"/>
  <c r="AC104" i="3"/>
  <c r="AK104" i="3" s="1"/>
  <c r="H105" i="3" l="1"/>
  <c r="Y105" i="3" s="1"/>
  <c r="G105" i="3"/>
  <c r="AE105" i="3"/>
  <c r="Q105" i="3" l="1"/>
  <c r="S105" i="3" s="1"/>
  <c r="AD105" i="3" s="1"/>
  <c r="U105" i="3"/>
  <c r="W105" i="3"/>
  <c r="L105" i="3"/>
  <c r="AB105" i="3" s="1"/>
  <c r="J105" i="3"/>
  <c r="AA105" i="3" s="1"/>
  <c r="D106" i="3"/>
  <c r="Z105" i="3"/>
  <c r="AN105" i="3"/>
  <c r="I106" i="3" l="1"/>
  <c r="E106" i="3"/>
  <c r="AL105" i="3"/>
  <c r="AM105" i="3"/>
  <c r="AI105" i="3"/>
  <c r="AJ105" i="3"/>
  <c r="AH105" i="3"/>
  <c r="AC105" i="3"/>
  <c r="AK105" i="3" s="1"/>
  <c r="G106" i="3" l="1"/>
  <c r="H106" i="3"/>
  <c r="Y106" i="3" s="1"/>
  <c r="AE106" i="3"/>
  <c r="U106" i="3" l="1"/>
  <c r="Q106" i="3"/>
  <c r="S106" i="3" s="1"/>
  <c r="AD106" i="3" s="1"/>
  <c r="W106" i="3"/>
  <c r="L106" i="3"/>
  <c r="AB106" i="3" s="1"/>
  <c r="J106" i="3"/>
  <c r="AA106" i="3" s="1"/>
  <c r="D107" i="3"/>
  <c r="Z106" i="3"/>
  <c r="AN106" i="3"/>
  <c r="I107" i="3" l="1"/>
  <c r="E107" i="3"/>
  <c r="AL106" i="3"/>
  <c r="AM106" i="3"/>
  <c r="AJ106" i="3"/>
  <c r="AH106" i="3"/>
  <c r="AC106" i="3"/>
  <c r="AK106" i="3" s="1"/>
  <c r="AI106" i="3"/>
  <c r="G107" i="3" l="1"/>
  <c r="H107" i="3"/>
  <c r="Y107" i="3" s="1"/>
  <c r="AE107" i="3"/>
  <c r="U107" i="3" l="1"/>
  <c r="W107" i="3"/>
  <c r="Q107" i="3"/>
  <c r="S107" i="3" s="1"/>
  <c r="AD107" i="3" s="1"/>
  <c r="L107" i="3"/>
  <c r="AB107" i="3" s="1"/>
  <c r="J107" i="3"/>
  <c r="AA107" i="3" s="1"/>
  <c r="D108" i="3"/>
  <c r="Z107" i="3"/>
  <c r="AN107" i="3"/>
  <c r="I108" i="3" l="1"/>
  <c r="E108" i="3"/>
  <c r="AL107" i="3"/>
  <c r="AM107" i="3"/>
  <c r="AH107" i="3"/>
  <c r="AI107" i="3"/>
  <c r="AC107" i="3"/>
  <c r="AK107" i="3" s="1"/>
  <c r="AJ107" i="3"/>
  <c r="G108" i="3" l="1"/>
  <c r="H108" i="3"/>
  <c r="Y108" i="3" s="1"/>
  <c r="AE108" i="3"/>
  <c r="U108" i="3" l="1"/>
  <c r="W108" i="3"/>
  <c r="Q108" i="3"/>
  <c r="S108" i="3" s="1"/>
  <c r="AD108" i="3" s="1"/>
  <c r="J108" i="3"/>
  <c r="AA108" i="3" s="1"/>
  <c r="L108" i="3"/>
  <c r="AB108" i="3" s="1"/>
  <c r="D109" i="3"/>
  <c r="Z108" i="3"/>
  <c r="AN108" i="3"/>
  <c r="I109" i="3" l="1"/>
  <c r="E109" i="3"/>
  <c r="AL108" i="3"/>
  <c r="AM108" i="3"/>
  <c r="AI108" i="3"/>
  <c r="AC108" i="3"/>
  <c r="AK108" i="3" s="1"/>
  <c r="AH108" i="3"/>
  <c r="AJ108" i="3"/>
  <c r="H109" i="3" l="1"/>
  <c r="Y109" i="3" s="1"/>
  <c r="G109" i="3"/>
  <c r="AE109" i="3"/>
  <c r="J109" i="3" l="1"/>
  <c r="AA109" i="3" s="1"/>
  <c r="W109" i="3"/>
  <c r="Q109" i="3"/>
  <c r="S109" i="3" s="1"/>
  <c r="AD109" i="3" s="1"/>
  <c r="U109" i="3"/>
  <c r="L109" i="3"/>
  <c r="AB109" i="3" s="1"/>
  <c r="D110" i="3"/>
  <c r="Z109" i="3"/>
  <c r="AN109" i="3"/>
  <c r="I110" i="3" l="1"/>
  <c r="E110" i="3"/>
  <c r="AL109" i="3"/>
  <c r="AM109" i="3"/>
  <c r="AJ109" i="3"/>
  <c r="AH109" i="3"/>
  <c r="AI109" i="3"/>
  <c r="AC109" i="3"/>
  <c r="AK109" i="3" s="1"/>
  <c r="G110" i="3" l="1"/>
  <c r="H110" i="3"/>
  <c r="Y110" i="3" s="1"/>
  <c r="AE110" i="3"/>
  <c r="W110" i="3" l="1"/>
  <c r="U110" i="3"/>
  <c r="Q110" i="3"/>
  <c r="S110" i="3" s="1"/>
  <c r="AD110" i="3" s="1"/>
  <c r="J110" i="3"/>
  <c r="AA110" i="3" s="1"/>
  <c r="L110" i="3"/>
  <c r="AB110" i="3" s="1"/>
  <c r="D111" i="3"/>
  <c r="Z110" i="3"/>
  <c r="AN110" i="3"/>
  <c r="I111" i="3" l="1"/>
  <c r="E111" i="3"/>
  <c r="AL110" i="3"/>
  <c r="AM110" i="3"/>
  <c r="AI110" i="3"/>
  <c r="AJ110" i="3"/>
  <c r="AH110" i="3"/>
  <c r="AC110" i="3"/>
  <c r="AK110" i="3" s="1"/>
  <c r="G111" i="3" l="1"/>
  <c r="H111" i="3"/>
  <c r="Y111" i="3" s="1"/>
  <c r="AE111" i="3"/>
  <c r="W111" i="3" l="1"/>
  <c r="U111" i="3"/>
  <c r="Q111" i="3"/>
  <c r="S111" i="3" s="1"/>
  <c r="AD111" i="3" s="1"/>
  <c r="J111" i="3"/>
  <c r="AA111" i="3" s="1"/>
  <c r="L111" i="3"/>
  <c r="AB111" i="3" s="1"/>
  <c r="D112" i="3"/>
  <c r="Z111" i="3"/>
  <c r="AN111" i="3"/>
  <c r="I112" i="3" l="1"/>
  <c r="E112" i="3"/>
  <c r="AL111" i="3"/>
  <c r="AM111" i="3"/>
  <c r="AH111" i="3"/>
  <c r="AJ111" i="3"/>
  <c r="AC111" i="3"/>
  <c r="AK111" i="3" s="1"/>
  <c r="AI111" i="3"/>
  <c r="G112" i="3" l="1"/>
  <c r="H112" i="3"/>
  <c r="Y112" i="3" s="1"/>
  <c r="AE112" i="3"/>
  <c r="Q112" i="3" l="1"/>
  <c r="S112" i="3" s="1"/>
  <c r="AD112" i="3" s="1"/>
  <c r="U112" i="3"/>
  <c r="W112" i="3"/>
  <c r="L112" i="3"/>
  <c r="AB112" i="3" s="1"/>
  <c r="J112" i="3"/>
  <c r="AA112" i="3" s="1"/>
  <c r="D113" i="3"/>
  <c r="Z112" i="3"/>
  <c r="AN112" i="3"/>
  <c r="I113" i="3" l="1"/>
  <c r="E113" i="3"/>
  <c r="AL112" i="3"/>
  <c r="AM112" i="3"/>
  <c r="AI112" i="3"/>
  <c r="AJ112" i="3"/>
  <c r="AH112" i="3"/>
  <c r="AC112" i="3"/>
  <c r="AK112" i="3" s="1"/>
  <c r="H113" i="3" l="1"/>
  <c r="G113" i="3"/>
  <c r="Y113" i="3"/>
  <c r="AE113" i="3"/>
  <c r="J113" i="3" l="1"/>
  <c r="AA113" i="3" s="1"/>
  <c r="W113" i="3"/>
  <c r="U113" i="3"/>
  <c r="Q113" i="3"/>
  <c r="S113" i="3" s="1"/>
  <c r="AD113" i="3" s="1"/>
  <c r="L113" i="3"/>
  <c r="AB113" i="3" s="1"/>
  <c r="D114" i="3"/>
  <c r="Z113" i="3"/>
  <c r="AN113" i="3"/>
  <c r="I114" i="3" l="1"/>
  <c r="E114" i="3"/>
  <c r="AL113" i="3"/>
  <c r="AM113" i="3"/>
  <c r="AH113" i="3"/>
  <c r="AJ113" i="3"/>
  <c r="AC113" i="3"/>
  <c r="AK113" i="3" s="1"/>
  <c r="AI113" i="3"/>
  <c r="H114" i="3" l="1"/>
  <c r="G114" i="3"/>
  <c r="Y114" i="3"/>
  <c r="AE114" i="3"/>
  <c r="U114" i="3" l="1"/>
  <c r="Q114" i="3"/>
  <c r="S114" i="3" s="1"/>
  <c r="AD114" i="3" s="1"/>
  <c r="W114" i="3"/>
  <c r="L114" i="3"/>
  <c r="AB114" i="3" s="1"/>
  <c r="J114" i="3"/>
  <c r="AA114" i="3" s="1"/>
  <c r="D115" i="3"/>
  <c r="Z114" i="3"/>
  <c r="AN114" i="3"/>
  <c r="I115" i="3" l="1"/>
  <c r="E115" i="3"/>
  <c r="AL114" i="3"/>
  <c r="AM114" i="3"/>
  <c r="AJ114" i="3"/>
  <c r="AH114" i="3"/>
  <c r="AI114" i="3"/>
  <c r="AC114" i="3"/>
  <c r="AK114" i="3" s="1"/>
  <c r="H115" i="3" l="1"/>
  <c r="Y115" i="3" s="1"/>
  <c r="G115" i="3"/>
  <c r="AE115" i="3"/>
  <c r="W115" i="3" l="1"/>
  <c r="Q115" i="3"/>
  <c r="S115" i="3" s="1"/>
  <c r="AD115" i="3" s="1"/>
  <c r="U115" i="3"/>
  <c r="L115" i="3"/>
  <c r="AB115" i="3" s="1"/>
  <c r="J115" i="3"/>
  <c r="AA115" i="3" s="1"/>
  <c r="D116" i="3"/>
  <c r="Z115" i="3"/>
  <c r="AN115" i="3"/>
  <c r="I116" i="3" l="1"/>
  <c r="E116" i="3"/>
  <c r="AL115" i="3"/>
  <c r="AM115" i="3"/>
  <c r="AC115" i="3"/>
  <c r="AK115" i="3" s="1"/>
  <c r="AJ115" i="3"/>
  <c r="AI115" i="3"/>
  <c r="AH115" i="3"/>
  <c r="H116" i="3" l="1"/>
  <c r="Y116" i="3" s="1"/>
  <c r="G116" i="3"/>
  <c r="AE116" i="3"/>
  <c r="Q116" i="3" l="1"/>
  <c r="S116" i="3" s="1"/>
  <c r="AD116" i="3" s="1"/>
  <c r="U116" i="3"/>
  <c r="W116" i="3"/>
  <c r="L116" i="3"/>
  <c r="AB116" i="3" s="1"/>
  <c r="J116" i="3"/>
  <c r="AA116" i="3" s="1"/>
  <c r="D117" i="3"/>
  <c r="Z116" i="3"/>
  <c r="AN116" i="3"/>
  <c r="I117" i="3" l="1"/>
  <c r="E117" i="3"/>
  <c r="AL116" i="3"/>
  <c r="AM116" i="3"/>
  <c r="AI116" i="3"/>
  <c r="AJ116" i="3"/>
  <c r="AH116" i="3"/>
  <c r="AC116" i="3"/>
  <c r="AK116" i="3" s="1"/>
  <c r="H117" i="3" l="1"/>
  <c r="G117" i="3"/>
  <c r="Y117" i="3"/>
  <c r="AE117" i="3"/>
  <c r="W117" i="3" l="1"/>
  <c r="U117" i="3"/>
  <c r="Q117" i="3"/>
  <c r="S117" i="3" s="1"/>
  <c r="AD117" i="3" s="1"/>
  <c r="J117" i="3"/>
  <c r="AA117" i="3" s="1"/>
  <c r="L117" i="3"/>
  <c r="AB117" i="3" s="1"/>
  <c r="D118" i="3"/>
  <c r="Z117" i="3"/>
  <c r="AN117" i="3"/>
  <c r="I118" i="3" l="1"/>
  <c r="E118" i="3"/>
  <c r="AL117" i="3"/>
  <c r="AM117" i="3"/>
  <c r="AC117" i="3"/>
  <c r="AK117" i="3" s="1"/>
  <c r="AI117" i="3"/>
  <c r="AJ117" i="3"/>
  <c r="AH117" i="3"/>
  <c r="H118" i="3" l="1"/>
  <c r="Y118" i="3" s="1"/>
  <c r="G118" i="3"/>
  <c r="AE118" i="3"/>
  <c r="Q118" i="3" l="1"/>
  <c r="S118" i="3" s="1"/>
  <c r="AD118" i="3" s="1"/>
  <c r="W118" i="3"/>
  <c r="U118" i="3"/>
  <c r="J118" i="3"/>
  <c r="AA118" i="3" s="1"/>
  <c r="L118" i="3"/>
  <c r="AB118" i="3" s="1"/>
  <c r="D119" i="3"/>
  <c r="Z118" i="3"/>
  <c r="AN118" i="3"/>
  <c r="I119" i="3" l="1"/>
  <c r="E119" i="3"/>
  <c r="AL118" i="3"/>
  <c r="AM118" i="3"/>
  <c r="AH118" i="3"/>
  <c r="AI118" i="3"/>
  <c r="AJ118" i="3"/>
  <c r="AC118" i="3"/>
  <c r="AK118" i="3" s="1"/>
  <c r="G119" i="3" l="1"/>
  <c r="H119" i="3"/>
  <c r="Y119" i="3" s="1"/>
  <c r="AE119" i="3"/>
  <c r="W119" i="3" l="1"/>
  <c r="Q119" i="3"/>
  <c r="S119" i="3" s="1"/>
  <c r="AD119" i="3" s="1"/>
  <c r="U119" i="3"/>
  <c r="L119" i="3"/>
  <c r="AB119" i="3" s="1"/>
  <c r="J119" i="3"/>
  <c r="AA119" i="3" s="1"/>
  <c r="D120" i="3"/>
  <c r="Z119" i="3"/>
  <c r="AN119" i="3"/>
  <c r="I120" i="3" l="1"/>
  <c r="E120" i="3"/>
  <c r="AM119" i="3"/>
  <c r="AL119" i="3"/>
  <c r="AI119" i="3"/>
  <c r="AJ119" i="3"/>
  <c r="AC119" i="3"/>
  <c r="AK119" i="3" s="1"/>
  <c r="AH119" i="3"/>
  <c r="G120" i="3" l="1"/>
  <c r="H120" i="3"/>
  <c r="Y120" i="3" s="1"/>
  <c r="AE120" i="3"/>
  <c r="Q120" i="3" l="1"/>
  <c r="S120" i="3" s="1"/>
  <c r="AD120" i="3" s="1"/>
  <c r="W120" i="3"/>
  <c r="U120" i="3"/>
  <c r="L120" i="3"/>
  <c r="AB120" i="3" s="1"/>
  <c r="J120" i="3"/>
  <c r="AA120" i="3" s="1"/>
  <c r="D121" i="3"/>
  <c r="Z120" i="3"/>
  <c r="AN120" i="3"/>
  <c r="I121" i="3" l="1"/>
  <c r="E121" i="3"/>
  <c r="AL120" i="3"/>
  <c r="AM120" i="3"/>
  <c r="AJ120" i="3"/>
  <c r="AI120" i="3"/>
  <c r="AH120" i="3"/>
  <c r="AC120" i="3"/>
  <c r="AK120" i="3" s="1"/>
  <c r="H121" i="3" l="1"/>
  <c r="Y121" i="3" s="1"/>
  <c r="G121" i="3"/>
  <c r="AE121" i="3"/>
  <c r="W121" i="3" l="1"/>
  <c r="U121" i="3"/>
  <c r="Q121" i="3"/>
  <c r="S121" i="3" s="1"/>
  <c r="AD121" i="3" s="1"/>
  <c r="J121" i="3"/>
  <c r="AA121" i="3" s="1"/>
  <c r="L121" i="3"/>
  <c r="AB121" i="3" s="1"/>
  <c r="D122" i="3"/>
  <c r="Z121" i="3"/>
  <c r="AN121" i="3"/>
  <c r="I122" i="3" l="1"/>
  <c r="E122" i="3"/>
  <c r="AL121" i="3"/>
  <c r="AM121" i="3"/>
  <c r="AC121" i="3"/>
  <c r="AK121" i="3" s="1"/>
  <c r="AJ121" i="3"/>
  <c r="AI121" i="3"/>
  <c r="AH121" i="3"/>
  <c r="H122" i="3" l="1"/>
  <c r="Y122" i="3" s="1"/>
  <c r="G122" i="3"/>
  <c r="AE122" i="3"/>
  <c r="J122" i="3" l="1"/>
  <c r="AA122" i="3" s="1"/>
  <c r="W122" i="3"/>
  <c r="Q122" i="3"/>
  <c r="S122" i="3" s="1"/>
  <c r="AD122" i="3" s="1"/>
  <c r="U122" i="3"/>
  <c r="L122" i="3"/>
  <c r="AB122" i="3" s="1"/>
  <c r="D123" i="3"/>
  <c r="Z122" i="3"/>
  <c r="AN122" i="3"/>
  <c r="I123" i="3" l="1"/>
  <c r="E123" i="3"/>
  <c r="AM122" i="3"/>
  <c r="AL122" i="3"/>
  <c r="AI122" i="3"/>
  <c r="AJ122" i="3"/>
  <c r="AH122" i="3"/>
  <c r="AC122" i="3"/>
  <c r="AK122" i="3" s="1"/>
  <c r="G123" i="3" l="1"/>
  <c r="H123" i="3"/>
  <c r="Y123" i="3" s="1"/>
  <c r="AE123" i="3"/>
  <c r="U123" i="3" l="1"/>
  <c r="Q123" i="3"/>
  <c r="S123" i="3" s="1"/>
  <c r="AD123" i="3" s="1"/>
  <c r="W123" i="3"/>
  <c r="L123" i="3"/>
  <c r="AB123" i="3" s="1"/>
  <c r="J123" i="3"/>
  <c r="AA123" i="3" s="1"/>
  <c r="D124" i="3"/>
  <c r="Z123" i="3"/>
  <c r="AN123" i="3"/>
  <c r="I124" i="3" l="1"/>
  <c r="E124" i="3"/>
  <c r="AL123" i="3"/>
  <c r="AM123" i="3"/>
  <c r="AH123" i="3"/>
  <c r="AJ123" i="3"/>
  <c r="AC123" i="3"/>
  <c r="AK123" i="3" s="1"/>
  <c r="AI123" i="3"/>
  <c r="G124" i="3" l="1"/>
  <c r="H124" i="3"/>
  <c r="Y124" i="3" s="1"/>
  <c r="AE124" i="3"/>
  <c r="W124" i="3" l="1"/>
  <c r="Q124" i="3"/>
  <c r="S124" i="3" s="1"/>
  <c r="AD124" i="3" s="1"/>
  <c r="U124" i="3"/>
  <c r="J124" i="3"/>
  <c r="AA124" i="3" s="1"/>
  <c r="L124" i="3"/>
  <c r="AB124" i="3" s="1"/>
  <c r="D125" i="3"/>
  <c r="Z124" i="3"/>
  <c r="AN124" i="3"/>
  <c r="I125" i="3" l="1"/>
  <c r="E125" i="3"/>
  <c r="AL124" i="3"/>
  <c r="AM124" i="3"/>
  <c r="AH124" i="3"/>
  <c r="AJ124" i="3"/>
  <c r="AI124" i="3"/>
  <c r="AC124" i="3"/>
  <c r="AK124" i="3" s="1"/>
  <c r="H125" i="3" l="1"/>
  <c r="Y125" i="3" s="1"/>
  <c r="G125" i="3"/>
  <c r="AE125" i="3"/>
  <c r="W125" i="3" l="1"/>
  <c r="U125" i="3"/>
  <c r="Q125" i="3"/>
  <c r="S125" i="3" s="1"/>
  <c r="AD125" i="3" s="1"/>
  <c r="J125" i="3"/>
  <c r="AA125" i="3" s="1"/>
  <c r="L125" i="3"/>
  <c r="AB125" i="3" s="1"/>
  <c r="D126" i="3"/>
  <c r="Z125" i="3"/>
  <c r="AN125" i="3"/>
  <c r="I126" i="3" l="1"/>
  <c r="E126" i="3"/>
  <c r="AL125" i="3"/>
  <c r="AM125" i="3"/>
  <c r="AJ125" i="3"/>
  <c r="AI125" i="3"/>
  <c r="AH125" i="3"/>
  <c r="AC125" i="3"/>
  <c r="AK125" i="3" s="1"/>
  <c r="H126" i="3" l="1"/>
  <c r="Y126" i="3" s="1"/>
  <c r="G126" i="3"/>
  <c r="AE126" i="3"/>
  <c r="W126" i="3" l="1"/>
  <c r="U126" i="3"/>
  <c r="Q126" i="3"/>
  <c r="S126" i="3" s="1"/>
  <c r="AD126" i="3" s="1"/>
  <c r="L126" i="3"/>
  <c r="AB126" i="3" s="1"/>
  <c r="J126" i="3"/>
  <c r="AA126" i="3" s="1"/>
  <c r="D127" i="3"/>
  <c r="Z126" i="3"/>
  <c r="AN126" i="3"/>
  <c r="I127" i="3" l="1"/>
  <c r="E127" i="3"/>
  <c r="AL126" i="3"/>
  <c r="AM126" i="3"/>
  <c r="AJ126" i="3"/>
  <c r="AH126" i="3"/>
  <c r="AC126" i="3"/>
  <c r="AK126" i="3" s="1"/>
  <c r="AI126" i="3"/>
  <c r="H127" i="3" l="1"/>
  <c r="Y127" i="3" s="1"/>
  <c r="G127" i="3"/>
  <c r="AE127" i="3"/>
  <c r="U127" i="3" l="1"/>
  <c r="W127" i="3"/>
  <c r="Q127" i="3"/>
  <c r="S127" i="3" s="1"/>
  <c r="AD127" i="3" s="1"/>
  <c r="J127" i="3"/>
  <c r="AA127" i="3" s="1"/>
  <c r="L127" i="3"/>
  <c r="AB127" i="3" s="1"/>
  <c r="D128" i="3"/>
  <c r="Z127" i="3"/>
  <c r="AN127" i="3"/>
  <c r="I128" i="3" l="1"/>
  <c r="E128" i="3"/>
  <c r="AL127" i="3"/>
  <c r="AM127" i="3"/>
  <c r="AH127" i="3"/>
  <c r="AC127" i="3"/>
  <c r="AK127" i="3" s="1"/>
  <c r="AI127" i="3"/>
  <c r="AJ127" i="3"/>
  <c r="G128" i="3" l="1"/>
  <c r="H128" i="3"/>
  <c r="Y128" i="3" s="1"/>
  <c r="AE128" i="3"/>
  <c r="W128" i="3" l="1"/>
  <c r="Q128" i="3"/>
  <c r="S128" i="3" s="1"/>
  <c r="AD128" i="3" s="1"/>
  <c r="U128" i="3"/>
  <c r="J128" i="3"/>
  <c r="AA128" i="3" s="1"/>
  <c r="L128" i="3"/>
  <c r="AB128" i="3" s="1"/>
  <c r="D129" i="3"/>
  <c r="Z128" i="3"/>
  <c r="AN128" i="3"/>
  <c r="I129" i="3" l="1"/>
  <c r="E129" i="3"/>
  <c r="AL128" i="3"/>
  <c r="AM128" i="3"/>
  <c r="AH128" i="3"/>
  <c r="AC128" i="3"/>
  <c r="AK128" i="3" s="1"/>
  <c r="AI128" i="3"/>
  <c r="AJ128" i="3"/>
  <c r="G129" i="3" l="1"/>
  <c r="H129" i="3"/>
  <c r="Y129" i="3" s="1"/>
  <c r="AE129" i="3"/>
  <c r="Q129" i="3" l="1"/>
  <c r="S129" i="3" s="1"/>
  <c r="AD129" i="3" s="1"/>
  <c r="W129" i="3"/>
  <c r="U129" i="3"/>
  <c r="L129" i="3"/>
  <c r="AB129" i="3" s="1"/>
  <c r="J129" i="3"/>
  <c r="AA129" i="3" s="1"/>
  <c r="D130" i="3"/>
  <c r="Z129" i="3"/>
  <c r="AN129" i="3"/>
  <c r="I130" i="3" l="1"/>
  <c r="E130" i="3"/>
  <c r="AL129" i="3"/>
  <c r="AM129" i="3"/>
  <c r="AJ129" i="3"/>
  <c r="AI129" i="3"/>
  <c r="AH129" i="3"/>
  <c r="AC129" i="3"/>
  <c r="AK129" i="3" s="1"/>
  <c r="G130" i="3" l="1"/>
  <c r="H130" i="3"/>
  <c r="Y130" i="3"/>
  <c r="AE130" i="3"/>
  <c r="W130" i="3" l="1"/>
  <c r="Q130" i="3"/>
  <c r="S130" i="3" s="1"/>
  <c r="AD130" i="3" s="1"/>
  <c r="U130" i="3"/>
  <c r="L130" i="3"/>
  <c r="AB130" i="3" s="1"/>
  <c r="J130" i="3"/>
  <c r="AA130" i="3" s="1"/>
  <c r="D131" i="3"/>
  <c r="Z130" i="3"/>
  <c r="AN130" i="3"/>
  <c r="I131" i="3" l="1"/>
  <c r="E131" i="3"/>
  <c r="AL130" i="3"/>
  <c r="AM130" i="3"/>
  <c r="AJ130" i="3"/>
  <c r="AH130" i="3"/>
  <c r="AI130" i="3"/>
  <c r="AC130" i="3"/>
  <c r="AK130" i="3" s="1"/>
  <c r="G131" i="3" l="1"/>
  <c r="H131" i="3"/>
  <c r="Y131" i="3" s="1"/>
  <c r="AE131" i="3"/>
  <c r="J131" i="3" l="1"/>
  <c r="AA131" i="3" s="1"/>
  <c r="W131" i="3"/>
  <c r="U131" i="3"/>
  <c r="Q131" i="3"/>
  <c r="S131" i="3" s="1"/>
  <c r="AD131" i="3" s="1"/>
  <c r="L131" i="3"/>
  <c r="AB131" i="3" s="1"/>
  <c r="D132" i="3"/>
  <c r="Z131" i="3"/>
  <c r="AN131" i="3"/>
  <c r="I132" i="3" l="1"/>
  <c r="E132" i="3"/>
  <c r="AL131" i="3"/>
  <c r="AM131" i="3"/>
  <c r="AH131" i="3"/>
  <c r="AJ131" i="3"/>
  <c r="AC131" i="3"/>
  <c r="AK131" i="3" s="1"/>
  <c r="AI131" i="3"/>
  <c r="G132" i="3" l="1"/>
  <c r="H132" i="3"/>
  <c r="Y132" i="3" s="1"/>
  <c r="AE132" i="3"/>
  <c r="U132" i="3" l="1"/>
  <c r="Q132" i="3"/>
  <c r="S132" i="3" s="1"/>
  <c r="AD132" i="3" s="1"/>
  <c r="W132" i="3"/>
  <c r="L132" i="3"/>
  <c r="AB132" i="3" s="1"/>
  <c r="J132" i="3"/>
  <c r="AA132" i="3" s="1"/>
  <c r="D133" i="3"/>
  <c r="Z132" i="3"/>
  <c r="AN132" i="3"/>
  <c r="I133" i="3" l="1"/>
  <c r="E133" i="3"/>
  <c r="AL132" i="3"/>
  <c r="AM132" i="3"/>
  <c r="AH132" i="3"/>
  <c r="AJ132" i="3"/>
  <c r="AI132" i="3"/>
  <c r="AC132" i="3"/>
  <c r="AK132" i="3" s="1"/>
  <c r="H133" i="3" l="1"/>
  <c r="Y133" i="3" s="1"/>
  <c r="G133" i="3"/>
  <c r="AE133" i="3"/>
  <c r="U133" i="3" l="1"/>
  <c r="W133" i="3"/>
  <c r="Q133" i="3"/>
  <c r="S133" i="3" s="1"/>
  <c r="AD133" i="3" s="1"/>
  <c r="L133" i="3"/>
  <c r="AB133" i="3" s="1"/>
  <c r="J133" i="3"/>
  <c r="AA133" i="3" s="1"/>
  <c r="D134" i="3"/>
  <c r="Z133" i="3"/>
  <c r="AN133" i="3"/>
  <c r="I134" i="3" l="1"/>
  <c r="E134" i="3"/>
  <c r="AL133" i="3"/>
  <c r="AM133" i="3"/>
  <c r="AH133" i="3"/>
  <c r="AI133" i="3"/>
  <c r="AC133" i="3"/>
  <c r="AK133" i="3" s="1"/>
  <c r="AJ133" i="3"/>
  <c r="H134" i="3" l="1"/>
  <c r="Y134" i="3" s="1"/>
  <c r="G134" i="3"/>
  <c r="AE134" i="3"/>
  <c r="U134" i="3" l="1"/>
  <c r="W134" i="3"/>
  <c r="Q134" i="3"/>
  <c r="S134" i="3" s="1"/>
  <c r="AD134" i="3" s="1"/>
  <c r="L134" i="3"/>
  <c r="AB134" i="3" s="1"/>
  <c r="J134" i="3"/>
  <c r="AA134" i="3" s="1"/>
  <c r="D135" i="3"/>
  <c r="Z134" i="3"/>
  <c r="AN134" i="3"/>
  <c r="I135" i="3" l="1"/>
  <c r="E135" i="3"/>
  <c r="AL134" i="3"/>
  <c r="AM134" i="3"/>
  <c r="AI134" i="3"/>
  <c r="AC134" i="3"/>
  <c r="AK134" i="3" s="1"/>
  <c r="AJ134" i="3"/>
  <c r="AH134" i="3"/>
  <c r="G135" i="3" l="1"/>
  <c r="H135" i="3"/>
  <c r="Y135" i="3" s="1"/>
  <c r="AE135" i="3"/>
  <c r="Q135" i="3" l="1"/>
  <c r="W135" i="3"/>
  <c r="U135" i="3"/>
  <c r="L135" i="3"/>
  <c r="AB135" i="3" s="1"/>
  <c r="J135" i="3"/>
  <c r="AA135" i="3" s="1"/>
  <c r="D136" i="3"/>
  <c r="Z135" i="3"/>
  <c r="S135" i="3"/>
  <c r="AD135" i="3" s="1"/>
  <c r="AN135" i="3"/>
  <c r="I136" i="3" l="1"/>
  <c r="E136" i="3"/>
  <c r="AL135" i="3"/>
  <c r="AM135" i="3"/>
  <c r="AH135" i="3"/>
  <c r="AI135" i="3"/>
  <c r="AC135" i="3"/>
  <c r="AK135" i="3" s="1"/>
  <c r="AJ135" i="3"/>
  <c r="G136" i="3" l="1"/>
  <c r="H136" i="3"/>
  <c r="Y136" i="3" s="1"/>
  <c r="AE136" i="3"/>
  <c r="W136" i="3" l="1"/>
  <c r="U136" i="3"/>
  <c r="Q136" i="3"/>
  <c r="S136" i="3" s="1"/>
  <c r="AD136" i="3" s="1"/>
  <c r="J136" i="3"/>
  <c r="AA136" i="3" s="1"/>
  <c r="L136" i="3"/>
  <c r="AB136" i="3" s="1"/>
  <c r="D137" i="3"/>
  <c r="Z136" i="3"/>
  <c r="AN136" i="3"/>
  <c r="I137" i="3" l="1"/>
  <c r="E137" i="3"/>
  <c r="AL136" i="3"/>
  <c r="AM136" i="3"/>
  <c r="AH136" i="3"/>
  <c r="AJ136" i="3"/>
  <c r="AI136" i="3"/>
  <c r="AC136" i="3"/>
  <c r="AK136" i="3" s="1"/>
  <c r="H137" i="3" l="1"/>
  <c r="Y137" i="3" s="1"/>
  <c r="G137" i="3"/>
  <c r="AE137" i="3"/>
  <c r="W137" i="3" l="1"/>
  <c r="U137" i="3"/>
  <c r="Q137" i="3"/>
  <c r="S137" i="3" s="1"/>
  <c r="AD137" i="3" s="1"/>
  <c r="J137" i="3"/>
  <c r="AA137" i="3" s="1"/>
  <c r="L137" i="3"/>
  <c r="AB137" i="3" s="1"/>
  <c r="D138" i="3"/>
  <c r="Z137" i="3"/>
  <c r="AN137" i="3"/>
  <c r="I138" i="3" l="1"/>
  <c r="E138" i="3"/>
  <c r="AL137" i="3"/>
  <c r="AM137" i="3"/>
  <c r="AH137" i="3"/>
  <c r="AC137" i="3"/>
  <c r="AK137" i="3" s="1"/>
  <c r="AI137" i="3"/>
  <c r="AJ137" i="3"/>
  <c r="G138" i="3" l="1"/>
  <c r="H138" i="3"/>
  <c r="Y138" i="3" s="1"/>
  <c r="AE138" i="3"/>
  <c r="U138" i="3" l="1"/>
  <c r="W138" i="3"/>
  <c r="Q138" i="3"/>
  <c r="S138" i="3" s="1"/>
  <c r="AD138" i="3" s="1"/>
  <c r="L138" i="3"/>
  <c r="AB138" i="3" s="1"/>
  <c r="J138" i="3"/>
  <c r="AA138" i="3" s="1"/>
  <c r="D139" i="3"/>
  <c r="Z138" i="3"/>
  <c r="AN138" i="3"/>
  <c r="I139" i="3" l="1"/>
  <c r="E139" i="3"/>
  <c r="AM138" i="3"/>
  <c r="AL138" i="3"/>
  <c r="AJ138" i="3"/>
  <c r="AH138" i="3"/>
  <c r="AI138" i="3"/>
  <c r="AC138" i="3"/>
  <c r="AK138" i="3" s="1"/>
  <c r="G139" i="3" l="1"/>
  <c r="H139" i="3"/>
  <c r="Y139" i="3" s="1"/>
  <c r="AE139" i="3"/>
  <c r="W139" i="3" l="1"/>
  <c r="Q139" i="3"/>
  <c r="S139" i="3" s="1"/>
  <c r="AD139" i="3" s="1"/>
  <c r="U139" i="3"/>
  <c r="J139" i="3"/>
  <c r="AA139" i="3" s="1"/>
  <c r="L139" i="3"/>
  <c r="AB139" i="3" s="1"/>
  <c r="D140" i="3"/>
  <c r="Z139" i="3"/>
  <c r="AN139" i="3"/>
  <c r="I140" i="3" l="1"/>
  <c r="E140" i="3"/>
  <c r="AL139" i="3"/>
  <c r="AM139" i="3"/>
  <c r="AH139" i="3"/>
  <c r="AI139" i="3"/>
  <c r="AC139" i="3"/>
  <c r="AK139" i="3" s="1"/>
  <c r="AJ139" i="3"/>
  <c r="H140" i="3" l="1"/>
  <c r="Y140" i="3" s="1"/>
  <c r="G140" i="3"/>
  <c r="AE140" i="3"/>
  <c r="U140" i="3" l="1"/>
  <c r="Q140" i="3"/>
  <c r="S140" i="3" s="1"/>
  <c r="AD140" i="3" s="1"/>
  <c r="W140" i="3"/>
  <c r="J140" i="3"/>
  <c r="AA140" i="3" s="1"/>
  <c r="L140" i="3"/>
  <c r="AB140" i="3" s="1"/>
  <c r="D141" i="3"/>
  <c r="Z140" i="3"/>
  <c r="AN140" i="3"/>
  <c r="I141" i="3" l="1"/>
  <c r="E141" i="3"/>
  <c r="AL140" i="3"/>
  <c r="AM140" i="3"/>
  <c r="AJ140" i="3"/>
  <c r="AI140" i="3"/>
  <c r="AH140" i="3"/>
  <c r="AC140" i="3"/>
  <c r="AK140" i="3" s="1"/>
  <c r="G141" i="3" l="1"/>
  <c r="H141" i="3"/>
  <c r="Y141" i="3" s="1"/>
  <c r="AE141" i="3"/>
  <c r="U141" i="3" l="1"/>
  <c r="W141" i="3"/>
  <c r="Q141" i="3"/>
  <c r="S141" i="3" s="1"/>
  <c r="AD141" i="3" s="1"/>
  <c r="J141" i="3"/>
  <c r="AA141" i="3" s="1"/>
  <c r="L141" i="3"/>
  <c r="AB141" i="3" s="1"/>
  <c r="D142" i="3"/>
  <c r="Z141" i="3"/>
  <c r="AN141" i="3"/>
  <c r="I142" i="3" l="1"/>
  <c r="E142" i="3"/>
  <c r="AL141" i="3"/>
  <c r="AM141" i="3"/>
  <c r="AH141" i="3"/>
  <c r="AI141" i="3"/>
  <c r="AJ141" i="3"/>
  <c r="AC141" i="3"/>
  <c r="AK141" i="3" s="1"/>
  <c r="G142" i="3" l="1"/>
  <c r="H142" i="3"/>
  <c r="Y142" i="3" s="1"/>
  <c r="AE142" i="3"/>
  <c r="W142" i="3" l="1"/>
  <c r="Q142" i="3"/>
  <c r="S142" i="3" s="1"/>
  <c r="AD142" i="3" s="1"/>
  <c r="U142" i="3"/>
  <c r="J142" i="3"/>
  <c r="AA142" i="3" s="1"/>
  <c r="L142" i="3"/>
  <c r="D143" i="3"/>
  <c r="Z142" i="3"/>
  <c r="AB142" i="3"/>
  <c r="AN142" i="3"/>
  <c r="I143" i="3" l="1"/>
  <c r="E143" i="3"/>
  <c r="AL142" i="3"/>
  <c r="AM142" i="3"/>
  <c r="AJ142" i="3"/>
  <c r="AH142" i="3"/>
  <c r="AC142" i="3"/>
  <c r="AK142" i="3" s="1"/>
  <c r="AI142" i="3"/>
  <c r="H143" i="3" l="1"/>
  <c r="Y143" i="3" s="1"/>
  <c r="G143" i="3"/>
  <c r="AE143" i="3"/>
  <c r="W143" i="3" l="1"/>
  <c r="U143" i="3"/>
  <c r="Q143" i="3"/>
  <c r="S143" i="3" s="1"/>
  <c r="AD143" i="3" s="1"/>
  <c r="L143" i="3"/>
  <c r="AB143" i="3" s="1"/>
  <c r="J143" i="3"/>
  <c r="AA143" i="3" s="1"/>
  <c r="D144" i="3"/>
  <c r="Z143" i="3"/>
  <c r="AN143" i="3"/>
  <c r="I144" i="3" l="1"/>
  <c r="E144" i="3"/>
  <c r="AL143" i="3"/>
  <c r="AM143" i="3"/>
  <c r="AJ143" i="3"/>
  <c r="AI143" i="3"/>
  <c r="AH143" i="3"/>
  <c r="AC143" i="3"/>
  <c r="AK143" i="3" s="1"/>
  <c r="G144" i="3" l="1"/>
  <c r="H144" i="3"/>
  <c r="Y144" i="3"/>
  <c r="AE144" i="3"/>
  <c r="W144" i="3" l="1"/>
  <c r="U144" i="3"/>
  <c r="Q144" i="3"/>
  <c r="S144" i="3" s="1"/>
  <c r="AD144" i="3" s="1"/>
  <c r="L144" i="3"/>
  <c r="AB144" i="3" s="1"/>
  <c r="J144" i="3"/>
  <c r="AA144" i="3" s="1"/>
  <c r="D145" i="3"/>
  <c r="Z144" i="3"/>
  <c r="AN144" i="3"/>
  <c r="I145" i="3" l="1"/>
  <c r="E145" i="3"/>
  <c r="AL144" i="3"/>
  <c r="AM144" i="3"/>
  <c r="AH144" i="3"/>
  <c r="AI144" i="3"/>
  <c r="AC144" i="3"/>
  <c r="AK144" i="3" s="1"/>
  <c r="AJ144" i="3"/>
  <c r="G145" i="3" l="1"/>
  <c r="H145" i="3"/>
  <c r="Y145" i="3"/>
  <c r="AE145" i="3"/>
  <c r="U145" i="3" l="1"/>
  <c r="Q145" i="3"/>
  <c r="S145" i="3" s="1"/>
  <c r="AD145" i="3" s="1"/>
  <c r="W145" i="3"/>
  <c r="L145" i="3"/>
  <c r="AB145" i="3" s="1"/>
  <c r="J145" i="3"/>
  <c r="AA145" i="3" s="1"/>
  <c r="D146" i="3"/>
  <c r="Z145" i="3"/>
  <c r="AN145" i="3"/>
  <c r="I146" i="3" l="1"/>
  <c r="E146" i="3"/>
  <c r="AL145" i="3"/>
  <c r="AM145" i="3"/>
  <c r="AH145" i="3"/>
  <c r="AI145" i="3"/>
  <c r="AJ145" i="3"/>
  <c r="AC145" i="3"/>
  <c r="AK145" i="3" s="1"/>
  <c r="G146" i="3" l="1"/>
  <c r="H146" i="3"/>
  <c r="Y146" i="3" s="1"/>
  <c r="AE146" i="3"/>
  <c r="W146" i="3" l="1"/>
  <c r="Q146" i="3"/>
  <c r="S146" i="3" s="1"/>
  <c r="AD146" i="3" s="1"/>
  <c r="U146" i="3"/>
  <c r="J146" i="3"/>
  <c r="AA146" i="3" s="1"/>
  <c r="L146" i="3"/>
  <c r="AB146" i="3" s="1"/>
  <c r="D147" i="3"/>
  <c r="Z146" i="3"/>
  <c r="AN146" i="3"/>
  <c r="I147" i="3" l="1"/>
  <c r="E147" i="3"/>
  <c r="AL146" i="3"/>
  <c r="AM146" i="3"/>
  <c r="AC146" i="3"/>
  <c r="AK146" i="3" s="1"/>
  <c r="AH146" i="3"/>
  <c r="AI146" i="3"/>
  <c r="AJ146" i="3"/>
  <c r="H147" i="3" l="1"/>
  <c r="Y147" i="3" s="1"/>
  <c r="G147" i="3"/>
  <c r="AE147" i="3"/>
  <c r="W147" i="3" l="1"/>
  <c r="U147" i="3"/>
  <c r="Q147" i="3"/>
  <c r="S147" i="3" s="1"/>
  <c r="AD147" i="3" s="1"/>
  <c r="L147" i="3"/>
  <c r="AB147" i="3" s="1"/>
  <c r="J147" i="3"/>
  <c r="AA147" i="3" s="1"/>
  <c r="D148" i="3"/>
  <c r="Z147" i="3"/>
  <c r="AN147" i="3"/>
  <c r="I148" i="3" l="1"/>
  <c r="E148" i="3"/>
  <c r="AL147" i="3"/>
  <c r="AM147" i="3"/>
  <c r="AH147" i="3"/>
  <c r="AJ147" i="3"/>
  <c r="AI147" i="3"/>
  <c r="AC147" i="3"/>
  <c r="AK147" i="3" s="1"/>
  <c r="G148" i="3" l="1"/>
  <c r="H148" i="3"/>
  <c r="Y148" i="3" s="1"/>
  <c r="AE148" i="3"/>
  <c r="W148" i="3" l="1"/>
  <c r="U148" i="3"/>
  <c r="Q148" i="3"/>
  <c r="S148" i="3" s="1"/>
  <c r="AD148" i="3" s="1"/>
  <c r="L148" i="3"/>
  <c r="AB148" i="3" s="1"/>
  <c r="J148" i="3"/>
  <c r="AA148" i="3" s="1"/>
  <c r="D149" i="3"/>
  <c r="Z148" i="3"/>
  <c r="AN148" i="3"/>
  <c r="I149" i="3" l="1"/>
  <c r="E149" i="3"/>
  <c r="AL148" i="3"/>
  <c r="AM148" i="3"/>
  <c r="AH148" i="3"/>
  <c r="AJ148" i="3"/>
  <c r="AC148" i="3"/>
  <c r="AK148" i="3" s="1"/>
  <c r="AI148" i="3"/>
  <c r="H149" i="3" l="1"/>
  <c r="Y149" i="3" s="1"/>
  <c r="G149" i="3"/>
  <c r="AE149" i="3"/>
  <c r="Q149" i="3" l="1"/>
  <c r="S149" i="3" s="1"/>
  <c r="AD149" i="3" s="1"/>
  <c r="W149" i="3"/>
  <c r="U149" i="3"/>
  <c r="J149" i="3"/>
  <c r="AA149" i="3" s="1"/>
  <c r="L149" i="3"/>
  <c r="AB149" i="3" s="1"/>
  <c r="D150" i="3"/>
  <c r="Z149" i="3"/>
  <c r="AN149" i="3"/>
  <c r="I150" i="3" l="1"/>
  <c r="E150" i="3"/>
  <c r="AL149" i="3"/>
  <c r="AM149" i="3"/>
  <c r="AJ149" i="3"/>
  <c r="AI149" i="3"/>
  <c r="AH149" i="3"/>
  <c r="AC149" i="3"/>
  <c r="AK149" i="3" s="1"/>
  <c r="H150" i="3" l="1"/>
  <c r="Y150" i="3" s="1"/>
  <c r="G150" i="3"/>
  <c r="AE150" i="3"/>
  <c r="W150" i="3" l="1"/>
  <c r="U150" i="3"/>
  <c r="Q150" i="3"/>
  <c r="J150" i="3"/>
  <c r="AA150" i="3" s="1"/>
  <c r="L150" i="3"/>
  <c r="D151" i="3"/>
  <c r="S150" i="3"/>
  <c r="AD150" i="3" s="1"/>
  <c r="AB150" i="3"/>
  <c r="Z150" i="3"/>
  <c r="AN150" i="3"/>
  <c r="I151" i="3" l="1"/>
  <c r="E151" i="3"/>
  <c r="AL150" i="3"/>
  <c r="AM150" i="3"/>
  <c r="AJ150" i="3"/>
  <c r="AH150" i="3"/>
  <c r="AC150" i="3"/>
  <c r="AK150" i="3" s="1"/>
  <c r="AI150" i="3"/>
  <c r="G151" i="3" l="1"/>
  <c r="H151" i="3"/>
  <c r="Y151" i="3" s="1"/>
  <c r="AE151" i="3"/>
  <c r="U151" i="3" l="1"/>
  <c r="W151" i="3"/>
  <c r="Q151" i="3"/>
  <c r="S151" i="3" s="1"/>
  <c r="AD151" i="3" s="1"/>
  <c r="J151" i="3"/>
  <c r="AA151" i="3" s="1"/>
  <c r="L151" i="3"/>
  <c r="AB151" i="3" s="1"/>
  <c r="D152" i="3"/>
  <c r="Z151" i="3"/>
  <c r="AN151" i="3"/>
  <c r="I152" i="3" l="1"/>
  <c r="E152" i="3"/>
  <c r="AL151" i="3"/>
  <c r="AM151" i="3"/>
  <c r="AH151" i="3"/>
  <c r="AI151" i="3"/>
  <c r="AJ151" i="3"/>
  <c r="AC151" i="3"/>
  <c r="AK151" i="3" s="1"/>
  <c r="G152" i="3" l="1"/>
  <c r="H152" i="3"/>
  <c r="Y152" i="3" s="1"/>
  <c r="AE152" i="3"/>
  <c r="W152" i="3" l="1"/>
  <c r="Q152" i="3"/>
  <c r="S152" i="3" s="1"/>
  <c r="AD152" i="3" s="1"/>
  <c r="U152" i="3"/>
  <c r="J152" i="3"/>
  <c r="AA152" i="3" s="1"/>
  <c r="L152" i="3"/>
  <c r="AB152" i="3" s="1"/>
  <c r="D153" i="3"/>
  <c r="Z152" i="3"/>
  <c r="AN152" i="3"/>
  <c r="I153" i="3" l="1"/>
  <c r="E153" i="3"/>
  <c r="AL152" i="3"/>
  <c r="AM152" i="3"/>
  <c r="AH152" i="3"/>
  <c r="AJ152" i="3"/>
  <c r="AC152" i="3"/>
  <c r="AK152" i="3" s="1"/>
  <c r="AI152" i="3"/>
  <c r="G153" i="3" l="1"/>
  <c r="H153" i="3"/>
  <c r="Y153" i="3"/>
  <c r="AE153" i="3"/>
  <c r="Q153" i="3" l="1"/>
  <c r="S153" i="3" s="1"/>
  <c r="AD153" i="3" s="1"/>
  <c r="U153" i="3"/>
  <c r="W153" i="3"/>
  <c r="L153" i="3"/>
  <c r="AB153" i="3" s="1"/>
  <c r="J153" i="3"/>
  <c r="AA153" i="3" s="1"/>
  <c r="D154" i="3"/>
  <c r="Z153" i="3"/>
  <c r="AN153" i="3"/>
  <c r="I154" i="3" l="1"/>
  <c r="E154" i="3"/>
  <c r="AL153" i="3"/>
  <c r="AM153" i="3"/>
  <c r="AH153" i="3"/>
  <c r="AC153" i="3"/>
  <c r="AK153" i="3" s="1"/>
  <c r="AJ153" i="3"/>
  <c r="AI153" i="3"/>
  <c r="G154" i="3" l="1"/>
  <c r="H154" i="3"/>
  <c r="Y154" i="3" s="1"/>
  <c r="AE154" i="3"/>
  <c r="Q154" i="3" l="1"/>
  <c r="S154" i="3" s="1"/>
  <c r="AD154" i="3" s="1"/>
  <c r="W154" i="3"/>
  <c r="U154" i="3"/>
  <c r="J154" i="3"/>
  <c r="L154" i="3"/>
  <c r="AB154" i="3" s="1"/>
  <c r="D155" i="3"/>
  <c r="Z154" i="3"/>
  <c r="AA154" i="3"/>
  <c r="AN154" i="3"/>
  <c r="I155" i="3" l="1"/>
  <c r="E155" i="3"/>
  <c r="AL154" i="3"/>
  <c r="AM154" i="3"/>
  <c r="AJ154" i="3"/>
  <c r="AH154" i="3"/>
  <c r="AC154" i="3"/>
  <c r="AK154" i="3" s="1"/>
  <c r="AI154" i="3"/>
  <c r="G155" i="3" l="1"/>
  <c r="H155" i="3"/>
  <c r="Y155" i="3" s="1"/>
  <c r="AE155" i="3"/>
  <c r="W155" i="3" l="1"/>
  <c r="U155" i="3"/>
  <c r="Q155" i="3"/>
  <c r="S155" i="3" s="1"/>
  <c r="AD155" i="3" s="1"/>
  <c r="L155" i="3"/>
  <c r="AB155" i="3" s="1"/>
  <c r="J155" i="3"/>
  <c r="AA155" i="3" s="1"/>
  <c r="D156" i="3"/>
  <c r="Z155" i="3"/>
  <c r="AN155" i="3"/>
  <c r="I156" i="3" l="1"/>
  <c r="E156" i="3"/>
  <c r="AL155" i="3"/>
  <c r="AM155" i="3"/>
  <c r="AJ155" i="3"/>
  <c r="AH155" i="3"/>
  <c r="AI155" i="3"/>
  <c r="AC155" i="3"/>
  <c r="AK155" i="3" s="1"/>
  <c r="G156" i="3" l="1"/>
  <c r="H156" i="3"/>
  <c r="Y156" i="3" s="1"/>
  <c r="AE156" i="3"/>
  <c r="U156" i="3" l="1"/>
  <c r="W156" i="3"/>
  <c r="Q156" i="3"/>
  <c r="S156" i="3" s="1"/>
  <c r="AD156" i="3" s="1"/>
  <c r="L156" i="3"/>
  <c r="AB156" i="3" s="1"/>
  <c r="J156" i="3"/>
  <c r="AA156" i="3" s="1"/>
  <c r="D157" i="3"/>
  <c r="Z156" i="3"/>
  <c r="AN156" i="3"/>
  <c r="I157" i="3" l="1"/>
  <c r="E157" i="3"/>
  <c r="AL156" i="3"/>
  <c r="AM156" i="3"/>
  <c r="AH156" i="3"/>
  <c r="AJ156" i="3"/>
  <c r="AI156" i="3"/>
  <c r="AC156" i="3"/>
  <c r="AK156" i="3" s="1"/>
  <c r="H157" i="3" l="1"/>
  <c r="G157" i="3"/>
  <c r="Y157" i="3"/>
  <c r="AE157" i="3"/>
  <c r="Q157" i="3" l="1"/>
  <c r="S157" i="3" s="1"/>
  <c r="AD157" i="3" s="1"/>
  <c r="U157" i="3"/>
  <c r="W157" i="3"/>
  <c r="J157" i="3"/>
  <c r="AA157" i="3" s="1"/>
  <c r="L157" i="3"/>
  <c r="AB157" i="3" s="1"/>
  <c r="D158" i="3"/>
  <c r="Z157" i="3"/>
  <c r="AN157" i="3"/>
  <c r="I158" i="3" l="1"/>
  <c r="E158" i="3"/>
  <c r="AL157" i="3"/>
  <c r="AM157" i="3"/>
  <c r="AI157" i="3"/>
  <c r="AH157" i="3"/>
  <c r="AJ157" i="3"/>
  <c r="AC157" i="3"/>
  <c r="AK157" i="3" s="1"/>
  <c r="H158" i="3" l="1"/>
  <c r="Y158" i="3" s="1"/>
  <c r="G158" i="3"/>
  <c r="AE158" i="3"/>
  <c r="Q158" i="3" l="1"/>
  <c r="S158" i="3" s="1"/>
  <c r="AD158" i="3" s="1"/>
  <c r="U158" i="3"/>
  <c r="W158" i="3"/>
  <c r="J158" i="3"/>
  <c r="AA158" i="3" s="1"/>
  <c r="L158" i="3"/>
  <c r="D159" i="3"/>
  <c r="Z158" i="3"/>
  <c r="AB158" i="3"/>
  <c r="AN158" i="3"/>
  <c r="I159" i="3" l="1"/>
  <c r="E159" i="3"/>
  <c r="AL158" i="3"/>
  <c r="AM158" i="3"/>
  <c r="AJ158" i="3"/>
  <c r="AH158" i="3"/>
  <c r="AC158" i="3"/>
  <c r="AK158" i="3" s="1"/>
  <c r="AI158" i="3"/>
  <c r="G159" i="3" l="1"/>
  <c r="H159" i="3"/>
  <c r="Y159" i="3"/>
  <c r="AE159" i="3"/>
  <c r="W159" i="3" l="1"/>
  <c r="U159" i="3"/>
  <c r="Q159" i="3"/>
  <c r="S159" i="3" s="1"/>
  <c r="AD159" i="3" s="1"/>
  <c r="L159" i="3"/>
  <c r="AB159" i="3" s="1"/>
  <c r="J159" i="3"/>
  <c r="D160" i="3"/>
  <c r="Z159" i="3"/>
  <c r="AA159" i="3"/>
  <c r="AN159" i="3"/>
  <c r="I160" i="3" l="1"/>
  <c r="E160" i="3"/>
  <c r="AL159" i="3"/>
  <c r="AM159" i="3"/>
  <c r="AJ159" i="3"/>
  <c r="AC159" i="3"/>
  <c r="AK159" i="3" s="1"/>
  <c r="AH159" i="3"/>
  <c r="AI159" i="3"/>
  <c r="H160" i="3" l="1"/>
  <c r="Y160" i="3" s="1"/>
  <c r="G160" i="3"/>
  <c r="AE160" i="3"/>
  <c r="J160" i="3" l="1"/>
  <c r="AA160" i="3" s="1"/>
  <c r="Q160" i="3"/>
  <c r="S160" i="3" s="1"/>
  <c r="AD160" i="3" s="1"/>
  <c r="W160" i="3"/>
  <c r="U160" i="3"/>
  <c r="L160" i="3"/>
  <c r="AB160" i="3" s="1"/>
  <c r="D161" i="3"/>
  <c r="Z160" i="3"/>
  <c r="AN160" i="3"/>
  <c r="I161" i="3" l="1"/>
  <c r="E161" i="3"/>
  <c r="AL160" i="3"/>
  <c r="AM160" i="3"/>
  <c r="AH160" i="3"/>
  <c r="AI160" i="3"/>
  <c r="AJ160" i="3"/>
  <c r="AC160" i="3"/>
  <c r="AK160" i="3" s="1"/>
  <c r="G161" i="3" l="1"/>
  <c r="H161" i="3"/>
  <c r="Y161" i="3" s="1"/>
  <c r="AE161" i="3"/>
  <c r="W161" i="3" l="1"/>
  <c r="U161" i="3"/>
  <c r="Q161" i="3"/>
  <c r="S161" i="3" s="1"/>
  <c r="AD161" i="3" s="1"/>
  <c r="L161" i="3"/>
  <c r="J161" i="3"/>
  <c r="AA161" i="3" s="1"/>
  <c r="D162" i="3"/>
  <c r="AB161" i="3"/>
  <c r="Z161" i="3"/>
  <c r="AN161" i="3"/>
  <c r="I162" i="3" l="1"/>
  <c r="E162" i="3"/>
  <c r="AL161" i="3"/>
  <c r="AM161" i="3"/>
  <c r="AH161" i="3"/>
  <c r="AC161" i="3"/>
  <c r="AK161" i="3" s="1"/>
  <c r="AJ161" i="3"/>
  <c r="AI161" i="3"/>
  <c r="H162" i="3" l="1"/>
  <c r="Y162" i="3" s="1"/>
  <c r="G162" i="3"/>
  <c r="AE162" i="3"/>
  <c r="W162" i="3" l="1"/>
  <c r="Q162" i="3"/>
  <c r="S162" i="3" s="1"/>
  <c r="AD162" i="3" s="1"/>
  <c r="U162" i="3"/>
  <c r="L162" i="3"/>
  <c r="AB162" i="3" s="1"/>
  <c r="J162" i="3"/>
  <c r="AA162" i="3" s="1"/>
  <c r="D163" i="3"/>
  <c r="Z162" i="3"/>
  <c r="AN162" i="3"/>
  <c r="I163" i="3" l="1"/>
  <c r="E163" i="3"/>
  <c r="AL162" i="3"/>
  <c r="AM162" i="3"/>
  <c r="AH162" i="3"/>
  <c r="AC162" i="3"/>
  <c r="AK162" i="3" s="1"/>
  <c r="AJ162" i="3"/>
  <c r="AI162" i="3"/>
  <c r="G163" i="3" l="1"/>
  <c r="H163" i="3"/>
  <c r="Y163" i="3" s="1"/>
  <c r="AE163" i="3"/>
  <c r="W163" i="3" l="1"/>
  <c r="Q163" i="3"/>
  <c r="S163" i="3" s="1"/>
  <c r="AD163" i="3" s="1"/>
  <c r="U163" i="3"/>
  <c r="J163" i="3"/>
  <c r="AA163" i="3" s="1"/>
  <c r="L163" i="3"/>
  <c r="AB163" i="3" s="1"/>
  <c r="D164" i="3"/>
  <c r="Z163" i="3"/>
  <c r="AN163" i="3"/>
  <c r="I164" i="3" l="1"/>
  <c r="E164" i="3"/>
  <c r="AL163" i="3"/>
  <c r="AM163" i="3"/>
  <c r="AI163" i="3"/>
  <c r="AH163" i="3"/>
  <c r="AJ163" i="3"/>
  <c r="AC163" i="3"/>
  <c r="AK163" i="3" s="1"/>
  <c r="G164" i="3" l="1"/>
  <c r="H164" i="3"/>
  <c r="Y164" i="3" s="1"/>
  <c r="AE164" i="3"/>
  <c r="U164" i="3" l="1"/>
  <c r="Q164" i="3"/>
  <c r="S164" i="3" s="1"/>
  <c r="AD164" i="3" s="1"/>
  <c r="W164" i="3"/>
  <c r="J164" i="3"/>
  <c r="AA164" i="3" s="1"/>
  <c r="L164" i="3"/>
  <c r="AB164" i="3" s="1"/>
  <c r="D165" i="3"/>
  <c r="Z164" i="3"/>
  <c r="AN164" i="3"/>
  <c r="I165" i="3" l="1"/>
  <c r="E165" i="3"/>
  <c r="AL164" i="3"/>
  <c r="AM164" i="3"/>
  <c r="AH164" i="3"/>
  <c r="AI164" i="3"/>
  <c r="AJ164" i="3"/>
  <c r="AC164" i="3"/>
  <c r="AK164" i="3" s="1"/>
  <c r="H165" i="3" l="1"/>
  <c r="Y165" i="3" s="1"/>
  <c r="G165" i="3"/>
  <c r="AE165" i="3"/>
  <c r="W165" i="3" l="1"/>
  <c r="Q165" i="3"/>
  <c r="S165" i="3" s="1"/>
  <c r="AD165" i="3" s="1"/>
  <c r="U165" i="3"/>
  <c r="J165" i="3"/>
  <c r="AA165" i="3" s="1"/>
  <c r="L165" i="3"/>
  <c r="AB165" i="3" s="1"/>
  <c r="D166" i="3"/>
  <c r="Z165" i="3"/>
  <c r="AN165" i="3"/>
  <c r="I166" i="3" l="1"/>
  <c r="E166" i="3"/>
  <c r="AL165" i="3"/>
  <c r="AM165" i="3"/>
  <c r="AI165" i="3"/>
  <c r="AC165" i="3"/>
  <c r="AK165" i="3" s="1"/>
  <c r="AH165" i="3"/>
  <c r="AJ165" i="3"/>
  <c r="H166" i="3" l="1"/>
  <c r="Y166" i="3" s="1"/>
  <c r="G166" i="3"/>
  <c r="AE166" i="3"/>
  <c r="J166" i="3" l="1"/>
  <c r="AA166" i="3" s="1"/>
  <c r="W166" i="3"/>
  <c r="Q166" i="3"/>
  <c r="S166" i="3" s="1"/>
  <c r="AD166" i="3" s="1"/>
  <c r="U166" i="3"/>
  <c r="L166" i="3"/>
  <c r="D167" i="3"/>
  <c r="AB166" i="3"/>
  <c r="Z166" i="3"/>
  <c r="AN166" i="3"/>
  <c r="I167" i="3" l="1"/>
  <c r="E167" i="3"/>
  <c r="AL166" i="3"/>
  <c r="AM166" i="3"/>
  <c r="AJ166" i="3"/>
  <c r="AH166" i="3"/>
  <c r="AI166" i="3"/>
  <c r="AC166" i="3"/>
  <c r="AK166" i="3" s="1"/>
  <c r="G167" i="3" l="1"/>
  <c r="H167" i="3"/>
  <c r="Y167" i="3"/>
  <c r="AE167" i="3"/>
  <c r="U167" i="3" l="1"/>
  <c r="Q167" i="3"/>
  <c r="S167" i="3" s="1"/>
  <c r="AD167" i="3" s="1"/>
  <c r="W167" i="3"/>
  <c r="J167" i="3"/>
  <c r="AA167" i="3" s="1"/>
  <c r="L167" i="3"/>
  <c r="AB167" i="3" s="1"/>
  <c r="D168" i="3"/>
  <c r="Z167" i="3"/>
  <c r="AN167" i="3"/>
  <c r="I168" i="3" l="1"/>
  <c r="E168" i="3"/>
  <c r="AL167" i="3"/>
  <c r="AM167" i="3"/>
  <c r="AH167" i="3"/>
  <c r="AJ167" i="3"/>
  <c r="AI167" i="3"/>
  <c r="AC167" i="3"/>
  <c r="AK167" i="3" s="1"/>
  <c r="H168" i="3" l="1"/>
  <c r="Y168" i="3" s="1"/>
  <c r="G168" i="3"/>
  <c r="AE168" i="3"/>
  <c r="W168" i="3" l="1"/>
  <c r="U168" i="3"/>
  <c r="Q168" i="3"/>
  <c r="S168" i="3" s="1"/>
  <c r="AD168" i="3" s="1"/>
  <c r="L168" i="3"/>
  <c r="AB168" i="3" s="1"/>
  <c r="J168" i="3"/>
  <c r="AA168" i="3" s="1"/>
  <c r="D169" i="3"/>
  <c r="Z168" i="3"/>
  <c r="AN168" i="3"/>
  <c r="I169" i="3" l="1"/>
  <c r="E169" i="3"/>
  <c r="AL168" i="3"/>
  <c r="AM168" i="3"/>
  <c r="AH168" i="3"/>
  <c r="AI168" i="3"/>
  <c r="AJ168" i="3"/>
  <c r="AC168" i="3"/>
  <c r="AK168" i="3" s="1"/>
  <c r="G169" i="3" l="1"/>
  <c r="H169" i="3"/>
  <c r="Y169" i="3" s="1"/>
  <c r="AE169" i="3"/>
  <c r="Q169" i="3" l="1"/>
  <c r="S169" i="3" s="1"/>
  <c r="AD169" i="3" s="1"/>
  <c r="U169" i="3"/>
  <c r="W169" i="3"/>
  <c r="L169" i="3"/>
  <c r="AB169" i="3" s="1"/>
  <c r="J169" i="3"/>
  <c r="AA169" i="3" s="1"/>
  <c r="D170" i="3"/>
  <c r="Z169" i="3"/>
  <c r="AN169" i="3"/>
  <c r="I170" i="3" l="1"/>
  <c r="E170" i="3"/>
  <c r="AL169" i="3"/>
  <c r="AM169" i="3"/>
  <c r="AH169" i="3"/>
  <c r="AI169" i="3"/>
  <c r="AJ169" i="3"/>
  <c r="AC169" i="3"/>
  <c r="AK169" i="3" s="1"/>
  <c r="G170" i="3" l="1"/>
  <c r="H170" i="3"/>
  <c r="Y170" i="3" s="1"/>
  <c r="AE170" i="3"/>
  <c r="W170" i="3" l="1"/>
  <c r="Q170" i="3"/>
  <c r="S170" i="3" s="1"/>
  <c r="AD170" i="3" s="1"/>
  <c r="U170" i="3"/>
  <c r="L170" i="3"/>
  <c r="AB170" i="3" s="1"/>
  <c r="J170" i="3"/>
  <c r="AA170" i="3" s="1"/>
  <c r="AN170" i="3"/>
  <c r="Z170" i="3"/>
  <c r="AL170" i="3" l="1"/>
  <c r="AM170" i="3"/>
  <c r="G8" i="3"/>
  <c r="AH170" i="3"/>
  <c r="AJ170" i="3"/>
  <c r="G6" i="3" s="1"/>
  <c r="AC170" i="3"/>
  <c r="AK170" i="3" s="1"/>
  <c r="G7" i="3" s="1"/>
  <c r="AI170" i="3"/>
  <c r="G5" i="3" s="1"/>
  <c r="I5" i="3" l="1"/>
  <c r="D48" i="1" s="1"/>
  <c r="C18" i="11" s="1"/>
  <c r="I6" i="3"/>
  <c r="D49" i="1" s="1"/>
  <c r="C19" i="11" s="1"/>
  <c r="I7" i="3"/>
  <c r="D50" i="1" s="1"/>
  <c r="C20" i="11" s="1"/>
  <c r="I8" i="3"/>
  <c r="D51" i="1" s="1"/>
  <c r="C21" i="11" s="1"/>
  <c r="G9" i="3"/>
  <c r="I9" i="3" l="1"/>
  <c r="D52" i="1" s="1"/>
  <c r="C14" i="11" l="1"/>
  <c r="C33" i="11" s="1"/>
  <c r="C22" i="11"/>
  <c r="Z70" i="3" l="1"/>
  <c r="AH70" i="3" s="1"/>
  <c r="G4" i="3" l="1"/>
  <c r="I4" i="3" s="1"/>
  <c r="D47" i="1" s="1"/>
  <c r="C17" i="11" s="1"/>
  <c r="G3" i="3"/>
  <c r="I3" i="3" s="1"/>
  <c r="D46" i="1" s="1"/>
  <c r="C25" i="13" l="1"/>
  <c r="C16" i="11"/>
  <c r="C26" i="13" l="1"/>
  <c r="C34" i="11"/>
  <c r="C35" i="11" l="1"/>
  <c r="C27" i="13"/>
  <c r="C28" i="13" l="1"/>
  <c r="C36" i="11"/>
  <c r="C29" i="13" l="1"/>
  <c r="C37" i="11"/>
  <c r="C38" i="11" l="1"/>
  <c r="C30" i="13"/>
  <c r="C39" i="11" l="1"/>
  <c r="C31" i="13"/>
  <c r="C32" i="13" l="1"/>
  <c r="C40" i="11"/>
  <c r="C33" i="13" l="1"/>
  <c r="C41" i="11"/>
  <c r="C42" i="11" l="1"/>
  <c r="C34" i="13"/>
  <c r="C35" i="13" l="1"/>
  <c r="C43" i="11"/>
  <c r="C44" i="11" l="1"/>
  <c r="C36" i="13"/>
  <c r="C37" i="13" l="1"/>
  <c r="C45" i="11"/>
  <c r="C46" i="11" l="1"/>
  <c r="C38" i="13"/>
  <c r="C39" i="13" l="1"/>
  <c r="C47" i="11"/>
  <c r="C40" i="13" l="1"/>
  <c r="C48" i="11"/>
  <c r="C41" i="13" l="1"/>
  <c r="C49" i="11"/>
  <c r="C42" i="13" l="1"/>
  <c r="C50" i="11"/>
  <c r="C43" i="13" l="1"/>
  <c r="C51" i="11"/>
  <c r="C44" i="13" l="1"/>
  <c r="C52" i="11"/>
  <c r="C45" i="13" l="1"/>
  <c r="C53" i="11"/>
  <c r="C54" i="11" l="1"/>
  <c r="C46" i="13"/>
  <c r="C55" i="11" l="1"/>
  <c r="C47" i="13"/>
  <c r="C48" i="13" l="1"/>
  <c r="C56" i="11"/>
  <c r="C49" i="13" l="1"/>
  <c r="C57" i="11"/>
  <c r="C58" i="11" l="1"/>
  <c r="C50" i="13"/>
  <c r="C51" i="13" l="1"/>
  <c r="C59" i="11"/>
  <c r="C52" i="13" l="1"/>
  <c r="C60" i="11"/>
  <c r="C53" i="13" l="1"/>
  <c r="C61" i="11"/>
  <c r="C54" i="13" l="1"/>
  <c r="C62" i="11"/>
  <c r="C55" i="13" l="1"/>
  <c r="C63" i="11"/>
  <c r="C64" i="11" l="1"/>
  <c r="C56" i="13"/>
  <c r="C57" i="13" l="1"/>
  <c r="C65" i="11"/>
  <c r="C66" i="11" l="1"/>
  <c r="C58" i="13"/>
  <c r="C67" i="11" l="1"/>
  <c r="C59" i="13"/>
  <c r="C60" i="13" l="1"/>
  <c r="C68" i="11"/>
  <c r="C61" i="13" l="1"/>
  <c r="C69" i="11"/>
  <c r="C70" i="11" l="1"/>
  <c r="C62" i="13"/>
  <c r="C63" i="13" l="1"/>
  <c r="C71" i="11"/>
  <c r="C64" i="13" l="1"/>
  <c r="C72" i="11"/>
  <c r="C65" i="13" l="1"/>
  <c r="C73" i="11"/>
  <c r="C74" i="11" l="1"/>
  <c r="C66" i="13"/>
  <c r="C67" i="13" l="1"/>
  <c r="C75" i="11"/>
  <c r="C68" i="13" l="1"/>
  <c r="C76" i="11"/>
  <c r="C69" i="13" l="1"/>
  <c r="C77" i="11"/>
  <c r="C70" i="13" l="1"/>
  <c r="C78" i="11"/>
  <c r="C71" i="13" l="1"/>
  <c r="C79" i="11"/>
  <c r="C72" i="13" l="1"/>
  <c r="C80" i="11"/>
  <c r="C73" i="13" l="1"/>
  <c r="C81" i="11"/>
  <c r="C82" i="11" l="1"/>
  <c r="C74" i="13"/>
  <c r="C75" i="13" l="1"/>
  <c r="C83" i="11"/>
  <c r="C76" i="13" l="1"/>
  <c r="C84" i="11"/>
  <c r="C77" i="13" l="1"/>
  <c r="C85" i="11"/>
  <c r="C86" i="11" l="1"/>
  <c r="C78" i="13"/>
  <c r="C79" i="13" l="1"/>
  <c r="C87" i="11"/>
  <c r="C80" i="13" l="1"/>
  <c r="C88" i="11"/>
  <c r="C81" i="13" l="1"/>
  <c r="C89" i="11"/>
  <c r="C82" i="13" l="1"/>
  <c r="C90" i="11"/>
  <c r="C83" i="13" l="1"/>
  <c r="C91" i="11"/>
  <c r="C84" i="13" l="1"/>
  <c r="C92" i="11"/>
  <c r="C85" i="13" l="1"/>
  <c r="C93" i="11"/>
  <c r="C94" i="11" l="1"/>
  <c r="C86" i="13"/>
  <c r="C87" i="13" l="1"/>
  <c r="C95" i="11"/>
  <c r="C96" i="11" l="1"/>
  <c r="C88" i="13"/>
  <c r="C89" i="13" l="1"/>
  <c r="C97" i="11"/>
  <c r="C90" i="13" l="1"/>
  <c r="C98" i="11"/>
  <c r="C91" i="13" l="1"/>
  <c r="C99" i="11"/>
  <c r="C92" i="13" l="1"/>
  <c r="C100" i="11"/>
  <c r="C93" i="13" l="1"/>
  <c r="C101" i="11"/>
  <c r="C102" i="11" l="1"/>
  <c r="C94" i="13"/>
  <c r="C95" i="13" l="1"/>
  <c r="C103" i="11"/>
  <c r="C96" i="13" l="1"/>
  <c r="C104" i="11"/>
  <c r="C97" i="13" l="1"/>
  <c r="C105" i="11"/>
  <c r="C106" i="11" l="1"/>
  <c r="C98" i="13"/>
  <c r="C99" i="13" l="1"/>
  <c r="C107" i="11"/>
  <c r="C100" i="13" l="1"/>
  <c r="C108" i="11"/>
  <c r="C101" i="13" l="1"/>
  <c r="C109" i="11"/>
  <c r="C102" i="13" l="1"/>
  <c r="C110" i="11"/>
  <c r="C103" i="13" l="1"/>
  <c r="C111" i="11"/>
  <c r="C104" i="13" l="1"/>
  <c r="C112" i="11"/>
  <c r="C105" i="13" l="1"/>
  <c r="C113" i="11"/>
  <c r="C114" i="11" l="1"/>
  <c r="C106" i="13"/>
  <c r="C107" i="13" s="1"/>
  <c r="C108" i="13" s="1"/>
  <c r="C109" i="13" s="1"/>
  <c r="C110" i="13" s="1"/>
  <c r="C111" i="13" s="1"/>
  <c r="C112" i="13" s="1"/>
  <c r="C113" i="13" s="1"/>
  <c r="C114" i="13" s="1"/>
  <c r="C115" i="13" s="1"/>
  <c r="C116" i="13" s="1"/>
  <c r="C117" i="13" s="1"/>
  <c r="C118" i="13" s="1"/>
  <c r="C119" i="13" s="1"/>
  <c r="C120" i="13" s="1"/>
  <c r="C121" i="13" s="1"/>
  <c r="C122" i="13" s="1"/>
  <c r="C123" i="13" s="1"/>
  <c r="C124" i="13" s="1"/>
  <c r="C125"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E33" authorId="0" shapeId="0" xr:uid="{BD399502-4C26-E24B-B45F-3B86242EF7FE}">
      <text>
        <r>
          <rPr>
            <sz val="10"/>
            <color rgb="FF000000"/>
            <rFont val="Tahoma"/>
            <family val="2"/>
          </rPr>
          <t xml:space="preserve">Calculated from natural gas primary energy emissions (200,8 gCO2/kWh) and efficiency (64 %). Data from https://www.volker-quaschning.de/datserv/CO2-spez/index_e.php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A44" authorId="0" shapeId="0" xr:uid="{9BD69CFB-F569-004E-B790-07A2861887F0}">
      <text>
        <r>
          <rPr>
            <sz val="10"/>
            <color rgb="FF000000"/>
            <rFont val="Tahoma"/>
            <family val="2"/>
          </rPr>
          <t>Running year from -25 to 100</t>
        </r>
      </text>
    </comment>
    <comment ref="B44" authorId="0" shapeId="0" xr:uid="{10A78FB7-A4C3-F84F-852F-9667DCCD0A9A}">
      <text>
        <r>
          <rPr>
            <b/>
            <sz val="10"/>
            <color rgb="FF000000"/>
            <rFont val="Tahoma"/>
            <family val="2"/>
          </rPr>
          <t xml:space="preserve">Capital costs of construction. Total Overnight cost is divided equally to Construction period, starting from Year 0-Construction period.
</t>
        </r>
        <r>
          <rPr>
            <b/>
            <sz val="10"/>
            <color rgb="FF000000"/>
            <rFont val="Tahoma"/>
            <family val="2"/>
          </rPr>
          <t xml:space="preserve">
</t>
        </r>
        <r>
          <rPr>
            <b/>
            <sz val="10"/>
            <color rgb="FF000000"/>
            <rFont val="Tahoma"/>
            <family val="2"/>
          </rPr>
          <t>LCOE Override "CAPEXconstr" is added to cell value.</t>
        </r>
        <r>
          <rPr>
            <sz val="10"/>
            <color rgb="FF000000"/>
            <rFont val="Tahoma"/>
            <family val="2"/>
          </rPr>
          <t xml:space="preserve">
</t>
        </r>
      </text>
    </comment>
    <comment ref="C44" authorId="0" shapeId="0" xr:uid="{525604D6-6CBD-934F-9F09-CD9EFF93EA6F}">
      <text>
        <r>
          <rPr>
            <b/>
            <sz val="10"/>
            <color rgb="FF000000"/>
            <rFont val="Tahoma"/>
            <family val="2"/>
          </rPr>
          <t xml:space="preserve">Capital costs of refurbishing and decommissioning.
</t>
        </r>
        <r>
          <rPr>
            <b/>
            <sz val="10"/>
            <color rgb="FF000000"/>
            <rFont val="Tahoma"/>
            <family val="2"/>
          </rPr>
          <t xml:space="preserve">
</t>
        </r>
        <r>
          <rPr>
            <b/>
            <sz val="10"/>
            <color rgb="FF000000"/>
            <rFont val="Tahoma"/>
            <family val="2"/>
          </rPr>
          <t xml:space="preserve">Total overnight cost of refurbishment is divided equally to the time required to refurbish, starting from Refurbishment year.
</t>
        </r>
        <r>
          <rPr>
            <b/>
            <sz val="10"/>
            <color rgb="FF000000"/>
            <rFont val="Tahoma"/>
            <family val="2"/>
          </rPr>
          <t xml:space="preserve">
</t>
        </r>
        <r>
          <rPr>
            <b/>
            <sz val="10"/>
            <color rgb="FF000000"/>
            <rFont val="Tahoma"/>
            <family val="2"/>
          </rPr>
          <t xml:space="preserve">Decommissioning costs are incurred at once when Decommissioning delay after shutdown has elapsed. (In reality, decommissioning would take some years in some cases. This simplification doesn't affect the results much due to discounting.) Decommissioning costs are calculated as share of original overnight costs.
</t>
        </r>
        <r>
          <rPr>
            <b/>
            <sz val="10"/>
            <color rgb="FF000000"/>
            <rFont val="Tahoma"/>
            <family val="2"/>
          </rPr>
          <t xml:space="preserve">
</t>
        </r>
        <r>
          <rPr>
            <b/>
            <sz val="10"/>
            <color rgb="FF000000"/>
            <rFont val="Tahoma"/>
            <family val="2"/>
          </rPr>
          <t>LCOE override "CAPEXrefurb/decon" is added to cell value.</t>
        </r>
        <r>
          <rPr>
            <sz val="10"/>
            <color rgb="FF000000"/>
            <rFont val="Tahoma"/>
            <family val="2"/>
          </rPr>
          <t xml:space="preserve">
</t>
        </r>
      </text>
    </comment>
    <comment ref="D44" authorId="0" shapeId="0" xr:uid="{6814E887-2F7E-4F45-B069-004258854082}">
      <text>
        <r>
          <rPr>
            <sz val="10"/>
            <color rgb="FF000000"/>
            <rFont val="Tahoma"/>
            <family val="2"/>
          </rPr>
          <t>Value is 1 if Lifetime expended at start of previous year (see right) is less than Lifetime in years; if equal or more, value is 0. Used as a multiplier to force production and costs to zero after end of life.</t>
        </r>
      </text>
    </comment>
    <comment ref="E44" authorId="0" shapeId="0" xr:uid="{F5533A41-FD3E-E54A-B372-47EE82750337}">
      <text>
        <r>
          <rPr>
            <sz val="10"/>
            <color rgb="FF000000"/>
            <rFont val="Tahoma"/>
            <family val="2"/>
          </rPr>
          <t xml:space="preserve">The operational status of the plant. 100% if Lifetime left? = 1 (plant has lifetime left) and refurbishing period isn't underway; otherwise 0.
</t>
        </r>
        <r>
          <rPr>
            <sz val="10"/>
            <color rgb="FF000000"/>
            <rFont val="Tahoma"/>
            <family val="2"/>
          </rPr>
          <t xml:space="preserve">
</t>
        </r>
        <r>
          <rPr>
            <sz val="10"/>
            <color rgb="FF000000"/>
            <rFont val="Tahoma"/>
            <family val="2"/>
          </rPr>
          <t>LCOE override "Operational%" is added to cell value.</t>
        </r>
      </text>
    </comment>
    <comment ref="F44" authorId="0" shapeId="0" xr:uid="{CE073E82-E922-8341-8765-66473882E2A3}">
      <text>
        <r>
          <rPr>
            <b/>
            <sz val="10"/>
            <color rgb="FF000000"/>
            <rFont val="Tahoma"/>
            <family val="2"/>
          </rPr>
          <t xml:space="preserve">Capacity factor of the plant. Starts from 50% of maximum (settled down), ramps up to maximum at a ramp-up rate per year. </t>
        </r>
        <r>
          <rPr>
            <sz val="10"/>
            <color rgb="FF000000"/>
            <rFont val="Tahoma"/>
            <family val="2"/>
          </rPr>
          <t xml:space="preserve">
</t>
        </r>
        <r>
          <rPr>
            <sz val="10"/>
            <color rgb="FF000000"/>
            <rFont val="Tahoma"/>
            <family val="2"/>
          </rPr>
          <t xml:space="preserve">
</t>
        </r>
        <r>
          <rPr>
            <sz val="12"/>
            <color rgb="FF000000"/>
            <rFont val="Calibri"/>
            <family val="2"/>
            <scheme val="minor"/>
          </rPr>
          <t>LCOE override "Capacity factor"  is added to cell value.</t>
        </r>
      </text>
    </comment>
    <comment ref="G44" authorId="0" shapeId="0" xr:uid="{8FF88A26-B4F2-8C41-BE13-CA0FEE22373D}">
      <text>
        <r>
          <rPr>
            <b/>
            <sz val="10"/>
            <color rgb="FF000000"/>
            <rFont val="Tahoma"/>
            <family val="2"/>
          </rPr>
          <t xml:space="preserve">Electricity produced during year. 
</t>
        </r>
        <r>
          <rPr>
            <b/>
            <sz val="10"/>
            <color rgb="FF000000"/>
            <rFont val="Tahoma"/>
            <family val="2"/>
          </rPr>
          <t xml:space="preserve">
</t>
        </r>
        <r>
          <rPr>
            <b/>
            <sz val="10"/>
            <color rgb="FF000000"/>
            <rFont val="Tahoma"/>
            <family val="2"/>
          </rPr>
          <t xml:space="preserve">(Max electric power + override max electric power) multiplied by current capacity factor, multiplied by operational%, Lifetime left? and Efficiency relative (right).
</t>
        </r>
        <r>
          <rPr>
            <b/>
            <sz val="10"/>
            <color rgb="FF000000"/>
            <rFont val="Tahoma"/>
            <family val="2"/>
          </rPr>
          <t xml:space="preserve">
</t>
        </r>
        <r>
          <rPr>
            <sz val="10"/>
            <color rgb="FF000000"/>
            <rFont val="Calibri"/>
            <family val="2"/>
          </rPr>
          <t xml:space="preserve">LCOE override "Electricity produced" is added to cell value.
</t>
        </r>
        <r>
          <rPr>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H44" authorId="0" shapeId="0" xr:uid="{778B2815-6DC0-304B-BFB2-D8964DC1CF67}">
      <text>
        <r>
          <rPr>
            <b/>
            <sz val="10"/>
            <color rgb="FF000000"/>
            <rFont val="Calibri"/>
            <family val="2"/>
          </rPr>
          <t xml:space="preserve">Heat produced during year. 
</t>
        </r>
        <r>
          <rPr>
            <b/>
            <sz val="10"/>
            <color rgb="FF000000"/>
            <rFont val="Calibri"/>
            <family val="2"/>
          </rPr>
          <t xml:space="preserve">
</t>
        </r>
        <r>
          <rPr>
            <b/>
            <sz val="10"/>
            <color rgb="FF000000"/>
            <rFont val="Calibri"/>
            <family val="2"/>
          </rPr>
          <t>(Max heat power + override max heat power) multiplied by current capacity factor, multiplied by operational%, Lifetime left? and Efficiency relative (right).</t>
        </r>
        <r>
          <rPr>
            <sz val="10"/>
            <color rgb="FF000000"/>
            <rFont val="Calibri"/>
            <family val="2"/>
          </rPr>
          <t xml:space="preserve"> </t>
        </r>
        <r>
          <rPr>
            <b/>
            <sz val="10"/>
            <color rgb="FF000000"/>
            <rFont val="Calibri"/>
            <family val="2"/>
          </rPr>
          <t xml:space="preserve">
</t>
        </r>
        <r>
          <rPr>
            <b/>
            <sz val="10"/>
            <color rgb="FF000000"/>
            <rFont val="Calibri"/>
            <family val="2"/>
          </rPr>
          <t xml:space="preserve">
</t>
        </r>
        <r>
          <rPr>
            <sz val="10"/>
            <color rgb="FF000000"/>
            <rFont val="Calibri"/>
            <family val="2"/>
          </rPr>
          <t xml:space="preserve">LCOE override "Heat produced" is added to cell value. </t>
        </r>
      </text>
    </comment>
    <comment ref="I44" authorId="0" shapeId="0" xr:uid="{D4D510F8-FE84-F445-B38F-C0F151043019}">
      <text>
        <r>
          <rPr>
            <b/>
            <sz val="10"/>
            <color rgb="FF000000"/>
            <rFont val="Tahoma"/>
            <family val="2"/>
          </rPr>
          <t xml:space="preserve">Fixed operational expenditure (not dependent on production). Calculated from Fixed OPEX * (Max electric power + Override Max electric power) if Max electric power &gt; 0; otherwise Fixed OPEX * (Max heat power + Override max heat power).
</t>
        </r>
        <r>
          <rPr>
            <b/>
            <sz val="10"/>
            <color rgb="FF000000"/>
            <rFont val="Tahoma"/>
            <family val="2"/>
          </rPr>
          <t xml:space="preserve">
</t>
        </r>
        <r>
          <rPr>
            <b/>
            <sz val="10"/>
            <color rgb="FF000000"/>
            <rFont val="Tahoma"/>
            <family val="2"/>
          </rPr>
          <t xml:space="preserve">Multiplied by OPEX Relative (right)
</t>
        </r>
        <r>
          <rPr>
            <b/>
            <sz val="10"/>
            <color rgb="FF000000"/>
            <rFont val="Tahoma"/>
            <family val="2"/>
          </rPr>
          <t xml:space="preserve">
</t>
        </r>
        <r>
          <rPr>
            <b/>
            <sz val="10"/>
            <color rgb="FF000000"/>
            <rFont val="Tahoma"/>
            <family val="2"/>
          </rPr>
          <t xml:space="preserve">LCOE override "Fixed OPEX" is added to cell value.
</t>
        </r>
        <r>
          <rPr>
            <b/>
            <sz val="10"/>
            <color rgb="FF000000"/>
            <rFont val="Tahoma"/>
            <family val="2"/>
          </rPr>
          <t xml:space="preserve">
</t>
        </r>
        <r>
          <rPr>
            <sz val="10"/>
            <color rgb="FF000000"/>
            <rFont val="Tahoma"/>
            <family val="2"/>
          </rPr>
          <t xml:space="preserve">
</t>
        </r>
      </text>
    </comment>
    <comment ref="J44" authorId="0" shapeId="0" xr:uid="{F2ADA3BB-30B8-1044-BF36-54CEC3D7B5C4}">
      <text>
        <r>
          <rPr>
            <b/>
            <sz val="10"/>
            <color rgb="FF000000"/>
            <rFont val="Calibri"/>
            <family val="2"/>
          </rPr>
          <t xml:space="preserve">Variable operational expenditure (dependent on production). Calculated from Variable OPEX * (Max electric power + Override Max electric power) if Max electric power &gt; 0; otherwise Variable OPEX * (Max heat power + Override max heat power).
</t>
        </r>
        <r>
          <rPr>
            <b/>
            <sz val="10"/>
            <color rgb="FF000000"/>
            <rFont val="Calibri"/>
            <family val="2"/>
          </rPr>
          <t xml:space="preserve">
</t>
        </r>
        <r>
          <rPr>
            <b/>
            <sz val="10"/>
            <color rgb="FF000000"/>
            <rFont val="Calibri"/>
            <family val="2"/>
          </rPr>
          <t xml:space="preserve">Multiplied by OPEX Relative (right).
</t>
        </r>
        <r>
          <rPr>
            <b/>
            <sz val="10"/>
            <color rgb="FF000000"/>
            <rFont val="Calibri"/>
            <family val="2"/>
          </rPr>
          <t xml:space="preserve">
</t>
        </r>
        <r>
          <rPr>
            <b/>
            <sz val="10"/>
            <color rgb="FF000000"/>
            <rFont val="Calibri"/>
            <family val="2"/>
          </rPr>
          <t xml:space="preserve">LCOE override "Variable OPEX" is added to cell value. </t>
        </r>
      </text>
    </comment>
    <comment ref="K44" authorId="0" shapeId="0" xr:uid="{D2970849-A1D8-8240-985F-1946696B35D1}">
      <text>
        <r>
          <rPr>
            <b/>
            <sz val="10"/>
            <color rgb="FF000000"/>
            <rFont val="Tahoma"/>
            <family val="2"/>
          </rPr>
          <t xml:space="preserve">OPEX cost escalator used in OPEX calculations. Starts at 100% + LCOE Override "OPEX Relative".
</t>
        </r>
        <r>
          <rPr>
            <b/>
            <sz val="10"/>
            <color rgb="FF000000"/>
            <rFont val="Tahoma"/>
            <family val="2"/>
          </rPr>
          <t xml:space="preserve">
</t>
        </r>
        <r>
          <rPr>
            <b/>
            <sz val="10"/>
            <color rgb="FF000000"/>
            <rFont val="Tahoma"/>
            <family val="2"/>
          </rPr>
          <t xml:space="preserve">Increases at the rate specified in "OPEX Escalator".
</t>
        </r>
        <r>
          <rPr>
            <b/>
            <sz val="10"/>
            <color rgb="FF000000"/>
            <rFont val="Tahoma"/>
            <family val="2"/>
          </rPr>
          <t xml:space="preserve">
</t>
        </r>
        <r>
          <rPr>
            <b/>
            <sz val="10"/>
            <color rgb="FF000000"/>
            <rFont val="Tahoma"/>
            <family val="2"/>
          </rPr>
          <t>LCOE Override "OPEX Relative is added to cell value.</t>
        </r>
        <r>
          <rPr>
            <sz val="10"/>
            <color rgb="FF000000"/>
            <rFont val="Tahoma"/>
            <family val="2"/>
          </rPr>
          <t xml:space="preserve">
</t>
        </r>
      </text>
    </comment>
    <comment ref="L44" authorId="0" shapeId="0" xr:uid="{68CDF350-E91E-DA48-871A-825076824FC7}">
      <text>
        <r>
          <rPr>
            <b/>
            <sz val="10"/>
            <color rgb="FF000000"/>
            <rFont val="Tahoma"/>
            <family val="2"/>
          </rPr>
          <t xml:space="preserve">Fuel expenditure. If initial max electric power &gt; 0, calculated from electricity production; otherwise from heat production.
NOTE: The above DOES NOT depend on LCOE Override "Max electric power", only from initial value.
Expenditure is multiplied by FUELEX relative (right).
LCOE Override "FUELEX" is added to cell value. </t>
        </r>
      </text>
    </comment>
    <comment ref="M44" authorId="0" shapeId="0" xr:uid="{F9BB12A7-55F8-4245-892C-E149F10D4399}">
      <text>
        <r>
          <rPr>
            <b/>
            <sz val="12"/>
            <color rgb="FF000000"/>
            <rFont val="Calibri"/>
            <family val="2"/>
          </rPr>
          <t xml:space="preserve">FUELEX cost escalator used in FUELEX calculation. Starts at 100% + LCOE Override "FUELEX Relative".
</t>
        </r>
        <r>
          <rPr>
            <b/>
            <sz val="12"/>
            <color rgb="FF000000"/>
            <rFont val="Calibri"/>
            <family val="2"/>
          </rPr>
          <t xml:space="preserve">
</t>
        </r>
        <r>
          <rPr>
            <b/>
            <sz val="12"/>
            <color rgb="FF000000"/>
            <rFont val="Calibri"/>
            <family val="2"/>
          </rPr>
          <t xml:space="preserve">Increases at the rate specified in "FUELEX Escalator".
</t>
        </r>
        <r>
          <rPr>
            <b/>
            <sz val="12"/>
            <color rgb="FF000000"/>
            <rFont val="Calibri"/>
            <family val="2"/>
          </rPr>
          <t xml:space="preserve">
</t>
        </r>
        <r>
          <rPr>
            <b/>
            <sz val="12"/>
            <color rgb="FF000000"/>
            <rFont val="Calibri"/>
            <family val="2"/>
          </rPr>
          <t>LCOE Override "FUELEX Relative" is added to cell value.</t>
        </r>
        <r>
          <rPr>
            <sz val="12"/>
            <color rgb="FF000000"/>
            <rFont val="Calibri"/>
            <family val="2"/>
          </rPr>
          <t xml:space="preserve">
</t>
        </r>
      </text>
    </comment>
    <comment ref="N44" authorId="0" shapeId="0" xr:uid="{A349F39C-60B9-4943-9DA4-550569E0C0D2}">
      <text>
        <r>
          <rPr>
            <b/>
            <sz val="10"/>
            <color rgb="FF000000"/>
            <rFont val="Tahoma"/>
            <family val="2"/>
          </rPr>
          <t xml:space="preserve">Plant efficiency relative to startup.
</t>
        </r>
        <r>
          <rPr>
            <b/>
            <sz val="10"/>
            <color rgb="FF000000"/>
            <rFont val="Tahoma"/>
            <family val="2"/>
          </rPr>
          <t xml:space="preserve">
</t>
        </r>
        <r>
          <rPr>
            <b/>
            <sz val="10"/>
            <color rgb="FF000000"/>
            <rFont val="Tahoma"/>
            <family val="2"/>
          </rPr>
          <t xml:space="preserve">Starts from 100%+LCOE Override "Efficiency relative".
</t>
        </r>
        <r>
          <rPr>
            <b/>
            <sz val="10"/>
            <color rgb="FF000000"/>
            <rFont val="Tahoma"/>
            <family val="2"/>
          </rPr>
          <t xml:space="preserve">
</t>
        </r>
        <r>
          <rPr>
            <b/>
            <sz val="10"/>
            <color rgb="FF000000"/>
            <rFont val="Tahoma"/>
            <family val="2"/>
          </rPr>
          <t xml:space="preserve">Decreases at the rate specified by "Efficiency loss/year".
</t>
        </r>
        <r>
          <rPr>
            <b/>
            <sz val="10"/>
            <color rgb="FF000000"/>
            <rFont val="Tahoma"/>
            <family val="2"/>
          </rPr>
          <t xml:space="preserve">
</t>
        </r>
        <r>
          <rPr>
            <b/>
            <sz val="10"/>
            <color rgb="FF000000"/>
            <rFont val="Tahoma"/>
            <family val="2"/>
          </rPr>
          <t>LCOE Override "Efficiency relative" is added to cell value.</t>
        </r>
        <r>
          <rPr>
            <sz val="10"/>
            <color rgb="FF000000"/>
            <rFont val="Tahoma"/>
            <family val="2"/>
          </rPr>
          <t xml:space="preserve">
</t>
        </r>
      </text>
    </comment>
    <comment ref="O44" authorId="0" shapeId="0" xr:uid="{4ADC79DB-F457-C24D-95D1-AD78C63E17C7}">
      <text>
        <r>
          <rPr>
            <b/>
            <sz val="10"/>
            <color rgb="FF000000"/>
            <rFont val="Tahoma"/>
            <family val="2"/>
          </rPr>
          <t xml:space="preserve">Emission factor per kWh produced.
</t>
        </r>
        <r>
          <rPr>
            <b/>
            <sz val="10"/>
            <color rgb="FF000000"/>
            <rFont val="Tahoma"/>
            <family val="2"/>
          </rPr>
          <t xml:space="preserve">
</t>
        </r>
        <r>
          <rPr>
            <b/>
            <sz val="10"/>
            <color rgb="FF000000"/>
            <rFont val="Tahoma"/>
            <family val="2"/>
          </rPr>
          <t>LCOE Override "Emission factor" is added to cell value.</t>
        </r>
        <r>
          <rPr>
            <sz val="10"/>
            <color rgb="FF000000"/>
            <rFont val="Tahoma"/>
            <family val="2"/>
          </rPr>
          <t xml:space="preserve">
</t>
        </r>
        <r>
          <rPr>
            <sz val="10"/>
            <color rgb="FF000000"/>
            <rFont val="Tahoma"/>
            <family val="2"/>
          </rPr>
          <t xml:space="preserve">
</t>
        </r>
        <r>
          <rPr>
            <sz val="10"/>
            <color rgb="FF000000"/>
            <rFont val="Tahoma"/>
            <family val="2"/>
          </rPr>
          <t>NOTE: Emission factor is in grams of CO2 equivalent per kWh produced.</t>
        </r>
      </text>
    </comment>
    <comment ref="P44" authorId="0" shapeId="0" xr:uid="{714DCBDE-95CD-154B-BC45-A03138EBB37D}">
      <text>
        <r>
          <rPr>
            <b/>
            <sz val="10"/>
            <color rgb="FF000000"/>
            <rFont val="Tahoma"/>
            <family val="2"/>
          </rPr>
          <t xml:space="preserve">How much of plant's notional emissions are taxed?
</t>
        </r>
        <r>
          <rPr>
            <b/>
            <sz val="10"/>
            <color rgb="FF000000"/>
            <rFont val="Tahoma"/>
            <family val="2"/>
          </rPr>
          <t xml:space="preserve">
</t>
        </r>
        <r>
          <rPr>
            <b/>
            <sz val="10"/>
            <color rgb="FF000000"/>
            <rFont val="Tahoma"/>
            <family val="2"/>
          </rPr>
          <t xml:space="preserve">100% if "Emissions taxed starting from year" equals or exceeds current year, 0 otherwise.
</t>
        </r>
        <r>
          <rPr>
            <b/>
            <sz val="10"/>
            <color rgb="FF000000"/>
            <rFont val="Tahoma"/>
            <family val="2"/>
          </rPr>
          <t xml:space="preserve">
</t>
        </r>
        <r>
          <rPr>
            <b/>
            <sz val="10"/>
            <color rgb="FF000000"/>
            <rFont val="Tahoma"/>
            <family val="2"/>
          </rPr>
          <t>LCOE Override "% of emissions taxed" is added to cell value.</t>
        </r>
        <r>
          <rPr>
            <sz val="10"/>
            <color rgb="FF000000"/>
            <rFont val="Tahoma"/>
            <family val="2"/>
          </rPr>
          <t xml:space="preserve">
</t>
        </r>
      </text>
    </comment>
    <comment ref="Q44" authorId="0" shapeId="0" xr:uid="{4F5C358D-1076-6044-945C-EA89E750509B}">
      <text>
        <r>
          <rPr>
            <b/>
            <sz val="10"/>
            <color rgb="FF000000"/>
            <rFont val="Tahoma"/>
            <family val="2"/>
          </rPr>
          <t xml:space="preserve">Total emissions based on Total emission factor (left) and production (electricity if initial max electric power &gt; 0, heat otherwise). </t>
        </r>
        <r>
          <rPr>
            <sz val="10"/>
            <color rgb="FF000000"/>
            <rFont val="Tahoma"/>
            <family val="2"/>
          </rPr>
          <t xml:space="preserve">
</t>
        </r>
        <r>
          <rPr>
            <sz val="10"/>
            <color rgb="FF000000"/>
            <rFont val="Tahoma"/>
            <family val="2"/>
          </rPr>
          <t xml:space="preserve">
NOTE: The above DOES NOT depend on LCOE Override "Max electric power", only from initial value.</t>
        </r>
      </text>
    </comment>
    <comment ref="R44" authorId="0" shapeId="0" xr:uid="{F18CA257-6D1F-464E-A089-9C328F23E859}">
      <text>
        <r>
          <rPr>
            <b/>
            <sz val="10"/>
            <color rgb="FF000000"/>
            <rFont val="Tahoma"/>
            <family val="2"/>
          </rPr>
          <t>To ease the calculations, shows the cost of emissions per ton of CO2 equivalent, from LCOE parameters.</t>
        </r>
        <r>
          <rPr>
            <sz val="10"/>
            <color rgb="FF000000"/>
            <rFont val="Tahoma"/>
            <family val="2"/>
          </rPr>
          <t xml:space="preserve">
</t>
        </r>
      </text>
    </comment>
    <comment ref="S44" authorId="0" shapeId="0" xr:uid="{91AA3EB6-45D2-6741-979D-B85785A676D2}">
      <text>
        <r>
          <rPr>
            <b/>
            <sz val="10"/>
            <color rgb="FF000000"/>
            <rFont val="Tahoma"/>
            <family val="2"/>
          </rPr>
          <t>Total cost of emissions levied from the plant.
Total emissions * % of emissions taxed * cost of tCO2E.
LCOE Override "Cost of emissions levied" is added to cell value.</t>
        </r>
        <r>
          <rPr>
            <sz val="10"/>
            <color rgb="FF000000"/>
            <rFont val="Tahoma"/>
            <family val="2"/>
          </rPr>
          <t xml:space="preserve">
</t>
        </r>
      </text>
    </comment>
    <comment ref="T44" authorId="0" shapeId="0" xr:uid="{A4892D6A-04CC-474F-B92B-F8F7F25EDAC4}">
      <text>
        <r>
          <rPr>
            <b/>
            <sz val="10"/>
            <color rgb="FF000000"/>
            <rFont val="Tahoma"/>
            <family val="2"/>
          </rPr>
          <t xml:space="preserve">Production tax per MWh produced.
LCOE Override "Tax per MWH produced" is added to cell value.
</t>
        </r>
        <r>
          <rPr>
            <sz val="10"/>
            <color rgb="FF000000"/>
            <rFont val="Tahoma"/>
            <family val="2"/>
          </rPr>
          <t xml:space="preserve">
</t>
        </r>
      </text>
    </comment>
    <comment ref="U44" authorId="0" shapeId="0" xr:uid="{DF1252A7-3AB2-654E-8BB2-11A255D581E4}">
      <text>
        <r>
          <rPr>
            <b/>
            <sz val="10"/>
            <color rgb="FF000000"/>
            <rFont val="Tahoma"/>
            <family val="2"/>
          </rPr>
          <t>Taxes actually levied from the plant, based on electric production if initial max electric power &gt; 0, on heat production otherwise.
NOTE: The above DOES NOT depend on LCOE Override "Max electric power", only on initial value.
LCOE Override "Taxes levied" is added to cell value.</t>
        </r>
        <r>
          <rPr>
            <sz val="10"/>
            <color rgb="FF000000"/>
            <rFont val="Tahoma"/>
            <family val="2"/>
          </rPr>
          <t xml:space="preserve">
</t>
        </r>
      </text>
    </comment>
    <comment ref="V44" authorId="0" shapeId="0" xr:uid="{F557111F-5468-8848-A189-DCDE3A233BA5}">
      <text>
        <r>
          <rPr>
            <b/>
            <sz val="10"/>
            <color rgb="FF000000"/>
            <rFont val="Tahoma"/>
            <family val="2"/>
          </rPr>
          <t xml:space="preserve">Waste fees per MWh of production.
</t>
        </r>
        <r>
          <rPr>
            <b/>
            <sz val="10"/>
            <color rgb="FF000000"/>
            <rFont val="Tahoma"/>
            <family val="2"/>
          </rPr>
          <t xml:space="preserve">
</t>
        </r>
        <r>
          <rPr>
            <b/>
            <sz val="10"/>
            <color rgb="FF000000"/>
            <rFont val="Tahoma"/>
            <family val="2"/>
          </rPr>
          <t>LCOE Override "Waste fee per MWh" is added to cell value.</t>
        </r>
        <r>
          <rPr>
            <sz val="10"/>
            <color rgb="FF000000"/>
            <rFont val="Tahoma"/>
            <family val="2"/>
          </rPr>
          <t xml:space="preserve">
</t>
        </r>
      </text>
    </comment>
    <comment ref="W44" authorId="0" shapeId="0" xr:uid="{0094DB1B-3551-044B-A330-88B8121DB4AB}">
      <text>
        <r>
          <rPr>
            <b/>
            <sz val="10"/>
            <color rgb="FF000000"/>
            <rFont val="Tahoma"/>
            <family val="2"/>
          </rPr>
          <t>Waste fees actually levied from the plant. Waste fee per MWh * production, electric if initial max electric power &gt;0, heat otherwise.
NOTE: The above DOES NOT depend on LCOE Override "Max electric power", only on initial value.
LCOE Override "Waste fee levied" is added to cell value.</t>
        </r>
        <r>
          <rPr>
            <sz val="10"/>
            <color rgb="FF000000"/>
            <rFont val="Tahoma"/>
            <family val="2"/>
          </rPr>
          <t xml:space="preserve">
</t>
        </r>
      </text>
    </comment>
    <comment ref="X44" authorId="0" shapeId="0" xr:uid="{BA55FC4C-57E4-9B4C-B315-F9D11DF2AE15}">
      <text>
        <r>
          <rPr>
            <b/>
            <sz val="10"/>
            <color rgb="FF000000"/>
            <rFont val="Tahoma"/>
            <family val="2"/>
          </rPr>
          <t xml:space="preserve">Heat credit per MWh of heat produced, deducted from costs.
LCOE Override "Heat credit per MWh" is added to cell value.
</t>
        </r>
        <r>
          <rPr>
            <sz val="10"/>
            <color rgb="FF000000"/>
            <rFont val="Tahoma"/>
            <family val="2"/>
          </rPr>
          <t xml:space="preserve">
</t>
        </r>
      </text>
    </comment>
    <comment ref="Y44" authorId="0" shapeId="0" xr:uid="{722FFB77-4D31-8941-B795-D97E46EE9530}">
      <text>
        <r>
          <rPr>
            <b/>
            <sz val="10"/>
            <color rgb="FF000000"/>
            <rFont val="Tahoma"/>
            <family val="2"/>
          </rPr>
          <t>Total heat credits deducted from costs. Heat credit per MWh * Heat produced.</t>
        </r>
        <r>
          <rPr>
            <sz val="10"/>
            <color rgb="FF000000"/>
            <rFont val="Tahoma"/>
            <family val="2"/>
          </rPr>
          <t xml:space="preserve">
</t>
        </r>
      </text>
    </comment>
    <comment ref="Z44" authorId="0" shapeId="0" xr:uid="{2A438B77-48BC-564B-AED8-BA780A3FA9F0}">
      <text>
        <r>
          <rPr>
            <b/>
            <sz val="10"/>
            <color rgb="FF000000"/>
            <rFont val="Tahoma"/>
            <family val="2"/>
          </rPr>
          <t>Total capital expenditure:
CAPEXconstr and CAPEXrefurb/decom.</t>
        </r>
        <r>
          <rPr>
            <sz val="10"/>
            <color rgb="FF000000"/>
            <rFont val="Tahoma"/>
            <family val="2"/>
          </rPr>
          <t xml:space="preserve">
</t>
        </r>
      </text>
    </comment>
    <comment ref="AA44" authorId="0" shapeId="0" xr:uid="{E09809E6-104C-F54D-B299-6F5B97544AF2}">
      <text>
        <r>
          <rPr>
            <b/>
            <sz val="10"/>
            <color rgb="FF000000"/>
            <rFont val="Tahoma"/>
            <family val="2"/>
          </rPr>
          <t>Total OPEX, Fixed + Variable.</t>
        </r>
        <r>
          <rPr>
            <sz val="10"/>
            <color rgb="FF000000"/>
            <rFont val="Tahoma"/>
            <family val="2"/>
          </rPr>
          <t xml:space="preserve">
</t>
        </r>
      </text>
    </comment>
    <comment ref="AB44" authorId="0" shapeId="0" xr:uid="{0F12B6A6-33F9-E744-9732-A3B6437276D5}">
      <text>
        <r>
          <rPr>
            <b/>
            <sz val="10"/>
            <color rgb="FF000000"/>
            <rFont val="Tahoma"/>
            <family val="2"/>
          </rPr>
          <t>Total fuel costs.</t>
        </r>
        <r>
          <rPr>
            <sz val="10"/>
            <color rgb="FF000000"/>
            <rFont val="Tahoma"/>
            <family val="2"/>
          </rPr>
          <t xml:space="preserve">
</t>
        </r>
      </text>
    </comment>
    <comment ref="AC44" authorId="0" shapeId="0" xr:uid="{BFC661F0-9DE1-344F-B536-F2DCA8E46CCC}">
      <text>
        <r>
          <rPr>
            <b/>
            <sz val="10"/>
            <color rgb="FF000000"/>
            <rFont val="Tahoma"/>
            <family val="2"/>
          </rPr>
          <t xml:space="preserve">Total taxes and waste fees levied. </t>
        </r>
        <r>
          <rPr>
            <sz val="10"/>
            <color rgb="FF000000"/>
            <rFont val="Tahoma"/>
            <family val="2"/>
          </rPr>
          <t xml:space="preserve">
</t>
        </r>
      </text>
    </comment>
    <comment ref="AD44" authorId="0" shapeId="0" xr:uid="{44046B24-5586-B94C-BD57-EB8B475B4587}">
      <text>
        <r>
          <rPr>
            <b/>
            <sz val="10"/>
            <color rgb="FF000000"/>
            <rFont val="Tahoma"/>
            <family val="2"/>
          </rPr>
          <t>Emission fees levied.</t>
        </r>
        <r>
          <rPr>
            <sz val="10"/>
            <color rgb="FF000000"/>
            <rFont val="Tahoma"/>
            <family val="2"/>
          </rPr>
          <t xml:space="preserve">
</t>
        </r>
      </text>
    </comment>
    <comment ref="AE44" authorId="0" shapeId="0" xr:uid="{A74420DB-4358-3644-B5E4-0C1DC64D5AE2}">
      <text>
        <r>
          <rPr>
            <b/>
            <sz val="10"/>
            <color rgb="FF000000"/>
            <rFont val="Tahoma"/>
            <family val="2"/>
          </rPr>
          <t>How much of plant's operational lifetime has been expended. Increases at a rate of 1 * Operational%.
Does not increase if the plant is being refurbished or suffering from outage.</t>
        </r>
        <r>
          <rPr>
            <sz val="10"/>
            <color rgb="FF000000"/>
            <rFont val="Tahoma"/>
            <family val="2"/>
          </rPr>
          <t xml:space="preserve">
Stops increasing when lifetime is met.</t>
        </r>
      </text>
    </comment>
    <comment ref="AF44" authorId="0" shapeId="0" xr:uid="{7973A69A-CF81-124F-BE29-58F37A3A1730}">
      <text>
        <r>
          <rPr>
            <b/>
            <sz val="10"/>
            <color rgb="FF000000"/>
            <rFont val="Tahoma"/>
            <family val="2"/>
          </rPr>
          <t>Discount rate r used to calculate the discount factor.
Interest During Construction (IDC) before year 0, WACC afterwards.
LCOE Override "Discount rate (WACC)" is added to cell value.</t>
        </r>
        <r>
          <rPr>
            <sz val="10"/>
            <color rgb="FF000000"/>
            <rFont val="Tahoma"/>
            <family val="2"/>
          </rPr>
          <t xml:space="preserve">
</t>
        </r>
      </text>
    </comment>
    <comment ref="AG44" authorId="0" shapeId="0" xr:uid="{10F21446-0729-A842-AD3E-ADA26A4BDC47}">
      <text>
        <r>
          <rPr>
            <b/>
            <sz val="10"/>
            <color rgb="FF000000"/>
            <rFont val="Tahoma"/>
            <family val="2"/>
          </rPr>
          <t>Calculates the discount factor (capital recovery), (1+r)^t.</t>
        </r>
        <r>
          <rPr>
            <sz val="10"/>
            <color rgb="FF000000"/>
            <rFont val="Tahoma"/>
            <family val="2"/>
          </rPr>
          <t xml:space="preserve">
</t>
        </r>
      </text>
    </comment>
    <comment ref="AH44" authorId="0" shapeId="0" xr:uid="{AAE31AFE-F802-B140-ABB3-408D044EF3DF}">
      <text>
        <r>
          <rPr>
            <b/>
            <sz val="10"/>
            <color rgb="FF000000"/>
            <rFont val="Tahoma"/>
            <family val="2"/>
          </rPr>
          <t>Discounted value of total capital costs.</t>
        </r>
        <r>
          <rPr>
            <sz val="10"/>
            <color rgb="FF000000"/>
            <rFont val="Tahoma"/>
            <family val="2"/>
          </rPr>
          <t xml:space="preserve">
</t>
        </r>
      </text>
    </comment>
    <comment ref="AI44" authorId="0" shapeId="0" xr:uid="{4BA39244-DEAF-7D46-83BD-DA0C620620E4}">
      <text>
        <r>
          <rPr>
            <b/>
            <sz val="10"/>
            <color rgb="FF000000"/>
            <rFont val="Tahoma"/>
            <family val="2"/>
          </rPr>
          <t>discounted value of O&amp;M (OPEX) costs.</t>
        </r>
        <r>
          <rPr>
            <sz val="10"/>
            <color rgb="FF000000"/>
            <rFont val="Tahoma"/>
            <family val="2"/>
          </rPr>
          <t xml:space="preserve">
</t>
        </r>
      </text>
    </comment>
    <comment ref="AJ44" authorId="0" shapeId="0" xr:uid="{B3576E84-B904-854E-B668-1EAFE6A0BCC7}">
      <text>
        <r>
          <rPr>
            <b/>
            <sz val="10"/>
            <color rgb="FF000000"/>
            <rFont val="Tahoma"/>
            <family val="2"/>
          </rPr>
          <t>Discounted value of fuel costs.</t>
        </r>
        <r>
          <rPr>
            <sz val="10"/>
            <color rgb="FF000000"/>
            <rFont val="Tahoma"/>
            <family val="2"/>
          </rPr>
          <t xml:space="preserve">
</t>
        </r>
      </text>
    </comment>
    <comment ref="AK44" authorId="0" shapeId="0" xr:uid="{739DB191-05F2-D046-8954-EA2A6706409A}">
      <text>
        <r>
          <rPr>
            <b/>
            <sz val="10"/>
            <color rgb="FF000000"/>
            <rFont val="Tahoma"/>
            <family val="2"/>
          </rPr>
          <t>Discounted value of taxes and waste fees levied.</t>
        </r>
        <r>
          <rPr>
            <sz val="10"/>
            <color rgb="FF000000"/>
            <rFont val="Tahoma"/>
            <family val="2"/>
          </rPr>
          <t xml:space="preserve">
</t>
        </r>
      </text>
    </comment>
    <comment ref="AL44" authorId="0" shapeId="0" xr:uid="{1274BBB1-ADE1-D542-A1B9-BA7340BFBD02}">
      <text>
        <r>
          <rPr>
            <b/>
            <sz val="10"/>
            <color rgb="FF000000"/>
            <rFont val="Tahoma"/>
            <family val="2"/>
          </rPr>
          <t>Discounted value of emission fees levied.</t>
        </r>
        <r>
          <rPr>
            <sz val="10"/>
            <color rgb="FF000000"/>
            <rFont val="Tahoma"/>
            <family val="2"/>
          </rPr>
          <t xml:space="preserve">
</t>
        </r>
      </text>
    </comment>
    <comment ref="AM44" authorId="0" shapeId="0" xr:uid="{64AD39B1-C52C-7F4D-9E68-EAC768F4A488}">
      <text>
        <r>
          <rPr>
            <b/>
            <sz val="10"/>
            <color rgb="FF000000"/>
            <rFont val="Tahoma"/>
            <family val="2"/>
          </rPr>
          <t>Discounted value of heat credits. Note that the value is negative, because heat credits decrease LCOE.</t>
        </r>
        <r>
          <rPr>
            <sz val="10"/>
            <color rgb="FF000000"/>
            <rFont val="Tahoma"/>
            <family val="2"/>
          </rPr>
          <t xml:space="preserve">
</t>
        </r>
      </text>
    </comment>
    <comment ref="AN44" authorId="0" shapeId="0" xr:uid="{0075BCA7-72BE-5A48-83F0-45E51A65D8B8}">
      <text>
        <r>
          <rPr>
            <b/>
            <sz val="10"/>
            <color rgb="FF000000"/>
            <rFont val="Tahoma"/>
            <family val="2"/>
          </rPr>
          <t xml:space="preserve">Discounted amount of production. Electric if initial max electric power &gt;0, heat otherwise. </t>
        </r>
        <r>
          <rPr>
            <sz val="10"/>
            <color rgb="FF000000"/>
            <rFont val="Tahoma"/>
            <family val="2"/>
          </rPr>
          <t xml:space="preserve">
</t>
        </r>
        <r>
          <rPr>
            <sz val="10"/>
            <color rgb="FF000000"/>
            <rFont val="Tahoma"/>
            <family val="2"/>
          </rPr>
          <t xml:space="preserve">
NOTE: This does not depend on LCOE Override "Max electric capacity", only on initial value.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A44" authorId="0" shapeId="0" xr:uid="{0FD72CAB-EFDB-7E46-8B48-1E83D072610D}">
      <text>
        <r>
          <rPr>
            <sz val="10"/>
            <color rgb="FF000000"/>
            <rFont val="Tahoma"/>
            <family val="2"/>
          </rPr>
          <t>Running year from -25 to 100</t>
        </r>
      </text>
    </comment>
    <comment ref="B44" authorId="0" shapeId="0" xr:uid="{307F1EE2-7ACE-FB4A-8D0E-7DCE96701275}">
      <text>
        <r>
          <rPr>
            <b/>
            <sz val="10"/>
            <color rgb="FF000000"/>
            <rFont val="Tahoma"/>
            <family val="2"/>
          </rPr>
          <t xml:space="preserve">Capital costs of construction. Total Overnight cost is divided equally to Construction period, starting from Year 0-Construction period.
</t>
        </r>
        <r>
          <rPr>
            <b/>
            <sz val="10"/>
            <color rgb="FF000000"/>
            <rFont val="Tahoma"/>
            <family val="2"/>
          </rPr>
          <t xml:space="preserve">
</t>
        </r>
        <r>
          <rPr>
            <b/>
            <sz val="10"/>
            <color rgb="FF000000"/>
            <rFont val="Tahoma"/>
            <family val="2"/>
          </rPr>
          <t>LCOE Override "CAPEXconstr" is added to cell value.</t>
        </r>
        <r>
          <rPr>
            <sz val="10"/>
            <color rgb="FF000000"/>
            <rFont val="Tahoma"/>
            <family val="2"/>
          </rPr>
          <t xml:space="preserve">
</t>
        </r>
      </text>
    </comment>
    <comment ref="C44" authorId="0" shapeId="0" xr:uid="{4AA699EB-0070-284E-8E28-6E275AB4B438}">
      <text>
        <r>
          <rPr>
            <b/>
            <sz val="10"/>
            <color rgb="FF000000"/>
            <rFont val="Tahoma"/>
            <family val="2"/>
          </rPr>
          <t xml:space="preserve">Capital costs of refurbishing and decommissioning.
</t>
        </r>
        <r>
          <rPr>
            <b/>
            <sz val="10"/>
            <color rgb="FF000000"/>
            <rFont val="Tahoma"/>
            <family val="2"/>
          </rPr>
          <t xml:space="preserve">
</t>
        </r>
        <r>
          <rPr>
            <b/>
            <sz val="10"/>
            <color rgb="FF000000"/>
            <rFont val="Tahoma"/>
            <family val="2"/>
          </rPr>
          <t xml:space="preserve">Total overnight cost of refurbishment is divided equally to the time required to refurbish, starting from Refurbishment year.
</t>
        </r>
        <r>
          <rPr>
            <b/>
            <sz val="10"/>
            <color rgb="FF000000"/>
            <rFont val="Tahoma"/>
            <family val="2"/>
          </rPr>
          <t xml:space="preserve">
</t>
        </r>
        <r>
          <rPr>
            <b/>
            <sz val="10"/>
            <color rgb="FF000000"/>
            <rFont val="Tahoma"/>
            <family val="2"/>
          </rPr>
          <t xml:space="preserve">Decommissioning costs are incurred at once when Decommissioning delay after shutdown has elapsed. (In reality, decommissioning would take some years in some cases. This simplification doesn't affect the results much due to discounting.) Decommissioning costs are calculated as share of original overnight costs.
</t>
        </r>
        <r>
          <rPr>
            <b/>
            <sz val="10"/>
            <color rgb="FF000000"/>
            <rFont val="Tahoma"/>
            <family val="2"/>
          </rPr>
          <t xml:space="preserve">
</t>
        </r>
        <r>
          <rPr>
            <b/>
            <sz val="10"/>
            <color rgb="FF000000"/>
            <rFont val="Tahoma"/>
            <family val="2"/>
          </rPr>
          <t>LCOE override "CAPEXrefurb/decon" is added to cell value.</t>
        </r>
        <r>
          <rPr>
            <sz val="10"/>
            <color rgb="FF000000"/>
            <rFont val="Tahoma"/>
            <family val="2"/>
          </rPr>
          <t xml:space="preserve">
</t>
        </r>
      </text>
    </comment>
    <comment ref="D44" authorId="0" shapeId="0" xr:uid="{1A2A20F4-FCB0-A145-A3F2-CE1937121C7B}">
      <text>
        <r>
          <rPr>
            <sz val="10"/>
            <color rgb="FF000000"/>
            <rFont val="Tahoma"/>
            <family val="2"/>
          </rPr>
          <t>Value is 1 if Lifetime expended at start of previous year (see right) is less than Lifetime in years; if equal or more, value is 0. Used as a multiplier to force production and costs to zero after end of life.</t>
        </r>
      </text>
    </comment>
    <comment ref="E44" authorId="0" shapeId="0" xr:uid="{89987538-3615-A64D-9B19-E35FD276A5AC}">
      <text>
        <r>
          <rPr>
            <sz val="10"/>
            <color rgb="FF000000"/>
            <rFont val="Tahoma"/>
            <family val="2"/>
          </rPr>
          <t xml:space="preserve">The operational status of the plant. 100% if Lifetime left? = 1 (plant has lifetime left) and refurbishing period isn't underway; otherwise 0.
</t>
        </r>
        <r>
          <rPr>
            <sz val="10"/>
            <color rgb="FF000000"/>
            <rFont val="Tahoma"/>
            <family val="2"/>
          </rPr>
          <t xml:space="preserve">
</t>
        </r>
        <r>
          <rPr>
            <sz val="10"/>
            <color rgb="FF000000"/>
            <rFont val="Tahoma"/>
            <family val="2"/>
          </rPr>
          <t>LCOE override "Operational%" is added to cell value.</t>
        </r>
      </text>
    </comment>
    <comment ref="F44" authorId="0" shapeId="0" xr:uid="{512EFBBF-5E66-4044-A3A9-2FEA965FFAFF}">
      <text>
        <r>
          <rPr>
            <b/>
            <sz val="10"/>
            <color rgb="FF000000"/>
            <rFont val="Tahoma"/>
            <family val="2"/>
          </rPr>
          <t xml:space="preserve">Capacity factor of the plant. Starts from 50% of maximum (settled down), ramps up to maximum at a ramp-up rate per year. </t>
        </r>
        <r>
          <rPr>
            <sz val="10"/>
            <color rgb="FF000000"/>
            <rFont val="Tahoma"/>
            <family val="2"/>
          </rPr>
          <t xml:space="preserve">
</t>
        </r>
        <r>
          <rPr>
            <sz val="10"/>
            <color rgb="FF000000"/>
            <rFont val="Tahoma"/>
            <family val="2"/>
          </rPr>
          <t xml:space="preserve">
</t>
        </r>
        <r>
          <rPr>
            <sz val="12"/>
            <color rgb="FF000000"/>
            <rFont val="Calibri"/>
            <family val="2"/>
            <scheme val="minor"/>
          </rPr>
          <t>LCOE override "Capacity factor"  is added to cell value.</t>
        </r>
      </text>
    </comment>
    <comment ref="G44" authorId="0" shapeId="0" xr:uid="{0FC52ADC-45AF-1F4A-A1A1-1FB46FA999A7}">
      <text>
        <r>
          <rPr>
            <b/>
            <sz val="10"/>
            <color rgb="FF000000"/>
            <rFont val="Tahoma"/>
            <family val="2"/>
          </rPr>
          <t xml:space="preserve">Electricity produced during year. 
</t>
        </r>
        <r>
          <rPr>
            <b/>
            <sz val="10"/>
            <color rgb="FF000000"/>
            <rFont val="Tahoma"/>
            <family val="2"/>
          </rPr>
          <t xml:space="preserve">
</t>
        </r>
        <r>
          <rPr>
            <b/>
            <sz val="10"/>
            <color rgb="FF000000"/>
            <rFont val="Tahoma"/>
            <family val="2"/>
          </rPr>
          <t xml:space="preserve">(Max electric power + override max electric power) multiplied by current capacity factor, multiplied by operational%, Lifetime left? and Efficiency relative (right).
</t>
        </r>
        <r>
          <rPr>
            <b/>
            <sz val="10"/>
            <color rgb="FF000000"/>
            <rFont val="Tahoma"/>
            <family val="2"/>
          </rPr>
          <t xml:space="preserve">
</t>
        </r>
        <r>
          <rPr>
            <sz val="10"/>
            <color rgb="FF000000"/>
            <rFont val="Calibri"/>
            <family val="2"/>
          </rPr>
          <t xml:space="preserve">LCOE override "Electricity produced" is added to cell value.
</t>
        </r>
        <r>
          <rPr>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H44" authorId="0" shapeId="0" xr:uid="{6E3905F8-2EDE-824F-A638-8E3FCB6C06BD}">
      <text>
        <r>
          <rPr>
            <b/>
            <sz val="10"/>
            <color rgb="FF000000"/>
            <rFont val="Calibri"/>
            <family val="2"/>
            <scheme val="minor"/>
          </rPr>
          <t>Heat produced during year. 
(Max heat power + override max heat power) multiplied by current capacity factor, multiplied by operational%, Lifetime left? and Efficiency relative (right).</t>
        </r>
        <r>
          <rPr>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LCOE override "Heat produced" is added to cell value.</t>
        </r>
        <r>
          <rPr>
            <sz val="10"/>
            <color rgb="FF000000"/>
            <rFont val="Calibri"/>
            <family val="2"/>
            <scheme val="minor"/>
          </rPr>
          <t xml:space="preserve"> </t>
        </r>
      </text>
    </comment>
    <comment ref="I44" authorId="0" shapeId="0" xr:uid="{65E5B5CE-40A2-334F-A177-F7172EEE14EE}">
      <text>
        <r>
          <rPr>
            <b/>
            <sz val="10"/>
            <color rgb="FF000000"/>
            <rFont val="Tahoma"/>
            <family val="2"/>
          </rPr>
          <t xml:space="preserve">Fixed operational expenditure (not dependent on production). Calculated from Fixed OPEX * (Max electric power + Override Max electric power) if Max electric power &gt; 0; otherwise Fixed OPEX * (Max heat power + Override max heat power).
</t>
        </r>
        <r>
          <rPr>
            <b/>
            <sz val="10"/>
            <color rgb="FF000000"/>
            <rFont val="Tahoma"/>
            <family val="2"/>
          </rPr>
          <t xml:space="preserve">
</t>
        </r>
        <r>
          <rPr>
            <b/>
            <sz val="10"/>
            <color rgb="FF000000"/>
            <rFont val="Tahoma"/>
            <family val="2"/>
          </rPr>
          <t xml:space="preserve">Multiplied by OPEX Relative (right)
</t>
        </r>
        <r>
          <rPr>
            <b/>
            <sz val="10"/>
            <color rgb="FF000000"/>
            <rFont val="Tahoma"/>
            <family val="2"/>
          </rPr>
          <t xml:space="preserve">
</t>
        </r>
        <r>
          <rPr>
            <b/>
            <sz val="10"/>
            <color rgb="FF000000"/>
            <rFont val="Tahoma"/>
            <family val="2"/>
          </rPr>
          <t xml:space="preserve">LCOE override "Fixed OPEX" is added to cell value.
</t>
        </r>
        <r>
          <rPr>
            <b/>
            <sz val="10"/>
            <color rgb="FF000000"/>
            <rFont val="Tahoma"/>
            <family val="2"/>
          </rPr>
          <t xml:space="preserve">
</t>
        </r>
        <r>
          <rPr>
            <sz val="10"/>
            <color rgb="FF000000"/>
            <rFont val="Tahoma"/>
            <family val="2"/>
          </rPr>
          <t xml:space="preserve">
</t>
        </r>
      </text>
    </comment>
    <comment ref="J44" authorId="0" shapeId="0" xr:uid="{5BE1A8D8-6179-9B43-A686-D2E7637F0B5C}">
      <text>
        <r>
          <rPr>
            <b/>
            <sz val="10"/>
            <color rgb="FF000000"/>
            <rFont val="Calibri"/>
            <family val="2"/>
            <scheme val="minor"/>
          </rPr>
          <t xml:space="preserve">Variable operational expenditure (dependent on production). Calculated from Variable OPEX * (Max electric power + Override Max electric power) if Max electric power &gt; 0; otherwise Variable OPEX * (Max heat power + Override max heat power).
Multiplied by OPEX Relative (right).
LCOE override "Variable OPEX" is added to cell value. </t>
        </r>
      </text>
    </comment>
    <comment ref="K44" authorId="0" shapeId="0" xr:uid="{C1F713BF-7FB6-7249-9B3E-CC496B9A04E1}">
      <text>
        <r>
          <rPr>
            <b/>
            <sz val="10"/>
            <color rgb="FF000000"/>
            <rFont val="Tahoma"/>
            <family val="2"/>
          </rPr>
          <t>OPEX cost escalator used in OPEX calculations. Starts at 100% + LCOE Override "OPEX Relative".
Increases at the rate specified in "OPEX Escalator".
LCOE Override "OPEX Relative is added to cell value.</t>
        </r>
        <r>
          <rPr>
            <sz val="10"/>
            <color rgb="FF000000"/>
            <rFont val="Tahoma"/>
            <family val="2"/>
          </rPr>
          <t xml:space="preserve">
</t>
        </r>
      </text>
    </comment>
    <comment ref="L44" authorId="0" shapeId="0" xr:uid="{93DBC959-1386-7B40-AA99-0AF6E404FE8E}">
      <text>
        <r>
          <rPr>
            <b/>
            <sz val="10"/>
            <color rgb="FF000000"/>
            <rFont val="Tahoma"/>
            <family val="2"/>
          </rPr>
          <t xml:space="preserve">Fuel expenditure. If initial max electric power &gt; 0, calculated from electricity production; otherwise from heat production.
NOTE: The above DOES NOT depend on LCOE Override "Max electric power", only from initial value.
Expenditure is multiplied by FUELEX relative (right).
LCOE Override "FUELEX" is added to cell value. </t>
        </r>
      </text>
    </comment>
    <comment ref="M44" authorId="0" shapeId="0" xr:uid="{48186D10-0587-6445-8016-FF6D1B4BFA31}">
      <text>
        <r>
          <rPr>
            <b/>
            <sz val="12"/>
            <color rgb="FF000000"/>
            <rFont val="Calibri"/>
            <family val="2"/>
            <scheme val="minor"/>
          </rPr>
          <t>FUELEX cost escalator used in FUELEX calculation. Starts at 100% + LCOE Override "FUELEX Relative".
Increases at the rate specified in "FUELEX Escalator".
LCOE Override "FUELEX Relative" is added to cell value.</t>
        </r>
        <r>
          <rPr>
            <sz val="12"/>
            <color rgb="FF000000"/>
            <rFont val="Calibri"/>
            <family val="2"/>
            <scheme val="minor"/>
          </rPr>
          <t xml:space="preserve">
</t>
        </r>
      </text>
    </comment>
    <comment ref="N44" authorId="0" shapeId="0" xr:uid="{1297E8F8-5333-C54E-8CE4-8C5CB1FF02E0}">
      <text>
        <r>
          <rPr>
            <b/>
            <sz val="10"/>
            <color rgb="FF000000"/>
            <rFont val="Tahoma"/>
            <family val="2"/>
          </rPr>
          <t>Plant efficiency relative to startup.
Starts from 100%+LCOE Override "Efficiency relative".
Decreases at the rate specified by "Efficiency loss/year".
LCOE Override "Efficiency relative" is added to cell value.</t>
        </r>
        <r>
          <rPr>
            <sz val="10"/>
            <color rgb="FF000000"/>
            <rFont val="Tahoma"/>
            <family val="2"/>
          </rPr>
          <t xml:space="preserve">
</t>
        </r>
      </text>
    </comment>
    <comment ref="O44" authorId="0" shapeId="0" xr:uid="{61D287EA-FD27-EC4E-A43D-954FF417A8DC}">
      <text>
        <r>
          <rPr>
            <b/>
            <sz val="10"/>
            <color rgb="FF000000"/>
            <rFont val="Tahoma"/>
            <family val="2"/>
          </rPr>
          <t xml:space="preserve">Emission factor per kWh produced.
</t>
        </r>
        <r>
          <rPr>
            <b/>
            <sz val="10"/>
            <color rgb="FF000000"/>
            <rFont val="Tahoma"/>
            <family val="2"/>
          </rPr>
          <t xml:space="preserve">
</t>
        </r>
        <r>
          <rPr>
            <b/>
            <sz val="10"/>
            <color rgb="FF000000"/>
            <rFont val="Tahoma"/>
            <family val="2"/>
          </rPr>
          <t>LCOE Override "Emission factor" is added to cell value.</t>
        </r>
        <r>
          <rPr>
            <sz val="10"/>
            <color rgb="FF000000"/>
            <rFont val="Tahoma"/>
            <family val="2"/>
          </rPr>
          <t xml:space="preserve">
</t>
        </r>
        <r>
          <rPr>
            <sz val="10"/>
            <color rgb="FF000000"/>
            <rFont val="Tahoma"/>
            <family val="2"/>
          </rPr>
          <t xml:space="preserve">
</t>
        </r>
        <r>
          <rPr>
            <sz val="10"/>
            <color rgb="FF000000"/>
            <rFont val="Tahoma"/>
            <family val="2"/>
          </rPr>
          <t>NOTE: Emission factor is in grams of CO2 equivalent per kWh produced.</t>
        </r>
      </text>
    </comment>
    <comment ref="P44" authorId="0" shapeId="0" xr:uid="{1B7B3786-88C5-B44B-BBF6-F89E572581A5}">
      <text>
        <r>
          <rPr>
            <b/>
            <sz val="10"/>
            <color rgb="FF000000"/>
            <rFont val="Tahoma"/>
            <family val="2"/>
          </rPr>
          <t xml:space="preserve">How much of plant's notional emissions are taxed?
</t>
        </r>
        <r>
          <rPr>
            <b/>
            <sz val="10"/>
            <color rgb="FF000000"/>
            <rFont val="Tahoma"/>
            <family val="2"/>
          </rPr>
          <t xml:space="preserve">
</t>
        </r>
        <r>
          <rPr>
            <b/>
            <sz val="10"/>
            <color rgb="FF000000"/>
            <rFont val="Tahoma"/>
            <family val="2"/>
          </rPr>
          <t xml:space="preserve">100% if "Emissions taxed starting from year" equals or exceeds current year, 0 otherwise.
</t>
        </r>
        <r>
          <rPr>
            <b/>
            <sz val="10"/>
            <color rgb="FF000000"/>
            <rFont val="Tahoma"/>
            <family val="2"/>
          </rPr>
          <t xml:space="preserve">
</t>
        </r>
        <r>
          <rPr>
            <b/>
            <sz val="10"/>
            <color rgb="FF000000"/>
            <rFont val="Tahoma"/>
            <family val="2"/>
          </rPr>
          <t>LCOE Override "% of emissions taxed" is added to cell value.</t>
        </r>
        <r>
          <rPr>
            <sz val="10"/>
            <color rgb="FF000000"/>
            <rFont val="Tahoma"/>
            <family val="2"/>
          </rPr>
          <t xml:space="preserve">
</t>
        </r>
      </text>
    </comment>
    <comment ref="Q44" authorId="0" shapeId="0" xr:uid="{8FBB1EA2-87E5-E148-9DB4-3883B0211783}">
      <text>
        <r>
          <rPr>
            <b/>
            <sz val="10"/>
            <color rgb="FF000000"/>
            <rFont val="Tahoma"/>
            <family val="2"/>
          </rPr>
          <t xml:space="preserve">Total emissions based on Total emission factor (left) and production (electricity if initial max electric power &gt; 0, heat otherwise). </t>
        </r>
        <r>
          <rPr>
            <sz val="10"/>
            <color rgb="FF000000"/>
            <rFont val="Tahoma"/>
            <family val="2"/>
          </rPr>
          <t xml:space="preserve">
</t>
        </r>
        <r>
          <rPr>
            <sz val="10"/>
            <color rgb="FF000000"/>
            <rFont val="Tahoma"/>
            <family val="2"/>
          </rPr>
          <t xml:space="preserve">
NOTE: The above DOES NOT depend on LCOE Override "Max electric power", only from initial value.</t>
        </r>
      </text>
    </comment>
    <comment ref="R44" authorId="0" shapeId="0" xr:uid="{C25D5AA5-0FEC-554E-9230-7B0F7860AC9C}">
      <text>
        <r>
          <rPr>
            <b/>
            <sz val="10"/>
            <color rgb="FF000000"/>
            <rFont val="Tahoma"/>
            <family val="2"/>
          </rPr>
          <t>To ease the calculations, shows the cost of emissions per ton of CO2 equivalent, from LCOE parameters.</t>
        </r>
        <r>
          <rPr>
            <sz val="10"/>
            <color rgb="FF000000"/>
            <rFont val="Tahoma"/>
            <family val="2"/>
          </rPr>
          <t xml:space="preserve">
</t>
        </r>
      </text>
    </comment>
    <comment ref="S44" authorId="0" shapeId="0" xr:uid="{F9333094-E434-DA42-A7D4-035F601CF479}">
      <text>
        <r>
          <rPr>
            <b/>
            <sz val="10"/>
            <color rgb="FF000000"/>
            <rFont val="Tahoma"/>
            <family val="2"/>
          </rPr>
          <t>Total cost of emissions levied from the plant.
Total emissions * % of emissions taxed * cost of tCO2E.
LCOE Override "Cost of emissions levied" is added to cell value.</t>
        </r>
        <r>
          <rPr>
            <sz val="10"/>
            <color rgb="FF000000"/>
            <rFont val="Tahoma"/>
            <family val="2"/>
          </rPr>
          <t xml:space="preserve">
</t>
        </r>
      </text>
    </comment>
    <comment ref="T44" authorId="0" shapeId="0" xr:uid="{5C02DE8D-EA19-B14A-A108-95A076173514}">
      <text>
        <r>
          <rPr>
            <b/>
            <sz val="10"/>
            <color rgb="FF000000"/>
            <rFont val="Tahoma"/>
            <family val="2"/>
          </rPr>
          <t xml:space="preserve">Production tax per MWh produced.
LCOE Override "Tax per MWH produced" is added to cell value.
</t>
        </r>
        <r>
          <rPr>
            <sz val="10"/>
            <color rgb="FF000000"/>
            <rFont val="Tahoma"/>
            <family val="2"/>
          </rPr>
          <t xml:space="preserve">
</t>
        </r>
      </text>
    </comment>
    <comment ref="U44" authorId="0" shapeId="0" xr:uid="{8A68911C-77A5-6A4F-8A65-DDBCC4FC267A}">
      <text>
        <r>
          <rPr>
            <b/>
            <sz val="10"/>
            <color rgb="FF000000"/>
            <rFont val="Tahoma"/>
            <family val="2"/>
          </rPr>
          <t>Taxes actually levied from the plant, based on electric production if initial max electric power &gt; 0, on heat production otherwise.
NOTE: The above DOES NOT depend on LCOE Override "Max electric power", only on initial value.
LCOE Override "Taxes levied" is added to cell value.</t>
        </r>
        <r>
          <rPr>
            <sz val="10"/>
            <color rgb="FF000000"/>
            <rFont val="Tahoma"/>
            <family val="2"/>
          </rPr>
          <t xml:space="preserve">
</t>
        </r>
      </text>
    </comment>
    <comment ref="V44" authorId="0" shapeId="0" xr:uid="{7C88185E-8BCB-1649-BB4F-4110989A2620}">
      <text>
        <r>
          <rPr>
            <b/>
            <sz val="10"/>
            <color rgb="FF000000"/>
            <rFont val="Tahoma"/>
            <family val="2"/>
          </rPr>
          <t xml:space="preserve">Waste fees per MWh of production.
</t>
        </r>
        <r>
          <rPr>
            <b/>
            <sz val="10"/>
            <color rgb="FF000000"/>
            <rFont val="Tahoma"/>
            <family val="2"/>
          </rPr>
          <t xml:space="preserve">
</t>
        </r>
        <r>
          <rPr>
            <b/>
            <sz val="10"/>
            <color rgb="FF000000"/>
            <rFont val="Tahoma"/>
            <family val="2"/>
          </rPr>
          <t>LCOE Override "Waste fee per MWh" is added to cell value.</t>
        </r>
        <r>
          <rPr>
            <sz val="10"/>
            <color rgb="FF000000"/>
            <rFont val="Tahoma"/>
            <family val="2"/>
          </rPr>
          <t xml:space="preserve">
</t>
        </r>
      </text>
    </comment>
    <comment ref="W44" authorId="0" shapeId="0" xr:uid="{C6191607-7A22-CC41-917B-52F946896A59}">
      <text>
        <r>
          <rPr>
            <b/>
            <sz val="10"/>
            <color rgb="FF000000"/>
            <rFont val="Tahoma"/>
            <family val="2"/>
          </rPr>
          <t>Waste fees actually levied from the plant. Waste fee per MWh * production, electric if initial max electric power &gt;0, heat otherwise.
NOTE: The above DOES NOT depend on LCOE Override "Max electric power", only on initial value.
LCOE Override "Waste fee levied" is added to cell value.</t>
        </r>
        <r>
          <rPr>
            <sz val="10"/>
            <color rgb="FF000000"/>
            <rFont val="Tahoma"/>
            <family val="2"/>
          </rPr>
          <t xml:space="preserve">
</t>
        </r>
      </text>
    </comment>
    <comment ref="X44" authorId="0" shapeId="0" xr:uid="{44D3BB6D-2BA0-FA48-8EA5-74ACB9706263}">
      <text>
        <r>
          <rPr>
            <b/>
            <sz val="10"/>
            <color rgb="FF000000"/>
            <rFont val="Tahoma"/>
            <family val="2"/>
          </rPr>
          <t xml:space="preserve">Heat credit per MWh of heat produced, deducted from costs.
LCOE Override "Heat credit per MWh" is added to cell value.
</t>
        </r>
        <r>
          <rPr>
            <sz val="10"/>
            <color rgb="FF000000"/>
            <rFont val="Tahoma"/>
            <family val="2"/>
          </rPr>
          <t xml:space="preserve">
</t>
        </r>
      </text>
    </comment>
    <comment ref="Y44" authorId="0" shapeId="0" xr:uid="{29F8D3E2-DA44-1D4F-950F-FD2D834FFDA9}">
      <text>
        <r>
          <rPr>
            <b/>
            <sz val="10"/>
            <color rgb="FF000000"/>
            <rFont val="Tahoma"/>
            <family val="2"/>
          </rPr>
          <t>Total heat credits deducted from costs. Heat credit per MWh * Heat produced.</t>
        </r>
        <r>
          <rPr>
            <sz val="10"/>
            <color rgb="FF000000"/>
            <rFont val="Tahoma"/>
            <family val="2"/>
          </rPr>
          <t xml:space="preserve">
</t>
        </r>
      </text>
    </comment>
    <comment ref="Z44" authorId="0" shapeId="0" xr:uid="{63552418-9E25-1843-99AF-6620DB280438}">
      <text>
        <r>
          <rPr>
            <b/>
            <sz val="10"/>
            <color rgb="FF000000"/>
            <rFont val="Tahoma"/>
            <family val="2"/>
          </rPr>
          <t>Total capital expenditure:
CAPEXconstr and CAPEXrefurb/decom.</t>
        </r>
        <r>
          <rPr>
            <sz val="10"/>
            <color rgb="FF000000"/>
            <rFont val="Tahoma"/>
            <family val="2"/>
          </rPr>
          <t xml:space="preserve">
</t>
        </r>
      </text>
    </comment>
    <comment ref="AA44" authorId="0" shapeId="0" xr:uid="{D8E52237-D5D4-2E42-A37C-D931C5E12626}">
      <text>
        <r>
          <rPr>
            <b/>
            <sz val="10"/>
            <color rgb="FF000000"/>
            <rFont val="Tahoma"/>
            <family val="2"/>
          </rPr>
          <t>Total OPEX, Fixed + Variable.</t>
        </r>
        <r>
          <rPr>
            <sz val="10"/>
            <color rgb="FF000000"/>
            <rFont val="Tahoma"/>
            <family val="2"/>
          </rPr>
          <t xml:space="preserve">
</t>
        </r>
      </text>
    </comment>
    <comment ref="AB44" authorId="0" shapeId="0" xr:uid="{575591E3-3B5D-B444-AFBD-8A84994E2606}">
      <text>
        <r>
          <rPr>
            <b/>
            <sz val="10"/>
            <color rgb="FF000000"/>
            <rFont val="Tahoma"/>
            <family val="2"/>
          </rPr>
          <t>Total fuel costs.</t>
        </r>
        <r>
          <rPr>
            <sz val="10"/>
            <color rgb="FF000000"/>
            <rFont val="Tahoma"/>
            <family val="2"/>
          </rPr>
          <t xml:space="preserve">
</t>
        </r>
      </text>
    </comment>
    <comment ref="AC44" authorId="0" shapeId="0" xr:uid="{4909BCD8-F43F-F741-A9EC-BFE9DF5F14B7}">
      <text>
        <r>
          <rPr>
            <b/>
            <sz val="10"/>
            <color rgb="FF000000"/>
            <rFont val="Tahoma"/>
            <family val="2"/>
          </rPr>
          <t xml:space="preserve">Total taxes and waste fees levied. </t>
        </r>
        <r>
          <rPr>
            <sz val="10"/>
            <color rgb="FF000000"/>
            <rFont val="Tahoma"/>
            <family val="2"/>
          </rPr>
          <t xml:space="preserve">
</t>
        </r>
      </text>
    </comment>
    <comment ref="AD44" authorId="0" shapeId="0" xr:uid="{C2AF34E7-835F-5E46-80FF-C75AB1F06060}">
      <text>
        <r>
          <rPr>
            <b/>
            <sz val="10"/>
            <color rgb="FF000000"/>
            <rFont val="Tahoma"/>
            <family val="2"/>
          </rPr>
          <t>Emission fees levied.</t>
        </r>
        <r>
          <rPr>
            <sz val="10"/>
            <color rgb="FF000000"/>
            <rFont val="Tahoma"/>
            <family val="2"/>
          </rPr>
          <t xml:space="preserve">
</t>
        </r>
      </text>
    </comment>
    <comment ref="AE44" authorId="0" shapeId="0" xr:uid="{CFD98773-A912-BD4D-8D82-0B18872E92BB}">
      <text>
        <r>
          <rPr>
            <b/>
            <sz val="10"/>
            <color rgb="FF000000"/>
            <rFont val="Tahoma"/>
            <family val="2"/>
          </rPr>
          <t>How much of plant's operational lifetime has been expended. Increases at a rate of 1 * Operational%.
Does not increase if the plant is being refurbished or suffering from outage.</t>
        </r>
        <r>
          <rPr>
            <sz val="10"/>
            <color rgb="FF000000"/>
            <rFont val="Tahoma"/>
            <family val="2"/>
          </rPr>
          <t xml:space="preserve">
Stops increasing when lifetime is met.</t>
        </r>
      </text>
    </comment>
    <comment ref="AF44" authorId="0" shapeId="0" xr:uid="{EEDDFEF8-1F6A-B241-B8F2-A044592E6A55}">
      <text>
        <r>
          <rPr>
            <b/>
            <sz val="10"/>
            <color rgb="FF000000"/>
            <rFont val="Tahoma"/>
            <family val="2"/>
          </rPr>
          <t>Discount rate r used to calculate the discount factor.
Interest During Construction (IDC) before year 0, WACC afterwards.
LCOE Override "Discount rate (WACC)" is added to cell value.</t>
        </r>
        <r>
          <rPr>
            <sz val="10"/>
            <color rgb="FF000000"/>
            <rFont val="Tahoma"/>
            <family val="2"/>
          </rPr>
          <t xml:space="preserve">
</t>
        </r>
      </text>
    </comment>
    <comment ref="AG44" authorId="0" shapeId="0" xr:uid="{1E6A40A8-1F8C-CF47-AD26-D579C50AE53C}">
      <text>
        <r>
          <rPr>
            <b/>
            <sz val="10"/>
            <color rgb="FF000000"/>
            <rFont val="Tahoma"/>
            <family val="2"/>
          </rPr>
          <t>Calculates the discount factor (capital recovery), (1+r)^t.</t>
        </r>
        <r>
          <rPr>
            <sz val="10"/>
            <color rgb="FF000000"/>
            <rFont val="Tahoma"/>
            <family val="2"/>
          </rPr>
          <t xml:space="preserve">
</t>
        </r>
      </text>
    </comment>
    <comment ref="AH44" authorId="0" shapeId="0" xr:uid="{912D6958-502D-2B43-A65E-357351388D3F}">
      <text>
        <r>
          <rPr>
            <b/>
            <sz val="10"/>
            <color rgb="FF000000"/>
            <rFont val="Tahoma"/>
            <family val="2"/>
          </rPr>
          <t>Discounted value of total capital costs.</t>
        </r>
        <r>
          <rPr>
            <sz val="10"/>
            <color rgb="FF000000"/>
            <rFont val="Tahoma"/>
            <family val="2"/>
          </rPr>
          <t xml:space="preserve">
</t>
        </r>
      </text>
    </comment>
    <comment ref="AI44" authorId="0" shapeId="0" xr:uid="{5FF4D473-647B-5341-B40D-99E89AD001B4}">
      <text>
        <r>
          <rPr>
            <b/>
            <sz val="10"/>
            <color rgb="FF000000"/>
            <rFont val="Tahoma"/>
            <family val="2"/>
          </rPr>
          <t>discounted value of O&amp;M (OPEX) costs.</t>
        </r>
        <r>
          <rPr>
            <sz val="10"/>
            <color rgb="FF000000"/>
            <rFont val="Tahoma"/>
            <family val="2"/>
          </rPr>
          <t xml:space="preserve">
</t>
        </r>
      </text>
    </comment>
    <comment ref="AJ44" authorId="0" shapeId="0" xr:uid="{18BE5149-75C3-684C-896A-90E8567852F8}">
      <text>
        <r>
          <rPr>
            <b/>
            <sz val="10"/>
            <color rgb="FF000000"/>
            <rFont val="Tahoma"/>
            <family val="2"/>
          </rPr>
          <t>Discounted value of fuel costs.</t>
        </r>
        <r>
          <rPr>
            <sz val="10"/>
            <color rgb="FF000000"/>
            <rFont val="Tahoma"/>
            <family val="2"/>
          </rPr>
          <t xml:space="preserve">
</t>
        </r>
      </text>
    </comment>
    <comment ref="AK44" authorId="0" shapeId="0" xr:uid="{6D51F48C-B0E5-E844-910D-4FFCCAFB66FB}">
      <text>
        <r>
          <rPr>
            <b/>
            <sz val="10"/>
            <color rgb="FF000000"/>
            <rFont val="Tahoma"/>
            <family val="2"/>
          </rPr>
          <t>Discounted value of taxes and waste fees levied.</t>
        </r>
        <r>
          <rPr>
            <sz val="10"/>
            <color rgb="FF000000"/>
            <rFont val="Tahoma"/>
            <family val="2"/>
          </rPr>
          <t xml:space="preserve">
</t>
        </r>
      </text>
    </comment>
    <comment ref="AL44" authorId="0" shapeId="0" xr:uid="{6046FC11-BC1B-564D-8CAA-E07402A5AF87}">
      <text>
        <r>
          <rPr>
            <b/>
            <sz val="10"/>
            <color rgb="FF000000"/>
            <rFont val="Tahoma"/>
            <family val="2"/>
          </rPr>
          <t>Discounted value of emission fees levied.</t>
        </r>
        <r>
          <rPr>
            <sz val="10"/>
            <color rgb="FF000000"/>
            <rFont val="Tahoma"/>
            <family val="2"/>
          </rPr>
          <t xml:space="preserve">
</t>
        </r>
      </text>
    </comment>
    <comment ref="AM44" authorId="0" shapeId="0" xr:uid="{C232413C-280E-E44D-AAB0-0B954A60E572}">
      <text>
        <r>
          <rPr>
            <b/>
            <sz val="10"/>
            <color rgb="FF000000"/>
            <rFont val="Tahoma"/>
            <family val="2"/>
          </rPr>
          <t>Discounted value of heat credits. Note that the value is negative, because heat credits decrease LCOE.</t>
        </r>
        <r>
          <rPr>
            <sz val="10"/>
            <color rgb="FF000000"/>
            <rFont val="Tahoma"/>
            <family val="2"/>
          </rPr>
          <t xml:space="preserve">
</t>
        </r>
      </text>
    </comment>
    <comment ref="AN44" authorId="0" shapeId="0" xr:uid="{396C583F-50DB-9543-85C8-4DF130682B2C}">
      <text>
        <r>
          <rPr>
            <b/>
            <sz val="10"/>
            <color rgb="FF000000"/>
            <rFont val="Tahoma"/>
            <family val="2"/>
          </rPr>
          <t xml:space="preserve">Discounted amount of production. Electric if initial max electric power &gt;0, heat otherwise. </t>
        </r>
        <r>
          <rPr>
            <sz val="10"/>
            <color rgb="FF000000"/>
            <rFont val="Tahoma"/>
            <family val="2"/>
          </rPr>
          <t xml:space="preserve">
</t>
        </r>
        <r>
          <rPr>
            <sz val="10"/>
            <color rgb="FF000000"/>
            <rFont val="Tahoma"/>
            <family val="2"/>
          </rPr>
          <t xml:space="preserve">
NOTE: This does not depend on LCOE Override "Max electric capacity", only on initial value.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A44" authorId="0" shapeId="0" xr:uid="{4EDE0F34-43D9-F14E-82A9-8DB3F75E3067}">
      <text>
        <r>
          <rPr>
            <sz val="10"/>
            <color rgb="FF000000"/>
            <rFont val="Tahoma"/>
            <family val="2"/>
          </rPr>
          <t>Running year from -25 to 100</t>
        </r>
      </text>
    </comment>
    <comment ref="B44" authorId="0" shapeId="0" xr:uid="{B827E691-3C56-BF40-AC9E-7B9DE1A26A3A}">
      <text>
        <r>
          <rPr>
            <b/>
            <sz val="10"/>
            <color rgb="FF000000"/>
            <rFont val="Tahoma"/>
            <family val="2"/>
          </rPr>
          <t xml:space="preserve">Capital costs of construction. Total Overnight cost is divided equally to Construction period, starting from Year 0-Construction period.
</t>
        </r>
        <r>
          <rPr>
            <b/>
            <sz val="10"/>
            <color rgb="FF000000"/>
            <rFont val="Tahoma"/>
            <family val="2"/>
          </rPr>
          <t xml:space="preserve">
</t>
        </r>
        <r>
          <rPr>
            <b/>
            <sz val="10"/>
            <color rgb="FF000000"/>
            <rFont val="Tahoma"/>
            <family val="2"/>
          </rPr>
          <t>LCOE Override "CAPEXconstr" is added to cell value.</t>
        </r>
        <r>
          <rPr>
            <sz val="10"/>
            <color rgb="FF000000"/>
            <rFont val="Tahoma"/>
            <family val="2"/>
          </rPr>
          <t xml:space="preserve">
</t>
        </r>
      </text>
    </comment>
    <comment ref="C44" authorId="0" shapeId="0" xr:uid="{F9AE8674-476A-3148-B106-85D2607AF20F}">
      <text>
        <r>
          <rPr>
            <b/>
            <sz val="10"/>
            <color rgb="FF000000"/>
            <rFont val="Tahoma"/>
            <family val="2"/>
          </rPr>
          <t xml:space="preserve">Capital costs of refurbishing and decommissioning.
</t>
        </r>
        <r>
          <rPr>
            <b/>
            <sz val="10"/>
            <color rgb="FF000000"/>
            <rFont val="Tahoma"/>
            <family val="2"/>
          </rPr>
          <t xml:space="preserve">
</t>
        </r>
        <r>
          <rPr>
            <b/>
            <sz val="10"/>
            <color rgb="FF000000"/>
            <rFont val="Tahoma"/>
            <family val="2"/>
          </rPr>
          <t xml:space="preserve">Total overnight cost of refurbishment is divided equally to the time required to refurbish, starting from Refurbishment year.
</t>
        </r>
        <r>
          <rPr>
            <b/>
            <sz val="10"/>
            <color rgb="FF000000"/>
            <rFont val="Tahoma"/>
            <family val="2"/>
          </rPr>
          <t xml:space="preserve">
</t>
        </r>
        <r>
          <rPr>
            <b/>
            <sz val="10"/>
            <color rgb="FF000000"/>
            <rFont val="Tahoma"/>
            <family val="2"/>
          </rPr>
          <t xml:space="preserve">Decommissioning costs are incurred at once when Decommissioning delay after shutdown has elapsed. (In reality, decommissioning would take some years in some cases. This simplification doesn't affect the results much due to discounting.) Decommissioning costs are calculated as share of original overnight costs.
</t>
        </r>
        <r>
          <rPr>
            <b/>
            <sz val="10"/>
            <color rgb="FF000000"/>
            <rFont val="Tahoma"/>
            <family val="2"/>
          </rPr>
          <t xml:space="preserve">
</t>
        </r>
        <r>
          <rPr>
            <b/>
            <sz val="10"/>
            <color rgb="FF000000"/>
            <rFont val="Tahoma"/>
            <family val="2"/>
          </rPr>
          <t>LCOE override "CAPEXrefurb/decon" is added to cell value.</t>
        </r>
        <r>
          <rPr>
            <sz val="10"/>
            <color rgb="FF000000"/>
            <rFont val="Tahoma"/>
            <family val="2"/>
          </rPr>
          <t xml:space="preserve">
</t>
        </r>
      </text>
    </comment>
    <comment ref="D44" authorId="0" shapeId="0" xr:uid="{DABE9513-7D76-0A4F-B0EF-C838FF7B11FC}">
      <text>
        <r>
          <rPr>
            <sz val="10"/>
            <color rgb="FF000000"/>
            <rFont val="Tahoma"/>
            <family val="2"/>
          </rPr>
          <t>Value is 1 if Lifetime expended at start of previous year (see right) is less than Lifetime in years; if equal or more, value is 0. Used as a multiplier to force production and costs to zero after end of life.</t>
        </r>
      </text>
    </comment>
    <comment ref="E44" authorId="0" shapeId="0" xr:uid="{C45C31E5-1B51-0B46-8B2F-21E8FF5B82A9}">
      <text>
        <r>
          <rPr>
            <sz val="10"/>
            <color rgb="FF000000"/>
            <rFont val="Tahoma"/>
            <family val="2"/>
          </rPr>
          <t xml:space="preserve">The operational status of the plant. 100% if Lifetime left? = 1 (plant has lifetime left) and refurbishing period isn't underway; otherwise 0.
</t>
        </r>
        <r>
          <rPr>
            <sz val="10"/>
            <color rgb="FF000000"/>
            <rFont val="Tahoma"/>
            <family val="2"/>
          </rPr>
          <t xml:space="preserve">
</t>
        </r>
        <r>
          <rPr>
            <sz val="10"/>
            <color rgb="FF000000"/>
            <rFont val="Tahoma"/>
            <family val="2"/>
          </rPr>
          <t>LCOE override "Operational%" is added to cell value.</t>
        </r>
      </text>
    </comment>
    <comment ref="F44" authorId="0" shapeId="0" xr:uid="{7B7E9D65-097E-584A-B357-08CD8943E7F8}">
      <text>
        <r>
          <rPr>
            <b/>
            <sz val="10"/>
            <color rgb="FF000000"/>
            <rFont val="Tahoma"/>
            <family val="2"/>
          </rPr>
          <t xml:space="preserve">Capacity factor of the plant. Starts from 50% of maximum (settled down), ramps up to maximum at a ramp-up rate per year. </t>
        </r>
        <r>
          <rPr>
            <sz val="10"/>
            <color rgb="FF000000"/>
            <rFont val="Tahoma"/>
            <family val="2"/>
          </rPr>
          <t xml:space="preserve">
</t>
        </r>
        <r>
          <rPr>
            <sz val="10"/>
            <color rgb="FF000000"/>
            <rFont val="Tahoma"/>
            <family val="2"/>
          </rPr>
          <t xml:space="preserve">
</t>
        </r>
        <r>
          <rPr>
            <sz val="12"/>
            <color rgb="FF000000"/>
            <rFont val="Calibri"/>
            <family val="2"/>
          </rPr>
          <t>LCOE override "Capacity factor"  is added to cell value.</t>
        </r>
      </text>
    </comment>
    <comment ref="G44" authorId="0" shapeId="0" xr:uid="{8ADEBAC1-48A4-9F43-BE35-E3E5026AD14D}">
      <text>
        <r>
          <rPr>
            <b/>
            <sz val="10"/>
            <color rgb="FF000000"/>
            <rFont val="Tahoma"/>
            <family val="2"/>
          </rPr>
          <t xml:space="preserve">Electricity produced during year. 
</t>
        </r>
        <r>
          <rPr>
            <b/>
            <sz val="10"/>
            <color rgb="FF000000"/>
            <rFont val="Tahoma"/>
            <family val="2"/>
          </rPr>
          <t xml:space="preserve">
</t>
        </r>
        <r>
          <rPr>
            <b/>
            <sz val="10"/>
            <color rgb="FF000000"/>
            <rFont val="Tahoma"/>
            <family val="2"/>
          </rPr>
          <t xml:space="preserve">(Max electric power + override max electric power) multiplied by current capacity factor, multiplied by operational%, Lifetime left? and Efficiency relative (right).
</t>
        </r>
        <r>
          <rPr>
            <b/>
            <sz val="10"/>
            <color rgb="FF000000"/>
            <rFont val="Tahoma"/>
            <family val="2"/>
          </rPr>
          <t xml:space="preserve">
</t>
        </r>
        <r>
          <rPr>
            <sz val="10"/>
            <color rgb="FF000000"/>
            <rFont val="Calibri"/>
            <family val="2"/>
          </rPr>
          <t xml:space="preserve">LCOE override "Electricity produced" is added to cell value.
</t>
        </r>
        <r>
          <rPr>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H44" authorId="0" shapeId="0" xr:uid="{AD359E57-0537-AC43-B999-24DCE91266FC}">
      <text>
        <r>
          <rPr>
            <b/>
            <sz val="10"/>
            <color rgb="FF000000"/>
            <rFont val="Calibri"/>
            <family val="2"/>
            <scheme val="minor"/>
          </rPr>
          <t>Heat produced during year. 
(Max heat power + override max heat power) multiplied by current capacity factor, multiplied by operational%, Lifetime left? and Efficiency relative (right).</t>
        </r>
        <r>
          <rPr>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LCOE override "Heat produced" is added to cell value.</t>
        </r>
        <r>
          <rPr>
            <sz val="10"/>
            <color rgb="FF000000"/>
            <rFont val="Calibri"/>
            <family val="2"/>
            <scheme val="minor"/>
          </rPr>
          <t xml:space="preserve"> </t>
        </r>
      </text>
    </comment>
    <comment ref="I44" authorId="0" shapeId="0" xr:uid="{6AE46240-3000-2049-8124-3BE9EC18CD07}">
      <text>
        <r>
          <rPr>
            <b/>
            <sz val="10"/>
            <color rgb="FF000000"/>
            <rFont val="Tahoma"/>
            <family val="2"/>
          </rPr>
          <t xml:space="preserve">Fixed operational expenditure (not dependent on production). Calculated from Fixed OPEX * (Max electric power + Override Max electric power) if Max electric power &gt; 0; otherwise Fixed OPEX * (Max heat power + Override max heat power).
</t>
        </r>
        <r>
          <rPr>
            <b/>
            <sz val="10"/>
            <color rgb="FF000000"/>
            <rFont val="Tahoma"/>
            <family val="2"/>
          </rPr>
          <t xml:space="preserve">
</t>
        </r>
        <r>
          <rPr>
            <b/>
            <sz val="10"/>
            <color rgb="FF000000"/>
            <rFont val="Tahoma"/>
            <family val="2"/>
          </rPr>
          <t xml:space="preserve">Multiplied by OPEX Relative (right)
</t>
        </r>
        <r>
          <rPr>
            <b/>
            <sz val="10"/>
            <color rgb="FF000000"/>
            <rFont val="Tahoma"/>
            <family val="2"/>
          </rPr>
          <t xml:space="preserve">
</t>
        </r>
        <r>
          <rPr>
            <b/>
            <sz val="10"/>
            <color rgb="FF000000"/>
            <rFont val="Tahoma"/>
            <family val="2"/>
          </rPr>
          <t xml:space="preserve">LCOE override "Fixed OPEX" is added to cell value.
</t>
        </r>
        <r>
          <rPr>
            <b/>
            <sz val="10"/>
            <color rgb="FF000000"/>
            <rFont val="Tahoma"/>
            <family val="2"/>
          </rPr>
          <t xml:space="preserve">
</t>
        </r>
        <r>
          <rPr>
            <sz val="10"/>
            <color rgb="FF000000"/>
            <rFont val="Tahoma"/>
            <family val="2"/>
          </rPr>
          <t xml:space="preserve">
</t>
        </r>
      </text>
    </comment>
    <comment ref="J44" authorId="0" shapeId="0" xr:uid="{5C2058FE-E6EE-4142-84CF-A19E4A8DB303}">
      <text>
        <r>
          <rPr>
            <b/>
            <sz val="10"/>
            <color rgb="FF000000"/>
            <rFont val="Calibri"/>
            <family val="2"/>
            <scheme val="minor"/>
          </rPr>
          <t xml:space="preserve">Variable operational expenditure (dependent on production). Calculated from Variable OPEX * (Max electric power + Override Max electric power) if Max electric power &gt; 0; otherwise Variable OPEX * (Max heat power + Override max heat power).
Multiplied by OPEX Relative (right).
LCOE override "Variable OPEX" is added to cell value. </t>
        </r>
      </text>
    </comment>
    <comment ref="K44" authorId="0" shapeId="0" xr:uid="{7AF604AD-D95D-E944-A8F4-9C9B7C4534AC}">
      <text>
        <r>
          <rPr>
            <b/>
            <sz val="10"/>
            <color rgb="FF000000"/>
            <rFont val="Tahoma"/>
            <family val="2"/>
          </rPr>
          <t>OPEX cost escalator used in OPEX calculations. Starts at 100% + LCOE Override "OPEX Relative".
Increases at the rate specified in "OPEX Escalator".
LCOE Override "OPEX Relative is added to cell value.</t>
        </r>
        <r>
          <rPr>
            <sz val="10"/>
            <color rgb="FF000000"/>
            <rFont val="Tahoma"/>
            <family val="2"/>
          </rPr>
          <t xml:space="preserve">
</t>
        </r>
      </text>
    </comment>
    <comment ref="L44" authorId="0" shapeId="0" xr:uid="{90715F7A-0898-0F4B-9E01-EB7FF76A76A7}">
      <text>
        <r>
          <rPr>
            <b/>
            <sz val="10"/>
            <color rgb="FF000000"/>
            <rFont val="Tahoma"/>
            <family val="2"/>
          </rPr>
          <t xml:space="preserve">Fuel expenditure. If initial max electric power &gt; 0, calculated from electricity production; otherwise from heat production.
NOTE: The above DOES NOT depend on LCOE Override "Max electric power", only from initial value.
Expenditure is multiplied by FUELEX relative (right).
LCOE Override "FUELEX" is added to cell value. </t>
        </r>
      </text>
    </comment>
    <comment ref="M44" authorId="0" shapeId="0" xr:uid="{D6B1B0E7-402B-8848-AE0C-29327B70D267}">
      <text>
        <r>
          <rPr>
            <b/>
            <sz val="12"/>
            <color rgb="FF000000"/>
            <rFont val="Calibri"/>
            <family val="2"/>
          </rPr>
          <t xml:space="preserve">FUELEX cost escalator used in FUELEX calculation. Starts at 100% + LCOE Override "FUELEX Relative".
</t>
        </r>
        <r>
          <rPr>
            <b/>
            <sz val="12"/>
            <color rgb="FF000000"/>
            <rFont val="Calibri"/>
            <family val="2"/>
          </rPr>
          <t xml:space="preserve">
</t>
        </r>
        <r>
          <rPr>
            <b/>
            <sz val="12"/>
            <color rgb="FF000000"/>
            <rFont val="Calibri"/>
            <family val="2"/>
          </rPr>
          <t xml:space="preserve">Increases at the rate specified in "FUELEX Escalator".
</t>
        </r>
        <r>
          <rPr>
            <b/>
            <sz val="12"/>
            <color rgb="FF000000"/>
            <rFont val="Calibri"/>
            <family val="2"/>
          </rPr>
          <t xml:space="preserve">
</t>
        </r>
        <r>
          <rPr>
            <b/>
            <sz val="12"/>
            <color rgb="FF000000"/>
            <rFont val="Calibri"/>
            <family val="2"/>
          </rPr>
          <t>LCOE Override "FUELEX Relative" is added to cell value.</t>
        </r>
        <r>
          <rPr>
            <sz val="12"/>
            <color rgb="FF000000"/>
            <rFont val="Calibri"/>
            <family val="2"/>
          </rPr>
          <t xml:space="preserve">
</t>
        </r>
      </text>
    </comment>
    <comment ref="N44" authorId="0" shapeId="0" xr:uid="{EF66E515-8631-1A42-A59E-09B167509674}">
      <text>
        <r>
          <rPr>
            <b/>
            <sz val="10"/>
            <color rgb="FF000000"/>
            <rFont val="Tahoma"/>
            <family val="2"/>
          </rPr>
          <t xml:space="preserve">Plant efficiency relative to startup.
</t>
        </r>
        <r>
          <rPr>
            <b/>
            <sz val="10"/>
            <color rgb="FF000000"/>
            <rFont val="Tahoma"/>
            <family val="2"/>
          </rPr>
          <t xml:space="preserve">
</t>
        </r>
        <r>
          <rPr>
            <b/>
            <sz val="10"/>
            <color rgb="FF000000"/>
            <rFont val="Tahoma"/>
            <family val="2"/>
          </rPr>
          <t xml:space="preserve">Starts from 100%+LCOE Override "Efficiency relative".
</t>
        </r>
        <r>
          <rPr>
            <b/>
            <sz val="10"/>
            <color rgb="FF000000"/>
            <rFont val="Tahoma"/>
            <family val="2"/>
          </rPr>
          <t xml:space="preserve">
</t>
        </r>
        <r>
          <rPr>
            <b/>
            <sz val="10"/>
            <color rgb="FF000000"/>
            <rFont val="Tahoma"/>
            <family val="2"/>
          </rPr>
          <t xml:space="preserve">Decreases at the rate specified by "Efficiency loss/year".
</t>
        </r>
        <r>
          <rPr>
            <b/>
            <sz val="10"/>
            <color rgb="FF000000"/>
            <rFont val="Tahoma"/>
            <family val="2"/>
          </rPr>
          <t xml:space="preserve">
</t>
        </r>
        <r>
          <rPr>
            <b/>
            <sz val="10"/>
            <color rgb="FF000000"/>
            <rFont val="Tahoma"/>
            <family val="2"/>
          </rPr>
          <t>LCOE Override "Efficiency relative" is added to cell value.</t>
        </r>
        <r>
          <rPr>
            <sz val="10"/>
            <color rgb="FF000000"/>
            <rFont val="Tahoma"/>
            <family val="2"/>
          </rPr>
          <t xml:space="preserve">
</t>
        </r>
      </text>
    </comment>
    <comment ref="O44" authorId="0" shapeId="0" xr:uid="{A0341610-71B3-DB4F-B4D8-CE412020B91E}">
      <text>
        <r>
          <rPr>
            <b/>
            <sz val="10"/>
            <color rgb="FF000000"/>
            <rFont val="Tahoma"/>
            <family val="2"/>
          </rPr>
          <t xml:space="preserve">Emission factor per kWh produced.
</t>
        </r>
        <r>
          <rPr>
            <b/>
            <sz val="10"/>
            <color rgb="FF000000"/>
            <rFont val="Tahoma"/>
            <family val="2"/>
          </rPr>
          <t xml:space="preserve">
</t>
        </r>
        <r>
          <rPr>
            <b/>
            <sz val="10"/>
            <color rgb="FF000000"/>
            <rFont val="Tahoma"/>
            <family val="2"/>
          </rPr>
          <t>LCOE Override "Emission factor" is added to cell value.</t>
        </r>
        <r>
          <rPr>
            <sz val="10"/>
            <color rgb="FF000000"/>
            <rFont val="Tahoma"/>
            <family val="2"/>
          </rPr>
          <t xml:space="preserve">
</t>
        </r>
        <r>
          <rPr>
            <sz val="10"/>
            <color rgb="FF000000"/>
            <rFont val="Tahoma"/>
            <family val="2"/>
          </rPr>
          <t xml:space="preserve">
</t>
        </r>
        <r>
          <rPr>
            <sz val="10"/>
            <color rgb="FF000000"/>
            <rFont val="Tahoma"/>
            <family val="2"/>
          </rPr>
          <t>NOTE: Emission factor is in grams of CO2 equivalent per kWh produced.</t>
        </r>
      </text>
    </comment>
    <comment ref="P44" authorId="0" shapeId="0" xr:uid="{17EA0364-C08E-2940-80F0-A7A4CEE5317C}">
      <text>
        <r>
          <rPr>
            <b/>
            <sz val="10"/>
            <color rgb="FF000000"/>
            <rFont val="Tahoma"/>
            <family val="2"/>
          </rPr>
          <t xml:space="preserve">How much of plant's notional emissions are taxed?
</t>
        </r>
        <r>
          <rPr>
            <b/>
            <sz val="10"/>
            <color rgb="FF000000"/>
            <rFont val="Tahoma"/>
            <family val="2"/>
          </rPr>
          <t xml:space="preserve">
</t>
        </r>
        <r>
          <rPr>
            <b/>
            <sz val="10"/>
            <color rgb="FF000000"/>
            <rFont val="Tahoma"/>
            <family val="2"/>
          </rPr>
          <t xml:space="preserve">100% if "Emissions taxed starting from year" equals or exceeds current year, 0 otherwise.
</t>
        </r>
        <r>
          <rPr>
            <b/>
            <sz val="10"/>
            <color rgb="FF000000"/>
            <rFont val="Tahoma"/>
            <family val="2"/>
          </rPr>
          <t xml:space="preserve">
</t>
        </r>
        <r>
          <rPr>
            <b/>
            <sz val="10"/>
            <color rgb="FF000000"/>
            <rFont val="Tahoma"/>
            <family val="2"/>
          </rPr>
          <t>LCOE Override "% of emissions taxed" is added to cell value.</t>
        </r>
        <r>
          <rPr>
            <sz val="10"/>
            <color rgb="FF000000"/>
            <rFont val="Tahoma"/>
            <family val="2"/>
          </rPr>
          <t xml:space="preserve">
</t>
        </r>
      </text>
    </comment>
    <comment ref="Q44" authorId="0" shapeId="0" xr:uid="{1FF182CD-A85E-1141-8823-2716439B3459}">
      <text>
        <r>
          <rPr>
            <b/>
            <sz val="10"/>
            <color rgb="FF000000"/>
            <rFont val="Tahoma"/>
            <family val="2"/>
          </rPr>
          <t xml:space="preserve">Total emissions based on Total emission factor (left) and production (electricity if initial max electric power &gt; 0, heat otherwise). </t>
        </r>
        <r>
          <rPr>
            <sz val="10"/>
            <color rgb="FF000000"/>
            <rFont val="Tahoma"/>
            <family val="2"/>
          </rPr>
          <t xml:space="preserve">
</t>
        </r>
        <r>
          <rPr>
            <sz val="10"/>
            <color rgb="FF000000"/>
            <rFont val="Tahoma"/>
            <family val="2"/>
          </rPr>
          <t xml:space="preserve">
NOTE: The above DOES NOT depend on LCOE Override "Max electric power", only from initial value.</t>
        </r>
      </text>
    </comment>
    <comment ref="R44" authorId="0" shapeId="0" xr:uid="{F95252FD-DD9A-4C4D-8D07-7761B4EC246B}">
      <text>
        <r>
          <rPr>
            <b/>
            <sz val="10"/>
            <color rgb="FF000000"/>
            <rFont val="Tahoma"/>
            <family val="2"/>
          </rPr>
          <t>To ease the calculations, shows the cost of emissions per ton of CO2 equivalent, from LCOE parameters.</t>
        </r>
        <r>
          <rPr>
            <sz val="10"/>
            <color rgb="FF000000"/>
            <rFont val="Tahoma"/>
            <family val="2"/>
          </rPr>
          <t xml:space="preserve">
</t>
        </r>
      </text>
    </comment>
    <comment ref="S44" authorId="0" shapeId="0" xr:uid="{D8FAA763-9B0E-A148-BDC5-AAC7523E5EDF}">
      <text>
        <r>
          <rPr>
            <b/>
            <sz val="10"/>
            <color rgb="FF000000"/>
            <rFont val="Tahoma"/>
            <family val="2"/>
          </rPr>
          <t>Total cost of emissions levied from the plant.
Total emissions * % of emissions taxed * cost of tCO2E.
LCOE Override "Cost of emissions levied" is added to cell value.</t>
        </r>
        <r>
          <rPr>
            <sz val="10"/>
            <color rgb="FF000000"/>
            <rFont val="Tahoma"/>
            <family val="2"/>
          </rPr>
          <t xml:space="preserve">
</t>
        </r>
      </text>
    </comment>
    <comment ref="T44" authorId="0" shapeId="0" xr:uid="{58887DA4-9FCA-E146-87B0-5175DE89F7D3}">
      <text>
        <r>
          <rPr>
            <b/>
            <sz val="10"/>
            <color rgb="FF000000"/>
            <rFont val="Tahoma"/>
            <family val="2"/>
          </rPr>
          <t xml:space="preserve">Production tax per MWh produced.
LCOE Override "Tax per MWH produced" is added to cell value.
</t>
        </r>
        <r>
          <rPr>
            <sz val="10"/>
            <color rgb="FF000000"/>
            <rFont val="Tahoma"/>
            <family val="2"/>
          </rPr>
          <t xml:space="preserve">
</t>
        </r>
      </text>
    </comment>
    <comment ref="U44" authorId="0" shapeId="0" xr:uid="{7C2E9497-8A18-6542-B2AB-D01C82D4BC53}">
      <text>
        <r>
          <rPr>
            <b/>
            <sz val="10"/>
            <color rgb="FF000000"/>
            <rFont val="Tahoma"/>
            <family val="2"/>
          </rPr>
          <t>Taxes actually levied from the plant, based on electric production if initial max electric power &gt; 0, on heat production otherwise.
NOTE: The above DOES NOT depend on LCOE Override "Max electric power", only on initial value.
LCOE Override "Taxes levied" is added to cell value.</t>
        </r>
        <r>
          <rPr>
            <sz val="10"/>
            <color rgb="FF000000"/>
            <rFont val="Tahoma"/>
            <family val="2"/>
          </rPr>
          <t xml:space="preserve">
</t>
        </r>
      </text>
    </comment>
    <comment ref="V44" authorId="0" shapeId="0" xr:uid="{A05F6B93-0233-764A-9115-076DF21AEACC}">
      <text>
        <r>
          <rPr>
            <b/>
            <sz val="10"/>
            <color rgb="FF000000"/>
            <rFont val="Tahoma"/>
            <family val="2"/>
          </rPr>
          <t xml:space="preserve">Waste fees per MWh of production.
</t>
        </r>
        <r>
          <rPr>
            <b/>
            <sz val="10"/>
            <color rgb="FF000000"/>
            <rFont val="Tahoma"/>
            <family val="2"/>
          </rPr>
          <t xml:space="preserve">
</t>
        </r>
        <r>
          <rPr>
            <b/>
            <sz val="10"/>
            <color rgb="FF000000"/>
            <rFont val="Tahoma"/>
            <family val="2"/>
          </rPr>
          <t>LCOE Override "Waste fee per MWh" is added to cell value.</t>
        </r>
        <r>
          <rPr>
            <sz val="10"/>
            <color rgb="FF000000"/>
            <rFont val="Tahoma"/>
            <family val="2"/>
          </rPr>
          <t xml:space="preserve">
</t>
        </r>
      </text>
    </comment>
    <comment ref="W44" authorId="0" shapeId="0" xr:uid="{65A646A8-AD9E-B14C-89C9-DA8D8E0F4DF7}">
      <text>
        <r>
          <rPr>
            <b/>
            <sz val="10"/>
            <color rgb="FF000000"/>
            <rFont val="Tahoma"/>
            <family val="2"/>
          </rPr>
          <t>Waste fees actually levied from the plant. Waste fee per MWh * production, electric if initial max electric power &gt;0, heat otherwise.
NOTE: The above DOES NOT depend on LCOE Override "Max electric power", only on initial value.
LCOE Override "Waste fee levied" is added to cell value.</t>
        </r>
        <r>
          <rPr>
            <sz val="10"/>
            <color rgb="FF000000"/>
            <rFont val="Tahoma"/>
            <family val="2"/>
          </rPr>
          <t xml:space="preserve">
</t>
        </r>
      </text>
    </comment>
    <comment ref="X44" authorId="0" shapeId="0" xr:uid="{6D84235B-4381-5B4B-9A84-E76AEAF3E723}">
      <text>
        <r>
          <rPr>
            <b/>
            <sz val="10"/>
            <color rgb="FF000000"/>
            <rFont val="Tahoma"/>
            <family val="2"/>
          </rPr>
          <t xml:space="preserve">Heat credit per MWh of heat produced, deducted from costs.
LCOE Override "Heat credit per MWh" is added to cell value.
</t>
        </r>
        <r>
          <rPr>
            <sz val="10"/>
            <color rgb="FF000000"/>
            <rFont val="Tahoma"/>
            <family val="2"/>
          </rPr>
          <t xml:space="preserve">
</t>
        </r>
      </text>
    </comment>
    <comment ref="Y44" authorId="0" shapeId="0" xr:uid="{FC3C0539-BB4C-754F-9623-FE29B9B18BC7}">
      <text>
        <r>
          <rPr>
            <b/>
            <sz val="10"/>
            <color rgb="FF000000"/>
            <rFont val="Tahoma"/>
            <family val="2"/>
          </rPr>
          <t>Total heat credits deducted from costs. Heat credit per MWh * Heat produced.</t>
        </r>
        <r>
          <rPr>
            <sz val="10"/>
            <color rgb="FF000000"/>
            <rFont val="Tahoma"/>
            <family val="2"/>
          </rPr>
          <t xml:space="preserve">
</t>
        </r>
      </text>
    </comment>
    <comment ref="Z44" authorId="0" shapeId="0" xr:uid="{E252F8DC-2420-0E4B-90D0-B8FD66BC5AC2}">
      <text>
        <r>
          <rPr>
            <b/>
            <sz val="10"/>
            <color rgb="FF000000"/>
            <rFont val="Tahoma"/>
            <family val="2"/>
          </rPr>
          <t>Total capital expenditure:
CAPEXconstr and CAPEXrefurb/decom.</t>
        </r>
        <r>
          <rPr>
            <sz val="10"/>
            <color rgb="FF000000"/>
            <rFont val="Tahoma"/>
            <family val="2"/>
          </rPr>
          <t xml:space="preserve">
</t>
        </r>
      </text>
    </comment>
    <comment ref="AA44" authorId="0" shapeId="0" xr:uid="{06526453-BCEB-394B-BD3E-E842E64209E5}">
      <text>
        <r>
          <rPr>
            <b/>
            <sz val="10"/>
            <color rgb="FF000000"/>
            <rFont val="Tahoma"/>
            <family val="2"/>
          </rPr>
          <t>Total OPEX, Fixed + Variable.</t>
        </r>
        <r>
          <rPr>
            <sz val="10"/>
            <color rgb="FF000000"/>
            <rFont val="Tahoma"/>
            <family val="2"/>
          </rPr>
          <t xml:space="preserve">
</t>
        </r>
      </text>
    </comment>
    <comment ref="AB44" authorId="0" shapeId="0" xr:uid="{682D09D4-BDF6-3C40-ADD4-46B7A86F1D02}">
      <text>
        <r>
          <rPr>
            <b/>
            <sz val="10"/>
            <color rgb="FF000000"/>
            <rFont val="Tahoma"/>
            <family val="2"/>
          </rPr>
          <t>Total fuel costs.</t>
        </r>
        <r>
          <rPr>
            <sz val="10"/>
            <color rgb="FF000000"/>
            <rFont val="Tahoma"/>
            <family val="2"/>
          </rPr>
          <t xml:space="preserve">
</t>
        </r>
      </text>
    </comment>
    <comment ref="AC44" authorId="0" shapeId="0" xr:uid="{AE4AFDA9-6994-7C4C-BB63-EF3CECBA948E}">
      <text>
        <r>
          <rPr>
            <b/>
            <sz val="10"/>
            <color rgb="FF000000"/>
            <rFont val="Tahoma"/>
            <family val="2"/>
          </rPr>
          <t xml:space="preserve">Total taxes and waste fees levied. </t>
        </r>
        <r>
          <rPr>
            <sz val="10"/>
            <color rgb="FF000000"/>
            <rFont val="Tahoma"/>
            <family val="2"/>
          </rPr>
          <t xml:space="preserve">
</t>
        </r>
      </text>
    </comment>
    <comment ref="AD44" authorId="0" shapeId="0" xr:uid="{196B3759-D6FC-1E44-AB5C-D7AE5349A9D1}">
      <text>
        <r>
          <rPr>
            <b/>
            <sz val="10"/>
            <color rgb="FF000000"/>
            <rFont val="Tahoma"/>
            <family val="2"/>
          </rPr>
          <t>Emission fees levied.</t>
        </r>
        <r>
          <rPr>
            <sz val="10"/>
            <color rgb="FF000000"/>
            <rFont val="Tahoma"/>
            <family val="2"/>
          </rPr>
          <t xml:space="preserve">
</t>
        </r>
      </text>
    </comment>
    <comment ref="AE44" authorId="0" shapeId="0" xr:uid="{0E39C877-C1E2-324B-8C7B-7F4844B89881}">
      <text>
        <r>
          <rPr>
            <b/>
            <sz val="10"/>
            <color rgb="FF000000"/>
            <rFont val="Tahoma"/>
            <family val="2"/>
          </rPr>
          <t>How much of plant's operational lifetime has been expended. Increases at a rate of 1 * Operational%.
Does not increase if the plant is being refurbished or suffering from outage.</t>
        </r>
        <r>
          <rPr>
            <sz val="10"/>
            <color rgb="FF000000"/>
            <rFont val="Tahoma"/>
            <family val="2"/>
          </rPr>
          <t xml:space="preserve">
Stops increasing when lifetime is met.</t>
        </r>
      </text>
    </comment>
    <comment ref="AF44" authorId="0" shapeId="0" xr:uid="{3CC2A2BC-6E0A-2749-BD7A-0442CB03938B}">
      <text>
        <r>
          <rPr>
            <b/>
            <sz val="10"/>
            <color rgb="FF000000"/>
            <rFont val="Tahoma"/>
            <family val="2"/>
          </rPr>
          <t>Discount rate r used to calculate the discount factor.
Interest During Construction (IDC) before year 0, WACC afterwards.
LCOE Override "Discount rate (WACC)" is added to cell value.</t>
        </r>
        <r>
          <rPr>
            <sz val="10"/>
            <color rgb="FF000000"/>
            <rFont val="Tahoma"/>
            <family val="2"/>
          </rPr>
          <t xml:space="preserve">
</t>
        </r>
      </text>
    </comment>
    <comment ref="AG44" authorId="0" shapeId="0" xr:uid="{F8AA0326-12EF-7D47-8B21-42E10600996E}">
      <text>
        <r>
          <rPr>
            <b/>
            <sz val="10"/>
            <color rgb="FF000000"/>
            <rFont val="Tahoma"/>
            <family val="2"/>
          </rPr>
          <t>Calculates the discount factor (capital recovery), (1+r)^t.</t>
        </r>
        <r>
          <rPr>
            <sz val="10"/>
            <color rgb="FF000000"/>
            <rFont val="Tahoma"/>
            <family val="2"/>
          </rPr>
          <t xml:space="preserve">
</t>
        </r>
      </text>
    </comment>
    <comment ref="AH44" authorId="0" shapeId="0" xr:uid="{742CFD15-B7DD-114A-96C3-61E2206DB52B}">
      <text>
        <r>
          <rPr>
            <b/>
            <sz val="10"/>
            <color rgb="FF000000"/>
            <rFont val="Tahoma"/>
            <family val="2"/>
          </rPr>
          <t>Discounted value of total capital costs.</t>
        </r>
        <r>
          <rPr>
            <sz val="10"/>
            <color rgb="FF000000"/>
            <rFont val="Tahoma"/>
            <family val="2"/>
          </rPr>
          <t xml:space="preserve">
</t>
        </r>
      </text>
    </comment>
    <comment ref="AI44" authorId="0" shapeId="0" xr:uid="{44696447-AF29-7147-90E1-76B83D674D54}">
      <text>
        <r>
          <rPr>
            <b/>
            <sz val="10"/>
            <color rgb="FF000000"/>
            <rFont val="Tahoma"/>
            <family val="2"/>
          </rPr>
          <t>discounted value of O&amp;M (OPEX) costs.</t>
        </r>
        <r>
          <rPr>
            <sz val="10"/>
            <color rgb="FF000000"/>
            <rFont val="Tahoma"/>
            <family val="2"/>
          </rPr>
          <t xml:space="preserve">
</t>
        </r>
      </text>
    </comment>
    <comment ref="AJ44" authorId="0" shapeId="0" xr:uid="{42A444A5-0AEB-5B49-AF13-51FF22CE1203}">
      <text>
        <r>
          <rPr>
            <b/>
            <sz val="10"/>
            <color rgb="FF000000"/>
            <rFont val="Tahoma"/>
            <family val="2"/>
          </rPr>
          <t>Discounted value of fuel costs.</t>
        </r>
        <r>
          <rPr>
            <sz val="10"/>
            <color rgb="FF000000"/>
            <rFont val="Tahoma"/>
            <family val="2"/>
          </rPr>
          <t xml:space="preserve">
</t>
        </r>
      </text>
    </comment>
    <comment ref="AK44" authorId="0" shapeId="0" xr:uid="{AFBD3A12-8FD7-064F-A9C7-EE9BD05B0761}">
      <text>
        <r>
          <rPr>
            <b/>
            <sz val="10"/>
            <color rgb="FF000000"/>
            <rFont val="Tahoma"/>
            <family val="2"/>
          </rPr>
          <t>Discounted value of taxes and waste fees levied.</t>
        </r>
        <r>
          <rPr>
            <sz val="10"/>
            <color rgb="FF000000"/>
            <rFont val="Tahoma"/>
            <family val="2"/>
          </rPr>
          <t xml:space="preserve">
</t>
        </r>
      </text>
    </comment>
    <comment ref="AL44" authorId="0" shapeId="0" xr:uid="{49886F17-C311-304B-9022-E5B87F41A9DC}">
      <text>
        <r>
          <rPr>
            <b/>
            <sz val="10"/>
            <color rgb="FF000000"/>
            <rFont val="Tahoma"/>
            <family val="2"/>
          </rPr>
          <t>Discounted value of emission fees levied.</t>
        </r>
        <r>
          <rPr>
            <sz val="10"/>
            <color rgb="FF000000"/>
            <rFont val="Tahoma"/>
            <family val="2"/>
          </rPr>
          <t xml:space="preserve">
</t>
        </r>
      </text>
    </comment>
    <comment ref="AM44" authorId="0" shapeId="0" xr:uid="{EC19DAF8-A29C-514B-B9B9-71F5CAE60B54}">
      <text>
        <r>
          <rPr>
            <b/>
            <sz val="10"/>
            <color rgb="FF000000"/>
            <rFont val="Tahoma"/>
            <family val="2"/>
          </rPr>
          <t>Discounted value of heat credits. Note that the value is negative, because heat credits decrease LCOE.</t>
        </r>
        <r>
          <rPr>
            <sz val="10"/>
            <color rgb="FF000000"/>
            <rFont val="Tahoma"/>
            <family val="2"/>
          </rPr>
          <t xml:space="preserve">
</t>
        </r>
      </text>
    </comment>
    <comment ref="AN44" authorId="0" shapeId="0" xr:uid="{C9448A73-CAD0-CE49-B78E-150D9A0D637B}">
      <text>
        <r>
          <rPr>
            <b/>
            <sz val="10"/>
            <color rgb="FF000000"/>
            <rFont val="Tahoma"/>
            <family val="2"/>
          </rPr>
          <t xml:space="preserve">Discounted amount of production. Electric if initial max electric power &gt;0, heat otherwise. </t>
        </r>
        <r>
          <rPr>
            <sz val="10"/>
            <color rgb="FF000000"/>
            <rFont val="Tahoma"/>
            <family val="2"/>
          </rPr>
          <t xml:space="preserve">
</t>
        </r>
        <r>
          <rPr>
            <sz val="10"/>
            <color rgb="FF000000"/>
            <rFont val="Tahoma"/>
            <family val="2"/>
          </rPr>
          <t xml:space="preserve">
NOTE: This does not depend on LCOE Override "Max electric capacity", only on initial value.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A44" authorId="0" shapeId="0" xr:uid="{5F29224C-E6BB-D94B-B367-ADD5C42F7C75}">
      <text>
        <r>
          <rPr>
            <sz val="10"/>
            <color rgb="FF000000"/>
            <rFont val="Tahoma"/>
            <family val="2"/>
          </rPr>
          <t>Running year from -25 to 100</t>
        </r>
      </text>
    </comment>
    <comment ref="B44" authorId="0" shapeId="0" xr:uid="{A391F052-F5F2-6E49-94B6-C8432E39A1B2}">
      <text>
        <r>
          <rPr>
            <b/>
            <sz val="10"/>
            <color rgb="FF000000"/>
            <rFont val="Tahoma"/>
            <family val="2"/>
          </rPr>
          <t xml:space="preserve">Capital costs of construction. Total Overnight cost is divided equally to Construction period, starting from Year 0-Construction period.
</t>
        </r>
        <r>
          <rPr>
            <b/>
            <sz val="10"/>
            <color rgb="FF000000"/>
            <rFont val="Tahoma"/>
            <family val="2"/>
          </rPr>
          <t xml:space="preserve">
</t>
        </r>
        <r>
          <rPr>
            <b/>
            <sz val="10"/>
            <color rgb="FF000000"/>
            <rFont val="Tahoma"/>
            <family val="2"/>
          </rPr>
          <t>LCOE Override "CAPEXconstr" is added to cell value.</t>
        </r>
        <r>
          <rPr>
            <sz val="10"/>
            <color rgb="FF000000"/>
            <rFont val="Tahoma"/>
            <family val="2"/>
          </rPr>
          <t xml:space="preserve">
</t>
        </r>
      </text>
    </comment>
    <comment ref="C44" authorId="0" shapeId="0" xr:uid="{ED16F770-FCC5-5144-B3B5-7482E22CD1BF}">
      <text>
        <r>
          <rPr>
            <b/>
            <sz val="10"/>
            <color rgb="FF000000"/>
            <rFont val="Tahoma"/>
            <family val="2"/>
          </rPr>
          <t xml:space="preserve">Capital costs of refurbishing and decommissioning.
</t>
        </r>
        <r>
          <rPr>
            <b/>
            <sz val="10"/>
            <color rgb="FF000000"/>
            <rFont val="Tahoma"/>
            <family val="2"/>
          </rPr>
          <t xml:space="preserve">
</t>
        </r>
        <r>
          <rPr>
            <b/>
            <sz val="10"/>
            <color rgb="FF000000"/>
            <rFont val="Tahoma"/>
            <family val="2"/>
          </rPr>
          <t xml:space="preserve">Total overnight cost of refurbishment is divided equally to the time required to refurbish, starting from Refurbishment year.
</t>
        </r>
        <r>
          <rPr>
            <b/>
            <sz val="10"/>
            <color rgb="FF000000"/>
            <rFont val="Tahoma"/>
            <family val="2"/>
          </rPr>
          <t xml:space="preserve">
</t>
        </r>
        <r>
          <rPr>
            <b/>
            <sz val="10"/>
            <color rgb="FF000000"/>
            <rFont val="Tahoma"/>
            <family val="2"/>
          </rPr>
          <t xml:space="preserve">Decommissioning costs are incurred at once when Decommissioning delay after shutdown has elapsed. (In reality, decommissioning would take some years in some cases. This simplification doesn't affect the results much due to discounting.) Decommissioning costs are calculated as share of original overnight costs.
</t>
        </r>
        <r>
          <rPr>
            <b/>
            <sz val="10"/>
            <color rgb="FF000000"/>
            <rFont val="Tahoma"/>
            <family val="2"/>
          </rPr>
          <t xml:space="preserve">
</t>
        </r>
        <r>
          <rPr>
            <b/>
            <sz val="10"/>
            <color rgb="FF000000"/>
            <rFont val="Tahoma"/>
            <family val="2"/>
          </rPr>
          <t>LCOE override "CAPEXrefurb/decon" is added to cell value.</t>
        </r>
        <r>
          <rPr>
            <sz val="10"/>
            <color rgb="FF000000"/>
            <rFont val="Tahoma"/>
            <family val="2"/>
          </rPr>
          <t xml:space="preserve">
</t>
        </r>
      </text>
    </comment>
    <comment ref="D44" authorId="0" shapeId="0" xr:uid="{9956D514-0101-B149-BAF2-E633745C95C0}">
      <text>
        <r>
          <rPr>
            <sz val="10"/>
            <color rgb="FF000000"/>
            <rFont val="Tahoma"/>
            <family val="2"/>
          </rPr>
          <t>Value is 1 if Lifetime expended at start of previous year (see right) is less than Lifetime in years; if equal or more, value is 0. Used as a multiplier to force production and costs to zero after end of life.</t>
        </r>
      </text>
    </comment>
    <comment ref="E44" authorId="0" shapeId="0" xr:uid="{736D7768-970F-8244-925B-49985797093B}">
      <text>
        <r>
          <rPr>
            <sz val="10"/>
            <color rgb="FF000000"/>
            <rFont val="Tahoma"/>
            <family val="2"/>
          </rPr>
          <t xml:space="preserve">The operational status of the plant. 100% if Lifetime left? = 1 (plant has lifetime left) and refurbishing period isn't underway; otherwise 0.
</t>
        </r>
        <r>
          <rPr>
            <sz val="10"/>
            <color rgb="FF000000"/>
            <rFont val="Tahoma"/>
            <family val="2"/>
          </rPr>
          <t xml:space="preserve">
</t>
        </r>
        <r>
          <rPr>
            <sz val="10"/>
            <color rgb="FF000000"/>
            <rFont val="Tahoma"/>
            <family val="2"/>
          </rPr>
          <t>LCOE override "Operational%" is added to cell value.</t>
        </r>
      </text>
    </comment>
    <comment ref="F44" authorId="0" shapeId="0" xr:uid="{A92F02B5-299C-064C-AA3D-B0D9DBDCCE0D}">
      <text>
        <r>
          <rPr>
            <b/>
            <sz val="10"/>
            <color rgb="FF000000"/>
            <rFont val="Tahoma"/>
            <family val="2"/>
          </rPr>
          <t xml:space="preserve">Capacity factor of the plant. Starts from 50% of maximum (settled down), ramps up to maximum at a ramp-up rate per year. </t>
        </r>
        <r>
          <rPr>
            <sz val="10"/>
            <color rgb="FF000000"/>
            <rFont val="Tahoma"/>
            <family val="2"/>
          </rPr>
          <t xml:space="preserve">
</t>
        </r>
        <r>
          <rPr>
            <sz val="10"/>
            <color rgb="FF000000"/>
            <rFont val="Tahoma"/>
            <family val="2"/>
          </rPr>
          <t xml:space="preserve">
</t>
        </r>
        <r>
          <rPr>
            <sz val="12"/>
            <color rgb="FF000000"/>
            <rFont val="Calibri"/>
            <family val="2"/>
            <scheme val="minor"/>
          </rPr>
          <t>LCOE override "Capacity factor"  is added to cell value.</t>
        </r>
      </text>
    </comment>
    <comment ref="G44" authorId="0" shapeId="0" xr:uid="{1DBC960C-9804-B144-B2FA-485FA31709C2}">
      <text>
        <r>
          <rPr>
            <b/>
            <sz val="10"/>
            <color rgb="FF000000"/>
            <rFont val="Tahoma"/>
            <family val="2"/>
          </rPr>
          <t xml:space="preserve">Electricity produced during year. 
</t>
        </r>
        <r>
          <rPr>
            <b/>
            <sz val="10"/>
            <color rgb="FF000000"/>
            <rFont val="Tahoma"/>
            <family val="2"/>
          </rPr>
          <t xml:space="preserve">
</t>
        </r>
        <r>
          <rPr>
            <b/>
            <sz val="10"/>
            <color rgb="FF000000"/>
            <rFont val="Tahoma"/>
            <family val="2"/>
          </rPr>
          <t xml:space="preserve">(Max electric power + override max electric power) multiplied by current capacity factor, multiplied by operational%, Lifetime left? and Efficiency relative (right).
</t>
        </r>
        <r>
          <rPr>
            <b/>
            <sz val="10"/>
            <color rgb="FF000000"/>
            <rFont val="Tahoma"/>
            <family val="2"/>
          </rPr>
          <t xml:space="preserve">
</t>
        </r>
        <r>
          <rPr>
            <sz val="10"/>
            <color rgb="FF000000"/>
            <rFont val="Calibri"/>
            <family val="2"/>
          </rPr>
          <t xml:space="preserve">LCOE override "Electricity produced" is added to cell value.
</t>
        </r>
        <r>
          <rPr>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H44" authorId="0" shapeId="0" xr:uid="{D1A11557-E0F4-8745-B71E-4AB132FB4F28}">
      <text>
        <r>
          <rPr>
            <b/>
            <sz val="10"/>
            <color rgb="FF000000"/>
            <rFont val="Calibri"/>
            <family val="2"/>
            <scheme val="minor"/>
          </rPr>
          <t>Heat produced during year. 
(Max heat power + override max heat power) multiplied by current capacity factor, multiplied by operational%, Lifetime left? and Efficiency relative (right).</t>
        </r>
        <r>
          <rPr>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LCOE override "Heat produced" is added to cell value.</t>
        </r>
        <r>
          <rPr>
            <sz val="10"/>
            <color rgb="FF000000"/>
            <rFont val="Calibri"/>
            <family val="2"/>
            <scheme val="minor"/>
          </rPr>
          <t xml:space="preserve"> </t>
        </r>
      </text>
    </comment>
    <comment ref="I44" authorId="0" shapeId="0" xr:uid="{F7791FCC-EB79-4F44-88CF-BEFD6525CFFD}">
      <text>
        <r>
          <rPr>
            <b/>
            <sz val="10"/>
            <color rgb="FF000000"/>
            <rFont val="Tahoma"/>
            <family val="2"/>
          </rPr>
          <t xml:space="preserve">Fixed operational expenditure (not dependent on production). Calculated from Fixed OPEX * (Max electric power + Override Max electric power) if Max electric power &gt; 0; otherwise Fixed OPEX * (Max heat power + Override max heat power).
</t>
        </r>
        <r>
          <rPr>
            <b/>
            <sz val="10"/>
            <color rgb="FF000000"/>
            <rFont val="Tahoma"/>
            <family val="2"/>
          </rPr>
          <t xml:space="preserve">
</t>
        </r>
        <r>
          <rPr>
            <b/>
            <sz val="10"/>
            <color rgb="FF000000"/>
            <rFont val="Tahoma"/>
            <family val="2"/>
          </rPr>
          <t xml:space="preserve">Multiplied by OPEX Relative (right)
</t>
        </r>
        <r>
          <rPr>
            <b/>
            <sz val="10"/>
            <color rgb="FF000000"/>
            <rFont val="Tahoma"/>
            <family val="2"/>
          </rPr>
          <t xml:space="preserve">
</t>
        </r>
        <r>
          <rPr>
            <b/>
            <sz val="10"/>
            <color rgb="FF000000"/>
            <rFont val="Tahoma"/>
            <family val="2"/>
          </rPr>
          <t xml:space="preserve">LCOE override "Fixed OPEX" is added to cell value.
</t>
        </r>
        <r>
          <rPr>
            <b/>
            <sz val="10"/>
            <color rgb="FF000000"/>
            <rFont val="Tahoma"/>
            <family val="2"/>
          </rPr>
          <t xml:space="preserve">
</t>
        </r>
        <r>
          <rPr>
            <sz val="10"/>
            <color rgb="FF000000"/>
            <rFont val="Tahoma"/>
            <family val="2"/>
          </rPr>
          <t xml:space="preserve">
</t>
        </r>
      </text>
    </comment>
    <comment ref="J44" authorId="0" shapeId="0" xr:uid="{B7625891-D03A-7E4A-B0FB-DC8387019385}">
      <text>
        <r>
          <rPr>
            <b/>
            <sz val="10"/>
            <color rgb="FF000000"/>
            <rFont val="Calibri"/>
            <family val="2"/>
            <scheme val="minor"/>
          </rPr>
          <t xml:space="preserve">Variable operational expenditure (dependent on production). Calculated from Variable OPEX * (Max electric power + Override Max electric power) if Max electric power &gt; 0; otherwise Variable OPEX * (Max heat power + Override max heat power).
Multiplied by OPEX Relative (right).
LCOE override "Variable OPEX" is added to cell value. </t>
        </r>
      </text>
    </comment>
    <comment ref="K44" authorId="0" shapeId="0" xr:uid="{4898B0A7-7A49-CA43-9BA1-005BB4BEFC10}">
      <text>
        <r>
          <rPr>
            <b/>
            <sz val="10"/>
            <color rgb="FF000000"/>
            <rFont val="Tahoma"/>
            <family val="2"/>
          </rPr>
          <t>OPEX cost escalator used in OPEX calculations. Starts at 100% + LCOE Override "OPEX Relative".
Increases at the rate specified in "OPEX Escalator".
LCOE Override "OPEX Relative is added to cell value.</t>
        </r>
        <r>
          <rPr>
            <sz val="10"/>
            <color rgb="FF000000"/>
            <rFont val="Tahoma"/>
            <family val="2"/>
          </rPr>
          <t xml:space="preserve">
</t>
        </r>
      </text>
    </comment>
    <comment ref="L44" authorId="0" shapeId="0" xr:uid="{92A01829-21B6-AB46-B91A-C0BFD20A7544}">
      <text>
        <r>
          <rPr>
            <b/>
            <sz val="10"/>
            <color rgb="FF000000"/>
            <rFont val="Tahoma"/>
            <family val="2"/>
          </rPr>
          <t xml:space="preserve">Fuel expenditure. If initial max electric power &gt; 0, calculated from electricity production; otherwise from heat production.
NOTE: The above DOES NOT depend on LCOE Override "Max electric power", only from initial value.
Expenditure is multiplied by FUELEX relative (right).
LCOE Override "FUELEX" is added to cell value. </t>
        </r>
      </text>
    </comment>
    <comment ref="M44" authorId="0" shapeId="0" xr:uid="{EF31CD4A-07AE-F14C-97BD-6872D988A78A}">
      <text>
        <r>
          <rPr>
            <b/>
            <sz val="12"/>
            <color rgb="FF000000"/>
            <rFont val="Calibri"/>
            <family val="2"/>
            <scheme val="minor"/>
          </rPr>
          <t>FUELEX cost escalator used in FUELEX calculation. Starts at 100% + LCOE Override "FUELEX Relative".
Increases at the rate specified in "FUELEX Escalator".
LCOE Override "FUELEX Relative" is added to cell value.</t>
        </r>
        <r>
          <rPr>
            <sz val="12"/>
            <color rgb="FF000000"/>
            <rFont val="Calibri"/>
            <family val="2"/>
            <scheme val="minor"/>
          </rPr>
          <t xml:space="preserve">
</t>
        </r>
      </text>
    </comment>
    <comment ref="N44" authorId="0" shapeId="0" xr:uid="{F932F1BE-7CFA-7744-AC5C-CFEEFEF96188}">
      <text>
        <r>
          <rPr>
            <b/>
            <sz val="10"/>
            <color rgb="FF000000"/>
            <rFont val="Tahoma"/>
            <family val="2"/>
          </rPr>
          <t>Plant efficiency relative to startup.
Starts from 100%+LCOE Override "Efficiency relative".
Decreases at the rate specified by "Efficiency loss/year".
LCOE Override "Efficiency relative" is added to cell value.</t>
        </r>
        <r>
          <rPr>
            <sz val="10"/>
            <color rgb="FF000000"/>
            <rFont val="Tahoma"/>
            <family val="2"/>
          </rPr>
          <t xml:space="preserve">
</t>
        </r>
      </text>
    </comment>
    <comment ref="O44" authorId="0" shapeId="0" xr:uid="{9D2C36FC-0C93-DE47-A51E-33C4EB07CBB8}">
      <text>
        <r>
          <rPr>
            <b/>
            <sz val="10"/>
            <color rgb="FF000000"/>
            <rFont val="Tahoma"/>
            <family val="2"/>
          </rPr>
          <t xml:space="preserve">Emission factor per kWh produced.
</t>
        </r>
        <r>
          <rPr>
            <b/>
            <sz val="10"/>
            <color rgb="FF000000"/>
            <rFont val="Tahoma"/>
            <family val="2"/>
          </rPr>
          <t xml:space="preserve">
</t>
        </r>
        <r>
          <rPr>
            <b/>
            <sz val="10"/>
            <color rgb="FF000000"/>
            <rFont val="Tahoma"/>
            <family val="2"/>
          </rPr>
          <t>LCOE Override "Emission factor" is added to cell value.</t>
        </r>
        <r>
          <rPr>
            <sz val="10"/>
            <color rgb="FF000000"/>
            <rFont val="Tahoma"/>
            <family val="2"/>
          </rPr>
          <t xml:space="preserve">
</t>
        </r>
        <r>
          <rPr>
            <sz val="10"/>
            <color rgb="FF000000"/>
            <rFont val="Tahoma"/>
            <family val="2"/>
          </rPr>
          <t xml:space="preserve">
</t>
        </r>
        <r>
          <rPr>
            <sz val="10"/>
            <color rgb="FF000000"/>
            <rFont val="Tahoma"/>
            <family val="2"/>
          </rPr>
          <t>NOTE: Emission factor is in grams of CO2 equivalent per kWh produced.</t>
        </r>
      </text>
    </comment>
    <comment ref="P44" authorId="0" shapeId="0" xr:uid="{0D6F9167-1E70-444B-A346-DDB2853D74CB}">
      <text>
        <r>
          <rPr>
            <b/>
            <sz val="10"/>
            <color rgb="FF000000"/>
            <rFont val="Tahoma"/>
            <family val="2"/>
          </rPr>
          <t xml:space="preserve">How much of plant's notional emissions are taxed?
</t>
        </r>
        <r>
          <rPr>
            <b/>
            <sz val="10"/>
            <color rgb="FF000000"/>
            <rFont val="Tahoma"/>
            <family val="2"/>
          </rPr>
          <t xml:space="preserve">
</t>
        </r>
        <r>
          <rPr>
            <b/>
            <sz val="10"/>
            <color rgb="FF000000"/>
            <rFont val="Tahoma"/>
            <family val="2"/>
          </rPr>
          <t xml:space="preserve">100% if "Emissions taxed starting from year" equals or exceeds current year, 0 otherwise.
</t>
        </r>
        <r>
          <rPr>
            <b/>
            <sz val="10"/>
            <color rgb="FF000000"/>
            <rFont val="Tahoma"/>
            <family val="2"/>
          </rPr>
          <t xml:space="preserve">
</t>
        </r>
        <r>
          <rPr>
            <b/>
            <sz val="10"/>
            <color rgb="FF000000"/>
            <rFont val="Tahoma"/>
            <family val="2"/>
          </rPr>
          <t>LCOE Override "% of emissions taxed" is added to cell value.</t>
        </r>
        <r>
          <rPr>
            <sz val="10"/>
            <color rgb="FF000000"/>
            <rFont val="Tahoma"/>
            <family val="2"/>
          </rPr>
          <t xml:space="preserve">
</t>
        </r>
      </text>
    </comment>
    <comment ref="Q44" authorId="0" shapeId="0" xr:uid="{4B24E07A-FBAA-934C-8D0E-5966AC3527A5}">
      <text>
        <r>
          <rPr>
            <b/>
            <sz val="10"/>
            <color rgb="FF000000"/>
            <rFont val="Tahoma"/>
            <family val="2"/>
          </rPr>
          <t xml:space="preserve">Total emissions based on Total emission factor (left) and production (electricity if initial max electric power &gt; 0, heat otherwise). </t>
        </r>
        <r>
          <rPr>
            <sz val="10"/>
            <color rgb="FF000000"/>
            <rFont val="Tahoma"/>
            <family val="2"/>
          </rPr>
          <t xml:space="preserve">
</t>
        </r>
        <r>
          <rPr>
            <sz val="10"/>
            <color rgb="FF000000"/>
            <rFont val="Tahoma"/>
            <family val="2"/>
          </rPr>
          <t xml:space="preserve">
NOTE: The above DOES NOT depend on LCOE Override "Max electric power", only from initial value.</t>
        </r>
      </text>
    </comment>
    <comment ref="R44" authorId="0" shapeId="0" xr:uid="{0E4C09E3-ABDC-FF46-8292-46B6EF96B38B}">
      <text>
        <r>
          <rPr>
            <b/>
            <sz val="10"/>
            <color rgb="FF000000"/>
            <rFont val="Tahoma"/>
            <family val="2"/>
          </rPr>
          <t>To ease the calculations, shows the cost of emissions per ton of CO2 equivalent, from LCOE parameters.</t>
        </r>
        <r>
          <rPr>
            <sz val="10"/>
            <color rgb="FF000000"/>
            <rFont val="Tahoma"/>
            <family val="2"/>
          </rPr>
          <t xml:space="preserve">
</t>
        </r>
      </text>
    </comment>
    <comment ref="S44" authorId="0" shapeId="0" xr:uid="{4FAC96A6-214E-394B-AC1C-639C7F3BCF90}">
      <text>
        <r>
          <rPr>
            <b/>
            <sz val="10"/>
            <color rgb="FF000000"/>
            <rFont val="Tahoma"/>
            <family val="2"/>
          </rPr>
          <t>Total cost of emissions levied from the plant.
Total emissions * % of emissions taxed * cost of tCO2E.
LCOE Override "Cost of emissions levied" is added to cell value.</t>
        </r>
        <r>
          <rPr>
            <sz val="10"/>
            <color rgb="FF000000"/>
            <rFont val="Tahoma"/>
            <family val="2"/>
          </rPr>
          <t xml:space="preserve">
</t>
        </r>
      </text>
    </comment>
    <comment ref="T44" authorId="0" shapeId="0" xr:uid="{E5EFFDC6-AB40-964E-B940-479AC41C3830}">
      <text>
        <r>
          <rPr>
            <b/>
            <sz val="10"/>
            <color rgb="FF000000"/>
            <rFont val="Tahoma"/>
            <family val="2"/>
          </rPr>
          <t xml:space="preserve">Production tax per MWh produced.
LCOE Override "Tax per MWH produced" is added to cell value.
</t>
        </r>
        <r>
          <rPr>
            <sz val="10"/>
            <color rgb="FF000000"/>
            <rFont val="Tahoma"/>
            <family val="2"/>
          </rPr>
          <t xml:space="preserve">
</t>
        </r>
      </text>
    </comment>
    <comment ref="U44" authorId="0" shapeId="0" xr:uid="{A70F8936-E6B2-A248-9910-B9B22A01C6F7}">
      <text>
        <r>
          <rPr>
            <b/>
            <sz val="10"/>
            <color rgb="FF000000"/>
            <rFont val="Tahoma"/>
            <family val="2"/>
          </rPr>
          <t>Taxes actually levied from the plant, based on electric production if initial max electric power &gt; 0, on heat production otherwise.
NOTE: The above DOES NOT depend on LCOE Override "Max electric power", only on initial value.
LCOE Override "Taxes levied" is added to cell value.</t>
        </r>
        <r>
          <rPr>
            <sz val="10"/>
            <color rgb="FF000000"/>
            <rFont val="Tahoma"/>
            <family val="2"/>
          </rPr>
          <t xml:space="preserve">
</t>
        </r>
      </text>
    </comment>
    <comment ref="V44" authorId="0" shapeId="0" xr:uid="{6CBBB68F-6012-3840-9CD8-22130DBF1CA9}">
      <text>
        <r>
          <rPr>
            <b/>
            <sz val="10"/>
            <color rgb="FF000000"/>
            <rFont val="Tahoma"/>
            <family val="2"/>
          </rPr>
          <t xml:space="preserve">Waste fees per MWh of production.
</t>
        </r>
        <r>
          <rPr>
            <b/>
            <sz val="10"/>
            <color rgb="FF000000"/>
            <rFont val="Tahoma"/>
            <family val="2"/>
          </rPr>
          <t xml:space="preserve">
</t>
        </r>
        <r>
          <rPr>
            <b/>
            <sz val="10"/>
            <color rgb="FF000000"/>
            <rFont val="Tahoma"/>
            <family val="2"/>
          </rPr>
          <t>LCOE Override "Waste fee per MWh" is added to cell value.</t>
        </r>
        <r>
          <rPr>
            <sz val="10"/>
            <color rgb="FF000000"/>
            <rFont val="Tahoma"/>
            <family val="2"/>
          </rPr>
          <t xml:space="preserve">
</t>
        </r>
      </text>
    </comment>
    <comment ref="W44" authorId="0" shapeId="0" xr:uid="{504342AC-CCA2-E645-9E48-A04535BA515E}">
      <text>
        <r>
          <rPr>
            <b/>
            <sz val="10"/>
            <color rgb="FF000000"/>
            <rFont val="Tahoma"/>
            <family val="2"/>
          </rPr>
          <t>Waste fees actually levied from the plant. Waste fee per MWh * production, electric if initial max electric power &gt;0, heat otherwise.
NOTE: The above DOES NOT depend on LCOE Override "Max electric power", only on initial value.
LCOE Override "Waste fee levied" is added to cell value.</t>
        </r>
        <r>
          <rPr>
            <sz val="10"/>
            <color rgb="FF000000"/>
            <rFont val="Tahoma"/>
            <family val="2"/>
          </rPr>
          <t xml:space="preserve">
</t>
        </r>
      </text>
    </comment>
    <comment ref="X44" authorId="0" shapeId="0" xr:uid="{C6D382C3-96FC-8546-A9E2-20D6645BEB65}">
      <text>
        <r>
          <rPr>
            <b/>
            <sz val="10"/>
            <color rgb="FF000000"/>
            <rFont val="Tahoma"/>
            <family val="2"/>
          </rPr>
          <t xml:space="preserve">Heat credit per MWh of heat produced, deducted from costs.
LCOE Override "Heat credit per MWh" is added to cell value.
</t>
        </r>
        <r>
          <rPr>
            <sz val="10"/>
            <color rgb="FF000000"/>
            <rFont val="Tahoma"/>
            <family val="2"/>
          </rPr>
          <t xml:space="preserve">
</t>
        </r>
      </text>
    </comment>
    <comment ref="Y44" authorId="0" shapeId="0" xr:uid="{C4AC0FFA-DA29-5047-8A18-F32E5CEFC4E5}">
      <text>
        <r>
          <rPr>
            <b/>
            <sz val="10"/>
            <color rgb="FF000000"/>
            <rFont val="Tahoma"/>
            <family val="2"/>
          </rPr>
          <t>Total heat credits deducted from costs. Heat credit per MWh * Heat produced.</t>
        </r>
        <r>
          <rPr>
            <sz val="10"/>
            <color rgb="FF000000"/>
            <rFont val="Tahoma"/>
            <family val="2"/>
          </rPr>
          <t xml:space="preserve">
</t>
        </r>
      </text>
    </comment>
    <comment ref="Z44" authorId="0" shapeId="0" xr:uid="{BA0C0262-3B35-EE45-881C-6AE569DF3CD6}">
      <text>
        <r>
          <rPr>
            <b/>
            <sz val="10"/>
            <color rgb="FF000000"/>
            <rFont val="Tahoma"/>
            <family val="2"/>
          </rPr>
          <t>Total capital expenditure:
CAPEXconstr and CAPEXrefurb/decom.</t>
        </r>
        <r>
          <rPr>
            <sz val="10"/>
            <color rgb="FF000000"/>
            <rFont val="Tahoma"/>
            <family val="2"/>
          </rPr>
          <t xml:space="preserve">
</t>
        </r>
      </text>
    </comment>
    <comment ref="AA44" authorId="0" shapeId="0" xr:uid="{0A99B0BE-5B9A-0349-822B-6C49F6E2DE8A}">
      <text>
        <r>
          <rPr>
            <b/>
            <sz val="10"/>
            <color rgb="FF000000"/>
            <rFont val="Tahoma"/>
            <family val="2"/>
          </rPr>
          <t>Total OPEX, Fixed + Variable.</t>
        </r>
        <r>
          <rPr>
            <sz val="10"/>
            <color rgb="FF000000"/>
            <rFont val="Tahoma"/>
            <family val="2"/>
          </rPr>
          <t xml:space="preserve">
</t>
        </r>
      </text>
    </comment>
    <comment ref="AB44" authorId="0" shapeId="0" xr:uid="{C5D9ECEC-5F03-CD42-891B-240D26810910}">
      <text>
        <r>
          <rPr>
            <b/>
            <sz val="10"/>
            <color rgb="FF000000"/>
            <rFont val="Tahoma"/>
            <family val="2"/>
          </rPr>
          <t>Total fuel costs.</t>
        </r>
        <r>
          <rPr>
            <sz val="10"/>
            <color rgb="FF000000"/>
            <rFont val="Tahoma"/>
            <family val="2"/>
          </rPr>
          <t xml:space="preserve">
</t>
        </r>
      </text>
    </comment>
    <comment ref="AC44" authorId="0" shapeId="0" xr:uid="{E986D284-6AF7-8447-9C2C-8472F116E518}">
      <text>
        <r>
          <rPr>
            <b/>
            <sz val="10"/>
            <color rgb="FF000000"/>
            <rFont val="Tahoma"/>
            <family val="2"/>
          </rPr>
          <t xml:space="preserve">Total taxes and waste fees levied. </t>
        </r>
        <r>
          <rPr>
            <sz val="10"/>
            <color rgb="FF000000"/>
            <rFont val="Tahoma"/>
            <family val="2"/>
          </rPr>
          <t xml:space="preserve">
</t>
        </r>
      </text>
    </comment>
    <comment ref="AD44" authorId="0" shapeId="0" xr:uid="{D9E7CC72-C1C3-EF4B-A044-DFC74085BCA2}">
      <text>
        <r>
          <rPr>
            <b/>
            <sz val="10"/>
            <color rgb="FF000000"/>
            <rFont val="Tahoma"/>
            <family val="2"/>
          </rPr>
          <t>Emission fees levied.</t>
        </r>
        <r>
          <rPr>
            <sz val="10"/>
            <color rgb="FF000000"/>
            <rFont val="Tahoma"/>
            <family val="2"/>
          </rPr>
          <t xml:space="preserve">
</t>
        </r>
      </text>
    </comment>
    <comment ref="AE44" authorId="0" shapeId="0" xr:uid="{5EDA5FD8-7B1B-A146-A4A9-7A4324B86649}">
      <text>
        <r>
          <rPr>
            <b/>
            <sz val="10"/>
            <color rgb="FF000000"/>
            <rFont val="Tahoma"/>
            <family val="2"/>
          </rPr>
          <t>How much of plant's operational lifetime has been expended. Increases at a rate of 1 * Operational%.
Does not increase if the plant is being refurbished or suffering from outage.</t>
        </r>
        <r>
          <rPr>
            <sz val="10"/>
            <color rgb="FF000000"/>
            <rFont val="Tahoma"/>
            <family val="2"/>
          </rPr>
          <t xml:space="preserve">
Stops increasing when lifetime is met.</t>
        </r>
      </text>
    </comment>
    <comment ref="AF44" authorId="0" shapeId="0" xr:uid="{D3CA6C43-2F72-6647-80A8-9DCA2F0E5ABD}">
      <text>
        <r>
          <rPr>
            <b/>
            <sz val="10"/>
            <color rgb="FF000000"/>
            <rFont val="Tahoma"/>
            <family val="2"/>
          </rPr>
          <t>Discount rate r used to calculate the discount factor.
Interest During Construction (IDC) before year 0, WACC afterwards.
LCOE Override "Discount rate (WACC)" is added to cell value.</t>
        </r>
        <r>
          <rPr>
            <sz val="10"/>
            <color rgb="FF000000"/>
            <rFont val="Tahoma"/>
            <family val="2"/>
          </rPr>
          <t xml:space="preserve">
</t>
        </r>
      </text>
    </comment>
    <comment ref="AG44" authorId="0" shapeId="0" xr:uid="{E807F5D6-CA15-E941-9DE1-BD7185F6A52C}">
      <text>
        <r>
          <rPr>
            <b/>
            <sz val="10"/>
            <color rgb="FF000000"/>
            <rFont val="Tahoma"/>
            <family val="2"/>
          </rPr>
          <t>Calculates the discount factor (capital recovery), (1+r)^t.</t>
        </r>
        <r>
          <rPr>
            <sz val="10"/>
            <color rgb="FF000000"/>
            <rFont val="Tahoma"/>
            <family val="2"/>
          </rPr>
          <t xml:space="preserve">
</t>
        </r>
      </text>
    </comment>
    <comment ref="AH44" authorId="0" shapeId="0" xr:uid="{9FBB9397-DAC7-5949-ADC3-86BB090B90ED}">
      <text>
        <r>
          <rPr>
            <b/>
            <sz val="10"/>
            <color rgb="FF000000"/>
            <rFont val="Tahoma"/>
            <family val="2"/>
          </rPr>
          <t>Discounted value of total capital costs.</t>
        </r>
        <r>
          <rPr>
            <sz val="10"/>
            <color rgb="FF000000"/>
            <rFont val="Tahoma"/>
            <family val="2"/>
          </rPr>
          <t xml:space="preserve">
</t>
        </r>
      </text>
    </comment>
    <comment ref="AI44" authorId="0" shapeId="0" xr:uid="{7359F8F7-CB1F-F84E-9218-3FEA38658828}">
      <text>
        <r>
          <rPr>
            <b/>
            <sz val="10"/>
            <color rgb="FF000000"/>
            <rFont val="Tahoma"/>
            <family val="2"/>
          </rPr>
          <t>discounted value of O&amp;M (OPEX) costs.</t>
        </r>
        <r>
          <rPr>
            <sz val="10"/>
            <color rgb="FF000000"/>
            <rFont val="Tahoma"/>
            <family val="2"/>
          </rPr>
          <t xml:space="preserve">
</t>
        </r>
      </text>
    </comment>
    <comment ref="AJ44" authorId="0" shapeId="0" xr:uid="{74768148-B4AC-5641-9B23-89738ACF0E08}">
      <text>
        <r>
          <rPr>
            <b/>
            <sz val="10"/>
            <color rgb="FF000000"/>
            <rFont val="Tahoma"/>
            <family val="2"/>
          </rPr>
          <t>Discounted value of fuel costs.</t>
        </r>
        <r>
          <rPr>
            <sz val="10"/>
            <color rgb="FF000000"/>
            <rFont val="Tahoma"/>
            <family val="2"/>
          </rPr>
          <t xml:space="preserve">
</t>
        </r>
      </text>
    </comment>
    <comment ref="AK44" authorId="0" shapeId="0" xr:uid="{DEEC40F9-8A7F-C540-9AF6-8F040BC044E6}">
      <text>
        <r>
          <rPr>
            <b/>
            <sz val="10"/>
            <color rgb="FF000000"/>
            <rFont val="Tahoma"/>
            <family val="2"/>
          </rPr>
          <t>Discounted value of taxes and waste fees levied.</t>
        </r>
        <r>
          <rPr>
            <sz val="10"/>
            <color rgb="FF000000"/>
            <rFont val="Tahoma"/>
            <family val="2"/>
          </rPr>
          <t xml:space="preserve">
</t>
        </r>
      </text>
    </comment>
    <comment ref="AL44" authorId="0" shapeId="0" xr:uid="{B128FA80-53C1-0648-8043-2D875A34811A}">
      <text>
        <r>
          <rPr>
            <b/>
            <sz val="10"/>
            <color rgb="FF000000"/>
            <rFont val="Tahoma"/>
            <family val="2"/>
          </rPr>
          <t>Discounted value of emission fees levied.</t>
        </r>
        <r>
          <rPr>
            <sz val="10"/>
            <color rgb="FF000000"/>
            <rFont val="Tahoma"/>
            <family val="2"/>
          </rPr>
          <t xml:space="preserve">
</t>
        </r>
      </text>
    </comment>
    <comment ref="AM44" authorId="0" shapeId="0" xr:uid="{1E34EC2C-C023-D742-BD52-F864F2518A88}">
      <text>
        <r>
          <rPr>
            <b/>
            <sz val="10"/>
            <color rgb="FF000000"/>
            <rFont val="Tahoma"/>
            <family val="2"/>
          </rPr>
          <t>Discounted value of heat credits. Note that the value is negative, because heat credits decrease LCOE.</t>
        </r>
        <r>
          <rPr>
            <sz val="10"/>
            <color rgb="FF000000"/>
            <rFont val="Tahoma"/>
            <family val="2"/>
          </rPr>
          <t xml:space="preserve">
</t>
        </r>
      </text>
    </comment>
    <comment ref="AN44" authorId="0" shapeId="0" xr:uid="{2B74B807-263D-1D4F-B59D-C7574378F4E5}">
      <text>
        <r>
          <rPr>
            <b/>
            <sz val="10"/>
            <color rgb="FF000000"/>
            <rFont val="Tahoma"/>
            <family val="2"/>
          </rPr>
          <t xml:space="preserve">Discounted amount of production. Electric if initial max electric power &gt;0, heat otherwise. </t>
        </r>
        <r>
          <rPr>
            <sz val="10"/>
            <color rgb="FF000000"/>
            <rFont val="Tahoma"/>
            <family val="2"/>
          </rPr>
          <t xml:space="preserve">
</t>
        </r>
        <r>
          <rPr>
            <sz val="10"/>
            <color rgb="FF000000"/>
            <rFont val="Tahoma"/>
            <family val="2"/>
          </rPr>
          <t xml:space="preserve">
NOTE: This does not depend on LCOE Override "Max electric capacity", only on initial value.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A44" authorId="0" shapeId="0" xr:uid="{96EE17E0-D760-DA40-B266-B3528C66581A}">
      <text>
        <r>
          <rPr>
            <sz val="10"/>
            <color rgb="FF000000"/>
            <rFont val="Tahoma"/>
            <family val="2"/>
          </rPr>
          <t>Running year from -25 to 100</t>
        </r>
      </text>
    </comment>
    <comment ref="B44" authorId="0" shapeId="0" xr:uid="{DC077365-CA1C-2144-9953-8D02006361FD}">
      <text>
        <r>
          <rPr>
            <b/>
            <sz val="10"/>
            <color rgb="FF000000"/>
            <rFont val="Tahoma"/>
            <family val="2"/>
          </rPr>
          <t xml:space="preserve">Capital costs of construction. Total Overnight cost is divided equally to Construction period, starting from Year 0-Construction period.
</t>
        </r>
        <r>
          <rPr>
            <b/>
            <sz val="10"/>
            <color rgb="FF000000"/>
            <rFont val="Tahoma"/>
            <family val="2"/>
          </rPr>
          <t xml:space="preserve">
</t>
        </r>
        <r>
          <rPr>
            <b/>
            <sz val="10"/>
            <color rgb="FF000000"/>
            <rFont val="Tahoma"/>
            <family val="2"/>
          </rPr>
          <t>LCOE Override "CAPEXconstr" is added to cell value.</t>
        </r>
        <r>
          <rPr>
            <sz val="10"/>
            <color rgb="FF000000"/>
            <rFont val="Tahoma"/>
            <family val="2"/>
          </rPr>
          <t xml:space="preserve">
</t>
        </r>
      </text>
    </comment>
    <comment ref="C44" authorId="0" shapeId="0" xr:uid="{AA036949-AD31-2A4D-BE70-A0859B89B1F3}">
      <text>
        <r>
          <rPr>
            <b/>
            <sz val="10"/>
            <color rgb="FF000000"/>
            <rFont val="Tahoma"/>
            <family val="2"/>
          </rPr>
          <t xml:space="preserve">Capital costs of refurbishing and decommissioning.
</t>
        </r>
        <r>
          <rPr>
            <b/>
            <sz val="10"/>
            <color rgb="FF000000"/>
            <rFont val="Tahoma"/>
            <family val="2"/>
          </rPr>
          <t xml:space="preserve">
</t>
        </r>
        <r>
          <rPr>
            <b/>
            <sz val="10"/>
            <color rgb="FF000000"/>
            <rFont val="Tahoma"/>
            <family val="2"/>
          </rPr>
          <t xml:space="preserve">Total overnight cost of refurbishment is divided equally to the time required to refurbish, starting from Refurbishment year.
</t>
        </r>
        <r>
          <rPr>
            <b/>
            <sz val="10"/>
            <color rgb="FF000000"/>
            <rFont val="Tahoma"/>
            <family val="2"/>
          </rPr>
          <t xml:space="preserve">
</t>
        </r>
        <r>
          <rPr>
            <b/>
            <sz val="10"/>
            <color rgb="FF000000"/>
            <rFont val="Tahoma"/>
            <family val="2"/>
          </rPr>
          <t xml:space="preserve">Decommissioning costs are incurred at once when Decommissioning delay after shutdown has elapsed. (In reality, decommissioning would take some years in some cases. This simplification doesn't affect the results much due to discounting.) Decommissioning costs are calculated as share of original overnight costs.
</t>
        </r>
        <r>
          <rPr>
            <b/>
            <sz val="10"/>
            <color rgb="FF000000"/>
            <rFont val="Tahoma"/>
            <family val="2"/>
          </rPr>
          <t xml:space="preserve">
</t>
        </r>
        <r>
          <rPr>
            <b/>
            <sz val="10"/>
            <color rgb="FF000000"/>
            <rFont val="Tahoma"/>
            <family val="2"/>
          </rPr>
          <t>LCOE override "CAPEXrefurb/decon" is added to cell value.</t>
        </r>
        <r>
          <rPr>
            <sz val="10"/>
            <color rgb="FF000000"/>
            <rFont val="Tahoma"/>
            <family val="2"/>
          </rPr>
          <t xml:space="preserve">
</t>
        </r>
      </text>
    </comment>
    <comment ref="D44" authorId="0" shapeId="0" xr:uid="{6B6E070B-FF61-AC47-96C4-C1E499CB472E}">
      <text>
        <r>
          <rPr>
            <sz val="10"/>
            <color rgb="FF000000"/>
            <rFont val="Tahoma"/>
            <family val="2"/>
          </rPr>
          <t>Value is 1 if Lifetime expended at start of previous year (see right) is less than Lifetime in years; if equal or more, value is 0. Used as a multiplier to force production and costs to zero after end of life.</t>
        </r>
      </text>
    </comment>
    <comment ref="E44" authorId="0" shapeId="0" xr:uid="{4B0DDBD9-14E1-524B-ADD6-45DFF4414424}">
      <text>
        <r>
          <rPr>
            <sz val="10"/>
            <color rgb="FF000000"/>
            <rFont val="Tahoma"/>
            <family val="2"/>
          </rPr>
          <t xml:space="preserve">The operational status of the plant. 100% if Lifetime left? = 1 (plant has lifetime left) and refurbishing period isn't underway; otherwise 0.
</t>
        </r>
        <r>
          <rPr>
            <sz val="10"/>
            <color rgb="FF000000"/>
            <rFont val="Tahoma"/>
            <family val="2"/>
          </rPr>
          <t xml:space="preserve">
</t>
        </r>
        <r>
          <rPr>
            <sz val="10"/>
            <color rgb="FF000000"/>
            <rFont val="Tahoma"/>
            <family val="2"/>
          </rPr>
          <t>LCOE override "Operational%" is added to cell value.</t>
        </r>
      </text>
    </comment>
    <comment ref="F44" authorId="0" shapeId="0" xr:uid="{787CB190-0CFF-344D-9404-8834492B973C}">
      <text>
        <r>
          <rPr>
            <b/>
            <sz val="10"/>
            <color rgb="FF000000"/>
            <rFont val="Tahoma"/>
            <family val="2"/>
          </rPr>
          <t xml:space="preserve">Capacity factor of the plant. Starts from 50% of maximum (settled down), ramps up to maximum at a ramp-up rate per year. </t>
        </r>
        <r>
          <rPr>
            <sz val="10"/>
            <color rgb="FF000000"/>
            <rFont val="Tahoma"/>
            <family val="2"/>
          </rPr>
          <t xml:space="preserve">
</t>
        </r>
        <r>
          <rPr>
            <sz val="10"/>
            <color rgb="FF000000"/>
            <rFont val="Tahoma"/>
            <family val="2"/>
          </rPr>
          <t xml:space="preserve">
</t>
        </r>
        <r>
          <rPr>
            <sz val="12"/>
            <color rgb="FF000000"/>
            <rFont val="Calibri"/>
            <family val="2"/>
            <scheme val="minor"/>
          </rPr>
          <t>LCOE override "Capacity factor"  is added to cell value.</t>
        </r>
      </text>
    </comment>
    <comment ref="G44" authorId="0" shapeId="0" xr:uid="{5944A3F2-8D45-3640-8262-63BC7DFA6771}">
      <text>
        <r>
          <rPr>
            <b/>
            <sz val="10"/>
            <color rgb="FF000000"/>
            <rFont val="Tahoma"/>
            <family val="2"/>
          </rPr>
          <t xml:space="preserve">Electricity produced during year. 
</t>
        </r>
        <r>
          <rPr>
            <b/>
            <sz val="10"/>
            <color rgb="FF000000"/>
            <rFont val="Tahoma"/>
            <family val="2"/>
          </rPr>
          <t xml:space="preserve">
</t>
        </r>
        <r>
          <rPr>
            <b/>
            <sz val="10"/>
            <color rgb="FF000000"/>
            <rFont val="Tahoma"/>
            <family val="2"/>
          </rPr>
          <t xml:space="preserve">(Max electric power + override max electric power) multiplied by current capacity factor, multiplied by operational%, Lifetime left? and Efficiency relative (right).
</t>
        </r>
        <r>
          <rPr>
            <b/>
            <sz val="10"/>
            <color rgb="FF000000"/>
            <rFont val="Tahoma"/>
            <family val="2"/>
          </rPr>
          <t xml:space="preserve">
</t>
        </r>
        <r>
          <rPr>
            <sz val="10"/>
            <color rgb="FF000000"/>
            <rFont val="Calibri"/>
            <family val="2"/>
          </rPr>
          <t xml:space="preserve">LCOE override "Electricity produced" is added to cell value.
</t>
        </r>
        <r>
          <rPr>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H44" authorId="0" shapeId="0" xr:uid="{357F44DD-82EB-EE44-83E5-B83F453EF305}">
      <text>
        <r>
          <rPr>
            <b/>
            <sz val="10"/>
            <color rgb="FF000000"/>
            <rFont val="Calibri"/>
            <family val="2"/>
            <scheme val="minor"/>
          </rPr>
          <t>Heat produced during year. 
(Max heat power + override max heat power) multiplied by current capacity factor, multiplied by operational%, Lifetime left? and Efficiency relative (right).</t>
        </r>
        <r>
          <rPr>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LCOE override "Heat produced" is added to cell value.</t>
        </r>
        <r>
          <rPr>
            <sz val="10"/>
            <color rgb="FF000000"/>
            <rFont val="Calibri"/>
            <family val="2"/>
            <scheme val="minor"/>
          </rPr>
          <t xml:space="preserve"> </t>
        </r>
      </text>
    </comment>
    <comment ref="I44" authorId="0" shapeId="0" xr:uid="{6B68ED39-36E1-514A-8234-D8C33E888DD5}">
      <text>
        <r>
          <rPr>
            <b/>
            <sz val="10"/>
            <color rgb="FF000000"/>
            <rFont val="Tahoma"/>
            <family val="2"/>
          </rPr>
          <t xml:space="preserve">Fixed operational expenditure (not dependent on production). Calculated from Fixed OPEX * (Max electric power + Override Max electric power) if Max electric power &gt; 0; otherwise Fixed OPEX * (Max heat power + Override max heat power).
</t>
        </r>
        <r>
          <rPr>
            <b/>
            <sz val="10"/>
            <color rgb="FF000000"/>
            <rFont val="Tahoma"/>
            <family val="2"/>
          </rPr>
          <t xml:space="preserve">
</t>
        </r>
        <r>
          <rPr>
            <b/>
            <sz val="10"/>
            <color rgb="FF000000"/>
            <rFont val="Tahoma"/>
            <family val="2"/>
          </rPr>
          <t xml:space="preserve">Multiplied by OPEX Relative (right)
</t>
        </r>
        <r>
          <rPr>
            <b/>
            <sz val="10"/>
            <color rgb="FF000000"/>
            <rFont val="Tahoma"/>
            <family val="2"/>
          </rPr>
          <t xml:space="preserve">
</t>
        </r>
        <r>
          <rPr>
            <b/>
            <sz val="10"/>
            <color rgb="FF000000"/>
            <rFont val="Tahoma"/>
            <family val="2"/>
          </rPr>
          <t xml:space="preserve">LCOE override "Fixed OPEX" is added to cell value.
</t>
        </r>
        <r>
          <rPr>
            <b/>
            <sz val="10"/>
            <color rgb="FF000000"/>
            <rFont val="Tahoma"/>
            <family val="2"/>
          </rPr>
          <t xml:space="preserve">
</t>
        </r>
        <r>
          <rPr>
            <sz val="10"/>
            <color rgb="FF000000"/>
            <rFont val="Tahoma"/>
            <family val="2"/>
          </rPr>
          <t xml:space="preserve">
</t>
        </r>
      </text>
    </comment>
    <comment ref="J44" authorId="0" shapeId="0" xr:uid="{23A1B7D5-6D93-4845-A047-9FDF73B1A149}">
      <text>
        <r>
          <rPr>
            <b/>
            <sz val="10"/>
            <color rgb="FF000000"/>
            <rFont val="Calibri"/>
            <family val="2"/>
            <scheme val="minor"/>
          </rPr>
          <t xml:space="preserve">Variable operational expenditure (dependent on production). Calculated from Variable OPEX * (Max electric power + Override Max electric power) if Max electric power &gt; 0; otherwise Variable OPEX * (Max heat power + Override max heat power).
Multiplied by OPEX Relative (right).
LCOE override "Variable OPEX" is added to cell value. </t>
        </r>
      </text>
    </comment>
    <comment ref="K44" authorId="0" shapeId="0" xr:uid="{A3602DDD-75BB-ED49-976E-0A155A7F8E4F}">
      <text>
        <r>
          <rPr>
            <b/>
            <sz val="10"/>
            <color rgb="FF000000"/>
            <rFont val="Tahoma"/>
            <family val="2"/>
          </rPr>
          <t>OPEX cost escalator used in OPEX calculations. Starts at 100% + LCOE Override "OPEX Relative".
Increases at the rate specified in "OPEX Escalator".
LCOE Override "OPEX Relative is added to cell value.</t>
        </r>
        <r>
          <rPr>
            <sz val="10"/>
            <color rgb="FF000000"/>
            <rFont val="Tahoma"/>
            <family val="2"/>
          </rPr>
          <t xml:space="preserve">
</t>
        </r>
      </text>
    </comment>
    <comment ref="L44" authorId="0" shapeId="0" xr:uid="{BB3A38CD-2448-3446-AB30-12F2DFF435D0}">
      <text>
        <r>
          <rPr>
            <b/>
            <sz val="10"/>
            <color rgb="FF000000"/>
            <rFont val="Tahoma"/>
            <family val="2"/>
          </rPr>
          <t xml:space="preserve">Fuel expenditure. If initial max electric power &gt; 0, calculated from electricity production; otherwise from heat production.
NOTE: The above DOES NOT depend on LCOE Override "Max electric power", only from initial value.
Expenditure is multiplied by FUELEX relative (right).
LCOE Override "FUELEX" is added to cell value. </t>
        </r>
      </text>
    </comment>
    <comment ref="M44" authorId="0" shapeId="0" xr:uid="{D59B1026-25B9-5F45-BA60-9FBCBD01B9D9}">
      <text>
        <r>
          <rPr>
            <b/>
            <sz val="12"/>
            <color rgb="FF000000"/>
            <rFont val="Calibri"/>
            <family val="2"/>
            <scheme val="minor"/>
          </rPr>
          <t>FUELEX cost escalator used in FUELEX calculation. Starts at 100% + LCOE Override "FUELEX Relative".
Increases at the rate specified in "FUELEX Escalator".
LCOE Override "FUELEX Relative" is added to cell value.</t>
        </r>
        <r>
          <rPr>
            <sz val="12"/>
            <color rgb="FF000000"/>
            <rFont val="Calibri"/>
            <family val="2"/>
            <scheme val="minor"/>
          </rPr>
          <t xml:space="preserve">
</t>
        </r>
      </text>
    </comment>
    <comment ref="N44" authorId="0" shapeId="0" xr:uid="{C635187D-BFFB-6B42-8D3F-7EBD851C55AD}">
      <text>
        <r>
          <rPr>
            <b/>
            <sz val="10"/>
            <color rgb="FF000000"/>
            <rFont val="Tahoma"/>
            <family val="2"/>
          </rPr>
          <t>Plant efficiency relative to startup.
Starts from 100%+LCOE Override "Efficiency relative".
Decreases at the rate specified by "Efficiency loss/year".
LCOE Override "Efficiency relative" is added to cell value.</t>
        </r>
        <r>
          <rPr>
            <sz val="10"/>
            <color rgb="FF000000"/>
            <rFont val="Tahoma"/>
            <family val="2"/>
          </rPr>
          <t xml:space="preserve">
</t>
        </r>
      </text>
    </comment>
    <comment ref="O44" authorId="0" shapeId="0" xr:uid="{71FA174E-68B9-B74C-A00A-6F64699372B1}">
      <text>
        <r>
          <rPr>
            <b/>
            <sz val="10"/>
            <color rgb="FF000000"/>
            <rFont val="Tahoma"/>
            <family val="2"/>
          </rPr>
          <t xml:space="preserve">Emission factor per kWh produced.
</t>
        </r>
        <r>
          <rPr>
            <b/>
            <sz val="10"/>
            <color rgb="FF000000"/>
            <rFont val="Tahoma"/>
            <family val="2"/>
          </rPr>
          <t xml:space="preserve">
</t>
        </r>
        <r>
          <rPr>
            <b/>
            <sz val="10"/>
            <color rgb="FF000000"/>
            <rFont val="Tahoma"/>
            <family val="2"/>
          </rPr>
          <t>LCOE Override "Emission factor" is added to cell value.</t>
        </r>
        <r>
          <rPr>
            <sz val="10"/>
            <color rgb="FF000000"/>
            <rFont val="Tahoma"/>
            <family val="2"/>
          </rPr>
          <t xml:space="preserve">
</t>
        </r>
        <r>
          <rPr>
            <sz val="10"/>
            <color rgb="FF000000"/>
            <rFont val="Tahoma"/>
            <family val="2"/>
          </rPr>
          <t xml:space="preserve">
</t>
        </r>
        <r>
          <rPr>
            <sz val="10"/>
            <color rgb="FF000000"/>
            <rFont val="Tahoma"/>
            <family val="2"/>
          </rPr>
          <t>NOTE: Emission factor is in grams of CO2 equivalent per kWh produced.</t>
        </r>
      </text>
    </comment>
    <comment ref="P44" authorId="0" shapeId="0" xr:uid="{2EC9D617-9AE7-BC43-8BBF-0C83F1430D5F}">
      <text>
        <r>
          <rPr>
            <b/>
            <sz val="10"/>
            <color rgb="FF000000"/>
            <rFont val="Tahoma"/>
            <family val="2"/>
          </rPr>
          <t xml:space="preserve">How much of plant's notional emissions are taxed?
</t>
        </r>
        <r>
          <rPr>
            <b/>
            <sz val="10"/>
            <color rgb="FF000000"/>
            <rFont val="Tahoma"/>
            <family val="2"/>
          </rPr>
          <t xml:space="preserve">
</t>
        </r>
        <r>
          <rPr>
            <b/>
            <sz val="10"/>
            <color rgb="FF000000"/>
            <rFont val="Tahoma"/>
            <family val="2"/>
          </rPr>
          <t xml:space="preserve">100% if "Emissions taxed starting from year" equals or exceeds current year, 0 otherwise.
</t>
        </r>
        <r>
          <rPr>
            <b/>
            <sz val="10"/>
            <color rgb="FF000000"/>
            <rFont val="Tahoma"/>
            <family val="2"/>
          </rPr>
          <t xml:space="preserve">
</t>
        </r>
        <r>
          <rPr>
            <b/>
            <sz val="10"/>
            <color rgb="FF000000"/>
            <rFont val="Tahoma"/>
            <family val="2"/>
          </rPr>
          <t>LCOE Override "% of emissions taxed" is added to cell value.</t>
        </r>
        <r>
          <rPr>
            <sz val="10"/>
            <color rgb="FF000000"/>
            <rFont val="Tahoma"/>
            <family val="2"/>
          </rPr>
          <t xml:space="preserve">
</t>
        </r>
      </text>
    </comment>
    <comment ref="Q44" authorId="0" shapeId="0" xr:uid="{5365A9F0-8562-6347-B417-973E73270C25}">
      <text>
        <r>
          <rPr>
            <b/>
            <sz val="10"/>
            <color rgb="FF000000"/>
            <rFont val="Tahoma"/>
            <family val="2"/>
          </rPr>
          <t xml:space="preserve">Total emissions based on Total emission factor (left) and production (electricity if initial max electric power &gt; 0, heat otherwise). </t>
        </r>
        <r>
          <rPr>
            <sz val="10"/>
            <color rgb="FF000000"/>
            <rFont val="Tahoma"/>
            <family val="2"/>
          </rPr>
          <t xml:space="preserve">
</t>
        </r>
        <r>
          <rPr>
            <sz val="10"/>
            <color rgb="FF000000"/>
            <rFont val="Tahoma"/>
            <family val="2"/>
          </rPr>
          <t xml:space="preserve">
NOTE: The above DOES NOT depend on LCOE Override "Max electric power", only from initial value.</t>
        </r>
      </text>
    </comment>
    <comment ref="R44" authorId="0" shapeId="0" xr:uid="{CD4CED04-3EC0-5045-ADDC-F653E7A0D75B}">
      <text>
        <r>
          <rPr>
            <b/>
            <sz val="10"/>
            <color rgb="FF000000"/>
            <rFont val="Tahoma"/>
            <family val="2"/>
          </rPr>
          <t>To ease the calculations, shows the cost of emissions per ton of CO2 equivalent, from LCOE parameters.</t>
        </r>
        <r>
          <rPr>
            <sz val="10"/>
            <color rgb="FF000000"/>
            <rFont val="Tahoma"/>
            <family val="2"/>
          </rPr>
          <t xml:space="preserve">
</t>
        </r>
      </text>
    </comment>
    <comment ref="S44" authorId="0" shapeId="0" xr:uid="{C32D9077-88E7-D844-97C3-BDA602E62368}">
      <text>
        <r>
          <rPr>
            <b/>
            <sz val="10"/>
            <color rgb="FF000000"/>
            <rFont val="Tahoma"/>
            <family val="2"/>
          </rPr>
          <t>Total cost of emissions levied from the plant.
Total emissions * % of emissions taxed * cost of tCO2E.
LCOE Override "Cost of emissions levied" is added to cell value.</t>
        </r>
        <r>
          <rPr>
            <sz val="10"/>
            <color rgb="FF000000"/>
            <rFont val="Tahoma"/>
            <family val="2"/>
          </rPr>
          <t xml:space="preserve">
</t>
        </r>
      </text>
    </comment>
    <comment ref="T44" authorId="0" shapeId="0" xr:uid="{7552E3A2-E1BB-DA4A-8339-6B306195DD16}">
      <text>
        <r>
          <rPr>
            <b/>
            <sz val="10"/>
            <color rgb="FF000000"/>
            <rFont val="Tahoma"/>
            <family val="2"/>
          </rPr>
          <t xml:space="preserve">Production tax per MWh produced.
LCOE Override "Tax per MWH produced" is added to cell value.
</t>
        </r>
        <r>
          <rPr>
            <sz val="10"/>
            <color rgb="FF000000"/>
            <rFont val="Tahoma"/>
            <family val="2"/>
          </rPr>
          <t xml:space="preserve">
</t>
        </r>
      </text>
    </comment>
    <comment ref="U44" authorId="0" shapeId="0" xr:uid="{17679213-FF31-364F-A223-C1749D8250EE}">
      <text>
        <r>
          <rPr>
            <b/>
            <sz val="10"/>
            <color rgb="FF000000"/>
            <rFont val="Tahoma"/>
            <family val="2"/>
          </rPr>
          <t>Taxes actually levied from the plant, based on electric production if initial max electric power &gt; 0, on heat production otherwise.
NOTE: The above DOES NOT depend on LCOE Override "Max electric power", only on initial value.
LCOE Override "Taxes levied" is added to cell value.</t>
        </r>
        <r>
          <rPr>
            <sz val="10"/>
            <color rgb="FF000000"/>
            <rFont val="Tahoma"/>
            <family val="2"/>
          </rPr>
          <t xml:space="preserve">
</t>
        </r>
      </text>
    </comment>
    <comment ref="V44" authorId="0" shapeId="0" xr:uid="{D7A063FE-B73C-1148-B504-00235F088C92}">
      <text>
        <r>
          <rPr>
            <b/>
            <sz val="10"/>
            <color rgb="FF000000"/>
            <rFont val="Tahoma"/>
            <family val="2"/>
          </rPr>
          <t xml:space="preserve">Waste fees per MWh of production.
</t>
        </r>
        <r>
          <rPr>
            <b/>
            <sz val="10"/>
            <color rgb="FF000000"/>
            <rFont val="Tahoma"/>
            <family val="2"/>
          </rPr>
          <t xml:space="preserve">
</t>
        </r>
        <r>
          <rPr>
            <b/>
            <sz val="10"/>
            <color rgb="FF000000"/>
            <rFont val="Tahoma"/>
            <family val="2"/>
          </rPr>
          <t>LCOE Override "Waste fee per MWh" is added to cell value.</t>
        </r>
        <r>
          <rPr>
            <sz val="10"/>
            <color rgb="FF000000"/>
            <rFont val="Tahoma"/>
            <family val="2"/>
          </rPr>
          <t xml:space="preserve">
</t>
        </r>
      </text>
    </comment>
    <comment ref="W44" authorId="0" shapeId="0" xr:uid="{7F3D5F8D-33C7-D448-9A67-4AD25DE794D8}">
      <text>
        <r>
          <rPr>
            <b/>
            <sz val="10"/>
            <color rgb="FF000000"/>
            <rFont val="Tahoma"/>
            <family val="2"/>
          </rPr>
          <t>Waste fees actually levied from the plant. Waste fee per MWh * production, electric if initial max electric power &gt;0, heat otherwise.
NOTE: The above DOES NOT depend on LCOE Override "Max electric power", only on initial value.
LCOE Override "Waste fee levied" is added to cell value.</t>
        </r>
        <r>
          <rPr>
            <sz val="10"/>
            <color rgb="FF000000"/>
            <rFont val="Tahoma"/>
            <family val="2"/>
          </rPr>
          <t xml:space="preserve">
</t>
        </r>
      </text>
    </comment>
    <comment ref="X44" authorId="0" shapeId="0" xr:uid="{DA24F63C-768B-594C-8A1A-C9E8B32F97CB}">
      <text>
        <r>
          <rPr>
            <b/>
            <sz val="10"/>
            <color rgb="FF000000"/>
            <rFont val="Tahoma"/>
            <family val="2"/>
          </rPr>
          <t xml:space="preserve">Heat credit per MWh of heat produced, deducted from costs.
LCOE Override "Heat credit per MWh" is added to cell value.
</t>
        </r>
        <r>
          <rPr>
            <sz val="10"/>
            <color rgb="FF000000"/>
            <rFont val="Tahoma"/>
            <family val="2"/>
          </rPr>
          <t xml:space="preserve">
</t>
        </r>
      </text>
    </comment>
    <comment ref="Y44" authorId="0" shapeId="0" xr:uid="{C3AF7ED8-392E-5C4E-822E-9F85BC7D6DC5}">
      <text>
        <r>
          <rPr>
            <b/>
            <sz val="10"/>
            <color rgb="FF000000"/>
            <rFont val="Tahoma"/>
            <family val="2"/>
          </rPr>
          <t>Total heat credits deducted from costs. Heat credit per MWh * Heat produced.</t>
        </r>
        <r>
          <rPr>
            <sz val="10"/>
            <color rgb="FF000000"/>
            <rFont val="Tahoma"/>
            <family val="2"/>
          </rPr>
          <t xml:space="preserve">
</t>
        </r>
      </text>
    </comment>
    <comment ref="Z44" authorId="0" shapeId="0" xr:uid="{49BF7735-6C30-FE4C-82E7-EE407E65CA60}">
      <text>
        <r>
          <rPr>
            <b/>
            <sz val="10"/>
            <color rgb="FF000000"/>
            <rFont val="Tahoma"/>
            <family val="2"/>
          </rPr>
          <t>Total capital expenditure:
CAPEXconstr and CAPEXrefurb/decom.</t>
        </r>
        <r>
          <rPr>
            <sz val="10"/>
            <color rgb="FF000000"/>
            <rFont val="Tahoma"/>
            <family val="2"/>
          </rPr>
          <t xml:space="preserve">
</t>
        </r>
      </text>
    </comment>
    <comment ref="AA44" authorId="0" shapeId="0" xr:uid="{9D103779-927D-A947-93F8-B416DE83631F}">
      <text>
        <r>
          <rPr>
            <b/>
            <sz val="10"/>
            <color rgb="FF000000"/>
            <rFont val="Tahoma"/>
            <family val="2"/>
          </rPr>
          <t>Total OPEX, Fixed + Variable.</t>
        </r>
        <r>
          <rPr>
            <sz val="10"/>
            <color rgb="FF000000"/>
            <rFont val="Tahoma"/>
            <family val="2"/>
          </rPr>
          <t xml:space="preserve">
</t>
        </r>
      </text>
    </comment>
    <comment ref="AB44" authorId="0" shapeId="0" xr:uid="{0E7A51A1-6629-2D4B-ABA8-A4607E1D2FC3}">
      <text>
        <r>
          <rPr>
            <b/>
            <sz val="10"/>
            <color rgb="FF000000"/>
            <rFont val="Tahoma"/>
            <family val="2"/>
          </rPr>
          <t>Total fuel costs.</t>
        </r>
        <r>
          <rPr>
            <sz val="10"/>
            <color rgb="FF000000"/>
            <rFont val="Tahoma"/>
            <family val="2"/>
          </rPr>
          <t xml:space="preserve">
</t>
        </r>
      </text>
    </comment>
    <comment ref="AC44" authorId="0" shapeId="0" xr:uid="{AC72DA3C-3DD4-2446-BE36-374217EC6F50}">
      <text>
        <r>
          <rPr>
            <b/>
            <sz val="10"/>
            <color rgb="FF000000"/>
            <rFont val="Tahoma"/>
            <family val="2"/>
          </rPr>
          <t xml:space="preserve">Total taxes and waste fees levied. </t>
        </r>
        <r>
          <rPr>
            <sz val="10"/>
            <color rgb="FF000000"/>
            <rFont val="Tahoma"/>
            <family val="2"/>
          </rPr>
          <t xml:space="preserve">
</t>
        </r>
      </text>
    </comment>
    <comment ref="AD44" authorId="0" shapeId="0" xr:uid="{894C519B-2484-A144-B71A-18764DB5D291}">
      <text>
        <r>
          <rPr>
            <b/>
            <sz val="10"/>
            <color rgb="FF000000"/>
            <rFont val="Tahoma"/>
            <family val="2"/>
          </rPr>
          <t>Emission fees levied.</t>
        </r>
        <r>
          <rPr>
            <sz val="10"/>
            <color rgb="FF000000"/>
            <rFont val="Tahoma"/>
            <family val="2"/>
          </rPr>
          <t xml:space="preserve">
</t>
        </r>
      </text>
    </comment>
    <comment ref="AE44" authorId="0" shapeId="0" xr:uid="{9B24F41A-9405-5D44-89CA-E4BE5883E8BE}">
      <text>
        <r>
          <rPr>
            <b/>
            <sz val="10"/>
            <color rgb="FF000000"/>
            <rFont val="Tahoma"/>
            <family val="2"/>
          </rPr>
          <t>How much of plant's operational lifetime has been expended. Increases at a rate of 1 * Operational%.
Does not increase if the plant is being refurbished or suffering from outage.</t>
        </r>
        <r>
          <rPr>
            <sz val="10"/>
            <color rgb="FF000000"/>
            <rFont val="Tahoma"/>
            <family val="2"/>
          </rPr>
          <t xml:space="preserve">
Stops increasing when lifetime is met.</t>
        </r>
      </text>
    </comment>
    <comment ref="AF44" authorId="0" shapeId="0" xr:uid="{8E172B57-7FBB-F44D-A076-96776AD73D3F}">
      <text>
        <r>
          <rPr>
            <b/>
            <sz val="10"/>
            <color rgb="FF000000"/>
            <rFont val="Tahoma"/>
            <family val="2"/>
          </rPr>
          <t>Discount rate r used to calculate the discount factor.
Interest During Construction (IDC) before year 0, WACC afterwards.
LCOE Override "Discount rate (WACC)" is added to cell value.</t>
        </r>
        <r>
          <rPr>
            <sz val="10"/>
            <color rgb="FF000000"/>
            <rFont val="Tahoma"/>
            <family val="2"/>
          </rPr>
          <t xml:space="preserve">
</t>
        </r>
      </text>
    </comment>
    <comment ref="AG44" authorId="0" shapeId="0" xr:uid="{E53FBCD4-3973-E148-9FD6-604D65BF5930}">
      <text>
        <r>
          <rPr>
            <b/>
            <sz val="10"/>
            <color rgb="FF000000"/>
            <rFont val="Tahoma"/>
            <family val="2"/>
          </rPr>
          <t>Calculates the discount factor (capital recovery), (1+r)^t.</t>
        </r>
        <r>
          <rPr>
            <sz val="10"/>
            <color rgb="FF000000"/>
            <rFont val="Tahoma"/>
            <family val="2"/>
          </rPr>
          <t xml:space="preserve">
</t>
        </r>
      </text>
    </comment>
    <comment ref="AH44" authorId="0" shapeId="0" xr:uid="{639FCB37-B278-9945-8268-8145B3E05CA7}">
      <text>
        <r>
          <rPr>
            <b/>
            <sz val="10"/>
            <color rgb="FF000000"/>
            <rFont val="Tahoma"/>
            <family val="2"/>
          </rPr>
          <t>Discounted value of total capital costs.</t>
        </r>
        <r>
          <rPr>
            <sz val="10"/>
            <color rgb="FF000000"/>
            <rFont val="Tahoma"/>
            <family val="2"/>
          </rPr>
          <t xml:space="preserve">
</t>
        </r>
      </text>
    </comment>
    <comment ref="AI44" authorId="0" shapeId="0" xr:uid="{1C6AE9B3-0A79-F048-A4B9-FDC8D9045B01}">
      <text>
        <r>
          <rPr>
            <b/>
            <sz val="10"/>
            <color rgb="FF000000"/>
            <rFont val="Tahoma"/>
            <family val="2"/>
          </rPr>
          <t>discounted value of O&amp;M (OPEX) costs.</t>
        </r>
        <r>
          <rPr>
            <sz val="10"/>
            <color rgb="FF000000"/>
            <rFont val="Tahoma"/>
            <family val="2"/>
          </rPr>
          <t xml:space="preserve">
</t>
        </r>
      </text>
    </comment>
    <comment ref="AJ44" authorId="0" shapeId="0" xr:uid="{E801E53B-B3CA-3B4F-91A6-04F7FC7C8668}">
      <text>
        <r>
          <rPr>
            <b/>
            <sz val="10"/>
            <color rgb="FF000000"/>
            <rFont val="Tahoma"/>
            <family val="2"/>
          </rPr>
          <t>Discounted value of fuel costs.</t>
        </r>
        <r>
          <rPr>
            <sz val="10"/>
            <color rgb="FF000000"/>
            <rFont val="Tahoma"/>
            <family val="2"/>
          </rPr>
          <t xml:space="preserve">
</t>
        </r>
      </text>
    </comment>
    <comment ref="AK44" authorId="0" shapeId="0" xr:uid="{AB0921E3-A522-5649-A071-C6AF92F3BB66}">
      <text>
        <r>
          <rPr>
            <b/>
            <sz val="10"/>
            <color rgb="FF000000"/>
            <rFont val="Tahoma"/>
            <family val="2"/>
          </rPr>
          <t>Discounted value of taxes and waste fees levied.</t>
        </r>
        <r>
          <rPr>
            <sz val="10"/>
            <color rgb="FF000000"/>
            <rFont val="Tahoma"/>
            <family val="2"/>
          </rPr>
          <t xml:space="preserve">
</t>
        </r>
      </text>
    </comment>
    <comment ref="AL44" authorId="0" shapeId="0" xr:uid="{A2EFC488-8B97-7F45-8CC0-B71EF8D38247}">
      <text>
        <r>
          <rPr>
            <b/>
            <sz val="10"/>
            <color rgb="FF000000"/>
            <rFont val="Tahoma"/>
            <family val="2"/>
          </rPr>
          <t>Discounted value of emission fees levied.</t>
        </r>
        <r>
          <rPr>
            <sz val="10"/>
            <color rgb="FF000000"/>
            <rFont val="Tahoma"/>
            <family val="2"/>
          </rPr>
          <t xml:space="preserve">
</t>
        </r>
      </text>
    </comment>
    <comment ref="AM44" authorId="0" shapeId="0" xr:uid="{01DB5DAB-E2E5-8B49-86D8-1E416CE12D38}">
      <text>
        <r>
          <rPr>
            <b/>
            <sz val="10"/>
            <color rgb="FF000000"/>
            <rFont val="Tahoma"/>
            <family val="2"/>
          </rPr>
          <t>Discounted value of heat credits. Note that the value is negative, because heat credits decrease LCOE.</t>
        </r>
        <r>
          <rPr>
            <sz val="10"/>
            <color rgb="FF000000"/>
            <rFont val="Tahoma"/>
            <family val="2"/>
          </rPr>
          <t xml:space="preserve">
</t>
        </r>
      </text>
    </comment>
    <comment ref="AN44" authorId="0" shapeId="0" xr:uid="{D8D1397B-3E1D-9641-A79D-D2A29665EE8B}">
      <text>
        <r>
          <rPr>
            <b/>
            <sz val="10"/>
            <color rgb="FF000000"/>
            <rFont val="Tahoma"/>
            <family val="2"/>
          </rPr>
          <t xml:space="preserve">Discounted amount of production. Electric if initial max electric power &gt;0, heat otherwise. </t>
        </r>
        <r>
          <rPr>
            <sz val="10"/>
            <color rgb="FF000000"/>
            <rFont val="Tahoma"/>
            <family val="2"/>
          </rPr>
          <t xml:space="preserve">
</t>
        </r>
        <r>
          <rPr>
            <sz val="10"/>
            <color rgb="FF000000"/>
            <rFont val="Tahoma"/>
            <family val="2"/>
          </rPr>
          <t xml:space="preserve">
NOTE: This does not depend on LCOE Override "Max electric capacity", only on initial value.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A44" authorId="0" shapeId="0" xr:uid="{8CB9FD35-5E88-8F49-B334-194E301463E2}">
      <text>
        <r>
          <rPr>
            <sz val="10"/>
            <color rgb="FF000000"/>
            <rFont val="Tahoma"/>
            <family val="2"/>
          </rPr>
          <t>Running year from -25 to 100</t>
        </r>
      </text>
    </comment>
    <comment ref="B44" authorId="0" shapeId="0" xr:uid="{BFF7DC63-52A9-EC48-B984-AD0B0E2FEFCE}">
      <text>
        <r>
          <rPr>
            <b/>
            <sz val="10"/>
            <color rgb="FF000000"/>
            <rFont val="Tahoma"/>
            <family val="2"/>
          </rPr>
          <t xml:space="preserve">Capital costs of construction. Total Overnight cost is divided equally to Construction period, starting from Year 0-Construction period.
</t>
        </r>
        <r>
          <rPr>
            <b/>
            <sz val="10"/>
            <color rgb="FF000000"/>
            <rFont val="Tahoma"/>
            <family val="2"/>
          </rPr>
          <t xml:space="preserve">
</t>
        </r>
        <r>
          <rPr>
            <b/>
            <sz val="10"/>
            <color rgb="FF000000"/>
            <rFont val="Tahoma"/>
            <family val="2"/>
          </rPr>
          <t>LCOE Override "CAPEXconstr" is added to cell value.</t>
        </r>
        <r>
          <rPr>
            <sz val="10"/>
            <color rgb="FF000000"/>
            <rFont val="Tahoma"/>
            <family val="2"/>
          </rPr>
          <t xml:space="preserve">
</t>
        </r>
      </text>
    </comment>
    <comment ref="C44" authorId="0" shapeId="0" xr:uid="{A54D5964-6611-9149-81AE-45E87B002815}">
      <text>
        <r>
          <rPr>
            <b/>
            <sz val="10"/>
            <color rgb="FF000000"/>
            <rFont val="Tahoma"/>
            <family val="2"/>
          </rPr>
          <t xml:space="preserve">Capital costs of refurbishing and decommissioning.
</t>
        </r>
        <r>
          <rPr>
            <b/>
            <sz val="10"/>
            <color rgb="FF000000"/>
            <rFont val="Tahoma"/>
            <family val="2"/>
          </rPr>
          <t xml:space="preserve">
</t>
        </r>
        <r>
          <rPr>
            <b/>
            <sz val="10"/>
            <color rgb="FF000000"/>
            <rFont val="Tahoma"/>
            <family val="2"/>
          </rPr>
          <t xml:space="preserve">Total overnight cost of refurbishment is divided equally to the time required to refurbish, starting from Refurbishment year.
</t>
        </r>
        <r>
          <rPr>
            <b/>
            <sz val="10"/>
            <color rgb="FF000000"/>
            <rFont val="Tahoma"/>
            <family val="2"/>
          </rPr>
          <t xml:space="preserve">
</t>
        </r>
        <r>
          <rPr>
            <b/>
            <sz val="10"/>
            <color rgb="FF000000"/>
            <rFont val="Tahoma"/>
            <family val="2"/>
          </rPr>
          <t xml:space="preserve">Decommissioning costs are incurred at once when Decommissioning delay after shutdown has elapsed. (In reality, decommissioning would take some years in some cases. This simplification doesn't affect the results much due to discounting.) Decommissioning costs are calculated as share of original overnight costs.
</t>
        </r>
        <r>
          <rPr>
            <b/>
            <sz val="10"/>
            <color rgb="FF000000"/>
            <rFont val="Tahoma"/>
            <family val="2"/>
          </rPr>
          <t xml:space="preserve">
</t>
        </r>
        <r>
          <rPr>
            <b/>
            <sz val="10"/>
            <color rgb="FF000000"/>
            <rFont val="Tahoma"/>
            <family val="2"/>
          </rPr>
          <t>LCOE override "CAPEXrefurb/decon" is added to cell value.</t>
        </r>
        <r>
          <rPr>
            <sz val="10"/>
            <color rgb="FF000000"/>
            <rFont val="Tahoma"/>
            <family val="2"/>
          </rPr>
          <t xml:space="preserve">
</t>
        </r>
      </text>
    </comment>
    <comment ref="D44" authorId="0" shapeId="0" xr:uid="{04D04593-F5BD-BB46-8E27-96F98F5DD29E}">
      <text>
        <r>
          <rPr>
            <sz val="10"/>
            <color rgb="FF000000"/>
            <rFont val="Tahoma"/>
            <family val="2"/>
          </rPr>
          <t>Value is 1 if Lifetime expended at start of previous year (see right) is less than Lifetime in years; if equal or more, value is 0. Used as a multiplier to force production and costs to zero after end of life.</t>
        </r>
      </text>
    </comment>
    <comment ref="E44" authorId="0" shapeId="0" xr:uid="{2787BD5A-FE7A-BF41-B8BD-F09A23C2009A}">
      <text>
        <r>
          <rPr>
            <sz val="10"/>
            <color rgb="FF000000"/>
            <rFont val="Tahoma"/>
            <family val="2"/>
          </rPr>
          <t xml:space="preserve">The operational status of the plant. 100% if Lifetime left? = 1 (plant has lifetime left) and refurbishing period isn't underway; otherwise 0.
</t>
        </r>
        <r>
          <rPr>
            <sz val="10"/>
            <color rgb="FF000000"/>
            <rFont val="Tahoma"/>
            <family val="2"/>
          </rPr>
          <t xml:space="preserve">
</t>
        </r>
        <r>
          <rPr>
            <sz val="10"/>
            <color rgb="FF000000"/>
            <rFont val="Tahoma"/>
            <family val="2"/>
          </rPr>
          <t>LCOE override "Operational%" is added to cell value.</t>
        </r>
      </text>
    </comment>
    <comment ref="F44" authorId="0" shapeId="0" xr:uid="{28EAD5AA-6AA3-004F-A375-EBF460FC8A02}">
      <text>
        <r>
          <rPr>
            <b/>
            <sz val="10"/>
            <color rgb="FF000000"/>
            <rFont val="Tahoma"/>
            <family val="2"/>
          </rPr>
          <t xml:space="preserve">Capacity factor of the plant. Starts from 50% of maximum (settled down), ramps up to maximum at a ramp-up rate per year. </t>
        </r>
        <r>
          <rPr>
            <sz val="10"/>
            <color rgb="FF000000"/>
            <rFont val="Tahoma"/>
            <family val="2"/>
          </rPr>
          <t xml:space="preserve">
</t>
        </r>
        <r>
          <rPr>
            <sz val="10"/>
            <color rgb="FF000000"/>
            <rFont val="Tahoma"/>
            <family val="2"/>
          </rPr>
          <t xml:space="preserve">
</t>
        </r>
        <r>
          <rPr>
            <sz val="12"/>
            <color rgb="FF000000"/>
            <rFont val="Calibri"/>
            <family val="2"/>
            <scheme val="minor"/>
          </rPr>
          <t>LCOE override "Capacity factor"  is added to cell value.</t>
        </r>
      </text>
    </comment>
    <comment ref="G44" authorId="0" shapeId="0" xr:uid="{8BBAEC9B-B2BB-B14D-B826-F28A4F31D0CE}">
      <text>
        <r>
          <rPr>
            <b/>
            <sz val="10"/>
            <color rgb="FF000000"/>
            <rFont val="Tahoma"/>
            <family val="2"/>
          </rPr>
          <t xml:space="preserve">Electricity produced during year. 
</t>
        </r>
        <r>
          <rPr>
            <b/>
            <sz val="10"/>
            <color rgb="FF000000"/>
            <rFont val="Tahoma"/>
            <family val="2"/>
          </rPr>
          <t xml:space="preserve">
</t>
        </r>
        <r>
          <rPr>
            <b/>
            <sz val="10"/>
            <color rgb="FF000000"/>
            <rFont val="Tahoma"/>
            <family val="2"/>
          </rPr>
          <t xml:space="preserve">(Max electric power + override max electric power) multiplied by current capacity factor, multiplied by operational%, Lifetime left? and Efficiency relative (right).
</t>
        </r>
        <r>
          <rPr>
            <b/>
            <sz val="10"/>
            <color rgb="FF000000"/>
            <rFont val="Tahoma"/>
            <family val="2"/>
          </rPr>
          <t xml:space="preserve">
</t>
        </r>
        <r>
          <rPr>
            <sz val="10"/>
            <color rgb="FF000000"/>
            <rFont val="Calibri"/>
            <family val="2"/>
          </rPr>
          <t xml:space="preserve">LCOE override "Electricity produced" is added to cell value.
</t>
        </r>
        <r>
          <rPr>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H44" authorId="0" shapeId="0" xr:uid="{C079C31E-A59D-814B-9DD3-09E88DFC1D05}">
      <text>
        <r>
          <rPr>
            <b/>
            <sz val="10"/>
            <color rgb="FF000000"/>
            <rFont val="Calibri"/>
            <family val="2"/>
            <scheme val="minor"/>
          </rPr>
          <t>Heat produced during year. 
(Max heat power + override max heat power) multiplied by current capacity factor, multiplied by operational%, Lifetime left? and Efficiency relative (right).</t>
        </r>
        <r>
          <rPr>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LCOE override "Heat produced" is added to cell value.</t>
        </r>
        <r>
          <rPr>
            <sz val="10"/>
            <color rgb="FF000000"/>
            <rFont val="Calibri"/>
            <family val="2"/>
            <scheme val="minor"/>
          </rPr>
          <t xml:space="preserve"> </t>
        </r>
      </text>
    </comment>
    <comment ref="I44" authorId="0" shapeId="0" xr:uid="{B10249EB-F331-B444-B471-A218980F5DBC}">
      <text>
        <r>
          <rPr>
            <b/>
            <sz val="10"/>
            <color rgb="FF000000"/>
            <rFont val="Tahoma"/>
            <family val="2"/>
          </rPr>
          <t xml:space="preserve">Fixed operational expenditure (not dependent on production). Calculated from Fixed OPEX * (Max electric power + Override Max electric power) if Max electric power &gt; 0; otherwise Fixed OPEX * (Max heat power + Override max heat power).
</t>
        </r>
        <r>
          <rPr>
            <b/>
            <sz val="10"/>
            <color rgb="FF000000"/>
            <rFont val="Tahoma"/>
            <family val="2"/>
          </rPr>
          <t xml:space="preserve">
</t>
        </r>
        <r>
          <rPr>
            <b/>
            <sz val="10"/>
            <color rgb="FF000000"/>
            <rFont val="Tahoma"/>
            <family val="2"/>
          </rPr>
          <t xml:space="preserve">Multiplied by OPEX Relative (right)
</t>
        </r>
        <r>
          <rPr>
            <b/>
            <sz val="10"/>
            <color rgb="FF000000"/>
            <rFont val="Tahoma"/>
            <family val="2"/>
          </rPr>
          <t xml:space="preserve">
</t>
        </r>
        <r>
          <rPr>
            <b/>
            <sz val="10"/>
            <color rgb="FF000000"/>
            <rFont val="Tahoma"/>
            <family val="2"/>
          </rPr>
          <t xml:space="preserve">LCOE override "Fixed OPEX" is added to cell value.
</t>
        </r>
        <r>
          <rPr>
            <b/>
            <sz val="10"/>
            <color rgb="FF000000"/>
            <rFont val="Tahoma"/>
            <family val="2"/>
          </rPr>
          <t xml:space="preserve">
</t>
        </r>
        <r>
          <rPr>
            <sz val="10"/>
            <color rgb="FF000000"/>
            <rFont val="Tahoma"/>
            <family val="2"/>
          </rPr>
          <t xml:space="preserve">
</t>
        </r>
      </text>
    </comment>
    <comment ref="J44" authorId="0" shapeId="0" xr:uid="{C8866B1C-06F3-8447-9B21-1B1CC227C5BC}">
      <text>
        <r>
          <rPr>
            <b/>
            <sz val="10"/>
            <color rgb="FF000000"/>
            <rFont val="Calibri"/>
            <family val="2"/>
            <scheme val="minor"/>
          </rPr>
          <t xml:space="preserve">Variable operational expenditure (dependent on production). Calculated from Variable OPEX * (Max electric power + Override Max electric power) if Max electric power &gt; 0; otherwise Variable OPEX * (Max heat power + Override max heat power).
Multiplied by OPEX Relative (right).
LCOE override "Variable OPEX" is added to cell value. </t>
        </r>
      </text>
    </comment>
    <comment ref="K44" authorId="0" shapeId="0" xr:uid="{DD0339EB-AA5C-D04B-B2B5-4CB5C6EAD63D}">
      <text>
        <r>
          <rPr>
            <b/>
            <sz val="10"/>
            <color rgb="FF000000"/>
            <rFont val="Tahoma"/>
            <family val="2"/>
          </rPr>
          <t>OPEX cost escalator used in OPEX calculations. Starts at 100% + LCOE Override "OPEX Relative".
Increases at the rate specified in "OPEX Escalator".
LCOE Override "OPEX Relative is added to cell value.</t>
        </r>
        <r>
          <rPr>
            <sz val="10"/>
            <color rgb="FF000000"/>
            <rFont val="Tahoma"/>
            <family val="2"/>
          </rPr>
          <t xml:space="preserve">
</t>
        </r>
      </text>
    </comment>
    <comment ref="L44" authorId="0" shapeId="0" xr:uid="{44589776-A792-984F-8141-0CA48BB0507E}">
      <text>
        <r>
          <rPr>
            <b/>
            <sz val="10"/>
            <color rgb="FF000000"/>
            <rFont val="Tahoma"/>
            <family val="2"/>
          </rPr>
          <t xml:space="preserve">Fuel expenditure. If initial max electric power &gt; 0, calculated from electricity production; otherwise from heat production.
NOTE: The above DOES NOT depend on LCOE Override "Max electric power", only from initial value.
Expenditure is multiplied by FUELEX relative (right).
LCOE Override "FUELEX" is added to cell value. </t>
        </r>
      </text>
    </comment>
    <comment ref="M44" authorId="0" shapeId="0" xr:uid="{24EAA139-349A-D742-A7C6-3751EB781540}">
      <text>
        <r>
          <rPr>
            <b/>
            <sz val="12"/>
            <color rgb="FF000000"/>
            <rFont val="Calibri"/>
            <family val="2"/>
            <scheme val="minor"/>
          </rPr>
          <t>FUELEX cost escalator used in FUELEX calculation. Starts at 100% + LCOE Override "FUELEX Relative".
Increases at the rate specified in "FUELEX Escalator".
LCOE Override "FUELEX Relative" is added to cell value.</t>
        </r>
        <r>
          <rPr>
            <sz val="12"/>
            <color rgb="FF000000"/>
            <rFont val="Calibri"/>
            <family val="2"/>
            <scheme val="minor"/>
          </rPr>
          <t xml:space="preserve">
</t>
        </r>
      </text>
    </comment>
    <comment ref="N44" authorId="0" shapeId="0" xr:uid="{5CEE63B2-2971-D642-8BBF-FF8F9F546FBE}">
      <text>
        <r>
          <rPr>
            <b/>
            <sz val="10"/>
            <color rgb="FF000000"/>
            <rFont val="Tahoma"/>
            <family val="2"/>
          </rPr>
          <t>Plant efficiency relative to startup.
Starts from 100%+LCOE Override "Efficiency relative".
Decreases at the rate specified by "Efficiency loss/year".
LCOE Override "Efficiency relative" is added to cell value.</t>
        </r>
        <r>
          <rPr>
            <sz val="10"/>
            <color rgb="FF000000"/>
            <rFont val="Tahoma"/>
            <family val="2"/>
          </rPr>
          <t xml:space="preserve">
</t>
        </r>
      </text>
    </comment>
    <comment ref="O44" authorId="0" shapeId="0" xr:uid="{4158C4A8-0E72-BB41-B0E3-FDF19D66F2B7}">
      <text>
        <r>
          <rPr>
            <b/>
            <sz val="10"/>
            <color rgb="FF000000"/>
            <rFont val="Tahoma"/>
            <family val="2"/>
          </rPr>
          <t xml:space="preserve">Emission factor per kWh produced.
</t>
        </r>
        <r>
          <rPr>
            <b/>
            <sz val="10"/>
            <color rgb="FF000000"/>
            <rFont val="Tahoma"/>
            <family val="2"/>
          </rPr>
          <t xml:space="preserve">
</t>
        </r>
        <r>
          <rPr>
            <b/>
            <sz val="10"/>
            <color rgb="FF000000"/>
            <rFont val="Tahoma"/>
            <family val="2"/>
          </rPr>
          <t>LCOE Override "Emission factor" is added to cell value.</t>
        </r>
        <r>
          <rPr>
            <sz val="10"/>
            <color rgb="FF000000"/>
            <rFont val="Tahoma"/>
            <family val="2"/>
          </rPr>
          <t xml:space="preserve">
</t>
        </r>
        <r>
          <rPr>
            <sz val="10"/>
            <color rgb="FF000000"/>
            <rFont val="Tahoma"/>
            <family val="2"/>
          </rPr>
          <t xml:space="preserve">
</t>
        </r>
        <r>
          <rPr>
            <sz val="10"/>
            <color rgb="FF000000"/>
            <rFont val="Tahoma"/>
            <family val="2"/>
          </rPr>
          <t>NOTE: Emission factor is in grams of CO2 equivalent per kWh produced.</t>
        </r>
      </text>
    </comment>
    <comment ref="P44" authorId="0" shapeId="0" xr:uid="{BD7A6BC3-CDA8-9B44-B99A-8DFF877785D9}">
      <text>
        <r>
          <rPr>
            <b/>
            <sz val="10"/>
            <color rgb="FF000000"/>
            <rFont val="Tahoma"/>
            <family val="2"/>
          </rPr>
          <t xml:space="preserve">How much of plant's notional emissions are taxed?
</t>
        </r>
        <r>
          <rPr>
            <b/>
            <sz val="10"/>
            <color rgb="FF000000"/>
            <rFont val="Tahoma"/>
            <family val="2"/>
          </rPr>
          <t xml:space="preserve">
</t>
        </r>
        <r>
          <rPr>
            <b/>
            <sz val="10"/>
            <color rgb="FF000000"/>
            <rFont val="Tahoma"/>
            <family val="2"/>
          </rPr>
          <t xml:space="preserve">100% if "Emissions taxed starting from year" equals or exceeds current year, 0 otherwise.
</t>
        </r>
        <r>
          <rPr>
            <b/>
            <sz val="10"/>
            <color rgb="FF000000"/>
            <rFont val="Tahoma"/>
            <family val="2"/>
          </rPr>
          <t xml:space="preserve">
</t>
        </r>
        <r>
          <rPr>
            <b/>
            <sz val="10"/>
            <color rgb="FF000000"/>
            <rFont val="Tahoma"/>
            <family val="2"/>
          </rPr>
          <t>LCOE Override "% of emissions taxed" is added to cell value.</t>
        </r>
        <r>
          <rPr>
            <sz val="10"/>
            <color rgb="FF000000"/>
            <rFont val="Tahoma"/>
            <family val="2"/>
          </rPr>
          <t xml:space="preserve">
</t>
        </r>
      </text>
    </comment>
    <comment ref="Q44" authorId="0" shapeId="0" xr:uid="{E3B18C59-A5FE-C249-A0F8-4881EBF4D352}">
      <text>
        <r>
          <rPr>
            <b/>
            <sz val="10"/>
            <color rgb="FF000000"/>
            <rFont val="Tahoma"/>
            <family val="2"/>
          </rPr>
          <t xml:space="preserve">Total emissions based on Total emission factor (left) and production (electricity if initial max electric power &gt; 0, heat otherwise). </t>
        </r>
        <r>
          <rPr>
            <sz val="10"/>
            <color rgb="FF000000"/>
            <rFont val="Tahoma"/>
            <family val="2"/>
          </rPr>
          <t xml:space="preserve">
</t>
        </r>
        <r>
          <rPr>
            <sz val="10"/>
            <color rgb="FF000000"/>
            <rFont val="Tahoma"/>
            <family val="2"/>
          </rPr>
          <t xml:space="preserve">
NOTE: The above DOES NOT depend on LCOE Override "Max electric power", only from initial value.</t>
        </r>
      </text>
    </comment>
    <comment ref="R44" authorId="0" shapeId="0" xr:uid="{644C3F8E-297D-7748-A515-EFF47E94BD59}">
      <text>
        <r>
          <rPr>
            <b/>
            <sz val="10"/>
            <color rgb="FF000000"/>
            <rFont val="Tahoma"/>
            <family val="2"/>
          </rPr>
          <t>To ease the calculations, shows the cost of emissions per ton of CO2 equivalent, from LCOE parameters.</t>
        </r>
        <r>
          <rPr>
            <sz val="10"/>
            <color rgb="FF000000"/>
            <rFont val="Tahoma"/>
            <family val="2"/>
          </rPr>
          <t xml:space="preserve">
</t>
        </r>
      </text>
    </comment>
    <comment ref="S44" authorId="0" shapeId="0" xr:uid="{7B69A8F7-1873-6C49-81B0-5CCBD91C9AB0}">
      <text>
        <r>
          <rPr>
            <b/>
            <sz val="10"/>
            <color rgb="FF000000"/>
            <rFont val="Tahoma"/>
            <family val="2"/>
          </rPr>
          <t>Total cost of emissions levied from the plant.
Total emissions * % of emissions taxed * cost of tCO2E.
LCOE Override "Cost of emissions levied" is added to cell value.</t>
        </r>
        <r>
          <rPr>
            <sz val="10"/>
            <color rgb="FF000000"/>
            <rFont val="Tahoma"/>
            <family val="2"/>
          </rPr>
          <t xml:space="preserve">
</t>
        </r>
      </text>
    </comment>
    <comment ref="T44" authorId="0" shapeId="0" xr:uid="{CEADFF81-DD1B-AC45-802D-180CD2C488D1}">
      <text>
        <r>
          <rPr>
            <b/>
            <sz val="10"/>
            <color rgb="FF000000"/>
            <rFont val="Tahoma"/>
            <family val="2"/>
          </rPr>
          <t xml:space="preserve">Production tax per MWh produced.
LCOE Override "Tax per MWH produced" is added to cell value.
</t>
        </r>
        <r>
          <rPr>
            <sz val="10"/>
            <color rgb="FF000000"/>
            <rFont val="Tahoma"/>
            <family val="2"/>
          </rPr>
          <t xml:space="preserve">
</t>
        </r>
      </text>
    </comment>
    <comment ref="U44" authorId="0" shapeId="0" xr:uid="{68B9358C-B6F5-FB44-804B-3B338B6BEFCE}">
      <text>
        <r>
          <rPr>
            <b/>
            <sz val="10"/>
            <color rgb="FF000000"/>
            <rFont val="Tahoma"/>
            <family val="2"/>
          </rPr>
          <t>Taxes actually levied from the plant, based on electric production if initial max electric power &gt; 0, on heat production otherwise.
NOTE: The above DOES NOT depend on LCOE Override "Max electric power", only on initial value.
LCOE Override "Taxes levied" is added to cell value.</t>
        </r>
        <r>
          <rPr>
            <sz val="10"/>
            <color rgb="FF000000"/>
            <rFont val="Tahoma"/>
            <family val="2"/>
          </rPr>
          <t xml:space="preserve">
</t>
        </r>
      </text>
    </comment>
    <comment ref="V44" authorId="0" shapeId="0" xr:uid="{D4884FB7-58F2-DF4E-B8B1-8241C10A2601}">
      <text>
        <r>
          <rPr>
            <b/>
            <sz val="10"/>
            <color rgb="FF000000"/>
            <rFont val="Tahoma"/>
            <family val="2"/>
          </rPr>
          <t xml:space="preserve">Waste fees per MWh of production.
</t>
        </r>
        <r>
          <rPr>
            <b/>
            <sz val="10"/>
            <color rgb="FF000000"/>
            <rFont val="Tahoma"/>
            <family val="2"/>
          </rPr>
          <t xml:space="preserve">
</t>
        </r>
        <r>
          <rPr>
            <b/>
            <sz val="10"/>
            <color rgb="FF000000"/>
            <rFont val="Tahoma"/>
            <family val="2"/>
          </rPr>
          <t>LCOE Override "Waste fee per MWh" is added to cell value.</t>
        </r>
        <r>
          <rPr>
            <sz val="10"/>
            <color rgb="FF000000"/>
            <rFont val="Tahoma"/>
            <family val="2"/>
          </rPr>
          <t xml:space="preserve">
</t>
        </r>
      </text>
    </comment>
    <comment ref="W44" authorId="0" shapeId="0" xr:uid="{EC9C150D-88F6-3A40-853C-4330B555B488}">
      <text>
        <r>
          <rPr>
            <b/>
            <sz val="10"/>
            <color rgb="FF000000"/>
            <rFont val="Tahoma"/>
            <family val="2"/>
          </rPr>
          <t>Waste fees actually levied from the plant. Waste fee per MWh * production, electric if initial max electric power &gt;0, heat otherwise.
NOTE: The above DOES NOT depend on LCOE Override "Max electric power", only on initial value.
LCOE Override "Waste fee levied" is added to cell value.</t>
        </r>
        <r>
          <rPr>
            <sz val="10"/>
            <color rgb="FF000000"/>
            <rFont val="Tahoma"/>
            <family val="2"/>
          </rPr>
          <t xml:space="preserve">
</t>
        </r>
      </text>
    </comment>
    <comment ref="X44" authorId="0" shapeId="0" xr:uid="{F9C9B4F8-F89A-B14D-A050-63312C0AD7C0}">
      <text>
        <r>
          <rPr>
            <b/>
            <sz val="10"/>
            <color rgb="FF000000"/>
            <rFont val="Tahoma"/>
            <family val="2"/>
          </rPr>
          <t xml:space="preserve">Heat credit per MWh of heat produced, deducted from costs.
LCOE Override "Heat credit per MWh" is added to cell value.
</t>
        </r>
        <r>
          <rPr>
            <sz val="10"/>
            <color rgb="FF000000"/>
            <rFont val="Tahoma"/>
            <family val="2"/>
          </rPr>
          <t xml:space="preserve">
</t>
        </r>
      </text>
    </comment>
    <comment ref="Y44" authorId="0" shapeId="0" xr:uid="{AE821861-E438-FD42-A84D-2E7E51C5313A}">
      <text>
        <r>
          <rPr>
            <b/>
            <sz val="10"/>
            <color rgb="FF000000"/>
            <rFont val="Tahoma"/>
            <family val="2"/>
          </rPr>
          <t>Total heat credits deducted from costs. Heat credit per MWh * Heat produced.</t>
        </r>
        <r>
          <rPr>
            <sz val="10"/>
            <color rgb="FF000000"/>
            <rFont val="Tahoma"/>
            <family val="2"/>
          </rPr>
          <t xml:space="preserve">
</t>
        </r>
      </text>
    </comment>
    <comment ref="Z44" authorId="0" shapeId="0" xr:uid="{E7DAA5B1-1FAC-9440-B4CF-741A9CA12B0D}">
      <text>
        <r>
          <rPr>
            <b/>
            <sz val="10"/>
            <color rgb="FF000000"/>
            <rFont val="Tahoma"/>
            <family val="2"/>
          </rPr>
          <t>Total capital expenditure:
CAPEXconstr and CAPEXrefurb/decom.</t>
        </r>
        <r>
          <rPr>
            <sz val="10"/>
            <color rgb="FF000000"/>
            <rFont val="Tahoma"/>
            <family val="2"/>
          </rPr>
          <t xml:space="preserve">
</t>
        </r>
      </text>
    </comment>
    <comment ref="AA44" authorId="0" shapeId="0" xr:uid="{46B6B599-75FB-0447-960D-6C80AFA4787C}">
      <text>
        <r>
          <rPr>
            <b/>
            <sz val="10"/>
            <color rgb="FF000000"/>
            <rFont val="Tahoma"/>
            <family val="2"/>
          </rPr>
          <t>Total OPEX, Fixed + Variable.</t>
        </r>
        <r>
          <rPr>
            <sz val="10"/>
            <color rgb="FF000000"/>
            <rFont val="Tahoma"/>
            <family val="2"/>
          </rPr>
          <t xml:space="preserve">
</t>
        </r>
      </text>
    </comment>
    <comment ref="AB44" authorId="0" shapeId="0" xr:uid="{078C4F82-D34C-2649-88D7-F6FCCA552602}">
      <text>
        <r>
          <rPr>
            <b/>
            <sz val="10"/>
            <color rgb="FF000000"/>
            <rFont val="Tahoma"/>
            <family val="2"/>
          </rPr>
          <t>Total fuel costs.</t>
        </r>
        <r>
          <rPr>
            <sz val="10"/>
            <color rgb="FF000000"/>
            <rFont val="Tahoma"/>
            <family val="2"/>
          </rPr>
          <t xml:space="preserve">
</t>
        </r>
      </text>
    </comment>
    <comment ref="AC44" authorId="0" shapeId="0" xr:uid="{016888CC-CC99-4A4B-9F46-EA162F3CE849}">
      <text>
        <r>
          <rPr>
            <b/>
            <sz val="10"/>
            <color rgb="FF000000"/>
            <rFont val="Tahoma"/>
            <family val="2"/>
          </rPr>
          <t xml:space="preserve">Total taxes and waste fees levied. </t>
        </r>
        <r>
          <rPr>
            <sz val="10"/>
            <color rgb="FF000000"/>
            <rFont val="Tahoma"/>
            <family val="2"/>
          </rPr>
          <t xml:space="preserve">
</t>
        </r>
      </text>
    </comment>
    <comment ref="AD44" authorId="0" shapeId="0" xr:uid="{C0DFEFEA-9D80-2545-84BA-F0106CD7F402}">
      <text>
        <r>
          <rPr>
            <b/>
            <sz val="10"/>
            <color rgb="FF000000"/>
            <rFont val="Tahoma"/>
            <family val="2"/>
          </rPr>
          <t>Emission fees levied.</t>
        </r>
        <r>
          <rPr>
            <sz val="10"/>
            <color rgb="FF000000"/>
            <rFont val="Tahoma"/>
            <family val="2"/>
          </rPr>
          <t xml:space="preserve">
</t>
        </r>
      </text>
    </comment>
    <comment ref="AE44" authorId="0" shapeId="0" xr:uid="{93782051-2A60-EF4D-9416-708BCAA8751B}">
      <text>
        <r>
          <rPr>
            <b/>
            <sz val="10"/>
            <color rgb="FF000000"/>
            <rFont val="Tahoma"/>
            <family val="2"/>
          </rPr>
          <t>How much of plant's operational lifetime has been expended. Increases at a rate of 1 * Operational%.
Does not increase if the plant is being refurbished or suffering from outage.</t>
        </r>
        <r>
          <rPr>
            <sz val="10"/>
            <color rgb="FF000000"/>
            <rFont val="Tahoma"/>
            <family val="2"/>
          </rPr>
          <t xml:space="preserve">
Stops increasing when lifetime is met.</t>
        </r>
      </text>
    </comment>
    <comment ref="AF44" authorId="0" shapeId="0" xr:uid="{4E949BF9-9655-F447-8288-5ACD43A14093}">
      <text>
        <r>
          <rPr>
            <b/>
            <sz val="10"/>
            <color rgb="FF000000"/>
            <rFont val="Tahoma"/>
            <family val="2"/>
          </rPr>
          <t>Discount rate r used to calculate the discount factor.
Interest During Construction (IDC) before year 0, WACC afterwards.
LCOE Override "Discount rate (WACC)" is added to cell value.</t>
        </r>
        <r>
          <rPr>
            <sz val="10"/>
            <color rgb="FF000000"/>
            <rFont val="Tahoma"/>
            <family val="2"/>
          </rPr>
          <t xml:space="preserve">
</t>
        </r>
      </text>
    </comment>
    <comment ref="AG44" authorId="0" shapeId="0" xr:uid="{9B28EE85-D4B5-074C-88A0-8E0F884415DF}">
      <text>
        <r>
          <rPr>
            <b/>
            <sz val="10"/>
            <color rgb="FF000000"/>
            <rFont val="Tahoma"/>
            <family val="2"/>
          </rPr>
          <t>Calculates the discount factor (capital recovery), (1+r)^t.</t>
        </r>
        <r>
          <rPr>
            <sz val="10"/>
            <color rgb="FF000000"/>
            <rFont val="Tahoma"/>
            <family val="2"/>
          </rPr>
          <t xml:space="preserve">
</t>
        </r>
      </text>
    </comment>
    <comment ref="AH44" authorId="0" shapeId="0" xr:uid="{616A1DB2-3AF6-1041-AAA4-01E3EA3CA983}">
      <text>
        <r>
          <rPr>
            <b/>
            <sz val="10"/>
            <color rgb="FF000000"/>
            <rFont val="Tahoma"/>
            <family val="2"/>
          </rPr>
          <t>Discounted value of total capital costs.</t>
        </r>
        <r>
          <rPr>
            <sz val="10"/>
            <color rgb="FF000000"/>
            <rFont val="Tahoma"/>
            <family val="2"/>
          </rPr>
          <t xml:space="preserve">
</t>
        </r>
      </text>
    </comment>
    <comment ref="AI44" authorId="0" shapeId="0" xr:uid="{D21E67B7-9802-744B-AF6A-DF304AFEC8F6}">
      <text>
        <r>
          <rPr>
            <b/>
            <sz val="10"/>
            <color rgb="FF000000"/>
            <rFont val="Tahoma"/>
            <family val="2"/>
          </rPr>
          <t>discounted value of O&amp;M (OPEX) costs.</t>
        </r>
        <r>
          <rPr>
            <sz val="10"/>
            <color rgb="FF000000"/>
            <rFont val="Tahoma"/>
            <family val="2"/>
          </rPr>
          <t xml:space="preserve">
</t>
        </r>
      </text>
    </comment>
    <comment ref="AJ44" authorId="0" shapeId="0" xr:uid="{6811F07A-DBC2-DF44-872F-A2C995E799FF}">
      <text>
        <r>
          <rPr>
            <b/>
            <sz val="10"/>
            <color rgb="FF000000"/>
            <rFont val="Tahoma"/>
            <family val="2"/>
          </rPr>
          <t>Discounted value of fuel costs.</t>
        </r>
        <r>
          <rPr>
            <sz val="10"/>
            <color rgb="FF000000"/>
            <rFont val="Tahoma"/>
            <family val="2"/>
          </rPr>
          <t xml:space="preserve">
</t>
        </r>
      </text>
    </comment>
    <comment ref="AK44" authorId="0" shapeId="0" xr:uid="{E8F6F030-6B25-8A4A-9AAC-80809D23E38A}">
      <text>
        <r>
          <rPr>
            <b/>
            <sz val="10"/>
            <color rgb="FF000000"/>
            <rFont val="Tahoma"/>
            <family val="2"/>
          </rPr>
          <t>Discounted value of taxes and waste fees levied.</t>
        </r>
        <r>
          <rPr>
            <sz val="10"/>
            <color rgb="FF000000"/>
            <rFont val="Tahoma"/>
            <family val="2"/>
          </rPr>
          <t xml:space="preserve">
</t>
        </r>
      </text>
    </comment>
    <comment ref="AL44" authorId="0" shapeId="0" xr:uid="{C077EFDE-5616-0C42-A5DD-5B3A86AE3CDF}">
      <text>
        <r>
          <rPr>
            <b/>
            <sz val="10"/>
            <color rgb="FF000000"/>
            <rFont val="Tahoma"/>
            <family val="2"/>
          </rPr>
          <t>Discounted value of emission fees levied.</t>
        </r>
        <r>
          <rPr>
            <sz val="10"/>
            <color rgb="FF000000"/>
            <rFont val="Tahoma"/>
            <family val="2"/>
          </rPr>
          <t xml:space="preserve">
</t>
        </r>
      </text>
    </comment>
    <comment ref="AM44" authorId="0" shapeId="0" xr:uid="{48C040F9-56DB-E045-9D11-D419512E6270}">
      <text>
        <r>
          <rPr>
            <b/>
            <sz val="10"/>
            <color rgb="FF000000"/>
            <rFont val="Tahoma"/>
            <family val="2"/>
          </rPr>
          <t>Discounted value of heat credits. Note that the value is negative, because heat credits decrease LCOE.</t>
        </r>
        <r>
          <rPr>
            <sz val="10"/>
            <color rgb="FF000000"/>
            <rFont val="Tahoma"/>
            <family val="2"/>
          </rPr>
          <t xml:space="preserve">
</t>
        </r>
      </text>
    </comment>
    <comment ref="AN44" authorId="0" shapeId="0" xr:uid="{53CB9F12-4CFA-0D48-BB5B-04C0BADA7C2F}">
      <text>
        <r>
          <rPr>
            <b/>
            <sz val="10"/>
            <color rgb="FF000000"/>
            <rFont val="Tahoma"/>
            <family val="2"/>
          </rPr>
          <t xml:space="preserve">Discounted amount of production. Electric if initial max electric power &gt;0, heat otherwise. </t>
        </r>
        <r>
          <rPr>
            <sz val="10"/>
            <color rgb="FF000000"/>
            <rFont val="Tahoma"/>
            <family val="2"/>
          </rPr>
          <t xml:space="preserve">
</t>
        </r>
        <r>
          <rPr>
            <sz val="10"/>
            <color rgb="FF000000"/>
            <rFont val="Tahoma"/>
            <family val="2"/>
          </rPr>
          <t xml:space="preserve">
NOTE: This does not depend on LCOE Override "Max electric capacity", only on initial value.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A44" authorId="0" shapeId="0" xr:uid="{FC2421C8-B9FC-B94B-B8BB-B7F0D77C8564}">
      <text>
        <r>
          <rPr>
            <sz val="10"/>
            <color rgb="FF000000"/>
            <rFont val="Tahoma"/>
            <family val="2"/>
          </rPr>
          <t>Running year from -25 to 100</t>
        </r>
      </text>
    </comment>
    <comment ref="B44" authorId="0" shapeId="0" xr:uid="{EC0B99E7-35CD-8649-8132-BB61BD3F60DB}">
      <text>
        <r>
          <rPr>
            <b/>
            <sz val="10"/>
            <color rgb="FF000000"/>
            <rFont val="Tahoma"/>
            <family val="2"/>
          </rPr>
          <t xml:space="preserve">Capital costs of construction. Total Overnight cost is divided equally to Construction period, starting from Year 0-Construction period.
</t>
        </r>
        <r>
          <rPr>
            <b/>
            <sz val="10"/>
            <color rgb="FF000000"/>
            <rFont val="Tahoma"/>
            <family val="2"/>
          </rPr>
          <t xml:space="preserve">
</t>
        </r>
        <r>
          <rPr>
            <b/>
            <sz val="10"/>
            <color rgb="FF000000"/>
            <rFont val="Tahoma"/>
            <family val="2"/>
          </rPr>
          <t>LCOE Override "CAPEXconstr" is added to cell value.</t>
        </r>
        <r>
          <rPr>
            <sz val="10"/>
            <color rgb="FF000000"/>
            <rFont val="Tahoma"/>
            <family val="2"/>
          </rPr>
          <t xml:space="preserve">
</t>
        </r>
      </text>
    </comment>
    <comment ref="C44" authorId="0" shapeId="0" xr:uid="{65AE20C8-375A-3F44-B388-CE3825E3CF1E}">
      <text>
        <r>
          <rPr>
            <b/>
            <sz val="10"/>
            <color rgb="FF000000"/>
            <rFont val="Tahoma"/>
            <family val="2"/>
          </rPr>
          <t xml:space="preserve">Capital costs of refurbishing and decommissioning.
</t>
        </r>
        <r>
          <rPr>
            <b/>
            <sz val="10"/>
            <color rgb="FF000000"/>
            <rFont val="Tahoma"/>
            <family val="2"/>
          </rPr>
          <t xml:space="preserve">
</t>
        </r>
        <r>
          <rPr>
            <b/>
            <sz val="10"/>
            <color rgb="FF000000"/>
            <rFont val="Tahoma"/>
            <family val="2"/>
          </rPr>
          <t xml:space="preserve">Total overnight cost of refurbishment is divided equally to the time required to refurbish, starting from Refurbishment year.
</t>
        </r>
        <r>
          <rPr>
            <b/>
            <sz val="10"/>
            <color rgb="FF000000"/>
            <rFont val="Tahoma"/>
            <family val="2"/>
          </rPr>
          <t xml:space="preserve">
</t>
        </r>
        <r>
          <rPr>
            <b/>
            <sz val="10"/>
            <color rgb="FF000000"/>
            <rFont val="Tahoma"/>
            <family val="2"/>
          </rPr>
          <t xml:space="preserve">Decommissioning costs are incurred at once when Decommissioning delay after shutdown has elapsed. (In reality, decommissioning would take some years in some cases. This simplification doesn't affect the results much due to discounting.) Decommissioning costs are calculated as share of original overnight costs.
</t>
        </r>
        <r>
          <rPr>
            <b/>
            <sz val="10"/>
            <color rgb="FF000000"/>
            <rFont val="Tahoma"/>
            <family val="2"/>
          </rPr>
          <t xml:space="preserve">
</t>
        </r>
        <r>
          <rPr>
            <b/>
            <sz val="10"/>
            <color rgb="FF000000"/>
            <rFont val="Tahoma"/>
            <family val="2"/>
          </rPr>
          <t>LCOE override "CAPEXrefurb/decon" is added to cell value.</t>
        </r>
        <r>
          <rPr>
            <sz val="10"/>
            <color rgb="FF000000"/>
            <rFont val="Tahoma"/>
            <family val="2"/>
          </rPr>
          <t xml:space="preserve">
</t>
        </r>
      </text>
    </comment>
    <comment ref="D44" authorId="0" shapeId="0" xr:uid="{82926E21-4DF9-6C42-A106-15DBB6B73C6A}">
      <text>
        <r>
          <rPr>
            <sz val="10"/>
            <color rgb="FF000000"/>
            <rFont val="Tahoma"/>
            <family val="2"/>
          </rPr>
          <t>Value is 1 if Lifetime expended at start of previous year (see right) is less than Lifetime in years; if equal or more, value is 0. Used as a multiplier to force production and costs to zero after end of life.</t>
        </r>
      </text>
    </comment>
    <comment ref="E44" authorId="0" shapeId="0" xr:uid="{7EFFD12C-B9F1-C94C-B1CD-85A116CDE7DF}">
      <text>
        <r>
          <rPr>
            <sz val="10"/>
            <color rgb="FF000000"/>
            <rFont val="Tahoma"/>
            <family val="2"/>
          </rPr>
          <t xml:space="preserve">The operational status of the plant. 100% if Lifetime left? = 1 (plant has lifetime left) and refurbishing period isn't underway; otherwise 0.
</t>
        </r>
        <r>
          <rPr>
            <sz val="10"/>
            <color rgb="FF000000"/>
            <rFont val="Tahoma"/>
            <family val="2"/>
          </rPr>
          <t xml:space="preserve">
</t>
        </r>
        <r>
          <rPr>
            <sz val="10"/>
            <color rgb="FF000000"/>
            <rFont val="Tahoma"/>
            <family val="2"/>
          </rPr>
          <t>LCOE override "Operational%" is added to cell value.</t>
        </r>
      </text>
    </comment>
    <comment ref="F44" authorId="0" shapeId="0" xr:uid="{DD7BFDD4-430B-F34F-A43C-E35CBEF2D428}">
      <text>
        <r>
          <rPr>
            <b/>
            <sz val="10"/>
            <color rgb="FF000000"/>
            <rFont val="Tahoma"/>
            <family val="2"/>
          </rPr>
          <t xml:space="preserve">Capacity factor of the plant. Starts from 50% of maximum (settled down), ramps up to maximum at a ramp-up rate per year. </t>
        </r>
        <r>
          <rPr>
            <sz val="10"/>
            <color rgb="FF000000"/>
            <rFont val="Tahoma"/>
            <family val="2"/>
          </rPr>
          <t xml:space="preserve">
</t>
        </r>
        <r>
          <rPr>
            <sz val="10"/>
            <color rgb="FF000000"/>
            <rFont val="Tahoma"/>
            <family val="2"/>
          </rPr>
          <t xml:space="preserve">
</t>
        </r>
        <r>
          <rPr>
            <sz val="12"/>
            <color rgb="FF000000"/>
            <rFont val="Calibri"/>
            <family val="2"/>
            <scheme val="minor"/>
          </rPr>
          <t>LCOE override "Capacity factor"  is added to cell value.</t>
        </r>
      </text>
    </comment>
    <comment ref="G44" authorId="0" shapeId="0" xr:uid="{423DA1C5-6F4E-7647-BE82-CDE324CF358C}">
      <text>
        <r>
          <rPr>
            <b/>
            <sz val="10"/>
            <color rgb="FF000000"/>
            <rFont val="Tahoma"/>
            <family val="2"/>
          </rPr>
          <t xml:space="preserve">Electricity produced during year. 
</t>
        </r>
        <r>
          <rPr>
            <b/>
            <sz val="10"/>
            <color rgb="FF000000"/>
            <rFont val="Tahoma"/>
            <family val="2"/>
          </rPr>
          <t xml:space="preserve">
</t>
        </r>
        <r>
          <rPr>
            <b/>
            <sz val="10"/>
            <color rgb="FF000000"/>
            <rFont val="Tahoma"/>
            <family val="2"/>
          </rPr>
          <t xml:space="preserve">(Max electric power + override max electric power) multiplied by current capacity factor, multiplied by operational%, Lifetime left? and Efficiency relative (right).
</t>
        </r>
        <r>
          <rPr>
            <b/>
            <sz val="10"/>
            <color rgb="FF000000"/>
            <rFont val="Tahoma"/>
            <family val="2"/>
          </rPr>
          <t xml:space="preserve">
</t>
        </r>
        <r>
          <rPr>
            <sz val="10"/>
            <color rgb="FF000000"/>
            <rFont val="Calibri"/>
            <family val="2"/>
          </rPr>
          <t xml:space="preserve">LCOE override "Electricity produced" is added to cell value.
</t>
        </r>
        <r>
          <rPr>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H44" authorId="0" shapeId="0" xr:uid="{10E3A60C-B686-A345-BC4F-A251C05D839C}">
      <text>
        <r>
          <rPr>
            <b/>
            <sz val="10"/>
            <color rgb="FF000000"/>
            <rFont val="Calibri"/>
            <family val="2"/>
            <scheme val="minor"/>
          </rPr>
          <t>Heat produced during year. 
(Max heat power + override max heat power) multiplied by current capacity factor, multiplied by operational%, Lifetime left? and Efficiency relative (right).</t>
        </r>
        <r>
          <rPr>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LCOE override "Heat produced" is added to cell value.</t>
        </r>
        <r>
          <rPr>
            <sz val="10"/>
            <color rgb="FF000000"/>
            <rFont val="Calibri"/>
            <family val="2"/>
            <scheme val="minor"/>
          </rPr>
          <t xml:space="preserve"> </t>
        </r>
      </text>
    </comment>
    <comment ref="I44" authorId="0" shapeId="0" xr:uid="{1C1E8328-2AED-9744-86B0-4B2B9FCC1FEB}">
      <text>
        <r>
          <rPr>
            <b/>
            <sz val="10"/>
            <color rgb="FF000000"/>
            <rFont val="Tahoma"/>
            <family val="2"/>
          </rPr>
          <t xml:space="preserve">Fixed operational expenditure (not dependent on production). Calculated from Fixed OPEX * (Max electric power + Override Max electric power) if Max electric power &gt; 0; otherwise Fixed OPEX * (Max heat power + Override max heat power).
</t>
        </r>
        <r>
          <rPr>
            <b/>
            <sz val="10"/>
            <color rgb="FF000000"/>
            <rFont val="Tahoma"/>
            <family val="2"/>
          </rPr>
          <t xml:space="preserve">
</t>
        </r>
        <r>
          <rPr>
            <b/>
            <sz val="10"/>
            <color rgb="FF000000"/>
            <rFont val="Tahoma"/>
            <family val="2"/>
          </rPr>
          <t xml:space="preserve">Multiplied by OPEX Relative (right)
</t>
        </r>
        <r>
          <rPr>
            <b/>
            <sz val="10"/>
            <color rgb="FF000000"/>
            <rFont val="Tahoma"/>
            <family val="2"/>
          </rPr>
          <t xml:space="preserve">
</t>
        </r>
        <r>
          <rPr>
            <b/>
            <sz val="10"/>
            <color rgb="FF000000"/>
            <rFont val="Tahoma"/>
            <family val="2"/>
          </rPr>
          <t xml:space="preserve">LCOE override "Fixed OPEX" is added to cell value.
</t>
        </r>
        <r>
          <rPr>
            <b/>
            <sz val="10"/>
            <color rgb="FF000000"/>
            <rFont val="Tahoma"/>
            <family val="2"/>
          </rPr>
          <t xml:space="preserve">
</t>
        </r>
        <r>
          <rPr>
            <sz val="10"/>
            <color rgb="FF000000"/>
            <rFont val="Tahoma"/>
            <family val="2"/>
          </rPr>
          <t xml:space="preserve">
</t>
        </r>
      </text>
    </comment>
    <comment ref="J44" authorId="0" shapeId="0" xr:uid="{C0C18CA7-AE51-A644-965A-7274E8B4A86E}">
      <text>
        <r>
          <rPr>
            <b/>
            <sz val="10"/>
            <color rgb="FF000000"/>
            <rFont val="Calibri"/>
            <family val="2"/>
            <scheme val="minor"/>
          </rPr>
          <t xml:space="preserve">Variable operational expenditure (dependent on production). Calculated from Variable OPEX * (Max electric power + Override Max electric power) if Max electric power &gt; 0; otherwise Variable OPEX * (Max heat power + Override max heat power).
Multiplied by OPEX Relative (right).
LCOE override "Variable OPEX" is added to cell value. </t>
        </r>
      </text>
    </comment>
    <comment ref="K44" authorId="0" shapeId="0" xr:uid="{F2A3D187-B760-334A-A48C-9B88D9C1D76A}">
      <text>
        <r>
          <rPr>
            <b/>
            <sz val="10"/>
            <color rgb="FF000000"/>
            <rFont val="Tahoma"/>
            <family val="2"/>
          </rPr>
          <t>OPEX cost escalator used in OPEX calculations. Starts at 100% + LCOE Override "OPEX Relative".
Increases at the rate specified in "OPEX Escalator".
LCOE Override "OPEX Relative is added to cell value.</t>
        </r>
        <r>
          <rPr>
            <sz val="10"/>
            <color rgb="FF000000"/>
            <rFont val="Tahoma"/>
            <family val="2"/>
          </rPr>
          <t xml:space="preserve">
</t>
        </r>
      </text>
    </comment>
    <comment ref="L44" authorId="0" shapeId="0" xr:uid="{FC33213D-742F-2F4F-92BE-D979B4A4452F}">
      <text>
        <r>
          <rPr>
            <b/>
            <sz val="10"/>
            <color rgb="FF000000"/>
            <rFont val="Tahoma"/>
            <family val="2"/>
          </rPr>
          <t xml:space="preserve">Fuel expenditure. If initial max electric power &gt; 0, calculated from electricity production; otherwise from heat production.
NOTE: The above DOES NOT depend on LCOE Override "Max electric power", only from initial value.
Expenditure is multiplied by FUELEX relative (right).
LCOE Override "FUELEX" is added to cell value. </t>
        </r>
      </text>
    </comment>
    <comment ref="M44" authorId="0" shapeId="0" xr:uid="{8B3E0743-3AC8-EE47-88F9-52154F017916}">
      <text>
        <r>
          <rPr>
            <b/>
            <sz val="12"/>
            <color rgb="FF000000"/>
            <rFont val="Calibri"/>
            <family val="2"/>
            <scheme val="minor"/>
          </rPr>
          <t>FUELEX cost escalator used in FUELEX calculation. Starts at 100% + LCOE Override "FUELEX Relative".
Increases at the rate specified in "FUELEX Escalator".
LCOE Override "FUELEX Relative" is added to cell value.</t>
        </r>
        <r>
          <rPr>
            <sz val="12"/>
            <color rgb="FF000000"/>
            <rFont val="Calibri"/>
            <family val="2"/>
            <scheme val="minor"/>
          </rPr>
          <t xml:space="preserve">
</t>
        </r>
      </text>
    </comment>
    <comment ref="N44" authorId="0" shapeId="0" xr:uid="{FCA7B9D4-AE37-9140-AC2C-18213354AF68}">
      <text>
        <r>
          <rPr>
            <b/>
            <sz val="10"/>
            <color rgb="FF000000"/>
            <rFont val="Tahoma"/>
            <family val="2"/>
          </rPr>
          <t>Plant efficiency relative to startup.
Starts from 100%+LCOE Override "Efficiency relative".
Decreases at the rate specified by "Efficiency loss/year".
LCOE Override "Efficiency relative" is added to cell value.</t>
        </r>
        <r>
          <rPr>
            <sz val="10"/>
            <color rgb="FF000000"/>
            <rFont val="Tahoma"/>
            <family val="2"/>
          </rPr>
          <t xml:space="preserve">
</t>
        </r>
      </text>
    </comment>
    <comment ref="O44" authorId="0" shapeId="0" xr:uid="{5B591057-98AF-D446-8523-68FCFB5BE9D7}">
      <text>
        <r>
          <rPr>
            <b/>
            <sz val="10"/>
            <color rgb="FF000000"/>
            <rFont val="Tahoma"/>
            <family val="2"/>
          </rPr>
          <t xml:space="preserve">Emission factor per kWh produced.
</t>
        </r>
        <r>
          <rPr>
            <b/>
            <sz val="10"/>
            <color rgb="FF000000"/>
            <rFont val="Tahoma"/>
            <family val="2"/>
          </rPr>
          <t xml:space="preserve">
</t>
        </r>
        <r>
          <rPr>
            <b/>
            <sz val="10"/>
            <color rgb="FF000000"/>
            <rFont val="Tahoma"/>
            <family val="2"/>
          </rPr>
          <t>LCOE Override "Emission factor" is added to cell value.</t>
        </r>
        <r>
          <rPr>
            <sz val="10"/>
            <color rgb="FF000000"/>
            <rFont val="Tahoma"/>
            <family val="2"/>
          </rPr>
          <t xml:space="preserve">
</t>
        </r>
        <r>
          <rPr>
            <sz val="10"/>
            <color rgb="FF000000"/>
            <rFont val="Tahoma"/>
            <family val="2"/>
          </rPr>
          <t xml:space="preserve">
</t>
        </r>
        <r>
          <rPr>
            <sz val="10"/>
            <color rgb="FF000000"/>
            <rFont val="Tahoma"/>
            <family val="2"/>
          </rPr>
          <t>NOTE: Emission factor is in grams of CO2 equivalent per kWh produced.</t>
        </r>
      </text>
    </comment>
    <comment ref="P44" authorId="0" shapeId="0" xr:uid="{DF4D80E7-241F-B543-A50C-0186C48FC630}">
      <text>
        <r>
          <rPr>
            <b/>
            <sz val="10"/>
            <color rgb="FF000000"/>
            <rFont val="Tahoma"/>
            <family val="2"/>
          </rPr>
          <t xml:space="preserve">How much of plant's notional emissions are taxed?
</t>
        </r>
        <r>
          <rPr>
            <b/>
            <sz val="10"/>
            <color rgb="FF000000"/>
            <rFont val="Tahoma"/>
            <family val="2"/>
          </rPr>
          <t xml:space="preserve">
</t>
        </r>
        <r>
          <rPr>
            <b/>
            <sz val="10"/>
            <color rgb="FF000000"/>
            <rFont val="Tahoma"/>
            <family val="2"/>
          </rPr>
          <t xml:space="preserve">100% if "Emissions taxed starting from year" equals or exceeds current year, 0 otherwise.
</t>
        </r>
        <r>
          <rPr>
            <b/>
            <sz val="10"/>
            <color rgb="FF000000"/>
            <rFont val="Tahoma"/>
            <family val="2"/>
          </rPr>
          <t xml:space="preserve">
</t>
        </r>
        <r>
          <rPr>
            <b/>
            <sz val="10"/>
            <color rgb="FF000000"/>
            <rFont val="Tahoma"/>
            <family val="2"/>
          </rPr>
          <t>LCOE Override "% of emissions taxed" is added to cell value.</t>
        </r>
        <r>
          <rPr>
            <sz val="10"/>
            <color rgb="FF000000"/>
            <rFont val="Tahoma"/>
            <family val="2"/>
          </rPr>
          <t xml:space="preserve">
</t>
        </r>
      </text>
    </comment>
    <comment ref="Q44" authorId="0" shapeId="0" xr:uid="{18E33473-3658-7848-93E5-92B566AB2795}">
      <text>
        <r>
          <rPr>
            <b/>
            <sz val="10"/>
            <color rgb="FF000000"/>
            <rFont val="Tahoma"/>
            <family val="2"/>
          </rPr>
          <t xml:space="preserve">Total emissions based on Total emission factor (left) and production (electricity if initial max electric power &gt; 0, heat otherwise). </t>
        </r>
        <r>
          <rPr>
            <sz val="10"/>
            <color rgb="FF000000"/>
            <rFont val="Tahoma"/>
            <family val="2"/>
          </rPr>
          <t xml:space="preserve">
</t>
        </r>
        <r>
          <rPr>
            <sz val="10"/>
            <color rgb="FF000000"/>
            <rFont val="Tahoma"/>
            <family val="2"/>
          </rPr>
          <t xml:space="preserve">
NOTE: The above DOES NOT depend on LCOE Override "Max electric power", only from initial value.</t>
        </r>
      </text>
    </comment>
    <comment ref="R44" authorId="0" shapeId="0" xr:uid="{7FDEA327-C5F6-B84E-BC0E-86AD96CDCEAD}">
      <text>
        <r>
          <rPr>
            <b/>
            <sz val="10"/>
            <color rgb="FF000000"/>
            <rFont val="Tahoma"/>
            <family val="2"/>
          </rPr>
          <t>To ease the calculations, shows the cost of emissions per ton of CO2 equivalent, from LCOE parameters.</t>
        </r>
        <r>
          <rPr>
            <sz val="10"/>
            <color rgb="FF000000"/>
            <rFont val="Tahoma"/>
            <family val="2"/>
          </rPr>
          <t xml:space="preserve">
</t>
        </r>
      </text>
    </comment>
    <comment ref="S44" authorId="0" shapeId="0" xr:uid="{3E5314FA-9A99-FF4F-8849-ED47EB021B9B}">
      <text>
        <r>
          <rPr>
            <b/>
            <sz val="10"/>
            <color rgb="FF000000"/>
            <rFont val="Tahoma"/>
            <family val="2"/>
          </rPr>
          <t>Total cost of emissions levied from the plant.
Total emissions * % of emissions taxed * cost of tCO2E.
LCOE Override "Cost of emissions levied" is added to cell value.</t>
        </r>
        <r>
          <rPr>
            <sz val="10"/>
            <color rgb="FF000000"/>
            <rFont val="Tahoma"/>
            <family val="2"/>
          </rPr>
          <t xml:space="preserve">
</t>
        </r>
      </text>
    </comment>
    <comment ref="T44" authorId="0" shapeId="0" xr:uid="{BFDEBE34-DC36-EC4E-841B-0B03E62F84D5}">
      <text>
        <r>
          <rPr>
            <b/>
            <sz val="10"/>
            <color rgb="FF000000"/>
            <rFont val="Tahoma"/>
            <family val="2"/>
          </rPr>
          <t xml:space="preserve">Production tax per MWh produced.
LCOE Override "Tax per MWH produced" is added to cell value.
</t>
        </r>
        <r>
          <rPr>
            <sz val="10"/>
            <color rgb="FF000000"/>
            <rFont val="Tahoma"/>
            <family val="2"/>
          </rPr>
          <t xml:space="preserve">
</t>
        </r>
      </text>
    </comment>
    <comment ref="U44" authorId="0" shapeId="0" xr:uid="{D2BF75AE-2340-7A4A-B642-173F321A3F35}">
      <text>
        <r>
          <rPr>
            <b/>
            <sz val="10"/>
            <color rgb="FF000000"/>
            <rFont val="Tahoma"/>
            <family val="2"/>
          </rPr>
          <t>Taxes actually levied from the plant, based on electric production if initial max electric power &gt; 0, on heat production otherwise.
NOTE: The above DOES NOT depend on LCOE Override "Max electric power", only on initial value.
LCOE Override "Taxes levied" is added to cell value.</t>
        </r>
        <r>
          <rPr>
            <sz val="10"/>
            <color rgb="FF000000"/>
            <rFont val="Tahoma"/>
            <family val="2"/>
          </rPr>
          <t xml:space="preserve">
</t>
        </r>
      </text>
    </comment>
    <comment ref="V44" authorId="0" shapeId="0" xr:uid="{547C310B-D59B-E54F-AA37-9BEB449DB006}">
      <text>
        <r>
          <rPr>
            <b/>
            <sz val="10"/>
            <color rgb="FF000000"/>
            <rFont val="Tahoma"/>
            <family val="2"/>
          </rPr>
          <t xml:space="preserve">Waste fees per MWh of production.
</t>
        </r>
        <r>
          <rPr>
            <b/>
            <sz val="10"/>
            <color rgb="FF000000"/>
            <rFont val="Tahoma"/>
            <family val="2"/>
          </rPr>
          <t xml:space="preserve">
</t>
        </r>
        <r>
          <rPr>
            <b/>
            <sz val="10"/>
            <color rgb="FF000000"/>
            <rFont val="Tahoma"/>
            <family val="2"/>
          </rPr>
          <t>LCOE Override "Waste fee per MWh" is added to cell value.</t>
        </r>
        <r>
          <rPr>
            <sz val="10"/>
            <color rgb="FF000000"/>
            <rFont val="Tahoma"/>
            <family val="2"/>
          </rPr>
          <t xml:space="preserve">
</t>
        </r>
      </text>
    </comment>
    <comment ref="W44" authorId="0" shapeId="0" xr:uid="{70ED50F5-A397-A641-B19A-DCC4708D35CF}">
      <text>
        <r>
          <rPr>
            <b/>
            <sz val="10"/>
            <color rgb="FF000000"/>
            <rFont val="Tahoma"/>
            <family val="2"/>
          </rPr>
          <t>Waste fees actually levied from the plant. Waste fee per MWh * production, electric if initial max electric power &gt;0, heat otherwise.
NOTE: The above DOES NOT depend on LCOE Override "Max electric power", only on initial value.
LCOE Override "Waste fee levied" is added to cell value.</t>
        </r>
        <r>
          <rPr>
            <sz val="10"/>
            <color rgb="FF000000"/>
            <rFont val="Tahoma"/>
            <family val="2"/>
          </rPr>
          <t xml:space="preserve">
</t>
        </r>
      </text>
    </comment>
    <comment ref="X44" authorId="0" shapeId="0" xr:uid="{1BA86F05-906E-6E40-8D35-0211D2E1AA70}">
      <text>
        <r>
          <rPr>
            <b/>
            <sz val="10"/>
            <color rgb="FF000000"/>
            <rFont val="Tahoma"/>
            <family val="2"/>
          </rPr>
          <t xml:space="preserve">Heat credit per MWh of heat produced, deducted from costs.
LCOE Override "Heat credit per MWh" is added to cell value.
</t>
        </r>
        <r>
          <rPr>
            <sz val="10"/>
            <color rgb="FF000000"/>
            <rFont val="Tahoma"/>
            <family val="2"/>
          </rPr>
          <t xml:space="preserve">
</t>
        </r>
      </text>
    </comment>
    <comment ref="Y44" authorId="0" shapeId="0" xr:uid="{E2EF2BA0-F443-4B44-8369-A3CD50CEFB8A}">
      <text>
        <r>
          <rPr>
            <b/>
            <sz val="10"/>
            <color rgb="FF000000"/>
            <rFont val="Tahoma"/>
            <family val="2"/>
          </rPr>
          <t>Total heat credits deducted from costs. Heat credit per MWh * Heat produced.</t>
        </r>
        <r>
          <rPr>
            <sz val="10"/>
            <color rgb="FF000000"/>
            <rFont val="Tahoma"/>
            <family val="2"/>
          </rPr>
          <t xml:space="preserve">
</t>
        </r>
      </text>
    </comment>
    <comment ref="Z44" authorId="0" shapeId="0" xr:uid="{0F8298AB-C70C-0C49-AD7D-2436C79616F7}">
      <text>
        <r>
          <rPr>
            <b/>
            <sz val="10"/>
            <color rgb="FF000000"/>
            <rFont val="Tahoma"/>
            <family val="2"/>
          </rPr>
          <t>Total capital expenditure:
CAPEXconstr and CAPEXrefurb/decom.</t>
        </r>
        <r>
          <rPr>
            <sz val="10"/>
            <color rgb="FF000000"/>
            <rFont val="Tahoma"/>
            <family val="2"/>
          </rPr>
          <t xml:space="preserve">
</t>
        </r>
      </text>
    </comment>
    <comment ref="AA44" authorId="0" shapeId="0" xr:uid="{E68066B0-ECDE-D448-9A5C-00B5D5D7F7F2}">
      <text>
        <r>
          <rPr>
            <b/>
            <sz val="10"/>
            <color rgb="FF000000"/>
            <rFont val="Tahoma"/>
            <family val="2"/>
          </rPr>
          <t>Total OPEX, Fixed + Variable.</t>
        </r>
        <r>
          <rPr>
            <sz val="10"/>
            <color rgb="FF000000"/>
            <rFont val="Tahoma"/>
            <family val="2"/>
          </rPr>
          <t xml:space="preserve">
</t>
        </r>
      </text>
    </comment>
    <comment ref="AB44" authorId="0" shapeId="0" xr:uid="{7BA238A8-45BF-224C-BB2D-E08318BA3C8F}">
      <text>
        <r>
          <rPr>
            <b/>
            <sz val="10"/>
            <color rgb="FF000000"/>
            <rFont val="Tahoma"/>
            <family val="2"/>
          </rPr>
          <t>Total fuel costs.</t>
        </r>
        <r>
          <rPr>
            <sz val="10"/>
            <color rgb="FF000000"/>
            <rFont val="Tahoma"/>
            <family val="2"/>
          </rPr>
          <t xml:space="preserve">
</t>
        </r>
      </text>
    </comment>
    <comment ref="AC44" authorId="0" shapeId="0" xr:uid="{63F878B7-5C25-1D4B-A6AC-CDF000D91B1A}">
      <text>
        <r>
          <rPr>
            <b/>
            <sz val="10"/>
            <color rgb="FF000000"/>
            <rFont val="Tahoma"/>
            <family val="2"/>
          </rPr>
          <t xml:space="preserve">Total taxes and waste fees levied. </t>
        </r>
        <r>
          <rPr>
            <sz val="10"/>
            <color rgb="FF000000"/>
            <rFont val="Tahoma"/>
            <family val="2"/>
          </rPr>
          <t xml:space="preserve">
</t>
        </r>
      </text>
    </comment>
    <comment ref="AD44" authorId="0" shapeId="0" xr:uid="{7F66EB77-19C6-6C4C-BBA4-AB104F9CC275}">
      <text>
        <r>
          <rPr>
            <b/>
            <sz val="10"/>
            <color rgb="FF000000"/>
            <rFont val="Tahoma"/>
            <family val="2"/>
          </rPr>
          <t>Emission fees levied.</t>
        </r>
        <r>
          <rPr>
            <sz val="10"/>
            <color rgb="FF000000"/>
            <rFont val="Tahoma"/>
            <family val="2"/>
          </rPr>
          <t xml:space="preserve">
</t>
        </r>
      </text>
    </comment>
    <comment ref="AE44" authorId="0" shapeId="0" xr:uid="{FF8F2A53-2FFA-834C-9CF7-CCA39EE07066}">
      <text>
        <r>
          <rPr>
            <b/>
            <sz val="10"/>
            <color rgb="FF000000"/>
            <rFont val="Tahoma"/>
            <family val="2"/>
          </rPr>
          <t>How much of plant's operational lifetime has been expended. Increases at a rate of 1 * Operational%.
Does not increase if the plant is being refurbished or suffering from outage.</t>
        </r>
        <r>
          <rPr>
            <sz val="10"/>
            <color rgb="FF000000"/>
            <rFont val="Tahoma"/>
            <family val="2"/>
          </rPr>
          <t xml:space="preserve">
Stops increasing when lifetime is met.</t>
        </r>
      </text>
    </comment>
    <comment ref="AF44" authorId="0" shapeId="0" xr:uid="{E57E3E1D-54F6-0F45-B5D8-F0C32259F796}">
      <text>
        <r>
          <rPr>
            <b/>
            <sz val="10"/>
            <color rgb="FF000000"/>
            <rFont val="Tahoma"/>
            <family val="2"/>
          </rPr>
          <t>Discount rate r used to calculate the discount factor.
Interest During Construction (IDC) before year 0, WACC afterwards.
LCOE Override "Discount rate (WACC)" is added to cell value.</t>
        </r>
        <r>
          <rPr>
            <sz val="10"/>
            <color rgb="FF000000"/>
            <rFont val="Tahoma"/>
            <family val="2"/>
          </rPr>
          <t xml:space="preserve">
</t>
        </r>
      </text>
    </comment>
    <comment ref="AG44" authorId="0" shapeId="0" xr:uid="{D6B696D8-E02A-2249-8826-51B7E7BBC57A}">
      <text>
        <r>
          <rPr>
            <b/>
            <sz val="10"/>
            <color rgb="FF000000"/>
            <rFont val="Tahoma"/>
            <family val="2"/>
          </rPr>
          <t>Calculates the discount factor (capital recovery), (1+r)^t.</t>
        </r>
        <r>
          <rPr>
            <sz val="10"/>
            <color rgb="FF000000"/>
            <rFont val="Tahoma"/>
            <family val="2"/>
          </rPr>
          <t xml:space="preserve">
</t>
        </r>
      </text>
    </comment>
    <comment ref="AH44" authorId="0" shapeId="0" xr:uid="{CB12E52F-6A31-704C-B350-94276AB08D55}">
      <text>
        <r>
          <rPr>
            <b/>
            <sz val="10"/>
            <color rgb="FF000000"/>
            <rFont val="Tahoma"/>
            <family val="2"/>
          </rPr>
          <t>Discounted value of total capital costs.</t>
        </r>
        <r>
          <rPr>
            <sz val="10"/>
            <color rgb="FF000000"/>
            <rFont val="Tahoma"/>
            <family val="2"/>
          </rPr>
          <t xml:space="preserve">
</t>
        </r>
      </text>
    </comment>
    <comment ref="AI44" authorId="0" shapeId="0" xr:uid="{BDACFDC1-1F57-E743-9520-BBB8A7EA4D94}">
      <text>
        <r>
          <rPr>
            <b/>
            <sz val="10"/>
            <color rgb="FF000000"/>
            <rFont val="Tahoma"/>
            <family val="2"/>
          </rPr>
          <t>discounted value of O&amp;M (OPEX) costs.</t>
        </r>
        <r>
          <rPr>
            <sz val="10"/>
            <color rgb="FF000000"/>
            <rFont val="Tahoma"/>
            <family val="2"/>
          </rPr>
          <t xml:space="preserve">
</t>
        </r>
      </text>
    </comment>
    <comment ref="AJ44" authorId="0" shapeId="0" xr:uid="{AF325EDA-8446-5B43-82F0-FBCE6CDDD2DA}">
      <text>
        <r>
          <rPr>
            <b/>
            <sz val="10"/>
            <color rgb="FF000000"/>
            <rFont val="Tahoma"/>
            <family val="2"/>
          </rPr>
          <t>Discounted value of fuel costs.</t>
        </r>
        <r>
          <rPr>
            <sz val="10"/>
            <color rgb="FF000000"/>
            <rFont val="Tahoma"/>
            <family val="2"/>
          </rPr>
          <t xml:space="preserve">
</t>
        </r>
      </text>
    </comment>
    <comment ref="AK44" authorId="0" shapeId="0" xr:uid="{B98A2DA8-1F7B-C74C-A8BF-279C6DEA8C61}">
      <text>
        <r>
          <rPr>
            <b/>
            <sz val="10"/>
            <color rgb="FF000000"/>
            <rFont val="Tahoma"/>
            <family val="2"/>
          </rPr>
          <t>Discounted value of taxes and waste fees levied.</t>
        </r>
        <r>
          <rPr>
            <sz val="10"/>
            <color rgb="FF000000"/>
            <rFont val="Tahoma"/>
            <family val="2"/>
          </rPr>
          <t xml:space="preserve">
</t>
        </r>
      </text>
    </comment>
    <comment ref="AL44" authorId="0" shapeId="0" xr:uid="{9BF9AECC-C5D7-7940-8CEC-D8C82F4C644C}">
      <text>
        <r>
          <rPr>
            <b/>
            <sz val="10"/>
            <color rgb="FF000000"/>
            <rFont val="Tahoma"/>
            <family val="2"/>
          </rPr>
          <t>Discounted value of emission fees levied.</t>
        </r>
        <r>
          <rPr>
            <sz val="10"/>
            <color rgb="FF000000"/>
            <rFont val="Tahoma"/>
            <family val="2"/>
          </rPr>
          <t xml:space="preserve">
</t>
        </r>
      </text>
    </comment>
    <comment ref="AM44" authorId="0" shapeId="0" xr:uid="{0DC5D6BA-F12A-1B4B-85BA-FACB251A5AA5}">
      <text>
        <r>
          <rPr>
            <b/>
            <sz val="10"/>
            <color rgb="FF000000"/>
            <rFont val="Tahoma"/>
            <family val="2"/>
          </rPr>
          <t>Discounted value of heat credits. Note that the value is negative, because heat credits decrease LCOE.</t>
        </r>
        <r>
          <rPr>
            <sz val="10"/>
            <color rgb="FF000000"/>
            <rFont val="Tahoma"/>
            <family val="2"/>
          </rPr>
          <t xml:space="preserve">
</t>
        </r>
      </text>
    </comment>
    <comment ref="AN44" authorId="0" shapeId="0" xr:uid="{FCDB1894-6BB3-8A45-BBBE-8AE4590547B0}">
      <text>
        <r>
          <rPr>
            <b/>
            <sz val="10"/>
            <color rgb="FF000000"/>
            <rFont val="Tahoma"/>
            <family val="2"/>
          </rPr>
          <t xml:space="preserve">Discounted amount of production. Electric if initial max electric power &gt;0, heat otherwise. </t>
        </r>
        <r>
          <rPr>
            <sz val="10"/>
            <color rgb="FF000000"/>
            <rFont val="Tahoma"/>
            <family val="2"/>
          </rPr>
          <t xml:space="preserve">
</t>
        </r>
        <r>
          <rPr>
            <sz val="10"/>
            <color rgb="FF000000"/>
            <rFont val="Tahoma"/>
            <family val="2"/>
          </rPr>
          <t xml:space="preserve">
NOTE: This does not depend on LCOE Override "Max electric capacity", only on initial value.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Janne Korhonen</author>
  </authors>
  <commentList>
    <comment ref="A44" authorId="0" shapeId="0" xr:uid="{BE03AFB0-0AC4-3E49-A0F4-F96AECC52CF6}">
      <text>
        <r>
          <rPr>
            <sz val="10"/>
            <color rgb="FF000000"/>
            <rFont val="Tahoma"/>
            <family val="2"/>
          </rPr>
          <t>Running year from -25 to 100</t>
        </r>
      </text>
    </comment>
    <comment ref="B44" authorId="0" shapeId="0" xr:uid="{5888395F-9339-2B40-BBB1-8F9C27AE3B74}">
      <text>
        <r>
          <rPr>
            <b/>
            <sz val="10"/>
            <color rgb="FF000000"/>
            <rFont val="Tahoma"/>
            <family val="2"/>
          </rPr>
          <t xml:space="preserve">Capital costs of construction. Total Overnight cost is divided equally to Construction period, starting from Year 0-Construction period.
</t>
        </r>
        <r>
          <rPr>
            <b/>
            <sz val="10"/>
            <color rgb="FF000000"/>
            <rFont val="Tahoma"/>
            <family val="2"/>
          </rPr>
          <t xml:space="preserve">
</t>
        </r>
        <r>
          <rPr>
            <b/>
            <sz val="10"/>
            <color rgb="FF000000"/>
            <rFont val="Tahoma"/>
            <family val="2"/>
          </rPr>
          <t>LCOE Override "CAPEXconstr" is added to cell value.</t>
        </r>
        <r>
          <rPr>
            <sz val="10"/>
            <color rgb="FF000000"/>
            <rFont val="Tahoma"/>
            <family val="2"/>
          </rPr>
          <t xml:space="preserve">
</t>
        </r>
      </text>
    </comment>
    <comment ref="C44" authorId="0" shapeId="0" xr:uid="{9CE3772F-B2D8-1C4F-97CB-70FBE82205C9}">
      <text>
        <r>
          <rPr>
            <b/>
            <sz val="10"/>
            <color rgb="FF000000"/>
            <rFont val="Tahoma"/>
            <family val="2"/>
          </rPr>
          <t xml:space="preserve">Capital costs of refurbishing and decommissioning.
</t>
        </r>
        <r>
          <rPr>
            <b/>
            <sz val="10"/>
            <color rgb="FF000000"/>
            <rFont val="Tahoma"/>
            <family val="2"/>
          </rPr>
          <t xml:space="preserve">
</t>
        </r>
        <r>
          <rPr>
            <b/>
            <sz val="10"/>
            <color rgb="FF000000"/>
            <rFont val="Tahoma"/>
            <family val="2"/>
          </rPr>
          <t xml:space="preserve">Total overnight cost of refurbishment is divided equally to the time required to refurbish, starting from Refurbishment year.
</t>
        </r>
        <r>
          <rPr>
            <b/>
            <sz val="10"/>
            <color rgb="FF000000"/>
            <rFont val="Tahoma"/>
            <family val="2"/>
          </rPr>
          <t xml:space="preserve">
</t>
        </r>
        <r>
          <rPr>
            <b/>
            <sz val="10"/>
            <color rgb="FF000000"/>
            <rFont val="Tahoma"/>
            <family val="2"/>
          </rPr>
          <t xml:space="preserve">Decommissioning costs are incurred at once when Decommissioning delay after shutdown has elapsed. (In reality, decommissioning would take some years in some cases. This simplification doesn't affect the results much due to discounting.) Decommissioning costs are calculated as share of original overnight costs.
</t>
        </r>
        <r>
          <rPr>
            <b/>
            <sz val="10"/>
            <color rgb="FF000000"/>
            <rFont val="Tahoma"/>
            <family val="2"/>
          </rPr>
          <t xml:space="preserve">
</t>
        </r>
        <r>
          <rPr>
            <b/>
            <sz val="10"/>
            <color rgb="FF000000"/>
            <rFont val="Tahoma"/>
            <family val="2"/>
          </rPr>
          <t>LCOE override "CAPEXrefurb/decon" is added to cell value.</t>
        </r>
        <r>
          <rPr>
            <sz val="10"/>
            <color rgb="FF000000"/>
            <rFont val="Tahoma"/>
            <family val="2"/>
          </rPr>
          <t xml:space="preserve">
</t>
        </r>
      </text>
    </comment>
    <comment ref="D44" authorId="0" shapeId="0" xr:uid="{30D9EF53-4167-AA45-A34E-C33ECD4BF20C}">
      <text>
        <r>
          <rPr>
            <sz val="10"/>
            <color rgb="FF000000"/>
            <rFont val="Tahoma"/>
            <family val="2"/>
          </rPr>
          <t>Value is 1 if Lifetime expended at start of previous year (see right) is less than Lifetime in years; if equal or more, value is 0. Used as a multiplier to force production and costs to zero after end of life.</t>
        </r>
      </text>
    </comment>
    <comment ref="E44" authorId="0" shapeId="0" xr:uid="{8FE577A9-C70E-0B40-84B4-196FC130F760}">
      <text>
        <r>
          <rPr>
            <sz val="10"/>
            <color rgb="FF000000"/>
            <rFont val="Tahoma"/>
            <family val="2"/>
          </rPr>
          <t xml:space="preserve">The operational status of the plant. 100% if Lifetime left? = 1 (plant has lifetime left) and refurbishing period isn't underway; otherwise 0.
</t>
        </r>
        <r>
          <rPr>
            <sz val="10"/>
            <color rgb="FF000000"/>
            <rFont val="Tahoma"/>
            <family val="2"/>
          </rPr>
          <t xml:space="preserve">
</t>
        </r>
        <r>
          <rPr>
            <sz val="10"/>
            <color rgb="FF000000"/>
            <rFont val="Tahoma"/>
            <family val="2"/>
          </rPr>
          <t>LCOE override "Operational%" is added to cell value.</t>
        </r>
      </text>
    </comment>
    <comment ref="F44" authorId="0" shapeId="0" xr:uid="{AA6C1246-8CA5-A24C-9A82-ECF740B9200F}">
      <text>
        <r>
          <rPr>
            <b/>
            <sz val="10"/>
            <color rgb="FF000000"/>
            <rFont val="Tahoma"/>
            <family val="2"/>
          </rPr>
          <t xml:space="preserve">Capacity factor of the plant. Starts from 50% of maximum (settled down), ramps up to maximum at a ramp-up rate per year. </t>
        </r>
        <r>
          <rPr>
            <sz val="10"/>
            <color rgb="FF000000"/>
            <rFont val="Tahoma"/>
            <family val="2"/>
          </rPr>
          <t xml:space="preserve">
</t>
        </r>
        <r>
          <rPr>
            <sz val="10"/>
            <color rgb="FF000000"/>
            <rFont val="Tahoma"/>
            <family val="2"/>
          </rPr>
          <t xml:space="preserve">
</t>
        </r>
        <r>
          <rPr>
            <sz val="12"/>
            <color rgb="FF000000"/>
            <rFont val="Calibri"/>
            <family val="2"/>
            <scheme val="minor"/>
          </rPr>
          <t>LCOE override "Capacity factor"  is added to cell value.</t>
        </r>
      </text>
    </comment>
    <comment ref="G44" authorId="0" shapeId="0" xr:uid="{57AC0FE8-1201-074B-938F-C2F2FAFD11E2}">
      <text>
        <r>
          <rPr>
            <b/>
            <sz val="10"/>
            <color rgb="FF000000"/>
            <rFont val="Tahoma"/>
            <family val="2"/>
          </rPr>
          <t xml:space="preserve">Electricity produced during year. 
</t>
        </r>
        <r>
          <rPr>
            <b/>
            <sz val="10"/>
            <color rgb="FF000000"/>
            <rFont val="Tahoma"/>
            <family val="2"/>
          </rPr>
          <t xml:space="preserve">
</t>
        </r>
        <r>
          <rPr>
            <b/>
            <sz val="10"/>
            <color rgb="FF000000"/>
            <rFont val="Tahoma"/>
            <family val="2"/>
          </rPr>
          <t xml:space="preserve">(Max electric power + override max electric power) multiplied by current capacity factor, multiplied by operational%, Lifetime left? and Efficiency relative (right).
</t>
        </r>
        <r>
          <rPr>
            <b/>
            <sz val="10"/>
            <color rgb="FF000000"/>
            <rFont val="Tahoma"/>
            <family val="2"/>
          </rPr>
          <t xml:space="preserve">
</t>
        </r>
        <r>
          <rPr>
            <sz val="10"/>
            <color rgb="FF000000"/>
            <rFont val="Calibri"/>
            <family val="2"/>
          </rPr>
          <t xml:space="preserve">LCOE override "Electricity produced" is added to cell value.
</t>
        </r>
        <r>
          <rPr>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H44" authorId="0" shapeId="0" xr:uid="{A12CD8C6-9834-C24E-B340-A0E8AC8059C7}">
      <text>
        <r>
          <rPr>
            <b/>
            <sz val="10"/>
            <color rgb="FF000000"/>
            <rFont val="Calibri"/>
            <family val="2"/>
            <scheme val="minor"/>
          </rPr>
          <t>Heat produced during year. 
(Max heat power + override max heat power) multiplied by current capacity factor, multiplied by operational%, Lifetime left? and Efficiency relative (right).</t>
        </r>
        <r>
          <rPr>
            <sz val="10"/>
            <color rgb="FF000000"/>
            <rFont val="Calibri"/>
            <family val="2"/>
            <scheme val="minor"/>
          </rPr>
          <t xml:space="preserve"> </t>
        </r>
        <r>
          <rPr>
            <b/>
            <sz val="10"/>
            <color rgb="FF000000"/>
            <rFont val="Calibri"/>
            <family val="2"/>
            <scheme val="minor"/>
          </rPr>
          <t xml:space="preserve">
</t>
        </r>
        <r>
          <rPr>
            <sz val="10"/>
            <color rgb="FF000000"/>
            <rFont val="Calibri"/>
            <family val="2"/>
            <scheme val="minor"/>
          </rPr>
          <t>LCOE override "Heat produced" is added to cell value.</t>
        </r>
        <r>
          <rPr>
            <sz val="10"/>
            <color rgb="FF000000"/>
            <rFont val="Calibri"/>
            <family val="2"/>
            <scheme val="minor"/>
          </rPr>
          <t xml:space="preserve"> </t>
        </r>
      </text>
    </comment>
    <comment ref="I44" authorId="0" shapeId="0" xr:uid="{D21A49CE-51D7-9B49-A6BB-11AFA1098BB4}">
      <text>
        <r>
          <rPr>
            <b/>
            <sz val="10"/>
            <color rgb="FF000000"/>
            <rFont val="Tahoma"/>
            <family val="2"/>
          </rPr>
          <t xml:space="preserve">Fixed operational expenditure (not dependent on production). Calculated from Fixed OPEX * (Max electric power + Override Max electric power) if Max electric power &gt; 0; otherwise Fixed OPEX * (Max heat power + Override max heat power).
</t>
        </r>
        <r>
          <rPr>
            <b/>
            <sz val="10"/>
            <color rgb="FF000000"/>
            <rFont val="Tahoma"/>
            <family val="2"/>
          </rPr>
          <t xml:space="preserve">
</t>
        </r>
        <r>
          <rPr>
            <b/>
            <sz val="10"/>
            <color rgb="FF000000"/>
            <rFont val="Tahoma"/>
            <family val="2"/>
          </rPr>
          <t xml:space="preserve">Multiplied by OPEX Relative (right)
</t>
        </r>
        <r>
          <rPr>
            <b/>
            <sz val="10"/>
            <color rgb="FF000000"/>
            <rFont val="Tahoma"/>
            <family val="2"/>
          </rPr>
          <t xml:space="preserve">
</t>
        </r>
        <r>
          <rPr>
            <b/>
            <sz val="10"/>
            <color rgb="FF000000"/>
            <rFont val="Tahoma"/>
            <family val="2"/>
          </rPr>
          <t xml:space="preserve">LCOE override "Fixed OPEX" is added to cell value.
</t>
        </r>
        <r>
          <rPr>
            <b/>
            <sz val="10"/>
            <color rgb="FF000000"/>
            <rFont val="Tahoma"/>
            <family val="2"/>
          </rPr>
          <t xml:space="preserve">
</t>
        </r>
        <r>
          <rPr>
            <sz val="10"/>
            <color rgb="FF000000"/>
            <rFont val="Tahoma"/>
            <family val="2"/>
          </rPr>
          <t xml:space="preserve">
</t>
        </r>
      </text>
    </comment>
    <comment ref="J44" authorId="0" shapeId="0" xr:uid="{000442B0-EF73-C042-AEBA-2ACC56F04ECE}">
      <text>
        <r>
          <rPr>
            <b/>
            <sz val="10"/>
            <color rgb="FF000000"/>
            <rFont val="Calibri"/>
            <family val="2"/>
            <scheme val="minor"/>
          </rPr>
          <t xml:space="preserve">Variable operational expenditure (dependent on production). Calculated from Variable OPEX * (Max electric power + Override Max electric power) if Max electric power &gt; 0; otherwise Variable OPEX * (Max heat power + Override max heat power).
Multiplied by OPEX Relative (right).
LCOE override "Variable OPEX" is added to cell value. </t>
        </r>
      </text>
    </comment>
    <comment ref="K44" authorId="0" shapeId="0" xr:uid="{1A22FA2D-4B86-584E-82D4-A697615E8A8C}">
      <text>
        <r>
          <rPr>
            <b/>
            <sz val="10"/>
            <color rgb="FF000000"/>
            <rFont val="Tahoma"/>
            <family val="2"/>
          </rPr>
          <t>OPEX cost escalator used in OPEX calculations. Starts at 100% + LCOE Override "OPEX Relative".
Increases at the rate specified in "OPEX Escalator".
LCOE Override "OPEX Relative is added to cell value.</t>
        </r>
        <r>
          <rPr>
            <sz val="10"/>
            <color rgb="FF000000"/>
            <rFont val="Tahoma"/>
            <family val="2"/>
          </rPr>
          <t xml:space="preserve">
</t>
        </r>
      </text>
    </comment>
    <comment ref="L44" authorId="0" shapeId="0" xr:uid="{B3B75E7E-FE1B-1C46-927E-D29D3A488F03}">
      <text>
        <r>
          <rPr>
            <b/>
            <sz val="10"/>
            <color rgb="FF000000"/>
            <rFont val="Tahoma"/>
            <family val="2"/>
          </rPr>
          <t xml:space="preserve">Fuel expenditure. If initial max electric power &gt; 0, calculated from electricity production; otherwise from heat production.
NOTE: The above DOES NOT depend on LCOE Override "Max electric power", only from initial value.
Expenditure is multiplied by FUELEX relative (right).
LCOE Override "FUELEX" is added to cell value. </t>
        </r>
      </text>
    </comment>
    <comment ref="M44" authorId="0" shapeId="0" xr:uid="{4FBEA861-4EEC-884B-A829-2098796A7421}">
      <text>
        <r>
          <rPr>
            <b/>
            <sz val="12"/>
            <color rgb="FF000000"/>
            <rFont val="Calibri"/>
            <family val="2"/>
            <scheme val="minor"/>
          </rPr>
          <t>FUELEX cost escalator used in FUELEX calculation. Starts at 100% + LCOE Override "FUELEX Relative".
Increases at the rate specified in "FUELEX Escalator".
LCOE Override "FUELEX Relative" is added to cell value.</t>
        </r>
        <r>
          <rPr>
            <sz val="12"/>
            <color rgb="FF000000"/>
            <rFont val="Calibri"/>
            <family val="2"/>
            <scheme val="minor"/>
          </rPr>
          <t xml:space="preserve">
</t>
        </r>
      </text>
    </comment>
    <comment ref="N44" authorId="0" shapeId="0" xr:uid="{563B066A-3C2F-3B4D-8716-D4D20392B7D2}">
      <text>
        <r>
          <rPr>
            <b/>
            <sz val="10"/>
            <color rgb="FF000000"/>
            <rFont val="Tahoma"/>
            <family val="2"/>
          </rPr>
          <t>Plant efficiency relative to startup.
Starts from 100%+LCOE Override "Efficiency relative".
Decreases at the rate specified by "Efficiency loss/year".
LCOE Override "Efficiency relative" is added to cell value.</t>
        </r>
        <r>
          <rPr>
            <sz val="10"/>
            <color rgb="FF000000"/>
            <rFont val="Tahoma"/>
            <family val="2"/>
          </rPr>
          <t xml:space="preserve">
</t>
        </r>
      </text>
    </comment>
    <comment ref="O44" authorId="0" shapeId="0" xr:uid="{C23EE953-C8DE-1A4E-B9F6-9D14976DD728}">
      <text>
        <r>
          <rPr>
            <b/>
            <sz val="10"/>
            <color rgb="FF000000"/>
            <rFont val="Tahoma"/>
            <family val="2"/>
          </rPr>
          <t xml:space="preserve">Emission factor per kWh produced.
</t>
        </r>
        <r>
          <rPr>
            <b/>
            <sz val="10"/>
            <color rgb="FF000000"/>
            <rFont val="Tahoma"/>
            <family val="2"/>
          </rPr>
          <t xml:space="preserve">
</t>
        </r>
        <r>
          <rPr>
            <b/>
            <sz val="10"/>
            <color rgb="FF000000"/>
            <rFont val="Tahoma"/>
            <family val="2"/>
          </rPr>
          <t>LCOE Override "Emission factor" is added to cell value.</t>
        </r>
        <r>
          <rPr>
            <sz val="10"/>
            <color rgb="FF000000"/>
            <rFont val="Tahoma"/>
            <family val="2"/>
          </rPr>
          <t xml:space="preserve">
</t>
        </r>
        <r>
          <rPr>
            <sz val="10"/>
            <color rgb="FF000000"/>
            <rFont val="Tahoma"/>
            <family val="2"/>
          </rPr>
          <t xml:space="preserve">
</t>
        </r>
        <r>
          <rPr>
            <sz val="10"/>
            <color rgb="FF000000"/>
            <rFont val="Tahoma"/>
            <family val="2"/>
          </rPr>
          <t>NOTE: Emission factor is in grams of CO2 equivalent per kWh produced.</t>
        </r>
      </text>
    </comment>
    <comment ref="P44" authorId="0" shapeId="0" xr:uid="{9B33E335-536F-A54E-8047-6F841F4F4D2E}">
      <text>
        <r>
          <rPr>
            <b/>
            <sz val="10"/>
            <color rgb="FF000000"/>
            <rFont val="Tahoma"/>
            <family val="2"/>
          </rPr>
          <t xml:space="preserve">How much of plant's notional emissions are taxed?
</t>
        </r>
        <r>
          <rPr>
            <b/>
            <sz val="10"/>
            <color rgb="FF000000"/>
            <rFont val="Tahoma"/>
            <family val="2"/>
          </rPr>
          <t xml:space="preserve">
</t>
        </r>
        <r>
          <rPr>
            <b/>
            <sz val="10"/>
            <color rgb="FF000000"/>
            <rFont val="Tahoma"/>
            <family val="2"/>
          </rPr>
          <t xml:space="preserve">100% if "Emissions taxed starting from year" equals or exceeds current year, 0 otherwise.
</t>
        </r>
        <r>
          <rPr>
            <b/>
            <sz val="10"/>
            <color rgb="FF000000"/>
            <rFont val="Tahoma"/>
            <family val="2"/>
          </rPr>
          <t xml:space="preserve">
</t>
        </r>
        <r>
          <rPr>
            <b/>
            <sz val="10"/>
            <color rgb="FF000000"/>
            <rFont val="Tahoma"/>
            <family val="2"/>
          </rPr>
          <t>LCOE Override "% of emissions taxed" is added to cell value.</t>
        </r>
        <r>
          <rPr>
            <sz val="10"/>
            <color rgb="FF000000"/>
            <rFont val="Tahoma"/>
            <family val="2"/>
          </rPr>
          <t xml:space="preserve">
</t>
        </r>
      </text>
    </comment>
    <comment ref="Q44" authorId="0" shapeId="0" xr:uid="{36425A62-CA35-0C46-A26E-50F6F8A6F4B3}">
      <text>
        <r>
          <rPr>
            <b/>
            <sz val="10"/>
            <color rgb="FF000000"/>
            <rFont val="Tahoma"/>
            <family val="2"/>
          </rPr>
          <t xml:space="preserve">Total emissions based on Total emission factor (left) and production (electricity if initial max electric power &gt; 0, heat otherwise). </t>
        </r>
        <r>
          <rPr>
            <sz val="10"/>
            <color rgb="FF000000"/>
            <rFont val="Tahoma"/>
            <family val="2"/>
          </rPr>
          <t xml:space="preserve">
</t>
        </r>
        <r>
          <rPr>
            <sz val="10"/>
            <color rgb="FF000000"/>
            <rFont val="Tahoma"/>
            <family val="2"/>
          </rPr>
          <t xml:space="preserve">
NOTE: The above DOES NOT depend on LCOE Override "Max electric power", only from initial value.</t>
        </r>
      </text>
    </comment>
    <comment ref="R44" authorId="0" shapeId="0" xr:uid="{67750686-2159-754E-A669-C198802A5611}">
      <text>
        <r>
          <rPr>
            <b/>
            <sz val="10"/>
            <color rgb="FF000000"/>
            <rFont val="Tahoma"/>
            <family val="2"/>
          </rPr>
          <t>To ease the calculations, shows the cost of emissions per ton of CO2 equivalent, from LCOE parameters.</t>
        </r>
        <r>
          <rPr>
            <sz val="10"/>
            <color rgb="FF000000"/>
            <rFont val="Tahoma"/>
            <family val="2"/>
          </rPr>
          <t xml:space="preserve">
</t>
        </r>
      </text>
    </comment>
    <comment ref="S44" authorId="0" shapeId="0" xr:uid="{387FFCC0-5E7C-0A42-ADD3-BC14B2B2A854}">
      <text>
        <r>
          <rPr>
            <b/>
            <sz val="10"/>
            <color rgb="FF000000"/>
            <rFont val="Tahoma"/>
            <family val="2"/>
          </rPr>
          <t>Total cost of emissions levied from the plant.
Total emissions * % of emissions taxed * cost of tCO2E.
LCOE Override "Cost of emissions levied" is added to cell value.</t>
        </r>
        <r>
          <rPr>
            <sz val="10"/>
            <color rgb="FF000000"/>
            <rFont val="Tahoma"/>
            <family val="2"/>
          </rPr>
          <t xml:space="preserve">
</t>
        </r>
      </text>
    </comment>
    <comment ref="T44" authorId="0" shapeId="0" xr:uid="{B5E15DC1-D4DA-1D43-BC37-F40D1F232D19}">
      <text>
        <r>
          <rPr>
            <b/>
            <sz val="10"/>
            <color rgb="FF000000"/>
            <rFont val="Tahoma"/>
            <family val="2"/>
          </rPr>
          <t xml:space="preserve">Production tax per MWh produced.
LCOE Override "Tax per MWH produced" is added to cell value.
</t>
        </r>
        <r>
          <rPr>
            <sz val="10"/>
            <color rgb="FF000000"/>
            <rFont val="Tahoma"/>
            <family val="2"/>
          </rPr>
          <t xml:space="preserve">
</t>
        </r>
      </text>
    </comment>
    <comment ref="U44" authorId="0" shapeId="0" xr:uid="{63F37024-6F4F-0443-8594-2328B57B17B6}">
      <text>
        <r>
          <rPr>
            <b/>
            <sz val="10"/>
            <color rgb="FF000000"/>
            <rFont val="Tahoma"/>
            <family val="2"/>
          </rPr>
          <t>Taxes actually levied from the plant, based on electric production if initial max electric power &gt; 0, on heat production otherwise.
NOTE: The above DOES NOT depend on LCOE Override "Max electric power", only on initial value.
LCOE Override "Taxes levied" is added to cell value.</t>
        </r>
        <r>
          <rPr>
            <sz val="10"/>
            <color rgb="FF000000"/>
            <rFont val="Tahoma"/>
            <family val="2"/>
          </rPr>
          <t xml:space="preserve">
</t>
        </r>
      </text>
    </comment>
    <comment ref="V44" authorId="0" shapeId="0" xr:uid="{3C3CA0E1-4532-9449-BA36-0FCC25861749}">
      <text>
        <r>
          <rPr>
            <b/>
            <sz val="10"/>
            <color rgb="FF000000"/>
            <rFont val="Tahoma"/>
            <family val="2"/>
          </rPr>
          <t xml:space="preserve">Waste fees per MWh of production.
</t>
        </r>
        <r>
          <rPr>
            <b/>
            <sz val="10"/>
            <color rgb="FF000000"/>
            <rFont val="Tahoma"/>
            <family val="2"/>
          </rPr>
          <t xml:space="preserve">
</t>
        </r>
        <r>
          <rPr>
            <b/>
            <sz val="10"/>
            <color rgb="FF000000"/>
            <rFont val="Tahoma"/>
            <family val="2"/>
          </rPr>
          <t>LCOE Override "Waste fee per MWh" is added to cell value.</t>
        </r>
        <r>
          <rPr>
            <sz val="10"/>
            <color rgb="FF000000"/>
            <rFont val="Tahoma"/>
            <family val="2"/>
          </rPr>
          <t xml:space="preserve">
</t>
        </r>
      </text>
    </comment>
    <comment ref="W44" authorId="0" shapeId="0" xr:uid="{2C1B3CB0-6253-014A-914C-7F44BE8C7991}">
      <text>
        <r>
          <rPr>
            <b/>
            <sz val="10"/>
            <color rgb="FF000000"/>
            <rFont val="Tahoma"/>
            <family val="2"/>
          </rPr>
          <t>Waste fees actually levied from the plant. Waste fee per MWh * production, electric if initial max electric power &gt;0, heat otherwise.
NOTE: The above DOES NOT depend on LCOE Override "Max electric power", only on initial value.
LCOE Override "Waste fee levied" is added to cell value.</t>
        </r>
        <r>
          <rPr>
            <sz val="10"/>
            <color rgb="FF000000"/>
            <rFont val="Tahoma"/>
            <family val="2"/>
          </rPr>
          <t xml:space="preserve">
</t>
        </r>
      </text>
    </comment>
    <comment ref="X44" authorId="0" shapeId="0" xr:uid="{80235B3F-9ADD-5F40-81FD-54418E3D6E59}">
      <text>
        <r>
          <rPr>
            <b/>
            <sz val="10"/>
            <color rgb="FF000000"/>
            <rFont val="Tahoma"/>
            <family val="2"/>
          </rPr>
          <t xml:space="preserve">Heat credit per MWh of heat produced, deducted from costs.
LCOE Override "Heat credit per MWh" is added to cell value.
</t>
        </r>
        <r>
          <rPr>
            <sz val="10"/>
            <color rgb="FF000000"/>
            <rFont val="Tahoma"/>
            <family val="2"/>
          </rPr>
          <t xml:space="preserve">
</t>
        </r>
      </text>
    </comment>
    <comment ref="Y44" authorId="0" shapeId="0" xr:uid="{7682BB68-776E-F14F-AA75-A98EF3C20A3C}">
      <text>
        <r>
          <rPr>
            <b/>
            <sz val="10"/>
            <color rgb="FF000000"/>
            <rFont val="Tahoma"/>
            <family val="2"/>
          </rPr>
          <t>Total heat credits deducted from costs. Heat credit per MWh * Heat produced.</t>
        </r>
        <r>
          <rPr>
            <sz val="10"/>
            <color rgb="FF000000"/>
            <rFont val="Tahoma"/>
            <family val="2"/>
          </rPr>
          <t xml:space="preserve">
</t>
        </r>
      </text>
    </comment>
    <comment ref="Z44" authorId="0" shapeId="0" xr:uid="{726B593B-C462-9E45-98F3-7FDB569BF2C1}">
      <text>
        <r>
          <rPr>
            <b/>
            <sz val="10"/>
            <color rgb="FF000000"/>
            <rFont val="Tahoma"/>
            <family val="2"/>
          </rPr>
          <t>Total capital expenditure:
CAPEXconstr and CAPEXrefurb/decom.</t>
        </r>
        <r>
          <rPr>
            <sz val="10"/>
            <color rgb="FF000000"/>
            <rFont val="Tahoma"/>
            <family val="2"/>
          </rPr>
          <t xml:space="preserve">
</t>
        </r>
      </text>
    </comment>
    <comment ref="AA44" authorId="0" shapeId="0" xr:uid="{6C69531F-CE95-6F48-A9E9-9889E1458AAE}">
      <text>
        <r>
          <rPr>
            <b/>
            <sz val="10"/>
            <color rgb="FF000000"/>
            <rFont val="Tahoma"/>
            <family val="2"/>
          </rPr>
          <t>Total OPEX, Fixed + Variable.</t>
        </r>
        <r>
          <rPr>
            <sz val="10"/>
            <color rgb="FF000000"/>
            <rFont val="Tahoma"/>
            <family val="2"/>
          </rPr>
          <t xml:space="preserve">
</t>
        </r>
      </text>
    </comment>
    <comment ref="AB44" authorId="0" shapeId="0" xr:uid="{805DFDBD-8174-FE4F-9B76-83F56356AADB}">
      <text>
        <r>
          <rPr>
            <b/>
            <sz val="10"/>
            <color rgb="FF000000"/>
            <rFont val="Tahoma"/>
            <family val="2"/>
          </rPr>
          <t>Total fuel costs.</t>
        </r>
        <r>
          <rPr>
            <sz val="10"/>
            <color rgb="FF000000"/>
            <rFont val="Tahoma"/>
            <family val="2"/>
          </rPr>
          <t xml:space="preserve">
</t>
        </r>
      </text>
    </comment>
    <comment ref="AC44" authorId="0" shapeId="0" xr:uid="{2A640E69-5182-DA4E-ABF6-06DB15175E4A}">
      <text>
        <r>
          <rPr>
            <b/>
            <sz val="10"/>
            <color rgb="FF000000"/>
            <rFont val="Tahoma"/>
            <family val="2"/>
          </rPr>
          <t xml:space="preserve">Total taxes and waste fees levied. </t>
        </r>
        <r>
          <rPr>
            <sz val="10"/>
            <color rgb="FF000000"/>
            <rFont val="Tahoma"/>
            <family val="2"/>
          </rPr>
          <t xml:space="preserve">
</t>
        </r>
      </text>
    </comment>
    <comment ref="AD44" authorId="0" shapeId="0" xr:uid="{0DB9423A-098A-FE4F-8C70-6766F4529A4F}">
      <text>
        <r>
          <rPr>
            <b/>
            <sz val="10"/>
            <color rgb="FF000000"/>
            <rFont val="Tahoma"/>
            <family val="2"/>
          </rPr>
          <t>Emission fees levied.</t>
        </r>
        <r>
          <rPr>
            <sz val="10"/>
            <color rgb="FF000000"/>
            <rFont val="Tahoma"/>
            <family val="2"/>
          </rPr>
          <t xml:space="preserve">
</t>
        </r>
      </text>
    </comment>
    <comment ref="AE44" authorId="0" shapeId="0" xr:uid="{1BC81D5C-6115-1A45-9DD9-E93D34949EB0}">
      <text>
        <r>
          <rPr>
            <b/>
            <sz val="10"/>
            <color rgb="FF000000"/>
            <rFont val="Tahoma"/>
            <family val="2"/>
          </rPr>
          <t>How much of plant's operational lifetime has been expended. Increases at a rate of 1 * Operational%.
Does not increase if the plant is being refurbished or suffering from outage.</t>
        </r>
        <r>
          <rPr>
            <sz val="10"/>
            <color rgb="FF000000"/>
            <rFont val="Tahoma"/>
            <family val="2"/>
          </rPr>
          <t xml:space="preserve">
Stops increasing when lifetime is met.</t>
        </r>
      </text>
    </comment>
    <comment ref="AF44" authorId="0" shapeId="0" xr:uid="{5CE0F2BD-31FE-B640-97BD-1BB16B0CFD95}">
      <text>
        <r>
          <rPr>
            <b/>
            <sz val="10"/>
            <color rgb="FF000000"/>
            <rFont val="Tahoma"/>
            <family val="2"/>
          </rPr>
          <t>Discount rate r used to calculate the discount factor.
Interest During Construction (IDC) before year 0, WACC afterwards.
LCOE Override "Discount rate (WACC)" is added to cell value.</t>
        </r>
        <r>
          <rPr>
            <sz val="10"/>
            <color rgb="FF000000"/>
            <rFont val="Tahoma"/>
            <family val="2"/>
          </rPr>
          <t xml:space="preserve">
</t>
        </r>
      </text>
    </comment>
    <comment ref="AG44" authorId="0" shapeId="0" xr:uid="{F49AA61A-912F-814B-B9E4-7ABFE012FD01}">
      <text>
        <r>
          <rPr>
            <b/>
            <sz val="10"/>
            <color rgb="FF000000"/>
            <rFont val="Tahoma"/>
            <family val="2"/>
          </rPr>
          <t>Calculates the discount factor (capital recovery), (1+r)^t.</t>
        </r>
        <r>
          <rPr>
            <sz val="10"/>
            <color rgb="FF000000"/>
            <rFont val="Tahoma"/>
            <family val="2"/>
          </rPr>
          <t xml:space="preserve">
</t>
        </r>
      </text>
    </comment>
    <comment ref="AH44" authorId="0" shapeId="0" xr:uid="{C9F3C173-6BFC-8D47-8440-D2FAD457A8B0}">
      <text>
        <r>
          <rPr>
            <b/>
            <sz val="10"/>
            <color rgb="FF000000"/>
            <rFont val="Tahoma"/>
            <family val="2"/>
          </rPr>
          <t>Discounted value of total capital costs.</t>
        </r>
        <r>
          <rPr>
            <sz val="10"/>
            <color rgb="FF000000"/>
            <rFont val="Tahoma"/>
            <family val="2"/>
          </rPr>
          <t xml:space="preserve">
</t>
        </r>
      </text>
    </comment>
    <comment ref="AI44" authorId="0" shapeId="0" xr:uid="{973CE682-2F1A-8F43-AAC3-0EE6A806AE17}">
      <text>
        <r>
          <rPr>
            <b/>
            <sz val="10"/>
            <color rgb="FF000000"/>
            <rFont val="Tahoma"/>
            <family val="2"/>
          </rPr>
          <t>discounted value of O&amp;M (OPEX) costs.</t>
        </r>
        <r>
          <rPr>
            <sz val="10"/>
            <color rgb="FF000000"/>
            <rFont val="Tahoma"/>
            <family val="2"/>
          </rPr>
          <t xml:space="preserve">
</t>
        </r>
      </text>
    </comment>
    <comment ref="AJ44" authorId="0" shapeId="0" xr:uid="{34C55A84-1A6D-7E40-B53A-B502C5E619B1}">
      <text>
        <r>
          <rPr>
            <b/>
            <sz val="10"/>
            <color rgb="FF000000"/>
            <rFont val="Tahoma"/>
            <family val="2"/>
          </rPr>
          <t>Discounted value of fuel costs.</t>
        </r>
        <r>
          <rPr>
            <sz val="10"/>
            <color rgb="FF000000"/>
            <rFont val="Tahoma"/>
            <family val="2"/>
          </rPr>
          <t xml:space="preserve">
</t>
        </r>
      </text>
    </comment>
    <comment ref="AK44" authorId="0" shapeId="0" xr:uid="{EA1EB1D8-732C-FE4C-9FA0-A3919998C522}">
      <text>
        <r>
          <rPr>
            <b/>
            <sz val="10"/>
            <color rgb="FF000000"/>
            <rFont val="Tahoma"/>
            <family val="2"/>
          </rPr>
          <t>Discounted value of taxes and waste fees levied.</t>
        </r>
        <r>
          <rPr>
            <sz val="10"/>
            <color rgb="FF000000"/>
            <rFont val="Tahoma"/>
            <family val="2"/>
          </rPr>
          <t xml:space="preserve">
</t>
        </r>
      </text>
    </comment>
    <comment ref="AL44" authorId="0" shapeId="0" xr:uid="{5548E4EF-1EA8-EB45-96C3-1B41B8393202}">
      <text>
        <r>
          <rPr>
            <b/>
            <sz val="10"/>
            <color rgb="FF000000"/>
            <rFont val="Tahoma"/>
            <family val="2"/>
          </rPr>
          <t>Discounted value of emission fees levied.</t>
        </r>
        <r>
          <rPr>
            <sz val="10"/>
            <color rgb="FF000000"/>
            <rFont val="Tahoma"/>
            <family val="2"/>
          </rPr>
          <t xml:space="preserve">
</t>
        </r>
      </text>
    </comment>
    <comment ref="AM44" authorId="0" shapeId="0" xr:uid="{93FA65F6-0450-B34B-930E-A26F40018666}">
      <text>
        <r>
          <rPr>
            <b/>
            <sz val="10"/>
            <color rgb="FF000000"/>
            <rFont val="Tahoma"/>
            <family val="2"/>
          </rPr>
          <t>Discounted value of heat credits. Note that the value is negative, because heat credits decrease LCOE.</t>
        </r>
        <r>
          <rPr>
            <sz val="10"/>
            <color rgb="FF000000"/>
            <rFont val="Tahoma"/>
            <family val="2"/>
          </rPr>
          <t xml:space="preserve">
</t>
        </r>
      </text>
    </comment>
    <comment ref="AN44" authorId="0" shapeId="0" xr:uid="{9C283C2E-E90E-2246-97B0-9A3992E49DCA}">
      <text>
        <r>
          <rPr>
            <b/>
            <sz val="10"/>
            <color rgb="FF000000"/>
            <rFont val="Tahoma"/>
            <family val="2"/>
          </rPr>
          <t xml:space="preserve">Discounted amount of production. Electric if initial max electric power &gt;0, heat otherwise. </t>
        </r>
        <r>
          <rPr>
            <sz val="10"/>
            <color rgb="FF000000"/>
            <rFont val="Tahoma"/>
            <family val="2"/>
          </rPr>
          <t xml:space="preserve">
</t>
        </r>
        <r>
          <rPr>
            <sz val="10"/>
            <color rgb="FF000000"/>
            <rFont val="Tahoma"/>
            <family val="2"/>
          </rPr>
          <t xml:space="preserve">
NOTE: This does not depend on LCOE Override "Max electric capacity", only on initial value.
</t>
        </r>
      </text>
    </comment>
  </commentList>
</comments>
</file>

<file path=xl/sharedStrings.xml><?xml version="1.0" encoding="utf-8"?>
<sst xmlns="http://schemas.openxmlformats.org/spreadsheetml/2006/main" count="639" uniqueCount="256">
  <si>
    <t>LCOE and learning effects calculator v2.2 (2024)</t>
  </si>
  <si>
    <t>Good comparison of different LCOE methodologies: Foster, J., Wagner, L., &amp; Bratanova, A. (2014). LCOE models: A comparison of the theoretical frameworks and key assumptions. CSIRO. https://www.researchgate.net/publication/264311516_LCOE_models_A_comparison_of_the_theoretical_frameworks_and_key_assumptions</t>
  </si>
  <si>
    <t>Link to OneDrive version (view only)</t>
  </si>
  <si>
    <t>Alter ONLY inputs in GREEN CELLS!</t>
  </si>
  <si>
    <t>Power plant details</t>
  </si>
  <si>
    <t>LCOE 1</t>
  </si>
  <si>
    <t>LCOE 2</t>
  </si>
  <si>
    <t>LCOE 3</t>
  </si>
  <si>
    <t>LCOE 4</t>
  </si>
  <si>
    <t>LCOE 5</t>
  </si>
  <si>
    <t>LCOE 6</t>
  </si>
  <si>
    <t>LCOE 7</t>
  </si>
  <si>
    <t>LCOE 8</t>
  </si>
  <si>
    <t>Explanations</t>
  </si>
  <si>
    <t>Type</t>
  </si>
  <si>
    <t>Gas Combined Cycle Turbine (CCGT)</t>
  </si>
  <si>
    <t>Type of power plant</t>
  </si>
  <si>
    <t>Name</t>
  </si>
  <si>
    <t>CCGT in Belgium (2020)</t>
  </si>
  <si>
    <t>The name of the calculation. Will be used in the Results.</t>
  </si>
  <si>
    <t>Currency</t>
  </si>
  <si>
    <t>Currency used for LCOE calculations</t>
  </si>
  <si>
    <t>USD</t>
  </si>
  <si>
    <t>Currency used for calculations. Most international studies use USD.</t>
  </si>
  <si>
    <t>Price reference year</t>
  </si>
  <si>
    <t>Reference year to use in currency conversion.</t>
  </si>
  <si>
    <t>Currency used</t>
  </si>
  <si>
    <t>Currency used to report the results and in the learning curve calculations</t>
  </si>
  <si>
    <t>Conversion rate at reference year</t>
  </si>
  <si>
    <t>The conversion rate during reference year, from currency used in calculations to currency used in the results.</t>
  </si>
  <si>
    <t>Financing</t>
  </si>
  <si>
    <t>Debt %</t>
  </si>
  <si>
    <t>How the project is financed? The share of debt of total financing.</t>
  </si>
  <si>
    <t>Cost of debt (private discount rate)</t>
  </si>
  <si>
    <t>The discount rate used for debt; the interest rate that banks will charge the consumer. Also known as the private discount rate (PDR) or opportunity cost of capital</t>
  </si>
  <si>
    <t>Cost of equity (discount rate)</t>
  </si>
  <si>
    <t>The discount rate used for equity. Typically higher than discount rate for debt.</t>
  </si>
  <si>
    <t>Cost</t>
  </si>
  <si>
    <t>Construction cost per kW</t>
  </si>
  <si>
    <t>Upfront cost of the power plant, per kW of maximum power (electricity if electric of CHP producer, heat if maximum electric power = 0)</t>
  </si>
  <si>
    <t>Power</t>
  </si>
  <si>
    <t>Maximum electric power, in MW_e</t>
  </si>
  <si>
    <t>Maximum electricity output of the plant</t>
  </si>
  <si>
    <t>Maximum heat power, in MW_h</t>
  </si>
  <si>
    <t>Maximum heat output of the plant, for e.g. district heating</t>
  </si>
  <si>
    <t>Lifetime</t>
  </si>
  <si>
    <t>Plant lifetime</t>
  </si>
  <si>
    <t>Maximum economical lifetime of the plant. Maximum 100 years.</t>
  </si>
  <si>
    <t>Build time</t>
  </si>
  <si>
    <t>Construction period, years</t>
  </si>
  <si>
    <t>Years required to construct the plant. Overnight cost is divided equally to these years and IDC is applied. Set to 1 to obtain Overnight costs.</t>
  </si>
  <si>
    <t>CF</t>
  </si>
  <si>
    <t>Capacity factor (settled down)</t>
  </si>
  <si>
    <t>Capacity factor (also known as load factor) once the plant has completed its testing cycle and operates normally</t>
  </si>
  <si>
    <t>Capacity factor ramp-up on startup, per year</t>
  </si>
  <si>
    <t>How rapidly the capacity factor ramps up to settled down rate, improvement per year. Plants start at 50 % of their maximum capacity factor.</t>
  </si>
  <si>
    <t>OPEX</t>
  </si>
  <si>
    <t>Fixed OPEX/MW capacity at project start</t>
  </si>
  <si>
    <t>Operational expenditure that isn't dependent on the amount of energy generated. If max electric power &gt; 0, the OPEX is calculated from maximum electric power; otherwise from maximum heat power.</t>
  </si>
  <si>
    <t>Variable OPEX/MWh produced at project start</t>
  </si>
  <si>
    <t>Variable operational costs (costs dependent on amount of energy generated). If max electric power &gt; 0, the OPEX is calculated from electricity output; otherwise from heat output.</t>
  </si>
  <si>
    <t>OPEX escalator</t>
  </si>
  <si>
    <t>Increase in OPEX per year</t>
  </si>
  <si>
    <t>Fuel costs</t>
  </si>
  <si>
    <t>FUELEX/MWh produced at project start</t>
  </si>
  <si>
    <t>Cost of fuel, per MWh of electricity generated if maximum electric power &gt;0, otherwise per MWh of heat produced</t>
  </si>
  <si>
    <t>FUELEX escalator</t>
  </si>
  <si>
    <t>Increase in fuel costs per year</t>
  </si>
  <si>
    <t>Efficiency loss/year</t>
  </si>
  <si>
    <t>Loss of production as the plant ages. Used mostly fro solar PV.</t>
  </si>
  <si>
    <t xml:space="preserve">Midlife </t>
  </si>
  <si>
    <t>Refurbishment year</t>
  </si>
  <si>
    <t>Year when plant is refurbished. Set to 101 or more if no refurbishment needed.</t>
  </si>
  <si>
    <t>Refurbishment time required, years</t>
  </si>
  <si>
    <t>Time required for refurbishment, in years. Cost of refurbishment is divided equally to these years.</t>
  </si>
  <si>
    <t>Refurbishment cost, per kW</t>
  </si>
  <si>
    <t>Cost to refurbish the plant, per kW of maximum original capacity (electric if max electric power &gt;0, heat otherwiase)</t>
  </si>
  <si>
    <t>Emissions</t>
  </si>
  <si>
    <t>Emission factor, gCO2e/kWh</t>
  </si>
  <si>
    <t>CO2 equivalent emissions produced per kWh of electricity generated if max electric power &gt;0, otherwise per kWh of heat generated. From e.g. IPCC reports.</t>
  </si>
  <si>
    <t>Emissions taxed starting from year</t>
  </si>
  <si>
    <t>If emissions are taxed (see below for CO2 prices), when the plant is subject to taxation? Set to "0' for immediately, "101" if never</t>
  </si>
  <si>
    <t>Taxes</t>
  </si>
  <si>
    <t>Taxes, per MWh produced</t>
  </si>
  <si>
    <t>Taxes levied per MWh produced, electricity if max electric power &gt;0, heat otherwise. DOES NOT INCLUDE CARBON TAX OR EMISSION TRADING</t>
  </si>
  <si>
    <t>Waste fee, per MWh produced</t>
  </si>
  <si>
    <t>Waste fees levied per MWh produced, electricity if max electric power &gt;0, heat otherwise</t>
  </si>
  <si>
    <t>Heat credit, per MWh produced</t>
  </si>
  <si>
    <t>Income from selling a MWh of heat</t>
  </si>
  <si>
    <t>Outage at year</t>
  </si>
  <si>
    <t>This can be used to introduce a year-long outage. Number denotes the year after startup for outages. Set to "101" for no outages. Outages can also be introduced via Overrides below.</t>
  </si>
  <si>
    <t>EOL costs</t>
  </si>
  <si>
    <t>Decommissioning costs, % of initial capital cost</t>
  </si>
  <si>
    <t>Decommissioning cost as a fraction of initial capital cost (overnight costs)</t>
  </si>
  <si>
    <t>Decommissioning delay, years</t>
  </si>
  <si>
    <t>Delay after plant is closed, but before decommissioning begins. Influences LCOE due to discount rate. Maximum 25 years</t>
  </si>
  <si>
    <t>Results reference year/LC start year</t>
  </si>
  <si>
    <t>Reference year to use in currency conversion and in LC timeline</t>
  </si>
  <si>
    <t>Total cost</t>
  </si>
  <si>
    <t>DO NOT ALTER. Calculates the total overnight cost (maximum electric power * overnight cost per kW if max electric power &gt;0; otherwise max heat power * overnight cost per kW)</t>
  </si>
  <si>
    <t>Equity share</t>
  </si>
  <si>
    <t>DO NOT ALTER. Shows the share of equity, just for completeness' sake</t>
  </si>
  <si>
    <t>WACC (average discount rate)</t>
  </si>
  <si>
    <t>DO NOT ALTER. Shows the weighted average discount rate that is used in calculations</t>
  </si>
  <si>
    <t>Interest during construction (IDC)</t>
  </si>
  <si>
    <t>Interest accrued during the construction period (t&lt;0), set automatically to WACC</t>
  </si>
  <si>
    <t>Total overnight cost of refurbishment</t>
  </si>
  <si>
    <t>DO NOT ALTER. Calculates the total cost of refurbishment.</t>
  </si>
  <si>
    <t>Overrides</t>
  </si>
  <si>
    <t>If overrides (see below) are active, this lights up - meant to warn against inadvertently altering the results by forgetting the overrides</t>
  </si>
  <si>
    <t>Results (See Results for full results)</t>
  </si>
  <si>
    <t>LCOE (LCOHeat for pure heat plants)</t>
  </si>
  <si>
    <t>Of which: Capital costs</t>
  </si>
  <si>
    <t>O&amp;M</t>
  </si>
  <si>
    <t>Fuel</t>
  </si>
  <si>
    <t>Taxes and fees</t>
  </si>
  <si>
    <t>Emission costs</t>
  </si>
  <si>
    <t>Heat credit (for CHP plants)</t>
  </si>
  <si>
    <t>WACC average over lifetime</t>
  </si>
  <si>
    <t>Plant type</t>
  </si>
  <si>
    <t>Fuel cost assumptions</t>
  </si>
  <si>
    <t>Nuclear fuel cost calculator (Based on WNA data from 2022, prices in USD)</t>
  </si>
  <si>
    <t>Source: WNA 2022</t>
  </si>
  <si>
    <t>Fuel cost calculator</t>
  </si>
  <si>
    <t>EUR</t>
  </si>
  <si>
    <t>Fuel cost calculator: 1 kg fuel</t>
  </si>
  <si>
    <t>Units needed</t>
  </si>
  <si>
    <t>Cost/unit</t>
  </si>
  <si>
    <t>Proportion of total</t>
  </si>
  <si>
    <t>Fuel cost per MBTU</t>
  </si>
  <si>
    <t>UO2 (kg)</t>
  </si>
  <si>
    <t>Cost of uranium oxide</t>
  </si>
  <si>
    <t>Fuel cost per MWh(t)</t>
  </si>
  <si>
    <t>Conversion (kg)</t>
  </si>
  <si>
    <t xml:space="preserve">Conversion cost </t>
  </si>
  <si>
    <t>Plant efficiency</t>
  </si>
  <si>
    <t>Enrichment (per SWU)</t>
  </si>
  <si>
    <t>Enrichment cost</t>
  </si>
  <si>
    <t>Fuel cost per MWh produced</t>
  </si>
  <si>
    <t>Fabrication (per kg)</t>
  </si>
  <si>
    <t>Fuel element fabrication cost</t>
  </si>
  <si>
    <t>Conversion USD to EUR</t>
  </si>
  <si>
    <t>Total cost of fuel, per kg</t>
  </si>
  <si>
    <t>USD/kg</t>
  </si>
  <si>
    <t>Total cost of fuel</t>
  </si>
  <si>
    <t>Emissions per kWh of primary energy</t>
  </si>
  <si>
    <t>Burn-up MWd/t</t>
  </si>
  <si>
    <t>MWd/t uranium metal</t>
  </si>
  <si>
    <t>How much energy can be extracted from a ton of fuel</t>
  </si>
  <si>
    <t>Emissions, gCO2/kWh</t>
  </si>
  <si>
    <t>MWh per kg</t>
  </si>
  <si>
    <t>MWh/kg of fuel</t>
  </si>
  <si>
    <t>How much energy can be extracted from a kg of fuel</t>
  </si>
  <si>
    <t>Fuel cost/MWh</t>
  </si>
  <si>
    <t>USD/MWh</t>
  </si>
  <si>
    <t>CO2 costs and overrides</t>
  </si>
  <si>
    <t>OVERRIDES: These will add the value in the cell below at the set year to ALL of the LCOE calculations (1-8)</t>
  </si>
  <si>
    <t>To ease checking, empty cells are ORANGE</t>
  </si>
  <si>
    <t>Non-empty cells are highlighted in YELLOW</t>
  </si>
  <si>
    <t>Year</t>
  </si>
  <si>
    <t>Emission cost, per ton of CO2e (affects all calculations)</t>
  </si>
  <si>
    <t>CAPEXconstr</t>
  </si>
  <si>
    <t>CAPEXrefurb and CAPEXdecom</t>
  </si>
  <si>
    <t>Discount rate (WACC)</t>
  </si>
  <si>
    <t>Operational%</t>
  </si>
  <si>
    <t>Max electric power, MW_e</t>
  </si>
  <si>
    <t>Max heat power, MW_h</t>
  </si>
  <si>
    <t>Capacity factor</t>
  </si>
  <si>
    <t>Electricity produced (MWh_e)</t>
  </si>
  <si>
    <t>Heat produced (MWh_h)</t>
  </si>
  <si>
    <t>Fixed OPEX</t>
  </si>
  <si>
    <t>Variable OPEX</t>
  </si>
  <si>
    <t>OPEX relative to startup (%)</t>
  </si>
  <si>
    <t>FUELEX</t>
  </si>
  <si>
    <t>FUELEX relative to startup (%)</t>
  </si>
  <si>
    <t>Efficiency relative to startup (%)</t>
  </si>
  <si>
    <t>Emission factor, gCO2/kWh</t>
  </si>
  <si>
    <t>% of emissions taxed</t>
  </si>
  <si>
    <t>Emissions, tCO2e</t>
  </si>
  <si>
    <t>Cost of emissions levied</t>
  </si>
  <si>
    <t>Tax per MWh produced</t>
  </si>
  <si>
    <t>Taxes levied</t>
  </si>
  <si>
    <t>Waste fee per MWh produced</t>
  </si>
  <si>
    <t>Waste fee levied</t>
  </si>
  <si>
    <t>Heat credit per MWh_h produced</t>
  </si>
  <si>
    <t>Heat credit total</t>
  </si>
  <si>
    <t>Start year:</t>
  </si>
  <si>
    <t>Case</t>
  </si>
  <si>
    <t>LC Case 1</t>
  </si>
  <si>
    <t>LC Case 2</t>
  </si>
  <si>
    <t>LC Case 3</t>
  </si>
  <si>
    <t>LC Case 4</t>
  </si>
  <si>
    <t>LC Case 5</t>
  </si>
  <si>
    <t>LC Case 6</t>
  </si>
  <si>
    <t>LC Case 7</t>
  </si>
  <si>
    <t>LC Case 8</t>
  </si>
  <si>
    <t>LCOE calc</t>
  </si>
  <si>
    <t>LCOE name</t>
  </si>
  <si>
    <t>Cumulative production at t=0</t>
  </si>
  <si>
    <t>Cumulative production unit</t>
  </si>
  <si>
    <t>TWh</t>
  </si>
  <si>
    <t>Experience exponent ω</t>
  </si>
  <si>
    <t>Production growth rate</t>
  </si>
  <si>
    <t>Emission costs, per tCO2e</t>
  </si>
  <si>
    <t>Calculation</t>
  </si>
  <si>
    <t>LCOE</t>
  </si>
  <si>
    <t>Learning curve</t>
  </si>
  <si>
    <t>Power plants</t>
  </si>
  <si>
    <t>Explanation</t>
  </si>
  <si>
    <t>Westinghouse winning bid for 3+3 reactors in Poland, 2022</t>
  </si>
  <si>
    <t>EDF bid for 4 reactors in Poland, 2022</t>
  </si>
  <si>
    <t>CCGT gas turbine in Belgium, 2020, from IEA 2020</t>
  </si>
  <si>
    <t>Sources</t>
  </si>
  <si>
    <t xml:space="preserve">Construction costs from Deutsche Welle via Helsingin Sanomat, 1.2.2023. </t>
  </si>
  <si>
    <t>Construction costs from Deutsche Welle via Helsingin Sanomat, 1.2.2023</t>
  </si>
  <si>
    <t>IEA (2020) Projected Costs of Generating Electricity, pp. 50-57. Converted to EUR ( 1 USD = 0,951 EUR)</t>
  </si>
  <si>
    <t>Nuclear</t>
  </si>
  <si>
    <t>Sanmen 1</t>
  </si>
  <si>
    <t>Polish AP1000 bid (2022)</t>
  </si>
  <si>
    <t>Polish EPR bid (2022)</t>
  </si>
  <si>
    <t>Sanmen 2</t>
  </si>
  <si>
    <t>Parameter recap (not used in calcs)</t>
  </si>
  <si>
    <t>RESULTS</t>
  </si>
  <si>
    <t>SUMMARY OF COSTS</t>
  </si>
  <si>
    <t>Year (t)</t>
  </si>
  <si>
    <t>CAPEXrefurb/decom</t>
  </si>
  <si>
    <t>Lifetime left?</t>
  </si>
  <si>
    <t>OPEX relative to startup</t>
  </si>
  <si>
    <t>FUELEX relative to startup</t>
  </si>
  <si>
    <t>Efficiency relative to startup</t>
  </si>
  <si>
    <t>Total emission factor, gCO2/kWh</t>
  </si>
  <si>
    <t>Total emissions, tCO2e</t>
  </si>
  <si>
    <t>Cost of tCO2e</t>
  </si>
  <si>
    <t>Cost of emissions levied, E</t>
  </si>
  <si>
    <t>Heat credit per MWh_h</t>
  </si>
  <si>
    <t>Total capital expenditure, I</t>
  </si>
  <si>
    <t>Total operation and maintenance expenditure, M</t>
  </si>
  <si>
    <t>Total fuel expenditure, F</t>
  </si>
  <si>
    <t>Total taxes, T</t>
  </si>
  <si>
    <t>Total emission fees, E</t>
  </si>
  <si>
    <t>Lifetime expended at start of year</t>
  </si>
  <si>
    <t>Discount rate r (IDC when t&lt;0)</t>
  </si>
  <si>
    <t>Discount factor (1+r)^t</t>
  </si>
  <si>
    <t>I discounted</t>
  </si>
  <si>
    <t>M discounted</t>
  </si>
  <si>
    <t>F discounted</t>
  </si>
  <si>
    <t>T discounted</t>
  </si>
  <si>
    <t>E discounted</t>
  </si>
  <si>
    <t>Heat credit, discounted</t>
  </si>
  <si>
    <t>Production (MWh), discounted</t>
  </si>
  <si>
    <t>Start year</t>
  </si>
  <si>
    <t>Cumulative production</t>
  </si>
  <si>
    <t>Production growth rates</t>
  </si>
  <si>
    <t>Annual production growth</t>
  </si>
  <si>
    <t>ω</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</si>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</sst>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 ###\ ###\ ###\ ###"/>
    <numFmt numFmtId="166" formatCode="0.0\ %"/>
    <numFmt numFmtId="167" formatCode="#,##0.0"/>
    <numFmt numFmtId="168" formatCode="#,##0.00\ &quot;€&quot;"/>
    <numFmt numFmtId="169" formatCode="[$$-409]#,##0.00"/>
  </numFmts>
  <fonts count="22">
    <font>
      <sz val="12"/>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u/>
      <sz val="12"/>
      <color theme="10"/>
      <name val="Calibri"/>
      <family val="2"/>
      <scheme val="minor"/>
    </font>
    <font>
      <sz val="16"/>
      <color theme="1"/>
      <name val="Calibri"/>
      <family val="2"/>
      <scheme val="minor"/>
    </font>
    <font>
      <sz val="20"/>
      <color theme="1"/>
      <name val="Calibri"/>
      <family val="2"/>
      <scheme val="minor"/>
    </font>
    <font>
      <sz val="18"/>
      <color theme="1"/>
      <name val="Calibri"/>
      <family val="2"/>
      <scheme val="minor"/>
    </font>
    <font>
      <sz val="14"/>
      <color theme="1"/>
      <name val="Calibri"/>
      <family val="2"/>
      <scheme val="minor"/>
    </font>
    <font>
      <b/>
      <i/>
      <sz val="12"/>
      <color theme="1"/>
      <name val="Calibri"/>
      <family val="2"/>
      <scheme val="minor"/>
    </font>
    <font>
      <b/>
      <sz val="18"/>
      <color theme="1"/>
      <name val="Calibri"/>
      <family val="2"/>
      <scheme val="minor"/>
    </font>
    <font>
      <sz val="12"/>
      <color rgb="FF000000"/>
      <name val="Calibri"/>
      <family val="2"/>
      <scheme val="minor"/>
    </font>
    <font>
      <sz val="10"/>
      <color rgb="FF000000"/>
      <name val="Tahoma"/>
      <family val="2"/>
    </font>
    <font>
      <b/>
      <sz val="10"/>
      <color rgb="FF000000"/>
      <name val="Tahoma"/>
      <family val="2"/>
    </font>
    <font>
      <sz val="10"/>
      <color rgb="FF000000"/>
      <name val="Calibri"/>
      <family val="2"/>
      <scheme val="minor"/>
    </font>
    <font>
      <b/>
      <sz val="10"/>
      <color rgb="FF000000"/>
      <name val="Calibri"/>
      <family val="2"/>
      <scheme val="minor"/>
    </font>
    <font>
      <b/>
      <sz val="12"/>
      <color rgb="FF000000"/>
      <name val="Calibri"/>
      <family val="2"/>
      <scheme val="minor"/>
    </font>
    <font>
      <sz val="12"/>
      <color rgb="FFC00000"/>
      <name val="Calibri"/>
      <family val="2"/>
      <scheme val="minor"/>
    </font>
    <font>
      <sz val="10"/>
      <color rgb="FF000000"/>
      <name val="Calibri"/>
      <family val="2"/>
    </font>
    <font>
      <sz val="12"/>
      <color rgb="FF000000"/>
      <name val="Calibri"/>
      <family val="2"/>
    </font>
    <font>
      <b/>
      <sz val="12"/>
      <color rgb="FF000000"/>
      <name val="Calibri"/>
      <family val="2"/>
    </font>
    <font>
      <b/>
      <sz val="10"/>
      <color rgb="FF000000"/>
      <name val="Calibri"/>
      <family val="2"/>
    </font>
  </fonts>
  <fills count="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57">
    <xf numFmtId="0" fontId="0" fillId="0" borderId="0" xfId="0"/>
    <xf numFmtId="165" fontId="0" fillId="0" borderId="0" xfId="0" applyNumberFormat="1"/>
    <xf numFmtId="0" fontId="3" fillId="0" borderId="0" xfId="0" applyFont="1"/>
    <xf numFmtId="10" fontId="0" fillId="0" borderId="0" xfId="0" applyNumberFormat="1"/>
    <xf numFmtId="0" fontId="4" fillId="0" borderId="0" xfId="2"/>
    <xf numFmtId="0" fontId="0" fillId="2" borderId="0" xfId="0" applyFill="1"/>
    <xf numFmtId="9" fontId="0" fillId="2" borderId="0" xfId="0" applyNumberFormat="1" applyFill="1"/>
    <xf numFmtId="2" fontId="0" fillId="2" borderId="0" xfId="0" applyNumberFormat="1" applyFill="1"/>
    <xf numFmtId="10" fontId="3" fillId="0" borderId="0" xfId="0" applyNumberFormat="1" applyFont="1"/>
    <xf numFmtId="166" fontId="0" fillId="2" borderId="0" xfId="0" applyNumberFormat="1" applyFill="1"/>
    <xf numFmtId="10" fontId="0" fillId="2" borderId="0" xfId="0" applyNumberFormat="1" applyFill="1"/>
    <xf numFmtId="166" fontId="3" fillId="0" borderId="0" xfId="0" applyNumberFormat="1" applyFont="1"/>
    <xf numFmtId="9" fontId="0" fillId="0" borderId="0" xfId="1" applyFont="1"/>
    <xf numFmtId="3" fontId="3" fillId="0" borderId="0" xfId="0" applyNumberFormat="1" applyFont="1"/>
    <xf numFmtId="9" fontId="0" fillId="0" borderId="0" xfId="0" applyNumberFormat="1"/>
    <xf numFmtId="166" fontId="0" fillId="0" borderId="0" xfId="0" applyNumberFormat="1"/>
    <xf numFmtId="3" fontId="0" fillId="0" borderId="0" xfId="0" applyNumberFormat="1"/>
    <xf numFmtId="0" fontId="0" fillId="0" borderId="0" xfId="0" applyAlignment="1">
      <alignment textRotation="45"/>
    </xf>
    <xf numFmtId="2" fontId="0" fillId="0" borderId="0" xfId="0" applyNumberFormat="1"/>
    <xf numFmtId="0" fontId="0" fillId="3" borderId="1" xfId="0" applyFill="1" applyBorder="1"/>
    <xf numFmtId="0" fontId="0" fillId="2" borderId="1" xfId="0" applyFill="1" applyBorder="1"/>
    <xf numFmtId="167" fontId="0" fillId="0" borderId="0" xfId="0" applyNumberFormat="1"/>
    <xf numFmtId="4" fontId="3" fillId="0" borderId="0" xfId="0" applyNumberFormat="1" applyFont="1"/>
    <xf numFmtId="2" fontId="3" fillId="0" borderId="0" xfId="0" applyNumberFormat="1" applyFont="1"/>
    <xf numFmtId="0" fontId="2" fillId="0" borderId="0" xfId="0" applyFont="1"/>
    <xf numFmtId="2" fontId="2" fillId="0" borderId="0" xfId="0" applyNumberFormat="1" applyFont="1"/>
    <xf numFmtId="0" fontId="5" fillId="0" borderId="0" xfId="0" applyFont="1"/>
    <xf numFmtId="0" fontId="2" fillId="3" borderId="0" xfId="0" applyFont="1" applyFill="1"/>
    <xf numFmtId="0" fontId="2" fillId="4" borderId="0" xfId="0" applyFont="1" applyFill="1"/>
    <xf numFmtId="0" fontId="6" fillId="0" borderId="0" xfId="0" applyFont="1"/>
    <xf numFmtId="0" fontId="7" fillId="0" borderId="0" xfId="0" applyFont="1"/>
    <xf numFmtId="0" fontId="8" fillId="0" borderId="0" xfId="0" applyFont="1"/>
    <xf numFmtId="165" fontId="3" fillId="0" borderId="0" xfId="0" applyNumberFormat="1" applyFont="1"/>
    <xf numFmtId="164" fontId="3" fillId="0" borderId="0" xfId="0" applyNumberFormat="1" applyFont="1"/>
    <xf numFmtId="3" fontId="0" fillId="2" borderId="0" xfId="0" applyNumberFormat="1" applyFill="1"/>
    <xf numFmtId="0" fontId="9" fillId="0" borderId="0" xfId="0" applyFont="1"/>
    <xf numFmtId="0" fontId="3" fillId="0" borderId="0" xfId="0" applyFont="1" applyAlignment="1">
      <alignment horizontal="right"/>
    </xf>
    <xf numFmtId="2" fontId="2" fillId="0" borderId="0" xfId="0" applyNumberFormat="1" applyFont="1" applyAlignment="1">
      <alignment horizontal="left"/>
    </xf>
    <xf numFmtId="0" fontId="10" fillId="0" borderId="0" xfId="0" applyFont="1"/>
    <xf numFmtId="0" fontId="0" fillId="4" borderId="0" xfId="0" applyFill="1"/>
    <xf numFmtId="0" fontId="0" fillId="0" borderId="0" xfId="0" applyAlignment="1">
      <alignment horizontal="right"/>
    </xf>
    <xf numFmtId="9" fontId="3" fillId="0" borderId="0" xfId="1" applyFont="1" applyAlignment="1">
      <alignment horizontal="right"/>
    </xf>
    <xf numFmtId="9" fontId="3" fillId="0" borderId="0" xfId="0" applyNumberFormat="1" applyFont="1"/>
    <xf numFmtId="0" fontId="11" fillId="0" borderId="0" xfId="0" applyFont="1" applyAlignment="1">
      <alignment textRotation="45"/>
    </xf>
    <xf numFmtId="0" fontId="2" fillId="2" borderId="1" xfId="0" applyFont="1" applyFill="1" applyBorder="1" applyAlignment="1">
      <alignment textRotation="90" wrapText="1"/>
    </xf>
    <xf numFmtId="0" fontId="2" fillId="3" borderId="1" xfId="0" applyFont="1" applyFill="1" applyBorder="1" applyAlignment="1">
      <alignment textRotation="90"/>
    </xf>
    <xf numFmtId="0" fontId="0" fillId="2" borderId="0" xfId="0" quotePrefix="1" applyFill="1"/>
    <xf numFmtId="9" fontId="3" fillId="0" borderId="0" xfId="1" applyFont="1"/>
    <xf numFmtId="0" fontId="17" fillId="0" borderId="0" xfId="0" applyFont="1"/>
    <xf numFmtId="0" fontId="17" fillId="0" borderId="0" xfId="0" applyFont="1" applyAlignment="1">
      <alignment textRotation="45"/>
    </xf>
    <xf numFmtId="3" fontId="17" fillId="0" borderId="0" xfId="0" applyNumberFormat="1" applyFont="1"/>
    <xf numFmtId="0" fontId="0" fillId="0" borderId="0" xfId="0" applyAlignment="1">
      <alignment vertical="top" wrapText="1"/>
    </xf>
    <xf numFmtId="0" fontId="2" fillId="0" borderId="0" xfId="0" applyFont="1" applyAlignment="1">
      <alignment horizontal="right" vertical="top" wrapText="1"/>
    </xf>
    <xf numFmtId="168" fontId="0" fillId="0" borderId="0" xfId="0" applyNumberFormat="1"/>
    <xf numFmtId="169" fontId="0" fillId="0" borderId="0" xfId="0" applyNumberFormat="1"/>
    <xf numFmtId="169" fontId="0" fillId="2" borderId="0" xfId="0" applyNumberFormat="1" applyFill="1"/>
    <xf numFmtId="0" fontId="0" fillId="0" borderId="0" xfId="0" applyAlignment="1">
      <alignment horizontal="center"/>
    </xf>
  </cellXfs>
  <cellStyles count="3">
    <cellStyle name="Hyperlink" xfId="2" builtinId="8"/>
    <cellStyle name="Normal" xfId="0" builtinId="0"/>
    <cellStyle name="Percent" xfId="1" builtinId="5"/>
  </cellStyles>
  <dxfs count="2">
    <dxf>
      <font>
        <b/>
        <i val="0"/>
      </font>
      <fill>
        <patternFill>
          <bgColor rgb="FFFFFF00"/>
        </patternFill>
      </fill>
    </dxf>
    <dxf>
      <font>
        <b/>
        <i val="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Emission</a:t>
            </a:r>
            <a:r>
              <a:rPr lang="en-GB" baseline="0"/>
              <a:t> fee per tCO2e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1"/>
          <c:order val="0"/>
          <c:tx>
            <c:strRef>
              <c:f>LCOE!$B$70</c:f>
              <c:strCache>
                <c:ptCount val="1"/>
                <c:pt idx="0">
                  <c:v>Emission cost, per ton of CO2e (affects all calculations)</c:v>
                </c:pt>
              </c:strCache>
            </c:strRef>
          </c:tx>
          <c:spPr>
            <a:ln w="28575" cap="rnd">
              <a:solidFill>
                <a:schemeClr val="accent2"/>
              </a:solidFill>
              <a:round/>
            </a:ln>
            <a:effectLst/>
          </c:spPr>
          <c:marker>
            <c:symbol val="none"/>
          </c:marker>
          <c:val>
            <c:numRef>
              <c:f>LCOE!$B$71:$B$196</c:f>
              <c:numCache>
                <c:formatCode>General</c:formatCode>
                <c:ptCount val="126"/>
                <c:pt idx="25">
                  <c:v>30</c:v>
                </c:pt>
                <c:pt idx="26">
                  <c:v>30</c:v>
                </c:pt>
                <c:pt idx="27">
                  <c:v>30</c:v>
                </c:pt>
                <c:pt idx="28">
                  <c:v>30</c:v>
                </c:pt>
                <c:pt idx="29">
                  <c:v>30</c:v>
                </c:pt>
                <c:pt idx="30">
                  <c:v>30</c:v>
                </c:pt>
                <c:pt idx="31">
                  <c:v>30</c:v>
                </c:pt>
                <c:pt idx="32">
                  <c:v>30</c:v>
                </c:pt>
                <c:pt idx="33">
                  <c:v>30</c:v>
                </c:pt>
                <c:pt idx="34">
                  <c:v>30</c:v>
                </c:pt>
                <c:pt idx="35">
                  <c:v>30</c:v>
                </c:pt>
                <c:pt idx="36">
                  <c:v>30</c:v>
                </c:pt>
                <c:pt idx="37">
                  <c:v>30</c:v>
                </c:pt>
                <c:pt idx="38">
                  <c:v>30</c:v>
                </c:pt>
                <c:pt idx="39">
                  <c:v>30</c:v>
                </c:pt>
                <c:pt idx="40">
                  <c:v>30</c:v>
                </c:pt>
                <c:pt idx="41">
                  <c:v>30</c:v>
                </c:pt>
                <c:pt idx="42">
                  <c:v>30</c:v>
                </c:pt>
                <c:pt idx="43">
                  <c:v>30</c:v>
                </c:pt>
                <c:pt idx="44">
                  <c:v>30</c:v>
                </c:pt>
                <c:pt idx="45">
                  <c:v>30</c:v>
                </c:pt>
                <c:pt idx="46">
                  <c:v>30</c:v>
                </c:pt>
                <c:pt idx="47">
                  <c:v>30</c:v>
                </c:pt>
                <c:pt idx="48">
                  <c:v>30</c:v>
                </c:pt>
                <c:pt idx="49">
                  <c:v>30</c:v>
                </c:pt>
                <c:pt idx="50">
                  <c:v>30</c:v>
                </c:pt>
                <c:pt idx="51">
                  <c:v>30</c:v>
                </c:pt>
                <c:pt idx="52">
                  <c:v>30</c:v>
                </c:pt>
                <c:pt idx="53">
                  <c:v>30</c:v>
                </c:pt>
                <c:pt idx="54">
                  <c:v>30</c:v>
                </c:pt>
                <c:pt idx="55">
                  <c:v>30</c:v>
                </c:pt>
                <c:pt idx="56">
                  <c:v>30</c:v>
                </c:pt>
                <c:pt idx="57">
                  <c:v>30</c:v>
                </c:pt>
                <c:pt idx="58">
                  <c:v>30</c:v>
                </c:pt>
                <c:pt idx="59">
                  <c:v>30</c:v>
                </c:pt>
                <c:pt idx="60">
                  <c:v>30</c:v>
                </c:pt>
                <c:pt idx="61">
                  <c:v>30</c:v>
                </c:pt>
                <c:pt idx="62">
                  <c:v>30</c:v>
                </c:pt>
                <c:pt idx="63">
                  <c:v>30</c:v>
                </c:pt>
                <c:pt idx="64">
                  <c:v>30</c:v>
                </c:pt>
                <c:pt idx="65">
                  <c:v>30</c:v>
                </c:pt>
                <c:pt idx="66">
                  <c:v>30</c:v>
                </c:pt>
                <c:pt idx="67">
                  <c:v>30</c:v>
                </c:pt>
                <c:pt idx="68">
                  <c:v>30</c:v>
                </c:pt>
                <c:pt idx="69">
                  <c:v>30</c:v>
                </c:pt>
                <c:pt idx="70">
                  <c:v>30</c:v>
                </c:pt>
                <c:pt idx="71">
                  <c:v>30</c:v>
                </c:pt>
                <c:pt idx="72">
                  <c:v>30</c:v>
                </c:pt>
                <c:pt idx="73">
                  <c:v>30</c:v>
                </c:pt>
                <c:pt idx="74">
                  <c:v>30</c:v>
                </c:pt>
                <c:pt idx="75">
                  <c:v>30</c:v>
                </c:pt>
                <c:pt idx="76">
                  <c:v>30</c:v>
                </c:pt>
                <c:pt idx="77">
                  <c:v>30</c:v>
                </c:pt>
                <c:pt idx="78">
                  <c:v>30</c:v>
                </c:pt>
                <c:pt idx="79">
                  <c:v>30</c:v>
                </c:pt>
                <c:pt idx="80">
                  <c:v>30</c:v>
                </c:pt>
                <c:pt idx="81">
                  <c:v>30</c:v>
                </c:pt>
                <c:pt idx="82">
                  <c:v>30</c:v>
                </c:pt>
                <c:pt idx="83">
                  <c:v>30</c:v>
                </c:pt>
                <c:pt idx="84">
                  <c:v>30</c:v>
                </c:pt>
                <c:pt idx="85">
                  <c:v>30</c:v>
                </c:pt>
                <c:pt idx="86">
                  <c:v>30</c:v>
                </c:pt>
                <c:pt idx="87">
                  <c:v>30</c:v>
                </c:pt>
                <c:pt idx="88">
                  <c:v>30</c:v>
                </c:pt>
                <c:pt idx="89">
                  <c:v>30</c:v>
                </c:pt>
                <c:pt idx="90">
                  <c:v>30</c:v>
                </c:pt>
                <c:pt idx="91">
                  <c:v>30</c:v>
                </c:pt>
                <c:pt idx="92">
                  <c:v>30</c:v>
                </c:pt>
                <c:pt idx="93">
                  <c:v>30</c:v>
                </c:pt>
                <c:pt idx="94">
                  <c:v>30</c:v>
                </c:pt>
                <c:pt idx="95">
                  <c:v>30</c:v>
                </c:pt>
                <c:pt idx="96">
                  <c:v>30</c:v>
                </c:pt>
                <c:pt idx="97">
                  <c:v>30</c:v>
                </c:pt>
                <c:pt idx="98">
                  <c:v>30</c:v>
                </c:pt>
                <c:pt idx="99">
                  <c:v>30</c:v>
                </c:pt>
                <c:pt idx="100">
                  <c:v>30</c:v>
                </c:pt>
                <c:pt idx="101">
                  <c:v>30</c:v>
                </c:pt>
                <c:pt idx="102">
                  <c:v>30</c:v>
                </c:pt>
                <c:pt idx="103">
                  <c:v>30</c:v>
                </c:pt>
                <c:pt idx="104">
                  <c:v>30</c:v>
                </c:pt>
                <c:pt idx="105">
                  <c:v>30</c:v>
                </c:pt>
                <c:pt idx="106">
                  <c:v>30</c:v>
                </c:pt>
                <c:pt idx="107">
                  <c:v>30</c:v>
                </c:pt>
                <c:pt idx="108">
                  <c:v>30</c:v>
                </c:pt>
                <c:pt idx="109">
                  <c:v>30</c:v>
                </c:pt>
                <c:pt idx="110">
                  <c:v>30</c:v>
                </c:pt>
                <c:pt idx="111">
                  <c:v>30</c:v>
                </c:pt>
                <c:pt idx="112">
                  <c:v>30</c:v>
                </c:pt>
                <c:pt idx="113">
                  <c:v>30</c:v>
                </c:pt>
                <c:pt idx="114">
                  <c:v>30</c:v>
                </c:pt>
                <c:pt idx="115">
                  <c:v>30</c:v>
                </c:pt>
                <c:pt idx="116">
                  <c:v>30</c:v>
                </c:pt>
                <c:pt idx="117">
                  <c:v>30</c:v>
                </c:pt>
                <c:pt idx="118">
                  <c:v>30</c:v>
                </c:pt>
                <c:pt idx="119">
                  <c:v>30</c:v>
                </c:pt>
                <c:pt idx="120">
                  <c:v>30</c:v>
                </c:pt>
                <c:pt idx="121">
                  <c:v>30</c:v>
                </c:pt>
                <c:pt idx="122">
                  <c:v>30</c:v>
                </c:pt>
                <c:pt idx="123">
                  <c:v>30</c:v>
                </c:pt>
                <c:pt idx="124">
                  <c:v>30</c:v>
                </c:pt>
                <c:pt idx="125">
                  <c:v>30</c:v>
                </c:pt>
              </c:numCache>
            </c:numRef>
          </c:val>
          <c:smooth val="0"/>
          <c:extLst>
            <c:ext xmlns:c16="http://schemas.microsoft.com/office/drawing/2014/chart" uri="{C3380CC4-5D6E-409C-BE32-E72D297353CC}">
              <c16:uniqueId val="{00000001-AFC5-2B48-A59D-04601D17FEDC}"/>
            </c:ext>
          </c:extLst>
        </c:ser>
        <c:dLbls>
          <c:showLegendKey val="0"/>
          <c:showVal val="0"/>
          <c:showCatName val="0"/>
          <c:showSerName val="0"/>
          <c:showPercent val="0"/>
          <c:showBubbleSize val="0"/>
        </c:dLbls>
        <c:smooth val="0"/>
        <c:axId val="1355024848"/>
        <c:axId val="113467839"/>
      </c:lineChart>
      <c:catAx>
        <c:axId val="13550248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13467839"/>
        <c:crosses val="autoZero"/>
        <c:auto val="1"/>
        <c:lblAlgn val="ctr"/>
        <c:lblOffset val="100"/>
        <c:noMultiLvlLbl val="0"/>
      </c:catAx>
      <c:valAx>
        <c:axId val="11346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35502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lotArea>
      <c:layout/>
      <c:lineChart>
        <c:grouping val="standard"/>
        <c:varyColors val="0"/>
        <c:ser>
          <c:idx val="1"/>
          <c:order val="0"/>
          <c:tx>
            <c:strRef>
              <c:f>Results!$C$33</c:f>
              <c:strCache>
                <c:ptCount val="1"/>
                <c:pt idx="0">
                  <c:v>CCGT in Belgium (2020), WACC 0 %, LC Case 1</c:v>
                </c:pt>
              </c:strCache>
            </c:strRef>
          </c:tx>
          <c:spPr>
            <a:ln w="28575" cap="rnd">
              <a:solidFill>
                <a:schemeClr val="accent2"/>
              </a:solidFill>
              <a:round/>
            </a:ln>
            <a:effectLst/>
          </c:spPr>
          <c:marker>
            <c:symbol val="none"/>
          </c:marker>
          <c:cat>
            <c:numRef>
              <c:f>Results!$B$34:$B$114</c:f>
              <c:numCache>
                <c:formatCode>General</c:formatCode>
                <c:ptCount val="8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pt idx="51">
                  <c:v>2071</c:v>
                </c:pt>
                <c:pt idx="52">
                  <c:v>2072</c:v>
                </c:pt>
                <c:pt idx="53">
                  <c:v>2073</c:v>
                </c:pt>
                <c:pt idx="54">
                  <c:v>2074</c:v>
                </c:pt>
                <c:pt idx="55">
                  <c:v>2075</c:v>
                </c:pt>
                <c:pt idx="56">
                  <c:v>2076</c:v>
                </c:pt>
                <c:pt idx="57">
                  <c:v>2077</c:v>
                </c:pt>
                <c:pt idx="58">
                  <c:v>2078</c:v>
                </c:pt>
                <c:pt idx="59">
                  <c:v>2079</c:v>
                </c:pt>
                <c:pt idx="60">
                  <c:v>2080</c:v>
                </c:pt>
                <c:pt idx="61">
                  <c:v>2081</c:v>
                </c:pt>
                <c:pt idx="62">
                  <c:v>2082</c:v>
                </c:pt>
                <c:pt idx="63">
                  <c:v>2083</c:v>
                </c:pt>
                <c:pt idx="64">
                  <c:v>2084</c:v>
                </c:pt>
                <c:pt idx="65">
                  <c:v>2085</c:v>
                </c:pt>
                <c:pt idx="66">
                  <c:v>2086</c:v>
                </c:pt>
                <c:pt idx="67">
                  <c:v>2087</c:v>
                </c:pt>
                <c:pt idx="68">
                  <c:v>2088</c:v>
                </c:pt>
                <c:pt idx="69">
                  <c:v>2089</c:v>
                </c:pt>
                <c:pt idx="70">
                  <c:v>2090</c:v>
                </c:pt>
                <c:pt idx="71">
                  <c:v>2091</c:v>
                </c:pt>
                <c:pt idx="72">
                  <c:v>2092</c:v>
                </c:pt>
                <c:pt idx="73">
                  <c:v>2093</c:v>
                </c:pt>
                <c:pt idx="74">
                  <c:v>2094</c:v>
                </c:pt>
                <c:pt idx="75">
                  <c:v>2095</c:v>
                </c:pt>
                <c:pt idx="76">
                  <c:v>2096</c:v>
                </c:pt>
                <c:pt idx="77">
                  <c:v>2097</c:v>
                </c:pt>
                <c:pt idx="78">
                  <c:v>2098</c:v>
                </c:pt>
                <c:pt idx="79">
                  <c:v>2099</c:v>
                </c:pt>
                <c:pt idx="80">
                  <c:v>2100</c:v>
                </c:pt>
              </c:numCache>
            </c:numRef>
          </c:cat>
          <c:val>
            <c:numRef>
              <c:f>Results!$C$34:$C$114</c:f>
              <c:numCache>
                <c:formatCode>0.00</c:formatCode>
                <c:ptCount val="81"/>
                <c:pt idx="0">
                  <c:v>71.201772135737173</c:v>
                </c:pt>
                <c:pt idx="1">
                  <c:v>71.206620796869231</c:v>
                </c:pt>
                <c:pt idx="2">
                  <c:v>71.211469458001289</c:v>
                </c:pt>
                <c:pt idx="3">
                  <c:v>71.216318119133348</c:v>
                </c:pt>
                <c:pt idx="4">
                  <c:v>71.221166780265406</c:v>
                </c:pt>
                <c:pt idx="5">
                  <c:v>71.226015441397465</c:v>
                </c:pt>
                <c:pt idx="6">
                  <c:v>71.230864102529523</c:v>
                </c:pt>
                <c:pt idx="7">
                  <c:v>71.235712763661581</c:v>
                </c:pt>
                <c:pt idx="8">
                  <c:v>71.24056142479364</c:v>
                </c:pt>
                <c:pt idx="9">
                  <c:v>71.245410085925698</c:v>
                </c:pt>
                <c:pt idx="10">
                  <c:v>71.250258747057757</c:v>
                </c:pt>
                <c:pt idx="11">
                  <c:v>71.255107408189815</c:v>
                </c:pt>
                <c:pt idx="12">
                  <c:v>71.259956069321873</c:v>
                </c:pt>
                <c:pt idx="13">
                  <c:v>71.264804730453932</c:v>
                </c:pt>
                <c:pt idx="14">
                  <c:v>71.26965339158599</c:v>
                </c:pt>
                <c:pt idx="15">
                  <c:v>71.274502052718049</c:v>
                </c:pt>
                <c:pt idx="16">
                  <c:v>71.279350713850107</c:v>
                </c:pt>
                <c:pt idx="17">
                  <c:v>71.284199374982165</c:v>
                </c:pt>
                <c:pt idx="18">
                  <c:v>71.289048036114224</c:v>
                </c:pt>
                <c:pt idx="19">
                  <c:v>71.293896697246282</c:v>
                </c:pt>
                <c:pt idx="20">
                  <c:v>71.298745358378341</c:v>
                </c:pt>
                <c:pt idx="21">
                  <c:v>71.303594019510399</c:v>
                </c:pt>
                <c:pt idx="22">
                  <c:v>71.308442680642457</c:v>
                </c:pt>
                <c:pt idx="23">
                  <c:v>71.313291341774516</c:v>
                </c:pt>
                <c:pt idx="24">
                  <c:v>71.318140002906574</c:v>
                </c:pt>
                <c:pt idx="25">
                  <c:v>71.322988664038633</c:v>
                </c:pt>
                <c:pt idx="26">
                  <c:v>71.327837325170691</c:v>
                </c:pt>
                <c:pt idx="27">
                  <c:v>71.332685986302749</c:v>
                </c:pt>
                <c:pt idx="28">
                  <c:v>71.337534647434808</c:v>
                </c:pt>
                <c:pt idx="29">
                  <c:v>71.342383308566866</c:v>
                </c:pt>
                <c:pt idx="30">
                  <c:v>71.347231969698925</c:v>
                </c:pt>
                <c:pt idx="31">
                  <c:v>71.352080630830983</c:v>
                </c:pt>
                <c:pt idx="32">
                  <c:v>71.356929291963041</c:v>
                </c:pt>
                <c:pt idx="33">
                  <c:v>71.3617779530951</c:v>
                </c:pt>
                <c:pt idx="34">
                  <c:v>71.366626614227158</c:v>
                </c:pt>
                <c:pt idx="35">
                  <c:v>71.371475275359217</c:v>
                </c:pt>
                <c:pt idx="36">
                  <c:v>71.376323936491275</c:v>
                </c:pt>
                <c:pt idx="37">
                  <c:v>71.381172597623333</c:v>
                </c:pt>
                <c:pt idx="38">
                  <c:v>71.386021258755392</c:v>
                </c:pt>
                <c:pt idx="39">
                  <c:v>71.39086991988745</c:v>
                </c:pt>
                <c:pt idx="40">
                  <c:v>71.395718581019509</c:v>
                </c:pt>
                <c:pt idx="41">
                  <c:v>71.400567242151567</c:v>
                </c:pt>
                <c:pt idx="42">
                  <c:v>71.405415903283625</c:v>
                </c:pt>
                <c:pt idx="43">
                  <c:v>71.410264564415684</c:v>
                </c:pt>
                <c:pt idx="44">
                  <c:v>71.415113225547742</c:v>
                </c:pt>
                <c:pt idx="45">
                  <c:v>71.419961886679801</c:v>
                </c:pt>
                <c:pt idx="46">
                  <c:v>71.424810547811859</c:v>
                </c:pt>
                <c:pt idx="47">
                  <c:v>71.429659208943917</c:v>
                </c:pt>
                <c:pt idx="48">
                  <c:v>71.434507870075976</c:v>
                </c:pt>
                <c:pt idx="49">
                  <c:v>71.439356531208034</c:v>
                </c:pt>
                <c:pt idx="50">
                  <c:v>71.444205192340092</c:v>
                </c:pt>
                <c:pt idx="51">
                  <c:v>71.449053853472151</c:v>
                </c:pt>
                <c:pt idx="52">
                  <c:v>71.453902514604209</c:v>
                </c:pt>
                <c:pt idx="53">
                  <c:v>71.458751175736268</c:v>
                </c:pt>
                <c:pt idx="54">
                  <c:v>71.463599836868326</c:v>
                </c:pt>
                <c:pt idx="55">
                  <c:v>71.468448498000384</c:v>
                </c:pt>
                <c:pt idx="56">
                  <c:v>71.473297159132443</c:v>
                </c:pt>
                <c:pt idx="57">
                  <c:v>71.478145820264501</c:v>
                </c:pt>
                <c:pt idx="58">
                  <c:v>71.48299448139656</c:v>
                </c:pt>
                <c:pt idx="59">
                  <c:v>71.487843142528618</c:v>
                </c:pt>
                <c:pt idx="60">
                  <c:v>71.492691803660676</c:v>
                </c:pt>
                <c:pt idx="61">
                  <c:v>71.497540464792735</c:v>
                </c:pt>
                <c:pt idx="62">
                  <c:v>71.502389125924793</c:v>
                </c:pt>
                <c:pt idx="63">
                  <c:v>71.507237787056852</c:v>
                </c:pt>
                <c:pt idx="64">
                  <c:v>71.51208644818891</c:v>
                </c:pt>
                <c:pt idx="65">
                  <c:v>71.516935109320968</c:v>
                </c:pt>
                <c:pt idx="66">
                  <c:v>71.521783770453027</c:v>
                </c:pt>
                <c:pt idx="67">
                  <c:v>71.526632431585085</c:v>
                </c:pt>
                <c:pt idx="68">
                  <c:v>71.531481092717144</c:v>
                </c:pt>
                <c:pt idx="69">
                  <c:v>71.536329753849202</c:v>
                </c:pt>
                <c:pt idx="70">
                  <c:v>71.54117841498126</c:v>
                </c:pt>
                <c:pt idx="71">
                  <c:v>71.546027076113319</c:v>
                </c:pt>
                <c:pt idx="72">
                  <c:v>71.550875737245377</c:v>
                </c:pt>
                <c:pt idx="73">
                  <c:v>71.555724398377436</c:v>
                </c:pt>
                <c:pt idx="74">
                  <c:v>71.560573059509494</c:v>
                </c:pt>
                <c:pt idx="75">
                  <c:v>71.565421720641552</c:v>
                </c:pt>
                <c:pt idx="76">
                  <c:v>71.570270381773611</c:v>
                </c:pt>
                <c:pt idx="77">
                  <c:v>71.575119042905669</c:v>
                </c:pt>
                <c:pt idx="78">
                  <c:v>71.579967704037728</c:v>
                </c:pt>
                <c:pt idx="79">
                  <c:v>71.584816365169786</c:v>
                </c:pt>
                <c:pt idx="80">
                  <c:v>71.589665026301844</c:v>
                </c:pt>
              </c:numCache>
            </c:numRef>
          </c:val>
          <c:smooth val="0"/>
          <c:extLst>
            <c:ext xmlns:c16="http://schemas.microsoft.com/office/drawing/2014/chart" uri="{C3380CC4-5D6E-409C-BE32-E72D297353CC}">
              <c16:uniqueId val="{00000001-846E-FB4F-B2CC-3FBD42C3DD41}"/>
            </c:ext>
          </c:extLst>
        </c:ser>
        <c:ser>
          <c:idx val="2"/>
          <c:order val="1"/>
          <c:tx>
            <c:strRef>
              <c:f>Results!$D$33</c:f>
              <c:strCache>
                <c:ptCount val="1"/>
                <c:pt idx="0">
                  <c:v>CCGT in Belgium (2020), WACC 0 %, LC Case 2</c:v>
                </c:pt>
              </c:strCache>
            </c:strRef>
          </c:tx>
          <c:spPr>
            <a:ln w="28575" cap="rnd">
              <a:solidFill>
                <a:schemeClr val="accent3"/>
              </a:solidFill>
              <a:round/>
            </a:ln>
            <a:effectLst/>
          </c:spPr>
          <c:marker>
            <c:symbol val="none"/>
          </c:marker>
          <c:cat>
            <c:numRef>
              <c:f>Results!$B$34:$B$114</c:f>
              <c:numCache>
                <c:formatCode>General</c:formatCode>
                <c:ptCount val="8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pt idx="51">
                  <c:v>2071</c:v>
                </c:pt>
                <c:pt idx="52">
                  <c:v>2072</c:v>
                </c:pt>
                <c:pt idx="53">
                  <c:v>2073</c:v>
                </c:pt>
                <c:pt idx="54">
                  <c:v>2074</c:v>
                </c:pt>
                <c:pt idx="55">
                  <c:v>2075</c:v>
                </c:pt>
                <c:pt idx="56">
                  <c:v>2076</c:v>
                </c:pt>
                <c:pt idx="57">
                  <c:v>2077</c:v>
                </c:pt>
                <c:pt idx="58">
                  <c:v>2078</c:v>
                </c:pt>
                <c:pt idx="59">
                  <c:v>2079</c:v>
                </c:pt>
                <c:pt idx="60">
                  <c:v>2080</c:v>
                </c:pt>
                <c:pt idx="61">
                  <c:v>2081</c:v>
                </c:pt>
                <c:pt idx="62">
                  <c:v>2082</c:v>
                </c:pt>
                <c:pt idx="63">
                  <c:v>2083</c:v>
                </c:pt>
                <c:pt idx="64">
                  <c:v>2084</c:v>
                </c:pt>
                <c:pt idx="65">
                  <c:v>2085</c:v>
                </c:pt>
                <c:pt idx="66">
                  <c:v>2086</c:v>
                </c:pt>
                <c:pt idx="67">
                  <c:v>2087</c:v>
                </c:pt>
                <c:pt idx="68">
                  <c:v>2088</c:v>
                </c:pt>
                <c:pt idx="69">
                  <c:v>2089</c:v>
                </c:pt>
                <c:pt idx="70">
                  <c:v>2090</c:v>
                </c:pt>
                <c:pt idx="71">
                  <c:v>2091</c:v>
                </c:pt>
                <c:pt idx="72">
                  <c:v>2092</c:v>
                </c:pt>
                <c:pt idx="73">
                  <c:v>2093</c:v>
                </c:pt>
                <c:pt idx="74">
                  <c:v>2094</c:v>
                </c:pt>
                <c:pt idx="75">
                  <c:v>2095</c:v>
                </c:pt>
                <c:pt idx="76">
                  <c:v>2096</c:v>
                </c:pt>
                <c:pt idx="77">
                  <c:v>2097</c:v>
                </c:pt>
                <c:pt idx="78">
                  <c:v>2098</c:v>
                </c:pt>
                <c:pt idx="79">
                  <c:v>2099</c:v>
                </c:pt>
                <c:pt idx="80">
                  <c:v>2100</c:v>
                </c:pt>
              </c:numCache>
            </c:numRef>
          </c:cat>
          <c:val>
            <c:numRef>
              <c:f>Results!$D$34:$D$114</c:f>
              <c:numCache>
                <c:formatCode>0.00</c:formatCode>
                <c:ptCount val="81"/>
                <c:pt idx="0">
                  <c:v>64.075543409183908</c:v>
                </c:pt>
                <c:pt idx="1">
                  <c:v>64.080392070315966</c:v>
                </c:pt>
                <c:pt idx="2">
                  <c:v>64.085240731448025</c:v>
                </c:pt>
                <c:pt idx="3">
                  <c:v>64.090089392580083</c:v>
                </c:pt>
                <c:pt idx="4">
                  <c:v>64.094938053712141</c:v>
                </c:pt>
                <c:pt idx="5">
                  <c:v>64.0997867148442</c:v>
                </c:pt>
                <c:pt idx="6">
                  <c:v>64.104635375976258</c:v>
                </c:pt>
                <c:pt idx="7">
                  <c:v>64.109484037108317</c:v>
                </c:pt>
                <c:pt idx="8">
                  <c:v>64.114332698240375</c:v>
                </c:pt>
                <c:pt idx="9">
                  <c:v>64.119181359372433</c:v>
                </c:pt>
                <c:pt idx="10">
                  <c:v>64.124030020504492</c:v>
                </c:pt>
                <c:pt idx="11">
                  <c:v>64.12887868163655</c:v>
                </c:pt>
                <c:pt idx="12">
                  <c:v>64.133727342768609</c:v>
                </c:pt>
                <c:pt idx="13">
                  <c:v>64.138576003900667</c:v>
                </c:pt>
                <c:pt idx="14">
                  <c:v>64.143424665032725</c:v>
                </c:pt>
                <c:pt idx="15">
                  <c:v>64.148273326164784</c:v>
                </c:pt>
                <c:pt idx="16">
                  <c:v>64.153121987296842</c:v>
                </c:pt>
                <c:pt idx="17">
                  <c:v>64.157970648428901</c:v>
                </c:pt>
                <c:pt idx="18">
                  <c:v>64.162819309560959</c:v>
                </c:pt>
                <c:pt idx="19">
                  <c:v>64.167667970693017</c:v>
                </c:pt>
                <c:pt idx="20">
                  <c:v>64.172516631825076</c:v>
                </c:pt>
                <c:pt idx="21">
                  <c:v>64.177365292957134</c:v>
                </c:pt>
                <c:pt idx="22">
                  <c:v>64.182213954089192</c:v>
                </c:pt>
                <c:pt idx="23">
                  <c:v>64.187062615221251</c:v>
                </c:pt>
                <c:pt idx="24">
                  <c:v>64.191911276353309</c:v>
                </c:pt>
                <c:pt idx="25">
                  <c:v>64.196759937485368</c:v>
                </c:pt>
                <c:pt idx="26">
                  <c:v>64.201608598617426</c:v>
                </c:pt>
                <c:pt idx="27">
                  <c:v>64.206457259749484</c:v>
                </c:pt>
                <c:pt idx="28">
                  <c:v>64.211305920881543</c:v>
                </c:pt>
                <c:pt idx="29">
                  <c:v>64.216154582013601</c:v>
                </c:pt>
                <c:pt idx="30">
                  <c:v>64.22100324314566</c:v>
                </c:pt>
                <c:pt idx="31">
                  <c:v>64.225851904277718</c:v>
                </c:pt>
                <c:pt idx="32">
                  <c:v>64.230700565409776</c:v>
                </c:pt>
                <c:pt idx="33">
                  <c:v>64.235549226541835</c:v>
                </c:pt>
                <c:pt idx="34">
                  <c:v>64.240397887673893</c:v>
                </c:pt>
                <c:pt idx="35">
                  <c:v>64.245246548805952</c:v>
                </c:pt>
                <c:pt idx="36">
                  <c:v>64.25009520993801</c:v>
                </c:pt>
                <c:pt idx="37">
                  <c:v>64.254943871070068</c:v>
                </c:pt>
                <c:pt idx="38">
                  <c:v>64.259792532202127</c:v>
                </c:pt>
                <c:pt idx="39">
                  <c:v>64.264641193334185</c:v>
                </c:pt>
                <c:pt idx="40">
                  <c:v>64.269489854466244</c:v>
                </c:pt>
                <c:pt idx="41">
                  <c:v>64.274338515598302</c:v>
                </c:pt>
                <c:pt idx="42">
                  <c:v>64.27918717673036</c:v>
                </c:pt>
                <c:pt idx="43">
                  <c:v>64.284035837862419</c:v>
                </c:pt>
                <c:pt idx="44">
                  <c:v>64.288884498994477</c:v>
                </c:pt>
                <c:pt idx="45">
                  <c:v>64.293733160126536</c:v>
                </c:pt>
                <c:pt idx="46">
                  <c:v>64.298581821258594</c:v>
                </c:pt>
                <c:pt idx="47">
                  <c:v>64.303430482390652</c:v>
                </c:pt>
                <c:pt idx="48">
                  <c:v>64.308279143522711</c:v>
                </c:pt>
                <c:pt idx="49">
                  <c:v>64.313127804654769</c:v>
                </c:pt>
                <c:pt idx="50">
                  <c:v>64.317976465786828</c:v>
                </c:pt>
                <c:pt idx="51">
                  <c:v>64.322825126918886</c:v>
                </c:pt>
                <c:pt idx="52">
                  <c:v>64.327673788050944</c:v>
                </c:pt>
                <c:pt idx="53">
                  <c:v>64.332522449183003</c:v>
                </c:pt>
                <c:pt idx="54">
                  <c:v>64.337371110315061</c:v>
                </c:pt>
                <c:pt idx="55">
                  <c:v>64.34221977144712</c:v>
                </c:pt>
                <c:pt idx="56">
                  <c:v>64.347068432579178</c:v>
                </c:pt>
                <c:pt idx="57">
                  <c:v>64.351917093711236</c:v>
                </c:pt>
                <c:pt idx="58">
                  <c:v>64.356765754843295</c:v>
                </c:pt>
                <c:pt idx="59">
                  <c:v>64.361614415975353</c:v>
                </c:pt>
                <c:pt idx="60">
                  <c:v>64.366463077107412</c:v>
                </c:pt>
                <c:pt idx="61">
                  <c:v>64.37131173823947</c:v>
                </c:pt>
                <c:pt idx="62">
                  <c:v>64.376160399371528</c:v>
                </c:pt>
                <c:pt idx="63">
                  <c:v>64.381009060503587</c:v>
                </c:pt>
                <c:pt idx="64">
                  <c:v>64.385857721635645</c:v>
                </c:pt>
                <c:pt idx="65">
                  <c:v>64.390706382767704</c:v>
                </c:pt>
                <c:pt idx="66">
                  <c:v>64.395555043899762</c:v>
                </c:pt>
                <c:pt idx="67">
                  <c:v>64.40040370503182</c:v>
                </c:pt>
                <c:pt idx="68">
                  <c:v>64.405252366163879</c:v>
                </c:pt>
                <c:pt idx="69">
                  <c:v>64.410101027295937</c:v>
                </c:pt>
                <c:pt idx="70">
                  <c:v>64.414949688427996</c:v>
                </c:pt>
                <c:pt idx="71">
                  <c:v>64.419798349560054</c:v>
                </c:pt>
                <c:pt idx="72">
                  <c:v>64.424647010692112</c:v>
                </c:pt>
                <c:pt idx="73">
                  <c:v>64.429495671824171</c:v>
                </c:pt>
                <c:pt idx="74">
                  <c:v>64.434344332956229</c:v>
                </c:pt>
                <c:pt idx="75">
                  <c:v>64.439192994088287</c:v>
                </c:pt>
                <c:pt idx="76">
                  <c:v>64.444041655220346</c:v>
                </c:pt>
                <c:pt idx="77">
                  <c:v>64.448890316352404</c:v>
                </c:pt>
                <c:pt idx="78">
                  <c:v>64.453738977484463</c:v>
                </c:pt>
                <c:pt idx="79">
                  <c:v>64.458587638616521</c:v>
                </c:pt>
                <c:pt idx="80">
                  <c:v>64.463436299748579</c:v>
                </c:pt>
              </c:numCache>
            </c:numRef>
          </c:val>
          <c:smooth val="0"/>
          <c:extLst>
            <c:ext xmlns:c16="http://schemas.microsoft.com/office/drawing/2014/chart" uri="{C3380CC4-5D6E-409C-BE32-E72D297353CC}">
              <c16:uniqueId val="{00000002-846E-FB4F-B2CC-3FBD42C3DD41}"/>
            </c:ext>
          </c:extLst>
        </c:ser>
        <c:ser>
          <c:idx val="3"/>
          <c:order val="2"/>
          <c:tx>
            <c:strRef>
              <c:f>Results!$E$33</c:f>
              <c:strCache>
                <c:ptCount val="1"/>
                <c:pt idx="0">
                  <c:v>CCGT in Belgium (2020), WACC 0 %, LC Case 3</c:v>
                </c:pt>
              </c:strCache>
            </c:strRef>
          </c:tx>
          <c:spPr>
            <a:ln w="28575" cap="rnd">
              <a:solidFill>
                <a:schemeClr val="accent4"/>
              </a:solidFill>
              <a:round/>
            </a:ln>
            <a:effectLst/>
          </c:spPr>
          <c:marker>
            <c:symbol val="none"/>
          </c:marker>
          <c:cat>
            <c:numRef>
              <c:f>Results!$B$34:$B$114</c:f>
              <c:numCache>
                <c:formatCode>General</c:formatCode>
                <c:ptCount val="8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pt idx="51">
                  <c:v>2071</c:v>
                </c:pt>
                <c:pt idx="52">
                  <c:v>2072</c:v>
                </c:pt>
                <c:pt idx="53">
                  <c:v>2073</c:v>
                </c:pt>
                <c:pt idx="54">
                  <c:v>2074</c:v>
                </c:pt>
                <c:pt idx="55">
                  <c:v>2075</c:v>
                </c:pt>
                <c:pt idx="56">
                  <c:v>2076</c:v>
                </c:pt>
                <c:pt idx="57">
                  <c:v>2077</c:v>
                </c:pt>
                <c:pt idx="58">
                  <c:v>2078</c:v>
                </c:pt>
                <c:pt idx="59">
                  <c:v>2079</c:v>
                </c:pt>
                <c:pt idx="60">
                  <c:v>2080</c:v>
                </c:pt>
                <c:pt idx="61">
                  <c:v>2081</c:v>
                </c:pt>
                <c:pt idx="62">
                  <c:v>2082</c:v>
                </c:pt>
                <c:pt idx="63">
                  <c:v>2083</c:v>
                </c:pt>
                <c:pt idx="64">
                  <c:v>2084</c:v>
                </c:pt>
                <c:pt idx="65">
                  <c:v>2085</c:v>
                </c:pt>
                <c:pt idx="66">
                  <c:v>2086</c:v>
                </c:pt>
                <c:pt idx="67">
                  <c:v>2087</c:v>
                </c:pt>
                <c:pt idx="68">
                  <c:v>2088</c:v>
                </c:pt>
                <c:pt idx="69">
                  <c:v>2089</c:v>
                </c:pt>
                <c:pt idx="70">
                  <c:v>2090</c:v>
                </c:pt>
                <c:pt idx="71">
                  <c:v>2091</c:v>
                </c:pt>
                <c:pt idx="72">
                  <c:v>2092</c:v>
                </c:pt>
                <c:pt idx="73">
                  <c:v>2093</c:v>
                </c:pt>
                <c:pt idx="74">
                  <c:v>2094</c:v>
                </c:pt>
                <c:pt idx="75">
                  <c:v>2095</c:v>
                </c:pt>
                <c:pt idx="76">
                  <c:v>2096</c:v>
                </c:pt>
                <c:pt idx="77">
                  <c:v>2097</c:v>
                </c:pt>
                <c:pt idx="78">
                  <c:v>2098</c:v>
                </c:pt>
                <c:pt idx="79">
                  <c:v>2099</c:v>
                </c:pt>
                <c:pt idx="80">
                  <c:v>2100</c:v>
                </c:pt>
              </c:numCache>
            </c:numRef>
          </c:cat>
          <c:val>
            <c:numRef>
              <c:f>Results!$E$34:$E$114</c:f>
              <c:numCache>
                <c:formatCode>0.00</c:formatCode>
                <c:ptCount val="81"/>
                <c:pt idx="0">
                  <c:v>66.035232384376613</c:v>
                </c:pt>
                <c:pt idx="1">
                  <c:v>66.040081045508671</c:v>
                </c:pt>
                <c:pt idx="2">
                  <c:v>66.04492970664073</c:v>
                </c:pt>
                <c:pt idx="3">
                  <c:v>66.049778367772788</c:v>
                </c:pt>
                <c:pt idx="4">
                  <c:v>66.054627028904846</c:v>
                </c:pt>
                <c:pt idx="5">
                  <c:v>66.059475690036905</c:v>
                </c:pt>
                <c:pt idx="6">
                  <c:v>66.064324351168963</c:v>
                </c:pt>
                <c:pt idx="7">
                  <c:v>66.069173012301022</c:v>
                </c:pt>
                <c:pt idx="8">
                  <c:v>66.07402167343308</c:v>
                </c:pt>
                <c:pt idx="9">
                  <c:v>66.078870334565138</c:v>
                </c:pt>
                <c:pt idx="10">
                  <c:v>66.083718995697197</c:v>
                </c:pt>
                <c:pt idx="11">
                  <c:v>66.088567656829255</c:v>
                </c:pt>
                <c:pt idx="12">
                  <c:v>66.093416317961314</c:v>
                </c:pt>
                <c:pt idx="13">
                  <c:v>66.098264979093372</c:v>
                </c:pt>
                <c:pt idx="14">
                  <c:v>66.10311364022543</c:v>
                </c:pt>
                <c:pt idx="15">
                  <c:v>66.107962301357489</c:v>
                </c:pt>
                <c:pt idx="16">
                  <c:v>66.112810962489547</c:v>
                </c:pt>
                <c:pt idx="17">
                  <c:v>66.117659623621606</c:v>
                </c:pt>
                <c:pt idx="18">
                  <c:v>66.122508284753664</c:v>
                </c:pt>
                <c:pt idx="19">
                  <c:v>66.127356945885722</c:v>
                </c:pt>
                <c:pt idx="20">
                  <c:v>66.132205607017781</c:v>
                </c:pt>
                <c:pt idx="21">
                  <c:v>66.137054268149839</c:v>
                </c:pt>
                <c:pt idx="22">
                  <c:v>66.141902929281898</c:v>
                </c:pt>
                <c:pt idx="23">
                  <c:v>66.146751590413956</c:v>
                </c:pt>
                <c:pt idx="24">
                  <c:v>66.151600251546014</c:v>
                </c:pt>
                <c:pt idx="25">
                  <c:v>66.156448912678073</c:v>
                </c:pt>
                <c:pt idx="26">
                  <c:v>66.161297573810131</c:v>
                </c:pt>
                <c:pt idx="27">
                  <c:v>66.16614623494219</c:v>
                </c:pt>
                <c:pt idx="28">
                  <c:v>66.170994896074248</c:v>
                </c:pt>
                <c:pt idx="29">
                  <c:v>66.175843557206306</c:v>
                </c:pt>
                <c:pt idx="30">
                  <c:v>66.180692218338365</c:v>
                </c:pt>
                <c:pt idx="31">
                  <c:v>66.185540879470423</c:v>
                </c:pt>
                <c:pt idx="32">
                  <c:v>66.190389540602482</c:v>
                </c:pt>
                <c:pt idx="33">
                  <c:v>66.19523820173454</c:v>
                </c:pt>
                <c:pt idx="34">
                  <c:v>66.200086862866598</c:v>
                </c:pt>
                <c:pt idx="35">
                  <c:v>66.204935523998657</c:v>
                </c:pt>
                <c:pt idx="36">
                  <c:v>66.209784185130715</c:v>
                </c:pt>
                <c:pt idx="37">
                  <c:v>66.214632846262774</c:v>
                </c:pt>
                <c:pt idx="38">
                  <c:v>66.219481507394832</c:v>
                </c:pt>
                <c:pt idx="39">
                  <c:v>66.22433016852689</c:v>
                </c:pt>
                <c:pt idx="40">
                  <c:v>66.229178829658949</c:v>
                </c:pt>
                <c:pt idx="41">
                  <c:v>66.234027490791007</c:v>
                </c:pt>
                <c:pt idx="42">
                  <c:v>66.238876151923066</c:v>
                </c:pt>
                <c:pt idx="43">
                  <c:v>66.243724813055124</c:v>
                </c:pt>
                <c:pt idx="44">
                  <c:v>66.248573474187182</c:v>
                </c:pt>
                <c:pt idx="45">
                  <c:v>66.253422135319241</c:v>
                </c:pt>
                <c:pt idx="46">
                  <c:v>66.258270796451299</c:v>
                </c:pt>
                <c:pt idx="47">
                  <c:v>66.263119457583358</c:v>
                </c:pt>
                <c:pt idx="48">
                  <c:v>66.267968118715416</c:v>
                </c:pt>
                <c:pt idx="49">
                  <c:v>66.272816779847474</c:v>
                </c:pt>
                <c:pt idx="50">
                  <c:v>66.277665440979533</c:v>
                </c:pt>
                <c:pt idx="51">
                  <c:v>66.282514102111591</c:v>
                </c:pt>
                <c:pt idx="52">
                  <c:v>66.28736276324365</c:v>
                </c:pt>
                <c:pt idx="53">
                  <c:v>66.292211424375708</c:v>
                </c:pt>
                <c:pt idx="54">
                  <c:v>66.297060085507766</c:v>
                </c:pt>
                <c:pt idx="55">
                  <c:v>66.301908746639825</c:v>
                </c:pt>
                <c:pt idx="56">
                  <c:v>66.306757407771883</c:v>
                </c:pt>
                <c:pt idx="57">
                  <c:v>66.311606068903941</c:v>
                </c:pt>
                <c:pt idx="58">
                  <c:v>66.316454730036</c:v>
                </c:pt>
                <c:pt idx="59">
                  <c:v>66.321303391168058</c:v>
                </c:pt>
                <c:pt idx="60">
                  <c:v>66.326152052300117</c:v>
                </c:pt>
                <c:pt idx="61">
                  <c:v>66.331000713432175</c:v>
                </c:pt>
                <c:pt idx="62">
                  <c:v>66.335849374564233</c:v>
                </c:pt>
                <c:pt idx="63">
                  <c:v>66.340698035696292</c:v>
                </c:pt>
                <c:pt idx="64">
                  <c:v>66.34554669682835</c:v>
                </c:pt>
                <c:pt idx="65">
                  <c:v>66.350395357960409</c:v>
                </c:pt>
                <c:pt idx="66">
                  <c:v>66.355244019092467</c:v>
                </c:pt>
                <c:pt idx="67">
                  <c:v>66.360092680224525</c:v>
                </c:pt>
                <c:pt idx="68">
                  <c:v>66.364941341356584</c:v>
                </c:pt>
                <c:pt idx="69">
                  <c:v>66.369790002488642</c:v>
                </c:pt>
                <c:pt idx="70">
                  <c:v>66.374638663620701</c:v>
                </c:pt>
                <c:pt idx="71">
                  <c:v>66.379487324752759</c:v>
                </c:pt>
                <c:pt idx="72">
                  <c:v>66.384335985884817</c:v>
                </c:pt>
                <c:pt idx="73">
                  <c:v>66.389184647016876</c:v>
                </c:pt>
                <c:pt idx="74">
                  <c:v>66.394033308148934</c:v>
                </c:pt>
                <c:pt idx="75">
                  <c:v>66.398881969280993</c:v>
                </c:pt>
                <c:pt idx="76">
                  <c:v>66.403730630413051</c:v>
                </c:pt>
                <c:pt idx="77">
                  <c:v>66.408579291545109</c:v>
                </c:pt>
                <c:pt idx="78">
                  <c:v>66.413427952677168</c:v>
                </c:pt>
                <c:pt idx="79">
                  <c:v>66.418276613809226</c:v>
                </c:pt>
                <c:pt idx="80">
                  <c:v>66.423125274941285</c:v>
                </c:pt>
              </c:numCache>
            </c:numRef>
          </c:val>
          <c:smooth val="0"/>
          <c:extLst>
            <c:ext xmlns:c16="http://schemas.microsoft.com/office/drawing/2014/chart" uri="{C3380CC4-5D6E-409C-BE32-E72D297353CC}">
              <c16:uniqueId val="{00000003-846E-FB4F-B2CC-3FBD42C3DD41}"/>
            </c:ext>
          </c:extLst>
        </c:ser>
        <c:ser>
          <c:idx val="4"/>
          <c:order val="3"/>
          <c:tx>
            <c:strRef>
              <c:f>Results!$F$33</c:f>
              <c:strCache>
                <c:ptCount val="1"/>
                <c:pt idx="0">
                  <c:v>CCGT in Belgium (2020), WACC 0 %, LC Case 4</c:v>
                </c:pt>
              </c:strCache>
            </c:strRef>
          </c:tx>
          <c:spPr>
            <a:ln w="28575" cap="rnd">
              <a:solidFill>
                <a:schemeClr val="accent5"/>
              </a:solidFill>
              <a:round/>
            </a:ln>
            <a:effectLst/>
          </c:spPr>
          <c:marker>
            <c:symbol val="none"/>
          </c:marker>
          <c:cat>
            <c:numRef>
              <c:f>Results!$B$34:$B$114</c:f>
              <c:numCache>
                <c:formatCode>General</c:formatCode>
                <c:ptCount val="8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pt idx="51">
                  <c:v>2071</c:v>
                </c:pt>
                <c:pt idx="52">
                  <c:v>2072</c:v>
                </c:pt>
                <c:pt idx="53">
                  <c:v>2073</c:v>
                </c:pt>
                <c:pt idx="54">
                  <c:v>2074</c:v>
                </c:pt>
                <c:pt idx="55">
                  <c:v>2075</c:v>
                </c:pt>
                <c:pt idx="56">
                  <c:v>2076</c:v>
                </c:pt>
                <c:pt idx="57">
                  <c:v>2077</c:v>
                </c:pt>
                <c:pt idx="58">
                  <c:v>2078</c:v>
                </c:pt>
                <c:pt idx="59">
                  <c:v>2079</c:v>
                </c:pt>
                <c:pt idx="60">
                  <c:v>2080</c:v>
                </c:pt>
                <c:pt idx="61">
                  <c:v>2081</c:v>
                </c:pt>
                <c:pt idx="62">
                  <c:v>2082</c:v>
                </c:pt>
                <c:pt idx="63">
                  <c:v>2083</c:v>
                </c:pt>
                <c:pt idx="64">
                  <c:v>2084</c:v>
                </c:pt>
                <c:pt idx="65">
                  <c:v>2085</c:v>
                </c:pt>
                <c:pt idx="66">
                  <c:v>2086</c:v>
                </c:pt>
                <c:pt idx="67">
                  <c:v>2087</c:v>
                </c:pt>
                <c:pt idx="68">
                  <c:v>2088</c:v>
                </c:pt>
                <c:pt idx="69">
                  <c:v>2089</c:v>
                </c:pt>
                <c:pt idx="70">
                  <c:v>2090</c:v>
                </c:pt>
                <c:pt idx="71">
                  <c:v>2091</c:v>
                </c:pt>
                <c:pt idx="72">
                  <c:v>2092</c:v>
                </c:pt>
                <c:pt idx="73">
                  <c:v>2093</c:v>
                </c:pt>
                <c:pt idx="74">
                  <c:v>2094</c:v>
                </c:pt>
                <c:pt idx="75">
                  <c:v>2095</c:v>
                </c:pt>
                <c:pt idx="76">
                  <c:v>2096</c:v>
                </c:pt>
                <c:pt idx="77">
                  <c:v>2097</c:v>
                </c:pt>
                <c:pt idx="78">
                  <c:v>2098</c:v>
                </c:pt>
                <c:pt idx="79">
                  <c:v>2099</c:v>
                </c:pt>
                <c:pt idx="80">
                  <c:v>2100</c:v>
                </c:pt>
              </c:numCache>
            </c:numRef>
          </c:cat>
          <c:val>
            <c:numRef>
              <c:f>Results!$F$34:$F$114</c:f>
              <c:numCache>
                <c:formatCode>0.00</c:formatCode>
                <c:ptCount val="81"/>
                <c:pt idx="0">
                  <c:v>68.258027098634017</c:v>
                </c:pt>
                <c:pt idx="1">
                  <c:v>68.262875759766075</c:v>
                </c:pt>
                <c:pt idx="2">
                  <c:v>68.267724420898134</c:v>
                </c:pt>
                <c:pt idx="3">
                  <c:v>68.272573082030192</c:v>
                </c:pt>
                <c:pt idx="4">
                  <c:v>68.27742174316225</c:v>
                </c:pt>
                <c:pt idx="5">
                  <c:v>68.282270404294309</c:v>
                </c:pt>
                <c:pt idx="6">
                  <c:v>68.287119065426367</c:v>
                </c:pt>
                <c:pt idx="7">
                  <c:v>68.291967726558426</c:v>
                </c:pt>
                <c:pt idx="8">
                  <c:v>68.296816387690484</c:v>
                </c:pt>
                <c:pt idx="9">
                  <c:v>68.301665048822542</c:v>
                </c:pt>
                <c:pt idx="10">
                  <c:v>68.306513709954601</c:v>
                </c:pt>
                <c:pt idx="11">
                  <c:v>68.311362371086659</c:v>
                </c:pt>
                <c:pt idx="12">
                  <c:v>68.316211032218717</c:v>
                </c:pt>
                <c:pt idx="13">
                  <c:v>68.321059693350776</c:v>
                </c:pt>
                <c:pt idx="14">
                  <c:v>68.325908354482834</c:v>
                </c:pt>
                <c:pt idx="15">
                  <c:v>68.330757015614893</c:v>
                </c:pt>
                <c:pt idx="16">
                  <c:v>68.335605676746951</c:v>
                </c:pt>
                <c:pt idx="17">
                  <c:v>68.340454337879009</c:v>
                </c:pt>
                <c:pt idx="18">
                  <c:v>68.345302999011068</c:v>
                </c:pt>
                <c:pt idx="19">
                  <c:v>68.350151660143126</c:v>
                </c:pt>
                <c:pt idx="20">
                  <c:v>68.355000321275185</c:v>
                </c:pt>
                <c:pt idx="21">
                  <c:v>68.359848982407243</c:v>
                </c:pt>
                <c:pt idx="22">
                  <c:v>68.364697643539301</c:v>
                </c:pt>
                <c:pt idx="23">
                  <c:v>68.36954630467136</c:v>
                </c:pt>
                <c:pt idx="24">
                  <c:v>68.374394965803418</c:v>
                </c:pt>
                <c:pt idx="25">
                  <c:v>68.379243626935477</c:v>
                </c:pt>
                <c:pt idx="26">
                  <c:v>68.384092288067535</c:v>
                </c:pt>
                <c:pt idx="27">
                  <c:v>68.388940949199593</c:v>
                </c:pt>
                <c:pt idx="28">
                  <c:v>68.393789610331652</c:v>
                </c:pt>
                <c:pt idx="29">
                  <c:v>68.39863827146371</c:v>
                </c:pt>
                <c:pt idx="30">
                  <c:v>68.403486932595769</c:v>
                </c:pt>
                <c:pt idx="31">
                  <c:v>68.408335593727827</c:v>
                </c:pt>
                <c:pt idx="32">
                  <c:v>68.413184254859885</c:v>
                </c:pt>
                <c:pt idx="33">
                  <c:v>68.418032915991944</c:v>
                </c:pt>
                <c:pt idx="34">
                  <c:v>68.422881577124002</c:v>
                </c:pt>
                <c:pt idx="35">
                  <c:v>68.427730238256061</c:v>
                </c:pt>
                <c:pt idx="36">
                  <c:v>68.432578899388119</c:v>
                </c:pt>
                <c:pt idx="37">
                  <c:v>68.437427560520177</c:v>
                </c:pt>
                <c:pt idx="38">
                  <c:v>68.442276221652236</c:v>
                </c:pt>
                <c:pt idx="39">
                  <c:v>68.447124882784294</c:v>
                </c:pt>
                <c:pt idx="40">
                  <c:v>68.451973543916353</c:v>
                </c:pt>
                <c:pt idx="41">
                  <c:v>68.456822205048411</c:v>
                </c:pt>
                <c:pt idx="42">
                  <c:v>68.461670866180469</c:v>
                </c:pt>
                <c:pt idx="43">
                  <c:v>68.466519527312528</c:v>
                </c:pt>
                <c:pt idx="44">
                  <c:v>68.471368188444586</c:v>
                </c:pt>
                <c:pt idx="45">
                  <c:v>68.476216849576645</c:v>
                </c:pt>
                <c:pt idx="46">
                  <c:v>68.481065510708703</c:v>
                </c:pt>
                <c:pt idx="47">
                  <c:v>68.485914171840761</c:v>
                </c:pt>
                <c:pt idx="48">
                  <c:v>68.49076283297282</c:v>
                </c:pt>
                <c:pt idx="49">
                  <c:v>68.495611494104878</c:v>
                </c:pt>
                <c:pt idx="50">
                  <c:v>68.500460155236937</c:v>
                </c:pt>
                <c:pt idx="51">
                  <c:v>68.505308816368995</c:v>
                </c:pt>
                <c:pt idx="52">
                  <c:v>68.510157477501053</c:v>
                </c:pt>
                <c:pt idx="53">
                  <c:v>68.515006138633112</c:v>
                </c:pt>
                <c:pt idx="54">
                  <c:v>68.51985479976517</c:v>
                </c:pt>
                <c:pt idx="55">
                  <c:v>68.524703460897229</c:v>
                </c:pt>
                <c:pt idx="56">
                  <c:v>68.529552122029287</c:v>
                </c:pt>
                <c:pt idx="57">
                  <c:v>68.534400783161345</c:v>
                </c:pt>
                <c:pt idx="58">
                  <c:v>68.539249444293404</c:v>
                </c:pt>
                <c:pt idx="59">
                  <c:v>68.544098105425462</c:v>
                </c:pt>
                <c:pt idx="60">
                  <c:v>68.548946766557521</c:v>
                </c:pt>
                <c:pt idx="61">
                  <c:v>68.553795427689579</c:v>
                </c:pt>
                <c:pt idx="62">
                  <c:v>68.558644088821637</c:v>
                </c:pt>
                <c:pt idx="63">
                  <c:v>68.563492749953696</c:v>
                </c:pt>
                <c:pt idx="64">
                  <c:v>68.568341411085754</c:v>
                </c:pt>
                <c:pt idx="65">
                  <c:v>68.573190072217812</c:v>
                </c:pt>
                <c:pt idx="66">
                  <c:v>68.578038733349871</c:v>
                </c:pt>
                <c:pt idx="67">
                  <c:v>68.582887394481929</c:v>
                </c:pt>
                <c:pt idx="68">
                  <c:v>68.587736055613988</c:v>
                </c:pt>
                <c:pt idx="69">
                  <c:v>68.592584716746046</c:v>
                </c:pt>
                <c:pt idx="70">
                  <c:v>68.597433377878104</c:v>
                </c:pt>
                <c:pt idx="71">
                  <c:v>68.602282039010163</c:v>
                </c:pt>
                <c:pt idx="72">
                  <c:v>68.607130700142221</c:v>
                </c:pt>
                <c:pt idx="73">
                  <c:v>68.61197936127428</c:v>
                </c:pt>
                <c:pt idx="74">
                  <c:v>68.616828022406338</c:v>
                </c:pt>
                <c:pt idx="75">
                  <c:v>68.621676683538396</c:v>
                </c:pt>
                <c:pt idx="76">
                  <c:v>68.626525344670455</c:v>
                </c:pt>
                <c:pt idx="77">
                  <c:v>68.631374005802513</c:v>
                </c:pt>
                <c:pt idx="78">
                  <c:v>68.636222666934572</c:v>
                </c:pt>
                <c:pt idx="79">
                  <c:v>68.64107132806663</c:v>
                </c:pt>
                <c:pt idx="80">
                  <c:v>68.645919989198688</c:v>
                </c:pt>
              </c:numCache>
            </c:numRef>
          </c:val>
          <c:smooth val="0"/>
          <c:extLst>
            <c:ext xmlns:c16="http://schemas.microsoft.com/office/drawing/2014/chart" uri="{C3380CC4-5D6E-409C-BE32-E72D297353CC}">
              <c16:uniqueId val="{00000004-846E-FB4F-B2CC-3FBD42C3DD41}"/>
            </c:ext>
          </c:extLst>
        </c:ser>
        <c:ser>
          <c:idx val="5"/>
          <c:order val="4"/>
          <c:tx>
            <c:strRef>
              <c:f>Results!$G$33</c:f>
              <c:strCache>
                <c:ptCount val="1"/>
                <c:pt idx="0">
                  <c:v>CCGT in Belgium (2020), WACC 0 %, LC Case 5</c:v>
                </c:pt>
              </c:strCache>
            </c:strRef>
          </c:tx>
          <c:spPr>
            <a:ln w="28575" cap="rnd">
              <a:solidFill>
                <a:schemeClr val="accent6"/>
              </a:solidFill>
              <a:round/>
            </a:ln>
            <a:effectLst/>
          </c:spPr>
          <c:marker>
            <c:symbol val="none"/>
          </c:marker>
          <c:cat>
            <c:numRef>
              <c:f>Results!$B$34:$B$114</c:f>
              <c:numCache>
                <c:formatCode>General</c:formatCode>
                <c:ptCount val="8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pt idx="51">
                  <c:v>2071</c:v>
                </c:pt>
                <c:pt idx="52">
                  <c:v>2072</c:v>
                </c:pt>
                <c:pt idx="53">
                  <c:v>2073</c:v>
                </c:pt>
                <c:pt idx="54">
                  <c:v>2074</c:v>
                </c:pt>
                <c:pt idx="55">
                  <c:v>2075</c:v>
                </c:pt>
                <c:pt idx="56">
                  <c:v>2076</c:v>
                </c:pt>
                <c:pt idx="57">
                  <c:v>2077</c:v>
                </c:pt>
                <c:pt idx="58">
                  <c:v>2078</c:v>
                </c:pt>
                <c:pt idx="59">
                  <c:v>2079</c:v>
                </c:pt>
                <c:pt idx="60">
                  <c:v>2080</c:v>
                </c:pt>
                <c:pt idx="61">
                  <c:v>2081</c:v>
                </c:pt>
                <c:pt idx="62">
                  <c:v>2082</c:v>
                </c:pt>
                <c:pt idx="63">
                  <c:v>2083</c:v>
                </c:pt>
                <c:pt idx="64">
                  <c:v>2084</c:v>
                </c:pt>
                <c:pt idx="65">
                  <c:v>2085</c:v>
                </c:pt>
                <c:pt idx="66">
                  <c:v>2086</c:v>
                </c:pt>
                <c:pt idx="67">
                  <c:v>2087</c:v>
                </c:pt>
                <c:pt idx="68">
                  <c:v>2088</c:v>
                </c:pt>
                <c:pt idx="69">
                  <c:v>2089</c:v>
                </c:pt>
                <c:pt idx="70">
                  <c:v>2090</c:v>
                </c:pt>
                <c:pt idx="71">
                  <c:v>2091</c:v>
                </c:pt>
                <c:pt idx="72">
                  <c:v>2092</c:v>
                </c:pt>
                <c:pt idx="73">
                  <c:v>2093</c:v>
                </c:pt>
                <c:pt idx="74">
                  <c:v>2094</c:v>
                </c:pt>
                <c:pt idx="75">
                  <c:v>2095</c:v>
                </c:pt>
                <c:pt idx="76">
                  <c:v>2096</c:v>
                </c:pt>
                <c:pt idx="77">
                  <c:v>2097</c:v>
                </c:pt>
                <c:pt idx="78">
                  <c:v>2098</c:v>
                </c:pt>
                <c:pt idx="79">
                  <c:v>2099</c:v>
                </c:pt>
                <c:pt idx="80">
                  <c:v>2100</c:v>
                </c:pt>
              </c:numCache>
            </c:numRef>
          </c:cat>
          <c:val>
            <c:numRef>
              <c:f>Results!$G$34:$G$114</c:f>
              <c:numCache>
                <c:formatCode>0.00</c:formatCode>
                <c:ptCount val="81"/>
                <c:pt idx="0">
                  <c:v>69.460823747961442</c:v>
                </c:pt>
                <c:pt idx="1">
                  <c:v>69.4656724090935</c:v>
                </c:pt>
                <c:pt idx="2">
                  <c:v>69.470521070225558</c:v>
                </c:pt>
                <c:pt idx="3">
                  <c:v>69.475369731357617</c:v>
                </c:pt>
                <c:pt idx="4">
                  <c:v>69.480218392489675</c:v>
                </c:pt>
                <c:pt idx="5">
                  <c:v>69.485067053621734</c:v>
                </c:pt>
                <c:pt idx="6">
                  <c:v>69.489915714753792</c:v>
                </c:pt>
                <c:pt idx="7">
                  <c:v>69.49476437588585</c:v>
                </c:pt>
                <c:pt idx="8">
                  <c:v>69.499613037017909</c:v>
                </c:pt>
                <c:pt idx="9">
                  <c:v>69.504461698149967</c:v>
                </c:pt>
                <c:pt idx="10">
                  <c:v>69.509310359282026</c:v>
                </c:pt>
                <c:pt idx="11">
                  <c:v>69.514159020414084</c:v>
                </c:pt>
                <c:pt idx="12">
                  <c:v>69.519007681546142</c:v>
                </c:pt>
                <c:pt idx="13">
                  <c:v>69.523856342678201</c:v>
                </c:pt>
                <c:pt idx="14">
                  <c:v>69.528705003810259</c:v>
                </c:pt>
                <c:pt idx="15">
                  <c:v>69.533553664942318</c:v>
                </c:pt>
                <c:pt idx="16">
                  <c:v>69.538402326074376</c:v>
                </c:pt>
                <c:pt idx="17">
                  <c:v>69.543250987206434</c:v>
                </c:pt>
                <c:pt idx="18">
                  <c:v>69.548099648338493</c:v>
                </c:pt>
                <c:pt idx="19">
                  <c:v>69.552948309470551</c:v>
                </c:pt>
                <c:pt idx="20">
                  <c:v>69.55779697060261</c:v>
                </c:pt>
                <c:pt idx="21">
                  <c:v>69.562645631734668</c:v>
                </c:pt>
                <c:pt idx="22">
                  <c:v>69.567494292866726</c:v>
                </c:pt>
                <c:pt idx="23">
                  <c:v>69.572342953998785</c:v>
                </c:pt>
                <c:pt idx="24">
                  <c:v>69.577191615130843</c:v>
                </c:pt>
                <c:pt idx="25">
                  <c:v>69.582040276262902</c:v>
                </c:pt>
                <c:pt idx="26">
                  <c:v>69.58688893739496</c:v>
                </c:pt>
                <c:pt idx="27">
                  <c:v>69.591737598527018</c:v>
                </c:pt>
                <c:pt idx="28">
                  <c:v>69.596586259659077</c:v>
                </c:pt>
                <c:pt idx="29">
                  <c:v>69.601434920791135</c:v>
                </c:pt>
                <c:pt idx="30">
                  <c:v>69.606283581923194</c:v>
                </c:pt>
                <c:pt idx="31">
                  <c:v>69.611132243055252</c:v>
                </c:pt>
                <c:pt idx="32">
                  <c:v>69.61598090418731</c:v>
                </c:pt>
                <c:pt idx="33">
                  <c:v>69.620829565319369</c:v>
                </c:pt>
                <c:pt idx="34">
                  <c:v>69.625678226451427</c:v>
                </c:pt>
                <c:pt idx="35">
                  <c:v>69.630526887583486</c:v>
                </c:pt>
                <c:pt idx="36">
                  <c:v>69.635375548715544</c:v>
                </c:pt>
                <c:pt idx="37">
                  <c:v>69.640224209847602</c:v>
                </c:pt>
                <c:pt idx="38">
                  <c:v>69.645072870979661</c:v>
                </c:pt>
                <c:pt idx="39">
                  <c:v>69.649921532111719</c:v>
                </c:pt>
                <c:pt idx="40">
                  <c:v>69.654770193243777</c:v>
                </c:pt>
                <c:pt idx="41">
                  <c:v>69.659618854375836</c:v>
                </c:pt>
                <c:pt idx="42">
                  <c:v>69.664467515507894</c:v>
                </c:pt>
                <c:pt idx="43">
                  <c:v>69.669316176639953</c:v>
                </c:pt>
                <c:pt idx="44">
                  <c:v>69.674164837772011</c:v>
                </c:pt>
                <c:pt idx="45">
                  <c:v>69.679013498904069</c:v>
                </c:pt>
                <c:pt idx="46">
                  <c:v>69.683862160036128</c:v>
                </c:pt>
                <c:pt idx="47">
                  <c:v>69.688710821168186</c:v>
                </c:pt>
                <c:pt idx="48">
                  <c:v>69.693559482300245</c:v>
                </c:pt>
                <c:pt idx="49">
                  <c:v>69.698408143432303</c:v>
                </c:pt>
                <c:pt idx="50">
                  <c:v>69.703256804564361</c:v>
                </c:pt>
                <c:pt idx="51">
                  <c:v>69.70810546569642</c:v>
                </c:pt>
                <c:pt idx="52">
                  <c:v>69.712954126828478</c:v>
                </c:pt>
                <c:pt idx="53">
                  <c:v>69.717802787960537</c:v>
                </c:pt>
                <c:pt idx="54">
                  <c:v>69.722651449092595</c:v>
                </c:pt>
                <c:pt idx="55">
                  <c:v>69.727500110224653</c:v>
                </c:pt>
                <c:pt idx="56">
                  <c:v>69.732348771356712</c:v>
                </c:pt>
                <c:pt idx="57">
                  <c:v>69.73719743248877</c:v>
                </c:pt>
                <c:pt idx="58">
                  <c:v>69.742046093620829</c:v>
                </c:pt>
                <c:pt idx="59">
                  <c:v>69.746894754752887</c:v>
                </c:pt>
                <c:pt idx="60">
                  <c:v>69.751743415884945</c:v>
                </c:pt>
                <c:pt idx="61">
                  <c:v>69.756592077017004</c:v>
                </c:pt>
                <c:pt idx="62">
                  <c:v>69.761440738149062</c:v>
                </c:pt>
                <c:pt idx="63">
                  <c:v>69.766289399281121</c:v>
                </c:pt>
                <c:pt idx="64">
                  <c:v>69.771138060413179</c:v>
                </c:pt>
                <c:pt idx="65">
                  <c:v>69.775986721545237</c:v>
                </c:pt>
                <c:pt idx="66">
                  <c:v>69.780835382677296</c:v>
                </c:pt>
                <c:pt idx="67">
                  <c:v>69.785684043809354</c:v>
                </c:pt>
                <c:pt idx="68">
                  <c:v>69.790532704941413</c:v>
                </c:pt>
                <c:pt idx="69">
                  <c:v>69.795381366073471</c:v>
                </c:pt>
                <c:pt idx="70">
                  <c:v>69.800230027205529</c:v>
                </c:pt>
                <c:pt idx="71">
                  <c:v>69.805078688337588</c:v>
                </c:pt>
                <c:pt idx="72">
                  <c:v>69.809927349469646</c:v>
                </c:pt>
                <c:pt idx="73">
                  <c:v>69.814776010601705</c:v>
                </c:pt>
                <c:pt idx="74">
                  <c:v>69.819624671733763</c:v>
                </c:pt>
                <c:pt idx="75">
                  <c:v>69.824473332865821</c:v>
                </c:pt>
                <c:pt idx="76">
                  <c:v>69.82932199399788</c:v>
                </c:pt>
                <c:pt idx="77">
                  <c:v>69.834170655129938</c:v>
                </c:pt>
                <c:pt idx="78">
                  <c:v>69.839019316261997</c:v>
                </c:pt>
                <c:pt idx="79">
                  <c:v>69.843867977394055</c:v>
                </c:pt>
                <c:pt idx="80">
                  <c:v>69.848716638526113</c:v>
                </c:pt>
              </c:numCache>
            </c:numRef>
          </c:val>
          <c:smooth val="0"/>
          <c:extLst>
            <c:ext xmlns:c16="http://schemas.microsoft.com/office/drawing/2014/chart" uri="{C3380CC4-5D6E-409C-BE32-E72D297353CC}">
              <c16:uniqueId val="{00000005-846E-FB4F-B2CC-3FBD42C3DD41}"/>
            </c:ext>
          </c:extLst>
        </c:ser>
        <c:ser>
          <c:idx val="6"/>
          <c:order val="5"/>
          <c:tx>
            <c:strRef>
              <c:f>Results!$H$33</c:f>
              <c:strCache>
                <c:ptCount val="1"/>
                <c:pt idx="0">
                  <c:v>CCGT in Belgium (2020), WACC 0 %, LC Case 6</c:v>
                </c:pt>
              </c:strCache>
            </c:strRef>
          </c:tx>
          <c:spPr>
            <a:ln w="28575" cap="rnd">
              <a:solidFill>
                <a:schemeClr val="accent1">
                  <a:lumMod val="60000"/>
                </a:schemeClr>
              </a:solidFill>
              <a:round/>
            </a:ln>
            <a:effectLst/>
          </c:spPr>
          <c:marker>
            <c:symbol val="none"/>
          </c:marker>
          <c:cat>
            <c:numRef>
              <c:f>Results!$B$34:$B$114</c:f>
              <c:numCache>
                <c:formatCode>General</c:formatCode>
                <c:ptCount val="8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pt idx="51">
                  <c:v>2071</c:v>
                </c:pt>
                <c:pt idx="52">
                  <c:v>2072</c:v>
                </c:pt>
                <c:pt idx="53">
                  <c:v>2073</c:v>
                </c:pt>
                <c:pt idx="54">
                  <c:v>2074</c:v>
                </c:pt>
                <c:pt idx="55">
                  <c:v>2075</c:v>
                </c:pt>
                <c:pt idx="56">
                  <c:v>2076</c:v>
                </c:pt>
                <c:pt idx="57">
                  <c:v>2077</c:v>
                </c:pt>
                <c:pt idx="58">
                  <c:v>2078</c:v>
                </c:pt>
                <c:pt idx="59">
                  <c:v>2079</c:v>
                </c:pt>
                <c:pt idx="60">
                  <c:v>2080</c:v>
                </c:pt>
                <c:pt idx="61">
                  <c:v>2081</c:v>
                </c:pt>
                <c:pt idx="62">
                  <c:v>2082</c:v>
                </c:pt>
                <c:pt idx="63">
                  <c:v>2083</c:v>
                </c:pt>
                <c:pt idx="64">
                  <c:v>2084</c:v>
                </c:pt>
                <c:pt idx="65">
                  <c:v>2085</c:v>
                </c:pt>
                <c:pt idx="66">
                  <c:v>2086</c:v>
                </c:pt>
                <c:pt idx="67">
                  <c:v>2087</c:v>
                </c:pt>
                <c:pt idx="68">
                  <c:v>2088</c:v>
                </c:pt>
                <c:pt idx="69">
                  <c:v>2089</c:v>
                </c:pt>
                <c:pt idx="70">
                  <c:v>2090</c:v>
                </c:pt>
                <c:pt idx="71">
                  <c:v>2091</c:v>
                </c:pt>
                <c:pt idx="72">
                  <c:v>2092</c:v>
                </c:pt>
                <c:pt idx="73">
                  <c:v>2093</c:v>
                </c:pt>
                <c:pt idx="74">
                  <c:v>2094</c:v>
                </c:pt>
                <c:pt idx="75">
                  <c:v>2095</c:v>
                </c:pt>
                <c:pt idx="76">
                  <c:v>2096</c:v>
                </c:pt>
                <c:pt idx="77">
                  <c:v>2097</c:v>
                </c:pt>
                <c:pt idx="78">
                  <c:v>2098</c:v>
                </c:pt>
                <c:pt idx="79">
                  <c:v>2099</c:v>
                </c:pt>
                <c:pt idx="80">
                  <c:v>2100</c:v>
                </c:pt>
              </c:numCache>
            </c:numRef>
          </c:cat>
          <c:val>
            <c:numRef>
              <c:f>Results!$H$34:$H$114</c:f>
              <c:numCache>
                <c:formatCode>0.00</c:formatCode>
                <c:ptCount val="81"/>
                <c:pt idx="0">
                  <c:v>72.022032500546203</c:v>
                </c:pt>
                <c:pt idx="1">
                  <c:v>72.026881161678261</c:v>
                </c:pt>
                <c:pt idx="2">
                  <c:v>72.03172982281032</c:v>
                </c:pt>
                <c:pt idx="3">
                  <c:v>72.036578483942378</c:v>
                </c:pt>
                <c:pt idx="4">
                  <c:v>72.041427145074437</c:v>
                </c:pt>
                <c:pt idx="5">
                  <c:v>72.046275806206495</c:v>
                </c:pt>
                <c:pt idx="6">
                  <c:v>72.051124467338553</c:v>
                </c:pt>
                <c:pt idx="7">
                  <c:v>72.055973128470612</c:v>
                </c:pt>
                <c:pt idx="8">
                  <c:v>72.06082178960267</c:v>
                </c:pt>
                <c:pt idx="9">
                  <c:v>72.065670450734729</c:v>
                </c:pt>
                <c:pt idx="10">
                  <c:v>72.070519111866787</c:v>
                </c:pt>
                <c:pt idx="11">
                  <c:v>72.075367772998845</c:v>
                </c:pt>
                <c:pt idx="12">
                  <c:v>72.080216434130904</c:v>
                </c:pt>
                <c:pt idx="13">
                  <c:v>72.085065095262962</c:v>
                </c:pt>
                <c:pt idx="14">
                  <c:v>72.089913756395021</c:v>
                </c:pt>
                <c:pt idx="15">
                  <c:v>72.094762417527079</c:v>
                </c:pt>
                <c:pt idx="16">
                  <c:v>72.099611078659137</c:v>
                </c:pt>
                <c:pt idx="17">
                  <c:v>72.104459739791196</c:v>
                </c:pt>
                <c:pt idx="18">
                  <c:v>72.109308400923254</c:v>
                </c:pt>
                <c:pt idx="19">
                  <c:v>72.114157062055313</c:v>
                </c:pt>
                <c:pt idx="20">
                  <c:v>72.119005723187371</c:v>
                </c:pt>
                <c:pt idx="21">
                  <c:v>72.123854384319429</c:v>
                </c:pt>
                <c:pt idx="22">
                  <c:v>72.128703045451488</c:v>
                </c:pt>
                <c:pt idx="23">
                  <c:v>72.133551706583546</c:v>
                </c:pt>
                <c:pt idx="24">
                  <c:v>72.138400367715604</c:v>
                </c:pt>
                <c:pt idx="25">
                  <c:v>72.143249028847663</c:v>
                </c:pt>
                <c:pt idx="26">
                  <c:v>72.148097689979721</c:v>
                </c:pt>
                <c:pt idx="27">
                  <c:v>72.15294635111178</c:v>
                </c:pt>
                <c:pt idx="28">
                  <c:v>72.157795012243838</c:v>
                </c:pt>
                <c:pt idx="29">
                  <c:v>72.162643673375896</c:v>
                </c:pt>
                <c:pt idx="30">
                  <c:v>72.167492334507955</c:v>
                </c:pt>
                <c:pt idx="31">
                  <c:v>72.172340995640013</c:v>
                </c:pt>
                <c:pt idx="32">
                  <c:v>72.177189656772072</c:v>
                </c:pt>
                <c:pt idx="33">
                  <c:v>72.18203831790413</c:v>
                </c:pt>
                <c:pt idx="34">
                  <c:v>72.186886979036188</c:v>
                </c:pt>
                <c:pt idx="35">
                  <c:v>72.191735640168247</c:v>
                </c:pt>
                <c:pt idx="36">
                  <c:v>72.196584301300305</c:v>
                </c:pt>
                <c:pt idx="37">
                  <c:v>72.201432962432364</c:v>
                </c:pt>
                <c:pt idx="38">
                  <c:v>72.206281623564422</c:v>
                </c:pt>
                <c:pt idx="39">
                  <c:v>72.21113028469648</c:v>
                </c:pt>
                <c:pt idx="40">
                  <c:v>72.215978945828539</c:v>
                </c:pt>
                <c:pt idx="41">
                  <c:v>72.220827606960597</c:v>
                </c:pt>
                <c:pt idx="42">
                  <c:v>72.225676268092656</c:v>
                </c:pt>
                <c:pt idx="43">
                  <c:v>72.230524929224714</c:v>
                </c:pt>
                <c:pt idx="44">
                  <c:v>72.235373590356772</c:v>
                </c:pt>
                <c:pt idx="45">
                  <c:v>72.240222251488831</c:v>
                </c:pt>
                <c:pt idx="46">
                  <c:v>72.245070912620889</c:v>
                </c:pt>
                <c:pt idx="47">
                  <c:v>72.249919573752948</c:v>
                </c:pt>
                <c:pt idx="48">
                  <c:v>72.254768234885006</c:v>
                </c:pt>
                <c:pt idx="49">
                  <c:v>72.259616896017064</c:v>
                </c:pt>
                <c:pt idx="50">
                  <c:v>72.264465557149123</c:v>
                </c:pt>
                <c:pt idx="51">
                  <c:v>72.269314218281181</c:v>
                </c:pt>
                <c:pt idx="52">
                  <c:v>72.27416287941324</c:v>
                </c:pt>
                <c:pt idx="53">
                  <c:v>72.279011540545298</c:v>
                </c:pt>
                <c:pt idx="54">
                  <c:v>72.283860201677356</c:v>
                </c:pt>
                <c:pt idx="55">
                  <c:v>72.288708862809415</c:v>
                </c:pt>
                <c:pt idx="56">
                  <c:v>72.293557523941473</c:v>
                </c:pt>
                <c:pt idx="57">
                  <c:v>72.298406185073532</c:v>
                </c:pt>
                <c:pt idx="58">
                  <c:v>72.30325484620559</c:v>
                </c:pt>
                <c:pt idx="59">
                  <c:v>72.308103507337648</c:v>
                </c:pt>
                <c:pt idx="60">
                  <c:v>72.312952168469707</c:v>
                </c:pt>
                <c:pt idx="61">
                  <c:v>72.317800829601765</c:v>
                </c:pt>
                <c:pt idx="62">
                  <c:v>72.322649490733824</c:v>
                </c:pt>
                <c:pt idx="63">
                  <c:v>72.327498151865882</c:v>
                </c:pt>
                <c:pt idx="64">
                  <c:v>72.33234681299794</c:v>
                </c:pt>
                <c:pt idx="65">
                  <c:v>72.337195474129999</c:v>
                </c:pt>
                <c:pt idx="66">
                  <c:v>72.342044135262057</c:v>
                </c:pt>
                <c:pt idx="67">
                  <c:v>72.346892796394116</c:v>
                </c:pt>
                <c:pt idx="68">
                  <c:v>72.351741457526174</c:v>
                </c:pt>
                <c:pt idx="69">
                  <c:v>72.356590118658232</c:v>
                </c:pt>
                <c:pt idx="70">
                  <c:v>72.361438779790291</c:v>
                </c:pt>
                <c:pt idx="71">
                  <c:v>72.366287440922349</c:v>
                </c:pt>
                <c:pt idx="72">
                  <c:v>72.371136102054408</c:v>
                </c:pt>
                <c:pt idx="73">
                  <c:v>72.375984763186466</c:v>
                </c:pt>
                <c:pt idx="74">
                  <c:v>72.380833424318524</c:v>
                </c:pt>
                <c:pt idx="75">
                  <c:v>72.385682085450583</c:v>
                </c:pt>
                <c:pt idx="76">
                  <c:v>72.390530746582641</c:v>
                </c:pt>
                <c:pt idx="77">
                  <c:v>72.395379407714699</c:v>
                </c:pt>
                <c:pt idx="78">
                  <c:v>72.400228068846758</c:v>
                </c:pt>
                <c:pt idx="79">
                  <c:v>72.405076729978816</c:v>
                </c:pt>
                <c:pt idx="80">
                  <c:v>72.409925391110875</c:v>
                </c:pt>
              </c:numCache>
            </c:numRef>
          </c:val>
          <c:smooth val="0"/>
          <c:extLst>
            <c:ext xmlns:c16="http://schemas.microsoft.com/office/drawing/2014/chart" uri="{C3380CC4-5D6E-409C-BE32-E72D297353CC}">
              <c16:uniqueId val="{00000006-846E-FB4F-B2CC-3FBD42C3DD41}"/>
            </c:ext>
          </c:extLst>
        </c:ser>
        <c:ser>
          <c:idx val="7"/>
          <c:order val="6"/>
          <c:tx>
            <c:strRef>
              <c:f>Results!$I$33</c:f>
              <c:strCache>
                <c:ptCount val="1"/>
                <c:pt idx="0">
                  <c:v>CCGT in Belgium (2020), WACC 0 %, LC Case 7</c:v>
                </c:pt>
              </c:strCache>
            </c:strRef>
          </c:tx>
          <c:spPr>
            <a:ln w="28575" cap="rnd">
              <a:solidFill>
                <a:schemeClr val="accent2">
                  <a:lumMod val="60000"/>
                </a:schemeClr>
              </a:solidFill>
              <a:round/>
            </a:ln>
            <a:effectLst/>
          </c:spPr>
          <c:marker>
            <c:symbol val="none"/>
          </c:marker>
          <c:cat>
            <c:numRef>
              <c:f>Results!$B$34:$B$114</c:f>
              <c:numCache>
                <c:formatCode>General</c:formatCode>
                <c:ptCount val="8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pt idx="51">
                  <c:v>2071</c:v>
                </c:pt>
                <c:pt idx="52">
                  <c:v>2072</c:v>
                </c:pt>
                <c:pt idx="53">
                  <c:v>2073</c:v>
                </c:pt>
                <c:pt idx="54">
                  <c:v>2074</c:v>
                </c:pt>
                <c:pt idx="55">
                  <c:v>2075</c:v>
                </c:pt>
                <c:pt idx="56">
                  <c:v>2076</c:v>
                </c:pt>
                <c:pt idx="57">
                  <c:v>2077</c:v>
                </c:pt>
                <c:pt idx="58">
                  <c:v>2078</c:v>
                </c:pt>
                <c:pt idx="59">
                  <c:v>2079</c:v>
                </c:pt>
                <c:pt idx="60">
                  <c:v>2080</c:v>
                </c:pt>
                <c:pt idx="61">
                  <c:v>2081</c:v>
                </c:pt>
                <c:pt idx="62">
                  <c:v>2082</c:v>
                </c:pt>
                <c:pt idx="63">
                  <c:v>2083</c:v>
                </c:pt>
                <c:pt idx="64">
                  <c:v>2084</c:v>
                </c:pt>
                <c:pt idx="65">
                  <c:v>2085</c:v>
                </c:pt>
                <c:pt idx="66">
                  <c:v>2086</c:v>
                </c:pt>
                <c:pt idx="67">
                  <c:v>2087</c:v>
                </c:pt>
                <c:pt idx="68">
                  <c:v>2088</c:v>
                </c:pt>
                <c:pt idx="69">
                  <c:v>2089</c:v>
                </c:pt>
                <c:pt idx="70">
                  <c:v>2090</c:v>
                </c:pt>
                <c:pt idx="71">
                  <c:v>2091</c:v>
                </c:pt>
                <c:pt idx="72">
                  <c:v>2092</c:v>
                </c:pt>
                <c:pt idx="73">
                  <c:v>2093</c:v>
                </c:pt>
                <c:pt idx="74">
                  <c:v>2094</c:v>
                </c:pt>
                <c:pt idx="75">
                  <c:v>2095</c:v>
                </c:pt>
                <c:pt idx="76">
                  <c:v>2096</c:v>
                </c:pt>
                <c:pt idx="77">
                  <c:v>2097</c:v>
                </c:pt>
                <c:pt idx="78">
                  <c:v>2098</c:v>
                </c:pt>
                <c:pt idx="79">
                  <c:v>2099</c:v>
                </c:pt>
                <c:pt idx="80">
                  <c:v>2100</c:v>
                </c:pt>
              </c:numCache>
            </c:numRef>
          </c:cat>
          <c:val>
            <c:numRef>
              <c:f>Results!$I$34:$I$114</c:f>
              <c:numCache>
                <c:formatCode>0.00</c:formatCode>
                <c:ptCount val="81"/>
                <c:pt idx="0">
                  <c:v>74.762467256960974</c:v>
                </c:pt>
                <c:pt idx="1">
                  <c:v>74.767315918093033</c:v>
                </c:pt>
                <c:pt idx="2">
                  <c:v>74.772164579225091</c:v>
                </c:pt>
                <c:pt idx="3">
                  <c:v>74.777013240357149</c:v>
                </c:pt>
                <c:pt idx="4">
                  <c:v>74.781861901489208</c:v>
                </c:pt>
                <c:pt idx="5">
                  <c:v>74.786710562621266</c:v>
                </c:pt>
                <c:pt idx="6">
                  <c:v>74.791559223753325</c:v>
                </c:pt>
                <c:pt idx="7">
                  <c:v>74.796407884885383</c:v>
                </c:pt>
                <c:pt idx="8">
                  <c:v>74.801256546017441</c:v>
                </c:pt>
                <c:pt idx="9">
                  <c:v>74.8061052071495</c:v>
                </c:pt>
                <c:pt idx="10">
                  <c:v>74.810953868281558</c:v>
                </c:pt>
                <c:pt idx="11">
                  <c:v>74.815802529413617</c:v>
                </c:pt>
                <c:pt idx="12">
                  <c:v>74.820651190545675</c:v>
                </c:pt>
                <c:pt idx="13">
                  <c:v>74.825499851677733</c:v>
                </c:pt>
                <c:pt idx="14">
                  <c:v>74.830348512809792</c:v>
                </c:pt>
                <c:pt idx="15">
                  <c:v>74.83519717394185</c:v>
                </c:pt>
                <c:pt idx="16">
                  <c:v>74.840045835073909</c:v>
                </c:pt>
                <c:pt idx="17">
                  <c:v>74.844894496205967</c:v>
                </c:pt>
                <c:pt idx="18">
                  <c:v>74.849743157338025</c:v>
                </c:pt>
                <c:pt idx="19">
                  <c:v>74.854591818470084</c:v>
                </c:pt>
                <c:pt idx="20">
                  <c:v>74.859440479602142</c:v>
                </c:pt>
                <c:pt idx="21">
                  <c:v>74.864289140734201</c:v>
                </c:pt>
                <c:pt idx="22">
                  <c:v>74.869137801866259</c:v>
                </c:pt>
                <c:pt idx="23">
                  <c:v>74.873986462998317</c:v>
                </c:pt>
                <c:pt idx="24">
                  <c:v>74.878835124130376</c:v>
                </c:pt>
                <c:pt idx="25">
                  <c:v>74.883683785262434</c:v>
                </c:pt>
                <c:pt idx="26">
                  <c:v>74.888532446394493</c:v>
                </c:pt>
                <c:pt idx="27">
                  <c:v>74.893381107526551</c:v>
                </c:pt>
                <c:pt idx="28">
                  <c:v>74.898229768658609</c:v>
                </c:pt>
                <c:pt idx="29">
                  <c:v>74.903078429790668</c:v>
                </c:pt>
                <c:pt idx="30">
                  <c:v>74.907927090922726</c:v>
                </c:pt>
                <c:pt idx="31">
                  <c:v>74.912775752054785</c:v>
                </c:pt>
                <c:pt idx="32">
                  <c:v>74.917624413186843</c:v>
                </c:pt>
                <c:pt idx="33">
                  <c:v>74.922473074318901</c:v>
                </c:pt>
                <c:pt idx="34">
                  <c:v>74.92732173545096</c:v>
                </c:pt>
                <c:pt idx="35">
                  <c:v>74.932170396583018</c:v>
                </c:pt>
                <c:pt idx="36">
                  <c:v>74.937019057715077</c:v>
                </c:pt>
                <c:pt idx="37">
                  <c:v>74.941867718847135</c:v>
                </c:pt>
                <c:pt idx="38">
                  <c:v>74.946716379979193</c:v>
                </c:pt>
                <c:pt idx="39">
                  <c:v>74.951565041111252</c:v>
                </c:pt>
                <c:pt idx="40">
                  <c:v>74.95641370224331</c:v>
                </c:pt>
                <c:pt idx="41">
                  <c:v>74.961262363375369</c:v>
                </c:pt>
                <c:pt idx="42">
                  <c:v>74.966111024507427</c:v>
                </c:pt>
                <c:pt idx="43">
                  <c:v>74.970959685639485</c:v>
                </c:pt>
                <c:pt idx="44">
                  <c:v>74.975808346771544</c:v>
                </c:pt>
                <c:pt idx="45">
                  <c:v>74.980657007903602</c:v>
                </c:pt>
                <c:pt idx="46">
                  <c:v>74.985505669035661</c:v>
                </c:pt>
                <c:pt idx="47">
                  <c:v>74.990354330167719</c:v>
                </c:pt>
                <c:pt idx="48">
                  <c:v>74.995202991299777</c:v>
                </c:pt>
                <c:pt idx="49">
                  <c:v>75.000051652431836</c:v>
                </c:pt>
                <c:pt idx="50">
                  <c:v>75.004900313563894</c:v>
                </c:pt>
                <c:pt idx="51">
                  <c:v>75.009748974695952</c:v>
                </c:pt>
                <c:pt idx="52">
                  <c:v>75.014597635828011</c:v>
                </c:pt>
                <c:pt idx="53">
                  <c:v>75.019446296960069</c:v>
                </c:pt>
                <c:pt idx="54">
                  <c:v>75.024294958092128</c:v>
                </c:pt>
                <c:pt idx="55">
                  <c:v>75.029143619224186</c:v>
                </c:pt>
                <c:pt idx="56">
                  <c:v>75.033992280356244</c:v>
                </c:pt>
                <c:pt idx="57">
                  <c:v>75.038840941488303</c:v>
                </c:pt>
                <c:pt idx="58">
                  <c:v>75.043689602620361</c:v>
                </c:pt>
                <c:pt idx="59">
                  <c:v>75.04853826375242</c:v>
                </c:pt>
                <c:pt idx="60">
                  <c:v>75.053386924884478</c:v>
                </c:pt>
                <c:pt idx="61">
                  <c:v>75.058235586016536</c:v>
                </c:pt>
                <c:pt idx="62">
                  <c:v>75.063084247148595</c:v>
                </c:pt>
                <c:pt idx="63">
                  <c:v>75.067932908280653</c:v>
                </c:pt>
                <c:pt idx="64">
                  <c:v>75.072781569412712</c:v>
                </c:pt>
                <c:pt idx="65">
                  <c:v>75.07763023054477</c:v>
                </c:pt>
                <c:pt idx="66">
                  <c:v>75.082478891676828</c:v>
                </c:pt>
                <c:pt idx="67">
                  <c:v>75.087327552808887</c:v>
                </c:pt>
                <c:pt idx="68">
                  <c:v>75.092176213940945</c:v>
                </c:pt>
                <c:pt idx="69">
                  <c:v>75.097024875073004</c:v>
                </c:pt>
                <c:pt idx="70">
                  <c:v>75.101873536205062</c:v>
                </c:pt>
                <c:pt idx="71">
                  <c:v>75.10672219733712</c:v>
                </c:pt>
                <c:pt idx="72">
                  <c:v>75.111570858469179</c:v>
                </c:pt>
                <c:pt idx="73">
                  <c:v>75.116419519601237</c:v>
                </c:pt>
                <c:pt idx="74">
                  <c:v>75.121268180733296</c:v>
                </c:pt>
                <c:pt idx="75">
                  <c:v>75.126116841865354</c:v>
                </c:pt>
                <c:pt idx="76">
                  <c:v>75.130965502997412</c:v>
                </c:pt>
                <c:pt idx="77">
                  <c:v>75.135814164129471</c:v>
                </c:pt>
                <c:pt idx="78">
                  <c:v>75.140662825261529</c:v>
                </c:pt>
                <c:pt idx="79">
                  <c:v>75.145511486393588</c:v>
                </c:pt>
                <c:pt idx="80">
                  <c:v>75.150360147525646</c:v>
                </c:pt>
              </c:numCache>
            </c:numRef>
          </c:val>
          <c:smooth val="0"/>
          <c:extLst>
            <c:ext xmlns:c16="http://schemas.microsoft.com/office/drawing/2014/chart" uri="{C3380CC4-5D6E-409C-BE32-E72D297353CC}">
              <c16:uniqueId val="{00000007-846E-FB4F-B2CC-3FBD42C3DD41}"/>
            </c:ext>
          </c:extLst>
        </c:ser>
        <c:ser>
          <c:idx val="8"/>
          <c:order val="7"/>
          <c:tx>
            <c:strRef>
              <c:f>Results!$J$33</c:f>
              <c:strCache>
                <c:ptCount val="1"/>
                <c:pt idx="0">
                  <c:v>CCGT in Belgium (2020), WACC 0 %, LC Case 8</c:v>
                </c:pt>
              </c:strCache>
            </c:strRef>
          </c:tx>
          <c:spPr>
            <a:ln w="28575" cap="rnd">
              <a:solidFill>
                <a:schemeClr val="accent3">
                  <a:lumMod val="60000"/>
                </a:schemeClr>
              </a:solidFill>
              <a:round/>
            </a:ln>
            <a:effectLst/>
          </c:spPr>
          <c:marker>
            <c:symbol val="none"/>
          </c:marker>
          <c:cat>
            <c:numRef>
              <c:f>Results!$B$34:$B$114</c:f>
              <c:numCache>
                <c:formatCode>General</c:formatCode>
                <c:ptCount val="8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pt idx="51">
                  <c:v>2071</c:v>
                </c:pt>
                <c:pt idx="52">
                  <c:v>2072</c:v>
                </c:pt>
                <c:pt idx="53">
                  <c:v>2073</c:v>
                </c:pt>
                <c:pt idx="54">
                  <c:v>2074</c:v>
                </c:pt>
                <c:pt idx="55">
                  <c:v>2075</c:v>
                </c:pt>
                <c:pt idx="56">
                  <c:v>2076</c:v>
                </c:pt>
                <c:pt idx="57">
                  <c:v>2077</c:v>
                </c:pt>
                <c:pt idx="58">
                  <c:v>2078</c:v>
                </c:pt>
                <c:pt idx="59">
                  <c:v>2079</c:v>
                </c:pt>
                <c:pt idx="60">
                  <c:v>2080</c:v>
                </c:pt>
                <c:pt idx="61">
                  <c:v>2081</c:v>
                </c:pt>
                <c:pt idx="62">
                  <c:v>2082</c:v>
                </c:pt>
                <c:pt idx="63">
                  <c:v>2083</c:v>
                </c:pt>
                <c:pt idx="64">
                  <c:v>2084</c:v>
                </c:pt>
                <c:pt idx="65">
                  <c:v>2085</c:v>
                </c:pt>
                <c:pt idx="66">
                  <c:v>2086</c:v>
                </c:pt>
                <c:pt idx="67">
                  <c:v>2087</c:v>
                </c:pt>
                <c:pt idx="68">
                  <c:v>2088</c:v>
                </c:pt>
                <c:pt idx="69">
                  <c:v>2089</c:v>
                </c:pt>
                <c:pt idx="70">
                  <c:v>2090</c:v>
                </c:pt>
                <c:pt idx="71">
                  <c:v>2091</c:v>
                </c:pt>
                <c:pt idx="72">
                  <c:v>2092</c:v>
                </c:pt>
                <c:pt idx="73">
                  <c:v>2093</c:v>
                </c:pt>
                <c:pt idx="74">
                  <c:v>2094</c:v>
                </c:pt>
                <c:pt idx="75">
                  <c:v>2095</c:v>
                </c:pt>
                <c:pt idx="76">
                  <c:v>2096</c:v>
                </c:pt>
                <c:pt idx="77">
                  <c:v>2097</c:v>
                </c:pt>
                <c:pt idx="78">
                  <c:v>2098</c:v>
                </c:pt>
                <c:pt idx="79">
                  <c:v>2099</c:v>
                </c:pt>
                <c:pt idx="80">
                  <c:v>2100</c:v>
                </c:pt>
              </c:numCache>
            </c:numRef>
          </c:cat>
          <c:val>
            <c:numRef>
              <c:f>Results!$J$34:$J$114</c:f>
              <c:numCache>
                <c:formatCode>0.00</c:formatCode>
                <c:ptCount val="81"/>
                <c:pt idx="0">
                  <c:v>77.652830840881094</c:v>
                </c:pt>
                <c:pt idx="1">
                  <c:v>77.657679502013153</c:v>
                </c:pt>
                <c:pt idx="2">
                  <c:v>77.662528163145211</c:v>
                </c:pt>
                <c:pt idx="3">
                  <c:v>77.66737682427727</c:v>
                </c:pt>
                <c:pt idx="4">
                  <c:v>77.672225485409328</c:v>
                </c:pt>
                <c:pt idx="5">
                  <c:v>77.677074146541386</c:v>
                </c:pt>
                <c:pt idx="6">
                  <c:v>77.681922807673445</c:v>
                </c:pt>
                <c:pt idx="7">
                  <c:v>77.686771468805503</c:v>
                </c:pt>
                <c:pt idx="8">
                  <c:v>77.691620129937562</c:v>
                </c:pt>
                <c:pt idx="9">
                  <c:v>77.69646879106962</c:v>
                </c:pt>
                <c:pt idx="10">
                  <c:v>77.701317452201678</c:v>
                </c:pt>
                <c:pt idx="11">
                  <c:v>77.706166113333737</c:v>
                </c:pt>
                <c:pt idx="12">
                  <c:v>77.711014774465795</c:v>
                </c:pt>
                <c:pt idx="13">
                  <c:v>77.715863435597853</c:v>
                </c:pt>
                <c:pt idx="14">
                  <c:v>77.720712096729912</c:v>
                </c:pt>
                <c:pt idx="15">
                  <c:v>77.72556075786197</c:v>
                </c:pt>
                <c:pt idx="16">
                  <c:v>77.730409418994029</c:v>
                </c:pt>
                <c:pt idx="17">
                  <c:v>77.735258080126087</c:v>
                </c:pt>
                <c:pt idx="18">
                  <c:v>77.740106741258145</c:v>
                </c:pt>
                <c:pt idx="19">
                  <c:v>77.744955402390204</c:v>
                </c:pt>
                <c:pt idx="20">
                  <c:v>77.749804063522262</c:v>
                </c:pt>
                <c:pt idx="21">
                  <c:v>77.754652724654321</c:v>
                </c:pt>
                <c:pt idx="22">
                  <c:v>77.759501385786379</c:v>
                </c:pt>
                <c:pt idx="23">
                  <c:v>77.764350046918437</c:v>
                </c:pt>
                <c:pt idx="24">
                  <c:v>77.769198708050496</c:v>
                </c:pt>
                <c:pt idx="25">
                  <c:v>77.774047369182554</c:v>
                </c:pt>
                <c:pt idx="26">
                  <c:v>77.778896030314613</c:v>
                </c:pt>
                <c:pt idx="27">
                  <c:v>77.783744691446671</c:v>
                </c:pt>
                <c:pt idx="28">
                  <c:v>77.788593352578729</c:v>
                </c:pt>
                <c:pt idx="29">
                  <c:v>77.793442013710788</c:v>
                </c:pt>
                <c:pt idx="30">
                  <c:v>77.798290674842846</c:v>
                </c:pt>
                <c:pt idx="31">
                  <c:v>77.803139335974905</c:v>
                </c:pt>
                <c:pt idx="32">
                  <c:v>77.807987997106963</c:v>
                </c:pt>
                <c:pt idx="33">
                  <c:v>77.812836658239021</c:v>
                </c:pt>
                <c:pt idx="34">
                  <c:v>77.81768531937108</c:v>
                </c:pt>
                <c:pt idx="35">
                  <c:v>77.822533980503138</c:v>
                </c:pt>
                <c:pt idx="36">
                  <c:v>77.827382641635197</c:v>
                </c:pt>
                <c:pt idx="37">
                  <c:v>77.832231302767255</c:v>
                </c:pt>
                <c:pt idx="38">
                  <c:v>77.837079963899313</c:v>
                </c:pt>
                <c:pt idx="39">
                  <c:v>77.841928625031372</c:v>
                </c:pt>
                <c:pt idx="40">
                  <c:v>77.84677728616343</c:v>
                </c:pt>
                <c:pt idx="41">
                  <c:v>77.851625947295489</c:v>
                </c:pt>
                <c:pt idx="42">
                  <c:v>77.856474608427547</c:v>
                </c:pt>
                <c:pt idx="43">
                  <c:v>77.861323269559605</c:v>
                </c:pt>
                <c:pt idx="44">
                  <c:v>77.866171930691664</c:v>
                </c:pt>
                <c:pt idx="45">
                  <c:v>77.871020591823722</c:v>
                </c:pt>
                <c:pt idx="46">
                  <c:v>77.875869252955781</c:v>
                </c:pt>
                <c:pt idx="47">
                  <c:v>77.880717914087839</c:v>
                </c:pt>
                <c:pt idx="48">
                  <c:v>77.885566575219897</c:v>
                </c:pt>
                <c:pt idx="49">
                  <c:v>77.890415236351956</c:v>
                </c:pt>
                <c:pt idx="50">
                  <c:v>77.895263897484014</c:v>
                </c:pt>
                <c:pt idx="51">
                  <c:v>77.900112558616073</c:v>
                </c:pt>
                <c:pt idx="52">
                  <c:v>77.904961219748131</c:v>
                </c:pt>
                <c:pt idx="53">
                  <c:v>77.909809880880189</c:v>
                </c:pt>
                <c:pt idx="54">
                  <c:v>77.914658542012248</c:v>
                </c:pt>
                <c:pt idx="55">
                  <c:v>77.919507203144306</c:v>
                </c:pt>
                <c:pt idx="56">
                  <c:v>77.924355864276365</c:v>
                </c:pt>
                <c:pt idx="57">
                  <c:v>77.929204525408423</c:v>
                </c:pt>
                <c:pt idx="58">
                  <c:v>77.934053186540481</c:v>
                </c:pt>
                <c:pt idx="59">
                  <c:v>77.93890184767254</c:v>
                </c:pt>
                <c:pt idx="60">
                  <c:v>77.943750508804598</c:v>
                </c:pt>
                <c:pt idx="61">
                  <c:v>77.948599169936656</c:v>
                </c:pt>
                <c:pt idx="62">
                  <c:v>77.953447831068715</c:v>
                </c:pt>
                <c:pt idx="63">
                  <c:v>77.958296492200773</c:v>
                </c:pt>
                <c:pt idx="64">
                  <c:v>77.963145153332832</c:v>
                </c:pt>
                <c:pt idx="65">
                  <c:v>77.96799381446489</c:v>
                </c:pt>
                <c:pt idx="66">
                  <c:v>77.972842475596948</c:v>
                </c:pt>
                <c:pt idx="67">
                  <c:v>77.977691136729007</c:v>
                </c:pt>
                <c:pt idx="68">
                  <c:v>77.982539797861065</c:v>
                </c:pt>
                <c:pt idx="69">
                  <c:v>77.987388458993124</c:v>
                </c:pt>
                <c:pt idx="70">
                  <c:v>77.992237120125182</c:v>
                </c:pt>
                <c:pt idx="71">
                  <c:v>77.99708578125724</c:v>
                </c:pt>
                <c:pt idx="72">
                  <c:v>78.001934442389299</c:v>
                </c:pt>
                <c:pt idx="73">
                  <c:v>78.006783103521357</c:v>
                </c:pt>
                <c:pt idx="74">
                  <c:v>78.011631764653416</c:v>
                </c:pt>
                <c:pt idx="75">
                  <c:v>78.016480425785474</c:v>
                </c:pt>
                <c:pt idx="76">
                  <c:v>78.021329086917532</c:v>
                </c:pt>
                <c:pt idx="77">
                  <c:v>78.026177748049591</c:v>
                </c:pt>
                <c:pt idx="78">
                  <c:v>78.031026409181649</c:v>
                </c:pt>
                <c:pt idx="79">
                  <c:v>78.035875070313708</c:v>
                </c:pt>
                <c:pt idx="80">
                  <c:v>78.040723731445766</c:v>
                </c:pt>
              </c:numCache>
            </c:numRef>
          </c:val>
          <c:smooth val="0"/>
          <c:extLst>
            <c:ext xmlns:c16="http://schemas.microsoft.com/office/drawing/2014/chart" uri="{C3380CC4-5D6E-409C-BE32-E72D297353CC}">
              <c16:uniqueId val="{00000008-846E-FB4F-B2CC-3FBD42C3DD41}"/>
            </c:ext>
          </c:extLst>
        </c:ser>
        <c:dLbls>
          <c:showLegendKey val="0"/>
          <c:showVal val="0"/>
          <c:showCatName val="0"/>
          <c:showSerName val="0"/>
          <c:showPercent val="0"/>
          <c:showBubbleSize val="0"/>
        </c:dLbls>
        <c:smooth val="0"/>
        <c:axId val="819789679"/>
        <c:axId val="819321519"/>
      </c:lineChart>
      <c:catAx>
        <c:axId val="81978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819321519"/>
        <c:crosses val="autoZero"/>
        <c:auto val="1"/>
        <c:lblAlgn val="ctr"/>
        <c:lblOffset val="100"/>
        <c:noMultiLvlLbl val="0"/>
      </c:catAx>
      <c:valAx>
        <c:axId val="819321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819789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228600</xdr:colOff>
      <xdr:row>44</xdr:row>
      <xdr:rowOff>76200</xdr:rowOff>
    </xdr:from>
    <xdr:to>
      <xdr:col>17</xdr:col>
      <xdr:colOff>584200</xdr:colOff>
      <xdr:row>55</xdr:row>
      <xdr:rowOff>101600</xdr:rowOff>
    </xdr:to>
    <xdr:graphicFrame macro="">
      <xdr:nvGraphicFramePr>
        <xdr:cNvPr id="3" name="Chart 2">
          <a:extLst>
            <a:ext uri="{FF2B5EF4-FFF2-40B4-BE49-F238E27FC236}">
              <a16:creationId xmlns:a16="http://schemas.microsoft.com/office/drawing/2014/main" id="{8436886E-9056-7D45-886B-BEB38E163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755650</xdr:colOff>
      <xdr:row>5</xdr:row>
      <xdr:rowOff>190500</xdr:rowOff>
    </xdr:from>
    <xdr:to>
      <xdr:col>22</xdr:col>
      <xdr:colOff>342900</xdr:colOff>
      <xdr:row>47</xdr:row>
      <xdr:rowOff>0</xdr:rowOff>
    </xdr:to>
    <xdr:graphicFrame macro="">
      <xdr:nvGraphicFramePr>
        <xdr:cNvPr id="2" name="Chart 1">
          <a:extLst>
            <a:ext uri="{FF2B5EF4-FFF2-40B4-BE49-F238E27FC236}">
              <a16:creationId xmlns:a16="http://schemas.microsoft.com/office/drawing/2014/main" id="{B84D086F-8072-2406-5E2B-52BF61D3B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584200</xdr:colOff>
      <xdr:row>13</xdr:row>
      <xdr:rowOff>76200</xdr:rowOff>
    </xdr:from>
    <xdr:to>
      <xdr:col>20</xdr:col>
      <xdr:colOff>787400</xdr:colOff>
      <xdr:row>32</xdr:row>
      <xdr:rowOff>127000</xdr:rowOff>
    </xdr:to>
    <xdr:pic>
      <xdr:nvPicPr>
        <xdr:cNvPr id="2" name="Picture 1">
          <a:extLst>
            <a:ext uri="{FF2B5EF4-FFF2-40B4-BE49-F238E27FC236}">
              <a16:creationId xmlns:a16="http://schemas.microsoft.com/office/drawing/2014/main" id="{FE9C32DC-88E2-3DBE-2C8B-E061CC8D0D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88200" y="2514600"/>
          <a:ext cx="10109200" cy="391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558800</xdr:colOff>
      <xdr:row>1</xdr:row>
      <xdr:rowOff>50800</xdr:rowOff>
    </xdr:from>
    <xdr:to>
      <xdr:col>22</xdr:col>
      <xdr:colOff>558800</xdr:colOff>
      <xdr:row>17</xdr:row>
      <xdr:rowOff>152400</xdr:rowOff>
    </xdr:to>
    <xdr:pic>
      <xdr:nvPicPr>
        <xdr:cNvPr id="2" name="Picture 1">
          <a:extLst>
            <a:ext uri="{FF2B5EF4-FFF2-40B4-BE49-F238E27FC236}">
              <a16:creationId xmlns:a16="http://schemas.microsoft.com/office/drawing/2014/main" id="{CBD2C6EA-79B0-8C26-6C16-2AC2C9CD4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15800" y="254000"/>
          <a:ext cx="5778500" cy="335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1drv.ms/x/c/6211aaa9a49964d4/EdRkmaSpqhEggGJiCwAAAAABpR7BtKqMZzmtOaQKGUIcpw?e=h7Ma3m" TargetMode="External"/><Relationship Id="rId1" Type="http://schemas.openxmlformats.org/officeDocument/2006/relationships/hyperlink" Target="https://world-nuclear.org/information-library/economic-aspects/economics-of-nuclear-power.asp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A376-6B70-5E45-8756-014760EA2D2D}">
  <dimension ref="A1:AB196"/>
  <sheetViews>
    <sheetView topLeftCell="A19" workbookViewId="0">
      <selection activeCell="D6" sqref="D6"/>
    </sheetView>
    <sheetView tabSelected="1" workbookViewId="1">
      <selection activeCell="A2" sqref="A2"/>
    </sheetView>
  </sheetViews>
  <sheetFormatPr defaultColWidth="11" defaultRowHeight="15.95"/>
  <cols>
    <col min="1" max="1" width="8.125" customWidth="1"/>
    <col min="3" max="3" width="49.25" customWidth="1"/>
    <col min="4" max="4" width="19.125" customWidth="1"/>
    <col min="5" max="7" width="13.375" bestFit="1" customWidth="1"/>
    <col min="8" max="8" width="16" customWidth="1"/>
    <col min="9" max="9" width="15" customWidth="1"/>
    <col min="10" max="10" width="14.625" customWidth="1"/>
    <col min="11" max="11" width="18.625" customWidth="1"/>
    <col min="12" max="12" width="11.625" bestFit="1" customWidth="1"/>
  </cols>
  <sheetData>
    <row r="1" spans="1:12" ht="33.75" customHeight="1">
      <c r="A1" s="29" t="s">
        <v>0</v>
      </c>
      <c r="D1" t="s">
        <v>1</v>
      </c>
    </row>
    <row r="2" spans="1:12" ht="15" customHeight="1">
      <c r="A2" s="4" t="s">
        <v>2</v>
      </c>
      <c r="D2" s="5" t="s">
        <v>3</v>
      </c>
      <c r="E2" s="5"/>
    </row>
    <row r="3" spans="1:12" ht="24">
      <c r="A3" s="30" t="s">
        <v>4</v>
      </c>
      <c r="D3" s="24" t="s">
        <v>5</v>
      </c>
      <c r="E3" s="24" t="s">
        <v>6</v>
      </c>
      <c r="F3" s="24" t="s">
        <v>7</v>
      </c>
      <c r="G3" s="24" t="s">
        <v>8</v>
      </c>
      <c r="H3" s="24" t="s">
        <v>9</v>
      </c>
      <c r="I3" s="24" t="s">
        <v>10</v>
      </c>
      <c r="J3" s="24" t="s">
        <v>11</v>
      </c>
      <c r="K3" s="24" t="s">
        <v>12</v>
      </c>
      <c r="L3" s="35" t="s">
        <v>13</v>
      </c>
    </row>
    <row r="4" spans="1:12" ht="24">
      <c r="A4" s="30"/>
      <c r="C4" s="24" t="s">
        <v>14</v>
      </c>
      <c r="D4" s="5" t="s">
        <v>15</v>
      </c>
      <c r="E4" s="5" t="s">
        <v>15</v>
      </c>
      <c r="F4" s="5" t="s">
        <v>15</v>
      </c>
      <c r="G4" s="5" t="s">
        <v>15</v>
      </c>
      <c r="H4" s="5" t="s">
        <v>15</v>
      </c>
      <c r="I4" s="5" t="s">
        <v>15</v>
      </c>
      <c r="J4" s="5" t="s">
        <v>15</v>
      </c>
      <c r="K4" s="5" t="s">
        <v>15</v>
      </c>
      <c r="L4" s="2" t="s">
        <v>16</v>
      </c>
    </row>
    <row r="5" spans="1:12">
      <c r="C5" s="24" t="s">
        <v>17</v>
      </c>
      <c r="D5" s="5" t="s">
        <v>18</v>
      </c>
      <c r="E5" s="5" t="s">
        <v>18</v>
      </c>
      <c r="F5" s="5" t="s">
        <v>18</v>
      </c>
      <c r="G5" s="5" t="s">
        <v>18</v>
      </c>
      <c r="H5" s="5" t="s">
        <v>18</v>
      </c>
      <c r="I5" s="5" t="s">
        <v>18</v>
      </c>
      <c r="J5" s="5" t="s">
        <v>18</v>
      </c>
      <c r="K5" s="5" t="s">
        <v>18</v>
      </c>
      <c r="L5" s="2" t="s">
        <v>19</v>
      </c>
    </row>
    <row r="6" spans="1:12">
      <c r="B6" s="2" t="s">
        <v>20</v>
      </c>
      <c r="C6" s="24" t="s">
        <v>21</v>
      </c>
      <c r="D6" s="5" t="s">
        <v>22</v>
      </c>
      <c r="E6" s="5" t="s">
        <v>22</v>
      </c>
      <c r="F6" s="5" t="s">
        <v>22</v>
      </c>
      <c r="G6" s="5" t="s">
        <v>22</v>
      </c>
      <c r="H6" s="5" t="s">
        <v>22</v>
      </c>
      <c r="I6" s="5" t="s">
        <v>22</v>
      </c>
      <c r="J6" s="5" t="s">
        <v>22</v>
      </c>
      <c r="K6" s="5" t="s">
        <v>22</v>
      </c>
      <c r="L6" s="2" t="s">
        <v>23</v>
      </c>
    </row>
    <row r="7" spans="1:12">
      <c r="C7" s="24" t="s">
        <v>24</v>
      </c>
      <c r="L7" s="2" t="s">
        <v>25</v>
      </c>
    </row>
    <row r="8" spans="1:12">
      <c r="C8" s="24" t="s">
        <v>26</v>
      </c>
      <c r="D8" s="5" t="s">
        <v>22</v>
      </c>
      <c r="E8" s="5" t="s">
        <v>22</v>
      </c>
      <c r="F8" s="5" t="s">
        <v>22</v>
      </c>
      <c r="G8" s="5" t="s">
        <v>22</v>
      </c>
      <c r="H8" s="5" t="s">
        <v>22</v>
      </c>
      <c r="I8" s="5" t="s">
        <v>22</v>
      </c>
      <c r="J8" s="5" t="s">
        <v>22</v>
      </c>
      <c r="K8" s="5" t="s">
        <v>22</v>
      </c>
      <c r="L8" s="2" t="s">
        <v>27</v>
      </c>
    </row>
    <row r="9" spans="1:12">
      <c r="C9" s="24" t="s">
        <v>28</v>
      </c>
      <c r="D9" s="5">
        <v>1</v>
      </c>
      <c r="E9" s="5">
        <v>1</v>
      </c>
      <c r="F9" s="5">
        <v>1</v>
      </c>
      <c r="G9" s="5">
        <v>1</v>
      </c>
      <c r="H9" s="5">
        <v>1</v>
      </c>
      <c r="I9" s="5">
        <v>1</v>
      </c>
      <c r="J9" s="5">
        <v>1</v>
      </c>
      <c r="K9" s="5">
        <v>1</v>
      </c>
      <c r="L9" s="2" t="s">
        <v>29</v>
      </c>
    </row>
    <row r="10" spans="1:12">
      <c r="B10" s="2" t="s">
        <v>30</v>
      </c>
      <c r="C10" s="24" t="s">
        <v>31</v>
      </c>
      <c r="D10" s="9">
        <v>0.9</v>
      </c>
      <c r="E10" s="9">
        <v>0.9</v>
      </c>
      <c r="F10" s="9">
        <v>0.9</v>
      </c>
      <c r="G10" s="9">
        <v>0.9</v>
      </c>
      <c r="H10" s="9">
        <v>0.9</v>
      </c>
      <c r="I10" s="9">
        <v>0.9</v>
      </c>
      <c r="J10" s="9">
        <v>0.9</v>
      </c>
      <c r="K10" s="9">
        <v>0.9</v>
      </c>
      <c r="L10" s="2" t="s">
        <v>32</v>
      </c>
    </row>
    <row r="11" spans="1:12">
      <c r="C11" s="24" t="s">
        <v>33</v>
      </c>
      <c r="D11" s="6">
        <v>0</v>
      </c>
      <c r="E11" s="6">
        <v>0.03</v>
      </c>
      <c r="F11" s="6">
        <v>0.05</v>
      </c>
      <c r="G11" s="6">
        <v>7.0000000000000007E-2</v>
      </c>
      <c r="H11" s="6">
        <v>0.08</v>
      </c>
      <c r="I11" s="6">
        <v>0.1</v>
      </c>
      <c r="J11" s="6">
        <v>0.12</v>
      </c>
      <c r="K11" s="6">
        <v>0.14000000000000001</v>
      </c>
      <c r="L11" s="2" t="s">
        <v>34</v>
      </c>
    </row>
    <row r="12" spans="1:12">
      <c r="C12" s="24" t="s">
        <v>35</v>
      </c>
      <c r="D12" s="6">
        <v>0</v>
      </c>
      <c r="E12" s="6">
        <v>0.03</v>
      </c>
      <c r="F12" s="6">
        <v>0.05</v>
      </c>
      <c r="G12" s="6">
        <v>7.0000000000000007E-2</v>
      </c>
      <c r="H12" s="6">
        <v>0.08</v>
      </c>
      <c r="I12" s="6">
        <v>0.1</v>
      </c>
      <c r="J12" s="6">
        <v>0.12</v>
      </c>
      <c r="K12" s="6">
        <v>0.14000000000000001</v>
      </c>
      <c r="L12" s="2" t="s">
        <v>36</v>
      </c>
    </row>
    <row r="13" spans="1:12">
      <c r="B13" s="2" t="s">
        <v>37</v>
      </c>
      <c r="C13" s="24" t="s">
        <v>38</v>
      </c>
      <c r="D13" s="5">
        <v>1009</v>
      </c>
      <c r="E13" s="5">
        <v>1009</v>
      </c>
      <c r="F13" s="5">
        <v>1009</v>
      </c>
      <c r="G13" s="5">
        <v>1009</v>
      </c>
      <c r="H13" s="5">
        <v>1009</v>
      </c>
      <c r="I13" s="5">
        <v>1009</v>
      </c>
      <c r="J13" s="5">
        <v>1009</v>
      </c>
      <c r="K13" s="5">
        <v>1009</v>
      </c>
      <c r="L13" s="2" t="s">
        <v>39</v>
      </c>
    </row>
    <row r="14" spans="1:12">
      <c r="B14" s="2" t="s">
        <v>40</v>
      </c>
      <c r="C14" s="24" t="s">
        <v>41</v>
      </c>
      <c r="D14" s="5">
        <v>500</v>
      </c>
      <c r="E14" s="5">
        <v>500</v>
      </c>
      <c r="F14" s="5">
        <v>500</v>
      </c>
      <c r="G14" s="5">
        <v>500</v>
      </c>
      <c r="H14" s="5">
        <v>500</v>
      </c>
      <c r="I14" s="5">
        <v>500</v>
      </c>
      <c r="J14" s="5">
        <v>500</v>
      </c>
      <c r="K14" s="5">
        <v>500</v>
      </c>
      <c r="L14" s="2" t="s">
        <v>42</v>
      </c>
    </row>
    <row r="15" spans="1:12">
      <c r="C15" s="24" t="s">
        <v>43</v>
      </c>
      <c r="D15" s="5">
        <v>0</v>
      </c>
      <c r="E15" s="5">
        <v>0</v>
      </c>
      <c r="F15" s="5">
        <v>0</v>
      </c>
      <c r="G15" s="5">
        <v>0</v>
      </c>
      <c r="H15" s="5">
        <v>0</v>
      </c>
      <c r="I15" s="5">
        <v>0</v>
      </c>
      <c r="J15" s="5">
        <v>0</v>
      </c>
      <c r="K15" s="5">
        <v>0</v>
      </c>
      <c r="L15" s="2" t="s">
        <v>44</v>
      </c>
    </row>
    <row r="16" spans="1:12">
      <c r="B16" s="2" t="s">
        <v>45</v>
      </c>
      <c r="C16" s="24" t="s">
        <v>46</v>
      </c>
      <c r="D16" s="5">
        <v>30</v>
      </c>
      <c r="E16" s="5">
        <v>30</v>
      </c>
      <c r="F16" s="5">
        <v>30</v>
      </c>
      <c r="G16" s="5">
        <v>30</v>
      </c>
      <c r="H16" s="5">
        <v>30</v>
      </c>
      <c r="I16" s="5">
        <v>30</v>
      </c>
      <c r="J16" s="5">
        <v>30</v>
      </c>
      <c r="K16" s="5">
        <v>30</v>
      </c>
      <c r="L16" s="2" t="s">
        <v>47</v>
      </c>
    </row>
    <row r="17" spans="2:12">
      <c r="B17" s="2" t="s">
        <v>48</v>
      </c>
      <c r="C17" s="24" t="s">
        <v>49</v>
      </c>
      <c r="D17" s="5">
        <v>3</v>
      </c>
      <c r="E17" s="5">
        <v>3</v>
      </c>
      <c r="F17" s="5">
        <v>3</v>
      </c>
      <c r="G17" s="5">
        <v>3</v>
      </c>
      <c r="H17" s="5">
        <v>3</v>
      </c>
      <c r="I17" s="5">
        <v>3</v>
      </c>
      <c r="J17" s="5">
        <v>3</v>
      </c>
      <c r="K17" s="5">
        <v>3</v>
      </c>
      <c r="L17" s="2" t="s">
        <v>50</v>
      </c>
    </row>
    <row r="18" spans="2:12">
      <c r="B18" s="2" t="s">
        <v>51</v>
      </c>
      <c r="C18" s="24" t="s">
        <v>52</v>
      </c>
      <c r="D18" s="6">
        <v>0.9</v>
      </c>
      <c r="E18" s="6">
        <v>0.9</v>
      </c>
      <c r="F18" s="6">
        <v>0.9</v>
      </c>
      <c r="G18" s="6">
        <v>0.9</v>
      </c>
      <c r="H18" s="6">
        <v>0.9</v>
      </c>
      <c r="I18" s="6">
        <v>0.9</v>
      </c>
      <c r="J18" s="6">
        <v>0.9</v>
      </c>
      <c r="K18" s="6">
        <v>0.9</v>
      </c>
      <c r="L18" s="2" t="s">
        <v>53</v>
      </c>
    </row>
    <row r="19" spans="2:12">
      <c r="C19" s="24" t="s">
        <v>54</v>
      </c>
      <c r="D19" s="6">
        <v>0.6</v>
      </c>
      <c r="E19" s="6">
        <v>0.6</v>
      </c>
      <c r="F19" s="6">
        <v>0.6</v>
      </c>
      <c r="G19" s="6">
        <v>0.6</v>
      </c>
      <c r="H19" s="6">
        <v>0.6</v>
      </c>
      <c r="I19" s="6">
        <v>0.6</v>
      </c>
      <c r="J19" s="6">
        <v>0.6</v>
      </c>
      <c r="K19" s="6">
        <v>0.6</v>
      </c>
      <c r="L19" s="2" t="s">
        <v>55</v>
      </c>
    </row>
    <row r="20" spans="2:12">
      <c r="B20" s="2" t="s">
        <v>56</v>
      </c>
      <c r="C20" s="24" t="s">
        <v>57</v>
      </c>
      <c r="D20" s="7">
        <v>40000</v>
      </c>
      <c r="E20" s="7">
        <v>40000</v>
      </c>
      <c r="F20" s="7">
        <v>40000</v>
      </c>
      <c r="G20" s="7">
        <v>40000</v>
      </c>
      <c r="H20" s="7">
        <v>40000</v>
      </c>
      <c r="I20" s="7">
        <v>40000</v>
      </c>
      <c r="J20" s="7">
        <v>40000</v>
      </c>
      <c r="K20" s="7">
        <v>40000</v>
      </c>
      <c r="L20" s="2" t="s">
        <v>58</v>
      </c>
    </row>
    <row r="21" spans="2:12">
      <c r="C21" s="24" t="s">
        <v>59</v>
      </c>
      <c r="D21" s="7">
        <v>0</v>
      </c>
      <c r="E21" s="7">
        <v>0</v>
      </c>
      <c r="F21" s="7">
        <v>0</v>
      </c>
      <c r="G21" s="7">
        <v>0</v>
      </c>
      <c r="H21" s="7">
        <v>0</v>
      </c>
      <c r="I21" s="7">
        <v>0</v>
      </c>
      <c r="J21" s="7">
        <v>0</v>
      </c>
      <c r="K21" s="7">
        <v>0</v>
      </c>
      <c r="L21" s="2" t="s">
        <v>60</v>
      </c>
    </row>
    <row r="22" spans="2:12">
      <c r="C22" s="24" t="s">
        <v>61</v>
      </c>
      <c r="D22" s="6">
        <v>0</v>
      </c>
      <c r="E22" s="6">
        <v>0</v>
      </c>
      <c r="F22" s="6">
        <v>0</v>
      </c>
      <c r="G22" s="6">
        <v>0</v>
      </c>
      <c r="H22" s="6">
        <v>0</v>
      </c>
      <c r="I22" s="6">
        <v>0</v>
      </c>
      <c r="J22" s="6">
        <v>0</v>
      </c>
      <c r="K22" s="6">
        <v>0</v>
      </c>
      <c r="L22" s="2" t="s">
        <v>62</v>
      </c>
    </row>
    <row r="23" spans="2:12">
      <c r="B23" s="2" t="s">
        <v>63</v>
      </c>
      <c r="C23" s="24" t="s">
        <v>64</v>
      </c>
      <c r="D23" s="5">
        <v>42.66</v>
      </c>
      <c r="E23" s="5">
        <v>42.66</v>
      </c>
      <c r="F23" s="5">
        <v>42.66</v>
      </c>
      <c r="G23" s="5">
        <v>42.66</v>
      </c>
      <c r="H23" s="5">
        <v>42.66</v>
      </c>
      <c r="I23" s="5">
        <v>42.66</v>
      </c>
      <c r="J23" s="5">
        <v>42.66</v>
      </c>
      <c r="K23" s="5">
        <v>42.66</v>
      </c>
      <c r="L23" s="2" t="s">
        <v>65</v>
      </c>
    </row>
    <row r="24" spans="2:12">
      <c r="C24" s="24" t="s">
        <v>66</v>
      </c>
      <c r="D24" s="6">
        <v>0</v>
      </c>
      <c r="E24" s="6">
        <v>0</v>
      </c>
      <c r="F24" s="6">
        <v>0</v>
      </c>
      <c r="G24" s="6">
        <v>0</v>
      </c>
      <c r="H24" s="6">
        <v>0</v>
      </c>
      <c r="I24" s="6">
        <v>0</v>
      </c>
      <c r="J24" s="6">
        <v>0</v>
      </c>
      <c r="K24" s="6">
        <v>0</v>
      </c>
      <c r="L24" s="2" t="s">
        <v>67</v>
      </c>
    </row>
    <row r="25" spans="2:12">
      <c r="C25" s="24" t="s">
        <v>68</v>
      </c>
      <c r="D25" s="6">
        <v>0</v>
      </c>
      <c r="E25" s="6">
        <v>0</v>
      </c>
      <c r="F25" s="6">
        <v>0</v>
      </c>
      <c r="G25" s="6">
        <v>0</v>
      </c>
      <c r="H25" s="6">
        <v>0</v>
      </c>
      <c r="I25" s="6">
        <v>0</v>
      </c>
      <c r="J25" s="6">
        <v>0</v>
      </c>
      <c r="K25" s="6">
        <v>0</v>
      </c>
      <c r="L25" s="2" t="s">
        <v>69</v>
      </c>
    </row>
    <row r="26" spans="2:12">
      <c r="B26" s="2" t="s">
        <v>70</v>
      </c>
      <c r="C26" s="24" t="s">
        <v>71</v>
      </c>
      <c r="D26" s="5">
        <v>101</v>
      </c>
      <c r="E26" s="5">
        <v>101</v>
      </c>
      <c r="F26" s="5">
        <v>101</v>
      </c>
      <c r="G26" s="5">
        <v>101</v>
      </c>
      <c r="H26" s="5">
        <v>101</v>
      </c>
      <c r="I26" s="5">
        <v>101</v>
      </c>
      <c r="J26" s="5">
        <v>101</v>
      </c>
      <c r="K26" s="5">
        <v>101</v>
      </c>
      <c r="L26" s="2" t="s">
        <v>72</v>
      </c>
    </row>
    <row r="27" spans="2:12">
      <c r="C27" s="24" t="s">
        <v>73</v>
      </c>
      <c r="D27" s="5">
        <v>1</v>
      </c>
      <c r="E27" s="5">
        <v>1</v>
      </c>
      <c r="F27" s="5">
        <v>1</v>
      </c>
      <c r="G27" s="5">
        <v>1</v>
      </c>
      <c r="H27" s="5">
        <v>1</v>
      </c>
      <c r="I27" s="5">
        <v>1</v>
      </c>
      <c r="J27" s="5">
        <v>1</v>
      </c>
      <c r="K27" s="5">
        <v>1</v>
      </c>
      <c r="L27" s="2" t="s">
        <v>74</v>
      </c>
    </row>
    <row r="28" spans="2:12">
      <c r="C28" s="24" t="s">
        <v>75</v>
      </c>
      <c r="D28" s="5">
        <v>0</v>
      </c>
      <c r="E28" s="5">
        <v>0</v>
      </c>
      <c r="F28" s="5">
        <v>0</v>
      </c>
      <c r="G28" s="5">
        <v>0</v>
      </c>
      <c r="H28" s="5">
        <v>0</v>
      </c>
      <c r="I28" s="5">
        <v>0</v>
      </c>
      <c r="J28" s="5">
        <v>0</v>
      </c>
      <c r="K28" s="5">
        <v>0</v>
      </c>
      <c r="L28" s="2" t="s">
        <v>76</v>
      </c>
    </row>
    <row r="29" spans="2:12">
      <c r="B29" s="2" t="s">
        <v>77</v>
      </c>
      <c r="C29" s="24" t="s">
        <v>78</v>
      </c>
      <c r="D29" s="5">
        <v>313.75</v>
      </c>
      <c r="E29" s="5">
        <v>313.75</v>
      </c>
      <c r="F29" s="5">
        <v>313.75</v>
      </c>
      <c r="G29" s="5">
        <v>313.75</v>
      </c>
      <c r="H29" s="5">
        <v>313.75</v>
      </c>
      <c r="I29" s="5">
        <v>313.75</v>
      </c>
      <c r="J29" s="5">
        <v>313.75</v>
      </c>
      <c r="K29" s="5">
        <v>313.75</v>
      </c>
      <c r="L29" s="2" t="s">
        <v>79</v>
      </c>
    </row>
    <row r="30" spans="2:12">
      <c r="C30" s="24" t="s">
        <v>80</v>
      </c>
      <c r="D30" s="5">
        <v>0</v>
      </c>
      <c r="E30" s="5">
        <v>0</v>
      </c>
      <c r="F30" s="5">
        <v>0</v>
      </c>
      <c r="G30" s="5">
        <v>0</v>
      </c>
      <c r="H30" s="5">
        <v>0</v>
      </c>
      <c r="I30" s="5">
        <v>0</v>
      </c>
      <c r="J30" s="5">
        <v>0</v>
      </c>
      <c r="K30" s="5">
        <v>0</v>
      </c>
      <c r="L30" s="2" t="s">
        <v>81</v>
      </c>
    </row>
    <row r="31" spans="2:12">
      <c r="B31" s="2" t="s">
        <v>82</v>
      </c>
      <c r="C31" s="24" t="s">
        <v>83</v>
      </c>
      <c r="D31" s="5">
        <v>0</v>
      </c>
      <c r="E31" s="5">
        <v>0</v>
      </c>
      <c r="F31" s="5">
        <v>0</v>
      </c>
      <c r="G31" s="5">
        <v>0</v>
      </c>
      <c r="H31" s="5">
        <v>0</v>
      </c>
      <c r="I31" s="5">
        <v>0</v>
      </c>
      <c r="J31" s="5">
        <v>0</v>
      </c>
      <c r="K31" s="5">
        <v>0</v>
      </c>
      <c r="L31" s="2" t="s">
        <v>84</v>
      </c>
    </row>
    <row r="32" spans="2:12">
      <c r="C32" s="24" t="s">
        <v>85</v>
      </c>
      <c r="D32" s="5">
        <v>0</v>
      </c>
      <c r="E32" s="5">
        <v>0</v>
      </c>
      <c r="F32" s="5">
        <v>0</v>
      </c>
      <c r="G32" s="5">
        <v>0</v>
      </c>
      <c r="H32" s="5">
        <v>0</v>
      </c>
      <c r="I32" s="5">
        <v>0</v>
      </c>
      <c r="J32" s="5">
        <v>0</v>
      </c>
      <c r="K32" s="5">
        <v>0</v>
      </c>
      <c r="L32" s="2" t="s">
        <v>86</v>
      </c>
    </row>
    <row r="33" spans="1:12">
      <c r="C33" s="24" t="s">
        <v>87</v>
      </c>
      <c r="D33" s="5">
        <v>30</v>
      </c>
      <c r="E33" s="5">
        <v>30</v>
      </c>
      <c r="F33" s="5">
        <v>30</v>
      </c>
      <c r="G33" s="5">
        <v>30</v>
      </c>
      <c r="H33" s="5">
        <v>30</v>
      </c>
      <c r="I33" s="5">
        <v>30</v>
      </c>
      <c r="J33" s="5">
        <v>30</v>
      </c>
      <c r="K33" s="5">
        <v>30</v>
      </c>
      <c r="L33" s="2" t="s">
        <v>88</v>
      </c>
    </row>
    <row r="34" spans="1:12">
      <c r="C34" s="24" t="s">
        <v>89</v>
      </c>
      <c r="D34" s="46">
        <v>101</v>
      </c>
      <c r="E34" s="46">
        <v>101</v>
      </c>
      <c r="F34" s="46">
        <v>101</v>
      </c>
      <c r="G34" s="46">
        <v>101</v>
      </c>
      <c r="H34" s="46">
        <v>101</v>
      </c>
      <c r="I34" s="46">
        <v>101</v>
      </c>
      <c r="J34" s="46">
        <v>101</v>
      </c>
      <c r="K34" s="46">
        <v>101</v>
      </c>
      <c r="L34" s="2" t="s">
        <v>90</v>
      </c>
    </row>
    <row r="35" spans="1:12">
      <c r="B35" s="2" t="s">
        <v>91</v>
      </c>
      <c r="C35" s="24" t="s">
        <v>92</v>
      </c>
      <c r="D35" s="6">
        <v>0.05</v>
      </c>
      <c r="E35" s="6">
        <v>0.05</v>
      </c>
      <c r="F35" s="6">
        <v>0.05</v>
      </c>
      <c r="G35" s="6">
        <v>0.05</v>
      </c>
      <c r="H35" s="6">
        <v>0.05</v>
      </c>
      <c r="I35" s="6">
        <v>0.05</v>
      </c>
      <c r="J35" s="6">
        <v>0.05</v>
      </c>
      <c r="K35" s="6">
        <v>0.05</v>
      </c>
      <c r="L35" s="2" t="s">
        <v>93</v>
      </c>
    </row>
    <row r="36" spans="1:12">
      <c r="C36" s="24" t="s">
        <v>94</v>
      </c>
      <c r="D36" s="5">
        <v>25</v>
      </c>
      <c r="E36" s="5">
        <v>1</v>
      </c>
      <c r="F36" s="5">
        <v>1</v>
      </c>
      <c r="G36" s="5">
        <v>2</v>
      </c>
      <c r="H36" s="5">
        <v>2</v>
      </c>
      <c r="I36" s="5">
        <v>2</v>
      </c>
      <c r="J36" s="5">
        <v>2</v>
      </c>
      <c r="K36" s="5">
        <v>2</v>
      </c>
      <c r="L36" s="2" t="s">
        <v>95</v>
      </c>
    </row>
    <row r="37" spans="1:12">
      <c r="C37" s="24" t="s">
        <v>96</v>
      </c>
      <c r="D37" s="5">
        <v>2020</v>
      </c>
      <c r="E37" s="5">
        <v>2020</v>
      </c>
      <c r="F37" s="5">
        <v>2020</v>
      </c>
      <c r="G37" s="5">
        <v>2020</v>
      </c>
      <c r="H37" s="5">
        <v>2020</v>
      </c>
      <c r="I37" s="5">
        <v>2020</v>
      </c>
      <c r="J37" s="5">
        <v>2020</v>
      </c>
      <c r="K37" s="5">
        <v>2020</v>
      </c>
      <c r="L37" s="2" t="s">
        <v>97</v>
      </c>
    </row>
    <row r="38" spans="1:12">
      <c r="C38" s="35" t="s">
        <v>98</v>
      </c>
      <c r="D38" s="13">
        <f t="shared" ref="D38:K38" si="0">IF(D14&gt;0,D13*1000*D14,D13*1000*D15)</f>
        <v>504500000</v>
      </c>
      <c r="E38" s="13">
        <f t="shared" si="0"/>
        <v>504500000</v>
      </c>
      <c r="F38" s="13">
        <f t="shared" si="0"/>
        <v>504500000</v>
      </c>
      <c r="G38" s="13">
        <f t="shared" si="0"/>
        <v>504500000</v>
      </c>
      <c r="H38" s="13">
        <f t="shared" si="0"/>
        <v>504500000</v>
      </c>
      <c r="I38" s="13">
        <f t="shared" si="0"/>
        <v>504500000</v>
      </c>
      <c r="J38" s="13">
        <f t="shared" si="0"/>
        <v>504500000</v>
      </c>
      <c r="K38" s="13">
        <f t="shared" si="0"/>
        <v>504500000</v>
      </c>
      <c r="L38" s="2" t="s">
        <v>99</v>
      </c>
    </row>
    <row r="39" spans="1:12" ht="17.100000000000001" customHeight="1">
      <c r="C39" s="35" t="s">
        <v>100</v>
      </c>
      <c r="D39" s="11">
        <f t="shared" ref="D39:K39" si="1">100%-D10</f>
        <v>9.9999999999999978E-2</v>
      </c>
      <c r="E39" s="11">
        <f t="shared" si="1"/>
        <v>9.9999999999999978E-2</v>
      </c>
      <c r="F39" s="11">
        <f t="shared" si="1"/>
        <v>9.9999999999999978E-2</v>
      </c>
      <c r="G39" s="11">
        <f t="shared" si="1"/>
        <v>9.9999999999999978E-2</v>
      </c>
      <c r="H39" s="11">
        <f t="shared" si="1"/>
        <v>9.9999999999999978E-2</v>
      </c>
      <c r="I39" s="11">
        <f t="shared" si="1"/>
        <v>9.9999999999999978E-2</v>
      </c>
      <c r="J39" s="11">
        <f t="shared" si="1"/>
        <v>9.9999999999999978E-2</v>
      </c>
      <c r="K39" s="11">
        <f t="shared" si="1"/>
        <v>9.9999999999999978E-2</v>
      </c>
      <c r="L39" s="2" t="s">
        <v>101</v>
      </c>
    </row>
    <row r="40" spans="1:12">
      <c r="C40" s="35" t="s">
        <v>102</v>
      </c>
      <c r="D40" s="8">
        <f t="shared" ref="D40:K40" si="2">D10*D11+D39*D12</f>
        <v>0</v>
      </c>
      <c r="E40" s="8">
        <f t="shared" si="2"/>
        <v>0.03</v>
      </c>
      <c r="F40" s="8">
        <f t="shared" si="2"/>
        <v>0.05</v>
      </c>
      <c r="G40" s="8">
        <f t="shared" si="2"/>
        <v>7.0000000000000007E-2</v>
      </c>
      <c r="H40" s="8">
        <f t="shared" si="2"/>
        <v>0.08</v>
      </c>
      <c r="I40" s="8">
        <f t="shared" si="2"/>
        <v>0.1</v>
      </c>
      <c r="J40" s="8">
        <f t="shared" si="2"/>
        <v>0.12</v>
      </c>
      <c r="K40" s="8">
        <f t="shared" si="2"/>
        <v>0.14000000000000001</v>
      </c>
      <c r="L40" s="2" t="s">
        <v>103</v>
      </c>
    </row>
    <row r="41" spans="1:12">
      <c r="C41" s="35" t="s">
        <v>104</v>
      </c>
      <c r="D41" s="42">
        <f t="shared" ref="D41:K41" si="3">D40</f>
        <v>0</v>
      </c>
      <c r="E41" s="42">
        <f t="shared" si="3"/>
        <v>0.03</v>
      </c>
      <c r="F41" s="42">
        <f t="shared" si="3"/>
        <v>0.05</v>
      </c>
      <c r="G41" s="42">
        <f t="shared" si="3"/>
        <v>7.0000000000000007E-2</v>
      </c>
      <c r="H41" s="42">
        <f t="shared" si="3"/>
        <v>0.08</v>
      </c>
      <c r="I41" s="42">
        <f t="shared" si="3"/>
        <v>0.1</v>
      </c>
      <c r="J41" s="42">
        <f t="shared" si="3"/>
        <v>0.12</v>
      </c>
      <c r="K41" s="42">
        <f t="shared" si="3"/>
        <v>0.14000000000000001</v>
      </c>
      <c r="L41" s="2" t="s">
        <v>105</v>
      </c>
    </row>
    <row r="42" spans="1:12">
      <c r="C42" s="35" t="s">
        <v>106</v>
      </c>
      <c r="D42" s="13">
        <f t="shared" ref="D42:K42" si="4">1000*IF(D14&gt;0,D28*D13,D13*D15)</f>
        <v>0</v>
      </c>
      <c r="E42" s="13">
        <f t="shared" si="4"/>
        <v>0</v>
      </c>
      <c r="F42" s="13">
        <f t="shared" si="4"/>
        <v>0</v>
      </c>
      <c r="G42" s="13">
        <f t="shared" si="4"/>
        <v>0</v>
      </c>
      <c r="H42" s="13">
        <f t="shared" si="4"/>
        <v>0</v>
      </c>
      <c r="I42" s="13">
        <f t="shared" si="4"/>
        <v>0</v>
      </c>
      <c r="J42" s="13">
        <f t="shared" si="4"/>
        <v>0</v>
      </c>
      <c r="K42" s="13">
        <f t="shared" si="4"/>
        <v>0</v>
      </c>
      <c r="L42" s="2" t="s">
        <v>107</v>
      </c>
    </row>
    <row r="43" spans="1:12">
      <c r="C43" s="24" t="s">
        <v>108</v>
      </c>
      <c r="D43" s="56" t="str">
        <f>IF(COUNTA(C71:AB196)&gt;0,"CHECK OVERRIDES","OVERRIDES CLEAR")</f>
        <v>OVERRIDES CLEAR</v>
      </c>
      <c r="E43" s="56"/>
      <c r="F43" s="56"/>
      <c r="G43" s="56"/>
      <c r="H43" s="56"/>
      <c r="I43" s="56"/>
      <c r="J43" s="56"/>
      <c r="K43" s="56"/>
      <c r="L43" s="2" t="s">
        <v>109</v>
      </c>
    </row>
    <row r="45" spans="1:12" ht="24">
      <c r="A45" s="30" t="s">
        <v>110</v>
      </c>
      <c r="D45" s="24" t="str">
        <f>'LCOE 1'!J3</f>
        <v>USD/MWh</v>
      </c>
      <c r="E45" s="24" t="str">
        <f>'LCOE 2'!J3</f>
        <v>USD/MWh</v>
      </c>
      <c r="F45" s="24" t="str">
        <f>'LCOE 3'!J3</f>
        <v>USD/MWh</v>
      </c>
      <c r="G45" s="24" t="str">
        <f>'LCOE 4'!J3</f>
        <v>USD/MWh</v>
      </c>
      <c r="H45" s="24" t="str">
        <f>'LCOE 5'!J3</f>
        <v>USD/MWh</v>
      </c>
      <c r="I45" s="24" t="str">
        <f>'LCOE 6'!J3</f>
        <v>USD/MWh</v>
      </c>
      <c r="J45" s="24" t="str">
        <f>'LCOE 7'!J3</f>
        <v>USD/MWh</v>
      </c>
      <c r="K45" s="24" t="str">
        <f>'LCOE 8'!J3</f>
        <v>USD/MWh</v>
      </c>
    </row>
    <row r="46" spans="1:12">
      <c r="C46" s="24" t="s">
        <v>111</v>
      </c>
      <c r="D46" s="37">
        <f>'LCOE 1'!I3</f>
        <v>71.201772135737173</v>
      </c>
      <c r="E46" s="37">
        <f>'LCOE 2'!I3</f>
        <v>64.075543409183908</v>
      </c>
      <c r="F46" s="37">
        <f>'LCOE 3'!I3</f>
        <v>66.035232384376613</v>
      </c>
      <c r="G46" s="37">
        <f>'LCOE 4'!I3</f>
        <v>68.258027098634017</v>
      </c>
      <c r="H46" s="37">
        <f>'LCOE 5'!I3</f>
        <v>69.460823747961442</v>
      </c>
      <c r="I46" s="37">
        <f>'LCOE 6'!I3</f>
        <v>72.022032500546203</v>
      </c>
      <c r="J46" s="37">
        <f>'LCOE 7'!I3</f>
        <v>74.762467256960974</v>
      </c>
      <c r="K46" s="37">
        <f>'LCOE 8'!I3</f>
        <v>77.652830840881094</v>
      </c>
    </row>
    <row r="47" spans="1:12">
      <c r="C47" s="36" t="s">
        <v>112</v>
      </c>
      <c r="D47" s="23">
        <f>'LCOE 1'!I4</f>
        <v>13.938494306051609</v>
      </c>
      <c r="E47" s="23">
        <f>'LCOE 2'!I4</f>
        <v>6.7525503993352283</v>
      </c>
      <c r="F47" s="23">
        <f>'LCOE 3'!I4</f>
        <v>8.6657769002083462</v>
      </c>
      <c r="G47" s="23">
        <f>'LCOE 4'!I4</f>
        <v>10.838019234979699</v>
      </c>
      <c r="H47" s="23">
        <f>'LCOE 5'!I4</f>
        <v>12.014363574969575</v>
      </c>
      <c r="I47" s="23">
        <f>'LCOE 6'!I4</f>
        <v>14.520992375661274</v>
      </c>
      <c r="J47" s="23">
        <f>'LCOE 7'!I4</f>
        <v>17.205401773731566</v>
      </c>
      <c r="K47" s="23">
        <f>'LCOE 8'!I4</f>
        <v>20.039072392761934</v>
      </c>
    </row>
    <row r="48" spans="1:12">
      <c r="C48" s="36" t="s">
        <v>113</v>
      </c>
      <c r="D48" s="23">
        <f>'LCOE 1'!I5</f>
        <v>5.1907778296855565</v>
      </c>
      <c r="E48" s="23">
        <f>'LCOE 2'!I5</f>
        <v>5.2504930098486851</v>
      </c>
      <c r="F48" s="23">
        <f>'LCOE 3'!I5</f>
        <v>5.2969554841682376</v>
      </c>
      <c r="G48" s="23">
        <f>'LCOE 4'!I5</f>
        <v>5.3475078636543021</v>
      </c>
      <c r="H48" s="23">
        <f>'LCOE 5'!I5</f>
        <v>5.3739601729918123</v>
      </c>
      <c r="I48" s="23">
        <f>'LCOE 6'!I5</f>
        <v>5.4285401248848979</v>
      </c>
      <c r="J48" s="23">
        <f>'LCOE 7'!I5</f>
        <v>5.4845654832294244</v>
      </c>
      <c r="K48" s="23">
        <f>'LCOE 8'!I5</f>
        <v>5.5412584481191169</v>
      </c>
    </row>
    <row r="49" spans="1:13">
      <c r="C49" s="36" t="s">
        <v>114</v>
      </c>
      <c r="D49" s="23">
        <f>'LCOE 1'!I6</f>
        <v>42.66</v>
      </c>
      <c r="E49" s="23">
        <f>'LCOE 2'!I6</f>
        <v>42.659999999999975</v>
      </c>
      <c r="F49" s="23">
        <f>'LCOE 3'!I6</f>
        <v>42.660000000000018</v>
      </c>
      <c r="G49" s="23">
        <f>'LCOE 4'!I6</f>
        <v>42.660000000000004</v>
      </c>
      <c r="H49" s="23">
        <f>'LCOE 5'!I6</f>
        <v>42.660000000000004</v>
      </c>
      <c r="I49" s="23">
        <f>'LCOE 6'!I6</f>
        <v>42.660000000000032</v>
      </c>
      <c r="J49" s="23">
        <f>'LCOE 7'!I6</f>
        <v>42.660000000000011</v>
      </c>
      <c r="K49" s="23">
        <f>'LCOE 8'!I6</f>
        <v>42.660000000000018</v>
      </c>
    </row>
    <row r="50" spans="1:13">
      <c r="C50" s="36" t="s">
        <v>115</v>
      </c>
      <c r="D50" s="23">
        <f>'LCOE 1'!I7</f>
        <v>0</v>
      </c>
      <c r="E50" s="23">
        <f>'LCOE 2'!I7</f>
        <v>0</v>
      </c>
      <c r="F50" s="23">
        <f>'LCOE 3'!I7</f>
        <v>0</v>
      </c>
      <c r="G50" s="23">
        <f>'LCOE 4'!I7</f>
        <v>0</v>
      </c>
      <c r="H50" s="23">
        <f>'LCOE 5'!I7</f>
        <v>0</v>
      </c>
      <c r="I50" s="23">
        <f>'LCOE 6'!I7</f>
        <v>0</v>
      </c>
      <c r="J50" s="23">
        <f>'LCOE 7'!I7</f>
        <v>0</v>
      </c>
      <c r="K50" s="23">
        <f>'LCOE 8'!I7</f>
        <v>0</v>
      </c>
    </row>
    <row r="51" spans="1:13">
      <c r="C51" s="36" t="s">
        <v>116</v>
      </c>
      <c r="D51" s="23">
        <f>'LCOE 1'!I8</f>
        <v>9.4124999999999996</v>
      </c>
      <c r="E51" s="23">
        <f>'LCOE 2'!I8</f>
        <v>9.4124999999999979</v>
      </c>
      <c r="F51" s="23">
        <f>'LCOE 3'!I8</f>
        <v>9.4125000000000032</v>
      </c>
      <c r="G51" s="23">
        <f>'LCOE 4'!I8</f>
        <v>9.4125000000000014</v>
      </c>
      <c r="H51" s="23">
        <f>'LCOE 5'!I8</f>
        <v>9.4124999999999979</v>
      </c>
      <c r="I51" s="23">
        <f>'LCOE 6'!I8</f>
        <v>9.4125000000000068</v>
      </c>
      <c r="J51" s="23">
        <f>'LCOE 7'!I8</f>
        <v>9.4124999999999979</v>
      </c>
      <c r="K51" s="23">
        <f>'LCOE 8'!I8</f>
        <v>9.4125000000000032</v>
      </c>
    </row>
    <row r="52" spans="1:13">
      <c r="C52" s="36" t="s">
        <v>117</v>
      </c>
      <c r="D52" s="23">
        <f>'LCOE 1'!I9</f>
        <v>0</v>
      </c>
      <c r="E52" s="23">
        <f>'LCOE 2'!I9</f>
        <v>0</v>
      </c>
      <c r="F52" s="23">
        <f>'LCOE 3'!I9</f>
        <v>0</v>
      </c>
      <c r="G52" s="23">
        <f>'LCOE 4'!I9</f>
        <v>0</v>
      </c>
      <c r="H52" s="23">
        <f>'LCOE 5'!I9</f>
        <v>0</v>
      </c>
      <c r="I52" s="23">
        <f>'LCOE 6'!I9</f>
        <v>0</v>
      </c>
      <c r="J52" s="23">
        <f>'LCOE 7'!I9</f>
        <v>0</v>
      </c>
      <c r="K52" s="23">
        <f>'LCOE 8'!I9</f>
        <v>0</v>
      </c>
    </row>
    <row r="53" spans="1:13">
      <c r="C53" s="36" t="s">
        <v>118</v>
      </c>
      <c r="D53" s="47">
        <f>'LCOE 1'!I10</f>
        <v>0</v>
      </c>
      <c r="E53" s="47">
        <f>'LCOE 2'!I10</f>
        <v>2.999999999999995E-2</v>
      </c>
      <c r="F53" s="47">
        <f>'LCOE 3'!I10</f>
        <v>4.9999999999999899E-2</v>
      </c>
      <c r="G53" s="47">
        <f>'LCOE 4'!I10</f>
        <v>7.000000000000009E-2</v>
      </c>
      <c r="H53" s="47">
        <f>'LCOE 5'!I10</f>
        <v>8.0000000000000057E-2</v>
      </c>
      <c r="I53" s="47">
        <f>'LCOE 6'!I10</f>
        <v>9.9999999999999797E-2</v>
      </c>
      <c r="J53" s="47">
        <f>'LCOE 7'!I10</f>
        <v>0.1199999999999998</v>
      </c>
      <c r="K53" s="47">
        <f>'LCOE 8'!I10</f>
        <v>0.14000000000000018</v>
      </c>
    </row>
    <row r="54" spans="1:13">
      <c r="C54" s="36" t="s">
        <v>119</v>
      </c>
      <c r="D54" s="47" t="str">
        <f>'LCOE 1'!I11</f>
        <v>Electric only</v>
      </c>
      <c r="E54" s="23" t="str">
        <f>'LCOE 2'!I11</f>
        <v>Electric only</v>
      </c>
      <c r="F54" s="23" t="str">
        <f>'LCOE 3'!I11</f>
        <v>Electric only</v>
      </c>
      <c r="G54" s="23" t="str">
        <f>'LCOE 4'!I11</f>
        <v>Electric only</v>
      </c>
      <c r="H54" s="23" t="str">
        <f>'LCOE 5'!I11</f>
        <v>Electric only</v>
      </c>
      <c r="I54" s="23" t="str">
        <f>'LCOE 6'!I11</f>
        <v>Electric only</v>
      </c>
      <c r="J54" s="23" t="str">
        <f>'LCOE 7'!I11</f>
        <v>Electric only</v>
      </c>
      <c r="K54" s="23" t="str">
        <f>'LCOE 8'!I11</f>
        <v>Electric only</v>
      </c>
    </row>
    <row r="56" spans="1:13" ht="24">
      <c r="A56" s="30" t="s">
        <v>120</v>
      </c>
    </row>
    <row r="58" spans="1:13" ht="18.95">
      <c r="A58" s="31" t="s">
        <v>121</v>
      </c>
      <c r="G58" s="4" t="s">
        <v>122</v>
      </c>
      <c r="K58" s="31" t="s">
        <v>123</v>
      </c>
      <c r="L58" t="s">
        <v>22</v>
      </c>
      <c r="M58" t="s">
        <v>124</v>
      </c>
    </row>
    <row r="59" spans="1:13">
      <c r="C59" t="s">
        <v>125</v>
      </c>
      <c r="D59" s="2" t="s">
        <v>126</v>
      </c>
      <c r="E59" t="s">
        <v>127</v>
      </c>
      <c r="F59" s="2" t="s">
        <v>37</v>
      </c>
      <c r="G59" s="32" t="s">
        <v>128</v>
      </c>
      <c r="K59" t="s">
        <v>129</v>
      </c>
      <c r="L59" s="55">
        <v>8</v>
      </c>
      <c r="M59" s="53">
        <f>L59*L$63</f>
        <v>7.6079999999999997</v>
      </c>
    </row>
    <row r="60" spans="1:13">
      <c r="C60" t="s">
        <v>130</v>
      </c>
      <c r="D60" s="2">
        <v>8.9</v>
      </c>
      <c r="E60" s="5">
        <f>94.6</f>
        <v>94.6</v>
      </c>
      <c r="F60" s="32">
        <f t="shared" ref="F60:F63" si="5">D60*E60</f>
        <v>841.93999999999994</v>
      </c>
      <c r="G60" s="8">
        <f>F60/SUM(F60:F63)</f>
        <v>0.50614389457990661</v>
      </c>
      <c r="H60" s="2" t="s">
        <v>131</v>
      </c>
      <c r="K60" t="s">
        <v>132</v>
      </c>
      <c r="L60" s="54">
        <f>L59/0.293</f>
        <v>27.303754266211605</v>
      </c>
      <c r="M60" s="53">
        <f>L60*L$63</f>
        <v>25.965870307167236</v>
      </c>
    </row>
    <row r="61" spans="1:13">
      <c r="C61" t="s">
        <v>133</v>
      </c>
      <c r="D61" s="2">
        <v>7.5</v>
      </c>
      <c r="E61" s="5">
        <v>16</v>
      </c>
      <c r="F61" s="32">
        <f t="shared" si="5"/>
        <v>120</v>
      </c>
      <c r="G61" s="8">
        <f>F61/SUM(F60:F63)</f>
        <v>7.2139662386380032E-2</v>
      </c>
      <c r="H61" s="2" t="s">
        <v>134</v>
      </c>
      <c r="K61" t="s">
        <v>135</v>
      </c>
      <c r="L61" s="6">
        <v>0.64</v>
      </c>
      <c r="M61" s="53"/>
    </row>
    <row r="62" spans="1:13">
      <c r="C62" t="s">
        <v>136</v>
      </c>
      <c r="D62" s="2">
        <v>7.3</v>
      </c>
      <c r="E62" s="5">
        <v>55</v>
      </c>
      <c r="F62" s="32">
        <f t="shared" si="5"/>
        <v>401.5</v>
      </c>
      <c r="G62" s="8">
        <f>F62/SUM(F60:F63)</f>
        <v>0.24136728706776317</v>
      </c>
      <c r="H62" s="2" t="s">
        <v>137</v>
      </c>
      <c r="K62" t="s">
        <v>138</v>
      </c>
      <c r="L62" s="54">
        <f>L60/L61</f>
        <v>42.662116040955631</v>
      </c>
      <c r="M62" s="53">
        <f>L62*L$63</f>
        <v>40.571672354948802</v>
      </c>
    </row>
    <row r="63" spans="1:13">
      <c r="C63" t="s">
        <v>139</v>
      </c>
      <c r="D63" s="2">
        <v>1</v>
      </c>
      <c r="E63" s="5">
        <v>300</v>
      </c>
      <c r="F63" s="32">
        <f t="shared" si="5"/>
        <v>300</v>
      </c>
      <c r="G63" s="8">
        <f>F63/SUM(F60:F63)</f>
        <v>0.18034915596595008</v>
      </c>
      <c r="H63" s="2" t="s">
        <v>140</v>
      </c>
      <c r="K63" t="s">
        <v>141</v>
      </c>
      <c r="L63" s="5">
        <v>0.95099999999999996</v>
      </c>
    </row>
    <row r="64" spans="1:13">
      <c r="C64" t="s">
        <v>142</v>
      </c>
      <c r="D64" s="32">
        <f>SUM(F60:F63)</f>
        <v>1663.44</v>
      </c>
      <c r="E64" s="2" t="s">
        <v>143</v>
      </c>
      <c r="F64" s="1"/>
      <c r="G64" s="3"/>
      <c r="H64" s="2" t="s">
        <v>144</v>
      </c>
      <c r="K64" t="s">
        <v>145</v>
      </c>
      <c r="L64" s="5">
        <v>200.8</v>
      </c>
    </row>
    <row r="65" spans="1:28">
      <c r="C65" t="s">
        <v>146</v>
      </c>
      <c r="D65" s="34">
        <v>45000</v>
      </c>
      <c r="E65" t="s">
        <v>147</v>
      </c>
      <c r="H65" s="2" t="s">
        <v>148</v>
      </c>
      <c r="K65" t="s">
        <v>149</v>
      </c>
      <c r="L65">
        <f>L64/L61</f>
        <v>313.75</v>
      </c>
    </row>
    <row r="66" spans="1:28" s="2" customFormat="1">
      <c r="C66" t="s">
        <v>150</v>
      </c>
      <c r="D66" s="2">
        <f>D65*8/1000</f>
        <v>360</v>
      </c>
      <c r="E66" s="2" t="s">
        <v>151</v>
      </c>
      <c r="H66" s="2" t="s">
        <v>152</v>
      </c>
    </row>
    <row r="67" spans="1:28">
      <c r="C67" t="s">
        <v>153</v>
      </c>
      <c r="D67" s="33">
        <f>SUM(F60:F63)/D66</f>
        <v>4.6206666666666667</v>
      </c>
      <c r="E67" s="2" t="s">
        <v>154</v>
      </c>
    </row>
    <row r="69" spans="1:28" ht="24">
      <c r="A69" s="30" t="s">
        <v>155</v>
      </c>
      <c r="D69" s="27" t="s">
        <v>156</v>
      </c>
      <c r="E69" s="27"/>
      <c r="F69" s="27"/>
      <c r="G69" s="27"/>
      <c r="H69" s="27"/>
      <c r="I69" s="27"/>
      <c r="J69" s="27" t="s">
        <v>157</v>
      </c>
      <c r="K69" s="27"/>
      <c r="L69" s="27"/>
      <c r="M69" s="28" t="s">
        <v>158</v>
      </c>
      <c r="N69" s="28"/>
      <c r="O69" s="39"/>
      <c r="P69" s="39"/>
      <c r="Q69" s="39"/>
      <c r="R69" s="39"/>
      <c r="S69" s="39"/>
      <c r="T69" s="39"/>
      <c r="U69" s="39"/>
      <c r="V69" s="39"/>
      <c r="W69" s="39"/>
      <c r="X69" s="39"/>
      <c r="Y69" s="39"/>
      <c r="Z69" s="39"/>
      <c r="AA69" s="39"/>
      <c r="AB69" s="39"/>
    </row>
    <row r="70" spans="1:28" ht="204">
      <c r="A70" s="24" t="s">
        <v>159</v>
      </c>
      <c r="B70" s="44" t="s">
        <v>160</v>
      </c>
      <c r="C70" s="45" t="s">
        <v>161</v>
      </c>
      <c r="D70" s="45" t="s">
        <v>162</v>
      </c>
      <c r="E70" s="45" t="s">
        <v>163</v>
      </c>
      <c r="F70" s="45" t="s">
        <v>104</v>
      </c>
      <c r="G70" s="45" t="s">
        <v>164</v>
      </c>
      <c r="H70" s="45" t="s">
        <v>165</v>
      </c>
      <c r="I70" s="45" t="s">
        <v>166</v>
      </c>
      <c r="J70" s="45" t="s">
        <v>167</v>
      </c>
      <c r="K70" s="45" t="s">
        <v>168</v>
      </c>
      <c r="L70" s="45" t="s">
        <v>169</v>
      </c>
      <c r="M70" s="45" t="s">
        <v>170</v>
      </c>
      <c r="N70" s="45" t="s">
        <v>171</v>
      </c>
      <c r="O70" s="45" t="s">
        <v>172</v>
      </c>
      <c r="P70" s="45" t="s">
        <v>173</v>
      </c>
      <c r="Q70" s="45" t="s">
        <v>174</v>
      </c>
      <c r="R70" s="45" t="s">
        <v>175</v>
      </c>
      <c r="S70" s="45" t="s">
        <v>176</v>
      </c>
      <c r="T70" s="45" t="s">
        <v>177</v>
      </c>
      <c r="U70" s="45" t="s">
        <v>178</v>
      </c>
      <c r="V70" s="45" t="s">
        <v>179</v>
      </c>
      <c r="W70" s="45" t="s">
        <v>180</v>
      </c>
      <c r="X70" s="45" t="s">
        <v>181</v>
      </c>
      <c r="Y70" s="45" t="s">
        <v>182</v>
      </c>
      <c r="Z70" s="45" t="s">
        <v>183</v>
      </c>
      <c r="AA70" s="45" t="s">
        <v>184</v>
      </c>
      <c r="AB70" s="45" t="s">
        <v>185</v>
      </c>
    </row>
    <row r="71" spans="1:28">
      <c r="A71">
        <v>-25</v>
      </c>
      <c r="B71" s="20"/>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row>
    <row r="72" spans="1:28">
      <c r="A72">
        <v>-24</v>
      </c>
      <c r="B72" s="20"/>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row>
    <row r="73" spans="1:28">
      <c r="A73">
        <v>-23</v>
      </c>
      <c r="B73" s="20"/>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row>
    <row r="74" spans="1:28">
      <c r="A74">
        <v>-22</v>
      </c>
      <c r="B74" s="20"/>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row>
    <row r="75" spans="1:28">
      <c r="A75">
        <v>-21</v>
      </c>
      <c r="B75" s="20"/>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row>
    <row r="76" spans="1:28">
      <c r="A76">
        <v>-20</v>
      </c>
      <c r="B76" s="20"/>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row>
    <row r="77" spans="1:28">
      <c r="A77">
        <v>-19</v>
      </c>
      <c r="B77" s="20"/>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row>
    <row r="78" spans="1:28">
      <c r="A78">
        <v>-18</v>
      </c>
      <c r="B78" s="20"/>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row>
    <row r="79" spans="1:28">
      <c r="A79">
        <v>-17</v>
      </c>
      <c r="B79" s="20"/>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row>
    <row r="80" spans="1:28">
      <c r="A80">
        <v>-16</v>
      </c>
      <c r="B80" s="20"/>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row>
    <row r="81" spans="1:28">
      <c r="A81">
        <v>-15</v>
      </c>
      <c r="B81" s="20"/>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row>
    <row r="82" spans="1:28">
      <c r="A82">
        <v>-14</v>
      </c>
      <c r="B82" s="20"/>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row>
    <row r="83" spans="1:28">
      <c r="A83">
        <v>-13</v>
      </c>
      <c r="B83" s="20"/>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row>
    <row r="84" spans="1:28">
      <c r="A84">
        <v>-12</v>
      </c>
      <c r="B84" s="20"/>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row>
    <row r="85" spans="1:28">
      <c r="A85">
        <v>-11</v>
      </c>
      <c r="B85" s="20"/>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row>
    <row r="86" spans="1:28">
      <c r="A86">
        <v>-10</v>
      </c>
      <c r="B86" s="20"/>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row>
    <row r="87" spans="1:28">
      <c r="A87">
        <v>-9</v>
      </c>
      <c r="B87" s="20"/>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row>
    <row r="88" spans="1:28">
      <c r="A88">
        <v>-8</v>
      </c>
      <c r="B88" s="20"/>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row>
    <row r="89" spans="1:28">
      <c r="A89">
        <v>-7</v>
      </c>
      <c r="B89" s="20"/>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row>
    <row r="90" spans="1:28">
      <c r="A90">
        <v>-6</v>
      </c>
      <c r="B90" s="20"/>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row>
    <row r="91" spans="1:28">
      <c r="A91">
        <v>-5</v>
      </c>
      <c r="B91" s="20"/>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row>
    <row r="92" spans="1:28">
      <c r="A92">
        <v>-4</v>
      </c>
      <c r="B92" s="20"/>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row>
    <row r="93" spans="1:28">
      <c r="A93">
        <v>-3</v>
      </c>
      <c r="B93" s="20"/>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row>
    <row r="94" spans="1:28">
      <c r="A94">
        <v>-2</v>
      </c>
      <c r="B94" s="20"/>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row>
    <row r="95" spans="1:28">
      <c r="A95">
        <v>-1</v>
      </c>
      <c r="B95" s="20"/>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row>
    <row r="96" spans="1:28">
      <c r="A96">
        <v>0</v>
      </c>
      <c r="B96" s="20">
        <v>30</v>
      </c>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row>
    <row r="97" spans="1:28">
      <c r="A97">
        <v>1</v>
      </c>
      <c r="B97" s="20">
        <v>30</v>
      </c>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row>
    <row r="98" spans="1:28">
      <c r="A98">
        <v>2</v>
      </c>
      <c r="B98" s="20">
        <v>30</v>
      </c>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row>
    <row r="99" spans="1:28">
      <c r="A99">
        <v>3</v>
      </c>
      <c r="B99" s="20">
        <v>30</v>
      </c>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row>
    <row r="100" spans="1:28">
      <c r="A100">
        <v>4</v>
      </c>
      <c r="B100" s="20">
        <v>30</v>
      </c>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row>
    <row r="101" spans="1:28">
      <c r="A101">
        <v>5</v>
      </c>
      <c r="B101" s="20">
        <v>30</v>
      </c>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row>
    <row r="102" spans="1:28">
      <c r="A102">
        <v>6</v>
      </c>
      <c r="B102" s="20">
        <v>30</v>
      </c>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row>
    <row r="103" spans="1:28">
      <c r="A103">
        <v>7</v>
      </c>
      <c r="B103" s="20">
        <v>30</v>
      </c>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row>
    <row r="104" spans="1:28">
      <c r="A104">
        <v>8</v>
      </c>
      <c r="B104" s="20">
        <v>30</v>
      </c>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row>
    <row r="105" spans="1:28">
      <c r="A105">
        <v>9</v>
      </c>
      <c r="B105" s="20">
        <v>30</v>
      </c>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row>
    <row r="106" spans="1:28">
      <c r="A106">
        <v>10</v>
      </c>
      <c r="B106" s="20">
        <v>30</v>
      </c>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row>
    <row r="107" spans="1:28">
      <c r="A107">
        <v>11</v>
      </c>
      <c r="B107" s="20">
        <v>30</v>
      </c>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row>
    <row r="108" spans="1:28">
      <c r="A108">
        <v>12</v>
      </c>
      <c r="B108" s="20">
        <v>30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row>
    <row r="109" spans="1:28">
      <c r="A109">
        <v>13</v>
      </c>
      <c r="B109" s="20">
        <v>30</v>
      </c>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row>
    <row r="110" spans="1:28">
      <c r="A110">
        <v>14</v>
      </c>
      <c r="B110" s="20">
        <v>30</v>
      </c>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row>
    <row r="111" spans="1:28">
      <c r="A111">
        <v>15</v>
      </c>
      <c r="B111" s="20">
        <v>30</v>
      </c>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row>
    <row r="112" spans="1:28">
      <c r="A112">
        <v>16</v>
      </c>
      <c r="B112" s="20">
        <v>30</v>
      </c>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row>
    <row r="113" spans="1:28">
      <c r="A113">
        <v>17</v>
      </c>
      <c r="B113" s="20">
        <v>30</v>
      </c>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row>
    <row r="114" spans="1:28">
      <c r="A114">
        <v>18</v>
      </c>
      <c r="B114" s="20">
        <v>30</v>
      </c>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row>
    <row r="115" spans="1:28">
      <c r="A115">
        <v>19</v>
      </c>
      <c r="B115" s="20">
        <v>30</v>
      </c>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row>
    <row r="116" spans="1:28">
      <c r="A116">
        <v>20</v>
      </c>
      <c r="B116" s="20">
        <v>30</v>
      </c>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row>
    <row r="117" spans="1:28">
      <c r="A117">
        <v>21</v>
      </c>
      <c r="B117" s="20">
        <v>30</v>
      </c>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row>
    <row r="118" spans="1:28">
      <c r="A118">
        <v>22</v>
      </c>
      <c r="B118" s="20">
        <v>30</v>
      </c>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row>
    <row r="119" spans="1:28">
      <c r="A119">
        <v>23</v>
      </c>
      <c r="B119" s="20">
        <v>30</v>
      </c>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row>
    <row r="120" spans="1:28">
      <c r="A120">
        <v>24</v>
      </c>
      <c r="B120" s="20">
        <v>30</v>
      </c>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row>
    <row r="121" spans="1:28">
      <c r="A121">
        <v>25</v>
      </c>
      <c r="B121" s="20">
        <v>30</v>
      </c>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row>
    <row r="122" spans="1:28">
      <c r="A122">
        <v>26</v>
      </c>
      <c r="B122" s="20">
        <v>30</v>
      </c>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row>
    <row r="123" spans="1:28">
      <c r="A123">
        <v>27</v>
      </c>
      <c r="B123" s="20">
        <v>30</v>
      </c>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row>
    <row r="124" spans="1:28">
      <c r="A124">
        <v>28</v>
      </c>
      <c r="B124" s="20">
        <v>30</v>
      </c>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row>
    <row r="125" spans="1:28">
      <c r="A125">
        <v>29</v>
      </c>
      <c r="B125" s="20">
        <v>30</v>
      </c>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row>
    <row r="126" spans="1:28">
      <c r="A126">
        <v>30</v>
      </c>
      <c r="B126" s="20">
        <v>30</v>
      </c>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row>
    <row r="127" spans="1:28">
      <c r="A127">
        <v>31</v>
      </c>
      <c r="B127" s="20">
        <v>30</v>
      </c>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row>
    <row r="128" spans="1:28">
      <c r="A128">
        <v>32</v>
      </c>
      <c r="B128" s="20">
        <v>30</v>
      </c>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row>
    <row r="129" spans="1:28">
      <c r="A129">
        <v>33</v>
      </c>
      <c r="B129" s="20">
        <v>30</v>
      </c>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row>
    <row r="130" spans="1:28">
      <c r="A130">
        <v>34</v>
      </c>
      <c r="B130" s="20">
        <v>30</v>
      </c>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row>
    <row r="131" spans="1:28">
      <c r="A131">
        <v>35</v>
      </c>
      <c r="B131" s="20">
        <v>30</v>
      </c>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row>
    <row r="132" spans="1:28">
      <c r="A132">
        <v>36</v>
      </c>
      <c r="B132" s="20">
        <v>30</v>
      </c>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row>
    <row r="133" spans="1:28">
      <c r="A133">
        <v>37</v>
      </c>
      <c r="B133" s="20">
        <v>30</v>
      </c>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row>
    <row r="134" spans="1:28">
      <c r="A134">
        <v>38</v>
      </c>
      <c r="B134" s="20">
        <v>30</v>
      </c>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row>
    <row r="135" spans="1:28">
      <c r="A135">
        <v>39</v>
      </c>
      <c r="B135" s="20">
        <v>30</v>
      </c>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row>
    <row r="136" spans="1:28">
      <c r="A136">
        <v>40</v>
      </c>
      <c r="B136" s="20">
        <v>30</v>
      </c>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row>
    <row r="137" spans="1:28">
      <c r="A137">
        <v>41</v>
      </c>
      <c r="B137" s="20">
        <v>30</v>
      </c>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row>
    <row r="138" spans="1:28">
      <c r="A138">
        <v>42</v>
      </c>
      <c r="B138" s="20">
        <v>30</v>
      </c>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row>
    <row r="139" spans="1:28">
      <c r="A139">
        <v>43</v>
      </c>
      <c r="B139" s="20">
        <v>30</v>
      </c>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row>
    <row r="140" spans="1:28">
      <c r="A140">
        <v>44</v>
      </c>
      <c r="B140" s="20">
        <v>30</v>
      </c>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row>
    <row r="141" spans="1:28">
      <c r="A141">
        <v>45</v>
      </c>
      <c r="B141" s="20">
        <v>30</v>
      </c>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row>
    <row r="142" spans="1:28">
      <c r="A142">
        <v>46</v>
      </c>
      <c r="B142" s="20">
        <v>30</v>
      </c>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row>
    <row r="143" spans="1:28">
      <c r="A143">
        <v>47</v>
      </c>
      <c r="B143" s="20">
        <v>30</v>
      </c>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row>
    <row r="144" spans="1:28">
      <c r="A144">
        <v>48</v>
      </c>
      <c r="B144" s="20">
        <v>30</v>
      </c>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row>
    <row r="145" spans="1:28">
      <c r="A145">
        <v>49</v>
      </c>
      <c r="B145" s="20">
        <v>30</v>
      </c>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row>
    <row r="146" spans="1:28">
      <c r="A146">
        <v>50</v>
      </c>
      <c r="B146" s="20">
        <v>30</v>
      </c>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row>
    <row r="147" spans="1:28">
      <c r="A147">
        <v>51</v>
      </c>
      <c r="B147" s="20">
        <v>30</v>
      </c>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row>
    <row r="148" spans="1:28">
      <c r="A148">
        <v>52</v>
      </c>
      <c r="B148" s="20">
        <v>30</v>
      </c>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row>
    <row r="149" spans="1:28">
      <c r="A149">
        <v>53</v>
      </c>
      <c r="B149" s="20">
        <v>30</v>
      </c>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spans="1:28">
      <c r="A150">
        <v>54</v>
      </c>
      <c r="B150" s="20">
        <v>30</v>
      </c>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row>
    <row r="151" spans="1:28">
      <c r="A151">
        <v>55</v>
      </c>
      <c r="B151" s="20">
        <v>30</v>
      </c>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row>
    <row r="152" spans="1:28">
      <c r="A152">
        <v>56</v>
      </c>
      <c r="B152" s="20">
        <v>30</v>
      </c>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row>
    <row r="153" spans="1:28">
      <c r="A153">
        <v>57</v>
      </c>
      <c r="B153" s="20">
        <v>30</v>
      </c>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row>
    <row r="154" spans="1:28">
      <c r="A154">
        <v>58</v>
      </c>
      <c r="B154" s="20">
        <v>30</v>
      </c>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row>
    <row r="155" spans="1:28">
      <c r="A155">
        <v>59</v>
      </c>
      <c r="B155" s="20">
        <v>30</v>
      </c>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row>
    <row r="156" spans="1:28">
      <c r="A156">
        <v>60</v>
      </c>
      <c r="B156" s="20">
        <v>30</v>
      </c>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row>
    <row r="157" spans="1:28">
      <c r="A157">
        <v>61</v>
      </c>
      <c r="B157" s="20">
        <v>30</v>
      </c>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row>
    <row r="158" spans="1:28">
      <c r="A158">
        <v>62</v>
      </c>
      <c r="B158" s="20">
        <v>30</v>
      </c>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row>
    <row r="159" spans="1:28">
      <c r="A159">
        <v>63</v>
      </c>
      <c r="B159" s="20">
        <v>30</v>
      </c>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row>
    <row r="160" spans="1:28">
      <c r="A160">
        <v>64</v>
      </c>
      <c r="B160" s="20">
        <v>30</v>
      </c>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row>
    <row r="161" spans="1:28">
      <c r="A161">
        <v>65</v>
      </c>
      <c r="B161" s="20">
        <v>30</v>
      </c>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row>
    <row r="162" spans="1:28">
      <c r="A162">
        <v>66</v>
      </c>
      <c r="B162" s="20">
        <v>30</v>
      </c>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row>
    <row r="163" spans="1:28">
      <c r="A163">
        <v>67</v>
      </c>
      <c r="B163" s="20">
        <v>30</v>
      </c>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row>
    <row r="164" spans="1:28">
      <c r="A164">
        <v>68</v>
      </c>
      <c r="B164" s="20">
        <v>30</v>
      </c>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row>
    <row r="165" spans="1:28">
      <c r="A165">
        <v>69</v>
      </c>
      <c r="B165" s="20">
        <v>30</v>
      </c>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row>
    <row r="166" spans="1:28">
      <c r="A166">
        <v>70</v>
      </c>
      <c r="B166" s="20">
        <v>30</v>
      </c>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row>
    <row r="167" spans="1:28">
      <c r="A167">
        <v>71</v>
      </c>
      <c r="B167" s="20">
        <v>30</v>
      </c>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row>
    <row r="168" spans="1:28">
      <c r="A168">
        <v>72</v>
      </c>
      <c r="B168" s="20">
        <v>30</v>
      </c>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row>
    <row r="169" spans="1:28">
      <c r="A169">
        <v>73</v>
      </c>
      <c r="B169" s="20">
        <v>30</v>
      </c>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row>
    <row r="170" spans="1:28">
      <c r="A170">
        <v>74</v>
      </c>
      <c r="B170" s="20">
        <v>30</v>
      </c>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row>
    <row r="171" spans="1:28">
      <c r="A171">
        <v>75</v>
      </c>
      <c r="B171" s="20">
        <v>30</v>
      </c>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row>
    <row r="172" spans="1:28">
      <c r="A172">
        <v>76</v>
      </c>
      <c r="B172" s="20">
        <v>30</v>
      </c>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row>
    <row r="173" spans="1:28">
      <c r="A173">
        <v>77</v>
      </c>
      <c r="B173" s="20">
        <v>30</v>
      </c>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row>
    <row r="174" spans="1:28">
      <c r="A174">
        <v>78</v>
      </c>
      <c r="B174" s="20">
        <v>30</v>
      </c>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row>
    <row r="175" spans="1:28">
      <c r="A175">
        <v>79</v>
      </c>
      <c r="B175" s="20">
        <v>30</v>
      </c>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row>
    <row r="176" spans="1:28">
      <c r="A176">
        <v>80</v>
      </c>
      <c r="B176" s="20">
        <v>30</v>
      </c>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row>
    <row r="177" spans="1:28">
      <c r="A177">
        <v>81</v>
      </c>
      <c r="B177" s="20">
        <v>30</v>
      </c>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row>
    <row r="178" spans="1:28">
      <c r="A178">
        <v>82</v>
      </c>
      <c r="B178" s="20">
        <v>30</v>
      </c>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row>
    <row r="179" spans="1:28">
      <c r="A179">
        <v>83</v>
      </c>
      <c r="B179" s="20">
        <v>30</v>
      </c>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row>
    <row r="180" spans="1:28">
      <c r="A180">
        <v>84</v>
      </c>
      <c r="B180" s="20">
        <v>30</v>
      </c>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row>
    <row r="181" spans="1:28">
      <c r="A181">
        <v>85</v>
      </c>
      <c r="B181" s="20">
        <v>30</v>
      </c>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row>
    <row r="182" spans="1:28">
      <c r="A182">
        <v>86</v>
      </c>
      <c r="B182" s="20">
        <v>30</v>
      </c>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row>
    <row r="183" spans="1:28">
      <c r="A183">
        <v>87</v>
      </c>
      <c r="B183" s="20">
        <v>30</v>
      </c>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row>
    <row r="184" spans="1:28">
      <c r="A184">
        <v>88</v>
      </c>
      <c r="B184" s="20">
        <v>30</v>
      </c>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row>
    <row r="185" spans="1:28">
      <c r="A185">
        <v>89</v>
      </c>
      <c r="B185" s="20">
        <v>30</v>
      </c>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row>
    <row r="186" spans="1:28">
      <c r="A186">
        <v>90</v>
      </c>
      <c r="B186" s="20">
        <v>30</v>
      </c>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row>
    <row r="187" spans="1:28">
      <c r="A187">
        <v>91</v>
      </c>
      <c r="B187" s="20">
        <v>30</v>
      </c>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row>
    <row r="188" spans="1:28">
      <c r="A188">
        <v>92</v>
      </c>
      <c r="B188" s="20">
        <v>30</v>
      </c>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row>
    <row r="189" spans="1:28">
      <c r="A189">
        <v>93</v>
      </c>
      <c r="B189" s="20">
        <v>30</v>
      </c>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row>
    <row r="190" spans="1:28">
      <c r="A190">
        <v>94</v>
      </c>
      <c r="B190" s="20">
        <v>30</v>
      </c>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row>
    <row r="191" spans="1:28">
      <c r="A191">
        <v>95</v>
      </c>
      <c r="B191" s="20">
        <v>30</v>
      </c>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row>
    <row r="192" spans="1:28">
      <c r="A192">
        <v>96</v>
      </c>
      <c r="B192" s="20">
        <v>30</v>
      </c>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row>
    <row r="193" spans="1:28">
      <c r="A193">
        <v>97</v>
      </c>
      <c r="B193" s="20">
        <v>30</v>
      </c>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row>
    <row r="194" spans="1:28">
      <c r="A194">
        <v>98</v>
      </c>
      <c r="B194" s="20">
        <v>30</v>
      </c>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row>
    <row r="195" spans="1:28">
      <c r="A195">
        <v>99</v>
      </c>
      <c r="B195" s="20">
        <v>30</v>
      </c>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row>
    <row r="196" spans="1:28">
      <c r="A196">
        <v>100</v>
      </c>
      <c r="B196" s="20">
        <v>30</v>
      </c>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row>
  </sheetData>
  <mergeCells count="1">
    <mergeCell ref="D43:K43"/>
  </mergeCells>
  <conditionalFormatting sqref="C71:AB196">
    <cfRule type="notContainsBlanks" dxfId="1" priority="1">
      <formula>LEN(TRIM(C71))&gt;0</formula>
    </cfRule>
  </conditionalFormatting>
  <conditionalFormatting sqref="D43">
    <cfRule type="containsText" dxfId="0" priority="2" operator="containsText" text="CHECK OVERRIDES">
      <formula>NOT(ISERROR(SEARCH("CHECK OVERRIDES",D43)))</formula>
    </cfRule>
  </conditionalFormatting>
  <hyperlinks>
    <hyperlink ref="G58" r:id="rId1" xr:uid="{B2356E1E-09F5-A54A-B90E-F4E7DA4F6D4D}"/>
    <hyperlink ref="A2" r:id="rId2" xr:uid="{2D0094C9-DA64-4312-B482-12C1040A629C}"/>
  </hyperlinks>
  <pageMargins left="0.7" right="0.7" top="0.75" bottom="0.75" header="0.3" footer="0.3"/>
  <ignoredErrors>
    <ignoredError sqref="E52" formula="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D8CDE-0169-1849-8011-6A0FF9495E0E}">
  <dimension ref="A2:T129"/>
  <sheetViews>
    <sheetView workbookViewId="0">
      <selection activeCell="D18" sqref="D18"/>
    </sheetView>
    <sheetView topLeftCell="A23" workbookViewId="1"/>
  </sheetViews>
  <sheetFormatPr defaultColWidth="11" defaultRowHeight="15.95"/>
  <cols>
    <col min="3" max="3" width="26.5" customWidth="1"/>
  </cols>
  <sheetData>
    <row r="2" spans="3:11">
      <c r="C2" s="24" t="s">
        <v>186</v>
      </c>
      <c r="D2">
        <f>LCOE!D37</f>
        <v>2020</v>
      </c>
    </row>
    <row r="4" spans="3:11">
      <c r="C4" s="24" t="s">
        <v>187</v>
      </c>
      <c r="D4" s="5" t="s">
        <v>188</v>
      </c>
      <c r="E4" s="5" t="s">
        <v>189</v>
      </c>
      <c r="F4" s="5" t="s">
        <v>190</v>
      </c>
      <c r="G4" s="5" t="s">
        <v>191</v>
      </c>
      <c r="H4" s="5" t="s">
        <v>192</v>
      </c>
      <c r="I4" s="5" t="s">
        <v>193</v>
      </c>
      <c r="J4" s="5" t="s">
        <v>194</v>
      </c>
      <c r="K4" s="5" t="s">
        <v>195</v>
      </c>
    </row>
    <row r="5" spans="3:11">
      <c r="C5" s="24" t="s">
        <v>196</v>
      </c>
      <c r="D5" t="str">
        <f>LCOE!D3</f>
        <v>LCOE 1</v>
      </c>
      <c r="E5" t="str">
        <f>LCOE!E3</f>
        <v>LCOE 2</v>
      </c>
      <c r="F5" t="str">
        <f>LCOE!F3</f>
        <v>LCOE 3</v>
      </c>
      <c r="G5" t="str">
        <f>LCOE!G3</f>
        <v>LCOE 4</v>
      </c>
      <c r="H5" t="str">
        <f>LCOE!H3</f>
        <v>LCOE 5</v>
      </c>
      <c r="I5" t="str">
        <f>LCOE!I3</f>
        <v>LCOE 6</v>
      </c>
      <c r="J5" t="str">
        <f>LCOE!J3</f>
        <v>LCOE 7</v>
      </c>
      <c r="K5" t="str">
        <f>LCOE!K3</f>
        <v>LCOE 8</v>
      </c>
    </row>
    <row r="6" spans="3:11">
      <c r="C6" s="24" t="s">
        <v>197</v>
      </c>
      <c r="D6" t="str">
        <f>LCOE!D5</f>
        <v>CCGT in Belgium (2020)</v>
      </c>
      <c r="E6" t="str">
        <f>LCOE!E5</f>
        <v>CCGT in Belgium (2020)</v>
      </c>
      <c r="F6" t="str">
        <f>LCOE!F5</f>
        <v>CCGT in Belgium (2020)</v>
      </c>
      <c r="G6" t="str">
        <f>LCOE!G5</f>
        <v>CCGT in Belgium (2020)</v>
      </c>
      <c r="H6" t="str">
        <f>LCOE!H5</f>
        <v>CCGT in Belgium (2020)</v>
      </c>
      <c r="I6" t="str">
        <f>LCOE!I5</f>
        <v>CCGT in Belgium (2020)</v>
      </c>
      <c r="J6" t="str">
        <f>LCOE!J5</f>
        <v>CCGT in Belgium (2020)</v>
      </c>
      <c r="K6" t="str">
        <f>LCOE!K5</f>
        <v>CCGT in Belgium (2020)</v>
      </c>
    </row>
    <row r="7" spans="3:11">
      <c r="C7" s="24" t="s">
        <v>198</v>
      </c>
      <c r="D7" s="5">
        <v>95782</v>
      </c>
      <c r="E7" s="5">
        <v>95782</v>
      </c>
      <c r="F7" s="5">
        <v>95782</v>
      </c>
      <c r="G7" s="5">
        <v>95782</v>
      </c>
      <c r="H7" s="5">
        <v>95782</v>
      </c>
      <c r="I7" s="5">
        <v>95782</v>
      </c>
      <c r="J7" s="5">
        <v>95782</v>
      </c>
      <c r="K7" s="5">
        <v>95782</v>
      </c>
    </row>
    <row r="8" spans="3:11">
      <c r="C8" s="24" t="s">
        <v>199</v>
      </c>
      <c r="D8" s="5" t="s">
        <v>200</v>
      </c>
      <c r="E8" s="5" t="s">
        <v>200</v>
      </c>
      <c r="F8" s="5" t="s">
        <v>200</v>
      </c>
      <c r="G8" s="5" t="s">
        <v>200</v>
      </c>
      <c r="H8" s="5" t="s">
        <v>200</v>
      </c>
      <c r="I8" s="5" t="s">
        <v>200</v>
      </c>
      <c r="J8" s="5" t="s">
        <v>200</v>
      </c>
      <c r="K8" s="5" t="s">
        <v>200</v>
      </c>
    </row>
    <row r="27" spans="1:20">
      <c r="D27" s="24" t="s">
        <v>201</v>
      </c>
      <c r="M27" s="24" t="s">
        <v>202</v>
      </c>
    </row>
    <row r="28" spans="1:20">
      <c r="A28" t="s">
        <v>159</v>
      </c>
      <c r="B28" t="s">
        <v>159</v>
      </c>
      <c r="C28" t="s">
        <v>203</v>
      </c>
      <c r="D28" t="str">
        <f>D4</f>
        <v>LC Case 1</v>
      </c>
      <c r="E28" t="str">
        <f t="shared" ref="E28:K28" si="0">E4</f>
        <v>LC Case 2</v>
      </c>
      <c r="F28" t="str">
        <f t="shared" si="0"/>
        <v>LC Case 3</v>
      </c>
      <c r="G28" t="str">
        <f t="shared" si="0"/>
        <v>LC Case 4</v>
      </c>
      <c r="H28" t="str">
        <f t="shared" si="0"/>
        <v>LC Case 5</v>
      </c>
      <c r="I28" t="str">
        <f t="shared" si="0"/>
        <v>LC Case 6</v>
      </c>
      <c r="J28" t="str">
        <f t="shared" si="0"/>
        <v>LC Case 7</v>
      </c>
      <c r="K28" t="str">
        <f t="shared" si="0"/>
        <v>LC Case 8</v>
      </c>
      <c r="M28" t="str">
        <f>D4</f>
        <v>LC Case 1</v>
      </c>
      <c r="N28" t="str">
        <f t="shared" ref="N28:S28" si="1">E4</f>
        <v>LC Case 2</v>
      </c>
      <c r="O28" t="str">
        <f t="shared" si="1"/>
        <v>LC Case 3</v>
      </c>
      <c r="P28" t="str">
        <f t="shared" si="1"/>
        <v>LC Case 4</v>
      </c>
      <c r="Q28" t="str">
        <f t="shared" si="1"/>
        <v>LC Case 5</v>
      </c>
      <c r="R28" t="str">
        <f t="shared" si="1"/>
        <v>LC Case 6</v>
      </c>
      <c r="S28" t="str">
        <f t="shared" si="1"/>
        <v>LC Case 7</v>
      </c>
      <c r="T28" t="str">
        <f>K4</f>
        <v>LC Case 8</v>
      </c>
    </row>
    <row r="29" spans="1:20">
      <c r="A29">
        <v>0</v>
      </c>
      <c r="B29">
        <f>A29+D$2</f>
        <v>2020</v>
      </c>
      <c r="D29" s="5">
        <v>0.05</v>
      </c>
      <c r="E29" s="5">
        <v>0.05</v>
      </c>
      <c r="F29" s="5">
        <v>0.05</v>
      </c>
      <c r="G29" s="5">
        <v>0.05</v>
      </c>
      <c r="H29" s="5">
        <v>0.05</v>
      </c>
      <c r="I29" s="5">
        <v>0.05</v>
      </c>
      <c r="J29" s="5">
        <v>0.05</v>
      </c>
      <c r="K29" s="5">
        <v>0.05</v>
      </c>
      <c r="M29" s="10">
        <v>0.01</v>
      </c>
      <c r="N29" s="10">
        <v>0.01</v>
      </c>
      <c r="O29" s="10">
        <v>0.01</v>
      </c>
      <c r="P29" s="10">
        <v>0.01</v>
      </c>
      <c r="Q29" s="10">
        <v>0.01</v>
      </c>
      <c r="R29" s="10">
        <v>0.01</v>
      </c>
      <c r="S29" s="10">
        <v>0.01</v>
      </c>
      <c r="T29" s="10">
        <v>0.01</v>
      </c>
    </row>
    <row r="30" spans="1:20">
      <c r="A30">
        <v>1</v>
      </c>
      <c r="B30">
        <f t="shared" ref="B30:B93" si="2">A30+D$2</f>
        <v>2021</v>
      </c>
      <c r="D30" s="5">
        <v>0.05</v>
      </c>
      <c r="E30" s="5">
        <v>0.05</v>
      </c>
      <c r="F30" s="5">
        <v>0.05</v>
      </c>
      <c r="G30" s="5">
        <v>0.05</v>
      </c>
      <c r="H30" s="5">
        <v>0.05</v>
      </c>
      <c r="I30" s="5">
        <v>0.05</v>
      </c>
      <c r="J30" s="5">
        <v>0.05</v>
      </c>
      <c r="K30" s="5">
        <v>0.05</v>
      </c>
      <c r="M30" s="10">
        <v>0.01</v>
      </c>
      <c r="N30" s="10">
        <v>0.01</v>
      </c>
      <c r="O30" s="10">
        <v>0.01</v>
      </c>
      <c r="P30" s="10">
        <v>0.01</v>
      </c>
      <c r="Q30" s="10">
        <v>0.01</v>
      </c>
      <c r="R30" s="10">
        <v>0.01</v>
      </c>
      <c r="S30" s="10">
        <v>0.01</v>
      </c>
      <c r="T30" s="10">
        <v>0.01</v>
      </c>
    </row>
    <row r="31" spans="1:20">
      <c r="A31">
        <v>2</v>
      </c>
      <c r="B31">
        <f t="shared" si="2"/>
        <v>2022</v>
      </c>
      <c r="D31" s="5">
        <v>0.05</v>
      </c>
      <c r="E31" s="5">
        <v>0.05</v>
      </c>
      <c r="F31" s="5">
        <v>0.05</v>
      </c>
      <c r="G31" s="5">
        <v>0.05</v>
      </c>
      <c r="H31" s="5">
        <v>0.05</v>
      </c>
      <c r="I31" s="5">
        <v>0.05</v>
      </c>
      <c r="J31" s="5">
        <v>0.05</v>
      </c>
      <c r="K31" s="5">
        <v>0.05</v>
      </c>
      <c r="M31" s="10">
        <v>0.01</v>
      </c>
      <c r="N31" s="10">
        <v>0.01</v>
      </c>
      <c r="O31" s="10">
        <v>0.01</v>
      </c>
      <c r="P31" s="10">
        <v>0.01</v>
      </c>
      <c r="Q31" s="10">
        <v>0.01</v>
      </c>
      <c r="R31" s="10">
        <v>0.01</v>
      </c>
      <c r="S31" s="10">
        <v>0.01</v>
      </c>
      <c r="T31" s="10">
        <v>0.01</v>
      </c>
    </row>
    <row r="32" spans="1:20">
      <c r="A32">
        <v>3</v>
      </c>
      <c r="B32">
        <f t="shared" si="2"/>
        <v>2023</v>
      </c>
      <c r="D32" s="5">
        <v>0.05</v>
      </c>
      <c r="E32" s="5">
        <v>0.05</v>
      </c>
      <c r="F32" s="5">
        <v>0.05</v>
      </c>
      <c r="G32" s="5">
        <v>0.05</v>
      </c>
      <c r="H32" s="5">
        <v>0.05</v>
      </c>
      <c r="I32" s="5">
        <v>0.05</v>
      </c>
      <c r="J32" s="5">
        <v>0.05</v>
      </c>
      <c r="K32" s="5">
        <v>0.05</v>
      </c>
      <c r="M32" s="10">
        <v>0.01</v>
      </c>
      <c r="N32" s="10">
        <v>0.01</v>
      </c>
      <c r="O32" s="10">
        <v>0.01</v>
      </c>
      <c r="P32" s="10">
        <v>0.01</v>
      </c>
      <c r="Q32" s="10">
        <v>0.01</v>
      </c>
      <c r="R32" s="10">
        <v>0.01</v>
      </c>
      <c r="S32" s="10">
        <v>0.01</v>
      </c>
      <c r="T32" s="10">
        <v>0.01</v>
      </c>
    </row>
    <row r="33" spans="1:20">
      <c r="A33">
        <v>4</v>
      </c>
      <c r="B33">
        <f t="shared" si="2"/>
        <v>2024</v>
      </c>
      <c r="D33" s="5">
        <v>0.05</v>
      </c>
      <c r="E33" s="5">
        <v>0.05</v>
      </c>
      <c r="F33" s="5">
        <v>0.05</v>
      </c>
      <c r="G33" s="5">
        <v>0.05</v>
      </c>
      <c r="H33" s="5">
        <v>0.05</v>
      </c>
      <c r="I33" s="5">
        <v>0.05</v>
      </c>
      <c r="J33" s="5">
        <v>0.05</v>
      </c>
      <c r="K33" s="5">
        <v>0.05</v>
      </c>
      <c r="M33" s="10">
        <v>0.01</v>
      </c>
      <c r="N33" s="10">
        <v>0.01</v>
      </c>
      <c r="O33" s="10">
        <v>0.01</v>
      </c>
      <c r="P33" s="10">
        <v>0.01</v>
      </c>
      <c r="Q33" s="10">
        <v>0.01</v>
      </c>
      <c r="R33" s="10">
        <v>0.01</v>
      </c>
      <c r="S33" s="10">
        <v>0.01</v>
      </c>
      <c r="T33" s="10">
        <v>0.01</v>
      </c>
    </row>
    <row r="34" spans="1:20">
      <c r="A34">
        <v>5</v>
      </c>
      <c r="B34">
        <f t="shared" si="2"/>
        <v>2025</v>
      </c>
      <c r="D34" s="5">
        <v>0.05</v>
      </c>
      <c r="E34" s="5">
        <v>0.05</v>
      </c>
      <c r="F34" s="5">
        <v>0.05</v>
      </c>
      <c r="G34" s="5">
        <v>0.05</v>
      </c>
      <c r="H34" s="5">
        <v>0.05</v>
      </c>
      <c r="I34" s="5">
        <v>0.05</v>
      </c>
      <c r="J34" s="5">
        <v>0.05</v>
      </c>
      <c r="K34" s="5">
        <v>0.05</v>
      </c>
      <c r="M34" s="10">
        <v>0.01</v>
      </c>
      <c r="N34" s="10">
        <v>0.01</v>
      </c>
      <c r="O34" s="10">
        <v>0.01</v>
      </c>
      <c r="P34" s="10">
        <v>0.01</v>
      </c>
      <c r="Q34" s="10">
        <v>0.01</v>
      </c>
      <c r="R34" s="10">
        <v>0.01</v>
      </c>
      <c r="S34" s="10">
        <v>0.01</v>
      </c>
      <c r="T34" s="10">
        <v>0.01</v>
      </c>
    </row>
    <row r="35" spans="1:20">
      <c r="A35">
        <v>6</v>
      </c>
      <c r="B35">
        <f t="shared" si="2"/>
        <v>2026</v>
      </c>
      <c r="D35" s="5">
        <v>0.05</v>
      </c>
      <c r="E35" s="5">
        <v>0.05</v>
      </c>
      <c r="F35" s="5">
        <v>0.05</v>
      </c>
      <c r="G35" s="5">
        <v>0.05</v>
      </c>
      <c r="H35" s="5">
        <v>0.05</v>
      </c>
      <c r="I35" s="5">
        <v>0.05</v>
      </c>
      <c r="J35" s="5">
        <v>0.05</v>
      </c>
      <c r="K35" s="5">
        <v>0.05</v>
      </c>
      <c r="M35" s="10">
        <v>0.01</v>
      </c>
      <c r="N35" s="10">
        <v>0.01</v>
      </c>
      <c r="O35" s="10">
        <v>0.01</v>
      </c>
      <c r="P35" s="10">
        <v>0.01</v>
      </c>
      <c r="Q35" s="10">
        <v>0.01</v>
      </c>
      <c r="R35" s="10">
        <v>0.01</v>
      </c>
      <c r="S35" s="10">
        <v>0.01</v>
      </c>
      <c r="T35" s="10">
        <v>0.01</v>
      </c>
    </row>
    <row r="36" spans="1:20">
      <c r="A36">
        <v>7</v>
      </c>
      <c r="B36">
        <f t="shared" si="2"/>
        <v>2027</v>
      </c>
      <c r="D36" s="5">
        <v>0.05</v>
      </c>
      <c r="E36" s="5">
        <v>0.05</v>
      </c>
      <c r="F36" s="5">
        <v>0.05</v>
      </c>
      <c r="G36" s="5">
        <v>0.05</v>
      </c>
      <c r="H36" s="5">
        <v>0.05</v>
      </c>
      <c r="I36" s="5">
        <v>0.05</v>
      </c>
      <c r="J36" s="5">
        <v>0.05</v>
      </c>
      <c r="K36" s="5">
        <v>0.05</v>
      </c>
      <c r="M36" s="10">
        <v>0.01</v>
      </c>
      <c r="N36" s="10">
        <v>0.01</v>
      </c>
      <c r="O36" s="10">
        <v>0.01</v>
      </c>
      <c r="P36" s="10">
        <v>0.01</v>
      </c>
      <c r="Q36" s="10">
        <v>0.01</v>
      </c>
      <c r="R36" s="10">
        <v>0.01</v>
      </c>
      <c r="S36" s="10">
        <v>0.01</v>
      </c>
      <c r="T36" s="10">
        <v>0.01</v>
      </c>
    </row>
    <row r="37" spans="1:20">
      <c r="A37">
        <v>8</v>
      </c>
      <c r="B37">
        <f t="shared" si="2"/>
        <v>2028</v>
      </c>
      <c r="D37" s="5">
        <v>0.05</v>
      </c>
      <c r="E37" s="5">
        <v>0.05</v>
      </c>
      <c r="F37" s="5">
        <v>0.05</v>
      </c>
      <c r="G37" s="5">
        <v>0.05</v>
      </c>
      <c r="H37" s="5">
        <v>0.05</v>
      </c>
      <c r="I37" s="5">
        <v>0.05</v>
      </c>
      <c r="J37" s="5">
        <v>0.05</v>
      </c>
      <c r="K37" s="5">
        <v>0.05</v>
      </c>
      <c r="M37" s="10">
        <v>0.01</v>
      </c>
      <c r="N37" s="10">
        <v>0.01</v>
      </c>
      <c r="O37" s="10">
        <v>0.01</v>
      </c>
      <c r="P37" s="10">
        <v>0.01</v>
      </c>
      <c r="Q37" s="10">
        <v>0.01</v>
      </c>
      <c r="R37" s="10">
        <v>0.01</v>
      </c>
      <c r="S37" s="10">
        <v>0.01</v>
      </c>
      <c r="T37" s="10">
        <v>0.01</v>
      </c>
    </row>
    <row r="38" spans="1:20">
      <c r="A38">
        <v>9</v>
      </c>
      <c r="B38">
        <f t="shared" si="2"/>
        <v>2029</v>
      </c>
      <c r="D38" s="5">
        <v>0.05</v>
      </c>
      <c r="E38" s="5">
        <v>0.05</v>
      </c>
      <c r="F38" s="5">
        <v>0.05</v>
      </c>
      <c r="G38" s="5">
        <v>0.05</v>
      </c>
      <c r="H38" s="5">
        <v>0.05</v>
      </c>
      <c r="I38" s="5">
        <v>0.05</v>
      </c>
      <c r="J38" s="5">
        <v>0.05</v>
      </c>
      <c r="K38" s="5">
        <v>0.05</v>
      </c>
      <c r="M38" s="10">
        <v>0.01</v>
      </c>
      <c r="N38" s="10">
        <v>0.01</v>
      </c>
      <c r="O38" s="10">
        <v>0.01</v>
      </c>
      <c r="P38" s="10">
        <v>0.01</v>
      </c>
      <c r="Q38" s="10">
        <v>0.01</v>
      </c>
      <c r="R38" s="10">
        <v>0.01</v>
      </c>
      <c r="S38" s="10">
        <v>0.01</v>
      </c>
      <c r="T38" s="10">
        <v>0.01</v>
      </c>
    </row>
    <row r="39" spans="1:20">
      <c r="A39">
        <v>10</v>
      </c>
      <c r="B39">
        <f t="shared" si="2"/>
        <v>2030</v>
      </c>
      <c r="D39" s="5">
        <v>0.05</v>
      </c>
      <c r="E39" s="5">
        <v>0.05</v>
      </c>
      <c r="F39" s="5">
        <v>0.05</v>
      </c>
      <c r="G39" s="5">
        <v>0.05</v>
      </c>
      <c r="H39" s="5">
        <v>0.05</v>
      </c>
      <c r="I39" s="5">
        <v>0.05</v>
      </c>
      <c r="J39" s="5">
        <v>0.05</v>
      </c>
      <c r="K39" s="5">
        <v>0.05</v>
      </c>
      <c r="M39" s="10">
        <v>0.01</v>
      </c>
      <c r="N39" s="10">
        <v>0.01</v>
      </c>
      <c r="O39" s="10">
        <v>0.01</v>
      </c>
      <c r="P39" s="10">
        <v>0.01</v>
      </c>
      <c r="Q39" s="10">
        <v>0.01</v>
      </c>
      <c r="R39" s="10">
        <v>0.01</v>
      </c>
      <c r="S39" s="10">
        <v>0.01</v>
      </c>
      <c r="T39" s="10">
        <v>0.01</v>
      </c>
    </row>
    <row r="40" spans="1:20">
      <c r="A40">
        <v>11</v>
      </c>
      <c r="B40">
        <f t="shared" si="2"/>
        <v>2031</v>
      </c>
      <c r="D40" s="5">
        <v>0.05</v>
      </c>
      <c r="E40" s="5">
        <v>0.05</v>
      </c>
      <c r="F40" s="5">
        <v>0.05</v>
      </c>
      <c r="G40" s="5">
        <v>0.05</v>
      </c>
      <c r="H40" s="5">
        <v>0.05</v>
      </c>
      <c r="I40" s="5">
        <v>0.05</v>
      </c>
      <c r="J40" s="5">
        <v>0.05</v>
      </c>
      <c r="K40" s="5">
        <v>0.05</v>
      </c>
      <c r="M40" s="10">
        <v>0.01</v>
      </c>
      <c r="N40" s="10">
        <v>0.01</v>
      </c>
      <c r="O40" s="10">
        <v>0.01</v>
      </c>
      <c r="P40" s="10">
        <v>0.01</v>
      </c>
      <c r="Q40" s="10">
        <v>0.01</v>
      </c>
      <c r="R40" s="10">
        <v>0.01</v>
      </c>
      <c r="S40" s="10">
        <v>0.01</v>
      </c>
      <c r="T40" s="10">
        <v>0.01</v>
      </c>
    </row>
    <row r="41" spans="1:20">
      <c r="A41">
        <v>12</v>
      </c>
      <c r="B41">
        <f t="shared" si="2"/>
        <v>2032</v>
      </c>
      <c r="D41" s="5">
        <v>0.05</v>
      </c>
      <c r="E41" s="5">
        <v>0.05</v>
      </c>
      <c r="F41" s="5">
        <v>0.05</v>
      </c>
      <c r="G41" s="5">
        <v>0.05</v>
      </c>
      <c r="H41" s="5">
        <v>0.05</v>
      </c>
      <c r="I41" s="5">
        <v>0.05</v>
      </c>
      <c r="J41" s="5">
        <v>0.05</v>
      </c>
      <c r="K41" s="5">
        <v>0.05</v>
      </c>
      <c r="M41" s="10">
        <v>0.01</v>
      </c>
      <c r="N41" s="10">
        <v>0.01</v>
      </c>
      <c r="O41" s="10">
        <v>0.01</v>
      </c>
      <c r="P41" s="10">
        <v>0.01</v>
      </c>
      <c r="Q41" s="10">
        <v>0.01</v>
      </c>
      <c r="R41" s="10">
        <v>0.01</v>
      </c>
      <c r="S41" s="10">
        <v>0.01</v>
      </c>
      <c r="T41" s="10">
        <v>0.01</v>
      </c>
    </row>
    <row r="42" spans="1:20">
      <c r="A42">
        <v>13</v>
      </c>
      <c r="B42">
        <f t="shared" si="2"/>
        <v>2033</v>
      </c>
      <c r="D42" s="5">
        <v>0.05</v>
      </c>
      <c r="E42" s="5">
        <v>0.05</v>
      </c>
      <c r="F42" s="5">
        <v>0.05</v>
      </c>
      <c r="G42" s="5">
        <v>0.05</v>
      </c>
      <c r="H42" s="5">
        <v>0.05</v>
      </c>
      <c r="I42" s="5">
        <v>0.05</v>
      </c>
      <c r="J42" s="5">
        <v>0.05</v>
      </c>
      <c r="K42" s="5">
        <v>0.05</v>
      </c>
      <c r="M42" s="10">
        <v>0.01</v>
      </c>
      <c r="N42" s="10">
        <v>0.01</v>
      </c>
      <c r="O42" s="10">
        <v>0.01</v>
      </c>
      <c r="P42" s="10">
        <v>0.01</v>
      </c>
      <c r="Q42" s="10">
        <v>0.01</v>
      </c>
      <c r="R42" s="10">
        <v>0.01</v>
      </c>
      <c r="S42" s="10">
        <v>0.01</v>
      </c>
      <c r="T42" s="10">
        <v>0.01</v>
      </c>
    </row>
    <row r="43" spans="1:20">
      <c r="A43">
        <v>14</v>
      </c>
      <c r="B43">
        <f t="shared" si="2"/>
        <v>2034</v>
      </c>
      <c r="D43" s="5">
        <v>0.05</v>
      </c>
      <c r="E43" s="5">
        <v>0.05</v>
      </c>
      <c r="F43" s="5">
        <v>0.05</v>
      </c>
      <c r="G43" s="5">
        <v>0.05</v>
      </c>
      <c r="H43" s="5">
        <v>0.05</v>
      </c>
      <c r="I43" s="5">
        <v>0.05</v>
      </c>
      <c r="J43" s="5">
        <v>0.05</v>
      </c>
      <c r="K43" s="5">
        <v>0.05</v>
      </c>
      <c r="M43" s="10">
        <v>0.01</v>
      </c>
      <c r="N43" s="10">
        <v>0.01</v>
      </c>
      <c r="O43" s="10">
        <v>0.01</v>
      </c>
      <c r="P43" s="10">
        <v>0.01</v>
      </c>
      <c r="Q43" s="10">
        <v>0.01</v>
      </c>
      <c r="R43" s="10">
        <v>0.01</v>
      </c>
      <c r="S43" s="10">
        <v>0.01</v>
      </c>
      <c r="T43" s="10">
        <v>0.01</v>
      </c>
    </row>
    <row r="44" spans="1:20">
      <c r="A44">
        <v>15</v>
      </c>
      <c r="B44">
        <f t="shared" si="2"/>
        <v>2035</v>
      </c>
      <c r="D44" s="5">
        <v>0.05</v>
      </c>
      <c r="E44" s="5">
        <v>0.05</v>
      </c>
      <c r="F44" s="5">
        <v>0.05</v>
      </c>
      <c r="G44" s="5">
        <v>0.05</v>
      </c>
      <c r="H44" s="5">
        <v>0.05</v>
      </c>
      <c r="I44" s="5">
        <v>0.05</v>
      </c>
      <c r="J44" s="5">
        <v>0.05</v>
      </c>
      <c r="K44" s="5">
        <v>0.05</v>
      </c>
      <c r="M44" s="10">
        <v>0.01</v>
      </c>
      <c r="N44" s="10">
        <v>0.01</v>
      </c>
      <c r="O44" s="10">
        <v>0.01</v>
      </c>
      <c r="P44" s="10">
        <v>0.01</v>
      </c>
      <c r="Q44" s="10">
        <v>0.01</v>
      </c>
      <c r="R44" s="10">
        <v>0.01</v>
      </c>
      <c r="S44" s="10">
        <v>0.01</v>
      </c>
      <c r="T44" s="10">
        <v>0.01</v>
      </c>
    </row>
    <row r="45" spans="1:20">
      <c r="A45">
        <v>16</v>
      </c>
      <c r="B45">
        <f t="shared" si="2"/>
        <v>2036</v>
      </c>
      <c r="D45" s="5">
        <v>0.05</v>
      </c>
      <c r="E45" s="5">
        <v>0.05</v>
      </c>
      <c r="F45" s="5">
        <v>0.05</v>
      </c>
      <c r="G45" s="5">
        <v>0.05</v>
      </c>
      <c r="H45" s="5">
        <v>0.05</v>
      </c>
      <c r="I45" s="5">
        <v>0.05</v>
      </c>
      <c r="J45" s="5">
        <v>0.05</v>
      </c>
      <c r="K45" s="5">
        <v>0.05</v>
      </c>
      <c r="M45" s="10">
        <v>0.01</v>
      </c>
      <c r="N45" s="10">
        <v>0.01</v>
      </c>
      <c r="O45" s="10">
        <v>0.01</v>
      </c>
      <c r="P45" s="10">
        <v>0.01</v>
      </c>
      <c r="Q45" s="10">
        <v>0.01</v>
      </c>
      <c r="R45" s="10">
        <v>0.01</v>
      </c>
      <c r="S45" s="10">
        <v>0.01</v>
      </c>
      <c r="T45" s="10">
        <v>0.01</v>
      </c>
    </row>
    <row r="46" spans="1:20">
      <c r="A46">
        <v>17</v>
      </c>
      <c r="B46">
        <f t="shared" si="2"/>
        <v>2037</v>
      </c>
      <c r="D46" s="5">
        <v>0.05</v>
      </c>
      <c r="E46" s="5">
        <v>0.05</v>
      </c>
      <c r="F46" s="5">
        <v>0.05</v>
      </c>
      <c r="G46" s="5">
        <v>0.05</v>
      </c>
      <c r="H46" s="5">
        <v>0.05</v>
      </c>
      <c r="I46" s="5">
        <v>0.05</v>
      </c>
      <c r="J46" s="5">
        <v>0.05</v>
      </c>
      <c r="K46" s="5">
        <v>0.05</v>
      </c>
      <c r="M46" s="10">
        <v>0.01</v>
      </c>
      <c r="N46" s="10">
        <v>0.01</v>
      </c>
      <c r="O46" s="10">
        <v>0.01</v>
      </c>
      <c r="P46" s="10">
        <v>0.01</v>
      </c>
      <c r="Q46" s="10">
        <v>0.01</v>
      </c>
      <c r="R46" s="10">
        <v>0.01</v>
      </c>
      <c r="S46" s="10">
        <v>0.01</v>
      </c>
      <c r="T46" s="10">
        <v>0.01</v>
      </c>
    </row>
    <row r="47" spans="1:20">
      <c r="A47">
        <v>18</v>
      </c>
      <c r="B47">
        <f t="shared" si="2"/>
        <v>2038</v>
      </c>
      <c r="D47" s="5">
        <v>0.05</v>
      </c>
      <c r="E47" s="5">
        <v>0.05</v>
      </c>
      <c r="F47" s="5">
        <v>0.05</v>
      </c>
      <c r="G47" s="5">
        <v>0.05</v>
      </c>
      <c r="H47" s="5">
        <v>0.05</v>
      </c>
      <c r="I47" s="5">
        <v>0.05</v>
      </c>
      <c r="J47" s="5">
        <v>0.05</v>
      </c>
      <c r="K47" s="5">
        <v>0.05</v>
      </c>
      <c r="M47" s="10">
        <v>0.01</v>
      </c>
      <c r="N47" s="10">
        <v>0.01</v>
      </c>
      <c r="O47" s="10">
        <v>0.01</v>
      </c>
      <c r="P47" s="10">
        <v>0.01</v>
      </c>
      <c r="Q47" s="10">
        <v>0.01</v>
      </c>
      <c r="R47" s="10">
        <v>0.01</v>
      </c>
      <c r="S47" s="10">
        <v>0.01</v>
      </c>
      <c r="T47" s="10">
        <v>0.01</v>
      </c>
    </row>
    <row r="48" spans="1:20">
      <c r="A48">
        <v>19</v>
      </c>
      <c r="B48">
        <f t="shared" si="2"/>
        <v>2039</v>
      </c>
      <c r="D48" s="5">
        <v>0.05</v>
      </c>
      <c r="E48" s="5">
        <v>0.05</v>
      </c>
      <c r="F48" s="5">
        <v>0.05</v>
      </c>
      <c r="G48" s="5">
        <v>0.05</v>
      </c>
      <c r="H48" s="5">
        <v>0.05</v>
      </c>
      <c r="I48" s="5">
        <v>0.05</v>
      </c>
      <c r="J48" s="5">
        <v>0.05</v>
      </c>
      <c r="K48" s="5">
        <v>0.05</v>
      </c>
      <c r="M48" s="10">
        <v>0.01</v>
      </c>
      <c r="N48" s="10">
        <v>0.01</v>
      </c>
      <c r="O48" s="10">
        <v>0.01</v>
      </c>
      <c r="P48" s="10">
        <v>0.01</v>
      </c>
      <c r="Q48" s="10">
        <v>0.01</v>
      </c>
      <c r="R48" s="10">
        <v>0.01</v>
      </c>
      <c r="S48" s="10">
        <v>0.01</v>
      </c>
      <c r="T48" s="10">
        <v>0.01</v>
      </c>
    </row>
    <row r="49" spans="1:20">
      <c r="A49">
        <v>20</v>
      </c>
      <c r="B49">
        <f t="shared" si="2"/>
        <v>2040</v>
      </c>
      <c r="D49" s="5">
        <v>0.05</v>
      </c>
      <c r="E49" s="5">
        <v>0.05</v>
      </c>
      <c r="F49" s="5">
        <v>0.05</v>
      </c>
      <c r="G49" s="5">
        <v>0.05</v>
      </c>
      <c r="H49" s="5">
        <v>0.05</v>
      </c>
      <c r="I49" s="5">
        <v>0.05</v>
      </c>
      <c r="J49" s="5">
        <v>0.05</v>
      </c>
      <c r="K49" s="5">
        <v>0.05</v>
      </c>
      <c r="M49" s="10">
        <v>0.01</v>
      </c>
      <c r="N49" s="10">
        <v>0.01</v>
      </c>
      <c r="O49" s="10">
        <v>0.01</v>
      </c>
      <c r="P49" s="10">
        <v>0.01</v>
      </c>
      <c r="Q49" s="10">
        <v>0.01</v>
      </c>
      <c r="R49" s="10">
        <v>0.01</v>
      </c>
      <c r="S49" s="10">
        <v>0.01</v>
      </c>
      <c r="T49" s="10">
        <v>0.01</v>
      </c>
    </row>
    <row r="50" spans="1:20">
      <c r="A50">
        <v>21</v>
      </c>
      <c r="B50">
        <f t="shared" si="2"/>
        <v>2041</v>
      </c>
      <c r="D50" s="5">
        <v>0.05</v>
      </c>
      <c r="E50" s="5">
        <v>0.05</v>
      </c>
      <c r="F50" s="5">
        <v>0.05</v>
      </c>
      <c r="G50" s="5">
        <v>0.05</v>
      </c>
      <c r="H50" s="5">
        <v>0.05</v>
      </c>
      <c r="I50" s="5">
        <v>0.05</v>
      </c>
      <c r="J50" s="5">
        <v>0.05</v>
      </c>
      <c r="K50" s="5">
        <v>0.05</v>
      </c>
      <c r="M50" s="10">
        <v>0.01</v>
      </c>
      <c r="N50" s="10">
        <v>0.01</v>
      </c>
      <c r="O50" s="10">
        <v>0.01</v>
      </c>
      <c r="P50" s="10">
        <v>0.01</v>
      </c>
      <c r="Q50" s="10">
        <v>0.01</v>
      </c>
      <c r="R50" s="10">
        <v>0.01</v>
      </c>
      <c r="S50" s="10">
        <v>0.01</v>
      </c>
      <c r="T50" s="10">
        <v>0.01</v>
      </c>
    </row>
    <row r="51" spans="1:20">
      <c r="A51">
        <v>22</v>
      </c>
      <c r="B51">
        <f t="shared" si="2"/>
        <v>2042</v>
      </c>
      <c r="D51" s="5">
        <v>0.05</v>
      </c>
      <c r="E51" s="5">
        <v>0.05</v>
      </c>
      <c r="F51" s="5">
        <v>0.05</v>
      </c>
      <c r="G51" s="5">
        <v>0.05</v>
      </c>
      <c r="H51" s="5">
        <v>0.05</v>
      </c>
      <c r="I51" s="5">
        <v>0.05</v>
      </c>
      <c r="J51" s="5">
        <v>0.05</v>
      </c>
      <c r="K51" s="5">
        <v>0.05</v>
      </c>
      <c r="M51" s="10">
        <v>0.01</v>
      </c>
      <c r="N51" s="10">
        <v>0.01</v>
      </c>
      <c r="O51" s="10">
        <v>0.01</v>
      </c>
      <c r="P51" s="10">
        <v>0.01</v>
      </c>
      <c r="Q51" s="10">
        <v>0.01</v>
      </c>
      <c r="R51" s="10">
        <v>0.01</v>
      </c>
      <c r="S51" s="10">
        <v>0.01</v>
      </c>
      <c r="T51" s="10">
        <v>0.01</v>
      </c>
    </row>
    <row r="52" spans="1:20">
      <c r="A52">
        <v>23</v>
      </c>
      <c r="B52">
        <f t="shared" si="2"/>
        <v>2043</v>
      </c>
      <c r="D52" s="5">
        <v>0.05</v>
      </c>
      <c r="E52" s="5">
        <v>0.05</v>
      </c>
      <c r="F52" s="5">
        <v>0.05</v>
      </c>
      <c r="G52" s="5">
        <v>0.05</v>
      </c>
      <c r="H52" s="5">
        <v>0.05</v>
      </c>
      <c r="I52" s="5">
        <v>0.05</v>
      </c>
      <c r="J52" s="5">
        <v>0.05</v>
      </c>
      <c r="K52" s="5">
        <v>0.05</v>
      </c>
      <c r="M52" s="10">
        <v>0.01</v>
      </c>
      <c r="N52" s="10">
        <v>0.01</v>
      </c>
      <c r="O52" s="10">
        <v>0.01</v>
      </c>
      <c r="P52" s="10">
        <v>0.01</v>
      </c>
      <c r="Q52" s="10">
        <v>0.01</v>
      </c>
      <c r="R52" s="10">
        <v>0.01</v>
      </c>
      <c r="S52" s="10">
        <v>0.01</v>
      </c>
      <c r="T52" s="10">
        <v>0.01</v>
      </c>
    </row>
    <row r="53" spans="1:20">
      <c r="A53">
        <v>24</v>
      </c>
      <c r="B53">
        <f t="shared" si="2"/>
        <v>2044</v>
      </c>
      <c r="D53" s="5">
        <v>0.05</v>
      </c>
      <c r="E53" s="5">
        <v>0.05</v>
      </c>
      <c r="F53" s="5">
        <v>0.05</v>
      </c>
      <c r="G53" s="5">
        <v>0.05</v>
      </c>
      <c r="H53" s="5">
        <v>0.05</v>
      </c>
      <c r="I53" s="5">
        <v>0.05</v>
      </c>
      <c r="J53" s="5">
        <v>0.05</v>
      </c>
      <c r="K53" s="5">
        <v>0.05</v>
      </c>
      <c r="M53" s="10">
        <v>0.01</v>
      </c>
      <c r="N53" s="10">
        <v>0.01</v>
      </c>
      <c r="O53" s="10">
        <v>0.01</v>
      </c>
      <c r="P53" s="10">
        <v>0.01</v>
      </c>
      <c r="Q53" s="10">
        <v>0.01</v>
      </c>
      <c r="R53" s="10">
        <v>0.01</v>
      </c>
      <c r="S53" s="10">
        <v>0.01</v>
      </c>
      <c r="T53" s="10">
        <v>0.01</v>
      </c>
    </row>
    <row r="54" spans="1:20">
      <c r="A54">
        <v>25</v>
      </c>
      <c r="B54">
        <f t="shared" si="2"/>
        <v>2045</v>
      </c>
      <c r="D54" s="5">
        <v>0.05</v>
      </c>
      <c r="E54" s="5">
        <v>0.05</v>
      </c>
      <c r="F54" s="5">
        <v>0.05</v>
      </c>
      <c r="G54" s="5">
        <v>0.05</v>
      </c>
      <c r="H54" s="5">
        <v>0.05</v>
      </c>
      <c r="I54" s="5">
        <v>0.05</v>
      </c>
      <c r="J54" s="5">
        <v>0.05</v>
      </c>
      <c r="K54" s="5">
        <v>0.05</v>
      </c>
      <c r="M54" s="10">
        <v>0.01</v>
      </c>
      <c r="N54" s="10">
        <v>0.01</v>
      </c>
      <c r="O54" s="10">
        <v>0.01</v>
      </c>
      <c r="P54" s="10">
        <v>0.01</v>
      </c>
      <c r="Q54" s="10">
        <v>0.01</v>
      </c>
      <c r="R54" s="10">
        <v>0.01</v>
      </c>
      <c r="S54" s="10">
        <v>0.01</v>
      </c>
      <c r="T54" s="10">
        <v>0.01</v>
      </c>
    </row>
    <row r="55" spans="1:20">
      <c r="A55">
        <v>26</v>
      </c>
      <c r="B55">
        <f t="shared" si="2"/>
        <v>2046</v>
      </c>
      <c r="D55" s="5">
        <v>0.05</v>
      </c>
      <c r="E55" s="5">
        <v>0.05</v>
      </c>
      <c r="F55" s="5">
        <v>0.05</v>
      </c>
      <c r="G55" s="5">
        <v>0.05</v>
      </c>
      <c r="H55" s="5">
        <v>0.05</v>
      </c>
      <c r="I55" s="5">
        <v>0.05</v>
      </c>
      <c r="J55" s="5">
        <v>0.05</v>
      </c>
      <c r="K55" s="5">
        <v>0.05</v>
      </c>
      <c r="M55" s="10">
        <v>0.01</v>
      </c>
      <c r="N55" s="10">
        <v>0.01</v>
      </c>
      <c r="O55" s="10">
        <v>0.01</v>
      </c>
      <c r="P55" s="10">
        <v>0.01</v>
      </c>
      <c r="Q55" s="10">
        <v>0.01</v>
      </c>
      <c r="R55" s="10">
        <v>0.01</v>
      </c>
      <c r="S55" s="10">
        <v>0.01</v>
      </c>
      <c r="T55" s="10">
        <v>0.01</v>
      </c>
    </row>
    <row r="56" spans="1:20">
      <c r="A56">
        <v>27</v>
      </c>
      <c r="B56">
        <f t="shared" si="2"/>
        <v>2047</v>
      </c>
      <c r="D56" s="5">
        <v>0.05</v>
      </c>
      <c r="E56" s="5">
        <v>0.05</v>
      </c>
      <c r="F56" s="5">
        <v>0.05</v>
      </c>
      <c r="G56" s="5">
        <v>0.05</v>
      </c>
      <c r="H56" s="5">
        <v>0.05</v>
      </c>
      <c r="I56" s="5">
        <v>0.05</v>
      </c>
      <c r="J56" s="5">
        <v>0.05</v>
      </c>
      <c r="K56" s="5">
        <v>0.05</v>
      </c>
      <c r="M56" s="10">
        <v>0.01</v>
      </c>
      <c r="N56" s="10">
        <v>0.01</v>
      </c>
      <c r="O56" s="10">
        <v>0.01</v>
      </c>
      <c r="P56" s="10">
        <v>0.01</v>
      </c>
      <c r="Q56" s="10">
        <v>0.01</v>
      </c>
      <c r="R56" s="10">
        <v>0.01</v>
      </c>
      <c r="S56" s="10">
        <v>0.01</v>
      </c>
      <c r="T56" s="10">
        <v>0.01</v>
      </c>
    </row>
    <row r="57" spans="1:20">
      <c r="A57">
        <v>28</v>
      </c>
      <c r="B57">
        <f t="shared" si="2"/>
        <v>2048</v>
      </c>
      <c r="D57" s="5">
        <v>0.05</v>
      </c>
      <c r="E57" s="5">
        <v>0.05</v>
      </c>
      <c r="F57" s="5">
        <v>0.05</v>
      </c>
      <c r="G57" s="5">
        <v>0.05</v>
      </c>
      <c r="H57" s="5">
        <v>0.05</v>
      </c>
      <c r="I57" s="5">
        <v>0.05</v>
      </c>
      <c r="J57" s="5">
        <v>0.05</v>
      </c>
      <c r="K57" s="5">
        <v>0.05</v>
      </c>
      <c r="M57" s="10">
        <v>0.01</v>
      </c>
      <c r="N57" s="10">
        <v>0.01</v>
      </c>
      <c r="O57" s="10">
        <v>0.01</v>
      </c>
      <c r="P57" s="10">
        <v>0.01</v>
      </c>
      <c r="Q57" s="10">
        <v>0.01</v>
      </c>
      <c r="R57" s="10">
        <v>0.01</v>
      </c>
      <c r="S57" s="10">
        <v>0.01</v>
      </c>
      <c r="T57" s="10">
        <v>0.01</v>
      </c>
    </row>
    <row r="58" spans="1:20">
      <c r="A58">
        <v>29</v>
      </c>
      <c r="B58">
        <f t="shared" si="2"/>
        <v>2049</v>
      </c>
      <c r="D58" s="5">
        <v>0.05</v>
      </c>
      <c r="E58" s="5">
        <v>0.05</v>
      </c>
      <c r="F58" s="5">
        <v>0.05</v>
      </c>
      <c r="G58" s="5">
        <v>0.05</v>
      </c>
      <c r="H58" s="5">
        <v>0.05</v>
      </c>
      <c r="I58" s="5">
        <v>0.05</v>
      </c>
      <c r="J58" s="5">
        <v>0.05</v>
      </c>
      <c r="K58" s="5">
        <v>0.05</v>
      </c>
      <c r="M58" s="10">
        <v>0.01</v>
      </c>
      <c r="N58" s="10">
        <v>0.01</v>
      </c>
      <c r="O58" s="10">
        <v>0.01</v>
      </c>
      <c r="P58" s="10">
        <v>0.01</v>
      </c>
      <c r="Q58" s="10">
        <v>0.01</v>
      </c>
      <c r="R58" s="10">
        <v>0.01</v>
      </c>
      <c r="S58" s="10">
        <v>0.01</v>
      </c>
      <c r="T58" s="10">
        <v>0.01</v>
      </c>
    </row>
    <row r="59" spans="1:20">
      <c r="A59">
        <v>30</v>
      </c>
      <c r="B59">
        <f t="shared" si="2"/>
        <v>2050</v>
      </c>
      <c r="D59" s="5">
        <v>0.05</v>
      </c>
      <c r="E59" s="5">
        <v>0.05</v>
      </c>
      <c r="F59" s="5">
        <v>0.05</v>
      </c>
      <c r="G59" s="5">
        <v>0.05</v>
      </c>
      <c r="H59" s="5">
        <v>0.05</v>
      </c>
      <c r="I59" s="5">
        <v>0.05</v>
      </c>
      <c r="J59" s="5">
        <v>0.05</v>
      </c>
      <c r="K59" s="5">
        <v>0.05</v>
      </c>
      <c r="M59" s="10">
        <v>0.01</v>
      </c>
      <c r="N59" s="10">
        <v>0.01</v>
      </c>
      <c r="O59" s="10">
        <v>0.01</v>
      </c>
      <c r="P59" s="10">
        <v>0.01</v>
      </c>
      <c r="Q59" s="10">
        <v>0.01</v>
      </c>
      <c r="R59" s="10">
        <v>0.01</v>
      </c>
      <c r="S59" s="10">
        <v>0.01</v>
      </c>
      <c r="T59" s="10">
        <v>0.01</v>
      </c>
    </row>
    <row r="60" spans="1:20">
      <c r="A60">
        <v>31</v>
      </c>
      <c r="B60">
        <f t="shared" si="2"/>
        <v>2051</v>
      </c>
      <c r="D60" s="5">
        <v>0.05</v>
      </c>
      <c r="E60" s="5">
        <v>0.05</v>
      </c>
      <c r="F60" s="5">
        <v>0.05</v>
      </c>
      <c r="G60" s="5">
        <v>0.05</v>
      </c>
      <c r="H60" s="5">
        <v>0.05</v>
      </c>
      <c r="I60" s="5">
        <v>0.05</v>
      </c>
      <c r="J60" s="5">
        <v>0.05</v>
      </c>
      <c r="K60" s="5">
        <v>0.05</v>
      </c>
      <c r="M60" s="10">
        <v>0.01</v>
      </c>
      <c r="N60" s="10">
        <v>0.01</v>
      </c>
      <c r="O60" s="10">
        <v>0.01</v>
      </c>
      <c r="P60" s="10">
        <v>0.01</v>
      </c>
      <c r="Q60" s="10">
        <v>0.01</v>
      </c>
      <c r="R60" s="10">
        <v>0.01</v>
      </c>
      <c r="S60" s="10">
        <v>0.01</v>
      </c>
      <c r="T60" s="10">
        <v>0.01</v>
      </c>
    </row>
    <row r="61" spans="1:20">
      <c r="A61">
        <v>32</v>
      </c>
      <c r="B61">
        <f t="shared" si="2"/>
        <v>2052</v>
      </c>
      <c r="D61" s="5">
        <v>0.05</v>
      </c>
      <c r="E61" s="5">
        <v>0.05</v>
      </c>
      <c r="F61" s="5">
        <v>0.05</v>
      </c>
      <c r="G61" s="5">
        <v>0.05</v>
      </c>
      <c r="H61" s="5">
        <v>0.05</v>
      </c>
      <c r="I61" s="5">
        <v>0.05</v>
      </c>
      <c r="J61" s="5">
        <v>0.05</v>
      </c>
      <c r="K61" s="5">
        <v>0.05</v>
      </c>
      <c r="M61" s="10">
        <v>0.01</v>
      </c>
      <c r="N61" s="10">
        <v>0.01</v>
      </c>
      <c r="O61" s="10">
        <v>0.01</v>
      </c>
      <c r="P61" s="10">
        <v>0.01</v>
      </c>
      <c r="Q61" s="10">
        <v>0.01</v>
      </c>
      <c r="R61" s="10">
        <v>0.01</v>
      </c>
      <c r="S61" s="10">
        <v>0.01</v>
      </c>
      <c r="T61" s="10">
        <v>0.01</v>
      </c>
    </row>
    <row r="62" spans="1:20">
      <c r="A62">
        <v>33</v>
      </c>
      <c r="B62">
        <f t="shared" si="2"/>
        <v>2053</v>
      </c>
      <c r="D62" s="5">
        <v>0.05</v>
      </c>
      <c r="E62" s="5">
        <v>0.05</v>
      </c>
      <c r="F62" s="5">
        <v>0.05</v>
      </c>
      <c r="G62" s="5">
        <v>0.05</v>
      </c>
      <c r="H62" s="5">
        <v>0.05</v>
      </c>
      <c r="I62" s="5">
        <v>0.05</v>
      </c>
      <c r="J62" s="5">
        <v>0.05</v>
      </c>
      <c r="K62" s="5">
        <v>0.05</v>
      </c>
      <c r="M62" s="10">
        <v>0.01</v>
      </c>
      <c r="N62" s="10">
        <v>0.01</v>
      </c>
      <c r="O62" s="10">
        <v>0.01</v>
      </c>
      <c r="P62" s="10">
        <v>0.01</v>
      </c>
      <c r="Q62" s="10">
        <v>0.01</v>
      </c>
      <c r="R62" s="10">
        <v>0.01</v>
      </c>
      <c r="S62" s="10">
        <v>0.01</v>
      </c>
      <c r="T62" s="10">
        <v>0.01</v>
      </c>
    </row>
    <row r="63" spans="1:20">
      <c r="A63">
        <v>34</v>
      </c>
      <c r="B63">
        <f t="shared" si="2"/>
        <v>2054</v>
      </c>
      <c r="D63" s="5">
        <v>0.05</v>
      </c>
      <c r="E63" s="5">
        <v>0.05</v>
      </c>
      <c r="F63" s="5">
        <v>0.05</v>
      </c>
      <c r="G63" s="5">
        <v>0.05</v>
      </c>
      <c r="H63" s="5">
        <v>0.05</v>
      </c>
      <c r="I63" s="5">
        <v>0.05</v>
      </c>
      <c r="J63" s="5">
        <v>0.05</v>
      </c>
      <c r="K63" s="5">
        <v>0.05</v>
      </c>
      <c r="M63" s="10">
        <v>0.01</v>
      </c>
      <c r="N63" s="10">
        <v>0.01</v>
      </c>
      <c r="O63" s="10">
        <v>0.01</v>
      </c>
      <c r="P63" s="10">
        <v>0.01</v>
      </c>
      <c r="Q63" s="10">
        <v>0.01</v>
      </c>
      <c r="R63" s="10">
        <v>0.01</v>
      </c>
      <c r="S63" s="10">
        <v>0.01</v>
      </c>
      <c r="T63" s="10">
        <v>0.01</v>
      </c>
    </row>
    <row r="64" spans="1:20">
      <c r="A64">
        <v>35</v>
      </c>
      <c r="B64">
        <f t="shared" si="2"/>
        <v>2055</v>
      </c>
      <c r="D64" s="5">
        <v>0.05</v>
      </c>
      <c r="E64" s="5">
        <v>0.05</v>
      </c>
      <c r="F64" s="5">
        <v>0.05</v>
      </c>
      <c r="G64" s="5">
        <v>0.05</v>
      </c>
      <c r="H64" s="5">
        <v>0.05</v>
      </c>
      <c r="I64" s="5">
        <v>0.05</v>
      </c>
      <c r="J64" s="5">
        <v>0.05</v>
      </c>
      <c r="K64" s="5">
        <v>0.05</v>
      </c>
      <c r="M64" s="10">
        <v>0.01</v>
      </c>
      <c r="N64" s="10">
        <v>0.01</v>
      </c>
      <c r="O64" s="10">
        <v>0.01</v>
      </c>
      <c r="P64" s="10">
        <v>0.01</v>
      </c>
      <c r="Q64" s="10">
        <v>0.01</v>
      </c>
      <c r="R64" s="10">
        <v>0.01</v>
      </c>
      <c r="S64" s="10">
        <v>0.01</v>
      </c>
      <c r="T64" s="10">
        <v>0.01</v>
      </c>
    </row>
    <row r="65" spans="1:20">
      <c r="A65">
        <v>36</v>
      </c>
      <c r="B65">
        <f t="shared" si="2"/>
        <v>2056</v>
      </c>
      <c r="D65" s="5">
        <v>0.05</v>
      </c>
      <c r="E65" s="5">
        <v>0.05</v>
      </c>
      <c r="F65" s="5">
        <v>0.05</v>
      </c>
      <c r="G65" s="5">
        <v>0.05</v>
      </c>
      <c r="H65" s="5">
        <v>0.05</v>
      </c>
      <c r="I65" s="5">
        <v>0.05</v>
      </c>
      <c r="J65" s="5">
        <v>0.05</v>
      </c>
      <c r="K65" s="5">
        <v>0.05</v>
      </c>
      <c r="M65" s="10">
        <v>0.01</v>
      </c>
      <c r="N65" s="10">
        <v>0.01</v>
      </c>
      <c r="O65" s="10">
        <v>0.01</v>
      </c>
      <c r="P65" s="10">
        <v>0.01</v>
      </c>
      <c r="Q65" s="10">
        <v>0.01</v>
      </c>
      <c r="R65" s="10">
        <v>0.01</v>
      </c>
      <c r="S65" s="10">
        <v>0.01</v>
      </c>
      <c r="T65" s="10">
        <v>0.01</v>
      </c>
    </row>
    <row r="66" spans="1:20">
      <c r="A66">
        <v>37</v>
      </c>
      <c r="B66">
        <f t="shared" si="2"/>
        <v>2057</v>
      </c>
      <c r="D66" s="5">
        <v>0.05</v>
      </c>
      <c r="E66" s="5">
        <v>0.05</v>
      </c>
      <c r="F66" s="5">
        <v>0.05</v>
      </c>
      <c r="G66" s="5">
        <v>0.05</v>
      </c>
      <c r="H66" s="5">
        <v>0.05</v>
      </c>
      <c r="I66" s="5">
        <v>0.05</v>
      </c>
      <c r="J66" s="5">
        <v>0.05</v>
      </c>
      <c r="K66" s="5">
        <v>0.05</v>
      </c>
      <c r="M66" s="10">
        <v>0.01</v>
      </c>
      <c r="N66" s="10">
        <v>0.01</v>
      </c>
      <c r="O66" s="10">
        <v>0.01</v>
      </c>
      <c r="P66" s="10">
        <v>0.01</v>
      </c>
      <c r="Q66" s="10">
        <v>0.01</v>
      </c>
      <c r="R66" s="10">
        <v>0.01</v>
      </c>
      <c r="S66" s="10">
        <v>0.01</v>
      </c>
      <c r="T66" s="10">
        <v>0.01</v>
      </c>
    </row>
    <row r="67" spans="1:20">
      <c r="A67">
        <v>38</v>
      </c>
      <c r="B67">
        <f t="shared" si="2"/>
        <v>2058</v>
      </c>
      <c r="D67" s="5">
        <v>0.05</v>
      </c>
      <c r="E67" s="5">
        <v>0.05</v>
      </c>
      <c r="F67" s="5">
        <v>0.05</v>
      </c>
      <c r="G67" s="5">
        <v>0.05</v>
      </c>
      <c r="H67" s="5">
        <v>0.05</v>
      </c>
      <c r="I67" s="5">
        <v>0.05</v>
      </c>
      <c r="J67" s="5">
        <v>0.05</v>
      </c>
      <c r="K67" s="5">
        <v>0.05</v>
      </c>
      <c r="M67" s="10">
        <v>0.01</v>
      </c>
      <c r="N67" s="10">
        <v>0.01</v>
      </c>
      <c r="O67" s="10">
        <v>0.01</v>
      </c>
      <c r="P67" s="10">
        <v>0.01</v>
      </c>
      <c r="Q67" s="10">
        <v>0.01</v>
      </c>
      <c r="R67" s="10">
        <v>0.01</v>
      </c>
      <c r="S67" s="10">
        <v>0.01</v>
      </c>
      <c r="T67" s="10">
        <v>0.01</v>
      </c>
    </row>
    <row r="68" spans="1:20">
      <c r="A68">
        <v>39</v>
      </c>
      <c r="B68">
        <f t="shared" si="2"/>
        <v>2059</v>
      </c>
      <c r="D68" s="5">
        <v>0.05</v>
      </c>
      <c r="E68" s="5">
        <v>0.05</v>
      </c>
      <c r="F68" s="5">
        <v>0.05</v>
      </c>
      <c r="G68" s="5">
        <v>0.05</v>
      </c>
      <c r="H68" s="5">
        <v>0.05</v>
      </c>
      <c r="I68" s="5">
        <v>0.05</v>
      </c>
      <c r="J68" s="5">
        <v>0.05</v>
      </c>
      <c r="K68" s="5">
        <v>0.05</v>
      </c>
      <c r="M68" s="10">
        <v>0.01</v>
      </c>
      <c r="N68" s="10">
        <v>0.01</v>
      </c>
      <c r="O68" s="10">
        <v>0.01</v>
      </c>
      <c r="P68" s="10">
        <v>0.01</v>
      </c>
      <c r="Q68" s="10">
        <v>0.01</v>
      </c>
      <c r="R68" s="10">
        <v>0.01</v>
      </c>
      <c r="S68" s="10">
        <v>0.01</v>
      </c>
      <c r="T68" s="10">
        <v>0.01</v>
      </c>
    </row>
    <row r="69" spans="1:20">
      <c r="A69">
        <v>40</v>
      </c>
      <c r="B69">
        <f t="shared" si="2"/>
        <v>2060</v>
      </c>
      <c r="D69" s="5">
        <v>0.05</v>
      </c>
      <c r="E69" s="5">
        <v>0.05</v>
      </c>
      <c r="F69" s="5">
        <v>0.05</v>
      </c>
      <c r="G69" s="5">
        <v>0.05</v>
      </c>
      <c r="H69" s="5">
        <v>0.05</v>
      </c>
      <c r="I69" s="5">
        <v>0.05</v>
      </c>
      <c r="J69" s="5">
        <v>0.05</v>
      </c>
      <c r="K69" s="5">
        <v>0.05</v>
      </c>
      <c r="M69" s="10">
        <v>0.01</v>
      </c>
      <c r="N69" s="10">
        <v>0.01</v>
      </c>
      <c r="O69" s="10">
        <v>0.01</v>
      </c>
      <c r="P69" s="10">
        <v>0.01</v>
      </c>
      <c r="Q69" s="10">
        <v>0.01</v>
      </c>
      <c r="R69" s="10">
        <v>0.01</v>
      </c>
      <c r="S69" s="10">
        <v>0.01</v>
      </c>
      <c r="T69" s="10">
        <v>0.01</v>
      </c>
    </row>
    <row r="70" spans="1:20">
      <c r="A70">
        <v>41</v>
      </c>
      <c r="B70">
        <f t="shared" si="2"/>
        <v>2061</v>
      </c>
      <c r="D70" s="5">
        <v>0.05</v>
      </c>
      <c r="E70" s="5">
        <v>0.05</v>
      </c>
      <c r="F70" s="5">
        <v>0.05</v>
      </c>
      <c r="G70" s="5">
        <v>0.05</v>
      </c>
      <c r="H70" s="5">
        <v>0.05</v>
      </c>
      <c r="I70" s="5">
        <v>0.05</v>
      </c>
      <c r="J70" s="5">
        <v>0.05</v>
      </c>
      <c r="K70" s="5">
        <v>0.05</v>
      </c>
      <c r="M70" s="10">
        <v>0.01</v>
      </c>
      <c r="N70" s="10">
        <v>0.01</v>
      </c>
      <c r="O70" s="10">
        <v>0.01</v>
      </c>
      <c r="P70" s="10">
        <v>0.01</v>
      </c>
      <c r="Q70" s="10">
        <v>0.01</v>
      </c>
      <c r="R70" s="10">
        <v>0.01</v>
      </c>
      <c r="S70" s="10">
        <v>0.01</v>
      </c>
      <c r="T70" s="10">
        <v>0.01</v>
      </c>
    </row>
    <row r="71" spans="1:20">
      <c r="A71">
        <v>42</v>
      </c>
      <c r="B71">
        <f t="shared" si="2"/>
        <v>2062</v>
      </c>
      <c r="D71" s="5">
        <v>0.05</v>
      </c>
      <c r="E71" s="5">
        <v>0.05</v>
      </c>
      <c r="F71" s="5">
        <v>0.05</v>
      </c>
      <c r="G71" s="5">
        <v>0.05</v>
      </c>
      <c r="H71" s="5">
        <v>0.05</v>
      </c>
      <c r="I71" s="5">
        <v>0.05</v>
      </c>
      <c r="J71" s="5">
        <v>0.05</v>
      </c>
      <c r="K71" s="5">
        <v>0.05</v>
      </c>
      <c r="M71" s="10">
        <v>0.01</v>
      </c>
      <c r="N71" s="10">
        <v>0.01</v>
      </c>
      <c r="O71" s="10">
        <v>0.01</v>
      </c>
      <c r="P71" s="10">
        <v>0.01</v>
      </c>
      <c r="Q71" s="10">
        <v>0.01</v>
      </c>
      <c r="R71" s="10">
        <v>0.01</v>
      </c>
      <c r="S71" s="10">
        <v>0.01</v>
      </c>
      <c r="T71" s="10">
        <v>0.01</v>
      </c>
    </row>
    <row r="72" spans="1:20">
      <c r="A72">
        <v>43</v>
      </c>
      <c r="B72">
        <f t="shared" si="2"/>
        <v>2063</v>
      </c>
      <c r="D72" s="5">
        <v>0.05</v>
      </c>
      <c r="E72" s="5">
        <v>0.05</v>
      </c>
      <c r="F72" s="5">
        <v>0.05</v>
      </c>
      <c r="G72" s="5">
        <v>0.05</v>
      </c>
      <c r="H72" s="5">
        <v>0.05</v>
      </c>
      <c r="I72" s="5">
        <v>0.05</v>
      </c>
      <c r="J72" s="5">
        <v>0.05</v>
      </c>
      <c r="K72" s="5">
        <v>0.05</v>
      </c>
      <c r="M72" s="10">
        <v>0.01</v>
      </c>
      <c r="N72" s="10">
        <v>0.01</v>
      </c>
      <c r="O72" s="10">
        <v>0.01</v>
      </c>
      <c r="P72" s="10">
        <v>0.01</v>
      </c>
      <c r="Q72" s="10">
        <v>0.01</v>
      </c>
      <c r="R72" s="10">
        <v>0.01</v>
      </c>
      <c r="S72" s="10">
        <v>0.01</v>
      </c>
      <c r="T72" s="10">
        <v>0.01</v>
      </c>
    </row>
    <row r="73" spans="1:20">
      <c r="A73">
        <v>44</v>
      </c>
      <c r="B73">
        <f t="shared" si="2"/>
        <v>2064</v>
      </c>
      <c r="D73" s="5">
        <v>0.05</v>
      </c>
      <c r="E73" s="5">
        <v>0.05</v>
      </c>
      <c r="F73" s="5">
        <v>0.05</v>
      </c>
      <c r="G73" s="5">
        <v>0.05</v>
      </c>
      <c r="H73" s="5">
        <v>0.05</v>
      </c>
      <c r="I73" s="5">
        <v>0.05</v>
      </c>
      <c r="J73" s="5">
        <v>0.05</v>
      </c>
      <c r="K73" s="5">
        <v>0.05</v>
      </c>
      <c r="M73" s="10">
        <v>0.01</v>
      </c>
      <c r="N73" s="10">
        <v>0.01</v>
      </c>
      <c r="O73" s="10">
        <v>0.01</v>
      </c>
      <c r="P73" s="10">
        <v>0.01</v>
      </c>
      <c r="Q73" s="10">
        <v>0.01</v>
      </c>
      <c r="R73" s="10">
        <v>0.01</v>
      </c>
      <c r="S73" s="10">
        <v>0.01</v>
      </c>
      <c r="T73" s="10">
        <v>0.01</v>
      </c>
    </row>
    <row r="74" spans="1:20">
      <c r="A74">
        <v>45</v>
      </c>
      <c r="B74">
        <f t="shared" si="2"/>
        <v>2065</v>
      </c>
      <c r="D74" s="5">
        <v>0.05</v>
      </c>
      <c r="E74" s="5">
        <v>0.05</v>
      </c>
      <c r="F74" s="5">
        <v>0.05</v>
      </c>
      <c r="G74" s="5">
        <v>0.05</v>
      </c>
      <c r="H74" s="5">
        <v>0.05</v>
      </c>
      <c r="I74" s="5">
        <v>0.05</v>
      </c>
      <c r="J74" s="5">
        <v>0.05</v>
      </c>
      <c r="K74" s="5">
        <v>0.05</v>
      </c>
      <c r="M74" s="10">
        <v>0.01</v>
      </c>
      <c r="N74" s="10">
        <v>0.01</v>
      </c>
      <c r="O74" s="10">
        <v>0.01</v>
      </c>
      <c r="P74" s="10">
        <v>0.01</v>
      </c>
      <c r="Q74" s="10">
        <v>0.01</v>
      </c>
      <c r="R74" s="10">
        <v>0.01</v>
      </c>
      <c r="S74" s="10">
        <v>0.01</v>
      </c>
      <c r="T74" s="10">
        <v>0.01</v>
      </c>
    </row>
    <row r="75" spans="1:20">
      <c r="A75">
        <v>46</v>
      </c>
      <c r="B75">
        <f t="shared" si="2"/>
        <v>2066</v>
      </c>
      <c r="D75" s="5">
        <v>0.05</v>
      </c>
      <c r="E75" s="5">
        <v>0.05</v>
      </c>
      <c r="F75" s="5">
        <v>0.05</v>
      </c>
      <c r="G75" s="5">
        <v>0.05</v>
      </c>
      <c r="H75" s="5">
        <v>0.05</v>
      </c>
      <c r="I75" s="5">
        <v>0.05</v>
      </c>
      <c r="J75" s="5">
        <v>0.05</v>
      </c>
      <c r="K75" s="5">
        <v>0.05</v>
      </c>
      <c r="M75" s="10">
        <v>0.01</v>
      </c>
      <c r="N75" s="10">
        <v>0.01</v>
      </c>
      <c r="O75" s="10">
        <v>0.01</v>
      </c>
      <c r="P75" s="10">
        <v>0.01</v>
      </c>
      <c r="Q75" s="10">
        <v>0.01</v>
      </c>
      <c r="R75" s="10">
        <v>0.01</v>
      </c>
      <c r="S75" s="10">
        <v>0.01</v>
      </c>
      <c r="T75" s="10">
        <v>0.01</v>
      </c>
    </row>
    <row r="76" spans="1:20">
      <c r="A76">
        <v>47</v>
      </c>
      <c r="B76">
        <f t="shared" si="2"/>
        <v>2067</v>
      </c>
      <c r="D76" s="5">
        <v>0.05</v>
      </c>
      <c r="E76" s="5">
        <v>0.05</v>
      </c>
      <c r="F76" s="5">
        <v>0.05</v>
      </c>
      <c r="G76" s="5">
        <v>0.05</v>
      </c>
      <c r="H76" s="5">
        <v>0.05</v>
      </c>
      <c r="I76" s="5">
        <v>0.05</v>
      </c>
      <c r="J76" s="5">
        <v>0.05</v>
      </c>
      <c r="K76" s="5">
        <v>0.05</v>
      </c>
      <c r="M76" s="10">
        <v>0.01</v>
      </c>
      <c r="N76" s="10">
        <v>0.01</v>
      </c>
      <c r="O76" s="10">
        <v>0.01</v>
      </c>
      <c r="P76" s="10">
        <v>0.01</v>
      </c>
      <c r="Q76" s="10">
        <v>0.01</v>
      </c>
      <c r="R76" s="10">
        <v>0.01</v>
      </c>
      <c r="S76" s="10">
        <v>0.01</v>
      </c>
      <c r="T76" s="10">
        <v>0.01</v>
      </c>
    </row>
    <row r="77" spans="1:20">
      <c r="A77">
        <v>48</v>
      </c>
      <c r="B77">
        <f t="shared" si="2"/>
        <v>2068</v>
      </c>
      <c r="D77" s="5">
        <v>0.05</v>
      </c>
      <c r="E77" s="5">
        <v>0.05</v>
      </c>
      <c r="F77" s="5">
        <v>0.05</v>
      </c>
      <c r="G77" s="5">
        <v>0.05</v>
      </c>
      <c r="H77" s="5">
        <v>0.05</v>
      </c>
      <c r="I77" s="5">
        <v>0.05</v>
      </c>
      <c r="J77" s="5">
        <v>0.05</v>
      </c>
      <c r="K77" s="5">
        <v>0.05</v>
      </c>
      <c r="M77" s="10">
        <v>0.01</v>
      </c>
      <c r="N77" s="10">
        <v>0.01</v>
      </c>
      <c r="O77" s="10">
        <v>0.01</v>
      </c>
      <c r="P77" s="10">
        <v>0.01</v>
      </c>
      <c r="Q77" s="10">
        <v>0.01</v>
      </c>
      <c r="R77" s="10">
        <v>0.01</v>
      </c>
      <c r="S77" s="10">
        <v>0.01</v>
      </c>
      <c r="T77" s="10">
        <v>0.01</v>
      </c>
    </row>
    <row r="78" spans="1:20">
      <c r="A78">
        <v>49</v>
      </c>
      <c r="B78">
        <f t="shared" si="2"/>
        <v>2069</v>
      </c>
      <c r="D78" s="5">
        <v>0.05</v>
      </c>
      <c r="E78" s="5">
        <v>0.05</v>
      </c>
      <c r="F78" s="5">
        <v>0.05</v>
      </c>
      <c r="G78" s="5">
        <v>0.05</v>
      </c>
      <c r="H78" s="5">
        <v>0.05</v>
      </c>
      <c r="I78" s="5">
        <v>0.05</v>
      </c>
      <c r="J78" s="5">
        <v>0.05</v>
      </c>
      <c r="K78" s="5">
        <v>0.05</v>
      </c>
      <c r="M78" s="10">
        <v>0.01</v>
      </c>
      <c r="N78" s="10">
        <v>0.01</v>
      </c>
      <c r="O78" s="10">
        <v>0.01</v>
      </c>
      <c r="P78" s="10">
        <v>0.01</v>
      </c>
      <c r="Q78" s="10">
        <v>0.01</v>
      </c>
      <c r="R78" s="10">
        <v>0.01</v>
      </c>
      <c r="S78" s="10">
        <v>0.01</v>
      </c>
      <c r="T78" s="10">
        <v>0.01</v>
      </c>
    </row>
    <row r="79" spans="1:20">
      <c r="A79">
        <v>50</v>
      </c>
      <c r="B79">
        <f t="shared" si="2"/>
        <v>2070</v>
      </c>
      <c r="D79" s="5">
        <v>0.05</v>
      </c>
      <c r="E79" s="5">
        <v>0.05</v>
      </c>
      <c r="F79" s="5">
        <v>0.05</v>
      </c>
      <c r="G79" s="5">
        <v>0.05</v>
      </c>
      <c r="H79" s="5">
        <v>0.05</v>
      </c>
      <c r="I79" s="5">
        <v>0.05</v>
      </c>
      <c r="J79" s="5">
        <v>0.05</v>
      </c>
      <c r="K79" s="5">
        <v>0.05</v>
      </c>
      <c r="M79" s="10">
        <v>0.01</v>
      </c>
      <c r="N79" s="10">
        <v>0.01</v>
      </c>
      <c r="O79" s="10">
        <v>0.01</v>
      </c>
      <c r="P79" s="10">
        <v>0.01</v>
      </c>
      <c r="Q79" s="10">
        <v>0.01</v>
      </c>
      <c r="R79" s="10">
        <v>0.01</v>
      </c>
      <c r="S79" s="10">
        <v>0.01</v>
      </c>
      <c r="T79" s="10">
        <v>0.01</v>
      </c>
    </row>
    <row r="80" spans="1:20">
      <c r="A80">
        <v>51</v>
      </c>
      <c r="B80">
        <f t="shared" si="2"/>
        <v>2071</v>
      </c>
      <c r="D80" s="5">
        <v>0.05</v>
      </c>
      <c r="E80" s="5">
        <v>0.05</v>
      </c>
      <c r="F80" s="5">
        <v>0.05</v>
      </c>
      <c r="G80" s="5">
        <v>0.05</v>
      </c>
      <c r="H80" s="5">
        <v>0.05</v>
      </c>
      <c r="I80" s="5">
        <v>0.05</v>
      </c>
      <c r="J80" s="5">
        <v>0.05</v>
      </c>
      <c r="K80" s="5">
        <v>0.05</v>
      </c>
      <c r="M80" s="10">
        <v>0.01</v>
      </c>
      <c r="N80" s="10">
        <v>0.01</v>
      </c>
      <c r="O80" s="10">
        <v>0.01</v>
      </c>
      <c r="P80" s="10">
        <v>0.01</v>
      </c>
      <c r="Q80" s="10">
        <v>0.01</v>
      </c>
      <c r="R80" s="10">
        <v>0.01</v>
      </c>
      <c r="S80" s="10">
        <v>0.01</v>
      </c>
      <c r="T80" s="10">
        <v>0.01</v>
      </c>
    </row>
    <row r="81" spans="1:20">
      <c r="A81">
        <v>52</v>
      </c>
      <c r="B81">
        <f t="shared" si="2"/>
        <v>2072</v>
      </c>
      <c r="D81" s="5">
        <v>0.05</v>
      </c>
      <c r="E81" s="5">
        <v>0.05</v>
      </c>
      <c r="F81" s="5">
        <v>0.05</v>
      </c>
      <c r="G81" s="5">
        <v>0.05</v>
      </c>
      <c r="H81" s="5">
        <v>0.05</v>
      </c>
      <c r="I81" s="5">
        <v>0.05</v>
      </c>
      <c r="J81" s="5">
        <v>0.05</v>
      </c>
      <c r="K81" s="5">
        <v>0.05</v>
      </c>
      <c r="M81" s="10">
        <v>0.01</v>
      </c>
      <c r="N81" s="10">
        <v>0.01</v>
      </c>
      <c r="O81" s="10">
        <v>0.01</v>
      </c>
      <c r="P81" s="10">
        <v>0.01</v>
      </c>
      <c r="Q81" s="10">
        <v>0.01</v>
      </c>
      <c r="R81" s="10">
        <v>0.01</v>
      </c>
      <c r="S81" s="10">
        <v>0.01</v>
      </c>
      <c r="T81" s="10">
        <v>0.01</v>
      </c>
    </row>
    <row r="82" spans="1:20">
      <c r="A82">
        <v>53</v>
      </c>
      <c r="B82">
        <f t="shared" si="2"/>
        <v>2073</v>
      </c>
      <c r="D82" s="5">
        <v>0.05</v>
      </c>
      <c r="E82" s="5">
        <v>0.05</v>
      </c>
      <c r="F82" s="5">
        <v>0.05</v>
      </c>
      <c r="G82" s="5">
        <v>0.05</v>
      </c>
      <c r="H82" s="5">
        <v>0.05</v>
      </c>
      <c r="I82" s="5">
        <v>0.05</v>
      </c>
      <c r="J82" s="5">
        <v>0.05</v>
      </c>
      <c r="K82" s="5">
        <v>0.05</v>
      </c>
      <c r="M82" s="10">
        <v>0.01</v>
      </c>
      <c r="N82" s="10">
        <v>0.01</v>
      </c>
      <c r="O82" s="10">
        <v>0.01</v>
      </c>
      <c r="P82" s="10">
        <v>0.01</v>
      </c>
      <c r="Q82" s="10">
        <v>0.01</v>
      </c>
      <c r="R82" s="10">
        <v>0.01</v>
      </c>
      <c r="S82" s="10">
        <v>0.01</v>
      </c>
      <c r="T82" s="10">
        <v>0.01</v>
      </c>
    </row>
    <row r="83" spans="1:20">
      <c r="A83">
        <v>54</v>
      </c>
      <c r="B83">
        <f t="shared" si="2"/>
        <v>2074</v>
      </c>
      <c r="D83" s="5">
        <v>0.05</v>
      </c>
      <c r="E83" s="5">
        <v>0.05</v>
      </c>
      <c r="F83" s="5">
        <v>0.05</v>
      </c>
      <c r="G83" s="5">
        <v>0.05</v>
      </c>
      <c r="H83" s="5">
        <v>0.05</v>
      </c>
      <c r="I83" s="5">
        <v>0.05</v>
      </c>
      <c r="J83" s="5">
        <v>0.05</v>
      </c>
      <c r="K83" s="5">
        <v>0.05</v>
      </c>
      <c r="M83" s="10">
        <v>0.01</v>
      </c>
      <c r="N83" s="10">
        <v>0.01</v>
      </c>
      <c r="O83" s="10">
        <v>0.01</v>
      </c>
      <c r="P83" s="10">
        <v>0.01</v>
      </c>
      <c r="Q83" s="10">
        <v>0.01</v>
      </c>
      <c r="R83" s="10">
        <v>0.01</v>
      </c>
      <c r="S83" s="10">
        <v>0.01</v>
      </c>
      <c r="T83" s="10">
        <v>0.01</v>
      </c>
    </row>
    <row r="84" spans="1:20">
      <c r="A84">
        <v>55</v>
      </c>
      <c r="B84">
        <f t="shared" si="2"/>
        <v>2075</v>
      </c>
      <c r="D84" s="5">
        <v>0.05</v>
      </c>
      <c r="E84" s="5">
        <v>0.05</v>
      </c>
      <c r="F84" s="5">
        <v>0.05</v>
      </c>
      <c r="G84" s="5">
        <v>0.05</v>
      </c>
      <c r="H84" s="5">
        <v>0.05</v>
      </c>
      <c r="I84" s="5">
        <v>0.05</v>
      </c>
      <c r="J84" s="5">
        <v>0.05</v>
      </c>
      <c r="K84" s="5">
        <v>0.05</v>
      </c>
      <c r="M84" s="10">
        <v>0.01</v>
      </c>
      <c r="N84" s="10">
        <v>0.01</v>
      </c>
      <c r="O84" s="10">
        <v>0.01</v>
      </c>
      <c r="P84" s="10">
        <v>0.01</v>
      </c>
      <c r="Q84" s="10">
        <v>0.01</v>
      </c>
      <c r="R84" s="10">
        <v>0.01</v>
      </c>
      <c r="S84" s="10">
        <v>0.01</v>
      </c>
      <c r="T84" s="10">
        <v>0.01</v>
      </c>
    </row>
    <row r="85" spans="1:20">
      <c r="A85">
        <v>56</v>
      </c>
      <c r="B85">
        <f t="shared" si="2"/>
        <v>2076</v>
      </c>
      <c r="D85" s="5">
        <v>0.05</v>
      </c>
      <c r="E85" s="5">
        <v>0.05</v>
      </c>
      <c r="F85" s="5">
        <v>0.05</v>
      </c>
      <c r="G85" s="5">
        <v>0.05</v>
      </c>
      <c r="H85" s="5">
        <v>0.05</v>
      </c>
      <c r="I85" s="5">
        <v>0.05</v>
      </c>
      <c r="J85" s="5">
        <v>0.05</v>
      </c>
      <c r="K85" s="5">
        <v>0.05</v>
      </c>
      <c r="M85" s="10">
        <v>0.01</v>
      </c>
      <c r="N85" s="10">
        <v>0.01</v>
      </c>
      <c r="O85" s="10">
        <v>0.01</v>
      </c>
      <c r="P85" s="10">
        <v>0.01</v>
      </c>
      <c r="Q85" s="10">
        <v>0.01</v>
      </c>
      <c r="R85" s="10">
        <v>0.01</v>
      </c>
      <c r="S85" s="10">
        <v>0.01</v>
      </c>
      <c r="T85" s="10">
        <v>0.01</v>
      </c>
    </row>
    <row r="86" spans="1:20">
      <c r="A86">
        <v>57</v>
      </c>
      <c r="B86">
        <f t="shared" si="2"/>
        <v>2077</v>
      </c>
      <c r="D86" s="5">
        <v>0.05</v>
      </c>
      <c r="E86" s="5">
        <v>0.05</v>
      </c>
      <c r="F86" s="5">
        <v>0.05</v>
      </c>
      <c r="G86" s="5">
        <v>0.05</v>
      </c>
      <c r="H86" s="5">
        <v>0.05</v>
      </c>
      <c r="I86" s="5">
        <v>0.05</v>
      </c>
      <c r="J86" s="5">
        <v>0.05</v>
      </c>
      <c r="K86" s="5">
        <v>0.05</v>
      </c>
      <c r="M86" s="10">
        <v>0.01</v>
      </c>
      <c r="N86" s="10">
        <v>0.01</v>
      </c>
      <c r="O86" s="10">
        <v>0.01</v>
      </c>
      <c r="P86" s="10">
        <v>0.01</v>
      </c>
      <c r="Q86" s="10">
        <v>0.01</v>
      </c>
      <c r="R86" s="10">
        <v>0.01</v>
      </c>
      <c r="S86" s="10">
        <v>0.01</v>
      </c>
      <c r="T86" s="10">
        <v>0.01</v>
      </c>
    </row>
    <row r="87" spans="1:20">
      <c r="A87">
        <v>58</v>
      </c>
      <c r="B87">
        <f t="shared" si="2"/>
        <v>2078</v>
      </c>
      <c r="D87" s="5">
        <v>0.05</v>
      </c>
      <c r="E87" s="5">
        <v>0.05</v>
      </c>
      <c r="F87" s="5">
        <v>0.05</v>
      </c>
      <c r="G87" s="5">
        <v>0.05</v>
      </c>
      <c r="H87" s="5">
        <v>0.05</v>
      </c>
      <c r="I87" s="5">
        <v>0.05</v>
      </c>
      <c r="J87" s="5">
        <v>0.05</v>
      </c>
      <c r="K87" s="5">
        <v>0.05</v>
      </c>
      <c r="M87" s="10">
        <v>0.01</v>
      </c>
      <c r="N87" s="10">
        <v>0.01</v>
      </c>
      <c r="O87" s="10">
        <v>0.01</v>
      </c>
      <c r="P87" s="10">
        <v>0.01</v>
      </c>
      <c r="Q87" s="10">
        <v>0.01</v>
      </c>
      <c r="R87" s="10">
        <v>0.01</v>
      </c>
      <c r="S87" s="10">
        <v>0.01</v>
      </c>
      <c r="T87" s="10">
        <v>0.01</v>
      </c>
    </row>
    <row r="88" spans="1:20">
      <c r="A88">
        <v>59</v>
      </c>
      <c r="B88">
        <f t="shared" si="2"/>
        <v>2079</v>
      </c>
      <c r="D88" s="5">
        <v>0.05</v>
      </c>
      <c r="E88" s="5">
        <v>0.05</v>
      </c>
      <c r="F88" s="5">
        <v>0.05</v>
      </c>
      <c r="G88" s="5">
        <v>0.05</v>
      </c>
      <c r="H88" s="5">
        <v>0.05</v>
      </c>
      <c r="I88" s="5">
        <v>0.05</v>
      </c>
      <c r="J88" s="5">
        <v>0.05</v>
      </c>
      <c r="K88" s="5">
        <v>0.05</v>
      </c>
      <c r="M88" s="10">
        <v>0.01</v>
      </c>
      <c r="N88" s="10">
        <v>0.01</v>
      </c>
      <c r="O88" s="10">
        <v>0.01</v>
      </c>
      <c r="P88" s="10">
        <v>0.01</v>
      </c>
      <c r="Q88" s="10">
        <v>0.01</v>
      </c>
      <c r="R88" s="10">
        <v>0.01</v>
      </c>
      <c r="S88" s="10">
        <v>0.01</v>
      </c>
      <c r="T88" s="10">
        <v>0.01</v>
      </c>
    </row>
    <row r="89" spans="1:20">
      <c r="A89">
        <v>60</v>
      </c>
      <c r="B89">
        <f t="shared" si="2"/>
        <v>2080</v>
      </c>
      <c r="D89" s="5">
        <v>0.05</v>
      </c>
      <c r="E89" s="5">
        <v>0.05</v>
      </c>
      <c r="F89" s="5">
        <v>0.05</v>
      </c>
      <c r="G89" s="5">
        <v>0.05</v>
      </c>
      <c r="H89" s="5">
        <v>0.05</v>
      </c>
      <c r="I89" s="5">
        <v>0.05</v>
      </c>
      <c r="J89" s="5">
        <v>0.05</v>
      </c>
      <c r="K89" s="5">
        <v>0.05</v>
      </c>
      <c r="M89" s="10">
        <v>0.01</v>
      </c>
      <c r="N89" s="10">
        <v>0.01</v>
      </c>
      <c r="O89" s="10">
        <v>0.01</v>
      </c>
      <c r="P89" s="10">
        <v>0.01</v>
      </c>
      <c r="Q89" s="10">
        <v>0.01</v>
      </c>
      <c r="R89" s="10">
        <v>0.01</v>
      </c>
      <c r="S89" s="10">
        <v>0.01</v>
      </c>
      <c r="T89" s="10">
        <v>0.01</v>
      </c>
    </row>
    <row r="90" spans="1:20">
      <c r="A90">
        <v>61</v>
      </c>
      <c r="B90">
        <f t="shared" si="2"/>
        <v>2081</v>
      </c>
      <c r="D90" s="5">
        <v>0.05</v>
      </c>
      <c r="E90" s="5">
        <v>0.05</v>
      </c>
      <c r="F90" s="5">
        <v>0.05</v>
      </c>
      <c r="G90" s="5">
        <v>0.05</v>
      </c>
      <c r="H90" s="5">
        <v>0.05</v>
      </c>
      <c r="I90" s="5">
        <v>0.05</v>
      </c>
      <c r="J90" s="5">
        <v>0.05</v>
      </c>
      <c r="K90" s="5">
        <v>0.05</v>
      </c>
      <c r="M90" s="10">
        <v>0.01</v>
      </c>
      <c r="N90" s="10">
        <v>0.01</v>
      </c>
      <c r="O90" s="10">
        <v>0.01</v>
      </c>
      <c r="P90" s="10">
        <v>0.01</v>
      </c>
      <c r="Q90" s="10">
        <v>0.01</v>
      </c>
      <c r="R90" s="10">
        <v>0.01</v>
      </c>
      <c r="S90" s="10">
        <v>0.01</v>
      </c>
      <c r="T90" s="10">
        <v>0.01</v>
      </c>
    </row>
    <row r="91" spans="1:20">
      <c r="A91">
        <v>62</v>
      </c>
      <c r="B91">
        <f t="shared" si="2"/>
        <v>2082</v>
      </c>
      <c r="D91" s="5">
        <v>0.05</v>
      </c>
      <c r="E91" s="5">
        <v>0.05</v>
      </c>
      <c r="F91" s="5">
        <v>0.05</v>
      </c>
      <c r="G91" s="5">
        <v>0.05</v>
      </c>
      <c r="H91" s="5">
        <v>0.05</v>
      </c>
      <c r="I91" s="5">
        <v>0.05</v>
      </c>
      <c r="J91" s="5">
        <v>0.05</v>
      </c>
      <c r="K91" s="5">
        <v>0.05</v>
      </c>
      <c r="M91" s="10">
        <v>0.01</v>
      </c>
      <c r="N91" s="10">
        <v>0.01</v>
      </c>
      <c r="O91" s="10">
        <v>0.01</v>
      </c>
      <c r="P91" s="10">
        <v>0.01</v>
      </c>
      <c r="Q91" s="10">
        <v>0.01</v>
      </c>
      <c r="R91" s="10">
        <v>0.01</v>
      </c>
      <c r="S91" s="10">
        <v>0.01</v>
      </c>
      <c r="T91" s="10">
        <v>0.01</v>
      </c>
    </row>
    <row r="92" spans="1:20">
      <c r="A92">
        <v>63</v>
      </c>
      <c r="B92">
        <f t="shared" si="2"/>
        <v>2083</v>
      </c>
      <c r="D92" s="5">
        <v>0.05</v>
      </c>
      <c r="E92" s="5">
        <v>0.05</v>
      </c>
      <c r="F92" s="5">
        <v>0.05</v>
      </c>
      <c r="G92" s="5">
        <v>0.05</v>
      </c>
      <c r="H92" s="5">
        <v>0.05</v>
      </c>
      <c r="I92" s="5">
        <v>0.05</v>
      </c>
      <c r="J92" s="5">
        <v>0.05</v>
      </c>
      <c r="K92" s="5">
        <v>0.05</v>
      </c>
      <c r="M92" s="10">
        <v>0.01</v>
      </c>
      <c r="N92" s="10">
        <v>0.01</v>
      </c>
      <c r="O92" s="10">
        <v>0.01</v>
      </c>
      <c r="P92" s="10">
        <v>0.01</v>
      </c>
      <c r="Q92" s="10">
        <v>0.01</v>
      </c>
      <c r="R92" s="10">
        <v>0.01</v>
      </c>
      <c r="S92" s="10">
        <v>0.01</v>
      </c>
      <c r="T92" s="10">
        <v>0.01</v>
      </c>
    </row>
    <row r="93" spans="1:20">
      <c r="A93">
        <v>64</v>
      </c>
      <c r="B93">
        <f t="shared" si="2"/>
        <v>2084</v>
      </c>
      <c r="D93" s="5">
        <v>0.05</v>
      </c>
      <c r="E93" s="5">
        <v>0.05</v>
      </c>
      <c r="F93" s="5">
        <v>0.05</v>
      </c>
      <c r="G93" s="5">
        <v>0.05</v>
      </c>
      <c r="H93" s="5">
        <v>0.05</v>
      </c>
      <c r="I93" s="5">
        <v>0.05</v>
      </c>
      <c r="J93" s="5">
        <v>0.05</v>
      </c>
      <c r="K93" s="5">
        <v>0.05</v>
      </c>
      <c r="M93" s="10">
        <v>0.01</v>
      </c>
      <c r="N93" s="10">
        <v>0.01</v>
      </c>
      <c r="O93" s="10">
        <v>0.01</v>
      </c>
      <c r="P93" s="10">
        <v>0.01</v>
      </c>
      <c r="Q93" s="10">
        <v>0.01</v>
      </c>
      <c r="R93" s="10">
        <v>0.01</v>
      </c>
      <c r="S93" s="10">
        <v>0.01</v>
      </c>
      <c r="T93" s="10">
        <v>0.01</v>
      </c>
    </row>
    <row r="94" spans="1:20">
      <c r="A94">
        <v>65</v>
      </c>
      <c r="B94">
        <f t="shared" ref="B94:B129" si="3">A94+D$2</f>
        <v>2085</v>
      </c>
      <c r="D94" s="5">
        <v>0.05</v>
      </c>
      <c r="E94" s="5">
        <v>0.05</v>
      </c>
      <c r="F94" s="5">
        <v>0.05</v>
      </c>
      <c r="G94" s="5">
        <v>0.05</v>
      </c>
      <c r="H94" s="5">
        <v>0.05</v>
      </c>
      <c r="I94" s="5">
        <v>0.05</v>
      </c>
      <c r="J94" s="5">
        <v>0.05</v>
      </c>
      <c r="K94" s="5">
        <v>0.05</v>
      </c>
      <c r="M94" s="10">
        <v>0.01</v>
      </c>
      <c r="N94" s="10">
        <v>0.01</v>
      </c>
      <c r="O94" s="10">
        <v>0.01</v>
      </c>
      <c r="P94" s="10">
        <v>0.01</v>
      </c>
      <c r="Q94" s="10">
        <v>0.01</v>
      </c>
      <c r="R94" s="10">
        <v>0.01</v>
      </c>
      <c r="S94" s="10">
        <v>0.01</v>
      </c>
      <c r="T94" s="10">
        <v>0.01</v>
      </c>
    </row>
    <row r="95" spans="1:20">
      <c r="A95">
        <v>66</v>
      </c>
      <c r="B95">
        <f t="shared" si="3"/>
        <v>2086</v>
      </c>
      <c r="D95" s="5">
        <v>0.05</v>
      </c>
      <c r="E95" s="5">
        <v>0.05</v>
      </c>
      <c r="F95" s="5">
        <v>0.05</v>
      </c>
      <c r="G95" s="5">
        <v>0.05</v>
      </c>
      <c r="H95" s="5">
        <v>0.05</v>
      </c>
      <c r="I95" s="5">
        <v>0.05</v>
      </c>
      <c r="J95" s="5">
        <v>0.05</v>
      </c>
      <c r="K95" s="5">
        <v>0.05</v>
      </c>
      <c r="M95" s="10">
        <v>0.01</v>
      </c>
      <c r="N95" s="10">
        <v>0.01</v>
      </c>
      <c r="O95" s="10">
        <v>0.01</v>
      </c>
      <c r="P95" s="10">
        <v>0.01</v>
      </c>
      <c r="Q95" s="10">
        <v>0.01</v>
      </c>
      <c r="R95" s="10">
        <v>0.01</v>
      </c>
      <c r="S95" s="10">
        <v>0.01</v>
      </c>
      <c r="T95" s="10">
        <v>0.01</v>
      </c>
    </row>
    <row r="96" spans="1:20">
      <c r="A96">
        <v>67</v>
      </c>
      <c r="B96">
        <f t="shared" si="3"/>
        <v>2087</v>
      </c>
      <c r="D96" s="5">
        <v>0.05</v>
      </c>
      <c r="E96" s="5">
        <v>0.05</v>
      </c>
      <c r="F96" s="5">
        <v>0.05</v>
      </c>
      <c r="G96" s="5">
        <v>0.05</v>
      </c>
      <c r="H96" s="5">
        <v>0.05</v>
      </c>
      <c r="I96" s="5">
        <v>0.05</v>
      </c>
      <c r="J96" s="5">
        <v>0.05</v>
      </c>
      <c r="K96" s="5">
        <v>0.05</v>
      </c>
      <c r="M96" s="10">
        <v>0.01</v>
      </c>
      <c r="N96" s="10">
        <v>0.01</v>
      </c>
      <c r="O96" s="10">
        <v>0.01</v>
      </c>
      <c r="P96" s="10">
        <v>0.01</v>
      </c>
      <c r="Q96" s="10">
        <v>0.01</v>
      </c>
      <c r="R96" s="10">
        <v>0.01</v>
      </c>
      <c r="S96" s="10">
        <v>0.01</v>
      </c>
      <c r="T96" s="10">
        <v>0.01</v>
      </c>
    </row>
    <row r="97" spans="1:20">
      <c r="A97">
        <v>68</v>
      </c>
      <c r="B97">
        <f t="shared" si="3"/>
        <v>2088</v>
      </c>
      <c r="D97" s="5">
        <v>0.05</v>
      </c>
      <c r="E97" s="5">
        <v>0.05</v>
      </c>
      <c r="F97" s="5">
        <v>0.05</v>
      </c>
      <c r="G97" s="5">
        <v>0.05</v>
      </c>
      <c r="H97" s="5">
        <v>0.05</v>
      </c>
      <c r="I97" s="5">
        <v>0.05</v>
      </c>
      <c r="J97" s="5">
        <v>0.05</v>
      </c>
      <c r="K97" s="5">
        <v>0.05</v>
      </c>
      <c r="M97" s="10">
        <v>0.01</v>
      </c>
      <c r="N97" s="10">
        <v>0.01</v>
      </c>
      <c r="O97" s="10">
        <v>0.01</v>
      </c>
      <c r="P97" s="10">
        <v>0.01</v>
      </c>
      <c r="Q97" s="10">
        <v>0.01</v>
      </c>
      <c r="R97" s="10">
        <v>0.01</v>
      </c>
      <c r="S97" s="10">
        <v>0.01</v>
      </c>
      <c r="T97" s="10">
        <v>0.01</v>
      </c>
    </row>
    <row r="98" spans="1:20">
      <c r="A98">
        <v>69</v>
      </c>
      <c r="B98">
        <f t="shared" si="3"/>
        <v>2089</v>
      </c>
      <c r="D98" s="5">
        <v>0.05</v>
      </c>
      <c r="E98" s="5">
        <v>0.05</v>
      </c>
      <c r="F98" s="5">
        <v>0.05</v>
      </c>
      <c r="G98" s="5">
        <v>0.05</v>
      </c>
      <c r="H98" s="5">
        <v>0.05</v>
      </c>
      <c r="I98" s="5">
        <v>0.05</v>
      </c>
      <c r="J98" s="5">
        <v>0.05</v>
      </c>
      <c r="K98" s="5">
        <v>0.05</v>
      </c>
      <c r="M98" s="10">
        <v>0.01</v>
      </c>
      <c r="N98" s="10">
        <v>0.01</v>
      </c>
      <c r="O98" s="10">
        <v>0.01</v>
      </c>
      <c r="P98" s="10">
        <v>0.01</v>
      </c>
      <c r="Q98" s="10">
        <v>0.01</v>
      </c>
      <c r="R98" s="10">
        <v>0.01</v>
      </c>
      <c r="S98" s="10">
        <v>0.01</v>
      </c>
      <c r="T98" s="10">
        <v>0.01</v>
      </c>
    </row>
    <row r="99" spans="1:20">
      <c r="A99">
        <v>70</v>
      </c>
      <c r="B99">
        <f t="shared" si="3"/>
        <v>2090</v>
      </c>
      <c r="D99" s="5">
        <v>0.05</v>
      </c>
      <c r="E99" s="5">
        <v>0.05</v>
      </c>
      <c r="F99" s="5">
        <v>0.05</v>
      </c>
      <c r="G99" s="5">
        <v>0.05</v>
      </c>
      <c r="H99" s="5">
        <v>0.05</v>
      </c>
      <c r="I99" s="5">
        <v>0.05</v>
      </c>
      <c r="J99" s="5">
        <v>0.05</v>
      </c>
      <c r="K99" s="5">
        <v>0.05</v>
      </c>
      <c r="M99" s="10">
        <v>0.01</v>
      </c>
      <c r="N99" s="10">
        <v>0.01</v>
      </c>
      <c r="O99" s="10">
        <v>0.01</v>
      </c>
      <c r="P99" s="10">
        <v>0.01</v>
      </c>
      <c r="Q99" s="10">
        <v>0.01</v>
      </c>
      <c r="R99" s="10">
        <v>0.01</v>
      </c>
      <c r="S99" s="10">
        <v>0.01</v>
      </c>
      <c r="T99" s="10">
        <v>0.01</v>
      </c>
    </row>
    <row r="100" spans="1:20">
      <c r="A100">
        <v>71</v>
      </c>
      <c r="B100">
        <f t="shared" si="3"/>
        <v>2091</v>
      </c>
      <c r="D100" s="5">
        <v>0.05</v>
      </c>
      <c r="E100" s="5">
        <v>0.05</v>
      </c>
      <c r="F100" s="5">
        <v>0.05</v>
      </c>
      <c r="G100" s="5">
        <v>0.05</v>
      </c>
      <c r="H100" s="5">
        <v>0.05</v>
      </c>
      <c r="I100" s="5">
        <v>0.05</v>
      </c>
      <c r="J100" s="5">
        <v>0.05</v>
      </c>
      <c r="K100" s="5">
        <v>0.05</v>
      </c>
      <c r="M100" s="10">
        <v>0.01</v>
      </c>
      <c r="N100" s="10">
        <v>0.01</v>
      </c>
      <c r="O100" s="10">
        <v>0.01</v>
      </c>
      <c r="P100" s="10">
        <v>0.01</v>
      </c>
      <c r="Q100" s="10">
        <v>0.01</v>
      </c>
      <c r="R100" s="10">
        <v>0.01</v>
      </c>
      <c r="S100" s="10">
        <v>0.01</v>
      </c>
      <c r="T100" s="10">
        <v>0.01</v>
      </c>
    </row>
    <row r="101" spans="1:20">
      <c r="A101">
        <v>72</v>
      </c>
      <c r="B101">
        <f t="shared" si="3"/>
        <v>2092</v>
      </c>
      <c r="D101" s="5">
        <v>0.05</v>
      </c>
      <c r="E101" s="5">
        <v>0.05</v>
      </c>
      <c r="F101" s="5">
        <v>0.05</v>
      </c>
      <c r="G101" s="5">
        <v>0.05</v>
      </c>
      <c r="H101" s="5">
        <v>0.05</v>
      </c>
      <c r="I101" s="5">
        <v>0.05</v>
      </c>
      <c r="J101" s="5">
        <v>0.05</v>
      </c>
      <c r="K101" s="5">
        <v>0.05</v>
      </c>
      <c r="M101" s="10">
        <v>0.01</v>
      </c>
      <c r="N101" s="10">
        <v>0.01</v>
      </c>
      <c r="O101" s="10">
        <v>0.01</v>
      </c>
      <c r="P101" s="10">
        <v>0.01</v>
      </c>
      <c r="Q101" s="10">
        <v>0.01</v>
      </c>
      <c r="R101" s="10">
        <v>0.01</v>
      </c>
      <c r="S101" s="10">
        <v>0.01</v>
      </c>
      <c r="T101" s="10">
        <v>0.01</v>
      </c>
    </row>
    <row r="102" spans="1:20">
      <c r="A102">
        <v>73</v>
      </c>
      <c r="B102">
        <f t="shared" si="3"/>
        <v>2093</v>
      </c>
      <c r="D102" s="5">
        <v>0.05</v>
      </c>
      <c r="E102" s="5">
        <v>0.05</v>
      </c>
      <c r="F102" s="5">
        <v>0.05</v>
      </c>
      <c r="G102" s="5">
        <v>0.05</v>
      </c>
      <c r="H102" s="5">
        <v>0.05</v>
      </c>
      <c r="I102" s="5">
        <v>0.05</v>
      </c>
      <c r="J102" s="5">
        <v>0.05</v>
      </c>
      <c r="K102" s="5">
        <v>0.05</v>
      </c>
      <c r="M102" s="10">
        <v>0.01</v>
      </c>
      <c r="N102" s="10">
        <v>0.01</v>
      </c>
      <c r="O102" s="10">
        <v>0.01</v>
      </c>
      <c r="P102" s="10">
        <v>0.01</v>
      </c>
      <c r="Q102" s="10">
        <v>0.01</v>
      </c>
      <c r="R102" s="10">
        <v>0.01</v>
      </c>
      <c r="S102" s="10">
        <v>0.01</v>
      </c>
      <c r="T102" s="10">
        <v>0.01</v>
      </c>
    </row>
    <row r="103" spans="1:20">
      <c r="A103">
        <v>74</v>
      </c>
      <c r="B103">
        <f t="shared" si="3"/>
        <v>2094</v>
      </c>
      <c r="D103" s="5">
        <v>0.05</v>
      </c>
      <c r="E103" s="5">
        <v>0.05</v>
      </c>
      <c r="F103" s="5">
        <v>0.05</v>
      </c>
      <c r="G103" s="5">
        <v>0.05</v>
      </c>
      <c r="H103" s="5">
        <v>0.05</v>
      </c>
      <c r="I103" s="5">
        <v>0.05</v>
      </c>
      <c r="J103" s="5">
        <v>0.05</v>
      </c>
      <c r="K103" s="5">
        <v>0.05</v>
      </c>
      <c r="M103" s="10">
        <v>0.01</v>
      </c>
      <c r="N103" s="10">
        <v>0.01</v>
      </c>
      <c r="O103" s="10">
        <v>0.01</v>
      </c>
      <c r="P103" s="10">
        <v>0.01</v>
      </c>
      <c r="Q103" s="10">
        <v>0.01</v>
      </c>
      <c r="R103" s="10">
        <v>0.01</v>
      </c>
      <c r="S103" s="10">
        <v>0.01</v>
      </c>
      <c r="T103" s="10">
        <v>0.01</v>
      </c>
    </row>
    <row r="104" spans="1:20">
      <c r="A104">
        <v>75</v>
      </c>
      <c r="B104">
        <f t="shared" si="3"/>
        <v>2095</v>
      </c>
      <c r="D104" s="5">
        <v>0.05</v>
      </c>
      <c r="E104" s="5">
        <v>0.05</v>
      </c>
      <c r="F104" s="5">
        <v>0.05</v>
      </c>
      <c r="G104" s="5">
        <v>0.05</v>
      </c>
      <c r="H104" s="5">
        <v>0.05</v>
      </c>
      <c r="I104" s="5">
        <v>0.05</v>
      </c>
      <c r="J104" s="5">
        <v>0.05</v>
      </c>
      <c r="K104" s="5">
        <v>0.05</v>
      </c>
      <c r="M104" s="10">
        <v>0.01</v>
      </c>
      <c r="N104" s="10">
        <v>0.01</v>
      </c>
      <c r="O104" s="10">
        <v>0.01</v>
      </c>
      <c r="P104" s="10">
        <v>0.01</v>
      </c>
      <c r="Q104" s="10">
        <v>0.01</v>
      </c>
      <c r="R104" s="10">
        <v>0.01</v>
      </c>
      <c r="S104" s="10">
        <v>0.01</v>
      </c>
      <c r="T104" s="10">
        <v>0.01</v>
      </c>
    </row>
    <row r="105" spans="1:20">
      <c r="A105">
        <v>76</v>
      </c>
      <c r="B105">
        <f t="shared" si="3"/>
        <v>2096</v>
      </c>
      <c r="D105" s="5">
        <v>0.05</v>
      </c>
      <c r="E105" s="5">
        <v>0.05</v>
      </c>
      <c r="F105" s="5">
        <v>0.05</v>
      </c>
      <c r="G105" s="5">
        <v>0.05</v>
      </c>
      <c r="H105" s="5">
        <v>0.05</v>
      </c>
      <c r="I105" s="5">
        <v>0.05</v>
      </c>
      <c r="J105" s="5">
        <v>0.05</v>
      </c>
      <c r="K105" s="5">
        <v>0.05</v>
      </c>
      <c r="M105" s="10">
        <v>0.01</v>
      </c>
      <c r="N105" s="10">
        <v>0.01</v>
      </c>
      <c r="O105" s="10">
        <v>0.01</v>
      </c>
      <c r="P105" s="10">
        <v>0.01</v>
      </c>
      <c r="Q105" s="10">
        <v>0.01</v>
      </c>
      <c r="R105" s="10">
        <v>0.01</v>
      </c>
      <c r="S105" s="10">
        <v>0.01</v>
      </c>
      <c r="T105" s="10">
        <v>0.01</v>
      </c>
    </row>
    <row r="106" spans="1:20">
      <c r="A106">
        <v>77</v>
      </c>
      <c r="B106">
        <f t="shared" si="3"/>
        <v>2097</v>
      </c>
      <c r="D106" s="5">
        <v>0.05</v>
      </c>
      <c r="E106" s="5">
        <v>0.05</v>
      </c>
      <c r="F106" s="5">
        <v>0.05</v>
      </c>
      <c r="G106" s="5">
        <v>0.05</v>
      </c>
      <c r="H106" s="5">
        <v>0.05</v>
      </c>
      <c r="I106" s="5">
        <v>0.05</v>
      </c>
      <c r="J106" s="5">
        <v>0.05</v>
      </c>
      <c r="K106" s="5">
        <v>0.05</v>
      </c>
      <c r="M106" s="10">
        <v>0.01</v>
      </c>
      <c r="N106" s="10">
        <v>0.01</v>
      </c>
      <c r="O106" s="10">
        <v>0.01</v>
      </c>
      <c r="P106" s="10">
        <v>0.01</v>
      </c>
      <c r="Q106" s="10">
        <v>0.01</v>
      </c>
      <c r="R106" s="10">
        <v>0.01</v>
      </c>
      <c r="S106" s="10">
        <v>0.01</v>
      </c>
      <c r="T106" s="10">
        <v>0.01</v>
      </c>
    </row>
    <row r="107" spans="1:20">
      <c r="A107">
        <v>78</v>
      </c>
      <c r="B107">
        <f t="shared" si="3"/>
        <v>2098</v>
      </c>
      <c r="D107" s="5">
        <v>0.05</v>
      </c>
      <c r="E107" s="5">
        <v>0.05</v>
      </c>
      <c r="F107" s="5">
        <v>0.05</v>
      </c>
      <c r="G107" s="5">
        <v>0.05</v>
      </c>
      <c r="H107" s="5">
        <v>0.05</v>
      </c>
      <c r="I107" s="5">
        <v>0.05</v>
      </c>
      <c r="J107" s="5">
        <v>0.05</v>
      </c>
      <c r="K107" s="5">
        <v>0.05</v>
      </c>
      <c r="M107" s="10">
        <v>0.01</v>
      </c>
      <c r="N107" s="10">
        <v>0.01</v>
      </c>
      <c r="O107" s="10">
        <v>0.01</v>
      </c>
      <c r="P107" s="10">
        <v>0.01</v>
      </c>
      <c r="Q107" s="10">
        <v>0.01</v>
      </c>
      <c r="R107" s="10">
        <v>0.01</v>
      </c>
      <c r="S107" s="10">
        <v>0.01</v>
      </c>
      <c r="T107" s="10">
        <v>0.01</v>
      </c>
    </row>
    <row r="108" spans="1:20">
      <c r="A108">
        <v>79</v>
      </c>
      <c r="B108">
        <f t="shared" si="3"/>
        <v>2099</v>
      </c>
      <c r="D108" s="5">
        <v>0.05</v>
      </c>
      <c r="E108" s="5">
        <v>0.05</v>
      </c>
      <c r="F108" s="5">
        <v>0.05</v>
      </c>
      <c r="G108" s="5">
        <v>0.05</v>
      </c>
      <c r="H108" s="5">
        <v>0.05</v>
      </c>
      <c r="I108" s="5">
        <v>0.05</v>
      </c>
      <c r="J108" s="5">
        <v>0.05</v>
      </c>
      <c r="K108" s="5">
        <v>0.05</v>
      </c>
      <c r="M108" s="10">
        <v>0.01</v>
      </c>
      <c r="N108" s="10">
        <v>0.01</v>
      </c>
      <c r="O108" s="10">
        <v>0.01</v>
      </c>
      <c r="P108" s="10">
        <v>0.01</v>
      </c>
      <c r="Q108" s="10">
        <v>0.01</v>
      </c>
      <c r="R108" s="10">
        <v>0.01</v>
      </c>
      <c r="S108" s="10">
        <v>0.01</v>
      </c>
      <c r="T108" s="10">
        <v>0.01</v>
      </c>
    </row>
    <row r="109" spans="1:20">
      <c r="A109">
        <v>80</v>
      </c>
      <c r="B109">
        <f t="shared" si="3"/>
        <v>2100</v>
      </c>
      <c r="D109" s="5">
        <v>0.05</v>
      </c>
      <c r="E109" s="5">
        <v>0.05</v>
      </c>
      <c r="F109" s="5">
        <v>0.05</v>
      </c>
      <c r="G109" s="5">
        <v>0.05</v>
      </c>
      <c r="H109" s="5">
        <v>0.05</v>
      </c>
      <c r="I109" s="5">
        <v>0.05</v>
      </c>
      <c r="J109" s="5">
        <v>0.05</v>
      </c>
      <c r="K109" s="5">
        <v>0.05</v>
      </c>
      <c r="M109" s="10">
        <v>0.01</v>
      </c>
      <c r="N109" s="10">
        <v>0.01</v>
      </c>
      <c r="O109" s="10">
        <v>0.01</v>
      </c>
      <c r="P109" s="10">
        <v>0.01</v>
      </c>
      <c r="Q109" s="10">
        <v>0.01</v>
      </c>
      <c r="R109" s="10">
        <v>0.01</v>
      </c>
      <c r="S109" s="10">
        <v>0.01</v>
      </c>
      <c r="T109" s="10">
        <v>0.01</v>
      </c>
    </row>
    <row r="110" spans="1:20">
      <c r="A110">
        <v>81</v>
      </c>
      <c r="B110">
        <f t="shared" si="3"/>
        <v>2101</v>
      </c>
      <c r="D110" s="5">
        <v>0.05</v>
      </c>
      <c r="E110" s="5">
        <v>0.05</v>
      </c>
      <c r="F110" s="5">
        <v>0.05</v>
      </c>
      <c r="G110" s="5">
        <v>0.05</v>
      </c>
      <c r="H110" s="5">
        <v>0.05</v>
      </c>
      <c r="I110" s="5">
        <v>0.05</v>
      </c>
      <c r="J110" s="5">
        <v>0.05</v>
      </c>
      <c r="K110" s="5">
        <v>0.05</v>
      </c>
      <c r="M110" s="10">
        <v>0.01</v>
      </c>
      <c r="N110" s="10">
        <v>0.01</v>
      </c>
      <c r="O110" s="10">
        <v>0.01</v>
      </c>
      <c r="P110" s="10">
        <v>0.01</v>
      </c>
      <c r="Q110" s="10">
        <v>0.01</v>
      </c>
      <c r="R110" s="10">
        <v>0.01</v>
      </c>
      <c r="S110" s="10">
        <v>0.01</v>
      </c>
      <c r="T110" s="10">
        <v>0.01</v>
      </c>
    </row>
    <row r="111" spans="1:20">
      <c r="A111">
        <v>82</v>
      </c>
      <c r="B111">
        <f t="shared" si="3"/>
        <v>2102</v>
      </c>
      <c r="D111" s="5">
        <v>0.05</v>
      </c>
      <c r="E111" s="5">
        <v>0.05</v>
      </c>
      <c r="F111" s="5">
        <v>0.05</v>
      </c>
      <c r="G111" s="5">
        <v>0.05</v>
      </c>
      <c r="H111" s="5">
        <v>0.05</v>
      </c>
      <c r="I111" s="5">
        <v>0.05</v>
      </c>
      <c r="J111" s="5">
        <v>0.05</v>
      </c>
      <c r="K111" s="5">
        <v>0.05</v>
      </c>
      <c r="M111" s="10">
        <v>0.01</v>
      </c>
      <c r="N111" s="10">
        <v>0.01</v>
      </c>
      <c r="O111" s="10">
        <v>0.01</v>
      </c>
      <c r="P111" s="10">
        <v>0.01</v>
      </c>
      <c r="Q111" s="10">
        <v>0.01</v>
      </c>
      <c r="R111" s="10">
        <v>0.01</v>
      </c>
      <c r="S111" s="10">
        <v>0.01</v>
      </c>
      <c r="T111" s="10">
        <v>0.01</v>
      </c>
    </row>
    <row r="112" spans="1:20">
      <c r="A112">
        <v>83</v>
      </c>
      <c r="B112">
        <f t="shared" si="3"/>
        <v>2103</v>
      </c>
      <c r="D112" s="5">
        <v>0.05</v>
      </c>
      <c r="E112" s="5">
        <v>0.05</v>
      </c>
      <c r="F112" s="5">
        <v>0.05</v>
      </c>
      <c r="G112" s="5">
        <v>0.05</v>
      </c>
      <c r="H112" s="5">
        <v>0.05</v>
      </c>
      <c r="I112" s="5">
        <v>0.05</v>
      </c>
      <c r="J112" s="5">
        <v>0.05</v>
      </c>
      <c r="K112" s="5">
        <v>0.05</v>
      </c>
      <c r="M112" s="10">
        <v>0.01</v>
      </c>
      <c r="N112" s="10">
        <v>0.01</v>
      </c>
      <c r="O112" s="10">
        <v>0.01</v>
      </c>
      <c r="P112" s="10">
        <v>0.01</v>
      </c>
      <c r="Q112" s="10">
        <v>0.01</v>
      </c>
      <c r="R112" s="10">
        <v>0.01</v>
      </c>
      <c r="S112" s="10">
        <v>0.01</v>
      </c>
      <c r="T112" s="10">
        <v>0.01</v>
      </c>
    </row>
    <row r="113" spans="1:20">
      <c r="A113">
        <v>84</v>
      </c>
      <c r="B113">
        <f t="shared" si="3"/>
        <v>2104</v>
      </c>
      <c r="D113" s="5">
        <v>0.05</v>
      </c>
      <c r="E113" s="5">
        <v>0.05</v>
      </c>
      <c r="F113" s="5">
        <v>0.05</v>
      </c>
      <c r="G113" s="5">
        <v>0.05</v>
      </c>
      <c r="H113" s="5">
        <v>0.05</v>
      </c>
      <c r="I113" s="5">
        <v>0.05</v>
      </c>
      <c r="J113" s="5">
        <v>0.05</v>
      </c>
      <c r="K113" s="5">
        <v>0.05</v>
      </c>
      <c r="M113" s="10">
        <v>0.01</v>
      </c>
      <c r="N113" s="10">
        <v>0.01</v>
      </c>
      <c r="O113" s="10">
        <v>0.01</v>
      </c>
      <c r="P113" s="10">
        <v>0.01</v>
      </c>
      <c r="Q113" s="10">
        <v>0.01</v>
      </c>
      <c r="R113" s="10">
        <v>0.01</v>
      </c>
      <c r="S113" s="10">
        <v>0.01</v>
      </c>
      <c r="T113" s="10">
        <v>0.01</v>
      </c>
    </row>
    <row r="114" spans="1:20">
      <c r="A114">
        <v>85</v>
      </c>
      <c r="B114">
        <f t="shared" si="3"/>
        <v>2105</v>
      </c>
      <c r="D114" s="5">
        <v>0.05</v>
      </c>
      <c r="E114" s="5">
        <v>0.05</v>
      </c>
      <c r="F114" s="5">
        <v>0.05</v>
      </c>
      <c r="G114" s="5">
        <v>0.05</v>
      </c>
      <c r="H114" s="5">
        <v>0.05</v>
      </c>
      <c r="I114" s="5">
        <v>0.05</v>
      </c>
      <c r="J114" s="5">
        <v>0.05</v>
      </c>
      <c r="K114" s="5">
        <v>0.05</v>
      </c>
      <c r="M114" s="10">
        <v>0.01</v>
      </c>
      <c r="N114" s="10">
        <v>0.01</v>
      </c>
      <c r="O114" s="10">
        <v>0.01</v>
      </c>
      <c r="P114" s="10">
        <v>0.01</v>
      </c>
      <c r="Q114" s="10">
        <v>0.01</v>
      </c>
      <c r="R114" s="10">
        <v>0.01</v>
      </c>
      <c r="S114" s="10">
        <v>0.01</v>
      </c>
      <c r="T114" s="10">
        <v>0.01</v>
      </c>
    </row>
    <row r="115" spans="1:20">
      <c r="A115">
        <v>86</v>
      </c>
      <c r="B115">
        <f t="shared" si="3"/>
        <v>2106</v>
      </c>
      <c r="D115" s="5">
        <v>0.05</v>
      </c>
      <c r="E115" s="5">
        <v>0.05</v>
      </c>
      <c r="F115" s="5">
        <v>0.05</v>
      </c>
      <c r="G115" s="5">
        <v>0.05</v>
      </c>
      <c r="H115" s="5">
        <v>0.05</v>
      </c>
      <c r="I115" s="5">
        <v>0.05</v>
      </c>
      <c r="J115" s="5">
        <v>0.05</v>
      </c>
      <c r="K115" s="5">
        <v>0.05</v>
      </c>
      <c r="M115" s="10">
        <v>0.01</v>
      </c>
      <c r="N115" s="10">
        <v>0.01</v>
      </c>
      <c r="O115" s="10">
        <v>0.01</v>
      </c>
      <c r="P115" s="10">
        <v>0.01</v>
      </c>
      <c r="Q115" s="10">
        <v>0.01</v>
      </c>
      <c r="R115" s="10">
        <v>0.01</v>
      </c>
      <c r="S115" s="10">
        <v>0.01</v>
      </c>
      <c r="T115" s="10">
        <v>0.01</v>
      </c>
    </row>
    <row r="116" spans="1:20">
      <c r="A116">
        <v>87</v>
      </c>
      <c r="B116">
        <f t="shared" si="3"/>
        <v>2107</v>
      </c>
      <c r="D116" s="5">
        <v>0.05</v>
      </c>
      <c r="E116" s="5">
        <v>0.05</v>
      </c>
      <c r="F116" s="5">
        <v>0.05</v>
      </c>
      <c r="G116" s="5">
        <v>0.05</v>
      </c>
      <c r="H116" s="5">
        <v>0.05</v>
      </c>
      <c r="I116" s="5">
        <v>0.05</v>
      </c>
      <c r="J116" s="5">
        <v>0.05</v>
      </c>
      <c r="K116" s="5">
        <v>0.05</v>
      </c>
      <c r="M116" s="10">
        <v>0.01</v>
      </c>
      <c r="N116" s="10">
        <v>0.01</v>
      </c>
      <c r="O116" s="10">
        <v>0.01</v>
      </c>
      <c r="P116" s="10">
        <v>0.01</v>
      </c>
      <c r="Q116" s="10">
        <v>0.01</v>
      </c>
      <c r="R116" s="10">
        <v>0.01</v>
      </c>
      <c r="S116" s="10">
        <v>0.01</v>
      </c>
      <c r="T116" s="10">
        <v>0.01</v>
      </c>
    </row>
    <row r="117" spans="1:20">
      <c r="A117">
        <v>88</v>
      </c>
      <c r="B117">
        <f t="shared" si="3"/>
        <v>2108</v>
      </c>
      <c r="D117" s="5">
        <v>0.05</v>
      </c>
      <c r="E117" s="5">
        <v>0.05</v>
      </c>
      <c r="F117" s="5">
        <v>0.05</v>
      </c>
      <c r="G117" s="5">
        <v>0.05</v>
      </c>
      <c r="H117" s="5">
        <v>0.05</v>
      </c>
      <c r="I117" s="5">
        <v>0.05</v>
      </c>
      <c r="J117" s="5">
        <v>0.05</v>
      </c>
      <c r="K117" s="5">
        <v>0.05</v>
      </c>
      <c r="M117" s="10">
        <v>0.01</v>
      </c>
      <c r="N117" s="10">
        <v>0.01</v>
      </c>
      <c r="O117" s="10">
        <v>0.01</v>
      </c>
      <c r="P117" s="10">
        <v>0.01</v>
      </c>
      <c r="Q117" s="10">
        <v>0.01</v>
      </c>
      <c r="R117" s="10">
        <v>0.01</v>
      </c>
      <c r="S117" s="10">
        <v>0.01</v>
      </c>
      <c r="T117" s="10">
        <v>0.01</v>
      </c>
    </row>
    <row r="118" spans="1:20">
      <c r="A118">
        <v>89</v>
      </c>
      <c r="B118">
        <f t="shared" si="3"/>
        <v>2109</v>
      </c>
      <c r="D118" s="5">
        <v>0.05</v>
      </c>
      <c r="E118" s="5">
        <v>0.05</v>
      </c>
      <c r="F118" s="5">
        <v>0.05</v>
      </c>
      <c r="G118" s="5">
        <v>0.05</v>
      </c>
      <c r="H118" s="5">
        <v>0.05</v>
      </c>
      <c r="I118" s="5">
        <v>0.05</v>
      </c>
      <c r="J118" s="5">
        <v>0.05</v>
      </c>
      <c r="K118" s="5">
        <v>0.05</v>
      </c>
      <c r="M118" s="10">
        <v>0.01</v>
      </c>
      <c r="N118" s="10">
        <v>0.01</v>
      </c>
      <c r="O118" s="10">
        <v>0.01</v>
      </c>
      <c r="P118" s="10">
        <v>0.01</v>
      </c>
      <c r="Q118" s="10">
        <v>0.01</v>
      </c>
      <c r="R118" s="10">
        <v>0.01</v>
      </c>
      <c r="S118" s="10">
        <v>0.01</v>
      </c>
      <c r="T118" s="10">
        <v>0.01</v>
      </c>
    </row>
    <row r="119" spans="1:20">
      <c r="A119">
        <v>90</v>
      </c>
      <c r="B119">
        <f t="shared" si="3"/>
        <v>2110</v>
      </c>
      <c r="D119" s="5">
        <v>0.05</v>
      </c>
      <c r="E119" s="5">
        <v>0.05</v>
      </c>
      <c r="F119" s="5">
        <v>0.05</v>
      </c>
      <c r="G119" s="5">
        <v>0.05</v>
      </c>
      <c r="H119" s="5">
        <v>0.05</v>
      </c>
      <c r="I119" s="5">
        <v>0.05</v>
      </c>
      <c r="J119" s="5">
        <v>0.05</v>
      </c>
      <c r="K119" s="5">
        <v>0.05</v>
      </c>
      <c r="M119" s="10">
        <v>0.01</v>
      </c>
      <c r="N119" s="10">
        <v>0.01</v>
      </c>
      <c r="O119" s="10">
        <v>0.01</v>
      </c>
      <c r="P119" s="10">
        <v>0.01</v>
      </c>
      <c r="Q119" s="10">
        <v>0.01</v>
      </c>
      <c r="R119" s="10">
        <v>0.01</v>
      </c>
      <c r="S119" s="10">
        <v>0.01</v>
      </c>
      <c r="T119" s="10">
        <v>0.01</v>
      </c>
    </row>
    <row r="120" spans="1:20">
      <c r="A120">
        <v>91</v>
      </c>
      <c r="B120">
        <f t="shared" si="3"/>
        <v>2111</v>
      </c>
      <c r="D120" s="5">
        <v>0.05</v>
      </c>
      <c r="E120" s="5">
        <v>0.05</v>
      </c>
      <c r="F120" s="5">
        <v>0.05</v>
      </c>
      <c r="G120" s="5">
        <v>0.05</v>
      </c>
      <c r="H120" s="5">
        <v>0.05</v>
      </c>
      <c r="I120" s="5">
        <v>0.05</v>
      </c>
      <c r="J120" s="5">
        <v>0.05</v>
      </c>
      <c r="K120" s="5">
        <v>0.05</v>
      </c>
      <c r="M120" s="10">
        <v>0.01</v>
      </c>
      <c r="N120" s="10">
        <v>0.01</v>
      </c>
      <c r="O120" s="10">
        <v>0.01</v>
      </c>
      <c r="P120" s="10">
        <v>0.01</v>
      </c>
      <c r="Q120" s="10">
        <v>0.01</v>
      </c>
      <c r="R120" s="10">
        <v>0.01</v>
      </c>
      <c r="S120" s="10">
        <v>0.01</v>
      </c>
      <c r="T120" s="10">
        <v>0.01</v>
      </c>
    </row>
    <row r="121" spans="1:20">
      <c r="A121">
        <v>92</v>
      </c>
      <c r="B121">
        <f t="shared" si="3"/>
        <v>2112</v>
      </c>
      <c r="D121" s="5">
        <v>0.05</v>
      </c>
      <c r="E121" s="5">
        <v>0.05</v>
      </c>
      <c r="F121" s="5">
        <v>0.05</v>
      </c>
      <c r="G121" s="5">
        <v>0.05</v>
      </c>
      <c r="H121" s="5">
        <v>0.05</v>
      </c>
      <c r="I121" s="5">
        <v>0.05</v>
      </c>
      <c r="J121" s="5">
        <v>0.05</v>
      </c>
      <c r="K121" s="5">
        <v>0.05</v>
      </c>
      <c r="M121" s="10">
        <v>0.01</v>
      </c>
      <c r="N121" s="10">
        <v>0.01</v>
      </c>
      <c r="O121" s="10">
        <v>0.01</v>
      </c>
      <c r="P121" s="10">
        <v>0.01</v>
      </c>
      <c r="Q121" s="10">
        <v>0.01</v>
      </c>
      <c r="R121" s="10">
        <v>0.01</v>
      </c>
      <c r="S121" s="10">
        <v>0.01</v>
      </c>
      <c r="T121" s="10">
        <v>0.01</v>
      </c>
    </row>
    <row r="122" spans="1:20">
      <c r="A122">
        <v>93</v>
      </c>
      <c r="B122">
        <f t="shared" si="3"/>
        <v>2113</v>
      </c>
      <c r="D122" s="5">
        <v>0.05</v>
      </c>
      <c r="E122" s="5">
        <v>0.05</v>
      </c>
      <c r="F122" s="5">
        <v>0.05</v>
      </c>
      <c r="G122" s="5">
        <v>0.05</v>
      </c>
      <c r="H122" s="5">
        <v>0.05</v>
      </c>
      <c r="I122" s="5">
        <v>0.05</v>
      </c>
      <c r="J122" s="5">
        <v>0.05</v>
      </c>
      <c r="K122" s="5">
        <v>0.05</v>
      </c>
      <c r="M122" s="10">
        <v>0.01</v>
      </c>
      <c r="N122" s="10">
        <v>0.01</v>
      </c>
      <c r="O122" s="10">
        <v>0.01</v>
      </c>
      <c r="P122" s="10">
        <v>0.01</v>
      </c>
      <c r="Q122" s="10">
        <v>0.01</v>
      </c>
      <c r="R122" s="10">
        <v>0.01</v>
      </c>
      <c r="S122" s="10">
        <v>0.01</v>
      </c>
      <c r="T122" s="10">
        <v>0.01</v>
      </c>
    </row>
    <row r="123" spans="1:20">
      <c r="A123">
        <v>94</v>
      </c>
      <c r="B123">
        <f t="shared" si="3"/>
        <v>2114</v>
      </c>
      <c r="D123" s="5">
        <v>0.05</v>
      </c>
      <c r="E123" s="5">
        <v>0.05</v>
      </c>
      <c r="F123" s="5">
        <v>0.05</v>
      </c>
      <c r="G123" s="5">
        <v>0.05</v>
      </c>
      <c r="H123" s="5">
        <v>0.05</v>
      </c>
      <c r="I123" s="5">
        <v>0.05</v>
      </c>
      <c r="J123" s="5">
        <v>0.05</v>
      </c>
      <c r="K123" s="5">
        <v>0.05</v>
      </c>
      <c r="M123" s="10">
        <v>0.01</v>
      </c>
      <c r="N123" s="10">
        <v>0.01</v>
      </c>
      <c r="O123" s="10">
        <v>0.01</v>
      </c>
      <c r="P123" s="10">
        <v>0.01</v>
      </c>
      <c r="Q123" s="10">
        <v>0.01</v>
      </c>
      <c r="R123" s="10">
        <v>0.01</v>
      </c>
      <c r="S123" s="10">
        <v>0.01</v>
      </c>
      <c r="T123" s="10">
        <v>0.01</v>
      </c>
    </row>
    <row r="124" spans="1:20">
      <c r="A124">
        <v>95</v>
      </c>
      <c r="B124">
        <f t="shared" si="3"/>
        <v>2115</v>
      </c>
      <c r="D124" s="5">
        <v>0.05</v>
      </c>
      <c r="E124" s="5">
        <v>0.05</v>
      </c>
      <c r="F124" s="5">
        <v>0.05</v>
      </c>
      <c r="G124" s="5">
        <v>0.05</v>
      </c>
      <c r="H124" s="5">
        <v>0.05</v>
      </c>
      <c r="I124" s="5">
        <v>0.05</v>
      </c>
      <c r="J124" s="5">
        <v>0.05</v>
      </c>
      <c r="K124" s="5">
        <v>0.05</v>
      </c>
      <c r="M124" s="10">
        <v>0.01</v>
      </c>
      <c r="N124" s="10">
        <v>0.01</v>
      </c>
      <c r="O124" s="10">
        <v>0.01</v>
      </c>
      <c r="P124" s="10">
        <v>0.01</v>
      </c>
      <c r="Q124" s="10">
        <v>0.01</v>
      </c>
      <c r="R124" s="10">
        <v>0.01</v>
      </c>
      <c r="S124" s="10">
        <v>0.01</v>
      </c>
      <c r="T124" s="10">
        <v>0.01</v>
      </c>
    </row>
    <row r="125" spans="1:20">
      <c r="A125">
        <v>96</v>
      </c>
      <c r="B125">
        <f t="shared" si="3"/>
        <v>2116</v>
      </c>
      <c r="D125" s="5">
        <v>0.05</v>
      </c>
      <c r="E125" s="5">
        <v>0.05</v>
      </c>
      <c r="F125" s="5">
        <v>0.05</v>
      </c>
      <c r="G125" s="5">
        <v>0.05</v>
      </c>
      <c r="H125" s="5">
        <v>0.05</v>
      </c>
      <c r="I125" s="5">
        <v>0.05</v>
      </c>
      <c r="J125" s="5">
        <v>0.05</v>
      </c>
      <c r="K125" s="5">
        <v>0.05</v>
      </c>
      <c r="M125" s="10">
        <v>0.01</v>
      </c>
      <c r="N125" s="10">
        <v>0.01</v>
      </c>
      <c r="O125" s="10">
        <v>0.01</v>
      </c>
      <c r="P125" s="10">
        <v>0.01</v>
      </c>
      <c r="Q125" s="10">
        <v>0.01</v>
      </c>
      <c r="R125" s="10">
        <v>0.01</v>
      </c>
      <c r="S125" s="10">
        <v>0.01</v>
      </c>
      <c r="T125" s="10">
        <v>0.01</v>
      </c>
    </row>
    <row r="126" spans="1:20">
      <c r="A126">
        <v>97</v>
      </c>
      <c r="B126">
        <f t="shared" si="3"/>
        <v>2117</v>
      </c>
      <c r="D126" s="5">
        <v>0.05</v>
      </c>
      <c r="E126" s="5">
        <v>0.05</v>
      </c>
      <c r="F126" s="5">
        <v>0.05</v>
      </c>
      <c r="G126" s="5">
        <v>0.05</v>
      </c>
      <c r="H126" s="5">
        <v>0.05</v>
      </c>
      <c r="I126" s="5">
        <v>0.05</v>
      </c>
      <c r="J126" s="5">
        <v>0.05</v>
      </c>
      <c r="K126" s="5">
        <v>0.05</v>
      </c>
      <c r="M126" s="10">
        <v>0.01</v>
      </c>
      <c r="N126" s="10">
        <v>0.01</v>
      </c>
      <c r="O126" s="10">
        <v>0.01</v>
      </c>
      <c r="P126" s="10">
        <v>0.01</v>
      </c>
      <c r="Q126" s="10">
        <v>0.01</v>
      </c>
      <c r="R126" s="10">
        <v>0.01</v>
      </c>
      <c r="S126" s="10">
        <v>0.01</v>
      </c>
      <c r="T126" s="10">
        <v>0.01</v>
      </c>
    </row>
    <row r="127" spans="1:20">
      <c r="A127">
        <v>98</v>
      </c>
      <c r="B127">
        <f t="shared" si="3"/>
        <v>2118</v>
      </c>
      <c r="D127" s="5">
        <v>0.05</v>
      </c>
      <c r="E127" s="5">
        <v>0.05</v>
      </c>
      <c r="F127" s="5">
        <v>0.05</v>
      </c>
      <c r="G127" s="5">
        <v>0.05</v>
      </c>
      <c r="H127" s="5">
        <v>0.05</v>
      </c>
      <c r="I127" s="5">
        <v>0.05</v>
      </c>
      <c r="J127" s="5">
        <v>0.05</v>
      </c>
      <c r="K127" s="5">
        <v>0.05</v>
      </c>
      <c r="M127" s="10">
        <v>0.01</v>
      </c>
      <c r="N127" s="10">
        <v>0.01</v>
      </c>
      <c r="O127" s="10">
        <v>0.01</v>
      </c>
      <c r="P127" s="10">
        <v>0.01</v>
      </c>
      <c r="Q127" s="10">
        <v>0.01</v>
      </c>
      <c r="R127" s="10">
        <v>0.01</v>
      </c>
      <c r="S127" s="10">
        <v>0.01</v>
      </c>
      <c r="T127" s="10">
        <v>0.01</v>
      </c>
    </row>
    <row r="128" spans="1:20">
      <c r="A128">
        <v>99</v>
      </c>
      <c r="B128">
        <f t="shared" si="3"/>
        <v>2119</v>
      </c>
      <c r="D128" s="5">
        <v>0.05</v>
      </c>
      <c r="E128" s="5">
        <v>0.05</v>
      </c>
      <c r="F128" s="5">
        <v>0.05</v>
      </c>
      <c r="G128" s="5">
        <v>0.05</v>
      </c>
      <c r="H128" s="5">
        <v>0.05</v>
      </c>
      <c r="I128" s="5">
        <v>0.05</v>
      </c>
      <c r="J128" s="5">
        <v>0.05</v>
      </c>
      <c r="K128" s="5">
        <v>0.05</v>
      </c>
      <c r="M128" s="10">
        <v>0.01</v>
      </c>
      <c r="N128" s="10">
        <v>0.01</v>
      </c>
      <c r="O128" s="10">
        <v>0.01</v>
      </c>
      <c r="P128" s="10">
        <v>0.01</v>
      </c>
      <c r="Q128" s="10">
        <v>0.01</v>
      </c>
      <c r="R128" s="10">
        <v>0.01</v>
      </c>
      <c r="S128" s="10">
        <v>0.01</v>
      </c>
      <c r="T128" s="10">
        <v>0.01</v>
      </c>
    </row>
    <row r="129" spans="1:20">
      <c r="A129">
        <v>100</v>
      </c>
      <c r="B129">
        <f t="shared" si="3"/>
        <v>2120</v>
      </c>
      <c r="D129" s="5">
        <v>0.05</v>
      </c>
      <c r="E129" s="5">
        <v>0.05</v>
      </c>
      <c r="F129" s="5">
        <v>0.05</v>
      </c>
      <c r="G129" s="5">
        <v>0.05</v>
      </c>
      <c r="H129" s="5">
        <v>0.05</v>
      </c>
      <c r="I129" s="5">
        <v>0.05</v>
      </c>
      <c r="J129" s="5">
        <v>0.05</v>
      </c>
      <c r="K129" s="5">
        <v>0.05</v>
      </c>
      <c r="M129" s="10">
        <v>0.01</v>
      </c>
      <c r="N129" s="10">
        <v>0.01</v>
      </c>
      <c r="O129" s="10">
        <v>0.01</v>
      </c>
      <c r="P129" s="10">
        <v>0.01</v>
      </c>
      <c r="Q129" s="10">
        <v>0.01</v>
      </c>
      <c r="R129" s="10">
        <v>0.01</v>
      </c>
      <c r="S129" s="10">
        <v>0.01</v>
      </c>
      <c r="T129" s="10">
        <v>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030D-4FFE-5843-B0CE-DC501D0CC78B}">
  <dimension ref="A6:J114"/>
  <sheetViews>
    <sheetView topLeftCell="A6" workbookViewId="0">
      <selection activeCell="C16" sqref="C16:J16"/>
    </sheetView>
    <sheetView workbookViewId="1"/>
  </sheetViews>
  <sheetFormatPr defaultColWidth="11" defaultRowHeight="15.95"/>
  <cols>
    <col min="2" max="2" width="24.5" customWidth="1"/>
    <col min="3" max="3" width="14.625" bestFit="1" customWidth="1"/>
    <col min="4" max="4" width="16.625" customWidth="1"/>
    <col min="5" max="5" width="15" customWidth="1"/>
    <col min="6" max="6" width="14.5" customWidth="1"/>
    <col min="7" max="7" width="14.875" customWidth="1"/>
    <col min="8" max="8" width="15.875" customWidth="1"/>
    <col min="9" max="9" width="14.5" customWidth="1"/>
    <col min="10" max="10" width="18" customWidth="1"/>
  </cols>
  <sheetData>
    <row r="6" spans="1:10">
      <c r="B6" s="24" t="s">
        <v>204</v>
      </c>
      <c r="C6" s="24" t="str">
        <f>LCOE!D3</f>
        <v>LCOE 1</v>
      </c>
      <c r="D6" s="24" t="str">
        <f>LCOE!E3</f>
        <v>LCOE 2</v>
      </c>
      <c r="E6" s="24" t="str">
        <f>LCOE!F3</f>
        <v>LCOE 3</v>
      </c>
      <c r="F6" s="24" t="str">
        <f>LCOE!G3</f>
        <v>LCOE 4</v>
      </c>
      <c r="G6" s="24" t="str">
        <f>LCOE!H3</f>
        <v>LCOE 5</v>
      </c>
      <c r="H6" s="24" t="str">
        <f>LCOE!I3</f>
        <v>LCOE 6</v>
      </c>
      <c r="I6" s="24" t="str">
        <f>LCOE!J3</f>
        <v>LCOE 7</v>
      </c>
      <c r="J6" s="24" t="str">
        <f>LCOE!K3</f>
        <v>LCOE 8</v>
      </c>
    </row>
    <row r="7" spans="1:10">
      <c r="B7" s="24" t="s">
        <v>17</v>
      </c>
      <c r="C7" s="24" t="str">
        <f>LCOE!D5</f>
        <v>CCGT in Belgium (2020)</v>
      </c>
      <c r="D7" s="24" t="str">
        <f>LCOE!E5</f>
        <v>CCGT in Belgium (2020)</v>
      </c>
      <c r="E7" s="24" t="str">
        <f>LCOE!F5</f>
        <v>CCGT in Belgium (2020)</v>
      </c>
      <c r="F7" s="24" t="str">
        <f>LCOE!G5</f>
        <v>CCGT in Belgium (2020)</v>
      </c>
      <c r="G7" s="24" t="str">
        <f>LCOE!H5</f>
        <v>CCGT in Belgium (2020)</v>
      </c>
      <c r="H7" s="24" t="str">
        <f>LCOE!I5</f>
        <v>CCGT in Belgium (2020)</v>
      </c>
      <c r="I7" s="24" t="str">
        <f>LCOE!J5</f>
        <v>CCGT in Belgium (2020)</v>
      </c>
      <c r="J7" s="24" t="str">
        <f>LCOE!K5</f>
        <v>CCGT in Belgium (2020)</v>
      </c>
    </row>
    <row r="8" spans="1:10">
      <c r="B8" t="str">
        <f>LCOE!C6</f>
        <v>Currency used for LCOE calculations</v>
      </c>
    </row>
    <row r="10" spans="1:10">
      <c r="A10" t="s">
        <v>205</v>
      </c>
    </row>
    <row r="11" spans="1:10">
      <c r="B11" t="str">
        <f>LCOE!C13</f>
        <v>Construction cost per kW</v>
      </c>
      <c r="C11">
        <f>LCOE!D13</f>
        <v>1009</v>
      </c>
      <c r="D11">
        <f>LCOE!E13</f>
        <v>1009</v>
      </c>
      <c r="E11">
        <f>LCOE!F13</f>
        <v>1009</v>
      </c>
      <c r="F11">
        <f>LCOE!G13</f>
        <v>1009</v>
      </c>
      <c r="G11">
        <f>LCOE!H13</f>
        <v>1009</v>
      </c>
      <c r="H11">
        <f>LCOE!I13</f>
        <v>1009</v>
      </c>
      <c r="I11">
        <f>LCOE!J13</f>
        <v>1009</v>
      </c>
      <c r="J11">
        <f>LCOE!K13</f>
        <v>1009</v>
      </c>
    </row>
    <row r="12" spans="1:10">
      <c r="B12" t="str">
        <f>LCOE!C14</f>
        <v>Maximum electric power, in MW_e</v>
      </c>
      <c r="C12">
        <f>LCOE!D14</f>
        <v>500</v>
      </c>
      <c r="D12">
        <f>LCOE!E14</f>
        <v>500</v>
      </c>
      <c r="E12">
        <f>LCOE!F14</f>
        <v>500</v>
      </c>
      <c r="F12">
        <f>LCOE!G14</f>
        <v>500</v>
      </c>
      <c r="G12">
        <f>LCOE!H14</f>
        <v>500</v>
      </c>
      <c r="H12">
        <f>LCOE!I14</f>
        <v>500</v>
      </c>
      <c r="I12">
        <f>LCOE!J14</f>
        <v>500</v>
      </c>
      <c r="J12">
        <f>LCOE!K14</f>
        <v>500</v>
      </c>
    </row>
    <row r="13" spans="1:10">
      <c r="B13" t="str">
        <f>LCOE!C15</f>
        <v>Maximum heat power, in MW_h</v>
      </c>
      <c r="C13">
        <f>LCOE!D15</f>
        <v>0</v>
      </c>
      <c r="D13">
        <f>LCOE!E15</f>
        <v>0</v>
      </c>
      <c r="E13">
        <f>LCOE!F15</f>
        <v>0</v>
      </c>
      <c r="F13">
        <f>LCOE!G15</f>
        <v>0</v>
      </c>
      <c r="G13">
        <f>LCOE!H15</f>
        <v>0</v>
      </c>
      <c r="H13">
        <f>LCOE!I15</f>
        <v>0</v>
      </c>
      <c r="I13">
        <f>LCOE!J15</f>
        <v>0</v>
      </c>
      <c r="J13">
        <f>LCOE!K15</f>
        <v>0</v>
      </c>
    </row>
    <row r="14" spans="1:10">
      <c r="B14" s="40" t="str">
        <f>LCOE!C52</f>
        <v>Heat credit (for CHP plants)</v>
      </c>
      <c r="C14" s="18">
        <f>LCOE!D52</f>
        <v>0</v>
      </c>
      <c r="D14" s="18">
        <f>LCOE!E52</f>
        <v>0</v>
      </c>
      <c r="E14" s="18">
        <f>LCOE!F52</f>
        <v>0</v>
      </c>
      <c r="F14" s="18">
        <f>LCOE!G52</f>
        <v>0</v>
      </c>
      <c r="G14" s="18">
        <f>LCOE!H52</f>
        <v>0</v>
      </c>
      <c r="H14" s="18">
        <f>LCOE!I52</f>
        <v>0</v>
      </c>
      <c r="I14" s="18">
        <f>LCOE!J52</f>
        <v>0</v>
      </c>
      <c r="J14" s="18">
        <f>LCOE!K52</f>
        <v>0</v>
      </c>
    </row>
    <row r="15" spans="1:10">
      <c r="C15" t="str">
        <f>LCOE!D45</f>
        <v>USD/MWh</v>
      </c>
      <c r="D15" t="str">
        <f>LCOE!E45</f>
        <v>USD/MWh</v>
      </c>
      <c r="E15" t="str">
        <f>LCOE!F45</f>
        <v>USD/MWh</v>
      </c>
      <c r="F15" t="str">
        <f>LCOE!G45</f>
        <v>USD/MWh</v>
      </c>
      <c r="G15" t="str">
        <f>LCOE!H45</f>
        <v>USD/MWh</v>
      </c>
      <c r="H15" t="str">
        <f>LCOE!I45</f>
        <v>USD/MWh</v>
      </c>
      <c r="I15" t="str">
        <f>LCOE!J45</f>
        <v>USD/MWh</v>
      </c>
      <c r="J15" t="str">
        <f>LCOE!K45</f>
        <v>USD/MWh</v>
      </c>
    </row>
    <row r="16" spans="1:10">
      <c r="B16" s="24" t="str">
        <f>LCOE!C46</f>
        <v>LCOE (LCOHeat for pure heat plants)</v>
      </c>
      <c r="C16" s="25">
        <f>LCOE!D46</f>
        <v>71.201772135737173</v>
      </c>
      <c r="D16" s="25">
        <f>LCOE!E46</f>
        <v>64.075543409183908</v>
      </c>
      <c r="E16" s="25">
        <f>LCOE!F46</f>
        <v>66.035232384376613</v>
      </c>
      <c r="F16" s="25">
        <f>LCOE!G46</f>
        <v>68.258027098634017</v>
      </c>
      <c r="G16" s="25">
        <f>LCOE!H46</f>
        <v>69.460823747961442</v>
      </c>
      <c r="H16" s="25">
        <f>LCOE!I46</f>
        <v>72.022032500546203</v>
      </c>
      <c r="I16" s="25">
        <f>LCOE!J46</f>
        <v>74.762467256960974</v>
      </c>
      <c r="J16" s="25">
        <f>LCOE!K46</f>
        <v>77.652830840881094</v>
      </c>
    </row>
    <row r="17" spans="1:10">
      <c r="B17" s="36" t="str">
        <f>LCOE!C47</f>
        <v>Of which: Capital costs</v>
      </c>
      <c r="C17" s="23">
        <f>LCOE!D47</f>
        <v>13.938494306051609</v>
      </c>
      <c r="D17" s="23">
        <f>LCOE!E47</f>
        <v>6.7525503993352283</v>
      </c>
      <c r="E17" s="23">
        <f>LCOE!F47</f>
        <v>8.6657769002083462</v>
      </c>
      <c r="F17" s="23">
        <f>LCOE!G47</f>
        <v>10.838019234979699</v>
      </c>
      <c r="G17" s="23">
        <f>LCOE!H47</f>
        <v>12.014363574969575</v>
      </c>
      <c r="H17" s="23">
        <f>LCOE!I47</f>
        <v>14.520992375661274</v>
      </c>
      <c r="I17" s="23">
        <f>LCOE!J47</f>
        <v>17.205401773731566</v>
      </c>
      <c r="J17" s="23">
        <f>LCOE!K47</f>
        <v>20.039072392761934</v>
      </c>
    </row>
    <row r="18" spans="1:10">
      <c r="B18" s="36" t="str">
        <f>LCOE!C48</f>
        <v>O&amp;M</v>
      </c>
      <c r="C18" s="23">
        <f>LCOE!D48</f>
        <v>5.1907778296855565</v>
      </c>
      <c r="D18" s="23">
        <f>LCOE!E48</f>
        <v>5.2504930098486851</v>
      </c>
      <c r="E18" s="23">
        <f>LCOE!F48</f>
        <v>5.2969554841682376</v>
      </c>
      <c r="F18" s="23">
        <f>LCOE!G48</f>
        <v>5.3475078636543021</v>
      </c>
      <c r="G18" s="23">
        <f>LCOE!H48</f>
        <v>5.3739601729918123</v>
      </c>
      <c r="H18" s="23">
        <f>LCOE!I48</f>
        <v>5.4285401248848979</v>
      </c>
      <c r="I18" s="23">
        <f>LCOE!J48</f>
        <v>5.4845654832294244</v>
      </c>
      <c r="J18" s="23">
        <f>LCOE!K48</f>
        <v>5.5412584481191169</v>
      </c>
    </row>
    <row r="19" spans="1:10">
      <c r="B19" s="36" t="str">
        <f>LCOE!C49</f>
        <v>Fuel</v>
      </c>
      <c r="C19" s="23">
        <f>LCOE!D49</f>
        <v>42.66</v>
      </c>
      <c r="D19" s="23">
        <f>LCOE!E49</f>
        <v>42.659999999999975</v>
      </c>
      <c r="E19" s="23">
        <f>LCOE!F49</f>
        <v>42.660000000000018</v>
      </c>
      <c r="F19" s="23">
        <f>LCOE!G49</f>
        <v>42.660000000000004</v>
      </c>
      <c r="G19" s="23">
        <f>LCOE!H49</f>
        <v>42.660000000000004</v>
      </c>
      <c r="H19" s="23">
        <f>LCOE!I49</f>
        <v>42.660000000000032</v>
      </c>
      <c r="I19" s="23">
        <f>LCOE!J49</f>
        <v>42.660000000000011</v>
      </c>
      <c r="J19" s="23">
        <f>LCOE!K49</f>
        <v>42.660000000000018</v>
      </c>
    </row>
    <row r="20" spans="1:10">
      <c r="B20" s="36" t="str">
        <f>LCOE!C50</f>
        <v>Taxes and fees</v>
      </c>
      <c r="C20" s="23">
        <f>LCOE!D50</f>
        <v>0</v>
      </c>
      <c r="D20" s="23">
        <f>LCOE!E50</f>
        <v>0</v>
      </c>
      <c r="E20" s="23">
        <f>LCOE!F50</f>
        <v>0</v>
      </c>
      <c r="F20" s="23">
        <f>LCOE!G50</f>
        <v>0</v>
      </c>
      <c r="G20" s="23">
        <f>LCOE!H50</f>
        <v>0</v>
      </c>
      <c r="H20" s="23">
        <f>LCOE!I50</f>
        <v>0</v>
      </c>
      <c r="I20" s="23">
        <f>LCOE!J50</f>
        <v>0</v>
      </c>
      <c r="J20" s="23">
        <f>LCOE!K50</f>
        <v>0</v>
      </c>
    </row>
    <row r="21" spans="1:10">
      <c r="B21" s="36" t="str">
        <f>LCOE!C51</f>
        <v>Emission costs</v>
      </c>
      <c r="C21" s="23">
        <f>LCOE!D51</f>
        <v>9.4124999999999996</v>
      </c>
      <c r="D21" s="23">
        <f>LCOE!E51</f>
        <v>9.4124999999999979</v>
      </c>
      <c r="E21" s="23">
        <f>LCOE!F51</f>
        <v>9.4125000000000032</v>
      </c>
      <c r="F21" s="23">
        <f>LCOE!G51</f>
        <v>9.4125000000000014</v>
      </c>
      <c r="G21" s="23">
        <f>LCOE!H51</f>
        <v>9.4124999999999979</v>
      </c>
      <c r="H21" s="23">
        <f>LCOE!I51</f>
        <v>9.4125000000000068</v>
      </c>
      <c r="I21" s="23">
        <f>LCOE!J51</f>
        <v>9.4124999999999979</v>
      </c>
      <c r="J21" s="23">
        <f>LCOE!K51</f>
        <v>9.4125000000000032</v>
      </c>
    </row>
    <row r="22" spans="1:10">
      <c r="B22" s="36" t="str">
        <f>LCOE!C52</f>
        <v>Heat credit (for CHP plants)</v>
      </c>
      <c r="C22" s="36">
        <f>LCOE!D52</f>
        <v>0</v>
      </c>
      <c r="D22" s="36">
        <f>LCOE!E52</f>
        <v>0</v>
      </c>
      <c r="E22" s="36">
        <f>LCOE!F52</f>
        <v>0</v>
      </c>
      <c r="F22" s="36">
        <f>LCOE!G52</f>
        <v>0</v>
      </c>
      <c r="G22" s="36">
        <f>LCOE!H52</f>
        <v>0</v>
      </c>
      <c r="H22" s="36">
        <f>LCOE!I52</f>
        <v>0</v>
      </c>
      <c r="I22" s="36">
        <f>LCOE!J52</f>
        <v>0</v>
      </c>
      <c r="J22" s="36">
        <f>LCOE!K52</f>
        <v>0</v>
      </c>
    </row>
    <row r="23" spans="1:10">
      <c r="B23" s="36" t="str">
        <f>LCOE!C53</f>
        <v>WACC average over lifetime</v>
      </c>
      <c r="C23" s="41">
        <f>LCOE!D53</f>
        <v>0</v>
      </c>
      <c r="D23" s="41">
        <f>LCOE!E53</f>
        <v>2.999999999999995E-2</v>
      </c>
      <c r="E23" s="41">
        <f>LCOE!F53</f>
        <v>4.9999999999999899E-2</v>
      </c>
      <c r="F23" s="41">
        <f>LCOE!G53</f>
        <v>7.000000000000009E-2</v>
      </c>
      <c r="G23" s="41">
        <f>LCOE!H53</f>
        <v>8.0000000000000057E-2</v>
      </c>
      <c r="H23" s="41">
        <f>LCOE!I53</f>
        <v>9.9999999999999797E-2</v>
      </c>
      <c r="I23" s="41">
        <f>LCOE!J53</f>
        <v>0.1199999999999998</v>
      </c>
      <c r="J23" s="41">
        <f>LCOE!K53</f>
        <v>0.14000000000000018</v>
      </c>
    </row>
    <row r="24" spans="1:10">
      <c r="B24" s="36" t="str">
        <f>LCOE!C54</f>
        <v>Plant type</v>
      </c>
      <c r="C24" s="36" t="str">
        <f>LCOE!D54</f>
        <v>Electric only</v>
      </c>
      <c r="D24" s="36" t="str">
        <f>LCOE!E54</f>
        <v>Electric only</v>
      </c>
      <c r="E24" s="36" t="str">
        <f>LCOE!F54</f>
        <v>Electric only</v>
      </c>
      <c r="F24" s="36" t="str">
        <f>LCOE!G54</f>
        <v>Electric only</v>
      </c>
      <c r="G24" s="36" t="str">
        <f>LCOE!H54</f>
        <v>Electric only</v>
      </c>
      <c r="H24" s="36" t="str">
        <f>LCOE!I54</f>
        <v>Electric only</v>
      </c>
      <c r="I24" s="36" t="str">
        <f>LCOE!J54</f>
        <v>Electric only</v>
      </c>
      <c r="J24" s="36" t="str">
        <f>LCOE!K54</f>
        <v>Electric only</v>
      </c>
    </row>
    <row r="26" spans="1:10">
      <c r="A26" t="s">
        <v>206</v>
      </c>
    </row>
    <row r="28" spans="1:10">
      <c r="B28" t="str">
        <f>'Learning curve calcs'!B21</f>
        <v>Case</v>
      </c>
      <c r="C28" t="str">
        <f>'Learning curve calcs'!C21</f>
        <v>LC Case 1</v>
      </c>
      <c r="D28" t="str">
        <f>'Learning curve calcs'!D21</f>
        <v>LC Case 2</v>
      </c>
      <c r="E28" t="str">
        <f>'Learning curve calcs'!E21</f>
        <v>LC Case 3</v>
      </c>
      <c r="F28" t="str">
        <f>'Learning curve calcs'!F21</f>
        <v>LC Case 4</v>
      </c>
      <c r="G28" t="str">
        <f>'Learning curve calcs'!G21</f>
        <v>LC Case 5</v>
      </c>
      <c r="H28" t="str">
        <f>'Learning curve calcs'!H21</f>
        <v>LC Case 6</v>
      </c>
      <c r="I28" t="str">
        <f>'Learning curve calcs'!I21</f>
        <v>LC Case 7</v>
      </c>
      <c r="J28" t="str">
        <f>'Learning curve calcs'!J21</f>
        <v>LC Case 8</v>
      </c>
    </row>
    <row r="29" spans="1:10">
      <c r="B29" t="str">
        <f>'Learning curve calcs'!B22</f>
        <v>LCOE calc</v>
      </c>
      <c r="C29" t="str">
        <f>'Learning curve calcs'!C22</f>
        <v>LCOE 1</v>
      </c>
      <c r="D29" t="str">
        <f>'Learning curve calcs'!D22</f>
        <v>LCOE 2</v>
      </c>
      <c r="E29" t="str">
        <f>'Learning curve calcs'!E22</f>
        <v>LCOE 3</v>
      </c>
      <c r="F29" t="str">
        <f>'Learning curve calcs'!F22</f>
        <v>LCOE 4</v>
      </c>
      <c r="G29" t="str">
        <f>'Learning curve calcs'!G22</f>
        <v>LCOE 5</v>
      </c>
      <c r="H29" t="str">
        <f>'Learning curve calcs'!H22</f>
        <v>LCOE 6</v>
      </c>
      <c r="I29" t="str">
        <f>'Learning curve calcs'!I22</f>
        <v>LCOE 7</v>
      </c>
      <c r="J29" t="str">
        <f>'Learning curve calcs'!J22</f>
        <v>LCOE 8</v>
      </c>
    </row>
    <row r="30" spans="1:10">
      <c r="B30" t="str">
        <f>'Learning curve calcs'!B23</f>
        <v>Name</v>
      </c>
      <c r="C30" t="str">
        <f>'Learning curve calcs'!C23</f>
        <v>CCGT in Belgium (2020)</v>
      </c>
      <c r="D30" t="str">
        <f>'Learning curve calcs'!D23</f>
        <v>CCGT in Belgium (2020)</v>
      </c>
      <c r="E30" t="str">
        <f>'Learning curve calcs'!E23</f>
        <v>CCGT in Belgium (2020)</v>
      </c>
      <c r="F30" t="str">
        <f>'Learning curve calcs'!F23</f>
        <v>CCGT in Belgium (2020)</v>
      </c>
      <c r="G30" t="str">
        <f>'Learning curve calcs'!G23</f>
        <v>CCGT in Belgium (2020)</v>
      </c>
      <c r="H30" t="str">
        <f>'Learning curve calcs'!H23</f>
        <v>CCGT in Belgium (2020)</v>
      </c>
      <c r="I30" t="str">
        <f>'Learning curve calcs'!I23</f>
        <v>CCGT in Belgium (2020)</v>
      </c>
      <c r="J30" t="str">
        <f>'Learning curve calcs'!J23</f>
        <v>CCGT in Belgium (2020)</v>
      </c>
    </row>
    <row r="32" spans="1:10">
      <c r="C32" t="str">
        <f>'Learning curve calcs'!C24</f>
        <v>USD/MWh</v>
      </c>
      <c r="D32" t="str">
        <f>'Learning curve calcs'!D24</f>
        <v>USD/MWh</v>
      </c>
      <c r="E32" t="str">
        <f>'Learning curve calcs'!E24</f>
        <v>USD/MWh</v>
      </c>
      <c r="F32" t="str">
        <f>'Learning curve calcs'!F24</f>
        <v>USD/MWh</v>
      </c>
      <c r="G32" t="str">
        <f>'Learning curve calcs'!G24</f>
        <v>USD/MWh</v>
      </c>
      <c r="H32" t="str">
        <f>'Learning curve calcs'!H24</f>
        <v>USD/MWh</v>
      </c>
      <c r="I32" t="str">
        <f>'Learning curve calcs'!I24</f>
        <v>USD/MWh</v>
      </c>
      <c r="J32" t="str">
        <f>'Learning curve calcs'!J24</f>
        <v>USD/MWh</v>
      </c>
    </row>
    <row r="33" spans="2:10">
      <c r="B33" t="str">
        <f>'Learning curve calcs'!B24</f>
        <v>Year</v>
      </c>
      <c r="C33" t="str">
        <f>_xlfn.CONCAT(C30,", WACC ",100*ROUND(C14,2)," %, ",C28)</f>
        <v>CCGT in Belgium (2020), WACC 0 %, LC Case 1</v>
      </c>
      <c r="D33" t="str">
        <f t="shared" ref="D33:J33" si="0">_xlfn.CONCAT(D30,", WACC ",100*ROUND(D14,2)," %, ",D28)</f>
        <v>CCGT in Belgium (2020), WACC 0 %, LC Case 2</v>
      </c>
      <c r="E33" t="str">
        <f t="shared" si="0"/>
        <v>CCGT in Belgium (2020), WACC 0 %, LC Case 3</v>
      </c>
      <c r="F33" t="str">
        <f t="shared" si="0"/>
        <v>CCGT in Belgium (2020), WACC 0 %, LC Case 4</v>
      </c>
      <c r="G33" t="str">
        <f t="shared" si="0"/>
        <v>CCGT in Belgium (2020), WACC 0 %, LC Case 5</v>
      </c>
      <c r="H33" t="str">
        <f t="shared" si="0"/>
        <v>CCGT in Belgium (2020), WACC 0 %, LC Case 6</v>
      </c>
      <c r="I33" t="str">
        <f t="shared" si="0"/>
        <v>CCGT in Belgium (2020), WACC 0 %, LC Case 7</v>
      </c>
      <c r="J33" t="str">
        <f t="shared" si="0"/>
        <v>CCGT in Belgium (2020), WACC 0 %, LC Case 8</v>
      </c>
    </row>
    <row r="34" spans="2:10">
      <c r="B34">
        <f>'Learning curve calcs'!B25</f>
        <v>2020</v>
      </c>
      <c r="C34" s="18">
        <f>'Learning curve calcs'!C25</f>
        <v>71.201772135737173</v>
      </c>
      <c r="D34" s="18">
        <f>'Learning curve calcs'!D25</f>
        <v>64.075543409183908</v>
      </c>
      <c r="E34" s="18">
        <f>'Learning curve calcs'!E25</f>
        <v>66.035232384376613</v>
      </c>
      <c r="F34" s="18">
        <f>'Learning curve calcs'!F25</f>
        <v>68.258027098634017</v>
      </c>
      <c r="G34" s="18">
        <f>'Learning curve calcs'!G25</f>
        <v>69.460823747961442</v>
      </c>
      <c r="H34" s="18">
        <f>'Learning curve calcs'!H25</f>
        <v>72.022032500546203</v>
      </c>
      <c r="I34" s="18">
        <f>'Learning curve calcs'!I25</f>
        <v>74.762467256960974</v>
      </c>
      <c r="J34" s="18">
        <f>'Learning curve calcs'!J25</f>
        <v>77.652830840881094</v>
      </c>
    </row>
    <row r="35" spans="2:10">
      <c r="B35">
        <f>'Learning curve calcs'!B26</f>
        <v>2021</v>
      </c>
      <c r="C35" s="18">
        <f>'Learning curve calcs'!C26</f>
        <v>71.206620796869231</v>
      </c>
      <c r="D35" s="18">
        <f>'Learning curve calcs'!D26</f>
        <v>64.080392070315966</v>
      </c>
      <c r="E35" s="18">
        <f>'Learning curve calcs'!E26</f>
        <v>66.040081045508671</v>
      </c>
      <c r="F35" s="18">
        <f>'Learning curve calcs'!F26</f>
        <v>68.262875759766075</v>
      </c>
      <c r="G35" s="18">
        <f>'Learning curve calcs'!G26</f>
        <v>69.4656724090935</v>
      </c>
      <c r="H35" s="18">
        <f>'Learning curve calcs'!H26</f>
        <v>72.026881161678261</v>
      </c>
      <c r="I35" s="18">
        <f>'Learning curve calcs'!I26</f>
        <v>74.767315918093033</v>
      </c>
      <c r="J35" s="18">
        <f>'Learning curve calcs'!J26</f>
        <v>77.657679502013153</v>
      </c>
    </row>
    <row r="36" spans="2:10">
      <c r="B36">
        <f>'Learning curve calcs'!B27</f>
        <v>2022</v>
      </c>
      <c r="C36" s="18">
        <f>'Learning curve calcs'!C27</f>
        <v>71.211469458001289</v>
      </c>
      <c r="D36" s="18">
        <f>'Learning curve calcs'!D27</f>
        <v>64.085240731448025</v>
      </c>
      <c r="E36" s="18">
        <f>'Learning curve calcs'!E27</f>
        <v>66.04492970664073</v>
      </c>
      <c r="F36" s="18">
        <f>'Learning curve calcs'!F27</f>
        <v>68.267724420898134</v>
      </c>
      <c r="G36" s="18">
        <f>'Learning curve calcs'!G27</f>
        <v>69.470521070225558</v>
      </c>
      <c r="H36" s="18">
        <f>'Learning curve calcs'!H27</f>
        <v>72.03172982281032</v>
      </c>
      <c r="I36" s="18">
        <f>'Learning curve calcs'!I27</f>
        <v>74.772164579225091</v>
      </c>
      <c r="J36" s="18">
        <f>'Learning curve calcs'!J27</f>
        <v>77.662528163145211</v>
      </c>
    </row>
    <row r="37" spans="2:10">
      <c r="B37">
        <f>'Learning curve calcs'!B28</f>
        <v>2023</v>
      </c>
      <c r="C37" s="18">
        <f>'Learning curve calcs'!C28</f>
        <v>71.216318119133348</v>
      </c>
      <c r="D37" s="18">
        <f>'Learning curve calcs'!D28</f>
        <v>64.090089392580083</v>
      </c>
      <c r="E37" s="18">
        <f>'Learning curve calcs'!E28</f>
        <v>66.049778367772788</v>
      </c>
      <c r="F37" s="18">
        <f>'Learning curve calcs'!F28</f>
        <v>68.272573082030192</v>
      </c>
      <c r="G37" s="18">
        <f>'Learning curve calcs'!G28</f>
        <v>69.475369731357617</v>
      </c>
      <c r="H37" s="18">
        <f>'Learning curve calcs'!H28</f>
        <v>72.036578483942378</v>
      </c>
      <c r="I37" s="18">
        <f>'Learning curve calcs'!I28</f>
        <v>74.777013240357149</v>
      </c>
      <c r="J37" s="18">
        <f>'Learning curve calcs'!J28</f>
        <v>77.66737682427727</v>
      </c>
    </row>
    <row r="38" spans="2:10">
      <c r="B38">
        <f>'Learning curve calcs'!B29</f>
        <v>2024</v>
      </c>
      <c r="C38" s="18">
        <f>'Learning curve calcs'!C29</f>
        <v>71.221166780265406</v>
      </c>
      <c r="D38" s="18">
        <f>'Learning curve calcs'!D29</f>
        <v>64.094938053712141</v>
      </c>
      <c r="E38" s="18">
        <f>'Learning curve calcs'!E29</f>
        <v>66.054627028904846</v>
      </c>
      <c r="F38" s="18">
        <f>'Learning curve calcs'!F29</f>
        <v>68.27742174316225</v>
      </c>
      <c r="G38" s="18">
        <f>'Learning curve calcs'!G29</f>
        <v>69.480218392489675</v>
      </c>
      <c r="H38" s="18">
        <f>'Learning curve calcs'!H29</f>
        <v>72.041427145074437</v>
      </c>
      <c r="I38" s="18">
        <f>'Learning curve calcs'!I29</f>
        <v>74.781861901489208</v>
      </c>
      <c r="J38" s="18">
        <f>'Learning curve calcs'!J29</f>
        <v>77.672225485409328</v>
      </c>
    </row>
    <row r="39" spans="2:10">
      <c r="B39">
        <f>'Learning curve calcs'!B30</f>
        <v>2025</v>
      </c>
      <c r="C39" s="18">
        <f>'Learning curve calcs'!C30</f>
        <v>71.226015441397465</v>
      </c>
      <c r="D39" s="18">
        <f>'Learning curve calcs'!D30</f>
        <v>64.0997867148442</v>
      </c>
      <c r="E39" s="18">
        <f>'Learning curve calcs'!E30</f>
        <v>66.059475690036905</v>
      </c>
      <c r="F39" s="18">
        <f>'Learning curve calcs'!F30</f>
        <v>68.282270404294309</v>
      </c>
      <c r="G39" s="18">
        <f>'Learning curve calcs'!G30</f>
        <v>69.485067053621734</v>
      </c>
      <c r="H39" s="18">
        <f>'Learning curve calcs'!H30</f>
        <v>72.046275806206495</v>
      </c>
      <c r="I39" s="18">
        <f>'Learning curve calcs'!I30</f>
        <v>74.786710562621266</v>
      </c>
      <c r="J39" s="18">
        <f>'Learning curve calcs'!J30</f>
        <v>77.677074146541386</v>
      </c>
    </row>
    <row r="40" spans="2:10">
      <c r="B40">
        <f>'Learning curve calcs'!B31</f>
        <v>2026</v>
      </c>
      <c r="C40" s="18">
        <f>'Learning curve calcs'!C31</f>
        <v>71.230864102529523</v>
      </c>
      <c r="D40" s="18">
        <f>'Learning curve calcs'!D31</f>
        <v>64.104635375976258</v>
      </c>
      <c r="E40" s="18">
        <f>'Learning curve calcs'!E31</f>
        <v>66.064324351168963</v>
      </c>
      <c r="F40" s="18">
        <f>'Learning curve calcs'!F31</f>
        <v>68.287119065426367</v>
      </c>
      <c r="G40" s="18">
        <f>'Learning curve calcs'!G31</f>
        <v>69.489915714753792</v>
      </c>
      <c r="H40" s="18">
        <f>'Learning curve calcs'!H31</f>
        <v>72.051124467338553</v>
      </c>
      <c r="I40" s="18">
        <f>'Learning curve calcs'!I31</f>
        <v>74.791559223753325</v>
      </c>
      <c r="J40" s="18">
        <f>'Learning curve calcs'!J31</f>
        <v>77.681922807673445</v>
      </c>
    </row>
    <row r="41" spans="2:10">
      <c r="B41">
        <f>'Learning curve calcs'!B32</f>
        <v>2027</v>
      </c>
      <c r="C41" s="18">
        <f>'Learning curve calcs'!C32</f>
        <v>71.235712763661581</v>
      </c>
      <c r="D41" s="18">
        <f>'Learning curve calcs'!D32</f>
        <v>64.109484037108317</v>
      </c>
      <c r="E41" s="18">
        <f>'Learning curve calcs'!E32</f>
        <v>66.069173012301022</v>
      </c>
      <c r="F41" s="18">
        <f>'Learning curve calcs'!F32</f>
        <v>68.291967726558426</v>
      </c>
      <c r="G41" s="18">
        <f>'Learning curve calcs'!G32</f>
        <v>69.49476437588585</v>
      </c>
      <c r="H41" s="18">
        <f>'Learning curve calcs'!H32</f>
        <v>72.055973128470612</v>
      </c>
      <c r="I41" s="18">
        <f>'Learning curve calcs'!I32</f>
        <v>74.796407884885383</v>
      </c>
      <c r="J41" s="18">
        <f>'Learning curve calcs'!J32</f>
        <v>77.686771468805503</v>
      </c>
    </row>
    <row r="42" spans="2:10">
      <c r="B42">
        <f>'Learning curve calcs'!B33</f>
        <v>2028</v>
      </c>
      <c r="C42" s="18">
        <f>'Learning curve calcs'!C33</f>
        <v>71.24056142479364</v>
      </c>
      <c r="D42" s="18">
        <f>'Learning curve calcs'!D33</f>
        <v>64.114332698240375</v>
      </c>
      <c r="E42" s="18">
        <f>'Learning curve calcs'!E33</f>
        <v>66.07402167343308</v>
      </c>
      <c r="F42" s="18">
        <f>'Learning curve calcs'!F33</f>
        <v>68.296816387690484</v>
      </c>
      <c r="G42" s="18">
        <f>'Learning curve calcs'!G33</f>
        <v>69.499613037017909</v>
      </c>
      <c r="H42" s="18">
        <f>'Learning curve calcs'!H33</f>
        <v>72.06082178960267</v>
      </c>
      <c r="I42" s="18">
        <f>'Learning curve calcs'!I33</f>
        <v>74.801256546017441</v>
      </c>
      <c r="J42" s="18">
        <f>'Learning curve calcs'!J33</f>
        <v>77.691620129937562</v>
      </c>
    </row>
    <row r="43" spans="2:10">
      <c r="B43">
        <f>'Learning curve calcs'!B34</f>
        <v>2029</v>
      </c>
      <c r="C43" s="18">
        <f>'Learning curve calcs'!C34</f>
        <v>71.245410085925698</v>
      </c>
      <c r="D43" s="18">
        <f>'Learning curve calcs'!D34</f>
        <v>64.119181359372433</v>
      </c>
      <c r="E43" s="18">
        <f>'Learning curve calcs'!E34</f>
        <v>66.078870334565138</v>
      </c>
      <c r="F43" s="18">
        <f>'Learning curve calcs'!F34</f>
        <v>68.301665048822542</v>
      </c>
      <c r="G43" s="18">
        <f>'Learning curve calcs'!G34</f>
        <v>69.504461698149967</v>
      </c>
      <c r="H43" s="18">
        <f>'Learning curve calcs'!H34</f>
        <v>72.065670450734729</v>
      </c>
      <c r="I43" s="18">
        <f>'Learning curve calcs'!I34</f>
        <v>74.8061052071495</v>
      </c>
      <c r="J43" s="18">
        <f>'Learning curve calcs'!J34</f>
        <v>77.69646879106962</v>
      </c>
    </row>
    <row r="44" spans="2:10">
      <c r="B44">
        <f>'Learning curve calcs'!B35</f>
        <v>2030</v>
      </c>
      <c r="C44" s="18">
        <f>'Learning curve calcs'!C35</f>
        <v>71.250258747057757</v>
      </c>
      <c r="D44" s="18">
        <f>'Learning curve calcs'!D35</f>
        <v>64.124030020504492</v>
      </c>
      <c r="E44" s="18">
        <f>'Learning curve calcs'!E35</f>
        <v>66.083718995697197</v>
      </c>
      <c r="F44" s="18">
        <f>'Learning curve calcs'!F35</f>
        <v>68.306513709954601</v>
      </c>
      <c r="G44" s="18">
        <f>'Learning curve calcs'!G35</f>
        <v>69.509310359282026</v>
      </c>
      <c r="H44" s="18">
        <f>'Learning curve calcs'!H35</f>
        <v>72.070519111866787</v>
      </c>
      <c r="I44" s="18">
        <f>'Learning curve calcs'!I35</f>
        <v>74.810953868281558</v>
      </c>
      <c r="J44" s="18">
        <f>'Learning curve calcs'!J35</f>
        <v>77.701317452201678</v>
      </c>
    </row>
    <row r="45" spans="2:10">
      <c r="B45">
        <f>'Learning curve calcs'!B36</f>
        <v>2031</v>
      </c>
      <c r="C45" s="18">
        <f>'Learning curve calcs'!C36</f>
        <v>71.255107408189815</v>
      </c>
      <c r="D45" s="18">
        <f>'Learning curve calcs'!D36</f>
        <v>64.12887868163655</v>
      </c>
      <c r="E45" s="18">
        <f>'Learning curve calcs'!E36</f>
        <v>66.088567656829255</v>
      </c>
      <c r="F45" s="18">
        <f>'Learning curve calcs'!F36</f>
        <v>68.311362371086659</v>
      </c>
      <c r="G45" s="18">
        <f>'Learning curve calcs'!G36</f>
        <v>69.514159020414084</v>
      </c>
      <c r="H45" s="18">
        <f>'Learning curve calcs'!H36</f>
        <v>72.075367772998845</v>
      </c>
      <c r="I45" s="18">
        <f>'Learning curve calcs'!I36</f>
        <v>74.815802529413617</v>
      </c>
      <c r="J45" s="18">
        <f>'Learning curve calcs'!J36</f>
        <v>77.706166113333737</v>
      </c>
    </row>
    <row r="46" spans="2:10">
      <c r="B46">
        <f>'Learning curve calcs'!B37</f>
        <v>2032</v>
      </c>
      <c r="C46" s="18">
        <f>'Learning curve calcs'!C37</f>
        <v>71.259956069321873</v>
      </c>
      <c r="D46" s="18">
        <f>'Learning curve calcs'!D37</f>
        <v>64.133727342768609</v>
      </c>
      <c r="E46" s="18">
        <f>'Learning curve calcs'!E37</f>
        <v>66.093416317961314</v>
      </c>
      <c r="F46" s="18">
        <f>'Learning curve calcs'!F37</f>
        <v>68.316211032218717</v>
      </c>
      <c r="G46" s="18">
        <f>'Learning curve calcs'!G37</f>
        <v>69.519007681546142</v>
      </c>
      <c r="H46" s="18">
        <f>'Learning curve calcs'!H37</f>
        <v>72.080216434130904</v>
      </c>
      <c r="I46" s="18">
        <f>'Learning curve calcs'!I37</f>
        <v>74.820651190545675</v>
      </c>
      <c r="J46" s="18">
        <f>'Learning curve calcs'!J37</f>
        <v>77.711014774465795</v>
      </c>
    </row>
    <row r="47" spans="2:10">
      <c r="B47">
        <f>'Learning curve calcs'!B38</f>
        <v>2033</v>
      </c>
      <c r="C47" s="18">
        <f>'Learning curve calcs'!C38</f>
        <v>71.264804730453932</v>
      </c>
      <c r="D47" s="18">
        <f>'Learning curve calcs'!D38</f>
        <v>64.138576003900667</v>
      </c>
      <c r="E47" s="18">
        <f>'Learning curve calcs'!E38</f>
        <v>66.098264979093372</v>
      </c>
      <c r="F47" s="18">
        <f>'Learning curve calcs'!F38</f>
        <v>68.321059693350776</v>
      </c>
      <c r="G47" s="18">
        <f>'Learning curve calcs'!G38</f>
        <v>69.523856342678201</v>
      </c>
      <c r="H47" s="18">
        <f>'Learning curve calcs'!H38</f>
        <v>72.085065095262962</v>
      </c>
      <c r="I47" s="18">
        <f>'Learning curve calcs'!I38</f>
        <v>74.825499851677733</v>
      </c>
      <c r="J47" s="18">
        <f>'Learning curve calcs'!J38</f>
        <v>77.715863435597853</v>
      </c>
    </row>
    <row r="48" spans="2:10">
      <c r="B48">
        <f>'Learning curve calcs'!B39</f>
        <v>2034</v>
      </c>
      <c r="C48" s="18">
        <f>'Learning curve calcs'!C39</f>
        <v>71.26965339158599</v>
      </c>
      <c r="D48" s="18">
        <f>'Learning curve calcs'!D39</f>
        <v>64.143424665032725</v>
      </c>
      <c r="E48" s="18">
        <f>'Learning curve calcs'!E39</f>
        <v>66.10311364022543</v>
      </c>
      <c r="F48" s="18">
        <f>'Learning curve calcs'!F39</f>
        <v>68.325908354482834</v>
      </c>
      <c r="G48" s="18">
        <f>'Learning curve calcs'!G39</f>
        <v>69.528705003810259</v>
      </c>
      <c r="H48" s="18">
        <f>'Learning curve calcs'!H39</f>
        <v>72.089913756395021</v>
      </c>
      <c r="I48" s="18">
        <f>'Learning curve calcs'!I39</f>
        <v>74.830348512809792</v>
      </c>
      <c r="J48" s="18">
        <f>'Learning curve calcs'!J39</f>
        <v>77.720712096729912</v>
      </c>
    </row>
    <row r="49" spans="2:10">
      <c r="B49">
        <f>'Learning curve calcs'!B40</f>
        <v>2035</v>
      </c>
      <c r="C49" s="18">
        <f>'Learning curve calcs'!C40</f>
        <v>71.274502052718049</v>
      </c>
      <c r="D49" s="18">
        <f>'Learning curve calcs'!D40</f>
        <v>64.148273326164784</v>
      </c>
      <c r="E49" s="18">
        <f>'Learning curve calcs'!E40</f>
        <v>66.107962301357489</v>
      </c>
      <c r="F49" s="18">
        <f>'Learning curve calcs'!F40</f>
        <v>68.330757015614893</v>
      </c>
      <c r="G49" s="18">
        <f>'Learning curve calcs'!G40</f>
        <v>69.533553664942318</v>
      </c>
      <c r="H49" s="18">
        <f>'Learning curve calcs'!H40</f>
        <v>72.094762417527079</v>
      </c>
      <c r="I49" s="18">
        <f>'Learning curve calcs'!I40</f>
        <v>74.83519717394185</v>
      </c>
      <c r="J49" s="18">
        <f>'Learning curve calcs'!J40</f>
        <v>77.72556075786197</v>
      </c>
    </row>
    <row r="50" spans="2:10">
      <c r="B50">
        <f>'Learning curve calcs'!B41</f>
        <v>2036</v>
      </c>
      <c r="C50" s="18">
        <f>'Learning curve calcs'!C41</f>
        <v>71.279350713850107</v>
      </c>
      <c r="D50" s="18">
        <f>'Learning curve calcs'!D41</f>
        <v>64.153121987296842</v>
      </c>
      <c r="E50" s="18">
        <f>'Learning curve calcs'!E41</f>
        <v>66.112810962489547</v>
      </c>
      <c r="F50" s="18">
        <f>'Learning curve calcs'!F41</f>
        <v>68.335605676746951</v>
      </c>
      <c r="G50" s="18">
        <f>'Learning curve calcs'!G41</f>
        <v>69.538402326074376</v>
      </c>
      <c r="H50" s="18">
        <f>'Learning curve calcs'!H41</f>
        <v>72.099611078659137</v>
      </c>
      <c r="I50" s="18">
        <f>'Learning curve calcs'!I41</f>
        <v>74.840045835073909</v>
      </c>
      <c r="J50" s="18">
        <f>'Learning curve calcs'!J41</f>
        <v>77.730409418994029</v>
      </c>
    </row>
    <row r="51" spans="2:10">
      <c r="B51">
        <f>'Learning curve calcs'!B42</f>
        <v>2037</v>
      </c>
      <c r="C51" s="18">
        <f>'Learning curve calcs'!C42</f>
        <v>71.284199374982165</v>
      </c>
      <c r="D51" s="18">
        <f>'Learning curve calcs'!D42</f>
        <v>64.157970648428901</v>
      </c>
      <c r="E51" s="18">
        <f>'Learning curve calcs'!E42</f>
        <v>66.117659623621606</v>
      </c>
      <c r="F51" s="18">
        <f>'Learning curve calcs'!F42</f>
        <v>68.340454337879009</v>
      </c>
      <c r="G51" s="18">
        <f>'Learning curve calcs'!G42</f>
        <v>69.543250987206434</v>
      </c>
      <c r="H51" s="18">
        <f>'Learning curve calcs'!H42</f>
        <v>72.104459739791196</v>
      </c>
      <c r="I51" s="18">
        <f>'Learning curve calcs'!I42</f>
        <v>74.844894496205967</v>
      </c>
      <c r="J51" s="18">
        <f>'Learning curve calcs'!J42</f>
        <v>77.735258080126087</v>
      </c>
    </row>
    <row r="52" spans="2:10">
      <c r="B52">
        <f>'Learning curve calcs'!B43</f>
        <v>2038</v>
      </c>
      <c r="C52" s="18">
        <f>'Learning curve calcs'!C43</f>
        <v>71.289048036114224</v>
      </c>
      <c r="D52" s="18">
        <f>'Learning curve calcs'!D43</f>
        <v>64.162819309560959</v>
      </c>
      <c r="E52" s="18">
        <f>'Learning curve calcs'!E43</f>
        <v>66.122508284753664</v>
      </c>
      <c r="F52" s="18">
        <f>'Learning curve calcs'!F43</f>
        <v>68.345302999011068</v>
      </c>
      <c r="G52" s="18">
        <f>'Learning curve calcs'!G43</f>
        <v>69.548099648338493</v>
      </c>
      <c r="H52" s="18">
        <f>'Learning curve calcs'!H43</f>
        <v>72.109308400923254</v>
      </c>
      <c r="I52" s="18">
        <f>'Learning curve calcs'!I43</f>
        <v>74.849743157338025</v>
      </c>
      <c r="J52" s="18">
        <f>'Learning curve calcs'!J43</f>
        <v>77.740106741258145</v>
      </c>
    </row>
    <row r="53" spans="2:10">
      <c r="B53">
        <f>'Learning curve calcs'!B44</f>
        <v>2039</v>
      </c>
      <c r="C53" s="18">
        <f>'Learning curve calcs'!C44</f>
        <v>71.293896697246282</v>
      </c>
      <c r="D53" s="18">
        <f>'Learning curve calcs'!D44</f>
        <v>64.167667970693017</v>
      </c>
      <c r="E53" s="18">
        <f>'Learning curve calcs'!E44</f>
        <v>66.127356945885722</v>
      </c>
      <c r="F53" s="18">
        <f>'Learning curve calcs'!F44</f>
        <v>68.350151660143126</v>
      </c>
      <c r="G53" s="18">
        <f>'Learning curve calcs'!G44</f>
        <v>69.552948309470551</v>
      </c>
      <c r="H53" s="18">
        <f>'Learning curve calcs'!H44</f>
        <v>72.114157062055313</v>
      </c>
      <c r="I53" s="18">
        <f>'Learning curve calcs'!I44</f>
        <v>74.854591818470084</v>
      </c>
      <c r="J53" s="18">
        <f>'Learning curve calcs'!J44</f>
        <v>77.744955402390204</v>
      </c>
    </row>
    <row r="54" spans="2:10">
      <c r="B54">
        <f>'Learning curve calcs'!B45</f>
        <v>2040</v>
      </c>
      <c r="C54" s="18">
        <f>'Learning curve calcs'!C45</f>
        <v>71.298745358378341</v>
      </c>
      <c r="D54" s="18">
        <f>'Learning curve calcs'!D45</f>
        <v>64.172516631825076</v>
      </c>
      <c r="E54" s="18">
        <f>'Learning curve calcs'!E45</f>
        <v>66.132205607017781</v>
      </c>
      <c r="F54" s="18">
        <f>'Learning curve calcs'!F45</f>
        <v>68.355000321275185</v>
      </c>
      <c r="G54" s="18">
        <f>'Learning curve calcs'!G45</f>
        <v>69.55779697060261</v>
      </c>
      <c r="H54" s="18">
        <f>'Learning curve calcs'!H45</f>
        <v>72.119005723187371</v>
      </c>
      <c r="I54" s="18">
        <f>'Learning curve calcs'!I45</f>
        <v>74.859440479602142</v>
      </c>
      <c r="J54" s="18">
        <f>'Learning curve calcs'!J45</f>
        <v>77.749804063522262</v>
      </c>
    </row>
    <row r="55" spans="2:10">
      <c r="B55">
        <f>'Learning curve calcs'!B46</f>
        <v>2041</v>
      </c>
      <c r="C55" s="18">
        <f>'Learning curve calcs'!C46</f>
        <v>71.303594019510399</v>
      </c>
      <c r="D55" s="18">
        <f>'Learning curve calcs'!D46</f>
        <v>64.177365292957134</v>
      </c>
      <c r="E55" s="18">
        <f>'Learning curve calcs'!E46</f>
        <v>66.137054268149839</v>
      </c>
      <c r="F55" s="18">
        <f>'Learning curve calcs'!F46</f>
        <v>68.359848982407243</v>
      </c>
      <c r="G55" s="18">
        <f>'Learning curve calcs'!G46</f>
        <v>69.562645631734668</v>
      </c>
      <c r="H55" s="18">
        <f>'Learning curve calcs'!H46</f>
        <v>72.123854384319429</v>
      </c>
      <c r="I55" s="18">
        <f>'Learning curve calcs'!I46</f>
        <v>74.864289140734201</v>
      </c>
      <c r="J55" s="18">
        <f>'Learning curve calcs'!J46</f>
        <v>77.754652724654321</v>
      </c>
    </row>
    <row r="56" spans="2:10">
      <c r="B56">
        <f>'Learning curve calcs'!B47</f>
        <v>2042</v>
      </c>
      <c r="C56" s="18">
        <f>'Learning curve calcs'!C47</f>
        <v>71.308442680642457</v>
      </c>
      <c r="D56" s="18">
        <f>'Learning curve calcs'!D47</f>
        <v>64.182213954089192</v>
      </c>
      <c r="E56" s="18">
        <f>'Learning curve calcs'!E47</f>
        <v>66.141902929281898</v>
      </c>
      <c r="F56" s="18">
        <f>'Learning curve calcs'!F47</f>
        <v>68.364697643539301</v>
      </c>
      <c r="G56" s="18">
        <f>'Learning curve calcs'!G47</f>
        <v>69.567494292866726</v>
      </c>
      <c r="H56" s="18">
        <f>'Learning curve calcs'!H47</f>
        <v>72.128703045451488</v>
      </c>
      <c r="I56" s="18">
        <f>'Learning curve calcs'!I47</f>
        <v>74.869137801866259</v>
      </c>
      <c r="J56" s="18">
        <f>'Learning curve calcs'!J47</f>
        <v>77.759501385786379</v>
      </c>
    </row>
    <row r="57" spans="2:10">
      <c r="B57">
        <f>'Learning curve calcs'!B48</f>
        <v>2043</v>
      </c>
      <c r="C57" s="18">
        <f>'Learning curve calcs'!C48</f>
        <v>71.313291341774516</v>
      </c>
      <c r="D57" s="18">
        <f>'Learning curve calcs'!D48</f>
        <v>64.187062615221251</v>
      </c>
      <c r="E57" s="18">
        <f>'Learning curve calcs'!E48</f>
        <v>66.146751590413956</v>
      </c>
      <c r="F57" s="18">
        <f>'Learning curve calcs'!F48</f>
        <v>68.36954630467136</v>
      </c>
      <c r="G57" s="18">
        <f>'Learning curve calcs'!G48</f>
        <v>69.572342953998785</v>
      </c>
      <c r="H57" s="18">
        <f>'Learning curve calcs'!H48</f>
        <v>72.133551706583546</v>
      </c>
      <c r="I57" s="18">
        <f>'Learning curve calcs'!I48</f>
        <v>74.873986462998317</v>
      </c>
      <c r="J57" s="18">
        <f>'Learning curve calcs'!J48</f>
        <v>77.764350046918437</v>
      </c>
    </row>
    <row r="58" spans="2:10">
      <c r="B58">
        <f>'Learning curve calcs'!B49</f>
        <v>2044</v>
      </c>
      <c r="C58" s="18">
        <f>'Learning curve calcs'!C49</f>
        <v>71.318140002906574</v>
      </c>
      <c r="D58" s="18">
        <f>'Learning curve calcs'!D49</f>
        <v>64.191911276353309</v>
      </c>
      <c r="E58" s="18">
        <f>'Learning curve calcs'!E49</f>
        <v>66.151600251546014</v>
      </c>
      <c r="F58" s="18">
        <f>'Learning curve calcs'!F49</f>
        <v>68.374394965803418</v>
      </c>
      <c r="G58" s="18">
        <f>'Learning curve calcs'!G49</f>
        <v>69.577191615130843</v>
      </c>
      <c r="H58" s="18">
        <f>'Learning curve calcs'!H49</f>
        <v>72.138400367715604</v>
      </c>
      <c r="I58" s="18">
        <f>'Learning curve calcs'!I49</f>
        <v>74.878835124130376</v>
      </c>
      <c r="J58" s="18">
        <f>'Learning curve calcs'!J49</f>
        <v>77.769198708050496</v>
      </c>
    </row>
    <row r="59" spans="2:10">
      <c r="B59">
        <f>'Learning curve calcs'!B50</f>
        <v>2045</v>
      </c>
      <c r="C59" s="18">
        <f>'Learning curve calcs'!C50</f>
        <v>71.322988664038633</v>
      </c>
      <c r="D59" s="18">
        <f>'Learning curve calcs'!D50</f>
        <v>64.196759937485368</v>
      </c>
      <c r="E59" s="18">
        <f>'Learning curve calcs'!E50</f>
        <v>66.156448912678073</v>
      </c>
      <c r="F59" s="18">
        <f>'Learning curve calcs'!F50</f>
        <v>68.379243626935477</v>
      </c>
      <c r="G59" s="18">
        <f>'Learning curve calcs'!G50</f>
        <v>69.582040276262902</v>
      </c>
      <c r="H59" s="18">
        <f>'Learning curve calcs'!H50</f>
        <v>72.143249028847663</v>
      </c>
      <c r="I59" s="18">
        <f>'Learning curve calcs'!I50</f>
        <v>74.883683785262434</v>
      </c>
      <c r="J59" s="18">
        <f>'Learning curve calcs'!J50</f>
        <v>77.774047369182554</v>
      </c>
    </row>
    <row r="60" spans="2:10">
      <c r="B60">
        <f>'Learning curve calcs'!B51</f>
        <v>2046</v>
      </c>
      <c r="C60" s="18">
        <f>'Learning curve calcs'!C51</f>
        <v>71.327837325170691</v>
      </c>
      <c r="D60" s="18">
        <f>'Learning curve calcs'!D51</f>
        <v>64.201608598617426</v>
      </c>
      <c r="E60" s="18">
        <f>'Learning curve calcs'!E51</f>
        <v>66.161297573810131</v>
      </c>
      <c r="F60" s="18">
        <f>'Learning curve calcs'!F51</f>
        <v>68.384092288067535</v>
      </c>
      <c r="G60" s="18">
        <f>'Learning curve calcs'!G51</f>
        <v>69.58688893739496</v>
      </c>
      <c r="H60" s="18">
        <f>'Learning curve calcs'!H51</f>
        <v>72.148097689979721</v>
      </c>
      <c r="I60" s="18">
        <f>'Learning curve calcs'!I51</f>
        <v>74.888532446394493</v>
      </c>
      <c r="J60" s="18">
        <f>'Learning curve calcs'!J51</f>
        <v>77.778896030314613</v>
      </c>
    </row>
    <row r="61" spans="2:10">
      <c r="B61">
        <f>'Learning curve calcs'!B52</f>
        <v>2047</v>
      </c>
      <c r="C61" s="18">
        <f>'Learning curve calcs'!C52</f>
        <v>71.332685986302749</v>
      </c>
      <c r="D61" s="18">
        <f>'Learning curve calcs'!D52</f>
        <v>64.206457259749484</v>
      </c>
      <c r="E61" s="18">
        <f>'Learning curve calcs'!E52</f>
        <v>66.16614623494219</v>
      </c>
      <c r="F61" s="18">
        <f>'Learning curve calcs'!F52</f>
        <v>68.388940949199593</v>
      </c>
      <c r="G61" s="18">
        <f>'Learning curve calcs'!G52</f>
        <v>69.591737598527018</v>
      </c>
      <c r="H61" s="18">
        <f>'Learning curve calcs'!H52</f>
        <v>72.15294635111178</v>
      </c>
      <c r="I61" s="18">
        <f>'Learning curve calcs'!I52</f>
        <v>74.893381107526551</v>
      </c>
      <c r="J61" s="18">
        <f>'Learning curve calcs'!J52</f>
        <v>77.783744691446671</v>
      </c>
    </row>
    <row r="62" spans="2:10">
      <c r="B62">
        <f>'Learning curve calcs'!B53</f>
        <v>2048</v>
      </c>
      <c r="C62" s="18">
        <f>'Learning curve calcs'!C53</f>
        <v>71.337534647434808</v>
      </c>
      <c r="D62" s="18">
        <f>'Learning curve calcs'!D53</f>
        <v>64.211305920881543</v>
      </c>
      <c r="E62" s="18">
        <f>'Learning curve calcs'!E53</f>
        <v>66.170994896074248</v>
      </c>
      <c r="F62" s="18">
        <f>'Learning curve calcs'!F53</f>
        <v>68.393789610331652</v>
      </c>
      <c r="G62" s="18">
        <f>'Learning curve calcs'!G53</f>
        <v>69.596586259659077</v>
      </c>
      <c r="H62" s="18">
        <f>'Learning curve calcs'!H53</f>
        <v>72.157795012243838</v>
      </c>
      <c r="I62" s="18">
        <f>'Learning curve calcs'!I53</f>
        <v>74.898229768658609</v>
      </c>
      <c r="J62" s="18">
        <f>'Learning curve calcs'!J53</f>
        <v>77.788593352578729</v>
      </c>
    </row>
    <row r="63" spans="2:10">
      <c r="B63">
        <f>'Learning curve calcs'!B54</f>
        <v>2049</v>
      </c>
      <c r="C63" s="18">
        <f>'Learning curve calcs'!C54</f>
        <v>71.342383308566866</v>
      </c>
      <c r="D63" s="18">
        <f>'Learning curve calcs'!D54</f>
        <v>64.216154582013601</v>
      </c>
      <c r="E63" s="18">
        <f>'Learning curve calcs'!E54</f>
        <v>66.175843557206306</v>
      </c>
      <c r="F63" s="18">
        <f>'Learning curve calcs'!F54</f>
        <v>68.39863827146371</v>
      </c>
      <c r="G63" s="18">
        <f>'Learning curve calcs'!G54</f>
        <v>69.601434920791135</v>
      </c>
      <c r="H63" s="18">
        <f>'Learning curve calcs'!H54</f>
        <v>72.162643673375896</v>
      </c>
      <c r="I63" s="18">
        <f>'Learning curve calcs'!I54</f>
        <v>74.903078429790668</v>
      </c>
      <c r="J63" s="18">
        <f>'Learning curve calcs'!J54</f>
        <v>77.793442013710788</v>
      </c>
    </row>
    <row r="64" spans="2:10">
      <c r="B64">
        <f>'Learning curve calcs'!B55</f>
        <v>2050</v>
      </c>
      <c r="C64" s="18">
        <f>'Learning curve calcs'!C55</f>
        <v>71.347231969698925</v>
      </c>
      <c r="D64" s="18">
        <f>'Learning curve calcs'!D55</f>
        <v>64.22100324314566</v>
      </c>
      <c r="E64" s="18">
        <f>'Learning curve calcs'!E55</f>
        <v>66.180692218338365</v>
      </c>
      <c r="F64" s="18">
        <f>'Learning curve calcs'!F55</f>
        <v>68.403486932595769</v>
      </c>
      <c r="G64" s="18">
        <f>'Learning curve calcs'!G55</f>
        <v>69.606283581923194</v>
      </c>
      <c r="H64" s="18">
        <f>'Learning curve calcs'!H55</f>
        <v>72.167492334507955</v>
      </c>
      <c r="I64" s="18">
        <f>'Learning curve calcs'!I55</f>
        <v>74.907927090922726</v>
      </c>
      <c r="J64" s="18">
        <f>'Learning curve calcs'!J55</f>
        <v>77.798290674842846</v>
      </c>
    </row>
    <row r="65" spans="2:10">
      <c r="B65">
        <f>'Learning curve calcs'!B56</f>
        <v>2051</v>
      </c>
      <c r="C65" s="18">
        <f>'Learning curve calcs'!C56</f>
        <v>71.352080630830983</v>
      </c>
      <c r="D65" s="18">
        <f>'Learning curve calcs'!D56</f>
        <v>64.225851904277718</v>
      </c>
      <c r="E65" s="18">
        <f>'Learning curve calcs'!E56</f>
        <v>66.185540879470423</v>
      </c>
      <c r="F65" s="18">
        <f>'Learning curve calcs'!F56</f>
        <v>68.408335593727827</v>
      </c>
      <c r="G65" s="18">
        <f>'Learning curve calcs'!G56</f>
        <v>69.611132243055252</v>
      </c>
      <c r="H65" s="18">
        <f>'Learning curve calcs'!H56</f>
        <v>72.172340995640013</v>
      </c>
      <c r="I65" s="18">
        <f>'Learning curve calcs'!I56</f>
        <v>74.912775752054785</v>
      </c>
      <c r="J65" s="18">
        <f>'Learning curve calcs'!J56</f>
        <v>77.803139335974905</v>
      </c>
    </row>
    <row r="66" spans="2:10">
      <c r="B66">
        <f>'Learning curve calcs'!B57</f>
        <v>2052</v>
      </c>
      <c r="C66" s="18">
        <f>'Learning curve calcs'!C57</f>
        <v>71.356929291963041</v>
      </c>
      <c r="D66" s="18">
        <f>'Learning curve calcs'!D57</f>
        <v>64.230700565409776</v>
      </c>
      <c r="E66" s="18">
        <f>'Learning curve calcs'!E57</f>
        <v>66.190389540602482</v>
      </c>
      <c r="F66" s="18">
        <f>'Learning curve calcs'!F57</f>
        <v>68.413184254859885</v>
      </c>
      <c r="G66" s="18">
        <f>'Learning curve calcs'!G57</f>
        <v>69.61598090418731</v>
      </c>
      <c r="H66" s="18">
        <f>'Learning curve calcs'!H57</f>
        <v>72.177189656772072</v>
      </c>
      <c r="I66" s="18">
        <f>'Learning curve calcs'!I57</f>
        <v>74.917624413186843</v>
      </c>
      <c r="J66" s="18">
        <f>'Learning curve calcs'!J57</f>
        <v>77.807987997106963</v>
      </c>
    </row>
    <row r="67" spans="2:10">
      <c r="B67">
        <f>'Learning curve calcs'!B58</f>
        <v>2053</v>
      </c>
      <c r="C67" s="18">
        <f>'Learning curve calcs'!C58</f>
        <v>71.3617779530951</v>
      </c>
      <c r="D67" s="18">
        <f>'Learning curve calcs'!D58</f>
        <v>64.235549226541835</v>
      </c>
      <c r="E67" s="18">
        <f>'Learning curve calcs'!E58</f>
        <v>66.19523820173454</v>
      </c>
      <c r="F67" s="18">
        <f>'Learning curve calcs'!F58</f>
        <v>68.418032915991944</v>
      </c>
      <c r="G67" s="18">
        <f>'Learning curve calcs'!G58</f>
        <v>69.620829565319369</v>
      </c>
      <c r="H67" s="18">
        <f>'Learning curve calcs'!H58</f>
        <v>72.18203831790413</v>
      </c>
      <c r="I67" s="18">
        <f>'Learning curve calcs'!I58</f>
        <v>74.922473074318901</v>
      </c>
      <c r="J67" s="18">
        <f>'Learning curve calcs'!J58</f>
        <v>77.812836658239021</v>
      </c>
    </row>
    <row r="68" spans="2:10">
      <c r="B68">
        <f>'Learning curve calcs'!B59</f>
        <v>2054</v>
      </c>
      <c r="C68" s="18">
        <f>'Learning curve calcs'!C59</f>
        <v>71.366626614227158</v>
      </c>
      <c r="D68" s="18">
        <f>'Learning curve calcs'!D59</f>
        <v>64.240397887673893</v>
      </c>
      <c r="E68" s="18">
        <f>'Learning curve calcs'!E59</f>
        <v>66.200086862866598</v>
      </c>
      <c r="F68" s="18">
        <f>'Learning curve calcs'!F59</f>
        <v>68.422881577124002</v>
      </c>
      <c r="G68" s="18">
        <f>'Learning curve calcs'!G59</f>
        <v>69.625678226451427</v>
      </c>
      <c r="H68" s="18">
        <f>'Learning curve calcs'!H59</f>
        <v>72.186886979036188</v>
      </c>
      <c r="I68" s="18">
        <f>'Learning curve calcs'!I59</f>
        <v>74.92732173545096</v>
      </c>
      <c r="J68" s="18">
        <f>'Learning curve calcs'!J59</f>
        <v>77.81768531937108</v>
      </c>
    </row>
    <row r="69" spans="2:10">
      <c r="B69">
        <f>'Learning curve calcs'!B60</f>
        <v>2055</v>
      </c>
      <c r="C69" s="18">
        <f>'Learning curve calcs'!C60</f>
        <v>71.371475275359217</v>
      </c>
      <c r="D69" s="18">
        <f>'Learning curve calcs'!D60</f>
        <v>64.245246548805952</v>
      </c>
      <c r="E69" s="18">
        <f>'Learning curve calcs'!E60</f>
        <v>66.204935523998657</v>
      </c>
      <c r="F69" s="18">
        <f>'Learning curve calcs'!F60</f>
        <v>68.427730238256061</v>
      </c>
      <c r="G69" s="18">
        <f>'Learning curve calcs'!G60</f>
        <v>69.630526887583486</v>
      </c>
      <c r="H69" s="18">
        <f>'Learning curve calcs'!H60</f>
        <v>72.191735640168247</v>
      </c>
      <c r="I69" s="18">
        <f>'Learning curve calcs'!I60</f>
        <v>74.932170396583018</v>
      </c>
      <c r="J69" s="18">
        <f>'Learning curve calcs'!J60</f>
        <v>77.822533980503138</v>
      </c>
    </row>
    <row r="70" spans="2:10">
      <c r="B70">
        <f>'Learning curve calcs'!B61</f>
        <v>2056</v>
      </c>
      <c r="C70" s="18">
        <f>'Learning curve calcs'!C61</f>
        <v>71.376323936491275</v>
      </c>
      <c r="D70" s="18">
        <f>'Learning curve calcs'!D61</f>
        <v>64.25009520993801</v>
      </c>
      <c r="E70" s="18">
        <f>'Learning curve calcs'!E61</f>
        <v>66.209784185130715</v>
      </c>
      <c r="F70" s="18">
        <f>'Learning curve calcs'!F61</f>
        <v>68.432578899388119</v>
      </c>
      <c r="G70" s="18">
        <f>'Learning curve calcs'!G61</f>
        <v>69.635375548715544</v>
      </c>
      <c r="H70" s="18">
        <f>'Learning curve calcs'!H61</f>
        <v>72.196584301300305</v>
      </c>
      <c r="I70" s="18">
        <f>'Learning curve calcs'!I61</f>
        <v>74.937019057715077</v>
      </c>
      <c r="J70" s="18">
        <f>'Learning curve calcs'!J61</f>
        <v>77.827382641635197</v>
      </c>
    </row>
    <row r="71" spans="2:10">
      <c r="B71">
        <f>'Learning curve calcs'!B62</f>
        <v>2057</v>
      </c>
      <c r="C71" s="18">
        <f>'Learning curve calcs'!C62</f>
        <v>71.381172597623333</v>
      </c>
      <c r="D71" s="18">
        <f>'Learning curve calcs'!D62</f>
        <v>64.254943871070068</v>
      </c>
      <c r="E71" s="18">
        <f>'Learning curve calcs'!E62</f>
        <v>66.214632846262774</v>
      </c>
      <c r="F71" s="18">
        <f>'Learning curve calcs'!F62</f>
        <v>68.437427560520177</v>
      </c>
      <c r="G71" s="18">
        <f>'Learning curve calcs'!G62</f>
        <v>69.640224209847602</v>
      </c>
      <c r="H71" s="18">
        <f>'Learning curve calcs'!H62</f>
        <v>72.201432962432364</v>
      </c>
      <c r="I71" s="18">
        <f>'Learning curve calcs'!I62</f>
        <v>74.941867718847135</v>
      </c>
      <c r="J71" s="18">
        <f>'Learning curve calcs'!J62</f>
        <v>77.832231302767255</v>
      </c>
    </row>
    <row r="72" spans="2:10">
      <c r="B72">
        <f>'Learning curve calcs'!B63</f>
        <v>2058</v>
      </c>
      <c r="C72" s="18">
        <f>'Learning curve calcs'!C63</f>
        <v>71.386021258755392</v>
      </c>
      <c r="D72" s="18">
        <f>'Learning curve calcs'!D63</f>
        <v>64.259792532202127</v>
      </c>
      <c r="E72" s="18">
        <f>'Learning curve calcs'!E63</f>
        <v>66.219481507394832</v>
      </c>
      <c r="F72" s="18">
        <f>'Learning curve calcs'!F63</f>
        <v>68.442276221652236</v>
      </c>
      <c r="G72" s="18">
        <f>'Learning curve calcs'!G63</f>
        <v>69.645072870979661</v>
      </c>
      <c r="H72" s="18">
        <f>'Learning curve calcs'!H63</f>
        <v>72.206281623564422</v>
      </c>
      <c r="I72" s="18">
        <f>'Learning curve calcs'!I63</f>
        <v>74.946716379979193</v>
      </c>
      <c r="J72" s="18">
        <f>'Learning curve calcs'!J63</f>
        <v>77.837079963899313</v>
      </c>
    </row>
    <row r="73" spans="2:10">
      <c r="B73">
        <f>'Learning curve calcs'!B64</f>
        <v>2059</v>
      </c>
      <c r="C73" s="18">
        <f>'Learning curve calcs'!C64</f>
        <v>71.39086991988745</v>
      </c>
      <c r="D73" s="18">
        <f>'Learning curve calcs'!D64</f>
        <v>64.264641193334185</v>
      </c>
      <c r="E73" s="18">
        <f>'Learning curve calcs'!E64</f>
        <v>66.22433016852689</v>
      </c>
      <c r="F73" s="18">
        <f>'Learning curve calcs'!F64</f>
        <v>68.447124882784294</v>
      </c>
      <c r="G73" s="18">
        <f>'Learning curve calcs'!G64</f>
        <v>69.649921532111719</v>
      </c>
      <c r="H73" s="18">
        <f>'Learning curve calcs'!H64</f>
        <v>72.21113028469648</v>
      </c>
      <c r="I73" s="18">
        <f>'Learning curve calcs'!I64</f>
        <v>74.951565041111252</v>
      </c>
      <c r="J73" s="18">
        <f>'Learning curve calcs'!J64</f>
        <v>77.841928625031372</v>
      </c>
    </row>
    <row r="74" spans="2:10">
      <c r="B74">
        <f>'Learning curve calcs'!B65</f>
        <v>2060</v>
      </c>
      <c r="C74" s="18">
        <f>'Learning curve calcs'!C65</f>
        <v>71.395718581019509</v>
      </c>
      <c r="D74" s="18">
        <f>'Learning curve calcs'!D65</f>
        <v>64.269489854466244</v>
      </c>
      <c r="E74" s="18">
        <f>'Learning curve calcs'!E65</f>
        <v>66.229178829658949</v>
      </c>
      <c r="F74" s="18">
        <f>'Learning curve calcs'!F65</f>
        <v>68.451973543916353</v>
      </c>
      <c r="G74" s="18">
        <f>'Learning curve calcs'!G65</f>
        <v>69.654770193243777</v>
      </c>
      <c r="H74" s="18">
        <f>'Learning curve calcs'!H65</f>
        <v>72.215978945828539</v>
      </c>
      <c r="I74" s="18">
        <f>'Learning curve calcs'!I65</f>
        <v>74.95641370224331</v>
      </c>
      <c r="J74" s="18">
        <f>'Learning curve calcs'!J65</f>
        <v>77.84677728616343</v>
      </c>
    </row>
    <row r="75" spans="2:10">
      <c r="B75">
        <f>'Learning curve calcs'!B66</f>
        <v>2061</v>
      </c>
      <c r="C75" s="18">
        <f>'Learning curve calcs'!C66</f>
        <v>71.400567242151567</v>
      </c>
      <c r="D75" s="18">
        <f>'Learning curve calcs'!D66</f>
        <v>64.274338515598302</v>
      </c>
      <c r="E75" s="18">
        <f>'Learning curve calcs'!E66</f>
        <v>66.234027490791007</v>
      </c>
      <c r="F75" s="18">
        <f>'Learning curve calcs'!F66</f>
        <v>68.456822205048411</v>
      </c>
      <c r="G75" s="18">
        <f>'Learning curve calcs'!G66</f>
        <v>69.659618854375836</v>
      </c>
      <c r="H75" s="18">
        <f>'Learning curve calcs'!H66</f>
        <v>72.220827606960597</v>
      </c>
      <c r="I75" s="18">
        <f>'Learning curve calcs'!I66</f>
        <v>74.961262363375369</v>
      </c>
      <c r="J75" s="18">
        <f>'Learning curve calcs'!J66</f>
        <v>77.851625947295489</v>
      </c>
    </row>
    <row r="76" spans="2:10">
      <c r="B76">
        <f>'Learning curve calcs'!B67</f>
        <v>2062</v>
      </c>
      <c r="C76" s="18">
        <f>'Learning curve calcs'!C67</f>
        <v>71.405415903283625</v>
      </c>
      <c r="D76" s="18">
        <f>'Learning curve calcs'!D67</f>
        <v>64.27918717673036</v>
      </c>
      <c r="E76" s="18">
        <f>'Learning curve calcs'!E67</f>
        <v>66.238876151923066</v>
      </c>
      <c r="F76" s="18">
        <f>'Learning curve calcs'!F67</f>
        <v>68.461670866180469</v>
      </c>
      <c r="G76" s="18">
        <f>'Learning curve calcs'!G67</f>
        <v>69.664467515507894</v>
      </c>
      <c r="H76" s="18">
        <f>'Learning curve calcs'!H67</f>
        <v>72.225676268092656</v>
      </c>
      <c r="I76" s="18">
        <f>'Learning curve calcs'!I67</f>
        <v>74.966111024507427</v>
      </c>
      <c r="J76" s="18">
        <f>'Learning curve calcs'!J67</f>
        <v>77.856474608427547</v>
      </c>
    </row>
    <row r="77" spans="2:10">
      <c r="B77">
        <f>'Learning curve calcs'!B68</f>
        <v>2063</v>
      </c>
      <c r="C77" s="18">
        <f>'Learning curve calcs'!C68</f>
        <v>71.410264564415684</v>
      </c>
      <c r="D77" s="18">
        <f>'Learning curve calcs'!D68</f>
        <v>64.284035837862419</v>
      </c>
      <c r="E77" s="18">
        <f>'Learning curve calcs'!E68</f>
        <v>66.243724813055124</v>
      </c>
      <c r="F77" s="18">
        <f>'Learning curve calcs'!F68</f>
        <v>68.466519527312528</v>
      </c>
      <c r="G77" s="18">
        <f>'Learning curve calcs'!G68</f>
        <v>69.669316176639953</v>
      </c>
      <c r="H77" s="18">
        <f>'Learning curve calcs'!H68</f>
        <v>72.230524929224714</v>
      </c>
      <c r="I77" s="18">
        <f>'Learning curve calcs'!I68</f>
        <v>74.970959685639485</v>
      </c>
      <c r="J77" s="18">
        <f>'Learning curve calcs'!J68</f>
        <v>77.861323269559605</v>
      </c>
    </row>
    <row r="78" spans="2:10">
      <c r="B78">
        <f>'Learning curve calcs'!B69</f>
        <v>2064</v>
      </c>
      <c r="C78" s="18">
        <f>'Learning curve calcs'!C69</f>
        <v>71.415113225547742</v>
      </c>
      <c r="D78" s="18">
        <f>'Learning curve calcs'!D69</f>
        <v>64.288884498994477</v>
      </c>
      <c r="E78" s="18">
        <f>'Learning curve calcs'!E69</f>
        <v>66.248573474187182</v>
      </c>
      <c r="F78" s="18">
        <f>'Learning curve calcs'!F69</f>
        <v>68.471368188444586</v>
      </c>
      <c r="G78" s="18">
        <f>'Learning curve calcs'!G69</f>
        <v>69.674164837772011</v>
      </c>
      <c r="H78" s="18">
        <f>'Learning curve calcs'!H69</f>
        <v>72.235373590356772</v>
      </c>
      <c r="I78" s="18">
        <f>'Learning curve calcs'!I69</f>
        <v>74.975808346771544</v>
      </c>
      <c r="J78" s="18">
        <f>'Learning curve calcs'!J69</f>
        <v>77.866171930691664</v>
      </c>
    </row>
    <row r="79" spans="2:10">
      <c r="B79">
        <f>'Learning curve calcs'!B70</f>
        <v>2065</v>
      </c>
      <c r="C79" s="18">
        <f>'Learning curve calcs'!C70</f>
        <v>71.419961886679801</v>
      </c>
      <c r="D79" s="18">
        <f>'Learning curve calcs'!D70</f>
        <v>64.293733160126536</v>
      </c>
      <c r="E79" s="18">
        <f>'Learning curve calcs'!E70</f>
        <v>66.253422135319241</v>
      </c>
      <c r="F79" s="18">
        <f>'Learning curve calcs'!F70</f>
        <v>68.476216849576645</v>
      </c>
      <c r="G79" s="18">
        <f>'Learning curve calcs'!G70</f>
        <v>69.679013498904069</v>
      </c>
      <c r="H79" s="18">
        <f>'Learning curve calcs'!H70</f>
        <v>72.240222251488831</v>
      </c>
      <c r="I79" s="18">
        <f>'Learning curve calcs'!I70</f>
        <v>74.980657007903602</v>
      </c>
      <c r="J79" s="18">
        <f>'Learning curve calcs'!J70</f>
        <v>77.871020591823722</v>
      </c>
    </row>
    <row r="80" spans="2:10">
      <c r="B80">
        <f>'Learning curve calcs'!B71</f>
        <v>2066</v>
      </c>
      <c r="C80" s="18">
        <f>'Learning curve calcs'!C71</f>
        <v>71.424810547811859</v>
      </c>
      <c r="D80" s="18">
        <f>'Learning curve calcs'!D71</f>
        <v>64.298581821258594</v>
      </c>
      <c r="E80" s="18">
        <f>'Learning curve calcs'!E71</f>
        <v>66.258270796451299</v>
      </c>
      <c r="F80" s="18">
        <f>'Learning curve calcs'!F71</f>
        <v>68.481065510708703</v>
      </c>
      <c r="G80" s="18">
        <f>'Learning curve calcs'!G71</f>
        <v>69.683862160036128</v>
      </c>
      <c r="H80" s="18">
        <f>'Learning curve calcs'!H71</f>
        <v>72.245070912620889</v>
      </c>
      <c r="I80" s="18">
        <f>'Learning curve calcs'!I71</f>
        <v>74.985505669035661</v>
      </c>
      <c r="J80" s="18">
        <f>'Learning curve calcs'!J71</f>
        <v>77.875869252955781</v>
      </c>
    </row>
    <row r="81" spans="2:10">
      <c r="B81">
        <f>'Learning curve calcs'!B72</f>
        <v>2067</v>
      </c>
      <c r="C81" s="18">
        <f>'Learning curve calcs'!C72</f>
        <v>71.429659208943917</v>
      </c>
      <c r="D81" s="18">
        <f>'Learning curve calcs'!D72</f>
        <v>64.303430482390652</v>
      </c>
      <c r="E81" s="18">
        <f>'Learning curve calcs'!E72</f>
        <v>66.263119457583358</v>
      </c>
      <c r="F81" s="18">
        <f>'Learning curve calcs'!F72</f>
        <v>68.485914171840761</v>
      </c>
      <c r="G81" s="18">
        <f>'Learning curve calcs'!G72</f>
        <v>69.688710821168186</v>
      </c>
      <c r="H81" s="18">
        <f>'Learning curve calcs'!H72</f>
        <v>72.249919573752948</v>
      </c>
      <c r="I81" s="18">
        <f>'Learning curve calcs'!I72</f>
        <v>74.990354330167719</v>
      </c>
      <c r="J81" s="18">
        <f>'Learning curve calcs'!J72</f>
        <v>77.880717914087839</v>
      </c>
    </row>
    <row r="82" spans="2:10">
      <c r="B82">
        <f>'Learning curve calcs'!B73</f>
        <v>2068</v>
      </c>
      <c r="C82" s="18">
        <f>'Learning curve calcs'!C73</f>
        <v>71.434507870075976</v>
      </c>
      <c r="D82" s="18">
        <f>'Learning curve calcs'!D73</f>
        <v>64.308279143522711</v>
      </c>
      <c r="E82" s="18">
        <f>'Learning curve calcs'!E73</f>
        <v>66.267968118715416</v>
      </c>
      <c r="F82" s="18">
        <f>'Learning curve calcs'!F73</f>
        <v>68.49076283297282</v>
      </c>
      <c r="G82" s="18">
        <f>'Learning curve calcs'!G73</f>
        <v>69.693559482300245</v>
      </c>
      <c r="H82" s="18">
        <f>'Learning curve calcs'!H73</f>
        <v>72.254768234885006</v>
      </c>
      <c r="I82" s="18">
        <f>'Learning curve calcs'!I73</f>
        <v>74.995202991299777</v>
      </c>
      <c r="J82" s="18">
        <f>'Learning curve calcs'!J73</f>
        <v>77.885566575219897</v>
      </c>
    </row>
    <row r="83" spans="2:10">
      <c r="B83">
        <f>'Learning curve calcs'!B74</f>
        <v>2069</v>
      </c>
      <c r="C83" s="18">
        <f>'Learning curve calcs'!C74</f>
        <v>71.439356531208034</v>
      </c>
      <c r="D83" s="18">
        <f>'Learning curve calcs'!D74</f>
        <v>64.313127804654769</v>
      </c>
      <c r="E83" s="18">
        <f>'Learning curve calcs'!E74</f>
        <v>66.272816779847474</v>
      </c>
      <c r="F83" s="18">
        <f>'Learning curve calcs'!F74</f>
        <v>68.495611494104878</v>
      </c>
      <c r="G83" s="18">
        <f>'Learning curve calcs'!G74</f>
        <v>69.698408143432303</v>
      </c>
      <c r="H83" s="18">
        <f>'Learning curve calcs'!H74</f>
        <v>72.259616896017064</v>
      </c>
      <c r="I83" s="18">
        <f>'Learning curve calcs'!I74</f>
        <v>75.000051652431836</v>
      </c>
      <c r="J83" s="18">
        <f>'Learning curve calcs'!J74</f>
        <v>77.890415236351956</v>
      </c>
    </row>
    <row r="84" spans="2:10">
      <c r="B84">
        <f>'Learning curve calcs'!B75</f>
        <v>2070</v>
      </c>
      <c r="C84" s="18">
        <f>'Learning curve calcs'!C75</f>
        <v>71.444205192340092</v>
      </c>
      <c r="D84" s="18">
        <f>'Learning curve calcs'!D75</f>
        <v>64.317976465786828</v>
      </c>
      <c r="E84" s="18">
        <f>'Learning curve calcs'!E75</f>
        <v>66.277665440979533</v>
      </c>
      <c r="F84" s="18">
        <f>'Learning curve calcs'!F75</f>
        <v>68.500460155236937</v>
      </c>
      <c r="G84" s="18">
        <f>'Learning curve calcs'!G75</f>
        <v>69.703256804564361</v>
      </c>
      <c r="H84" s="18">
        <f>'Learning curve calcs'!H75</f>
        <v>72.264465557149123</v>
      </c>
      <c r="I84" s="18">
        <f>'Learning curve calcs'!I75</f>
        <v>75.004900313563894</v>
      </c>
      <c r="J84" s="18">
        <f>'Learning curve calcs'!J75</f>
        <v>77.895263897484014</v>
      </c>
    </row>
    <row r="85" spans="2:10">
      <c r="B85">
        <f>'Learning curve calcs'!B76</f>
        <v>2071</v>
      </c>
      <c r="C85" s="18">
        <f>'Learning curve calcs'!C76</f>
        <v>71.449053853472151</v>
      </c>
      <c r="D85" s="18">
        <f>'Learning curve calcs'!D76</f>
        <v>64.322825126918886</v>
      </c>
      <c r="E85" s="18">
        <f>'Learning curve calcs'!E76</f>
        <v>66.282514102111591</v>
      </c>
      <c r="F85" s="18">
        <f>'Learning curve calcs'!F76</f>
        <v>68.505308816368995</v>
      </c>
      <c r="G85" s="18">
        <f>'Learning curve calcs'!G76</f>
        <v>69.70810546569642</v>
      </c>
      <c r="H85" s="18">
        <f>'Learning curve calcs'!H76</f>
        <v>72.269314218281181</v>
      </c>
      <c r="I85" s="18">
        <f>'Learning curve calcs'!I76</f>
        <v>75.009748974695952</v>
      </c>
      <c r="J85" s="18">
        <f>'Learning curve calcs'!J76</f>
        <v>77.900112558616073</v>
      </c>
    </row>
    <row r="86" spans="2:10">
      <c r="B86">
        <f>'Learning curve calcs'!B77</f>
        <v>2072</v>
      </c>
      <c r="C86" s="18">
        <f>'Learning curve calcs'!C77</f>
        <v>71.453902514604209</v>
      </c>
      <c r="D86" s="18">
        <f>'Learning curve calcs'!D77</f>
        <v>64.327673788050944</v>
      </c>
      <c r="E86" s="18">
        <f>'Learning curve calcs'!E77</f>
        <v>66.28736276324365</v>
      </c>
      <c r="F86" s="18">
        <f>'Learning curve calcs'!F77</f>
        <v>68.510157477501053</v>
      </c>
      <c r="G86" s="18">
        <f>'Learning curve calcs'!G77</f>
        <v>69.712954126828478</v>
      </c>
      <c r="H86" s="18">
        <f>'Learning curve calcs'!H77</f>
        <v>72.27416287941324</v>
      </c>
      <c r="I86" s="18">
        <f>'Learning curve calcs'!I77</f>
        <v>75.014597635828011</v>
      </c>
      <c r="J86" s="18">
        <f>'Learning curve calcs'!J77</f>
        <v>77.904961219748131</v>
      </c>
    </row>
    <row r="87" spans="2:10">
      <c r="B87">
        <f>'Learning curve calcs'!B78</f>
        <v>2073</v>
      </c>
      <c r="C87" s="18">
        <f>'Learning curve calcs'!C78</f>
        <v>71.458751175736268</v>
      </c>
      <c r="D87" s="18">
        <f>'Learning curve calcs'!D78</f>
        <v>64.332522449183003</v>
      </c>
      <c r="E87" s="18">
        <f>'Learning curve calcs'!E78</f>
        <v>66.292211424375708</v>
      </c>
      <c r="F87" s="18">
        <f>'Learning curve calcs'!F78</f>
        <v>68.515006138633112</v>
      </c>
      <c r="G87" s="18">
        <f>'Learning curve calcs'!G78</f>
        <v>69.717802787960537</v>
      </c>
      <c r="H87" s="18">
        <f>'Learning curve calcs'!H78</f>
        <v>72.279011540545298</v>
      </c>
      <c r="I87" s="18">
        <f>'Learning curve calcs'!I78</f>
        <v>75.019446296960069</v>
      </c>
      <c r="J87" s="18">
        <f>'Learning curve calcs'!J78</f>
        <v>77.909809880880189</v>
      </c>
    </row>
    <row r="88" spans="2:10">
      <c r="B88">
        <f>'Learning curve calcs'!B79</f>
        <v>2074</v>
      </c>
      <c r="C88" s="18">
        <f>'Learning curve calcs'!C79</f>
        <v>71.463599836868326</v>
      </c>
      <c r="D88" s="18">
        <f>'Learning curve calcs'!D79</f>
        <v>64.337371110315061</v>
      </c>
      <c r="E88" s="18">
        <f>'Learning curve calcs'!E79</f>
        <v>66.297060085507766</v>
      </c>
      <c r="F88" s="18">
        <f>'Learning curve calcs'!F79</f>
        <v>68.51985479976517</v>
      </c>
      <c r="G88" s="18">
        <f>'Learning curve calcs'!G79</f>
        <v>69.722651449092595</v>
      </c>
      <c r="H88" s="18">
        <f>'Learning curve calcs'!H79</f>
        <v>72.283860201677356</v>
      </c>
      <c r="I88" s="18">
        <f>'Learning curve calcs'!I79</f>
        <v>75.024294958092128</v>
      </c>
      <c r="J88" s="18">
        <f>'Learning curve calcs'!J79</f>
        <v>77.914658542012248</v>
      </c>
    </row>
    <row r="89" spans="2:10">
      <c r="B89">
        <f>'Learning curve calcs'!B80</f>
        <v>2075</v>
      </c>
      <c r="C89" s="18">
        <f>'Learning curve calcs'!C80</f>
        <v>71.468448498000384</v>
      </c>
      <c r="D89" s="18">
        <f>'Learning curve calcs'!D80</f>
        <v>64.34221977144712</v>
      </c>
      <c r="E89" s="18">
        <f>'Learning curve calcs'!E80</f>
        <v>66.301908746639825</v>
      </c>
      <c r="F89" s="18">
        <f>'Learning curve calcs'!F80</f>
        <v>68.524703460897229</v>
      </c>
      <c r="G89" s="18">
        <f>'Learning curve calcs'!G80</f>
        <v>69.727500110224653</v>
      </c>
      <c r="H89" s="18">
        <f>'Learning curve calcs'!H80</f>
        <v>72.288708862809415</v>
      </c>
      <c r="I89" s="18">
        <f>'Learning curve calcs'!I80</f>
        <v>75.029143619224186</v>
      </c>
      <c r="J89" s="18">
        <f>'Learning curve calcs'!J80</f>
        <v>77.919507203144306</v>
      </c>
    </row>
    <row r="90" spans="2:10">
      <c r="B90">
        <f>'Learning curve calcs'!B81</f>
        <v>2076</v>
      </c>
      <c r="C90" s="18">
        <f>'Learning curve calcs'!C81</f>
        <v>71.473297159132443</v>
      </c>
      <c r="D90" s="18">
        <f>'Learning curve calcs'!D81</f>
        <v>64.347068432579178</v>
      </c>
      <c r="E90" s="18">
        <f>'Learning curve calcs'!E81</f>
        <v>66.306757407771883</v>
      </c>
      <c r="F90" s="18">
        <f>'Learning curve calcs'!F81</f>
        <v>68.529552122029287</v>
      </c>
      <c r="G90" s="18">
        <f>'Learning curve calcs'!G81</f>
        <v>69.732348771356712</v>
      </c>
      <c r="H90" s="18">
        <f>'Learning curve calcs'!H81</f>
        <v>72.293557523941473</v>
      </c>
      <c r="I90" s="18">
        <f>'Learning curve calcs'!I81</f>
        <v>75.033992280356244</v>
      </c>
      <c r="J90" s="18">
        <f>'Learning curve calcs'!J81</f>
        <v>77.924355864276365</v>
      </c>
    </row>
    <row r="91" spans="2:10">
      <c r="B91">
        <f>'Learning curve calcs'!B82</f>
        <v>2077</v>
      </c>
      <c r="C91" s="18">
        <f>'Learning curve calcs'!C82</f>
        <v>71.478145820264501</v>
      </c>
      <c r="D91" s="18">
        <f>'Learning curve calcs'!D82</f>
        <v>64.351917093711236</v>
      </c>
      <c r="E91" s="18">
        <f>'Learning curve calcs'!E82</f>
        <v>66.311606068903941</v>
      </c>
      <c r="F91" s="18">
        <f>'Learning curve calcs'!F82</f>
        <v>68.534400783161345</v>
      </c>
      <c r="G91" s="18">
        <f>'Learning curve calcs'!G82</f>
        <v>69.73719743248877</v>
      </c>
      <c r="H91" s="18">
        <f>'Learning curve calcs'!H82</f>
        <v>72.298406185073532</v>
      </c>
      <c r="I91" s="18">
        <f>'Learning curve calcs'!I82</f>
        <v>75.038840941488303</v>
      </c>
      <c r="J91" s="18">
        <f>'Learning curve calcs'!J82</f>
        <v>77.929204525408423</v>
      </c>
    </row>
    <row r="92" spans="2:10">
      <c r="B92">
        <f>'Learning curve calcs'!B83</f>
        <v>2078</v>
      </c>
      <c r="C92" s="18">
        <f>'Learning curve calcs'!C83</f>
        <v>71.48299448139656</v>
      </c>
      <c r="D92" s="18">
        <f>'Learning curve calcs'!D83</f>
        <v>64.356765754843295</v>
      </c>
      <c r="E92" s="18">
        <f>'Learning curve calcs'!E83</f>
        <v>66.316454730036</v>
      </c>
      <c r="F92" s="18">
        <f>'Learning curve calcs'!F83</f>
        <v>68.539249444293404</v>
      </c>
      <c r="G92" s="18">
        <f>'Learning curve calcs'!G83</f>
        <v>69.742046093620829</v>
      </c>
      <c r="H92" s="18">
        <f>'Learning curve calcs'!H83</f>
        <v>72.30325484620559</v>
      </c>
      <c r="I92" s="18">
        <f>'Learning curve calcs'!I83</f>
        <v>75.043689602620361</v>
      </c>
      <c r="J92" s="18">
        <f>'Learning curve calcs'!J83</f>
        <v>77.934053186540481</v>
      </c>
    </row>
    <row r="93" spans="2:10">
      <c r="B93">
        <f>'Learning curve calcs'!B84</f>
        <v>2079</v>
      </c>
      <c r="C93" s="18">
        <f>'Learning curve calcs'!C84</f>
        <v>71.487843142528618</v>
      </c>
      <c r="D93" s="18">
        <f>'Learning curve calcs'!D84</f>
        <v>64.361614415975353</v>
      </c>
      <c r="E93" s="18">
        <f>'Learning curve calcs'!E84</f>
        <v>66.321303391168058</v>
      </c>
      <c r="F93" s="18">
        <f>'Learning curve calcs'!F84</f>
        <v>68.544098105425462</v>
      </c>
      <c r="G93" s="18">
        <f>'Learning curve calcs'!G84</f>
        <v>69.746894754752887</v>
      </c>
      <c r="H93" s="18">
        <f>'Learning curve calcs'!H84</f>
        <v>72.308103507337648</v>
      </c>
      <c r="I93" s="18">
        <f>'Learning curve calcs'!I84</f>
        <v>75.04853826375242</v>
      </c>
      <c r="J93" s="18">
        <f>'Learning curve calcs'!J84</f>
        <v>77.93890184767254</v>
      </c>
    </row>
    <row r="94" spans="2:10">
      <c r="B94">
        <f>'Learning curve calcs'!B85</f>
        <v>2080</v>
      </c>
      <c r="C94" s="18">
        <f>'Learning curve calcs'!C85</f>
        <v>71.492691803660676</v>
      </c>
      <c r="D94" s="18">
        <f>'Learning curve calcs'!D85</f>
        <v>64.366463077107412</v>
      </c>
      <c r="E94" s="18">
        <f>'Learning curve calcs'!E85</f>
        <v>66.326152052300117</v>
      </c>
      <c r="F94" s="18">
        <f>'Learning curve calcs'!F85</f>
        <v>68.548946766557521</v>
      </c>
      <c r="G94" s="18">
        <f>'Learning curve calcs'!G85</f>
        <v>69.751743415884945</v>
      </c>
      <c r="H94" s="18">
        <f>'Learning curve calcs'!H85</f>
        <v>72.312952168469707</v>
      </c>
      <c r="I94" s="18">
        <f>'Learning curve calcs'!I85</f>
        <v>75.053386924884478</v>
      </c>
      <c r="J94" s="18">
        <f>'Learning curve calcs'!J85</f>
        <v>77.943750508804598</v>
      </c>
    </row>
    <row r="95" spans="2:10">
      <c r="B95">
        <f>'Learning curve calcs'!B86</f>
        <v>2081</v>
      </c>
      <c r="C95" s="18">
        <f>'Learning curve calcs'!C86</f>
        <v>71.497540464792735</v>
      </c>
      <c r="D95" s="18">
        <f>'Learning curve calcs'!D86</f>
        <v>64.37131173823947</v>
      </c>
      <c r="E95" s="18">
        <f>'Learning curve calcs'!E86</f>
        <v>66.331000713432175</v>
      </c>
      <c r="F95" s="18">
        <f>'Learning curve calcs'!F86</f>
        <v>68.553795427689579</v>
      </c>
      <c r="G95" s="18">
        <f>'Learning curve calcs'!G86</f>
        <v>69.756592077017004</v>
      </c>
      <c r="H95" s="18">
        <f>'Learning curve calcs'!H86</f>
        <v>72.317800829601765</v>
      </c>
      <c r="I95" s="18">
        <f>'Learning curve calcs'!I86</f>
        <v>75.058235586016536</v>
      </c>
      <c r="J95" s="18">
        <f>'Learning curve calcs'!J86</f>
        <v>77.948599169936656</v>
      </c>
    </row>
    <row r="96" spans="2:10">
      <c r="B96">
        <f>'Learning curve calcs'!B87</f>
        <v>2082</v>
      </c>
      <c r="C96" s="18">
        <f>'Learning curve calcs'!C87</f>
        <v>71.502389125924793</v>
      </c>
      <c r="D96" s="18">
        <f>'Learning curve calcs'!D87</f>
        <v>64.376160399371528</v>
      </c>
      <c r="E96" s="18">
        <f>'Learning curve calcs'!E87</f>
        <v>66.335849374564233</v>
      </c>
      <c r="F96" s="18">
        <f>'Learning curve calcs'!F87</f>
        <v>68.558644088821637</v>
      </c>
      <c r="G96" s="18">
        <f>'Learning curve calcs'!G87</f>
        <v>69.761440738149062</v>
      </c>
      <c r="H96" s="18">
        <f>'Learning curve calcs'!H87</f>
        <v>72.322649490733824</v>
      </c>
      <c r="I96" s="18">
        <f>'Learning curve calcs'!I87</f>
        <v>75.063084247148595</v>
      </c>
      <c r="J96" s="18">
        <f>'Learning curve calcs'!J87</f>
        <v>77.953447831068715</v>
      </c>
    </row>
    <row r="97" spans="2:10">
      <c r="B97">
        <f>'Learning curve calcs'!B88</f>
        <v>2083</v>
      </c>
      <c r="C97" s="18">
        <f>'Learning curve calcs'!C88</f>
        <v>71.507237787056852</v>
      </c>
      <c r="D97" s="18">
        <f>'Learning curve calcs'!D88</f>
        <v>64.381009060503587</v>
      </c>
      <c r="E97" s="18">
        <f>'Learning curve calcs'!E88</f>
        <v>66.340698035696292</v>
      </c>
      <c r="F97" s="18">
        <f>'Learning curve calcs'!F88</f>
        <v>68.563492749953696</v>
      </c>
      <c r="G97" s="18">
        <f>'Learning curve calcs'!G88</f>
        <v>69.766289399281121</v>
      </c>
      <c r="H97" s="18">
        <f>'Learning curve calcs'!H88</f>
        <v>72.327498151865882</v>
      </c>
      <c r="I97" s="18">
        <f>'Learning curve calcs'!I88</f>
        <v>75.067932908280653</v>
      </c>
      <c r="J97" s="18">
        <f>'Learning curve calcs'!J88</f>
        <v>77.958296492200773</v>
      </c>
    </row>
    <row r="98" spans="2:10">
      <c r="B98">
        <f>'Learning curve calcs'!B89</f>
        <v>2084</v>
      </c>
      <c r="C98" s="18">
        <f>'Learning curve calcs'!C89</f>
        <v>71.51208644818891</v>
      </c>
      <c r="D98" s="18">
        <f>'Learning curve calcs'!D89</f>
        <v>64.385857721635645</v>
      </c>
      <c r="E98" s="18">
        <f>'Learning curve calcs'!E89</f>
        <v>66.34554669682835</v>
      </c>
      <c r="F98" s="18">
        <f>'Learning curve calcs'!F89</f>
        <v>68.568341411085754</v>
      </c>
      <c r="G98" s="18">
        <f>'Learning curve calcs'!G89</f>
        <v>69.771138060413179</v>
      </c>
      <c r="H98" s="18">
        <f>'Learning curve calcs'!H89</f>
        <v>72.33234681299794</v>
      </c>
      <c r="I98" s="18">
        <f>'Learning curve calcs'!I89</f>
        <v>75.072781569412712</v>
      </c>
      <c r="J98" s="18">
        <f>'Learning curve calcs'!J89</f>
        <v>77.963145153332832</v>
      </c>
    </row>
    <row r="99" spans="2:10">
      <c r="B99">
        <f>'Learning curve calcs'!B90</f>
        <v>2085</v>
      </c>
      <c r="C99" s="18">
        <f>'Learning curve calcs'!C90</f>
        <v>71.516935109320968</v>
      </c>
      <c r="D99" s="18">
        <f>'Learning curve calcs'!D90</f>
        <v>64.390706382767704</v>
      </c>
      <c r="E99" s="18">
        <f>'Learning curve calcs'!E90</f>
        <v>66.350395357960409</v>
      </c>
      <c r="F99" s="18">
        <f>'Learning curve calcs'!F90</f>
        <v>68.573190072217812</v>
      </c>
      <c r="G99" s="18">
        <f>'Learning curve calcs'!G90</f>
        <v>69.775986721545237</v>
      </c>
      <c r="H99" s="18">
        <f>'Learning curve calcs'!H90</f>
        <v>72.337195474129999</v>
      </c>
      <c r="I99" s="18">
        <f>'Learning curve calcs'!I90</f>
        <v>75.07763023054477</v>
      </c>
      <c r="J99" s="18">
        <f>'Learning curve calcs'!J90</f>
        <v>77.96799381446489</v>
      </c>
    </row>
    <row r="100" spans="2:10">
      <c r="B100">
        <f>'Learning curve calcs'!B91</f>
        <v>2086</v>
      </c>
      <c r="C100" s="18">
        <f>'Learning curve calcs'!C91</f>
        <v>71.521783770453027</v>
      </c>
      <c r="D100" s="18">
        <f>'Learning curve calcs'!D91</f>
        <v>64.395555043899762</v>
      </c>
      <c r="E100" s="18">
        <f>'Learning curve calcs'!E91</f>
        <v>66.355244019092467</v>
      </c>
      <c r="F100" s="18">
        <f>'Learning curve calcs'!F91</f>
        <v>68.578038733349871</v>
      </c>
      <c r="G100" s="18">
        <f>'Learning curve calcs'!G91</f>
        <v>69.780835382677296</v>
      </c>
      <c r="H100" s="18">
        <f>'Learning curve calcs'!H91</f>
        <v>72.342044135262057</v>
      </c>
      <c r="I100" s="18">
        <f>'Learning curve calcs'!I91</f>
        <v>75.082478891676828</v>
      </c>
      <c r="J100" s="18">
        <f>'Learning curve calcs'!J91</f>
        <v>77.972842475596948</v>
      </c>
    </row>
    <row r="101" spans="2:10">
      <c r="B101">
        <f>'Learning curve calcs'!B92</f>
        <v>2087</v>
      </c>
      <c r="C101" s="18">
        <f>'Learning curve calcs'!C92</f>
        <v>71.526632431585085</v>
      </c>
      <c r="D101" s="18">
        <f>'Learning curve calcs'!D92</f>
        <v>64.40040370503182</v>
      </c>
      <c r="E101" s="18">
        <f>'Learning curve calcs'!E92</f>
        <v>66.360092680224525</v>
      </c>
      <c r="F101" s="18">
        <f>'Learning curve calcs'!F92</f>
        <v>68.582887394481929</v>
      </c>
      <c r="G101" s="18">
        <f>'Learning curve calcs'!G92</f>
        <v>69.785684043809354</v>
      </c>
      <c r="H101" s="18">
        <f>'Learning curve calcs'!H92</f>
        <v>72.346892796394116</v>
      </c>
      <c r="I101" s="18">
        <f>'Learning curve calcs'!I92</f>
        <v>75.087327552808887</v>
      </c>
      <c r="J101" s="18">
        <f>'Learning curve calcs'!J92</f>
        <v>77.977691136729007</v>
      </c>
    </row>
    <row r="102" spans="2:10">
      <c r="B102">
        <f>'Learning curve calcs'!B93</f>
        <v>2088</v>
      </c>
      <c r="C102" s="18">
        <f>'Learning curve calcs'!C93</f>
        <v>71.531481092717144</v>
      </c>
      <c r="D102" s="18">
        <f>'Learning curve calcs'!D93</f>
        <v>64.405252366163879</v>
      </c>
      <c r="E102" s="18">
        <f>'Learning curve calcs'!E93</f>
        <v>66.364941341356584</v>
      </c>
      <c r="F102" s="18">
        <f>'Learning curve calcs'!F93</f>
        <v>68.587736055613988</v>
      </c>
      <c r="G102" s="18">
        <f>'Learning curve calcs'!G93</f>
        <v>69.790532704941413</v>
      </c>
      <c r="H102" s="18">
        <f>'Learning curve calcs'!H93</f>
        <v>72.351741457526174</v>
      </c>
      <c r="I102" s="18">
        <f>'Learning curve calcs'!I93</f>
        <v>75.092176213940945</v>
      </c>
      <c r="J102" s="18">
        <f>'Learning curve calcs'!J93</f>
        <v>77.982539797861065</v>
      </c>
    </row>
    <row r="103" spans="2:10">
      <c r="B103">
        <f>'Learning curve calcs'!B94</f>
        <v>2089</v>
      </c>
      <c r="C103" s="18">
        <f>'Learning curve calcs'!C94</f>
        <v>71.536329753849202</v>
      </c>
      <c r="D103" s="18">
        <f>'Learning curve calcs'!D94</f>
        <v>64.410101027295937</v>
      </c>
      <c r="E103" s="18">
        <f>'Learning curve calcs'!E94</f>
        <v>66.369790002488642</v>
      </c>
      <c r="F103" s="18">
        <f>'Learning curve calcs'!F94</f>
        <v>68.592584716746046</v>
      </c>
      <c r="G103" s="18">
        <f>'Learning curve calcs'!G94</f>
        <v>69.795381366073471</v>
      </c>
      <c r="H103" s="18">
        <f>'Learning curve calcs'!H94</f>
        <v>72.356590118658232</v>
      </c>
      <c r="I103" s="18">
        <f>'Learning curve calcs'!I94</f>
        <v>75.097024875073004</v>
      </c>
      <c r="J103" s="18">
        <f>'Learning curve calcs'!J94</f>
        <v>77.987388458993124</v>
      </c>
    </row>
    <row r="104" spans="2:10">
      <c r="B104">
        <f>'Learning curve calcs'!B95</f>
        <v>2090</v>
      </c>
      <c r="C104" s="18">
        <f>'Learning curve calcs'!C95</f>
        <v>71.54117841498126</v>
      </c>
      <c r="D104" s="18">
        <f>'Learning curve calcs'!D95</f>
        <v>64.414949688427996</v>
      </c>
      <c r="E104" s="18">
        <f>'Learning curve calcs'!E95</f>
        <v>66.374638663620701</v>
      </c>
      <c r="F104" s="18">
        <f>'Learning curve calcs'!F95</f>
        <v>68.597433377878104</v>
      </c>
      <c r="G104" s="18">
        <f>'Learning curve calcs'!G95</f>
        <v>69.800230027205529</v>
      </c>
      <c r="H104" s="18">
        <f>'Learning curve calcs'!H95</f>
        <v>72.361438779790291</v>
      </c>
      <c r="I104" s="18">
        <f>'Learning curve calcs'!I95</f>
        <v>75.101873536205062</v>
      </c>
      <c r="J104" s="18">
        <f>'Learning curve calcs'!J95</f>
        <v>77.992237120125182</v>
      </c>
    </row>
    <row r="105" spans="2:10">
      <c r="B105">
        <f>'Learning curve calcs'!B96</f>
        <v>2091</v>
      </c>
      <c r="C105" s="18">
        <f>'Learning curve calcs'!C96</f>
        <v>71.546027076113319</v>
      </c>
      <c r="D105" s="18">
        <f>'Learning curve calcs'!D96</f>
        <v>64.419798349560054</v>
      </c>
      <c r="E105" s="18">
        <f>'Learning curve calcs'!E96</f>
        <v>66.379487324752759</v>
      </c>
      <c r="F105" s="18">
        <f>'Learning curve calcs'!F96</f>
        <v>68.602282039010163</v>
      </c>
      <c r="G105" s="18">
        <f>'Learning curve calcs'!G96</f>
        <v>69.805078688337588</v>
      </c>
      <c r="H105" s="18">
        <f>'Learning curve calcs'!H96</f>
        <v>72.366287440922349</v>
      </c>
      <c r="I105" s="18">
        <f>'Learning curve calcs'!I96</f>
        <v>75.10672219733712</v>
      </c>
      <c r="J105" s="18">
        <f>'Learning curve calcs'!J96</f>
        <v>77.99708578125724</v>
      </c>
    </row>
    <row r="106" spans="2:10">
      <c r="B106">
        <f>'Learning curve calcs'!B97</f>
        <v>2092</v>
      </c>
      <c r="C106" s="18">
        <f>'Learning curve calcs'!C97</f>
        <v>71.550875737245377</v>
      </c>
      <c r="D106" s="18">
        <f>'Learning curve calcs'!D97</f>
        <v>64.424647010692112</v>
      </c>
      <c r="E106" s="18">
        <f>'Learning curve calcs'!E97</f>
        <v>66.384335985884817</v>
      </c>
      <c r="F106" s="18">
        <f>'Learning curve calcs'!F97</f>
        <v>68.607130700142221</v>
      </c>
      <c r="G106" s="18">
        <f>'Learning curve calcs'!G97</f>
        <v>69.809927349469646</v>
      </c>
      <c r="H106" s="18">
        <f>'Learning curve calcs'!H97</f>
        <v>72.371136102054408</v>
      </c>
      <c r="I106" s="18">
        <f>'Learning curve calcs'!I97</f>
        <v>75.111570858469179</v>
      </c>
      <c r="J106" s="18">
        <f>'Learning curve calcs'!J97</f>
        <v>78.001934442389299</v>
      </c>
    </row>
    <row r="107" spans="2:10">
      <c r="B107">
        <f>'Learning curve calcs'!B98</f>
        <v>2093</v>
      </c>
      <c r="C107" s="18">
        <f>'Learning curve calcs'!C98</f>
        <v>71.555724398377436</v>
      </c>
      <c r="D107" s="18">
        <f>'Learning curve calcs'!D98</f>
        <v>64.429495671824171</v>
      </c>
      <c r="E107" s="18">
        <f>'Learning curve calcs'!E98</f>
        <v>66.389184647016876</v>
      </c>
      <c r="F107" s="18">
        <f>'Learning curve calcs'!F98</f>
        <v>68.61197936127428</v>
      </c>
      <c r="G107" s="18">
        <f>'Learning curve calcs'!G98</f>
        <v>69.814776010601705</v>
      </c>
      <c r="H107" s="18">
        <f>'Learning curve calcs'!H98</f>
        <v>72.375984763186466</v>
      </c>
      <c r="I107" s="18">
        <f>'Learning curve calcs'!I98</f>
        <v>75.116419519601237</v>
      </c>
      <c r="J107" s="18">
        <f>'Learning curve calcs'!J98</f>
        <v>78.006783103521357</v>
      </c>
    </row>
    <row r="108" spans="2:10">
      <c r="B108">
        <f>'Learning curve calcs'!B99</f>
        <v>2094</v>
      </c>
      <c r="C108" s="18">
        <f>'Learning curve calcs'!C99</f>
        <v>71.560573059509494</v>
      </c>
      <c r="D108" s="18">
        <f>'Learning curve calcs'!D99</f>
        <v>64.434344332956229</v>
      </c>
      <c r="E108" s="18">
        <f>'Learning curve calcs'!E99</f>
        <v>66.394033308148934</v>
      </c>
      <c r="F108" s="18">
        <f>'Learning curve calcs'!F99</f>
        <v>68.616828022406338</v>
      </c>
      <c r="G108" s="18">
        <f>'Learning curve calcs'!G99</f>
        <v>69.819624671733763</v>
      </c>
      <c r="H108" s="18">
        <f>'Learning curve calcs'!H99</f>
        <v>72.380833424318524</v>
      </c>
      <c r="I108" s="18">
        <f>'Learning curve calcs'!I99</f>
        <v>75.121268180733296</v>
      </c>
      <c r="J108" s="18">
        <f>'Learning curve calcs'!J99</f>
        <v>78.011631764653416</v>
      </c>
    </row>
    <row r="109" spans="2:10">
      <c r="B109">
        <f>'Learning curve calcs'!B100</f>
        <v>2095</v>
      </c>
      <c r="C109" s="18">
        <f>'Learning curve calcs'!C100</f>
        <v>71.565421720641552</v>
      </c>
      <c r="D109" s="18">
        <f>'Learning curve calcs'!D100</f>
        <v>64.439192994088287</v>
      </c>
      <c r="E109" s="18">
        <f>'Learning curve calcs'!E100</f>
        <v>66.398881969280993</v>
      </c>
      <c r="F109" s="18">
        <f>'Learning curve calcs'!F100</f>
        <v>68.621676683538396</v>
      </c>
      <c r="G109" s="18">
        <f>'Learning curve calcs'!G100</f>
        <v>69.824473332865821</v>
      </c>
      <c r="H109" s="18">
        <f>'Learning curve calcs'!H100</f>
        <v>72.385682085450583</v>
      </c>
      <c r="I109" s="18">
        <f>'Learning curve calcs'!I100</f>
        <v>75.126116841865354</v>
      </c>
      <c r="J109" s="18">
        <f>'Learning curve calcs'!J100</f>
        <v>78.016480425785474</v>
      </c>
    </row>
    <row r="110" spans="2:10">
      <c r="B110">
        <f>'Learning curve calcs'!B101</f>
        <v>2096</v>
      </c>
      <c r="C110" s="18">
        <f>'Learning curve calcs'!C101</f>
        <v>71.570270381773611</v>
      </c>
      <c r="D110" s="18">
        <f>'Learning curve calcs'!D101</f>
        <v>64.444041655220346</v>
      </c>
      <c r="E110" s="18">
        <f>'Learning curve calcs'!E101</f>
        <v>66.403730630413051</v>
      </c>
      <c r="F110" s="18">
        <f>'Learning curve calcs'!F101</f>
        <v>68.626525344670455</v>
      </c>
      <c r="G110" s="18">
        <f>'Learning curve calcs'!G101</f>
        <v>69.82932199399788</v>
      </c>
      <c r="H110" s="18">
        <f>'Learning curve calcs'!H101</f>
        <v>72.390530746582641</v>
      </c>
      <c r="I110" s="18">
        <f>'Learning curve calcs'!I101</f>
        <v>75.130965502997412</v>
      </c>
      <c r="J110" s="18">
        <f>'Learning curve calcs'!J101</f>
        <v>78.021329086917532</v>
      </c>
    </row>
    <row r="111" spans="2:10">
      <c r="B111">
        <f>'Learning curve calcs'!B102</f>
        <v>2097</v>
      </c>
      <c r="C111" s="18">
        <f>'Learning curve calcs'!C102</f>
        <v>71.575119042905669</v>
      </c>
      <c r="D111" s="18">
        <f>'Learning curve calcs'!D102</f>
        <v>64.448890316352404</v>
      </c>
      <c r="E111" s="18">
        <f>'Learning curve calcs'!E102</f>
        <v>66.408579291545109</v>
      </c>
      <c r="F111" s="18">
        <f>'Learning curve calcs'!F102</f>
        <v>68.631374005802513</v>
      </c>
      <c r="G111" s="18">
        <f>'Learning curve calcs'!G102</f>
        <v>69.834170655129938</v>
      </c>
      <c r="H111" s="18">
        <f>'Learning curve calcs'!H102</f>
        <v>72.395379407714699</v>
      </c>
      <c r="I111" s="18">
        <f>'Learning curve calcs'!I102</f>
        <v>75.135814164129471</v>
      </c>
      <c r="J111" s="18">
        <f>'Learning curve calcs'!J102</f>
        <v>78.026177748049591</v>
      </c>
    </row>
    <row r="112" spans="2:10">
      <c r="B112">
        <f>'Learning curve calcs'!B103</f>
        <v>2098</v>
      </c>
      <c r="C112" s="18">
        <f>'Learning curve calcs'!C103</f>
        <v>71.579967704037728</v>
      </c>
      <c r="D112" s="18">
        <f>'Learning curve calcs'!D103</f>
        <v>64.453738977484463</v>
      </c>
      <c r="E112" s="18">
        <f>'Learning curve calcs'!E103</f>
        <v>66.413427952677168</v>
      </c>
      <c r="F112" s="18">
        <f>'Learning curve calcs'!F103</f>
        <v>68.636222666934572</v>
      </c>
      <c r="G112" s="18">
        <f>'Learning curve calcs'!G103</f>
        <v>69.839019316261997</v>
      </c>
      <c r="H112" s="18">
        <f>'Learning curve calcs'!H103</f>
        <v>72.400228068846758</v>
      </c>
      <c r="I112" s="18">
        <f>'Learning curve calcs'!I103</f>
        <v>75.140662825261529</v>
      </c>
      <c r="J112" s="18">
        <f>'Learning curve calcs'!J103</f>
        <v>78.031026409181649</v>
      </c>
    </row>
    <row r="113" spans="2:10">
      <c r="B113">
        <f>'Learning curve calcs'!B104</f>
        <v>2099</v>
      </c>
      <c r="C113" s="18">
        <f>'Learning curve calcs'!C104</f>
        <v>71.584816365169786</v>
      </c>
      <c r="D113" s="18">
        <f>'Learning curve calcs'!D104</f>
        <v>64.458587638616521</v>
      </c>
      <c r="E113" s="18">
        <f>'Learning curve calcs'!E104</f>
        <v>66.418276613809226</v>
      </c>
      <c r="F113" s="18">
        <f>'Learning curve calcs'!F104</f>
        <v>68.64107132806663</v>
      </c>
      <c r="G113" s="18">
        <f>'Learning curve calcs'!G104</f>
        <v>69.843867977394055</v>
      </c>
      <c r="H113" s="18">
        <f>'Learning curve calcs'!H104</f>
        <v>72.405076729978816</v>
      </c>
      <c r="I113" s="18">
        <f>'Learning curve calcs'!I104</f>
        <v>75.145511486393588</v>
      </c>
      <c r="J113" s="18">
        <f>'Learning curve calcs'!J104</f>
        <v>78.035875070313708</v>
      </c>
    </row>
    <row r="114" spans="2:10">
      <c r="B114">
        <f>'Learning curve calcs'!B105</f>
        <v>2100</v>
      </c>
      <c r="C114" s="18">
        <f>'Learning curve calcs'!C105</f>
        <v>71.589665026301844</v>
      </c>
      <c r="D114" s="18">
        <f>'Learning curve calcs'!D105</f>
        <v>64.463436299748579</v>
      </c>
      <c r="E114" s="18">
        <f>'Learning curve calcs'!E105</f>
        <v>66.423125274941285</v>
      </c>
      <c r="F114" s="18">
        <f>'Learning curve calcs'!F105</f>
        <v>68.645919989198688</v>
      </c>
      <c r="G114" s="18">
        <f>'Learning curve calcs'!G105</f>
        <v>69.848716638526113</v>
      </c>
      <c r="H114" s="18">
        <f>'Learning curve calcs'!H105</f>
        <v>72.409925391110875</v>
      </c>
      <c r="I114" s="18">
        <f>'Learning curve calcs'!I105</f>
        <v>75.150360147525646</v>
      </c>
      <c r="J114" s="18">
        <f>'Learning curve calcs'!J105</f>
        <v>78.040723731445766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9EF39-2D30-1B4A-98FE-3304F2A5BF37}">
  <dimension ref="A4:K48"/>
  <sheetViews>
    <sheetView topLeftCell="A6" workbookViewId="0">
      <selection activeCell="E8" sqref="E8:E9"/>
    </sheetView>
    <sheetView workbookViewId="1"/>
  </sheetViews>
  <sheetFormatPr defaultColWidth="11" defaultRowHeight="15.95"/>
  <cols>
    <col min="2" max="2" width="40.875" bestFit="1" customWidth="1"/>
    <col min="3" max="3" width="32.625" customWidth="1"/>
    <col min="4" max="4" width="25.875" customWidth="1"/>
  </cols>
  <sheetData>
    <row r="4" spans="1:11">
      <c r="A4" t="s">
        <v>207</v>
      </c>
    </row>
    <row r="5" spans="1:11" s="51" customFormat="1" ht="84.95">
      <c r="B5" s="52" t="s">
        <v>208</v>
      </c>
      <c r="C5" s="51" t="s">
        <v>209</v>
      </c>
      <c r="D5" s="51" t="s">
        <v>210</v>
      </c>
      <c r="E5" s="51" t="s">
        <v>211</v>
      </c>
    </row>
    <row r="6" spans="1:11" s="51" customFormat="1" ht="170.1">
      <c r="B6" s="52" t="s">
        <v>212</v>
      </c>
      <c r="C6" s="51" t="s">
        <v>213</v>
      </c>
      <c r="D6" s="51" t="s">
        <v>214</v>
      </c>
      <c r="E6" s="51" t="s">
        <v>215</v>
      </c>
    </row>
    <row r="7" spans="1:11">
      <c r="J7">
        <v>2022</v>
      </c>
    </row>
    <row r="8" spans="1:11">
      <c r="B8" s="24" t="str">
        <f>LCOE!C4</f>
        <v>Type</v>
      </c>
      <c r="C8" s="5" t="s">
        <v>216</v>
      </c>
      <c r="D8" s="5" t="s">
        <v>216</v>
      </c>
      <c r="E8" s="5" t="s">
        <v>15</v>
      </c>
      <c r="J8" t="s">
        <v>217</v>
      </c>
      <c r="K8">
        <v>91.3</v>
      </c>
    </row>
    <row r="9" spans="1:11">
      <c r="B9" s="24" t="str">
        <f>LCOE!C5</f>
        <v>Name</v>
      </c>
      <c r="C9" s="5" t="s">
        <v>218</v>
      </c>
      <c r="D9" s="5" t="s">
        <v>219</v>
      </c>
      <c r="E9" s="5" t="s">
        <v>18</v>
      </c>
      <c r="J9" t="s">
        <v>220</v>
      </c>
      <c r="K9">
        <v>90.5</v>
      </c>
    </row>
    <row r="10" spans="1:11">
      <c r="B10" s="24" t="str">
        <f>LCOE!C6</f>
        <v>Currency used for LCOE calculations</v>
      </c>
      <c r="C10" s="5" t="s">
        <v>124</v>
      </c>
      <c r="D10" s="5" t="s">
        <v>124</v>
      </c>
      <c r="E10" s="5" t="s">
        <v>124</v>
      </c>
      <c r="J10">
        <v>3</v>
      </c>
    </row>
    <row r="11" spans="1:11">
      <c r="B11" s="24" t="str">
        <f>LCOE!C7</f>
        <v>Price reference year</v>
      </c>
    </row>
    <row r="12" spans="1:11">
      <c r="B12" s="24" t="str">
        <f>LCOE!C8</f>
        <v>Currency used</v>
      </c>
      <c r="C12" s="5" t="s">
        <v>124</v>
      </c>
      <c r="D12" s="5" t="s">
        <v>124</v>
      </c>
      <c r="E12" s="5" t="s">
        <v>124</v>
      </c>
    </row>
    <row r="13" spans="1:11">
      <c r="B13" s="24" t="str">
        <f>LCOE!C9</f>
        <v>Conversion rate at reference year</v>
      </c>
      <c r="C13" s="5">
        <v>1</v>
      </c>
      <c r="D13" s="5">
        <v>1</v>
      </c>
      <c r="E13" s="5">
        <v>1</v>
      </c>
    </row>
    <row r="14" spans="1:11">
      <c r="B14" s="24" t="str">
        <f>LCOE!C10</f>
        <v>Debt %</v>
      </c>
      <c r="C14" s="9">
        <v>0.9</v>
      </c>
      <c r="D14" s="9">
        <v>0.9</v>
      </c>
      <c r="E14" s="9">
        <v>0.9</v>
      </c>
    </row>
    <row r="15" spans="1:11">
      <c r="B15" s="24" t="str">
        <f>LCOE!C11</f>
        <v>Cost of debt (private discount rate)</v>
      </c>
      <c r="C15" s="6">
        <v>0.05</v>
      </c>
      <c r="D15" s="6">
        <v>0.05</v>
      </c>
      <c r="E15" s="6">
        <v>0.05</v>
      </c>
    </row>
    <row r="16" spans="1:11">
      <c r="B16" s="24" t="str">
        <f>LCOE!C12</f>
        <v>Cost of equity (discount rate)</v>
      </c>
      <c r="C16" s="6">
        <v>0.05</v>
      </c>
      <c r="D16" s="6">
        <v>0.05</v>
      </c>
      <c r="E16" s="6">
        <v>0.05</v>
      </c>
    </row>
    <row r="17" spans="2:5">
      <c r="B17" s="24" t="str">
        <f>LCOE!C13</f>
        <v>Construction cost per kW</v>
      </c>
      <c r="C17" s="5">
        <v>4441.17</v>
      </c>
      <c r="D17" s="5">
        <v>4755</v>
      </c>
      <c r="E17" s="5">
        <v>960</v>
      </c>
    </row>
    <row r="18" spans="2:5">
      <c r="B18" s="24" t="str">
        <f>LCOE!C14</f>
        <v>Maximum electric power, in MW_e</v>
      </c>
      <c r="C18" s="5">
        <v>1117</v>
      </c>
      <c r="D18" s="5">
        <v>1650</v>
      </c>
      <c r="E18" s="5">
        <v>500</v>
      </c>
    </row>
    <row r="19" spans="2:5">
      <c r="B19" s="24" t="str">
        <f>LCOE!C15</f>
        <v>Maximum heat power, in MW_h</v>
      </c>
      <c r="C19" s="5">
        <v>0</v>
      </c>
      <c r="D19" s="5">
        <v>0</v>
      </c>
      <c r="E19" s="5">
        <v>0</v>
      </c>
    </row>
    <row r="20" spans="2:5">
      <c r="B20" s="24" t="str">
        <f>LCOE!C16</f>
        <v>Plant lifetime</v>
      </c>
      <c r="C20" s="5">
        <v>60</v>
      </c>
      <c r="D20" s="5">
        <v>60</v>
      </c>
      <c r="E20" s="5">
        <v>30</v>
      </c>
    </row>
    <row r="21" spans="2:5">
      <c r="B21" s="24" t="str">
        <f>LCOE!C17</f>
        <v>Construction period, years</v>
      </c>
      <c r="C21" s="5">
        <v>7</v>
      </c>
      <c r="D21" s="5">
        <v>7</v>
      </c>
      <c r="E21" s="5">
        <v>3</v>
      </c>
    </row>
    <row r="22" spans="2:5">
      <c r="B22" s="24" t="str">
        <f>LCOE!C18</f>
        <v>Capacity factor (settled down)</v>
      </c>
      <c r="C22" s="6">
        <v>0.9</v>
      </c>
      <c r="D22" s="6">
        <v>0.9</v>
      </c>
      <c r="E22" s="6">
        <v>0.85</v>
      </c>
    </row>
    <row r="23" spans="2:5">
      <c r="B23" s="24" t="str">
        <f>LCOE!C19</f>
        <v>Capacity factor ramp-up on startup, per year</v>
      </c>
      <c r="C23" s="6">
        <v>0.6</v>
      </c>
      <c r="D23" s="6">
        <v>0.6</v>
      </c>
      <c r="E23" s="6">
        <v>1</v>
      </c>
    </row>
    <row r="24" spans="2:5">
      <c r="B24" s="24" t="str">
        <f>LCOE!C20</f>
        <v>Fixed OPEX/MW capacity at project start</v>
      </c>
      <c r="C24" s="7">
        <v>80835</v>
      </c>
      <c r="D24" s="7">
        <v>9034.5</v>
      </c>
      <c r="E24" s="5"/>
    </row>
    <row r="25" spans="2:5">
      <c r="B25" s="24" t="str">
        <f>LCOE!C21</f>
        <v>Variable OPEX/MWh produced at project start</v>
      </c>
      <c r="C25" s="7">
        <v>1426</v>
      </c>
      <c r="D25" s="7">
        <v>6.55</v>
      </c>
      <c r="E25" s="5"/>
    </row>
    <row r="26" spans="2:5">
      <c r="B26" s="24" t="str">
        <f>LCOE!C22</f>
        <v>OPEX escalator</v>
      </c>
      <c r="C26" s="6">
        <v>0</v>
      </c>
      <c r="D26" s="6">
        <v>0</v>
      </c>
      <c r="E26" s="5"/>
    </row>
    <row r="27" spans="2:5">
      <c r="B27" s="24" t="str">
        <f>LCOE!C23</f>
        <v>FUELEX/MWh produced at project start</v>
      </c>
      <c r="C27" s="5">
        <v>8.8699999999999992</v>
      </c>
      <c r="D27" s="5">
        <v>8.8699999999999992</v>
      </c>
      <c r="E27" s="5"/>
    </row>
    <row r="28" spans="2:5">
      <c r="B28" s="24" t="str">
        <f>LCOE!C24</f>
        <v>FUELEX escalator</v>
      </c>
      <c r="C28" s="6">
        <v>0</v>
      </c>
      <c r="D28" s="6">
        <v>0</v>
      </c>
      <c r="E28" s="5"/>
    </row>
    <row r="29" spans="2:5">
      <c r="B29" s="24" t="str">
        <f>LCOE!C25</f>
        <v>Efficiency loss/year</v>
      </c>
      <c r="C29" s="6">
        <v>0</v>
      </c>
      <c r="D29" s="6">
        <v>0</v>
      </c>
      <c r="E29" s="5"/>
    </row>
    <row r="30" spans="2:5">
      <c r="B30" s="24" t="str">
        <f>LCOE!C26</f>
        <v>Refurbishment year</v>
      </c>
      <c r="C30" s="5">
        <v>40</v>
      </c>
      <c r="D30" s="5">
        <v>40</v>
      </c>
      <c r="E30" s="5"/>
    </row>
    <row r="31" spans="2:5">
      <c r="B31" s="24" t="str">
        <f>LCOE!C27</f>
        <v>Refurbishment time required, years</v>
      </c>
      <c r="C31" s="5">
        <v>1</v>
      </c>
      <c r="D31" s="5">
        <v>1</v>
      </c>
      <c r="E31" s="5"/>
    </row>
    <row r="32" spans="2:5">
      <c r="B32" s="24" t="str">
        <f>LCOE!C28</f>
        <v>Refurbishment cost, per kW</v>
      </c>
      <c r="C32" s="5">
        <v>500</v>
      </c>
      <c r="D32" s="5">
        <v>500</v>
      </c>
      <c r="E32" s="5"/>
    </row>
    <row r="33" spans="2:5">
      <c r="B33" s="24" t="str">
        <f>LCOE!C29</f>
        <v>Emission factor, gCO2e/kWh</v>
      </c>
      <c r="C33" s="5">
        <v>12</v>
      </c>
      <c r="D33" s="5">
        <v>12</v>
      </c>
      <c r="E33" s="5">
        <v>313.75</v>
      </c>
    </row>
    <row r="34" spans="2:5">
      <c r="B34" s="24" t="str">
        <f>LCOE!C30</f>
        <v>Emissions taxed starting from year</v>
      </c>
      <c r="C34" s="5">
        <v>101</v>
      </c>
      <c r="D34" s="5">
        <v>101</v>
      </c>
      <c r="E34" s="5"/>
    </row>
    <row r="35" spans="2:5">
      <c r="B35" s="24" t="str">
        <f>LCOE!C31</f>
        <v>Taxes, per MWh produced</v>
      </c>
      <c r="C35" s="5">
        <v>0</v>
      </c>
      <c r="D35" s="5">
        <v>0</v>
      </c>
      <c r="E35" s="5"/>
    </row>
    <row r="36" spans="2:5">
      <c r="B36" s="24" t="str">
        <f>LCOE!C32</f>
        <v>Waste fee, per MWh produced</v>
      </c>
      <c r="C36" s="5">
        <v>1</v>
      </c>
      <c r="D36" s="5">
        <v>1</v>
      </c>
      <c r="E36" s="5"/>
    </row>
    <row r="37" spans="2:5">
      <c r="B37" s="24" t="str">
        <f>LCOE!C33</f>
        <v>Heat credit, per MWh produced</v>
      </c>
      <c r="C37" s="5">
        <v>30</v>
      </c>
      <c r="D37" s="5">
        <v>30</v>
      </c>
      <c r="E37" s="5">
        <v>0</v>
      </c>
    </row>
    <row r="38" spans="2:5">
      <c r="B38" s="24" t="str">
        <f>LCOE!C34</f>
        <v>Outage at year</v>
      </c>
      <c r="C38" s="46">
        <v>101</v>
      </c>
      <c r="D38" s="46">
        <v>101</v>
      </c>
      <c r="E38" s="5">
        <v>101</v>
      </c>
    </row>
    <row r="39" spans="2:5">
      <c r="B39" s="24" t="str">
        <f>LCOE!C35</f>
        <v>Decommissioning costs, % of initial capital cost</v>
      </c>
      <c r="C39" s="6">
        <v>0.15</v>
      </c>
      <c r="D39" s="6">
        <v>0.15</v>
      </c>
      <c r="E39" s="6">
        <v>0.05</v>
      </c>
    </row>
    <row r="40" spans="2:5">
      <c r="B40" s="24" t="str">
        <f>LCOE!C36</f>
        <v>Decommissioning delay, years</v>
      </c>
      <c r="C40" s="5">
        <v>10</v>
      </c>
      <c r="D40" s="5">
        <v>10</v>
      </c>
      <c r="E40" s="5">
        <v>2</v>
      </c>
    </row>
    <row r="41" spans="2:5">
      <c r="B41" s="24"/>
    </row>
    <row r="42" spans="2:5">
      <c r="B42" s="24"/>
    </row>
    <row r="43" spans="2:5">
      <c r="B43" s="24"/>
    </row>
    <row r="44" spans="2:5">
      <c r="B44" s="24"/>
    </row>
    <row r="45" spans="2:5">
      <c r="B45" s="24"/>
    </row>
    <row r="46" spans="2:5">
      <c r="B46" s="24"/>
    </row>
    <row r="47" spans="2:5">
      <c r="B47" s="24"/>
    </row>
    <row r="48" spans="2:5">
      <c r="B48" s="24"/>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305E2-FC40-9F47-94D1-BA5DE4BB943C}">
  <dimension ref="A2:AN170"/>
  <sheetViews>
    <sheetView topLeftCell="A35" workbookViewId="0">
      <pane xSplit="1760" ySplit="7900" topLeftCell="A53" activePane="bottomRight"/>
      <selection pane="bottomRight" activeCell="D109" sqref="D109"/>
      <selection pane="bottomLeft" activeCell="A41" sqref="A41:D41"/>
      <selection pane="topRight" activeCell="D16" sqref="D16"/>
    </sheetView>
    <sheetView workbookViewId="1"/>
  </sheetViews>
  <sheetFormatPr defaultColWidth="11" defaultRowHeight="15.95"/>
  <cols>
    <col min="2" max="2" width="40.875" bestFit="1" customWidth="1"/>
    <col min="3" max="3" width="14.625" bestFit="1" customWidth="1"/>
    <col min="4" max="5" width="14.625" customWidth="1"/>
    <col min="6" max="6" width="18.125" customWidth="1"/>
    <col min="7" max="8" width="15.625" customWidth="1"/>
    <col min="9" max="9" width="11.125" bestFit="1" customWidth="1"/>
    <col min="10" max="10" width="11.625" bestFit="1" customWidth="1"/>
    <col min="11" max="11" width="12.625" bestFit="1" customWidth="1"/>
    <col min="12" max="12" width="11.125" bestFit="1" customWidth="1"/>
    <col min="17" max="17" width="13.625" bestFit="1" customWidth="1"/>
    <col min="18" max="18" width="13.625" customWidth="1"/>
    <col min="19" max="20" width="12.125" customWidth="1"/>
    <col min="26" max="26" width="12.875" bestFit="1" customWidth="1"/>
    <col min="27" max="28" width="11.125" bestFit="1" customWidth="1"/>
    <col min="29" max="30" width="11" bestFit="1" customWidth="1"/>
    <col min="34" max="34" width="17.625" customWidth="1"/>
    <col min="35" max="37" width="11.625" bestFit="1" customWidth="1"/>
    <col min="38" max="38" width="11.625" customWidth="1"/>
  </cols>
  <sheetData>
    <row r="2" spans="2:10" ht="21">
      <c r="B2" s="26" t="s">
        <v>221</v>
      </c>
      <c r="C2" s="26" t="str">
        <f>LCOE!D3</f>
        <v>LCOE 1</v>
      </c>
      <c r="D2" s="26"/>
      <c r="E2" s="26"/>
      <c r="F2" s="26" t="s">
        <v>222</v>
      </c>
      <c r="G2" t="str">
        <f>C4</f>
        <v>USD</v>
      </c>
      <c r="I2" t="str">
        <f>C6</f>
        <v>USD</v>
      </c>
    </row>
    <row r="3" spans="2:10">
      <c r="B3" t="str">
        <f>LCOE!C5</f>
        <v>Name</v>
      </c>
      <c r="C3" t="str">
        <f>LCOE!D5</f>
        <v>CCGT in Belgium (2020)</v>
      </c>
      <c r="F3" s="24" t="str">
        <f>LCOE!C46</f>
        <v>LCOE (LCOHeat for pure heat plants)</v>
      </c>
      <c r="G3" s="25">
        <f>SUM(AH45:AM170)/SUM(AN45:AN170)</f>
        <v>71.201772135737173</v>
      </c>
      <c r="H3" s="24" t="str">
        <f t="shared" ref="H3:H9" si="0">_xlfn.CONCAT(C$4,"/MWh")</f>
        <v>USD/MWh</v>
      </c>
      <c r="I3" s="25">
        <f>G3*C$7</f>
        <v>71.201772135737173</v>
      </c>
      <c r="J3" t="str">
        <f t="shared" ref="J3:J9" si="1">_xlfn.CONCAT(C$6,"/MWh")</f>
        <v>USD/MWh</v>
      </c>
    </row>
    <row r="4" spans="2:10">
      <c r="B4" t="str">
        <f>LCOE!C6</f>
        <v>Currency used for LCOE calculations</v>
      </c>
      <c r="C4" t="str">
        <f>LCOE!D6</f>
        <v>USD</v>
      </c>
      <c r="F4" s="24" t="str">
        <f>LCOE!C47</f>
        <v>Of which: Capital costs</v>
      </c>
      <c r="G4" s="22">
        <f>SUM(AH45:AH170)/SUM(AN45:AN170)</f>
        <v>13.938494306051609</v>
      </c>
      <c r="H4" t="str">
        <f t="shared" si="0"/>
        <v>USD/MWh</v>
      </c>
      <c r="I4" s="25">
        <f t="shared" ref="I4:I9" si="2">G4*C$7</f>
        <v>13.938494306051609</v>
      </c>
      <c r="J4" t="str">
        <f t="shared" si="1"/>
        <v>USD/MWh</v>
      </c>
    </row>
    <row r="5" spans="2:10">
      <c r="B5" t="str">
        <f>LCOE!C7</f>
        <v>Price reference year</v>
      </c>
      <c r="C5">
        <f>LCOE!D7</f>
        <v>0</v>
      </c>
      <c r="F5" s="24" t="str">
        <f>LCOE!C48</f>
        <v>O&amp;M</v>
      </c>
      <c r="G5" s="23">
        <f>SUM(AI45:AI170)/SUM(AN45:AN170)</f>
        <v>5.1907778296855565</v>
      </c>
      <c r="H5" t="str">
        <f t="shared" si="0"/>
        <v>USD/MWh</v>
      </c>
      <c r="I5" s="25">
        <f t="shared" si="2"/>
        <v>5.1907778296855565</v>
      </c>
      <c r="J5" t="str">
        <f t="shared" si="1"/>
        <v>USD/MWh</v>
      </c>
    </row>
    <row r="6" spans="2:10">
      <c r="B6" t="str">
        <f>LCOE!C8</f>
        <v>Currency used</v>
      </c>
      <c r="C6" t="str">
        <f>LCOE!D8</f>
        <v>USD</v>
      </c>
      <c r="F6" s="24" t="str">
        <f>LCOE!C49</f>
        <v>Fuel</v>
      </c>
      <c r="G6" s="23">
        <f>SUM(AJ45:AJ170)/SUM(AN45:AN170)</f>
        <v>42.66</v>
      </c>
      <c r="H6" t="str">
        <f t="shared" si="0"/>
        <v>USD/MWh</v>
      </c>
      <c r="I6" s="25">
        <f t="shared" si="2"/>
        <v>42.66</v>
      </c>
      <c r="J6" t="str">
        <f t="shared" si="1"/>
        <v>USD/MWh</v>
      </c>
    </row>
    <row r="7" spans="2:10">
      <c r="B7" t="str">
        <f>LCOE!C9</f>
        <v>Conversion rate at reference year</v>
      </c>
      <c r="C7">
        <f>LCOE!D9</f>
        <v>1</v>
      </c>
      <c r="F7" s="24" t="str">
        <f>LCOE!C50</f>
        <v>Taxes and fees</v>
      </c>
      <c r="G7" s="23">
        <f>SUM(AK45:AK170)/SUM(AN45:AN170)</f>
        <v>0</v>
      </c>
      <c r="H7" t="str">
        <f t="shared" si="0"/>
        <v>USD/MWh</v>
      </c>
      <c r="I7" s="25">
        <f t="shared" si="2"/>
        <v>0</v>
      </c>
      <c r="J7" t="str">
        <f t="shared" si="1"/>
        <v>USD/MWh</v>
      </c>
    </row>
    <row r="8" spans="2:10">
      <c r="B8" t="str">
        <f>LCOE!C10</f>
        <v>Debt %</v>
      </c>
      <c r="C8">
        <f>LCOE!D10</f>
        <v>0.9</v>
      </c>
      <c r="F8" s="24" t="str">
        <f>LCOE!C51</f>
        <v>Emission costs</v>
      </c>
      <c r="G8" s="23">
        <f>SUM(AL45:AL170)/SUM(AN45:AN170)</f>
        <v>9.4124999999999996</v>
      </c>
      <c r="H8" t="str">
        <f t="shared" si="0"/>
        <v>USD/MWh</v>
      </c>
      <c r="I8" s="25">
        <f t="shared" si="2"/>
        <v>9.4124999999999996</v>
      </c>
      <c r="J8" t="str">
        <f t="shared" si="1"/>
        <v>USD/MWh</v>
      </c>
    </row>
    <row r="9" spans="2:10">
      <c r="B9" t="str">
        <f>LCOE!C11</f>
        <v>Cost of debt (private discount rate)</v>
      </c>
      <c r="C9">
        <f>LCOE!D11</f>
        <v>0</v>
      </c>
      <c r="F9" s="24" t="str">
        <f>LCOE!C52</f>
        <v>Heat credit (for CHP plants)</v>
      </c>
      <c r="G9" s="18">
        <f>IF(C15&gt;0,SUM(AM45:AM170)/SUM(AN45:AN170),0)</f>
        <v>0</v>
      </c>
      <c r="H9" t="str">
        <f t="shared" si="0"/>
        <v>USD/MWh</v>
      </c>
      <c r="I9" s="25">
        <f t="shared" si="2"/>
        <v>0</v>
      </c>
      <c r="J9" t="str">
        <f t="shared" si="1"/>
        <v>USD/MWh</v>
      </c>
    </row>
    <row r="10" spans="2:10">
      <c r="B10" t="str">
        <f>LCOE!C12</f>
        <v>Cost of equity (discount rate)</v>
      </c>
      <c r="C10">
        <f>LCOE!D12</f>
        <v>0</v>
      </c>
      <c r="F10" s="24" t="str">
        <f>LCOE!C53</f>
        <v>WACC average over lifetime</v>
      </c>
      <c r="G10" s="12">
        <f>AVERAGE(AF70:AF170)</f>
        <v>0</v>
      </c>
      <c r="I10" s="14">
        <f>G10</f>
        <v>0</v>
      </c>
    </row>
    <row r="11" spans="2:10">
      <c r="B11" t="str">
        <f>LCOE!C13</f>
        <v>Construction cost per kW</v>
      </c>
      <c r="C11">
        <f>LCOE!D13</f>
        <v>1009</v>
      </c>
      <c r="F11" s="24" t="str">
        <f>LCOE!C54</f>
        <v>Plant type</v>
      </c>
      <c r="G11" t="str">
        <f>IF(AND(LCOE!D$14&gt;0,LCOE!D$15=0),"Electric only",IF(AND(LCOE!D$14&gt;0,LCOE!D$15&gt;0),"CHP",IF(AND(LCOE!D$14=0,LCOE!D$15&gt;0),"Heat only","Error: no generation")))</f>
        <v>Electric only</v>
      </c>
      <c r="I11" s="18" t="str">
        <f>G11</f>
        <v>Electric only</v>
      </c>
    </row>
    <row r="12" spans="2:10">
      <c r="B12" t="str">
        <f>LCOE!C14</f>
        <v>Maximum electric power, in MW_e</v>
      </c>
      <c r="C12">
        <f>LCOE!D14</f>
        <v>500</v>
      </c>
    </row>
    <row r="13" spans="2:10">
      <c r="B13" t="str">
        <f>LCOE!C15</f>
        <v>Maximum heat power, in MW_h</v>
      </c>
      <c r="C13">
        <f>LCOE!D15</f>
        <v>0</v>
      </c>
    </row>
    <row r="14" spans="2:10">
      <c r="B14" t="str">
        <f>LCOE!C16</f>
        <v>Plant lifetime</v>
      </c>
      <c r="C14">
        <f>LCOE!D16</f>
        <v>30</v>
      </c>
    </row>
    <row r="15" spans="2:10">
      <c r="B15" t="str">
        <f>LCOE!C17</f>
        <v>Construction period, years</v>
      </c>
      <c r="C15">
        <f>LCOE!D17</f>
        <v>3</v>
      </c>
    </row>
    <row r="16" spans="2:10">
      <c r="B16" t="str">
        <f>LCOE!C18</f>
        <v>Capacity factor (settled down)</v>
      </c>
      <c r="C16">
        <f>LCOE!D18</f>
        <v>0.9</v>
      </c>
    </row>
    <row r="17" spans="2:3">
      <c r="B17" t="str">
        <f>LCOE!C19</f>
        <v>Capacity factor ramp-up on startup, per year</v>
      </c>
      <c r="C17">
        <f>LCOE!D19</f>
        <v>0.6</v>
      </c>
    </row>
    <row r="18" spans="2:3">
      <c r="B18" t="str">
        <f>LCOE!C20</f>
        <v>Fixed OPEX/MW capacity at project start</v>
      </c>
      <c r="C18">
        <f>LCOE!D20</f>
        <v>40000</v>
      </c>
    </row>
    <row r="19" spans="2:3">
      <c r="B19" t="str">
        <f>LCOE!C21</f>
        <v>Variable OPEX/MWh produced at project start</v>
      </c>
      <c r="C19">
        <f>LCOE!D21</f>
        <v>0</v>
      </c>
    </row>
    <row r="20" spans="2:3">
      <c r="B20" t="str">
        <f>LCOE!C22</f>
        <v>OPEX escalator</v>
      </c>
      <c r="C20">
        <f>LCOE!D22</f>
        <v>0</v>
      </c>
    </row>
    <row r="21" spans="2:3">
      <c r="B21" t="str">
        <f>LCOE!C23</f>
        <v>FUELEX/MWh produced at project start</v>
      </c>
      <c r="C21">
        <f>LCOE!D23</f>
        <v>42.66</v>
      </c>
    </row>
    <row r="22" spans="2:3">
      <c r="B22" t="str">
        <f>LCOE!C24</f>
        <v>FUELEX escalator</v>
      </c>
      <c r="C22">
        <f>LCOE!D24</f>
        <v>0</v>
      </c>
    </row>
    <row r="23" spans="2:3">
      <c r="B23" t="str">
        <f>LCOE!C25</f>
        <v>Efficiency loss/year</v>
      </c>
      <c r="C23">
        <f>LCOE!D25</f>
        <v>0</v>
      </c>
    </row>
    <row r="24" spans="2:3">
      <c r="B24" t="str">
        <f>LCOE!C26</f>
        <v>Refurbishment year</v>
      </c>
      <c r="C24">
        <f>LCOE!D26</f>
        <v>101</v>
      </c>
    </row>
    <row r="25" spans="2:3">
      <c r="B25" t="str">
        <f>LCOE!C27</f>
        <v>Refurbishment time required, years</v>
      </c>
      <c r="C25">
        <f>LCOE!D27</f>
        <v>1</v>
      </c>
    </row>
    <row r="26" spans="2:3">
      <c r="B26" t="str">
        <f>LCOE!C28</f>
        <v>Refurbishment cost, per kW</v>
      </c>
      <c r="C26">
        <f>LCOE!D28</f>
        <v>0</v>
      </c>
    </row>
    <row r="27" spans="2:3">
      <c r="B27" t="str">
        <f>LCOE!C29</f>
        <v>Emission factor, gCO2e/kWh</v>
      </c>
      <c r="C27">
        <f>LCOE!D29</f>
        <v>313.75</v>
      </c>
    </row>
    <row r="28" spans="2:3">
      <c r="B28" t="str">
        <f>LCOE!C30</f>
        <v>Emissions taxed starting from year</v>
      </c>
      <c r="C28">
        <f>LCOE!D30</f>
        <v>0</v>
      </c>
    </row>
    <row r="29" spans="2:3">
      <c r="B29" t="str">
        <f>LCOE!C31</f>
        <v>Taxes, per MWh produced</v>
      </c>
      <c r="C29">
        <f>LCOE!D31</f>
        <v>0</v>
      </c>
    </row>
    <row r="30" spans="2:3">
      <c r="B30" t="str">
        <f>LCOE!C32</f>
        <v>Waste fee, per MWh produced</v>
      </c>
      <c r="C30">
        <f>LCOE!D32</f>
        <v>0</v>
      </c>
    </row>
    <row r="31" spans="2:3">
      <c r="B31" t="str">
        <f>LCOE!C33</f>
        <v>Heat credit, per MWh produced</v>
      </c>
      <c r="C31">
        <f>LCOE!D33</f>
        <v>30</v>
      </c>
    </row>
    <row r="32" spans="2:3">
      <c r="B32" t="str">
        <f>LCOE!C34</f>
        <v>Outage at year</v>
      </c>
      <c r="C32">
        <f>LCOE!D34</f>
        <v>101</v>
      </c>
    </row>
    <row r="33" spans="1:40">
      <c r="B33" t="str">
        <f>LCOE!C35</f>
        <v>Decommissioning costs, % of initial capital cost</v>
      </c>
      <c r="C33">
        <f>LCOE!D35</f>
        <v>0.05</v>
      </c>
    </row>
    <row r="34" spans="1:40">
      <c r="B34" t="str">
        <f>LCOE!C36</f>
        <v>Decommissioning delay, years</v>
      </c>
      <c r="C34">
        <f>LCOE!D36</f>
        <v>25</v>
      </c>
    </row>
    <row r="35" spans="1:40">
      <c r="B35" t="str">
        <f>LCOE!C37</f>
        <v>Results reference year/LC start year</v>
      </c>
      <c r="C35">
        <f>LCOE!D37</f>
        <v>2020</v>
      </c>
    </row>
    <row r="36" spans="1:40">
      <c r="B36" t="str">
        <f>LCOE!C38</f>
        <v>Total cost</v>
      </c>
      <c r="C36">
        <f>LCOE!D38</f>
        <v>504500000</v>
      </c>
    </row>
    <row r="37" spans="1:40">
      <c r="B37" t="str">
        <f>LCOE!C39</f>
        <v>Equity share</v>
      </c>
      <c r="C37">
        <f>LCOE!D39</f>
        <v>9.9999999999999978E-2</v>
      </c>
    </row>
    <row r="38" spans="1:40">
      <c r="B38" t="str">
        <f>LCOE!C40</f>
        <v>WACC (average discount rate)</v>
      </c>
      <c r="C38">
        <f>LCOE!D40</f>
        <v>0</v>
      </c>
    </row>
    <row r="39" spans="1:40">
      <c r="B39" t="str">
        <f>LCOE!C41</f>
        <v>Interest during construction (IDC)</v>
      </c>
      <c r="C39">
        <f>LCOE!D41</f>
        <v>0</v>
      </c>
    </row>
    <row r="40" spans="1:40">
      <c r="B40" t="str">
        <f>LCOE!C42</f>
        <v>Total overnight cost of refurbishment</v>
      </c>
      <c r="C40">
        <f>LCOE!D42</f>
        <v>0</v>
      </c>
    </row>
    <row r="41" spans="1:40">
      <c r="B41" t="str">
        <f>LCOE!C43</f>
        <v>Overrides</v>
      </c>
      <c r="C41" t="str">
        <f>LCOE!D43</f>
        <v>OVERRIDES CLEAR</v>
      </c>
    </row>
    <row r="43" spans="1:40">
      <c r="Z43" s="48" t="s">
        <v>223</v>
      </c>
      <c r="AA43" s="48"/>
      <c r="AB43" s="48"/>
      <c r="AC43" s="48"/>
      <c r="AD43" s="48"/>
    </row>
    <row r="44" spans="1:40" ht="183.95">
      <c r="A44" t="s">
        <v>224</v>
      </c>
      <c r="B44" s="17" t="s">
        <v>161</v>
      </c>
      <c r="C44" s="43" t="s">
        <v>225</v>
      </c>
      <c r="D44" s="17" t="s">
        <v>226</v>
      </c>
      <c r="E44" s="17" t="s">
        <v>164</v>
      </c>
      <c r="F44" s="17" t="s">
        <v>167</v>
      </c>
      <c r="G44" s="17" t="s">
        <v>168</v>
      </c>
      <c r="H44" s="17" t="s">
        <v>169</v>
      </c>
      <c r="I44" s="17" t="s">
        <v>170</v>
      </c>
      <c r="J44" s="17" t="s">
        <v>171</v>
      </c>
      <c r="K44" s="17" t="s">
        <v>227</v>
      </c>
      <c r="L44" s="17" t="s">
        <v>173</v>
      </c>
      <c r="M44" s="17" t="s">
        <v>228</v>
      </c>
      <c r="N44" s="17" t="s">
        <v>229</v>
      </c>
      <c r="O44" s="17" t="s">
        <v>230</v>
      </c>
      <c r="P44" s="17" t="s">
        <v>177</v>
      </c>
      <c r="Q44" s="17" t="s">
        <v>231</v>
      </c>
      <c r="R44" s="17" t="s">
        <v>232</v>
      </c>
      <c r="S44" s="17" t="s">
        <v>233</v>
      </c>
      <c r="T44" s="17" t="s">
        <v>180</v>
      </c>
      <c r="U44" s="17" t="s">
        <v>181</v>
      </c>
      <c r="V44" s="17" t="s">
        <v>182</v>
      </c>
      <c r="W44" s="17" t="s">
        <v>183</v>
      </c>
      <c r="X44" s="17" t="s">
        <v>234</v>
      </c>
      <c r="Y44" s="17" t="s">
        <v>185</v>
      </c>
      <c r="Z44" s="49" t="s">
        <v>235</v>
      </c>
      <c r="AA44" s="49" t="s">
        <v>236</v>
      </c>
      <c r="AB44" s="49" t="s">
        <v>237</v>
      </c>
      <c r="AC44" s="49" t="s">
        <v>238</v>
      </c>
      <c r="AD44" s="49" t="s">
        <v>239</v>
      </c>
      <c r="AE44" s="17" t="s">
        <v>240</v>
      </c>
      <c r="AF44" s="17" t="s">
        <v>241</v>
      </c>
      <c r="AG44" s="17" t="s">
        <v>242</v>
      </c>
      <c r="AH44" s="17" t="s">
        <v>243</v>
      </c>
      <c r="AI44" s="17" t="s">
        <v>244</v>
      </c>
      <c r="AJ44" s="17" t="s">
        <v>245</v>
      </c>
      <c r="AK44" s="17" t="s">
        <v>246</v>
      </c>
      <c r="AL44" s="17" t="s">
        <v>247</v>
      </c>
      <c r="AM44" s="17" t="s">
        <v>248</v>
      </c>
      <c r="AN44" s="17" t="s">
        <v>249</v>
      </c>
    </row>
    <row r="45" spans="1:40">
      <c r="A45">
        <v>-25</v>
      </c>
      <c r="B45" s="16">
        <f>LCOE!C71+IF(A45&gt;=((LCOE!D$17*-1)+1),LCOE!D$38/LCOE!D$17,0)</f>
        <v>0</v>
      </c>
      <c r="C45" s="16"/>
      <c r="D45" s="16"/>
      <c r="E45" s="18"/>
      <c r="Z45" s="50">
        <f t="shared" ref="Z45:Z69" si="3">SUM(B45:C45)</f>
        <v>0</v>
      </c>
      <c r="AA45" s="50">
        <f t="shared" ref="AA45:AA69" si="4">SUM(I45:J45)</f>
        <v>0</v>
      </c>
      <c r="AB45" s="50">
        <f t="shared" ref="AB45:AB69" si="5">L45</f>
        <v>0</v>
      </c>
      <c r="AC45" s="50">
        <f t="shared" ref="AC45:AC69" si="6">SUM(S45:W45)</f>
        <v>0</v>
      </c>
      <c r="AD45" s="50">
        <f>S45</f>
        <v>0</v>
      </c>
      <c r="AE45">
        <v>-25</v>
      </c>
      <c r="AF45" s="12">
        <f>LCOE!E71+LCOE!D$40</f>
        <v>0</v>
      </c>
      <c r="AG45">
        <f>(1+AF45)^A45</f>
        <v>1</v>
      </c>
      <c r="AH45" s="16">
        <f t="shared" ref="AH45:AH76" si="7">Z45/AG45</f>
        <v>0</v>
      </c>
      <c r="AI45" s="16">
        <f t="shared" ref="AI45:AI76" si="8">AA45/AG45</f>
        <v>0</v>
      </c>
      <c r="AJ45" s="16">
        <f t="shared" ref="AJ45:AJ76" si="9">AB45/AG45</f>
        <v>0</v>
      </c>
      <c r="AK45" s="16">
        <f t="shared" ref="AK45:AK76" si="10">AC45/AG45</f>
        <v>0</v>
      </c>
      <c r="AL45" s="16">
        <f>AD45/AG45</f>
        <v>0</v>
      </c>
      <c r="AM45" s="16"/>
    </row>
    <row r="46" spans="1:40">
      <c r="A46">
        <v>-24</v>
      </c>
      <c r="B46" s="16">
        <f>LCOE!C72+IF(A46&gt;=((LCOE!D$17*-1)+1),LCOE!D$38/LCOE!D$17,0)</f>
        <v>0</v>
      </c>
      <c r="C46" s="16"/>
      <c r="D46" s="16"/>
      <c r="E46" s="18"/>
      <c r="Z46" s="50">
        <f t="shared" si="3"/>
        <v>0</v>
      </c>
      <c r="AA46" s="50">
        <f t="shared" si="4"/>
        <v>0</v>
      </c>
      <c r="AB46" s="50">
        <f t="shared" si="5"/>
        <v>0</v>
      </c>
      <c r="AC46" s="50">
        <f t="shared" si="6"/>
        <v>0</v>
      </c>
      <c r="AD46" s="50">
        <f t="shared" ref="AD46:AD109" si="11">S46</f>
        <v>0</v>
      </c>
      <c r="AE46">
        <v>-24</v>
      </c>
      <c r="AF46" s="12">
        <f>LCOE!E72+LCOE!D$40</f>
        <v>0</v>
      </c>
      <c r="AG46">
        <f t="shared" ref="AG46:AG109" si="12">(1+AF46)^A46</f>
        <v>1</v>
      </c>
      <c r="AH46" s="16">
        <f t="shared" si="7"/>
        <v>0</v>
      </c>
      <c r="AI46" s="16">
        <f t="shared" si="8"/>
        <v>0</v>
      </c>
      <c r="AJ46" s="16">
        <f t="shared" si="9"/>
        <v>0</v>
      </c>
      <c r="AK46" s="16">
        <f t="shared" si="10"/>
        <v>0</v>
      </c>
      <c r="AL46" s="16">
        <f t="shared" ref="AL46:AL109" si="13">AD46/AG46</f>
        <v>0</v>
      </c>
      <c r="AM46" s="16"/>
    </row>
    <row r="47" spans="1:40">
      <c r="A47">
        <v>-23</v>
      </c>
      <c r="B47" s="16">
        <f>LCOE!C73+IF(A47&gt;=((LCOE!D$17*-1)+1),LCOE!D$38/LCOE!D$17,0)</f>
        <v>0</v>
      </c>
      <c r="C47" s="16"/>
      <c r="D47" s="16"/>
      <c r="E47" s="18"/>
      <c r="Z47" s="50">
        <f t="shared" si="3"/>
        <v>0</v>
      </c>
      <c r="AA47" s="50">
        <f t="shared" si="4"/>
        <v>0</v>
      </c>
      <c r="AB47" s="50">
        <f t="shared" si="5"/>
        <v>0</v>
      </c>
      <c r="AC47" s="50">
        <f t="shared" si="6"/>
        <v>0</v>
      </c>
      <c r="AD47" s="50">
        <f t="shared" si="11"/>
        <v>0</v>
      </c>
      <c r="AE47">
        <v>-23</v>
      </c>
      <c r="AF47" s="12">
        <f>LCOE!E73+LCOE!D$40</f>
        <v>0</v>
      </c>
      <c r="AG47">
        <f t="shared" si="12"/>
        <v>1</v>
      </c>
      <c r="AH47" s="16">
        <f t="shared" si="7"/>
        <v>0</v>
      </c>
      <c r="AI47" s="16">
        <f t="shared" si="8"/>
        <v>0</v>
      </c>
      <c r="AJ47" s="16">
        <f t="shared" si="9"/>
        <v>0</v>
      </c>
      <c r="AK47" s="16">
        <f t="shared" si="10"/>
        <v>0</v>
      </c>
      <c r="AL47" s="16">
        <f t="shared" si="13"/>
        <v>0</v>
      </c>
      <c r="AM47" s="16"/>
    </row>
    <row r="48" spans="1:40">
      <c r="A48">
        <v>-22</v>
      </c>
      <c r="B48" s="16">
        <f>LCOE!C74+IF(A48&gt;=((LCOE!D$17*-1)+1),LCOE!D$38/LCOE!D$17,0)</f>
        <v>0</v>
      </c>
      <c r="C48" s="16"/>
      <c r="D48" s="16"/>
      <c r="E48" s="18"/>
      <c r="Z48" s="50">
        <f t="shared" si="3"/>
        <v>0</v>
      </c>
      <c r="AA48" s="50">
        <f t="shared" si="4"/>
        <v>0</v>
      </c>
      <c r="AB48" s="50">
        <f t="shared" si="5"/>
        <v>0</v>
      </c>
      <c r="AC48" s="50">
        <f t="shared" si="6"/>
        <v>0</v>
      </c>
      <c r="AD48" s="50">
        <f t="shared" si="11"/>
        <v>0</v>
      </c>
      <c r="AE48">
        <v>-22</v>
      </c>
      <c r="AF48" s="12">
        <f>LCOE!E74+LCOE!D$40</f>
        <v>0</v>
      </c>
      <c r="AG48">
        <f t="shared" si="12"/>
        <v>1</v>
      </c>
      <c r="AH48" s="16">
        <f t="shared" si="7"/>
        <v>0</v>
      </c>
      <c r="AI48" s="16">
        <f t="shared" si="8"/>
        <v>0</v>
      </c>
      <c r="AJ48" s="16">
        <f t="shared" si="9"/>
        <v>0</v>
      </c>
      <c r="AK48" s="16">
        <f t="shared" si="10"/>
        <v>0</v>
      </c>
      <c r="AL48" s="16">
        <f t="shared" si="13"/>
        <v>0</v>
      </c>
      <c r="AM48" s="16"/>
    </row>
    <row r="49" spans="1:39">
      <c r="A49">
        <v>-21</v>
      </c>
      <c r="B49" s="16">
        <f>LCOE!C75+IF(A49&gt;=((LCOE!D$17*-1)+1),LCOE!D$38/LCOE!D$17,0)</f>
        <v>0</v>
      </c>
      <c r="C49" s="16"/>
      <c r="D49" s="16"/>
      <c r="E49" s="18"/>
      <c r="Z49" s="50">
        <f t="shared" si="3"/>
        <v>0</v>
      </c>
      <c r="AA49" s="50">
        <f t="shared" si="4"/>
        <v>0</v>
      </c>
      <c r="AB49" s="50">
        <f t="shared" si="5"/>
        <v>0</v>
      </c>
      <c r="AC49" s="50">
        <f t="shared" si="6"/>
        <v>0</v>
      </c>
      <c r="AD49" s="50">
        <f t="shared" si="11"/>
        <v>0</v>
      </c>
      <c r="AE49">
        <v>-21</v>
      </c>
      <c r="AF49" s="12">
        <f>LCOE!E75+LCOE!D$40</f>
        <v>0</v>
      </c>
      <c r="AG49">
        <f t="shared" si="12"/>
        <v>1</v>
      </c>
      <c r="AH49" s="16">
        <f t="shared" si="7"/>
        <v>0</v>
      </c>
      <c r="AI49" s="16">
        <f t="shared" si="8"/>
        <v>0</v>
      </c>
      <c r="AJ49" s="16">
        <f t="shared" si="9"/>
        <v>0</v>
      </c>
      <c r="AK49" s="16">
        <f t="shared" si="10"/>
        <v>0</v>
      </c>
      <c r="AL49" s="16">
        <f t="shared" si="13"/>
        <v>0</v>
      </c>
      <c r="AM49" s="16"/>
    </row>
    <row r="50" spans="1:39">
      <c r="A50">
        <v>-20</v>
      </c>
      <c r="B50" s="16">
        <f>LCOE!C76+IF(A50&gt;=((LCOE!D$17*-1)+1),LCOE!D$38/LCOE!D$17,0)</f>
        <v>0</v>
      </c>
      <c r="C50" s="16"/>
      <c r="D50" s="16"/>
      <c r="E50" s="18"/>
      <c r="Z50" s="50">
        <f t="shared" si="3"/>
        <v>0</v>
      </c>
      <c r="AA50" s="50">
        <f t="shared" si="4"/>
        <v>0</v>
      </c>
      <c r="AB50" s="50">
        <f t="shared" si="5"/>
        <v>0</v>
      </c>
      <c r="AC50" s="50">
        <f t="shared" si="6"/>
        <v>0</v>
      </c>
      <c r="AD50" s="50">
        <f t="shared" si="11"/>
        <v>0</v>
      </c>
      <c r="AE50">
        <v>-20</v>
      </c>
      <c r="AF50" s="12">
        <f>LCOE!E76+LCOE!D$40</f>
        <v>0</v>
      </c>
      <c r="AG50">
        <f t="shared" si="12"/>
        <v>1</v>
      </c>
      <c r="AH50" s="16">
        <f t="shared" si="7"/>
        <v>0</v>
      </c>
      <c r="AI50" s="16">
        <f t="shared" si="8"/>
        <v>0</v>
      </c>
      <c r="AJ50" s="16">
        <f t="shared" si="9"/>
        <v>0</v>
      </c>
      <c r="AK50" s="16">
        <f t="shared" si="10"/>
        <v>0</v>
      </c>
      <c r="AL50" s="16">
        <f t="shared" si="13"/>
        <v>0</v>
      </c>
      <c r="AM50" s="16"/>
    </row>
    <row r="51" spans="1:39">
      <c r="A51">
        <v>-19</v>
      </c>
      <c r="B51" s="16">
        <f>LCOE!C77+IF(A51&gt;=((LCOE!D$17*-1)+1),LCOE!D$38/LCOE!D$17,0)</f>
        <v>0</v>
      </c>
      <c r="C51" s="16"/>
      <c r="D51" s="16"/>
      <c r="E51" s="18"/>
      <c r="Z51" s="50">
        <f t="shared" si="3"/>
        <v>0</v>
      </c>
      <c r="AA51" s="50">
        <f t="shared" si="4"/>
        <v>0</v>
      </c>
      <c r="AB51" s="50">
        <f t="shared" si="5"/>
        <v>0</v>
      </c>
      <c r="AC51" s="50">
        <f t="shared" si="6"/>
        <v>0</v>
      </c>
      <c r="AD51" s="50">
        <f t="shared" si="11"/>
        <v>0</v>
      </c>
      <c r="AE51">
        <v>-19</v>
      </c>
      <c r="AF51" s="12">
        <f>LCOE!E77+LCOE!D$40</f>
        <v>0</v>
      </c>
      <c r="AG51">
        <f t="shared" si="12"/>
        <v>1</v>
      </c>
      <c r="AH51" s="16">
        <f t="shared" si="7"/>
        <v>0</v>
      </c>
      <c r="AI51" s="16">
        <f t="shared" si="8"/>
        <v>0</v>
      </c>
      <c r="AJ51" s="16">
        <f t="shared" si="9"/>
        <v>0</v>
      </c>
      <c r="AK51" s="16">
        <f t="shared" si="10"/>
        <v>0</v>
      </c>
      <c r="AL51" s="16">
        <f t="shared" si="13"/>
        <v>0</v>
      </c>
      <c r="AM51" s="16"/>
    </row>
    <row r="52" spans="1:39">
      <c r="A52">
        <v>-18</v>
      </c>
      <c r="B52" s="16">
        <f>LCOE!C78+IF(A52&gt;=((LCOE!D$17*-1)+1),LCOE!D$38/LCOE!D$17,0)</f>
        <v>0</v>
      </c>
      <c r="C52" s="16"/>
      <c r="D52" s="16"/>
      <c r="E52" s="18"/>
      <c r="Z52" s="50">
        <f t="shared" si="3"/>
        <v>0</v>
      </c>
      <c r="AA52" s="50">
        <f t="shared" si="4"/>
        <v>0</v>
      </c>
      <c r="AB52" s="50">
        <f t="shared" si="5"/>
        <v>0</v>
      </c>
      <c r="AC52" s="50">
        <f t="shared" si="6"/>
        <v>0</v>
      </c>
      <c r="AD52" s="50">
        <f t="shared" si="11"/>
        <v>0</v>
      </c>
      <c r="AE52">
        <v>-18</v>
      </c>
      <c r="AF52" s="12">
        <f>LCOE!E78+LCOE!D$40</f>
        <v>0</v>
      </c>
      <c r="AG52">
        <f t="shared" si="12"/>
        <v>1</v>
      </c>
      <c r="AH52" s="16">
        <f t="shared" si="7"/>
        <v>0</v>
      </c>
      <c r="AI52" s="16">
        <f t="shared" si="8"/>
        <v>0</v>
      </c>
      <c r="AJ52" s="16">
        <f t="shared" si="9"/>
        <v>0</v>
      </c>
      <c r="AK52" s="16">
        <f t="shared" si="10"/>
        <v>0</v>
      </c>
      <c r="AL52" s="16">
        <f t="shared" si="13"/>
        <v>0</v>
      </c>
      <c r="AM52" s="16"/>
    </row>
    <row r="53" spans="1:39">
      <c r="A53">
        <v>-17</v>
      </c>
      <c r="B53" s="16">
        <f>LCOE!C79+IF(A53&gt;=((LCOE!D$17*-1)+1),LCOE!D$38/LCOE!D$17,0)</f>
        <v>0</v>
      </c>
      <c r="C53" s="16"/>
      <c r="D53" s="16"/>
      <c r="E53" s="18"/>
      <c r="Z53" s="50">
        <f t="shared" si="3"/>
        <v>0</v>
      </c>
      <c r="AA53" s="50">
        <f t="shared" si="4"/>
        <v>0</v>
      </c>
      <c r="AB53" s="50">
        <f t="shared" si="5"/>
        <v>0</v>
      </c>
      <c r="AC53" s="50">
        <f t="shared" si="6"/>
        <v>0</v>
      </c>
      <c r="AD53" s="50">
        <f t="shared" si="11"/>
        <v>0</v>
      </c>
      <c r="AE53">
        <v>-17</v>
      </c>
      <c r="AF53" s="12">
        <f>LCOE!E79+LCOE!D$40</f>
        <v>0</v>
      </c>
      <c r="AG53">
        <f t="shared" si="12"/>
        <v>1</v>
      </c>
      <c r="AH53" s="16">
        <f t="shared" si="7"/>
        <v>0</v>
      </c>
      <c r="AI53" s="16">
        <f t="shared" si="8"/>
        <v>0</v>
      </c>
      <c r="AJ53" s="16">
        <f t="shared" si="9"/>
        <v>0</v>
      </c>
      <c r="AK53" s="16">
        <f t="shared" si="10"/>
        <v>0</v>
      </c>
      <c r="AL53" s="16">
        <f t="shared" si="13"/>
        <v>0</v>
      </c>
      <c r="AM53" s="16"/>
    </row>
    <row r="54" spans="1:39">
      <c r="A54">
        <v>-16</v>
      </c>
      <c r="B54" s="16">
        <f>LCOE!C80+IF(A54&gt;=((LCOE!D$17*-1)+1),LCOE!D$38/LCOE!D$17,0)</f>
        <v>0</v>
      </c>
      <c r="C54" s="16"/>
      <c r="D54" s="16"/>
      <c r="E54" s="18"/>
      <c r="Z54" s="50">
        <f t="shared" si="3"/>
        <v>0</v>
      </c>
      <c r="AA54" s="50">
        <f t="shared" si="4"/>
        <v>0</v>
      </c>
      <c r="AB54" s="50">
        <f t="shared" si="5"/>
        <v>0</v>
      </c>
      <c r="AC54" s="50">
        <f t="shared" si="6"/>
        <v>0</v>
      </c>
      <c r="AD54" s="50">
        <f t="shared" si="11"/>
        <v>0</v>
      </c>
      <c r="AE54">
        <v>-16</v>
      </c>
      <c r="AF54" s="12">
        <f>LCOE!E80+LCOE!D$40</f>
        <v>0</v>
      </c>
      <c r="AG54">
        <f t="shared" si="12"/>
        <v>1</v>
      </c>
      <c r="AH54" s="16">
        <f t="shared" si="7"/>
        <v>0</v>
      </c>
      <c r="AI54" s="16">
        <f t="shared" si="8"/>
        <v>0</v>
      </c>
      <c r="AJ54" s="16">
        <f t="shared" si="9"/>
        <v>0</v>
      </c>
      <c r="AK54" s="16">
        <f t="shared" si="10"/>
        <v>0</v>
      </c>
      <c r="AL54" s="16">
        <f t="shared" si="13"/>
        <v>0</v>
      </c>
      <c r="AM54" s="16"/>
    </row>
    <row r="55" spans="1:39">
      <c r="A55">
        <v>-15</v>
      </c>
      <c r="B55" s="16">
        <f>LCOE!C81+IF(A55&gt;=((LCOE!D$17*-1)+1),LCOE!D$38/LCOE!D$17,0)</f>
        <v>0</v>
      </c>
      <c r="C55" s="16"/>
      <c r="D55" s="16"/>
      <c r="E55" s="18"/>
      <c r="Z55" s="50">
        <f t="shared" si="3"/>
        <v>0</v>
      </c>
      <c r="AA55" s="50">
        <f t="shared" si="4"/>
        <v>0</v>
      </c>
      <c r="AB55" s="50">
        <f t="shared" si="5"/>
        <v>0</v>
      </c>
      <c r="AC55" s="50">
        <f t="shared" si="6"/>
        <v>0</v>
      </c>
      <c r="AD55" s="50">
        <f t="shared" si="11"/>
        <v>0</v>
      </c>
      <c r="AE55">
        <v>-15</v>
      </c>
      <c r="AF55" s="12">
        <f>LCOE!E81+LCOE!D$40</f>
        <v>0</v>
      </c>
      <c r="AG55">
        <f t="shared" si="12"/>
        <v>1</v>
      </c>
      <c r="AH55" s="16">
        <f t="shared" si="7"/>
        <v>0</v>
      </c>
      <c r="AI55" s="16">
        <f t="shared" si="8"/>
        <v>0</v>
      </c>
      <c r="AJ55" s="16">
        <f t="shared" si="9"/>
        <v>0</v>
      </c>
      <c r="AK55" s="16">
        <f t="shared" si="10"/>
        <v>0</v>
      </c>
      <c r="AL55" s="16">
        <f t="shared" si="13"/>
        <v>0</v>
      </c>
      <c r="AM55" s="16"/>
    </row>
    <row r="56" spans="1:39">
      <c r="A56">
        <v>-14</v>
      </c>
      <c r="B56" s="16">
        <f>LCOE!C82+IF(A56&gt;=((LCOE!D$17*-1)+1),LCOE!D$38/LCOE!D$17,0)</f>
        <v>0</v>
      </c>
      <c r="C56" s="16"/>
      <c r="D56" s="16"/>
      <c r="E56" s="18"/>
      <c r="Z56" s="50">
        <f t="shared" si="3"/>
        <v>0</v>
      </c>
      <c r="AA56" s="50">
        <f t="shared" si="4"/>
        <v>0</v>
      </c>
      <c r="AB56" s="50">
        <f t="shared" si="5"/>
        <v>0</v>
      </c>
      <c r="AC56" s="50">
        <f t="shared" si="6"/>
        <v>0</v>
      </c>
      <c r="AD56" s="50">
        <f t="shared" si="11"/>
        <v>0</v>
      </c>
      <c r="AE56">
        <v>-14</v>
      </c>
      <c r="AF56" s="12">
        <f>LCOE!E82+LCOE!D$40</f>
        <v>0</v>
      </c>
      <c r="AG56">
        <f t="shared" si="12"/>
        <v>1</v>
      </c>
      <c r="AH56" s="16">
        <f t="shared" si="7"/>
        <v>0</v>
      </c>
      <c r="AI56" s="16">
        <f t="shared" si="8"/>
        <v>0</v>
      </c>
      <c r="AJ56" s="16">
        <f t="shared" si="9"/>
        <v>0</v>
      </c>
      <c r="AK56" s="16">
        <f t="shared" si="10"/>
        <v>0</v>
      </c>
      <c r="AL56" s="16">
        <f t="shared" si="13"/>
        <v>0</v>
      </c>
      <c r="AM56" s="16"/>
    </row>
    <row r="57" spans="1:39">
      <c r="A57">
        <v>-13</v>
      </c>
      <c r="B57" s="16">
        <f>LCOE!C83+IF(A57&gt;=((LCOE!D$17*-1)+1),LCOE!D$38/LCOE!D$17,0)</f>
        <v>0</v>
      </c>
      <c r="C57" s="16"/>
      <c r="D57" s="16"/>
      <c r="E57" s="18"/>
      <c r="Z57" s="50">
        <f t="shared" si="3"/>
        <v>0</v>
      </c>
      <c r="AA57" s="50">
        <f t="shared" si="4"/>
        <v>0</v>
      </c>
      <c r="AB57" s="50">
        <f t="shared" si="5"/>
        <v>0</v>
      </c>
      <c r="AC57" s="50">
        <f t="shared" si="6"/>
        <v>0</v>
      </c>
      <c r="AD57" s="50">
        <f t="shared" si="11"/>
        <v>0</v>
      </c>
      <c r="AE57">
        <v>-13</v>
      </c>
      <c r="AF57" s="12">
        <f>LCOE!E83+LCOE!D$40</f>
        <v>0</v>
      </c>
      <c r="AG57">
        <f t="shared" si="12"/>
        <v>1</v>
      </c>
      <c r="AH57" s="16">
        <f t="shared" si="7"/>
        <v>0</v>
      </c>
      <c r="AI57" s="16">
        <f t="shared" si="8"/>
        <v>0</v>
      </c>
      <c r="AJ57" s="16">
        <f t="shared" si="9"/>
        <v>0</v>
      </c>
      <c r="AK57" s="16">
        <f t="shared" si="10"/>
        <v>0</v>
      </c>
      <c r="AL57" s="16">
        <f t="shared" si="13"/>
        <v>0</v>
      </c>
      <c r="AM57" s="16"/>
    </row>
    <row r="58" spans="1:39">
      <c r="A58">
        <v>-12</v>
      </c>
      <c r="B58" s="16">
        <f>LCOE!C84+IF(A58&gt;=((LCOE!D$17*-1)+1),LCOE!D$38/LCOE!D$17,0)</f>
        <v>0</v>
      </c>
      <c r="C58" s="16"/>
      <c r="D58" s="16"/>
      <c r="E58" s="18"/>
      <c r="Z58" s="50">
        <f t="shared" si="3"/>
        <v>0</v>
      </c>
      <c r="AA58" s="50">
        <f t="shared" si="4"/>
        <v>0</v>
      </c>
      <c r="AB58" s="50">
        <f t="shared" si="5"/>
        <v>0</v>
      </c>
      <c r="AC58" s="50">
        <f t="shared" si="6"/>
        <v>0</v>
      </c>
      <c r="AD58" s="50">
        <f t="shared" si="11"/>
        <v>0</v>
      </c>
      <c r="AE58">
        <v>-12</v>
      </c>
      <c r="AF58" s="12">
        <f>LCOE!E84+LCOE!D$40</f>
        <v>0</v>
      </c>
      <c r="AG58">
        <f t="shared" si="12"/>
        <v>1</v>
      </c>
      <c r="AH58" s="16">
        <f t="shared" si="7"/>
        <v>0</v>
      </c>
      <c r="AI58" s="16">
        <f t="shared" si="8"/>
        <v>0</v>
      </c>
      <c r="AJ58" s="16">
        <f t="shared" si="9"/>
        <v>0</v>
      </c>
      <c r="AK58" s="16">
        <f t="shared" si="10"/>
        <v>0</v>
      </c>
      <c r="AL58" s="16">
        <f t="shared" si="13"/>
        <v>0</v>
      </c>
      <c r="AM58" s="16"/>
    </row>
    <row r="59" spans="1:39">
      <c r="A59">
        <v>-11</v>
      </c>
      <c r="B59" s="16">
        <f>LCOE!C85+IF(A59&gt;=((LCOE!D$17*-1)+1),LCOE!D$38/LCOE!D$17,0)</f>
        <v>0</v>
      </c>
      <c r="C59" s="16"/>
      <c r="D59" s="16"/>
      <c r="E59" s="18"/>
      <c r="Z59" s="50">
        <f t="shared" si="3"/>
        <v>0</v>
      </c>
      <c r="AA59" s="50">
        <f t="shared" si="4"/>
        <v>0</v>
      </c>
      <c r="AB59" s="50">
        <f t="shared" si="5"/>
        <v>0</v>
      </c>
      <c r="AC59" s="50">
        <f t="shared" si="6"/>
        <v>0</v>
      </c>
      <c r="AD59" s="50">
        <f t="shared" si="11"/>
        <v>0</v>
      </c>
      <c r="AE59">
        <v>-11</v>
      </c>
      <c r="AF59" s="12">
        <f>LCOE!E85+LCOE!D$40</f>
        <v>0</v>
      </c>
      <c r="AG59">
        <f t="shared" si="12"/>
        <v>1</v>
      </c>
      <c r="AH59" s="16">
        <f t="shared" si="7"/>
        <v>0</v>
      </c>
      <c r="AI59" s="16">
        <f t="shared" si="8"/>
        <v>0</v>
      </c>
      <c r="AJ59" s="16">
        <f t="shared" si="9"/>
        <v>0</v>
      </c>
      <c r="AK59" s="16">
        <f t="shared" si="10"/>
        <v>0</v>
      </c>
      <c r="AL59" s="16">
        <f t="shared" si="13"/>
        <v>0</v>
      </c>
      <c r="AM59" s="16"/>
    </row>
    <row r="60" spans="1:39">
      <c r="A60">
        <v>-10</v>
      </c>
      <c r="B60" s="16">
        <f>LCOE!C86+IF(A60&gt;=((LCOE!D$17*-1)+1),LCOE!D$38/LCOE!D$17,0)</f>
        <v>0</v>
      </c>
      <c r="C60" s="16"/>
      <c r="D60" s="16"/>
      <c r="E60" s="18"/>
      <c r="Z60" s="50">
        <f t="shared" si="3"/>
        <v>0</v>
      </c>
      <c r="AA60" s="50">
        <f t="shared" si="4"/>
        <v>0</v>
      </c>
      <c r="AB60" s="50">
        <f t="shared" si="5"/>
        <v>0</v>
      </c>
      <c r="AC60" s="50">
        <f t="shared" si="6"/>
        <v>0</v>
      </c>
      <c r="AD60" s="50">
        <f t="shared" si="11"/>
        <v>0</v>
      </c>
      <c r="AE60">
        <v>-10</v>
      </c>
      <c r="AF60" s="12">
        <f>LCOE!E86+LCOE!D$40</f>
        <v>0</v>
      </c>
      <c r="AG60">
        <f t="shared" si="12"/>
        <v>1</v>
      </c>
      <c r="AH60" s="16">
        <f t="shared" si="7"/>
        <v>0</v>
      </c>
      <c r="AI60" s="16">
        <f t="shared" si="8"/>
        <v>0</v>
      </c>
      <c r="AJ60" s="16">
        <f t="shared" si="9"/>
        <v>0</v>
      </c>
      <c r="AK60" s="16">
        <f t="shared" si="10"/>
        <v>0</v>
      </c>
      <c r="AL60" s="16">
        <f t="shared" si="13"/>
        <v>0</v>
      </c>
      <c r="AM60" s="16"/>
    </row>
    <row r="61" spans="1:39">
      <c r="A61">
        <v>-9</v>
      </c>
      <c r="B61" s="16">
        <f>LCOE!C87+IF(A61&gt;=((LCOE!D$17*-1)+1),LCOE!D$38/LCOE!D$17,0)</f>
        <v>0</v>
      </c>
      <c r="C61" s="16"/>
      <c r="D61" s="16"/>
      <c r="E61" s="18"/>
      <c r="Z61" s="50">
        <f t="shared" si="3"/>
        <v>0</v>
      </c>
      <c r="AA61" s="50">
        <f t="shared" si="4"/>
        <v>0</v>
      </c>
      <c r="AB61" s="50">
        <f t="shared" si="5"/>
        <v>0</v>
      </c>
      <c r="AC61" s="50">
        <f t="shared" si="6"/>
        <v>0</v>
      </c>
      <c r="AD61" s="50">
        <f t="shared" si="11"/>
        <v>0</v>
      </c>
      <c r="AE61">
        <v>-9</v>
      </c>
      <c r="AF61" s="12">
        <f>LCOE!E87+LCOE!D$40</f>
        <v>0</v>
      </c>
      <c r="AG61">
        <f t="shared" si="12"/>
        <v>1</v>
      </c>
      <c r="AH61" s="16">
        <f t="shared" si="7"/>
        <v>0</v>
      </c>
      <c r="AI61" s="16">
        <f t="shared" si="8"/>
        <v>0</v>
      </c>
      <c r="AJ61" s="16">
        <f t="shared" si="9"/>
        <v>0</v>
      </c>
      <c r="AK61" s="16">
        <f t="shared" si="10"/>
        <v>0</v>
      </c>
      <c r="AL61" s="16">
        <f t="shared" si="13"/>
        <v>0</v>
      </c>
      <c r="AM61" s="16"/>
    </row>
    <row r="62" spans="1:39">
      <c r="A62">
        <v>-8</v>
      </c>
      <c r="B62" s="16">
        <f>LCOE!C88+IF(A62&gt;=((LCOE!D$17*-1)+1),LCOE!D$38/LCOE!D$17,0)</f>
        <v>0</v>
      </c>
      <c r="C62" s="16"/>
      <c r="D62" s="16"/>
      <c r="E62" s="18"/>
      <c r="Z62" s="50">
        <f t="shared" si="3"/>
        <v>0</v>
      </c>
      <c r="AA62" s="50">
        <f t="shared" si="4"/>
        <v>0</v>
      </c>
      <c r="AB62" s="50">
        <f t="shared" si="5"/>
        <v>0</v>
      </c>
      <c r="AC62" s="50">
        <f t="shared" si="6"/>
        <v>0</v>
      </c>
      <c r="AD62" s="50">
        <f t="shared" si="11"/>
        <v>0</v>
      </c>
      <c r="AE62">
        <v>-8</v>
      </c>
      <c r="AF62" s="12">
        <f>LCOE!E88+LCOE!D$40</f>
        <v>0</v>
      </c>
      <c r="AG62">
        <f t="shared" si="12"/>
        <v>1</v>
      </c>
      <c r="AH62" s="16">
        <f t="shared" si="7"/>
        <v>0</v>
      </c>
      <c r="AI62" s="16">
        <f t="shared" si="8"/>
        <v>0</v>
      </c>
      <c r="AJ62" s="16">
        <f t="shared" si="9"/>
        <v>0</v>
      </c>
      <c r="AK62" s="16">
        <f t="shared" si="10"/>
        <v>0</v>
      </c>
      <c r="AL62" s="16">
        <f t="shared" si="13"/>
        <v>0</v>
      </c>
      <c r="AM62" s="16"/>
    </row>
    <row r="63" spans="1:39">
      <c r="A63">
        <v>-7</v>
      </c>
      <c r="B63" s="16">
        <f>LCOE!C89+IF(A63&gt;=((LCOE!D$17*-1)+1),LCOE!D$38/LCOE!D$17,0)</f>
        <v>0</v>
      </c>
      <c r="C63" s="16"/>
      <c r="D63" s="16"/>
      <c r="E63" s="18"/>
      <c r="Z63" s="50">
        <f t="shared" si="3"/>
        <v>0</v>
      </c>
      <c r="AA63" s="50">
        <f t="shared" si="4"/>
        <v>0</v>
      </c>
      <c r="AB63" s="50">
        <f t="shared" si="5"/>
        <v>0</v>
      </c>
      <c r="AC63" s="50">
        <f t="shared" si="6"/>
        <v>0</v>
      </c>
      <c r="AD63" s="50">
        <f t="shared" si="11"/>
        <v>0</v>
      </c>
      <c r="AE63">
        <v>-7</v>
      </c>
      <c r="AF63" s="12">
        <f>LCOE!E89+LCOE!D$40</f>
        <v>0</v>
      </c>
      <c r="AG63">
        <f t="shared" si="12"/>
        <v>1</v>
      </c>
      <c r="AH63" s="16">
        <f t="shared" si="7"/>
        <v>0</v>
      </c>
      <c r="AI63" s="16">
        <f t="shared" si="8"/>
        <v>0</v>
      </c>
      <c r="AJ63" s="16">
        <f t="shared" si="9"/>
        <v>0</v>
      </c>
      <c r="AK63" s="16">
        <f t="shared" si="10"/>
        <v>0</v>
      </c>
      <c r="AL63" s="16">
        <f t="shared" si="13"/>
        <v>0</v>
      </c>
      <c r="AM63" s="16"/>
    </row>
    <row r="64" spans="1:39">
      <c r="A64">
        <v>-6</v>
      </c>
      <c r="B64" s="16">
        <f>LCOE!C90+IF(A64&gt;=((LCOE!D$17*-1)+1),LCOE!D$38/LCOE!D$17,0)</f>
        <v>0</v>
      </c>
      <c r="C64" s="16"/>
      <c r="D64" s="16"/>
      <c r="E64" s="18"/>
      <c r="Z64" s="50">
        <f t="shared" si="3"/>
        <v>0</v>
      </c>
      <c r="AA64" s="50">
        <f t="shared" si="4"/>
        <v>0</v>
      </c>
      <c r="AB64" s="50">
        <f t="shared" si="5"/>
        <v>0</v>
      </c>
      <c r="AC64" s="50">
        <f t="shared" si="6"/>
        <v>0</v>
      </c>
      <c r="AD64" s="50">
        <f t="shared" si="11"/>
        <v>0</v>
      </c>
      <c r="AE64">
        <v>-6</v>
      </c>
      <c r="AF64" s="12">
        <f>LCOE!E90+LCOE!D$40</f>
        <v>0</v>
      </c>
      <c r="AG64">
        <f t="shared" si="12"/>
        <v>1</v>
      </c>
      <c r="AH64" s="16">
        <f t="shared" si="7"/>
        <v>0</v>
      </c>
      <c r="AI64" s="16">
        <f t="shared" si="8"/>
        <v>0</v>
      </c>
      <c r="AJ64" s="16">
        <f t="shared" si="9"/>
        <v>0</v>
      </c>
      <c r="AK64" s="16">
        <f t="shared" si="10"/>
        <v>0</v>
      </c>
      <c r="AL64" s="16">
        <f t="shared" si="13"/>
        <v>0</v>
      </c>
      <c r="AM64" s="16"/>
    </row>
    <row r="65" spans="1:40">
      <c r="A65">
        <v>-5</v>
      </c>
      <c r="B65" s="16">
        <f>LCOE!C91+IF(A65&gt;=((LCOE!D$17*-1)+1),LCOE!D$38/LCOE!D$17,0)</f>
        <v>0</v>
      </c>
      <c r="C65" s="16"/>
      <c r="D65" s="16"/>
      <c r="E65" s="18"/>
      <c r="Z65" s="50">
        <f t="shared" si="3"/>
        <v>0</v>
      </c>
      <c r="AA65" s="50">
        <f t="shared" si="4"/>
        <v>0</v>
      </c>
      <c r="AB65" s="50">
        <f t="shared" si="5"/>
        <v>0</v>
      </c>
      <c r="AC65" s="50">
        <f t="shared" si="6"/>
        <v>0</v>
      </c>
      <c r="AD65" s="50">
        <f t="shared" si="11"/>
        <v>0</v>
      </c>
      <c r="AE65">
        <v>-5</v>
      </c>
      <c r="AF65" s="12">
        <f>LCOE!E91+LCOE!D$40</f>
        <v>0</v>
      </c>
      <c r="AG65">
        <f t="shared" si="12"/>
        <v>1</v>
      </c>
      <c r="AH65" s="16">
        <f t="shared" si="7"/>
        <v>0</v>
      </c>
      <c r="AI65" s="16">
        <f t="shared" si="8"/>
        <v>0</v>
      </c>
      <c r="AJ65" s="16">
        <f t="shared" si="9"/>
        <v>0</v>
      </c>
      <c r="AK65" s="16">
        <f t="shared" si="10"/>
        <v>0</v>
      </c>
      <c r="AL65" s="16">
        <f t="shared" si="13"/>
        <v>0</v>
      </c>
      <c r="AM65" s="16"/>
    </row>
    <row r="66" spans="1:40">
      <c r="A66">
        <v>-4</v>
      </c>
      <c r="B66" s="16">
        <f>LCOE!C92+IF(A66&gt;=((LCOE!D$17*-1)+1),LCOE!D$38/LCOE!D$17,0)</f>
        <v>0</v>
      </c>
      <c r="C66" s="16"/>
      <c r="D66" s="16"/>
      <c r="E66" s="18"/>
      <c r="Z66" s="50">
        <f t="shared" si="3"/>
        <v>0</v>
      </c>
      <c r="AA66" s="50">
        <f t="shared" si="4"/>
        <v>0</v>
      </c>
      <c r="AB66" s="50">
        <f t="shared" si="5"/>
        <v>0</v>
      </c>
      <c r="AC66" s="50">
        <f t="shared" si="6"/>
        <v>0</v>
      </c>
      <c r="AD66" s="50">
        <f t="shared" si="11"/>
        <v>0</v>
      </c>
      <c r="AE66">
        <v>-4</v>
      </c>
      <c r="AF66" s="12">
        <f>LCOE!E92+LCOE!D$40</f>
        <v>0</v>
      </c>
      <c r="AG66">
        <f t="shared" si="12"/>
        <v>1</v>
      </c>
      <c r="AH66" s="16">
        <f t="shared" si="7"/>
        <v>0</v>
      </c>
      <c r="AI66" s="16">
        <f t="shared" si="8"/>
        <v>0</v>
      </c>
      <c r="AJ66" s="16">
        <f t="shared" si="9"/>
        <v>0</v>
      </c>
      <c r="AK66" s="16">
        <f t="shared" si="10"/>
        <v>0</v>
      </c>
      <c r="AL66" s="16">
        <f t="shared" si="13"/>
        <v>0</v>
      </c>
      <c r="AM66" s="16"/>
    </row>
    <row r="67" spans="1:40">
      <c r="A67">
        <v>-3</v>
      </c>
      <c r="B67" s="16">
        <f>LCOE!C93+IF(A67&gt;=((LCOE!D$17*-1)+1),LCOE!D$38/LCOE!D$17,0)</f>
        <v>0</v>
      </c>
      <c r="C67" s="16"/>
      <c r="D67" s="16"/>
      <c r="E67" s="18"/>
      <c r="Z67" s="50">
        <f t="shared" si="3"/>
        <v>0</v>
      </c>
      <c r="AA67" s="50">
        <f t="shared" si="4"/>
        <v>0</v>
      </c>
      <c r="AB67" s="50">
        <f t="shared" si="5"/>
        <v>0</v>
      </c>
      <c r="AC67" s="50">
        <f t="shared" si="6"/>
        <v>0</v>
      </c>
      <c r="AD67" s="50">
        <f t="shared" si="11"/>
        <v>0</v>
      </c>
      <c r="AE67">
        <v>-3</v>
      </c>
      <c r="AF67" s="12">
        <f>LCOE!E93+LCOE!D$40</f>
        <v>0</v>
      </c>
      <c r="AG67">
        <f t="shared" si="12"/>
        <v>1</v>
      </c>
      <c r="AH67" s="16">
        <f t="shared" si="7"/>
        <v>0</v>
      </c>
      <c r="AI67" s="16">
        <f t="shared" si="8"/>
        <v>0</v>
      </c>
      <c r="AJ67" s="16">
        <f t="shared" si="9"/>
        <v>0</v>
      </c>
      <c r="AK67" s="16">
        <f t="shared" si="10"/>
        <v>0</v>
      </c>
      <c r="AL67" s="16">
        <f t="shared" si="13"/>
        <v>0</v>
      </c>
      <c r="AM67" s="16"/>
    </row>
    <row r="68" spans="1:40">
      <c r="A68">
        <v>-2</v>
      </c>
      <c r="B68" s="16">
        <f>LCOE!C94+IF(A68&gt;=((LCOE!D$17*-1)+1),LCOE!D$38/LCOE!D$17,0)</f>
        <v>168166666.66666666</v>
      </c>
      <c r="C68" s="16"/>
      <c r="D68" s="16"/>
      <c r="E68" s="18"/>
      <c r="Z68" s="50">
        <f t="shared" si="3"/>
        <v>168166666.66666666</v>
      </c>
      <c r="AA68" s="50">
        <f t="shared" si="4"/>
        <v>0</v>
      </c>
      <c r="AB68" s="50">
        <f t="shared" si="5"/>
        <v>0</v>
      </c>
      <c r="AC68" s="50">
        <f t="shared" si="6"/>
        <v>0</v>
      </c>
      <c r="AD68" s="50">
        <f t="shared" si="11"/>
        <v>0</v>
      </c>
      <c r="AE68">
        <v>-2</v>
      </c>
      <c r="AF68" s="12">
        <f>LCOE!E94+LCOE!D$40</f>
        <v>0</v>
      </c>
      <c r="AG68">
        <f t="shared" si="12"/>
        <v>1</v>
      </c>
      <c r="AH68" s="16">
        <f t="shared" si="7"/>
        <v>168166666.66666666</v>
      </c>
      <c r="AI68" s="16">
        <f t="shared" si="8"/>
        <v>0</v>
      </c>
      <c r="AJ68" s="16">
        <f t="shared" si="9"/>
        <v>0</v>
      </c>
      <c r="AK68" s="16">
        <f t="shared" si="10"/>
        <v>0</v>
      </c>
      <c r="AL68" s="16">
        <f t="shared" si="13"/>
        <v>0</v>
      </c>
      <c r="AM68" s="16"/>
    </row>
    <row r="69" spans="1:40">
      <c r="A69">
        <v>-1</v>
      </c>
      <c r="B69" s="16">
        <f>LCOE!C95+IF(A69&gt;=((LCOE!D$17*-1)+1),LCOE!D$38/LCOE!D$17,0)</f>
        <v>168166666.66666666</v>
      </c>
      <c r="C69" s="16"/>
      <c r="D69" s="16"/>
      <c r="E69" s="18"/>
      <c r="Z69" s="50">
        <f t="shared" si="3"/>
        <v>168166666.66666666</v>
      </c>
      <c r="AA69" s="50">
        <f t="shared" si="4"/>
        <v>0</v>
      </c>
      <c r="AB69" s="50">
        <f t="shared" si="5"/>
        <v>0</v>
      </c>
      <c r="AC69" s="50">
        <f t="shared" si="6"/>
        <v>0</v>
      </c>
      <c r="AD69" s="50">
        <f t="shared" si="11"/>
        <v>0</v>
      </c>
      <c r="AE69">
        <v>-1</v>
      </c>
      <c r="AF69" s="12">
        <f>LCOE!E95+LCOE!D$40</f>
        <v>0</v>
      </c>
      <c r="AG69">
        <f t="shared" si="12"/>
        <v>1</v>
      </c>
      <c r="AH69" s="16">
        <f t="shared" si="7"/>
        <v>168166666.66666666</v>
      </c>
      <c r="AI69" s="16">
        <f t="shared" si="8"/>
        <v>0</v>
      </c>
      <c r="AJ69" s="16">
        <f t="shared" si="9"/>
        <v>0</v>
      </c>
      <c r="AK69" s="16">
        <f t="shared" si="10"/>
        <v>0</v>
      </c>
      <c r="AL69" s="16">
        <f t="shared" si="13"/>
        <v>0</v>
      </c>
      <c r="AM69" s="16"/>
    </row>
    <row r="70" spans="1:40">
      <c r="A70">
        <v>0</v>
      </c>
      <c r="B70" s="16">
        <f>LCOE!C96+IF(A70&gt;=((LCOE!D$17*-1)+1),LCOE!D$38/LCOE!D$17,0)</f>
        <v>168166666.66666666</v>
      </c>
      <c r="C70" s="16">
        <f>LCOE!D96+IF(AND(LCOE!D$26&gt;0,A70&gt;=LCOE!D$26,A70&lt;=(LCOE!D$26+LCOE!D$27-1)),LCOE!D$42/LCOE!D$27,0)+IF(AND(AE70&gt;=LCOE!D$16,COUNTIF(AE45:AE70,LCOE!D$16)=LCOE!D$36+1),LCOE!D$35*LCOE!D$38,0)</f>
        <v>0</v>
      </c>
      <c r="D70" s="16">
        <f>IF(AE69&lt;LCOE!D$16,1,0)</f>
        <v>1</v>
      </c>
      <c r="E70" s="12">
        <f>LCOE!G96+IF(AND(A70&gt;=LCOE!D$26,A70&lt;=(LCOE!D$26+LCOE!D$27-1)),0,1)*IF(A70=LCOE!D$34,0,1)*D70</f>
        <v>1</v>
      </c>
      <c r="F70" s="14">
        <f>LCOE!D$18*50%+LCOE!J96</f>
        <v>0.45</v>
      </c>
      <c r="G70" s="16">
        <f>LCOE!K96+E70*F70*N70*(LCOE!D$14+LCOE!H96)*24*365*D70</f>
        <v>1971000</v>
      </c>
      <c r="H70" s="16">
        <f>LCOE!L96+F70*(LCOE!D$15+LCOE!I96)*E70*24*365*D70*N70</f>
        <v>0</v>
      </c>
      <c r="I70" s="16">
        <f>LCOE!M96+LCOE!D$20*IF(LCOE!D$14&gt;0,(LCOE!D$14+LCOE!H96),(LCOE!D$15+LCOE!I96))*K70*D70</f>
        <v>20000000</v>
      </c>
      <c r="J70" s="16">
        <f>LCOE!N96+LCOE!D$21*IF(LCOE!D$14&gt;0,G70,H70)*K70*D70</f>
        <v>0</v>
      </c>
      <c r="K70" s="15">
        <f>LCOE!O96+100%</f>
        <v>1</v>
      </c>
      <c r="L70" s="16">
        <f>LCOE!P96+LCOE!D$23*IF(LCOE!D$14&gt;0,G70,H70)*M70*D70</f>
        <v>84082860</v>
      </c>
      <c r="M70" s="15">
        <f>LCOE!Q96+100%</f>
        <v>1</v>
      </c>
      <c r="N70" s="15">
        <f>LCOE!R96+100%</f>
        <v>1</v>
      </c>
      <c r="O70" s="18">
        <f>LCOE!S96+LCOE!D$29</f>
        <v>313.75</v>
      </c>
      <c r="P70" s="12">
        <f>LCOE!T96+IF(A70&gt;=LCOE!D$30,100%,0%)</f>
        <v>1</v>
      </c>
      <c r="Q70" s="16">
        <f>LCOE!U96+O70/1000*IF(LCOE!D$14&gt;0,G70,H70)</f>
        <v>618401.25</v>
      </c>
      <c r="R70" s="16">
        <f>LCOE!B96</f>
        <v>30</v>
      </c>
      <c r="S70" s="16">
        <f>LCOE!V96+Q70*P70*R70</f>
        <v>18552037.5</v>
      </c>
      <c r="T70" s="16">
        <f>LCOE!W96+LCOE!D$31</f>
        <v>0</v>
      </c>
      <c r="U70" s="16">
        <f>LCOE!X96+T70*IF(LCOE!D$14&gt;0,G70,H70)</f>
        <v>0</v>
      </c>
      <c r="V70" s="16">
        <f>LCOE!Y96+LCOE!D$32</f>
        <v>0</v>
      </c>
      <c r="W70" s="16">
        <f>LCOE!Z96+V70*IF(LCOE!D$14&gt;0,G70,H70)</f>
        <v>0</v>
      </c>
      <c r="X70" s="16">
        <f>LCOE!AA96+LCOE!D$34</f>
        <v>101</v>
      </c>
      <c r="Y70" s="16">
        <f>X70*H70</f>
        <v>0</v>
      </c>
      <c r="Z70" s="50">
        <f>SUM(B70:C70)</f>
        <v>168166666.66666666</v>
      </c>
      <c r="AA70" s="50">
        <f>SUM(I70:J70)</f>
        <v>20000000</v>
      </c>
      <c r="AB70" s="50">
        <f>L70</f>
        <v>84082860</v>
      </c>
      <c r="AC70" s="50">
        <f>U70+W70</f>
        <v>0</v>
      </c>
      <c r="AD70" s="50">
        <f t="shared" si="11"/>
        <v>18552037.5</v>
      </c>
      <c r="AE70">
        <v>0</v>
      </c>
      <c r="AF70" s="12">
        <f>LCOE!E96+LCOE!D$40</f>
        <v>0</v>
      </c>
      <c r="AG70">
        <f t="shared" si="12"/>
        <v>1</v>
      </c>
      <c r="AH70" s="16">
        <f t="shared" si="7"/>
        <v>168166666.66666666</v>
      </c>
      <c r="AI70" s="16">
        <f t="shared" si="8"/>
        <v>20000000</v>
      </c>
      <c r="AJ70" s="16">
        <f t="shared" si="9"/>
        <v>84082860</v>
      </c>
      <c r="AK70" s="16">
        <f t="shared" si="10"/>
        <v>0</v>
      </c>
      <c r="AL70" s="16">
        <f t="shared" si="13"/>
        <v>18552037.5</v>
      </c>
      <c r="AM70" s="16">
        <f t="shared" ref="AM70:AM109" si="14">(-1)*Y70/AG70</f>
        <v>0</v>
      </c>
      <c r="AN70" s="16">
        <f>IF(LCOE!D$14&gt;0,G70,H70)/AG70</f>
        <v>1971000</v>
      </c>
    </row>
    <row r="71" spans="1:40">
      <c r="A71">
        <v>1</v>
      </c>
      <c r="C71" s="16">
        <f>LCOE!D97+IF(AND(LCOE!D$26&gt;0,A71&gt;=LCOE!D$26,A71&lt;=(LCOE!D$26+LCOE!D$27-1)),LCOE!D$42/LCOE!D$27,0)+IF(AND(AE71&gt;=LCOE!D$16,COUNTIF(AE46:AE71,LCOE!D$16)=LCOE!D$36+1),LCOE!D$35*LCOE!D$38,0)</f>
        <v>0</v>
      </c>
      <c r="D71" s="16">
        <f>IF(AE70&lt;LCOE!D$16,1,0)</f>
        <v>1</v>
      </c>
      <c r="E71" s="12">
        <f>LCOE!G97+IF(AND(A71&gt;=LCOE!D$26,A71&lt;=(LCOE!D$26+LCOE!D$27-1)),0,1)*IF(A71=LCOE!D$34,0,1)*D71</f>
        <v>1</v>
      </c>
      <c r="F71" s="12">
        <f>IF(F70&lt;LCOE!D$18,MIN(F70*(1+LCOE!D$19),LCOE!D$18),LCOE!D$18)+LCOE!J97</f>
        <v>0.72000000000000008</v>
      </c>
      <c r="G71" s="16">
        <f>LCOE!K97+E71*F71*N71*(LCOE!D$14+LCOE!H97)*24*365*D71</f>
        <v>3153600.0000000005</v>
      </c>
      <c r="H71" s="16">
        <f>LCOE!L97+F71*(LCOE!D$15+LCOE!I97)*E71*24*365*D71*N71</f>
        <v>0</v>
      </c>
      <c r="I71" s="16">
        <f>LCOE!M97+LCOE!D$20*IF(LCOE!D$14&gt;0,(LCOE!D$14+LCOE!H97),(LCOE!D$15+LCOE!I97))*K71*D71</f>
        <v>20000000</v>
      </c>
      <c r="J71" s="16">
        <f>LCOE!N97+LCOE!D$21*IF(LCOE!D$14&gt;0,G71,H71)*K71*D71</f>
        <v>0</v>
      </c>
      <c r="K71" s="15">
        <f>LCOE!O97+K70+K70*LCOE!D$22</f>
        <v>1</v>
      </c>
      <c r="L71" s="16">
        <f>LCOE!P97+LCOE!D$23*IF(LCOE!D$14&gt;0,G71,H71)*M71*D71</f>
        <v>134532576</v>
      </c>
      <c r="M71" s="15">
        <f>LCOE!Q97+M70+M70*LCOE!D$24</f>
        <v>1</v>
      </c>
      <c r="N71" s="15">
        <f>LCOE!R97+N70-N70*LCOE!D$25</f>
        <v>1</v>
      </c>
      <c r="O71" s="18">
        <f>LCOE!S97+LCOE!D$29</f>
        <v>313.75</v>
      </c>
      <c r="P71" s="12">
        <f>LCOE!T97+IF(A71&gt;=LCOE!D$30,100%,0%)</f>
        <v>1</v>
      </c>
      <c r="Q71" s="16">
        <f>LCOE!U97+O71/1000*IF(LCOE!D$14&gt;0,G71,H71)</f>
        <v>989442.00000000012</v>
      </c>
      <c r="R71" s="16">
        <f>LCOE!B97</f>
        <v>30</v>
      </c>
      <c r="S71" s="16">
        <f>LCOE!V97+Q71*P71*R71</f>
        <v>29683260.000000004</v>
      </c>
      <c r="T71" s="16">
        <f>LCOE!W97+LCOE!D$31</f>
        <v>0</v>
      </c>
      <c r="U71" s="16">
        <f>LCOE!X97+T71*IF(LCOE!D$14&gt;0,G71,H71)</f>
        <v>0</v>
      </c>
      <c r="V71" s="16">
        <f>LCOE!Y97+LCOE!D$32</f>
        <v>0</v>
      </c>
      <c r="W71" s="16">
        <f>LCOE!Z97+V71*IF(LCOE!D$14&gt;0,G71,H71)</f>
        <v>0</v>
      </c>
      <c r="X71" s="16">
        <f>LCOE!AA97+LCOE!D$34</f>
        <v>101</v>
      </c>
      <c r="Y71" s="16">
        <f t="shared" ref="Y71:Y134" si="15">X71*H71</f>
        <v>0</v>
      </c>
      <c r="Z71" s="50">
        <f>SUM(B71:C71)</f>
        <v>0</v>
      </c>
      <c r="AA71" s="50">
        <f>SUM(I71:J71)</f>
        <v>20000000</v>
      </c>
      <c r="AB71" s="50">
        <f>L71</f>
        <v>134532576</v>
      </c>
      <c r="AC71" s="50">
        <f t="shared" ref="AC71:AC134" si="16">U71+W71</f>
        <v>0</v>
      </c>
      <c r="AD71" s="50">
        <f t="shared" si="11"/>
        <v>29683260.000000004</v>
      </c>
      <c r="AE71">
        <f t="shared" ref="AE71:AE102" si="17">AE70+1*E71</f>
        <v>1</v>
      </c>
      <c r="AF71" s="12">
        <f>LCOE!E97+LCOE!D$40</f>
        <v>0</v>
      </c>
      <c r="AG71">
        <f t="shared" si="12"/>
        <v>1</v>
      </c>
      <c r="AH71" s="16">
        <f t="shared" si="7"/>
        <v>0</v>
      </c>
      <c r="AI71" s="16">
        <f t="shared" si="8"/>
        <v>20000000</v>
      </c>
      <c r="AJ71" s="16">
        <f t="shared" si="9"/>
        <v>134532576</v>
      </c>
      <c r="AK71" s="16">
        <f t="shared" si="10"/>
        <v>0</v>
      </c>
      <c r="AL71" s="16">
        <f t="shared" si="13"/>
        <v>29683260.000000004</v>
      </c>
      <c r="AM71" s="16">
        <f t="shared" si="14"/>
        <v>0</v>
      </c>
      <c r="AN71" s="16">
        <f>IF(LCOE!D$14&gt;0,G71,H71)/AG71</f>
        <v>3153600.0000000005</v>
      </c>
    </row>
    <row r="72" spans="1:40">
      <c r="A72">
        <v>2</v>
      </c>
      <c r="C72" s="16">
        <f>LCOE!D98+IF(AND(LCOE!D$26&gt;0,A72&gt;=LCOE!D$26,A72&lt;=(LCOE!D$26+LCOE!D$27-1)),LCOE!D$42/LCOE!D$27,0)+IF(AND(AE72&gt;=LCOE!D$16,COUNTIF(AE47:AE72,LCOE!D$16)=LCOE!D$36+1),LCOE!D$35*LCOE!D$38,0)</f>
        <v>0</v>
      </c>
      <c r="D72" s="16">
        <f>IF(AE71&lt;LCOE!D$16,1,0)</f>
        <v>1</v>
      </c>
      <c r="E72" s="12">
        <f>LCOE!G98+IF(AND(A72&gt;=LCOE!D$26,A72&lt;=(LCOE!D$26+LCOE!D$27-1)),0,1)*IF(A72=LCOE!D$34,0,1)*D72</f>
        <v>1</v>
      </c>
      <c r="F72" s="12">
        <f>IF(F71&lt;LCOE!D$18,MIN(F71*(1+LCOE!D$19),LCOE!D$18),LCOE!D$18)+LCOE!J98</f>
        <v>0.9</v>
      </c>
      <c r="G72" s="16">
        <f>LCOE!K98+E72*F72*N72*(LCOE!D$14+LCOE!H98)*24*365*D72</f>
        <v>3942000</v>
      </c>
      <c r="H72" s="16">
        <f>LCOE!L98+F72*(LCOE!D$15+LCOE!I98)*E72*24*365*D72*N72</f>
        <v>0</v>
      </c>
      <c r="I72" s="16">
        <f>LCOE!M98+LCOE!D$20*IF(LCOE!D$14&gt;0,(LCOE!D$14+LCOE!H98),(LCOE!D$15+LCOE!I98))*K72*D72</f>
        <v>20000000</v>
      </c>
      <c r="J72" s="16">
        <f>LCOE!N98+LCOE!D$21*IF(LCOE!D$14&gt;0,G72,H72)*K72*D72</f>
        <v>0</v>
      </c>
      <c r="K72" s="15">
        <f>LCOE!O98+K71+K71*LCOE!D$22</f>
        <v>1</v>
      </c>
      <c r="L72" s="16">
        <f>LCOE!P98+LCOE!D$23*IF(LCOE!D$14&gt;0,G72,H72)*M72*D72</f>
        <v>168165720</v>
      </c>
      <c r="M72" s="15">
        <f>LCOE!Q98+M71+M71*LCOE!D$24</f>
        <v>1</v>
      </c>
      <c r="N72" s="15">
        <f>LCOE!R98+N71-N71*LCOE!D$25</f>
        <v>1</v>
      </c>
      <c r="O72" s="18">
        <f>LCOE!S98+LCOE!D$29</f>
        <v>313.75</v>
      </c>
      <c r="P72" s="12">
        <f>LCOE!T98+IF(A72&gt;=LCOE!D$30,100%,0%)</f>
        <v>1</v>
      </c>
      <c r="Q72" s="16">
        <f>LCOE!U98+O72/1000*IF(LCOE!D$14&gt;0,G72,H72)</f>
        <v>1236802.5</v>
      </c>
      <c r="R72" s="16">
        <f>LCOE!B98</f>
        <v>30</v>
      </c>
      <c r="S72" s="16">
        <f>LCOE!V98+Q72*P72*R72</f>
        <v>37104075</v>
      </c>
      <c r="T72" s="16">
        <f>LCOE!W98+LCOE!D$31</f>
        <v>0</v>
      </c>
      <c r="U72" s="16">
        <f>LCOE!X98+T72*IF(LCOE!D$14&gt;0,G72,H72)</f>
        <v>0</v>
      </c>
      <c r="V72" s="16">
        <f>LCOE!Y98+LCOE!D$32</f>
        <v>0</v>
      </c>
      <c r="W72" s="16">
        <f>LCOE!Z98+V72*IF(LCOE!D$14&gt;0,G72,H72)</f>
        <v>0</v>
      </c>
      <c r="X72" s="16">
        <f>LCOE!AA98+LCOE!D$34</f>
        <v>101</v>
      </c>
      <c r="Y72" s="16">
        <f t="shared" si="15"/>
        <v>0</v>
      </c>
      <c r="Z72" s="50">
        <f t="shared" ref="Z72:Z135" si="18">SUM(B72:C72)</f>
        <v>0</v>
      </c>
      <c r="AA72" s="50">
        <f t="shared" ref="AA72:AA135" si="19">SUM(I72:J72)</f>
        <v>20000000</v>
      </c>
      <c r="AB72" s="50">
        <f t="shared" ref="AB72:AB135" si="20">L72</f>
        <v>168165720</v>
      </c>
      <c r="AC72" s="50">
        <f t="shared" si="16"/>
        <v>0</v>
      </c>
      <c r="AD72" s="50">
        <f t="shared" si="11"/>
        <v>37104075</v>
      </c>
      <c r="AE72">
        <f t="shared" si="17"/>
        <v>2</v>
      </c>
      <c r="AF72" s="12">
        <f>LCOE!E98+LCOE!D$40</f>
        <v>0</v>
      </c>
      <c r="AG72">
        <f t="shared" si="12"/>
        <v>1</v>
      </c>
      <c r="AH72" s="16">
        <f t="shared" si="7"/>
        <v>0</v>
      </c>
      <c r="AI72" s="16">
        <f t="shared" si="8"/>
        <v>20000000</v>
      </c>
      <c r="AJ72" s="16">
        <f t="shared" si="9"/>
        <v>168165720</v>
      </c>
      <c r="AK72" s="16">
        <f t="shared" si="10"/>
        <v>0</v>
      </c>
      <c r="AL72" s="16">
        <f t="shared" si="13"/>
        <v>37104075</v>
      </c>
      <c r="AM72" s="16">
        <f t="shared" si="14"/>
        <v>0</v>
      </c>
      <c r="AN72" s="16">
        <f>IF(LCOE!D$14&gt;0,G72,H72)/AG72</f>
        <v>3942000</v>
      </c>
    </row>
    <row r="73" spans="1:40">
      <c r="A73">
        <v>3</v>
      </c>
      <c r="C73" s="16">
        <f>LCOE!D99+IF(AND(LCOE!D$26&gt;0,A73&gt;=LCOE!D$26,A73&lt;=(LCOE!D$26+LCOE!D$27-1)),LCOE!D$42/LCOE!D$27,0)+IF(AND(AE73&gt;=LCOE!D$16,COUNTIF(AE48:AE73,LCOE!D$16)=LCOE!D$36+1),LCOE!D$35*LCOE!D$38,0)</f>
        <v>0</v>
      </c>
      <c r="D73" s="16">
        <f>IF(AE72&lt;LCOE!D$16,1,0)</f>
        <v>1</v>
      </c>
      <c r="E73" s="12">
        <f>LCOE!G99+IF(AND(A73&gt;=LCOE!D$26,A73&lt;=(LCOE!D$26+LCOE!D$27-1)),0,1)*IF(A73=LCOE!D$34,0,1)*D73</f>
        <v>1</v>
      </c>
      <c r="F73" s="12">
        <f>IF(F72&lt;LCOE!D$18,MIN(F72*(1+LCOE!D$19),LCOE!D$18),LCOE!D$18)+LCOE!J99</f>
        <v>0.9</v>
      </c>
      <c r="G73" s="16">
        <f>LCOE!K99+E73*F73*N73*(LCOE!D$14+LCOE!H99)*24*365*D73</f>
        <v>3942000</v>
      </c>
      <c r="H73" s="16">
        <f>LCOE!L99+F73*(LCOE!D$15+LCOE!I99)*E73*24*365*D73*N73</f>
        <v>0</v>
      </c>
      <c r="I73" s="16">
        <f>LCOE!M99+LCOE!D$20*IF(LCOE!D$14&gt;0,(LCOE!D$14+LCOE!H99),(LCOE!D$15+LCOE!I99))*K73*D73</f>
        <v>20000000</v>
      </c>
      <c r="J73" s="16">
        <f>LCOE!N99+LCOE!D$21*IF(LCOE!D$14&gt;0,G73,H73)*K73*D73</f>
        <v>0</v>
      </c>
      <c r="K73" s="15">
        <f>LCOE!O99+K72+K72*LCOE!D$22</f>
        <v>1</v>
      </c>
      <c r="L73" s="16">
        <f>LCOE!P99+LCOE!D$23*IF(LCOE!D$14&gt;0,G73,H73)*M73*D73</f>
        <v>168165720</v>
      </c>
      <c r="M73" s="15">
        <f>LCOE!Q99+M72+M72*LCOE!D$24</f>
        <v>1</v>
      </c>
      <c r="N73" s="15">
        <f>LCOE!R99+N72-N72*LCOE!D$25</f>
        <v>1</v>
      </c>
      <c r="O73" s="18">
        <f>LCOE!S99+LCOE!D$29</f>
        <v>313.75</v>
      </c>
      <c r="P73" s="12">
        <f>LCOE!T99+IF(A73&gt;=LCOE!D$30,100%,0%)</f>
        <v>1</v>
      </c>
      <c r="Q73" s="16">
        <f>LCOE!U99+O73/1000*IF(LCOE!D$14&gt;0,G73,H73)</f>
        <v>1236802.5</v>
      </c>
      <c r="R73" s="16">
        <f>LCOE!B99</f>
        <v>30</v>
      </c>
      <c r="S73" s="16">
        <f>LCOE!V99+Q73*P73*R73</f>
        <v>37104075</v>
      </c>
      <c r="T73" s="16">
        <f>LCOE!W99+LCOE!D$31</f>
        <v>0</v>
      </c>
      <c r="U73" s="16">
        <f>LCOE!X99+T73*IF(LCOE!D$14&gt;0,G73,H73)</f>
        <v>0</v>
      </c>
      <c r="V73" s="16">
        <f>LCOE!Y99+LCOE!D$32</f>
        <v>0</v>
      </c>
      <c r="W73" s="16">
        <f>LCOE!Z99+V73*IF(LCOE!D$14&gt;0,G73,H73)</f>
        <v>0</v>
      </c>
      <c r="X73" s="16">
        <f>LCOE!AA99+LCOE!D$34</f>
        <v>101</v>
      </c>
      <c r="Y73" s="16">
        <f t="shared" si="15"/>
        <v>0</v>
      </c>
      <c r="Z73" s="50">
        <f t="shared" si="18"/>
        <v>0</v>
      </c>
      <c r="AA73" s="50">
        <f t="shared" si="19"/>
        <v>20000000</v>
      </c>
      <c r="AB73" s="50">
        <f t="shared" si="20"/>
        <v>168165720</v>
      </c>
      <c r="AC73" s="50">
        <f t="shared" si="16"/>
        <v>0</v>
      </c>
      <c r="AD73" s="50">
        <f t="shared" si="11"/>
        <v>37104075</v>
      </c>
      <c r="AE73">
        <f t="shared" si="17"/>
        <v>3</v>
      </c>
      <c r="AF73" s="12">
        <f>LCOE!E99+LCOE!D$40</f>
        <v>0</v>
      </c>
      <c r="AG73">
        <f t="shared" si="12"/>
        <v>1</v>
      </c>
      <c r="AH73" s="16">
        <f t="shared" si="7"/>
        <v>0</v>
      </c>
      <c r="AI73" s="16">
        <f t="shared" si="8"/>
        <v>20000000</v>
      </c>
      <c r="AJ73" s="16">
        <f t="shared" si="9"/>
        <v>168165720</v>
      </c>
      <c r="AK73" s="16">
        <f t="shared" si="10"/>
        <v>0</v>
      </c>
      <c r="AL73" s="16">
        <f t="shared" si="13"/>
        <v>37104075</v>
      </c>
      <c r="AM73" s="16">
        <f t="shared" si="14"/>
        <v>0</v>
      </c>
      <c r="AN73" s="16">
        <f>IF(LCOE!D$14&gt;0,G73,H73)/AG73</f>
        <v>3942000</v>
      </c>
    </row>
    <row r="74" spans="1:40">
      <c r="A74">
        <v>4</v>
      </c>
      <c r="C74" s="16">
        <f>LCOE!D100+IF(AND(LCOE!D$26&gt;0,A74&gt;=LCOE!D$26,A74&lt;=(LCOE!D$26+LCOE!D$27-1)),LCOE!D$42/LCOE!D$27,0)+IF(AND(AE74&gt;=LCOE!D$16,COUNTIF(AE49:AE74,LCOE!D$16)=LCOE!D$36+1),LCOE!D$35*LCOE!D$38,0)</f>
        <v>0</v>
      </c>
      <c r="D74" s="16">
        <f>IF(AE73&lt;LCOE!D$16,1,0)</f>
        <v>1</v>
      </c>
      <c r="E74" s="12">
        <f>LCOE!G100+IF(AND(A74&gt;=LCOE!D$26,A74&lt;=(LCOE!D$26+LCOE!D$27-1)),0,1)*IF(A74=LCOE!D$34,0,1)*D74</f>
        <v>1</v>
      </c>
      <c r="F74" s="12">
        <f>IF(F73&lt;LCOE!D$18,MIN(F73*(1+LCOE!D$19),LCOE!D$18),LCOE!D$18)+LCOE!J100</f>
        <v>0.9</v>
      </c>
      <c r="G74" s="16">
        <f>LCOE!K100+E74*F74*N74*(LCOE!D$14+LCOE!H100)*24*365*D74</f>
        <v>3942000</v>
      </c>
      <c r="H74" s="16">
        <f>LCOE!L100+F74*(LCOE!D$15+LCOE!I100)*E74*24*365*D74*N74</f>
        <v>0</v>
      </c>
      <c r="I74" s="16">
        <f>LCOE!M100+LCOE!D$20*IF(LCOE!D$14&gt;0,(LCOE!D$14+LCOE!H100),(LCOE!D$15+LCOE!I100))*K74*D74</f>
        <v>20000000</v>
      </c>
      <c r="J74" s="16">
        <f>LCOE!N100+LCOE!D$21*IF(LCOE!D$14&gt;0,G74,H74)*K74*D74</f>
        <v>0</v>
      </c>
      <c r="K74" s="15">
        <f>LCOE!O100+K73+K73*LCOE!D$22</f>
        <v>1</v>
      </c>
      <c r="L74" s="16">
        <f>LCOE!P100+LCOE!D$23*IF(LCOE!D$14&gt;0,G74,H74)*M74*D74</f>
        <v>168165720</v>
      </c>
      <c r="M74" s="15">
        <f>LCOE!Q100+M73+M73*LCOE!D$24</f>
        <v>1</v>
      </c>
      <c r="N74" s="15">
        <f>LCOE!R100+N73-N73*LCOE!D$25</f>
        <v>1</v>
      </c>
      <c r="O74" s="18">
        <f>LCOE!S100+LCOE!D$29</f>
        <v>313.75</v>
      </c>
      <c r="P74" s="12">
        <f>LCOE!T100+IF(A74&gt;=LCOE!D$30,100%,0%)</f>
        <v>1</v>
      </c>
      <c r="Q74" s="16">
        <f>LCOE!U100+O74/1000*IF(LCOE!D$14&gt;0,G74,H74)</f>
        <v>1236802.5</v>
      </c>
      <c r="R74" s="16">
        <f>LCOE!B100</f>
        <v>30</v>
      </c>
      <c r="S74" s="16">
        <f>LCOE!V100+Q74*P74*R74</f>
        <v>37104075</v>
      </c>
      <c r="T74" s="16">
        <f>LCOE!W100+LCOE!D$31</f>
        <v>0</v>
      </c>
      <c r="U74" s="16">
        <f>LCOE!X100+T74*IF(LCOE!D$14&gt;0,G74,H74)</f>
        <v>0</v>
      </c>
      <c r="V74" s="16">
        <f>LCOE!Y100+LCOE!D$32</f>
        <v>0</v>
      </c>
      <c r="W74" s="16">
        <f>LCOE!Z100+V74*IF(LCOE!D$14&gt;0,G74,H74)</f>
        <v>0</v>
      </c>
      <c r="X74" s="16">
        <f>LCOE!AA100+LCOE!D$34</f>
        <v>101</v>
      </c>
      <c r="Y74" s="16">
        <f t="shared" si="15"/>
        <v>0</v>
      </c>
      <c r="Z74" s="50">
        <f t="shared" si="18"/>
        <v>0</v>
      </c>
      <c r="AA74" s="50">
        <f t="shared" si="19"/>
        <v>20000000</v>
      </c>
      <c r="AB74" s="50">
        <f t="shared" si="20"/>
        <v>168165720</v>
      </c>
      <c r="AC74" s="50">
        <f t="shared" si="16"/>
        <v>0</v>
      </c>
      <c r="AD74" s="50">
        <f t="shared" si="11"/>
        <v>37104075</v>
      </c>
      <c r="AE74">
        <f t="shared" si="17"/>
        <v>4</v>
      </c>
      <c r="AF74" s="12">
        <f>LCOE!E100+LCOE!D$40</f>
        <v>0</v>
      </c>
      <c r="AG74">
        <f t="shared" si="12"/>
        <v>1</v>
      </c>
      <c r="AH74" s="16">
        <f t="shared" si="7"/>
        <v>0</v>
      </c>
      <c r="AI74" s="16">
        <f t="shared" si="8"/>
        <v>20000000</v>
      </c>
      <c r="AJ74" s="16">
        <f t="shared" si="9"/>
        <v>168165720</v>
      </c>
      <c r="AK74" s="16">
        <f t="shared" si="10"/>
        <v>0</v>
      </c>
      <c r="AL74" s="16">
        <f t="shared" si="13"/>
        <v>37104075</v>
      </c>
      <c r="AM74" s="16">
        <f t="shared" si="14"/>
        <v>0</v>
      </c>
      <c r="AN74" s="16">
        <f>IF(LCOE!D$14&gt;0,G74,H74)/AG74</f>
        <v>3942000</v>
      </c>
    </row>
    <row r="75" spans="1:40">
      <c r="A75">
        <v>5</v>
      </c>
      <c r="C75" s="16">
        <f>LCOE!D101+IF(AND(LCOE!D$26&gt;0,A75&gt;=LCOE!D$26,A75&lt;=(LCOE!D$26+LCOE!D$27-1)),LCOE!D$42/LCOE!D$27,0)+IF(AND(AE75&gt;=LCOE!D$16,COUNTIF(AE50:AE75,LCOE!D$16)=LCOE!D$36+1),LCOE!D$35*LCOE!D$38,0)</f>
        <v>0</v>
      </c>
      <c r="D75" s="16">
        <f>IF(AE74&lt;LCOE!D$16,1,0)</f>
        <v>1</v>
      </c>
      <c r="E75" s="12">
        <f>LCOE!G101+IF(AND(A75&gt;=LCOE!D$26,A75&lt;=(LCOE!D$26+LCOE!D$27-1)),0,1)*IF(A75=LCOE!D$34,0,1)*D75</f>
        <v>1</v>
      </c>
      <c r="F75" s="12">
        <f>IF(F74&lt;LCOE!D$18,MIN(F74*(1+LCOE!D$19),LCOE!D$18),LCOE!D$18)+LCOE!J101</f>
        <v>0.9</v>
      </c>
      <c r="G75" s="16">
        <f>LCOE!K101+E75*F75*N75*(LCOE!D$14+LCOE!H101)*24*365*D75</f>
        <v>3942000</v>
      </c>
      <c r="H75" s="16">
        <f>LCOE!L101+F75*(LCOE!D$15+LCOE!I101)*E75*24*365*D75*N75</f>
        <v>0</v>
      </c>
      <c r="I75" s="16">
        <f>LCOE!M101+LCOE!D$20*IF(LCOE!D$14&gt;0,(LCOE!D$14+LCOE!H101),(LCOE!D$15+LCOE!I101))*K75*D75</f>
        <v>20000000</v>
      </c>
      <c r="J75" s="16">
        <f>LCOE!N101+LCOE!D$21*IF(LCOE!D$14&gt;0,G75,H75)*K75*D75</f>
        <v>0</v>
      </c>
      <c r="K75" s="15">
        <f>LCOE!O101+K74+K74*LCOE!D$22</f>
        <v>1</v>
      </c>
      <c r="L75" s="16">
        <f>LCOE!P101+LCOE!D$23*IF(LCOE!D$14&gt;0,G75,H75)*M75*D75</f>
        <v>168165720</v>
      </c>
      <c r="M75" s="15">
        <f>LCOE!Q101+M74+M74*LCOE!D$24</f>
        <v>1</v>
      </c>
      <c r="N75" s="15">
        <f>LCOE!R101+N74-N74*LCOE!D$25</f>
        <v>1</v>
      </c>
      <c r="O75" s="18">
        <f>LCOE!S101+LCOE!D$29</f>
        <v>313.75</v>
      </c>
      <c r="P75" s="12">
        <f>LCOE!T101+IF(A75&gt;=LCOE!D$30,100%,0%)</f>
        <v>1</v>
      </c>
      <c r="Q75" s="16">
        <f>LCOE!U101+O75/1000*IF(LCOE!D$14&gt;0,G75,H75)</f>
        <v>1236802.5</v>
      </c>
      <c r="R75" s="16">
        <f>LCOE!B101</f>
        <v>30</v>
      </c>
      <c r="S75" s="16">
        <f>LCOE!V101+Q75*P75*R75</f>
        <v>37104075</v>
      </c>
      <c r="T75" s="16">
        <f>LCOE!W101+LCOE!D$31</f>
        <v>0</v>
      </c>
      <c r="U75" s="16">
        <f>LCOE!X101+T75*IF(LCOE!D$14&gt;0,G75,H75)</f>
        <v>0</v>
      </c>
      <c r="V75" s="16">
        <f>LCOE!Y101+LCOE!D$32</f>
        <v>0</v>
      </c>
      <c r="W75" s="16">
        <f>LCOE!Z101+V75*IF(LCOE!D$14&gt;0,G75,H75)</f>
        <v>0</v>
      </c>
      <c r="X75" s="16">
        <f>LCOE!AA101+LCOE!D$34</f>
        <v>101</v>
      </c>
      <c r="Y75" s="16">
        <f t="shared" si="15"/>
        <v>0</v>
      </c>
      <c r="Z75" s="50">
        <f t="shared" si="18"/>
        <v>0</v>
      </c>
      <c r="AA75" s="50">
        <f t="shared" si="19"/>
        <v>20000000</v>
      </c>
      <c r="AB75" s="50">
        <f t="shared" si="20"/>
        <v>168165720</v>
      </c>
      <c r="AC75" s="50">
        <f t="shared" si="16"/>
        <v>0</v>
      </c>
      <c r="AD75" s="50">
        <f t="shared" si="11"/>
        <v>37104075</v>
      </c>
      <c r="AE75">
        <f t="shared" si="17"/>
        <v>5</v>
      </c>
      <c r="AF75" s="12">
        <f>LCOE!E101+LCOE!D$40</f>
        <v>0</v>
      </c>
      <c r="AG75">
        <f t="shared" si="12"/>
        <v>1</v>
      </c>
      <c r="AH75" s="16">
        <f t="shared" si="7"/>
        <v>0</v>
      </c>
      <c r="AI75" s="16">
        <f t="shared" si="8"/>
        <v>20000000</v>
      </c>
      <c r="AJ75" s="16">
        <f t="shared" si="9"/>
        <v>168165720</v>
      </c>
      <c r="AK75" s="16">
        <f t="shared" si="10"/>
        <v>0</v>
      </c>
      <c r="AL75" s="16">
        <f t="shared" si="13"/>
        <v>37104075</v>
      </c>
      <c r="AM75" s="16">
        <f t="shared" si="14"/>
        <v>0</v>
      </c>
      <c r="AN75" s="16">
        <f>IF(LCOE!D$14&gt;0,G75,H75)/AG75</f>
        <v>3942000</v>
      </c>
    </row>
    <row r="76" spans="1:40">
      <c r="A76">
        <v>6</v>
      </c>
      <c r="C76" s="16">
        <f>LCOE!D102+IF(AND(LCOE!D$26&gt;0,A76&gt;=LCOE!D$26,A76&lt;=(LCOE!D$26+LCOE!D$27-1)),LCOE!D$42/LCOE!D$27,0)+IF(AND(AE76&gt;=LCOE!D$16,COUNTIF(AE51:AE76,LCOE!D$16)=LCOE!D$36+1),LCOE!D$35*LCOE!D$38,0)</f>
        <v>0</v>
      </c>
      <c r="D76" s="16">
        <f>IF(AE75&lt;LCOE!D$16,1,0)</f>
        <v>1</v>
      </c>
      <c r="E76" s="12">
        <f>LCOE!G102+IF(AND(A76&gt;=LCOE!D$26,A76&lt;=(LCOE!D$26+LCOE!D$27-1)),0,1)*IF(A76=LCOE!D$34,0,1)*D76</f>
        <v>1</v>
      </c>
      <c r="F76" s="12">
        <f>IF(F75&lt;LCOE!D$18,MIN(F75*(1+LCOE!D$19),LCOE!D$18),LCOE!D$18)+LCOE!J102</f>
        <v>0.9</v>
      </c>
      <c r="G76" s="16">
        <f>LCOE!K102+E76*F76*N76*(LCOE!D$14+LCOE!H102)*24*365*D76</f>
        <v>3942000</v>
      </c>
      <c r="H76" s="16">
        <f>LCOE!L102+F76*(LCOE!D$15+LCOE!I102)*E76*24*365*D76*N76</f>
        <v>0</v>
      </c>
      <c r="I76" s="16">
        <f>LCOE!M102+LCOE!D$20*IF(LCOE!D$14&gt;0,(LCOE!D$14+LCOE!H102),(LCOE!D$15+LCOE!I102))*K76*D76</f>
        <v>20000000</v>
      </c>
      <c r="J76" s="16">
        <f>LCOE!N102+LCOE!D$21*IF(LCOE!D$14&gt;0,G76,H76)*K76*D76</f>
        <v>0</v>
      </c>
      <c r="K76" s="15">
        <f>LCOE!O102+K75+K75*LCOE!D$22</f>
        <v>1</v>
      </c>
      <c r="L76" s="16">
        <f>LCOE!P102+LCOE!D$23*IF(LCOE!D$14&gt;0,G76,H76)*M76*D76</f>
        <v>168165720</v>
      </c>
      <c r="M76" s="15">
        <f>LCOE!Q102+M75+M75*LCOE!D$24</f>
        <v>1</v>
      </c>
      <c r="N76" s="15">
        <f>LCOE!R102+N75-N75*LCOE!D$25</f>
        <v>1</v>
      </c>
      <c r="O76" s="18">
        <f>LCOE!S102+LCOE!D$29</f>
        <v>313.75</v>
      </c>
      <c r="P76" s="12">
        <f>LCOE!T102+IF(A76&gt;=LCOE!D$30,100%,0%)</f>
        <v>1</v>
      </c>
      <c r="Q76" s="16">
        <f>LCOE!U102+O76/1000*IF(LCOE!D$14&gt;0,G76,H76)</f>
        <v>1236802.5</v>
      </c>
      <c r="R76" s="16">
        <f>LCOE!B102</f>
        <v>30</v>
      </c>
      <c r="S76" s="16">
        <f>LCOE!V102+Q76*P76*R76</f>
        <v>37104075</v>
      </c>
      <c r="T76" s="16">
        <f>LCOE!W102+LCOE!D$31</f>
        <v>0</v>
      </c>
      <c r="U76" s="16">
        <f>LCOE!X102+T76*IF(LCOE!D$14&gt;0,G76,H76)</f>
        <v>0</v>
      </c>
      <c r="V76" s="16">
        <f>LCOE!Y102+LCOE!D$32</f>
        <v>0</v>
      </c>
      <c r="W76" s="16">
        <f>LCOE!Z102+V76*IF(LCOE!D$14&gt;0,G76,H76)</f>
        <v>0</v>
      </c>
      <c r="X76" s="16">
        <f>LCOE!AA102+LCOE!D$34</f>
        <v>101</v>
      </c>
      <c r="Y76" s="16">
        <f t="shared" si="15"/>
        <v>0</v>
      </c>
      <c r="Z76" s="50">
        <f t="shared" si="18"/>
        <v>0</v>
      </c>
      <c r="AA76" s="50">
        <f t="shared" si="19"/>
        <v>20000000</v>
      </c>
      <c r="AB76" s="50">
        <f t="shared" si="20"/>
        <v>168165720</v>
      </c>
      <c r="AC76" s="50">
        <f t="shared" si="16"/>
        <v>0</v>
      </c>
      <c r="AD76" s="50">
        <f t="shared" si="11"/>
        <v>37104075</v>
      </c>
      <c r="AE76">
        <f t="shared" si="17"/>
        <v>6</v>
      </c>
      <c r="AF76" s="12">
        <f>LCOE!E102+LCOE!D$40</f>
        <v>0</v>
      </c>
      <c r="AG76">
        <f t="shared" si="12"/>
        <v>1</v>
      </c>
      <c r="AH76" s="16">
        <f t="shared" si="7"/>
        <v>0</v>
      </c>
      <c r="AI76" s="16">
        <f t="shared" si="8"/>
        <v>20000000</v>
      </c>
      <c r="AJ76" s="16">
        <f t="shared" si="9"/>
        <v>168165720</v>
      </c>
      <c r="AK76" s="16">
        <f t="shared" si="10"/>
        <v>0</v>
      </c>
      <c r="AL76" s="16">
        <f t="shared" si="13"/>
        <v>37104075</v>
      </c>
      <c r="AM76" s="16">
        <f t="shared" si="14"/>
        <v>0</v>
      </c>
      <c r="AN76" s="16">
        <f>IF(LCOE!D$14&gt;0,G76,H76)/AG76</f>
        <v>3942000</v>
      </c>
    </row>
    <row r="77" spans="1:40">
      <c r="A77">
        <v>7</v>
      </c>
      <c r="C77" s="16">
        <f>LCOE!D103+IF(AND(LCOE!D$26&gt;0,A77&gt;=LCOE!D$26,A77&lt;=(LCOE!D$26+LCOE!D$27-1)),LCOE!D$42/LCOE!D$27,0)+IF(AND(AE77&gt;=LCOE!D$16,COUNTIF(AE52:AE77,LCOE!D$16)=LCOE!D$36+1),LCOE!D$35*LCOE!D$38,0)</f>
        <v>0</v>
      </c>
      <c r="D77" s="16">
        <f>IF(AE76&lt;LCOE!D$16,1,0)</f>
        <v>1</v>
      </c>
      <c r="E77" s="12">
        <f>LCOE!G103+IF(AND(A77&gt;=LCOE!D$26,A77&lt;=(LCOE!D$26+LCOE!D$27-1)),0,1)*IF(A77=LCOE!D$34,0,1)*D77</f>
        <v>1</v>
      </c>
      <c r="F77" s="12">
        <f>IF(F76&lt;LCOE!D$18,MIN(F76*(1+LCOE!D$19),LCOE!D$18),LCOE!D$18)+LCOE!J103</f>
        <v>0.9</v>
      </c>
      <c r="G77" s="16">
        <f>LCOE!K103+E77*F77*N77*(LCOE!D$14+LCOE!H103)*24*365*D77</f>
        <v>3942000</v>
      </c>
      <c r="H77" s="16">
        <f>LCOE!L103+F77*(LCOE!D$15+LCOE!I103)*E77*24*365*D77*N77</f>
        <v>0</v>
      </c>
      <c r="I77" s="16">
        <f>LCOE!M103+LCOE!D$20*IF(LCOE!D$14&gt;0,(LCOE!D$14+LCOE!H103),(LCOE!D$15+LCOE!I103))*K77*D77</f>
        <v>20000000</v>
      </c>
      <c r="J77" s="16">
        <f>LCOE!N103+LCOE!D$21*IF(LCOE!D$14&gt;0,G77,H77)*K77*D77</f>
        <v>0</v>
      </c>
      <c r="K77" s="15">
        <f>LCOE!O103+K76+K76*LCOE!D$22</f>
        <v>1</v>
      </c>
      <c r="L77" s="16">
        <f>LCOE!P103+LCOE!D$23*IF(LCOE!D$14&gt;0,G77,H77)*M77*D77</f>
        <v>168165720</v>
      </c>
      <c r="M77" s="15">
        <f>LCOE!Q103+M76+M76*LCOE!D$24</f>
        <v>1</v>
      </c>
      <c r="N77" s="15">
        <f>LCOE!R103+N76-N76*LCOE!D$25</f>
        <v>1</v>
      </c>
      <c r="O77" s="18">
        <f>LCOE!S103+LCOE!D$29</f>
        <v>313.75</v>
      </c>
      <c r="P77" s="12">
        <f>LCOE!T103+IF(A77&gt;=LCOE!D$30,100%,0%)</f>
        <v>1</v>
      </c>
      <c r="Q77" s="16">
        <f>LCOE!U103+O77/1000*IF(LCOE!D$14&gt;0,G77,H77)</f>
        <v>1236802.5</v>
      </c>
      <c r="R77" s="16">
        <f>LCOE!B103</f>
        <v>30</v>
      </c>
      <c r="S77" s="16">
        <f>LCOE!V103+Q77*P77*R77</f>
        <v>37104075</v>
      </c>
      <c r="T77" s="16">
        <f>LCOE!W103+LCOE!D$31</f>
        <v>0</v>
      </c>
      <c r="U77" s="16">
        <f>LCOE!X103+T77*IF(LCOE!D$14&gt;0,G77,H77)</f>
        <v>0</v>
      </c>
      <c r="V77" s="16">
        <f>LCOE!Y103+LCOE!D$32</f>
        <v>0</v>
      </c>
      <c r="W77" s="16">
        <f>LCOE!Z103+V77*IF(LCOE!D$14&gt;0,G77,H77)</f>
        <v>0</v>
      </c>
      <c r="X77" s="16">
        <f>LCOE!AA103+LCOE!D$34</f>
        <v>101</v>
      </c>
      <c r="Y77" s="16">
        <f t="shared" si="15"/>
        <v>0</v>
      </c>
      <c r="Z77" s="50">
        <f t="shared" si="18"/>
        <v>0</v>
      </c>
      <c r="AA77" s="50">
        <f t="shared" si="19"/>
        <v>20000000</v>
      </c>
      <c r="AB77" s="50">
        <f t="shared" si="20"/>
        <v>168165720</v>
      </c>
      <c r="AC77" s="50">
        <f t="shared" si="16"/>
        <v>0</v>
      </c>
      <c r="AD77" s="50">
        <f t="shared" si="11"/>
        <v>37104075</v>
      </c>
      <c r="AE77">
        <f t="shared" si="17"/>
        <v>7</v>
      </c>
      <c r="AF77" s="12">
        <f>LCOE!E103+LCOE!D$40</f>
        <v>0</v>
      </c>
      <c r="AG77">
        <f t="shared" si="12"/>
        <v>1</v>
      </c>
      <c r="AH77" s="16">
        <f t="shared" ref="AH77:AH108" si="21">Z77/AG77</f>
        <v>0</v>
      </c>
      <c r="AI77" s="16">
        <f t="shared" ref="AI77:AI108" si="22">AA77/AG77</f>
        <v>20000000</v>
      </c>
      <c r="AJ77" s="16">
        <f t="shared" ref="AJ77:AJ108" si="23">AB77/AG77</f>
        <v>168165720</v>
      </c>
      <c r="AK77" s="16">
        <f t="shared" ref="AK77:AK108" si="24">AC77/AG77</f>
        <v>0</v>
      </c>
      <c r="AL77" s="16">
        <f t="shared" si="13"/>
        <v>37104075</v>
      </c>
      <c r="AM77" s="16">
        <f t="shared" si="14"/>
        <v>0</v>
      </c>
      <c r="AN77" s="16">
        <f>IF(LCOE!D$14&gt;0,G77,H77)/AG77</f>
        <v>3942000</v>
      </c>
    </row>
    <row r="78" spans="1:40">
      <c r="A78">
        <v>8</v>
      </c>
      <c r="C78" s="16">
        <f>LCOE!D104+IF(AND(LCOE!D$26&gt;0,A78&gt;=LCOE!D$26,A78&lt;=(LCOE!D$26+LCOE!D$27-1)),LCOE!D$42/LCOE!D$27,0)+IF(AND(AE78&gt;=LCOE!D$16,COUNTIF(AE53:AE78,LCOE!D$16)=LCOE!D$36+1),LCOE!D$35*LCOE!D$38,0)</f>
        <v>0</v>
      </c>
      <c r="D78" s="16">
        <f>IF(AE77&lt;LCOE!D$16,1,0)</f>
        <v>1</v>
      </c>
      <c r="E78" s="12">
        <f>LCOE!G104+IF(AND(A78&gt;=LCOE!D$26,A78&lt;=(LCOE!D$26+LCOE!D$27-1)),0,1)*IF(A78=LCOE!D$34,0,1)*D78</f>
        <v>1</v>
      </c>
      <c r="F78" s="12">
        <f>IF(F77&lt;LCOE!D$18,MIN(F77*(1+LCOE!D$19),LCOE!D$18),LCOE!D$18)+LCOE!J104</f>
        <v>0.9</v>
      </c>
      <c r="G78" s="16">
        <f>LCOE!K104+E78*F78*N78*(LCOE!D$14+LCOE!H104)*24*365*D78</f>
        <v>3942000</v>
      </c>
      <c r="H78" s="16">
        <f>LCOE!L104+F78*(LCOE!D$15+LCOE!I104)*E78*24*365*D78*N78</f>
        <v>0</v>
      </c>
      <c r="I78" s="16">
        <f>LCOE!M104+LCOE!D$20*IF(LCOE!D$14&gt;0,(LCOE!D$14+LCOE!H104),(LCOE!D$15+LCOE!I104))*K78*D78</f>
        <v>20000000</v>
      </c>
      <c r="J78" s="16">
        <f>LCOE!N104+LCOE!D$21*IF(LCOE!D$14&gt;0,G78,H78)*K78*D78</f>
        <v>0</v>
      </c>
      <c r="K78" s="15">
        <f>LCOE!O104+K77+K77*LCOE!D$22</f>
        <v>1</v>
      </c>
      <c r="L78" s="16">
        <f>LCOE!P104+LCOE!D$23*IF(LCOE!D$14&gt;0,G78,H78)*M78*D78</f>
        <v>168165720</v>
      </c>
      <c r="M78" s="15">
        <f>LCOE!Q104+M77+M77*LCOE!D$24</f>
        <v>1</v>
      </c>
      <c r="N78" s="15">
        <f>LCOE!R104+N77-N77*LCOE!D$25</f>
        <v>1</v>
      </c>
      <c r="O78" s="18">
        <f>LCOE!S104+LCOE!D$29</f>
        <v>313.75</v>
      </c>
      <c r="P78" s="12">
        <f>LCOE!T104+IF(A78&gt;=LCOE!D$30,100%,0%)</f>
        <v>1</v>
      </c>
      <c r="Q78" s="16">
        <f>LCOE!U104+O78/1000*IF(LCOE!D$14&gt;0,G78,H78)</f>
        <v>1236802.5</v>
      </c>
      <c r="R78" s="16">
        <f>LCOE!B104</f>
        <v>30</v>
      </c>
      <c r="S78" s="16">
        <f>LCOE!V104+Q78*P78*R78</f>
        <v>37104075</v>
      </c>
      <c r="T78" s="16">
        <f>LCOE!W104+LCOE!D$31</f>
        <v>0</v>
      </c>
      <c r="U78" s="16">
        <f>LCOE!X104+T78*IF(LCOE!D$14&gt;0,G78,H78)</f>
        <v>0</v>
      </c>
      <c r="V78" s="16">
        <f>LCOE!Y104+LCOE!D$32</f>
        <v>0</v>
      </c>
      <c r="W78" s="16">
        <f>LCOE!Z104+V78*IF(LCOE!D$14&gt;0,G78,H78)</f>
        <v>0</v>
      </c>
      <c r="X78" s="16">
        <f>LCOE!AA104+LCOE!D$34</f>
        <v>101</v>
      </c>
      <c r="Y78" s="16">
        <f t="shared" si="15"/>
        <v>0</v>
      </c>
      <c r="Z78" s="50">
        <f t="shared" si="18"/>
        <v>0</v>
      </c>
      <c r="AA78" s="50">
        <f t="shared" si="19"/>
        <v>20000000</v>
      </c>
      <c r="AB78" s="50">
        <f t="shared" si="20"/>
        <v>168165720</v>
      </c>
      <c r="AC78" s="50">
        <f t="shared" si="16"/>
        <v>0</v>
      </c>
      <c r="AD78" s="50">
        <f t="shared" si="11"/>
        <v>37104075</v>
      </c>
      <c r="AE78">
        <f t="shared" si="17"/>
        <v>8</v>
      </c>
      <c r="AF78" s="12">
        <f>LCOE!E104+LCOE!D$40</f>
        <v>0</v>
      </c>
      <c r="AG78">
        <f t="shared" si="12"/>
        <v>1</v>
      </c>
      <c r="AH78" s="16">
        <f t="shared" si="21"/>
        <v>0</v>
      </c>
      <c r="AI78" s="16">
        <f t="shared" si="22"/>
        <v>20000000</v>
      </c>
      <c r="AJ78" s="16">
        <f t="shared" si="23"/>
        <v>168165720</v>
      </c>
      <c r="AK78" s="16">
        <f t="shared" si="24"/>
        <v>0</v>
      </c>
      <c r="AL78" s="16">
        <f t="shared" si="13"/>
        <v>37104075</v>
      </c>
      <c r="AM78" s="16">
        <f t="shared" si="14"/>
        <v>0</v>
      </c>
      <c r="AN78" s="16">
        <f>IF(LCOE!D$14&gt;0,G78,H78)/AG78</f>
        <v>3942000</v>
      </c>
    </row>
    <row r="79" spans="1:40">
      <c r="A79">
        <v>9</v>
      </c>
      <c r="C79" s="16">
        <f>LCOE!D105+IF(AND(LCOE!D$26&gt;0,A79&gt;=LCOE!D$26,A79&lt;=(LCOE!D$26+LCOE!D$27-1)),LCOE!D$42/LCOE!D$27,0)+IF(AND(AE79&gt;=LCOE!D$16,COUNTIF(AE54:AE79,LCOE!D$16)=LCOE!D$36+1),LCOE!D$35*LCOE!D$38,0)</f>
        <v>0</v>
      </c>
      <c r="D79" s="16">
        <f>IF(AE78&lt;LCOE!D$16,1,0)</f>
        <v>1</v>
      </c>
      <c r="E79" s="12">
        <f>LCOE!G105+IF(AND(A79&gt;=LCOE!D$26,A79&lt;=(LCOE!D$26+LCOE!D$27-1)),0,1)*IF(A79=LCOE!D$34,0,1)*D79</f>
        <v>1</v>
      </c>
      <c r="F79" s="12">
        <f>IF(F78&lt;LCOE!D$18,MIN(F78*(1+LCOE!D$19),LCOE!D$18),LCOE!D$18)+LCOE!J105</f>
        <v>0.9</v>
      </c>
      <c r="G79" s="16">
        <f>LCOE!K105+E79*F79*N79*(LCOE!D$14+LCOE!H105)*24*365*D79</f>
        <v>3942000</v>
      </c>
      <c r="H79" s="16">
        <f>LCOE!L105+F79*(LCOE!D$15+LCOE!I105)*E79*24*365*D79*N79</f>
        <v>0</v>
      </c>
      <c r="I79" s="16">
        <f>LCOE!M105+LCOE!D$20*IF(LCOE!D$14&gt;0,(LCOE!D$14+LCOE!H105),(LCOE!D$15+LCOE!I105))*K79*D79</f>
        <v>20000000</v>
      </c>
      <c r="J79" s="16">
        <f>LCOE!N105+LCOE!D$21*IF(LCOE!D$14&gt;0,G79,H79)*K79*D79</f>
        <v>0</v>
      </c>
      <c r="K79" s="15">
        <f>LCOE!O105+K78+K78*LCOE!D$22</f>
        <v>1</v>
      </c>
      <c r="L79" s="16">
        <f>LCOE!P105+LCOE!D$23*IF(LCOE!D$14&gt;0,G79,H79)*M79*D79</f>
        <v>168165720</v>
      </c>
      <c r="M79" s="15">
        <f>LCOE!Q105+M78+M78*LCOE!D$24</f>
        <v>1</v>
      </c>
      <c r="N79" s="15">
        <f>LCOE!R105+N78-N78*LCOE!D$25</f>
        <v>1</v>
      </c>
      <c r="O79" s="18">
        <f>LCOE!S105+LCOE!D$29</f>
        <v>313.75</v>
      </c>
      <c r="P79" s="12">
        <f>LCOE!T105+IF(A79&gt;=LCOE!D$30,100%,0%)</f>
        <v>1</v>
      </c>
      <c r="Q79" s="16">
        <f>LCOE!U105+O79/1000*IF(LCOE!D$14&gt;0,G79,H79)</f>
        <v>1236802.5</v>
      </c>
      <c r="R79" s="16">
        <f>LCOE!B105</f>
        <v>30</v>
      </c>
      <c r="S79" s="16">
        <f>LCOE!V105+Q79*P79*R79</f>
        <v>37104075</v>
      </c>
      <c r="T79" s="16">
        <f>LCOE!W105+LCOE!D$31</f>
        <v>0</v>
      </c>
      <c r="U79" s="16">
        <f>LCOE!X105+T79*IF(LCOE!D$14&gt;0,G79,H79)</f>
        <v>0</v>
      </c>
      <c r="V79" s="16">
        <f>LCOE!Y105+LCOE!D$32</f>
        <v>0</v>
      </c>
      <c r="W79" s="16">
        <f>LCOE!Z105+V79*IF(LCOE!D$14&gt;0,G79,H79)</f>
        <v>0</v>
      </c>
      <c r="X79" s="16">
        <f>LCOE!AA105+LCOE!D$34</f>
        <v>101</v>
      </c>
      <c r="Y79" s="16">
        <f t="shared" si="15"/>
        <v>0</v>
      </c>
      <c r="Z79" s="50">
        <f t="shared" si="18"/>
        <v>0</v>
      </c>
      <c r="AA79" s="50">
        <f t="shared" si="19"/>
        <v>20000000</v>
      </c>
      <c r="AB79" s="50">
        <f t="shared" si="20"/>
        <v>168165720</v>
      </c>
      <c r="AC79" s="50">
        <f t="shared" si="16"/>
        <v>0</v>
      </c>
      <c r="AD79" s="50">
        <f t="shared" si="11"/>
        <v>37104075</v>
      </c>
      <c r="AE79">
        <f t="shared" si="17"/>
        <v>9</v>
      </c>
      <c r="AF79" s="12">
        <f>LCOE!E105+LCOE!D$40</f>
        <v>0</v>
      </c>
      <c r="AG79">
        <f t="shared" si="12"/>
        <v>1</v>
      </c>
      <c r="AH79" s="16">
        <f t="shared" si="21"/>
        <v>0</v>
      </c>
      <c r="AI79" s="16">
        <f t="shared" si="22"/>
        <v>20000000</v>
      </c>
      <c r="AJ79" s="16">
        <f t="shared" si="23"/>
        <v>168165720</v>
      </c>
      <c r="AK79" s="16">
        <f t="shared" si="24"/>
        <v>0</v>
      </c>
      <c r="AL79" s="16">
        <f t="shared" si="13"/>
        <v>37104075</v>
      </c>
      <c r="AM79" s="16">
        <f t="shared" si="14"/>
        <v>0</v>
      </c>
      <c r="AN79" s="16">
        <f>IF(LCOE!D$14&gt;0,G79,H79)/AG79</f>
        <v>3942000</v>
      </c>
    </row>
    <row r="80" spans="1:40">
      <c r="A80">
        <v>10</v>
      </c>
      <c r="C80" s="16">
        <f>LCOE!D106+IF(AND(LCOE!D$26&gt;0,A80&gt;=LCOE!D$26,A80&lt;=(LCOE!D$26+LCOE!D$27-1)),LCOE!D$42/LCOE!D$27,0)+IF(AND(AE80&gt;=LCOE!D$16,COUNTIF(AE55:AE80,LCOE!D$16)=LCOE!D$36+1),LCOE!D$35*LCOE!D$38,0)</f>
        <v>0</v>
      </c>
      <c r="D80" s="16">
        <f>IF(AE79&lt;LCOE!D$16,1,0)</f>
        <v>1</v>
      </c>
      <c r="E80" s="12">
        <f>LCOE!G106+IF(AND(A80&gt;=LCOE!D$26,A80&lt;=(LCOE!D$26+LCOE!D$27-1)),0,1)*IF(A80=LCOE!D$34,0,1)*D80</f>
        <v>1</v>
      </c>
      <c r="F80" s="12">
        <f>IF(F79&lt;LCOE!D$18,MIN(F79*(1+LCOE!D$19),LCOE!D$18),LCOE!D$18)+LCOE!J106</f>
        <v>0.9</v>
      </c>
      <c r="G80" s="16">
        <f>LCOE!K106+E80*F80*N80*(LCOE!D$14+LCOE!H106)*24*365*D80</f>
        <v>3942000</v>
      </c>
      <c r="H80" s="16">
        <f>LCOE!L106+F80*(LCOE!D$15+LCOE!I106)*E80*24*365*D80*N80</f>
        <v>0</v>
      </c>
      <c r="I80" s="16">
        <f>LCOE!M106+LCOE!D$20*IF(LCOE!D$14&gt;0,(LCOE!D$14+LCOE!H106),(LCOE!D$15+LCOE!I106))*K80*D80</f>
        <v>20000000</v>
      </c>
      <c r="J80" s="16">
        <f>LCOE!N106+LCOE!D$21*IF(LCOE!D$14&gt;0,G80,H80)*K80*D80</f>
        <v>0</v>
      </c>
      <c r="K80" s="15">
        <f>LCOE!O106+K79+K79*LCOE!D$22</f>
        <v>1</v>
      </c>
      <c r="L80" s="16">
        <f>LCOE!P106+LCOE!D$23*IF(LCOE!D$14&gt;0,G80,H80)*M80*D80</f>
        <v>168165720</v>
      </c>
      <c r="M80" s="15">
        <f>LCOE!Q106+M79+M79*LCOE!D$24</f>
        <v>1</v>
      </c>
      <c r="N80" s="15">
        <f>LCOE!R106+N79-N79*LCOE!D$25</f>
        <v>1</v>
      </c>
      <c r="O80" s="18">
        <f>LCOE!S106+LCOE!D$29</f>
        <v>313.75</v>
      </c>
      <c r="P80" s="12">
        <f>LCOE!T106+IF(A80&gt;=LCOE!D$30,100%,0%)</f>
        <v>1</v>
      </c>
      <c r="Q80" s="16">
        <f>LCOE!U106+O80/1000*IF(LCOE!D$14&gt;0,G80,H80)</f>
        <v>1236802.5</v>
      </c>
      <c r="R80" s="16">
        <f>LCOE!B106</f>
        <v>30</v>
      </c>
      <c r="S80" s="16">
        <f>LCOE!V106+Q80*P80*R80</f>
        <v>37104075</v>
      </c>
      <c r="T80" s="16">
        <f>LCOE!W106+LCOE!D$31</f>
        <v>0</v>
      </c>
      <c r="U80" s="16">
        <f>LCOE!X106+T80*IF(LCOE!D$14&gt;0,G80,H80)</f>
        <v>0</v>
      </c>
      <c r="V80" s="16">
        <f>LCOE!Y106+LCOE!D$32</f>
        <v>0</v>
      </c>
      <c r="W80" s="16">
        <f>LCOE!Z106+V80*IF(LCOE!D$14&gt;0,G80,H80)</f>
        <v>0</v>
      </c>
      <c r="X80" s="16">
        <f>LCOE!AA106+LCOE!D$34</f>
        <v>101</v>
      </c>
      <c r="Y80" s="16">
        <f t="shared" si="15"/>
        <v>0</v>
      </c>
      <c r="Z80" s="50">
        <f t="shared" si="18"/>
        <v>0</v>
      </c>
      <c r="AA80" s="50">
        <f t="shared" si="19"/>
        <v>20000000</v>
      </c>
      <c r="AB80" s="50">
        <f t="shared" si="20"/>
        <v>168165720</v>
      </c>
      <c r="AC80" s="50">
        <f t="shared" si="16"/>
        <v>0</v>
      </c>
      <c r="AD80" s="50">
        <f t="shared" si="11"/>
        <v>37104075</v>
      </c>
      <c r="AE80">
        <f t="shared" si="17"/>
        <v>10</v>
      </c>
      <c r="AF80" s="12">
        <f>LCOE!E106+LCOE!D$40</f>
        <v>0</v>
      </c>
      <c r="AG80">
        <f t="shared" si="12"/>
        <v>1</v>
      </c>
      <c r="AH80" s="16">
        <f t="shared" si="21"/>
        <v>0</v>
      </c>
      <c r="AI80" s="16">
        <f t="shared" si="22"/>
        <v>20000000</v>
      </c>
      <c r="AJ80" s="16">
        <f t="shared" si="23"/>
        <v>168165720</v>
      </c>
      <c r="AK80" s="16">
        <f t="shared" si="24"/>
        <v>0</v>
      </c>
      <c r="AL80" s="16">
        <f t="shared" si="13"/>
        <v>37104075</v>
      </c>
      <c r="AM80" s="16">
        <f t="shared" si="14"/>
        <v>0</v>
      </c>
      <c r="AN80" s="16">
        <f>IF(LCOE!D$14&gt;0,G80,H80)/AG80</f>
        <v>3942000</v>
      </c>
    </row>
    <row r="81" spans="1:40">
      <c r="A81">
        <v>11</v>
      </c>
      <c r="C81" s="16">
        <f>LCOE!D107+IF(AND(LCOE!D$26&gt;0,A81&gt;=LCOE!D$26,A81&lt;=(LCOE!D$26+LCOE!D$27-1)),LCOE!D$42/LCOE!D$27,0)+IF(AND(AE81&gt;=LCOE!D$16,COUNTIF(AE56:AE81,LCOE!D$16)=LCOE!D$36+1),LCOE!D$35*LCOE!D$38,0)</f>
        <v>0</v>
      </c>
      <c r="D81" s="16">
        <f>IF(AE80&lt;LCOE!D$16,1,0)</f>
        <v>1</v>
      </c>
      <c r="E81" s="12">
        <f>LCOE!G107+IF(AND(A81&gt;=LCOE!D$26,A81&lt;=(LCOE!D$26+LCOE!D$27-1)),0,1)*IF(A81=LCOE!D$34,0,1)*D81</f>
        <v>1</v>
      </c>
      <c r="F81" s="12">
        <f>IF(F80&lt;LCOE!D$18,MIN(F80*(1+LCOE!D$19),LCOE!D$18),LCOE!D$18)+LCOE!J107</f>
        <v>0.9</v>
      </c>
      <c r="G81" s="16">
        <f>LCOE!K107+E81*F81*N81*(LCOE!D$14+LCOE!H107)*24*365*D81</f>
        <v>3942000</v>
      </c>
      <c r="H81" s="16">
        <f>LCOE!L107+F81*(LCOE!D$15+LCOE!I107)*E81*24*365*D81*N81</f>
        <v>0</v>
      </c>
      <c r="I81" s="16">
        <f>LCOE!M107+LCOE!D$20*IF(LCOE!D$14&gt;0,(LCOE!D$14+LCOE!H107),(LCOE!D$15+LCOE!I107))*K81*D81</f>
        <v>20000000</v>
      </c>
      <c r="J81" s="16">
        <f>LCOE!N107+LCOE!D$21*IF(LCOE!D$14&gt;0,G81,H81)*K81*D81</f>
        <v>0</v>
      </c>
      <c r="K81" s="15">
        <f>LCOE!O107+K80+K80*LCOE!D$22</f>
        <v>1</v>
      </c>
      <c r="L81" s="16">
        <f>LCOE!P107+LCOE!D$23*IF(LCOE!D$14&gt;0,G81,H81)*M81*D81</f>
        <v>168165720</v>
      </c>
      <c r="M81" s="15">
        <f>LCOE!Q107+M80+M80*LCOE!D$24</f>
        <v>1</v>
      </c>
      <c r="N81" s="15">
        <f>LCOE!R107+N80-N80*LCOE!D$25</f>
        <v>1</v>
      </c>
      <c r="O81" s="18">
        <f>LCOE!S107+LCOE!D$29</f>
        <v>313.75</v>
      </c>
      <c r="P81" s="12">
        <f>LCOE!T107+IF(A81&gt;=LCOE!D$30,100%,0%)</f>
        <v>1</v>
      </c>
      <c r="Q81" s="16">
        <f>LCOE!U107+O81/1000*IF(LCOE!D$14&gt;0,G81,H81)</f>
        <v>1236802.5</v>
      </c>
      <c r="R81" s="16">
        <f>LCOE!B107</f>
        <v>30</v>
      </c>
      <c r="S81" s="16">
        <f>LCOE!V107+Q81*P81*R81</f>
        <v>37104075</v>
      </c>
      <c r="T81" s="16">
        <f>LCOE!W107+LCOE!D$31</f>
        <v>0</v>
      </c>
      <c r="U81" s="16">
        <f>LCOE!X107+T81*IF(LCOE!D$14&gt;0,G81,H81)</f>
        <v>0</v>
      </c>
      <c r="V81" s="16">
        <f>LCOE!Y107+LCOE!D$32</f>
        <v>0</v>
      </c>
      <c r="W81" s="16">
        <f>LCOE!Z107+V81*IF(LCOE!D$14&gt;0,G81,H81)</f>
        <v>0</v>
      </c>
      <c r="X81" s="16">
        <f>LCOE!AA107+LCOE!D$34</f>
        <v>101</v>
      </c>
      <c r="Y81" s="16">
        <f t="shared" si="15"/>
        <v>0</v>
      </c>
      <c r="Z81" s="50">
        <f t="shared" si="18"/>
        <v>0</v>
      </c>
      <c r="AA81" s="50">
        <f t="shared" si="19"/>
        <v>20000000</v>
      </c>
      <c r="AB81" s="50">
        <f t="shared" si="20"/>
        <v>168165720</v>
      </c>
      <c r="AC81" s="50">
        <f t="shared" si="16"/>
        <v>0</v>
      </c>
      <c r="AD81" s="50">
        <f t="shared" si="11"/>
        <v>37104075</v>
      </c>
      <c r="AE81">
        <f t="shared" si="17"/>
        <v>11</v>
      </c>
      <c r="AF81" s="12">
        <f>LCOE!E107+LCOE!D$40</f>
        <v>0</v>
      </c>
      <c r="AG81">
        <f t="shared" si="12"/>
        <v>1</v>
      </c>
      <c r="AH81" s="16">
        <f t="shared" si="21"/>
        <v>0</v>
      </c>
      <c r="AI81" s="16">
        <f t="shared" si="22"/>
        <v>20000000</v>
      </c>
      <c r="AJ81" s="16">
        <f t="shared" si="23"/>
        <v>168165720</v>
      </c>
      <c r="AK81" s="16">
        <f t="shared" si="24"/>
        <v>0</v>
      </c>
      <c r="AL81" s="16">
        <f t="shared" si="13"/>
        <v>37104075</v>
      </c>
      <c r="AM81" s="16">
        <f t="shared" si="14"/>
        <v>0</v>
      </c>
      <c r="AN81" s="16">
        <f>IF(LCOE!D$14&gt;0,G81,H81)/AG81</f>
        <v>3942000</v>
      </c>
    </row>
    <row r="82" spans="1:40">
      <c r="A82">
        <v>12</v>
      </c>
      <c r="C82" s="16">
        <f>LCOE!D108+IF(AND(LCOE!D$26&gt;0,A82&gt;=LCOE!D$26,A82&lt;=(LCOE!D$26+LCOE!D$27-1)),LCOE!D$42/LCOE!D$27,0)+IF(AND(AE82&gt;=LCOE!D$16,COUNTIF(AE57:AE82,LCOE!D$16)=LCOE!D$36+1),LCOE!D$35*LCOE!D$38,0)</f>
        <v>0</v>
      </c>
      <c r="D82" s="16">
        <f>IF(AE81&lt;LCOE!D$16,1,0)</f>
        <v>1</v>
      </c>
      <c r="E82" s="12">
        <f>LCOE!G108+IF(AND(A82&gt;=LCOE!D$26,A82&lt;=(LCOE!D$26+LCOE!D$27-1)),0,1)*IF(A82=LCOE!D$34,0,1)*D82</f>
        <v>1</v>
      </c>
      <c r="F82" s="12">
        <f>IF(F81&lt;LCOE!D$18,MIN(F81*(1+LCOE!D$19),LCOE!D$18),LCOE!D$18)+LCOE!J108</f>
        <v>0.9</v>
      </c>
      <c r="G82" s="16">
        <f>LCOE!K108+E82*F82*N82*(LCOE!D$14+LCOE!H108)*24*365*D82</f>
        <v>3942000</v>
      </c>
      <c r="H82" s="16">
        <f>LCOE!L108+F82*(LCOE!D$15+LCOE!I108)*E82*24*365*D82*N82</f>
        <v>0</v>
      </c>
      <c r="I82" s="16">
        <f>LCOE!M108+LCOE!D$20*IF(LCOE!D$14&gt;0,(LCOE!D$14+LCOE!H108),(LCOE!D$15+LCOE!I108))*K82*D82</f>
        <v>20000000</v>
      </c>
      <c r="J82" s="16">
        <f>LCOE!N108+LCOE!D$21*IF(LCOE!D$14&gt;0,G82,H82)*K82*D82</f>
        <v>0</v>
      </c>
      <c r="K82" s="15">
        <f>LCOE!O108+K81+K81*LCOE!D$22</f>
        <v>1</v>
      </c>
      <c r="L82" s="16">
        <f>LCOE!P108+LCOE!D$23*IF(LCOE!D$14&gt;0,G82,H82)*M82*D82</f>
        <v>168165720</v>
      </c>
      <c r="M82" s="15">
        <f>LCOE!Q108+M81+M81*LCOE!D$24</f>
        <v>1</v>
      </c>
      <c r="N82" s="15">
        <f>LCOE!R108+N81-N81*LCOE!D$25</f>
        <v>1</v>
      </c>
      <c r="O82" s="18">
        <f>LCOE!S108+LCOE!D$29</f>
        <v>313.75</v>
      </c>
      <c r="P82" s="12">
        <f>LCOE!T108+IF(A82&gt;=LCOE!D$30,100%,0%)</f>
        <v>1</v>
      </c>
      <c r="Q82" s="16">
        <f>LCOE!U108+O82/1000*IF(LCOE!D$14&gt;0,G82,H82)</f>
        <v>1236802.5</v>
      </c>
      <c r="R82" s="16">
        <f>LCOE!B108</f>
        <v>30</v>
      </c>
      <c r="S82" s="16">
        <f>LCOE!V108+Q82*P82*R82</f>
        <v>37104075</v>
      </c>
      <c r="T82" s="16">
        <f>LCOE!W108+LCOE!D$31</f>
        <v>0</v>
      </c>
      <c r="U82" s="16">
        <f>LCOE!X108+T82*IF(LCOE!D$14&gt;0,G82,H82)</f>
        <v>0</v>
      </c>
      <c r="V82" s="16">
        <f>LCOE!Y108+LCOE!D$32</f>
        <v>0</v>
      </c>
      <c r="W82" s="16">
        <f>LCOE!Z108+V82*IF(LCOE!D$14&gt;0,G82,H82)</f>
        <v>0</v>
      </c>
      <c r="X82" s="16">
        <f>LCOE!AA108+LCOE!D$34</f>
        <v>101</v>
      </c>
      <c r="Y82" s="16">
        <f t="shared" si="15"/>
        <v>0</v>
      </c>
      <c r="Z82" s="50">
        <f t="shared" si="18"/>
        <v>0</v>
      </c>
      <c r="AA82" s="50">
        <f t="shared" si="19"/>
        <v>20000000</v>
      </c>
      <c r="AB82" s="50">
        <f t="shared" si="20"/>
        <v>168165720</v>
      </c>
      <c r="AC82" s="50">
        <f t="shared" si="16"/>
        <v>0</v>
      </c>
      <c r="AD82" s="50">
        <f t="shared" si="11"/>
        <v>37104075</v>
      </c>
      <c r="AE82">
        <f t="shared" si="17"/>
        <v>12</v>
      </c>
      <c r="AF82" s="12">
        <f>LCOE!E108+LCOE!D$40</f>
        <v>0</v>
      </c>
      <c r="AG82">
        <f t="shared" si="12"/>
        <v>1</v>
      </c>
      <c r="AH82" s="16">
        <f t="shared" si="21"/>
        <v>0</v>
      </c>
      <c r="AI82" s="16">
        <f t="shared" si="22"/>
        <v>20000000</v>
      </c>
      <c r="AJ82" s="16">
        <f t="shared" si="23"/>
        <v>168165720</v>
      </c>
      <c r="AK82" s="16">
        <f t="shared" si="24"/>
        <v>0</v>
      </c>
      <c r="AL82" s="16">
        <f t="shared" si="13"/>
        <v>37104075</v>
      </c>
      <c r="AM82" s="16">
        <f t="shared" si="14"/>
        <v>0</v>
      </c>
      <c r="AN82" s="16">
        <f>IF(LCOE!D$14&gt;0,G82,H82)/AG82</f>
        <v>3942000</v>
      </c>
    </row>
    <row r="83" spans="1:40">
      <c r="A83">
        <v>13</v>
      </c>
      <c r="C83" s="16">
        <f>LCOE!D109+IF(AND(LCOE!D$26&gt;0,A83&gt;=LCOE!D$26,A83&lt;=(LCOE!D$26+LCOE!D$27-1)),LCOE!D$42/LCOE!D$27,0)+IF(AND(AE83&gt;=LCOE!D$16,COUNTIF(AE58:AE83,LCOE!D$16)=LCOE!D$36+1),LCOE!D$35*LCOE!D$38,0)</f>
        <v>0</v>
      </c>
      <c r="D83" s="16">
        <f>IF(AE82&lt;LCOE!D$16,1,0)</f>
        <v>1</v>
      </c>
      <c r="E83" s="12">
        <f>LCOE!G109+IF(AND(A83&gt;=LCOE!D$26,A83&lt;=(LCOE!D$26+LCOE!D$27-1)),0,1)*IF(A83=LCOE!D$34,0,1)*D83</f>
        <v>1</v>
      </c>
      <c r="F83" s="12">
        <f>IF(F82&lt;LCOE!D$18,MIN(F82*(1+LCOE!D$19),LCOE!D$18),LCOE!D$18)+LCOE!J109</f>
        <v>0.9</v>
      </c>
      <c r="G83" s="16">
        <f>LCOE!K109+E83*F83*N83*(LCOE!D$14+LCOE!H109)*24*365*D83</f>
        <v>3942000</v>
      </c>
      <c r="H83" s="16">
        <f>LCOE!L109+F83*(LCOE!D$15+LCOE!I109)*E83*24*365*D83*N83</f>
        <v>0</v>
      </c>
      <c r="I83" s="16">
        <f>LCOE!M109+LCOE!D$20*IF(LCOE!D$14&gt;0,(LCOE!D$14+LCOE!H109),(LCOE!D$15+LCOE!I109))*K83*D83</f>
        <v>20000000</v>
      </c>
      <c r="J83" s="16">
        <f>LCOE!N109+LCOE!D$21*IF(LCOE!D$14&gt;0,G83,H83)*K83*D83</f>
        <v>0</v>
      </c>
      <c r="K83" s="15">
        <f>LCOE!O109+K82+K82*LCOE!D$22</f>
        <v>1</v>
      </c>
      <c r="L83" s="16">
        <f>LCOE!P109+LCOE!D$23*IF(LCOE!D$14&gt;0,G83,H83)*M83*D83</f>
        <v>168165720</v>
      </c>
      <c r="M83" s="15">
        <f>LCOE!Q109+M82+M82*LCOE!D$24</f>
        <v>1</v>
      </c>
      <c r="N83" s="15">
        <f>LCOE!R109+N82-N82*LCOE!D$25</f>
        <v>1</v>
      </c>
      <c r="O83" s="18">
        <f>LCOE!S109+LCOE!D$29</f>
        <v>313.75</v>
      </c>
      <c r="P83" s="12">
        <f>LCOE!T109+IF(A83&gt;=LCOE!D$30,100%,0%)</f>
        <v>1</v>
      </c>
      <c r="Q83" s="16">
        <f>LCOE!U109+O83/1000*IF(LCOE!D$14&gt;0,G83,H83)</f>
        <v>1236802.5</v>
      </c>
      <c r="R83" s="16">
        <f>LCOE!B109</f>
        <v>30</v>
      </c>
      <c r="S83" s="16">
        <f>LCOE!V109+Q83*P83*R83</f>
        <v>37104075</v>
      </c>
      <c r="T83" s="16">
        <f>LCOE!W109+LCOE!D$31</f>
        <v>0</v>
      </c>
      <c r="U83" s="16">
        <f>LCOE!X109+T83*IF(LCOE!D$14&gt;0,G83,H83)</f>
        <v>0</v>
      </c>
      <c r="V83" s="16">
        <f>LCOE!Y109+LCOE!D$32</f>
        <v>0</v>
      </c>
      <c r="W83" s="16">
        <f>LCOE!Z109+V83*IF(LCOE!D$14&gt;0,G83,H83)</f>
        <v>0</v>
      </c>
      <c r="X83" s="16">
        <f>LCOE!AA109+LCOE!D$34</f>
        <v>101</v>
      </c>
      <c r="Y83" s="16">
        <f t="shared" si="15"/>
        <v>0</v>
      </c>
      <c r="Z83" s="50">
        <f t="shared" si="18"/>
        <v>0</v>
      </c>
      <c r="AA83" s="50">
        <f t="shared" si="19"/>
        <v>20000000</v>
      </c>
      <c r="AB83" s="50">
        <f t="shared" si="20"/>
        <v>168165720</v>
      </c>
      <c r="AC83" s="50">
        <f t="shared" si="16"/>
        <v>0</v>
      </c>
      <c r="AD83" s="50">
        <f t="shared" si="11"/>
        <v>37104075</v>
      </c>
      <c r="AE83">
        <f t="shared" si="17"/>
        <v>13</v>
      </c>
      <c r="AF83" s="12">
        <f>LCOE!E109+LCOE!D$40</f>
        <v>0</v>
      </c>
      <c r="AG83">
        <f t="shared" si="12"/>
        <v>1</v>
      </c>
      <c r="AH83" s="16">
        <f t="shared" si="21"/>
        <v>0</v>
      </c>
      <c r="AI83" s="16">
        <f t="shared" si="22"/>
        <v>20000000</v>
      </c>
      <c r="AJ83" s="16">
        <f t="shared" si="23"/>
        <v>168165720</v>
      </c>
      <c r="AK83" s="16">
        <f t="shared" si="24"/>
        <v>0</v>
      </c>
      <c r="AL83" s="16">
        <f t="shared" si="13"/>
        <v>37104075</v>
      </c>
      <c r="AM83" s="16">
        <f t="shared" si="14"/>
        <v>0</v>
      </c>
      <c r="AN83" s="16">
        <f>IF(LCOE!D$14&gt;0,G83,H83)/AG83</f>
        <v>3942000</v>
      </c>
    </row>
    <row r="84" spans="1:40">
      <c r="A84">
        <v>14</v>
      </c>
      <c r="C84" s="16">
        <f>LCOE!D110+IF(AND(LCOE!D$26&gt;0,A84&gt;=LCOE!D$26,A84&lt;=(LCOE!D$26+LCOE!D$27-1)),LCOE!D$42/LCOE!D$27,0)+IF(AND(AE84&gt;=LCOE!D$16,COUNTIF(AE59:AE84,LCOE!D$16)=LCOE!D$36+1),LCOE!D$35*LCOE!D$38,0)</f>
        <v>0</v>
      </c>
      <c r="D84" s="16">
        <f>IF(AE83&lt;LCOE!D$16,1,0)</f>
        <v>1</v>
      </c>
      <c r="E84" s="12">
        <f>LCOE!G110+IF(AND(A84&gt;=LCOE!D$26,A84&lt;=(LCOE!D$26+LCOE!D$27-1)),0,1)*IF(A84=LCOE!D$34,0,1)*D84</f>
        <v>1</v>
      </c>
      <c r="F84" s="12">
        <f>IF(F83&lt;LCOE!D$18,MIN(F83*(1+LCOE!D$19),LCOE!D$18),LCOE!D$18)+LCOE!J110</f>
        <v>0.9</v>
      </c>
      <c r="G84" s="16">
        <f>LCOE!K110+E84*F84*N84*(LCOE!D$14+LCOE!H110)*24*365*D84</f>
        <v>3942000</v>
      </c>
      <c r="H84" s="16">
        <f>LCOE!L110+F84*(LCOE!D$15+LCOE!I110)*E84*24*365*D84*N84</f>
        <v>0</v>
      </c>
      <c r="I84" s="16">
        <f>LCOE!M110+LCOE!D$20*IF(LCOE!D$14&gt;0,(LCOE!D$14+LCOE!H110),(LCOE!D$15+LCOE!I110))*K84*D84</f>
        <v>20000000</v>
      </c>
      <c r="J84" s="16">
        <f>LCOE!N110+LCOE!D$21*IF(LCOE!D$14&gt;0,G84,H84)*K84*D84</f>
        <v>0</v>
      </c>
      <c r="K84" s="15">
        <f>LCOE!O110+K83+K83*LCOE!D$22</f>
        <v>1</v>
      </c>
      <c r="L84" s="16">
        <f>LCOE!P110+LCOE!D$23*IF(LCOE!D$14&gt;0,G84,H84)*M84*D84</f>
        <v>168165720</v>
      </c>
      <c r="M84" s="15">
        <f>LCOE!Q110+M83+M83*LCOE!D$24</f>
        <v>1</v>
      </c>
      <c r="N84" s="15">
        <f>LCOE!R110+N83-N83*LCOE!D$25</f>
        <v>1</v>
      </c>
      <c r="O84" s="18">
        <f>LCOE!S110+LCOE!D$29</f>
        <v>313.75</v>
      </c>
      <c r="P84" s="12">
        <f>LCOE!T110+IF(A84&gt;=LCOE!D$30,100%,0%)</f>
        <v>1</v>
      </c>
      <c r="Q84" s="16">
        <f>LCOE!U110+O84/1000*IF(LCOE!D$14&gt;0,G84,H84)</f>
        <v>1236802.5</v>
      </c>
      <c r="R84" s="16">
        <f>LCOE!B110</f>
        <v>30</v>
      </c>
      <c r="S84" s="16">
        <f>LCOE!V110+Q84*P84*R84</f>
        <v>37104075</v>
      </c>
      <c r="T84" s="16">
        <f>LCOE!W110+LCOE!D$31</f>
        <v>0</v>
      </c>
      <c r="U84" s="16">
        <f>LCOE!X110+T84*IF(LCOE!D$14&gt;0,G84,H84)</f>
        <v>0</v>
      </c>
      <c r="V84" s="16">
        <f>LCOE!Y110+LCOE!D$32</f>
        <v>0</v>
      </c>
      <c r="W84" s="16">
        <f>LCOE!Z110+V84*IF(LCOE!D$14&gt;0,G84,H84)</f>
        <v>0</v>
      </c>
      <c r="X84" s="16">
        <f>LCOE!AA110+LCOE!D$34</f>
        <v>101</v>
      </c>
      <c r="Y84" s="16">
        <f t="shared" si="15"/>
        <v>0</v>
      </c>
      <c r="Z84" s="50">
        <f t="shared" si="18"/>
        <v>0</v>
      </c>
      <c r="AA84" s="50">
        <f t="shared" si="19"/>
        <v>20000000</v>
      </c>
      <c r="AB84" s="50">
        <f t="shared" si="20"/>
        <v>168165720</v>
      </c>
      <c r="AC84" s="50">
        <f t="shared" si="16"/>
        <v>0</v>
      </c>
      <c r="AD84" s="50">
        <f t="shared" si="11"/>
        <v>37104075</v>
      </c>
      <c r="AE84">
        <f t="shared" si="17"/>
        <v>14</v>
      </c>
      <c r="AF84" s="12">
        <f>LCOE!E110+LCOE!D$40</f>
        <v>0</v>
      </c>
      <c r="AG84">
        <f t="shared" si="12"/>
        <v>1</v>
      </c>
      <c r="AH84" s="16">
        <f t="shared" si="21"/>
        <v>0</v>
      </c>
      <c r="AI84" s="16">
        <f t="shared" si="22"/>
        <v>20000000</v>
      </c>
      <c r="AJ84" s="16">
        <f t="shared" si="23"/>
        <v>168165720</v>
      </c>
      <c r="AK84" s="16">
        <f t="shared" si="24"/>
        <v>0</v>
      </c>
      <c r="AL84" s="16">
        <f t="shared" si="13"/>
        <v>37104075</v>
      </c>
      <c r="AM84" s="16">
        <f t="shared" si="14"/>
        <v>0</v>
      </c>
      <c r="AN84" s="16">
        <f>IF(LCOE!D$14&gt;0,G84,H84)/AG84</f>
        <v>3942000</v>
      </c>
    </row>
    <row r="85" spans="1:40">
      <c r="A85">
        <v>15</v>
      </c>
      <c r="C85" s="16">
        <f>LCOE!D111+IF(AND(LCOE!D$26&gt;0,A85&gt;=LCOE!D$26,A85&lt;=(LCOE!D$26+LCOE!D$27-1)),LCOE!D$42/LCOE!D$27,0)+IF(AND(AE85&gt;=LCOE!D$16,COUNTIF(AE60:AE85,LCOE!D$16)=LCOE!D$36+1),LCOE!D$35*LCOE!D$38,0)</f>
        <v>0</v>
      </c>
      <c r="D85" s="16">
        <f>IF(AE84&lt;LCOE!D$16,1,0)</f>
        <v>1</v>
      </c>
      <c r="E85" s="12">
        <f>LCOE!G111+IF(AND(A85&gt;=LCOE!D$26,A85&lt;=(LCOE!D$26+LCOE!D$27-1)),0,1)*IF(A85=LCOE!D$34,0,1)*D85</f>
        <v>1</v>
      </c>
      <c r="F85" s="12">
        <f>IF(F84&lt;LCOE!D$18,MIN(F84*(1+LCOE!D$19),LCOE!D$18),LCOE!D$18)+LCOE!J111</f>
        <v>0.9</v>
      </c>
      <c r="G85" s="16">
        <f>LCOE!K111+E85*F85*N85*(LCOE!D$14+LCOE!H111)*24*365*D85</f>
        <v>3942000</v>
      </c>
      <c r="H85" s="16">
        <f>LCOE!L111+F85*(LCOE!D$15+LCOE!I111)*E85*24*365*D85*N85</f>
        <v>0</v>
      </c>
      <c r="I85" s="16">
        <f>LCOE!M111+LCOE!D$20*IF(LCOE!D$14&gt;0,(LCOE!D$14+LCOE!H111),(LCOE!D$15+LCOE!I111))*K85*D85</f>
        <v>20000000</v>
      </c>
      <c r="J85" s="16">
        <f>LCOE!N111+LCOE!D$21*IF(LCOE!D$14&gt;0,G85,H85)*K85*D85</f>
        <v>0</v>
      </c>
      <c r="K85" s="15">
        <f>LCOE!O111+K84+K84*LCOE!D$22</f>
        <v>1</v>
      </c>
      <c r="L85" s="16">
        <f>LCOE!P111+LCOE!D$23*IF(LCOE!D$14&gt;0,G85,H85)*M85*D85</f>
        <v>168165720</v>
      </c>
      <c r="M85" s="15">
        <f>LCOE!Q111+M84+M84*LCOE!D$24</f>
        <v>1</v>
      </c>
      <c r="N85" s="15">
        <f>LCOE!R111+N84-N84*LCOE!D$25</f>
        <v>1</v>
      </c>
      <c r="O85" s="18">
        <f>LCOE!S111+LCOE!D$29</f>
        <v>313.75</v>
      </c>
      <c r="P85" s="12">
        <f>LCOE!T111+IF(A85&gt;=LCOE!D$30,100%,0%)</f>
        <v>1</v>
      </c>
      <c r="Q85" s="16">
        <f>LCOE!U111+O85/1000*IF(LCOE!D$14&gt;0,G85,H85)</f>
        <v>1236802.5</v>
      </c>
      <c r="R85" s="16">
        <f>LCOE!B111</f>
        <v>30</v>
      </c>
      <c r="S85" s="16">
        <f>LCOE!V111+Q85*P85*R85</f>
        <v>37104075</v>
      </c>
      <c r="T85" s="16">
        <f>LCOE!W111+LCOE!D$31</f>
        <v>0</v>
      </c>
      <c r="U85" s="16">
        <f>LCOE!X111+T85*IF(LCOE!D$14&gt;0,G85,H85)</f>
        <v>0</v>
      </c>
      <c r="V85" s="16">
        <f>LCOE!Y111+LCOE!D$32</f>
        <v>0</v>
      </c>
      <c r="W85" s="16">
        <f>LCOE!Z111+V85*IF(LCOE!D$14&gt;0,G85,H85)</f>
        <v>0</v>
      </c>
      <c r="X85" s="16">
        <f>LCOE!AA111+LCOE!D$34</f>
        <v>101</v>
      </c>
      <c r="Y85" s="16">
        <f t="shared" si="15"/>
        <v>0</v>
      </c>
      <c r="Z85" s="50">
        <f t="shared" si="18"/>
        <v>0</v>
      </c>
      <c r="AA85" s="50">
        <f t="shared" si="19"/>
        <v>20000000</v>
      </c>
      <c r="AB85" s="50">
        <f t="shared" si="20"/>
        <v>168165720</v>
      </c>
      <c r="AC85" s="50">
        <f t="shared" si="16"/>
        <v>0</v>
      </c>
      <c r="AD85" s="50">
        <f t="shared" si="11"/>
        <v>37104075</v>
      </c>
      <c r="AE85">
        <f t="shared" si="17"/>
        <v>15</v>
      </c>
      <c r="AF85" s="12">
        <f>LCOE!E111+LCOE!D$40</f>
        <v>0</v>
      </c>
      <c r="AG85">
        <f t="shared" si="12"/>
        <v>1</v>
      </c>
      <c r="AH85" s="16">
        <f t="shared" si="21"/>
        <v>0</v>
      </c>
      <c r="AI85" s="16">
        <f t="shared" si="22"/>
        <v>20000000</v>
      </c>
      <c r="AJ85" s="16">
        <f t="shared" si="23"/>
        <v>168165720</v>
      </c>
      <c r="AK85" s="16">
        <f t="shared" si="24"/>
        <v>0</v>
      </c>
      <c r="AL85" s="16">
        <f t="shared" si="13"/>
        <v>37104075</v>
      </c>
      <c r="AM85" s="16">
        <f t="shared" si="14"/>
        <v>0</v>
      </c>
      <c r="AN85" s="16">
        <f>IF(LCOE!D$14&gt;0,G85,H85)/AG85</f>
        <v>3942000</v>
      </c>
    </row>
    <row r="86" spans="1:40">
      <c r="A86">
        <v>16</v>
      </c>
      <c r="C86" s="16">
        <f>LCOE!D112+IF(AND(LCOE!D$26&gt;0,A86&gt;=LCOE!D$26,A86&lt;=(LCOE!D$26+LCOE!D$27-1)),LCOE!D$42/LCOE!D$27,0)+IF(AND(AE86&gt;=LCOE!D$16,COUNTIF(AE61:AE86,LCOE!D$16)=LCOE!D$36+1),LCOE!D$35*LCOE!D$38,0)</f>
        <v>0</v>
      </c>
      <c r="D86" s="16">
        <f>IF(AE85&lt;LCOE!D$16,1,0)</f>
        <v>1</v>
      </c>
      <c r="E86" s="12">
        <f>LCOE!G112+IF(AND(A86&gt;=LCOE!D$26,A86&lt;=(LCOE!D$26+LCOE!D$27-1)),0,1)*IF(A86=LCOE!D$34,0,1)*D86</f>
        <v>1</v>
      </c>
      <c r="F86" s="12">
        <f>IF(F85&lt;LCOE!D$18,MIN(F85*(1+LCOE!D$19),LCOE!D$18),LCOE!D$18)+LCOE!J112</f>
        <v>0.9</v>
      </c>
      <c r="G86" s="16">
        <f>LCOE!K112+E86*F86*N86*(LCOE!D$14+LCOE!H112)*24*365*D86</f>
        <v>3942000</v>
      </c>
      <c r="H86" s="16">
        <f>LCOE!L112+F86*(LCOE!D$15+LCOE!I112)*E86*24*365*D86*N86</f>
        <v>0</v>
      </c>
      <c r="I86" s="16">
        <f>LCOE!M112+LCOE!D$20*IF(LCOE!D$14&gt;0,(LCOE!D$14+LCOE!H112),(LCOE!D$15+LCOE!I112))*K86*D86</f>
        <v>20000000</v>
      </c>
      <c r="J86" s="16">
        <f>LCOE!N112+LCOE!D$21*IF(LCOE!D$14&gt;0,G86,H86)*K86*D86</f>
        <v>0</v>
      </c>
      <c r="K86" s="15">
        <f>LCOE!O112+K85+K85*LCOE!D$22</f>
        <v>1</v>
      </c>
      <c r="L86" s="16">
        <f>LCOE!P112+LCOE!D$23*IF(LCOE!D$14&gt;0,G86,H86)*M86*D86</f>
        <v>168165720</v>
      </c>
      <c r="M86" s="15">
        <f>LCOE!Q112+M85+M85*LCOE!D$24</f>
        <v>1</v>
      </c>
      <c r="N86" s="15">
        <f>LCOE!R112+N85-N85*LCOE!D$25</f>
        <v>1</v>
      </c>
      <c r="O86" s="18">
        <f>LCOE!S112+LCOE!D$29</f>
        <v>313.75</v>
      </c>
      <c r="P86" s="12">
        <f>LCOE!T112+IF(A86&gt;=LCOE!D$30,100%,0%)</f>
        <v>1</v>
      </c>
      <c r="Q86" s="16">
        <f>LCOE!U112+O86/1000*IF(LCOE!D$14&gt;0,G86,H86)</f>
        <v>1236802.5</v>
      </c>
      <c r="R86" s="16">
        <f>LCOE!B112</f>
        <v>30</v>
      </c>
      <c r="S86" s="16">
        <f>LCOE!V112+Q86*P86*R86</f>
        <v>37104075</v>
      </c>
      <c r="T86" s="16">
        <f>LCOE!W112+LCOE!D$31</f>
        <v>0</v>
      </c>
      <c r="U86" s="16">
        <f>LCOE!X112+T86*IF(LCOE!D$14&gt;0,G86,H86)</f>
        <v>0</v>
      </c>
      <c r="V86" s="16">
        <f>LCOE!Y112+LCOE!D$32</f>
        <v>0</v>
      </c>
      <c r="W86" s="16">
        <f>LCOE!Z112+V86*IF(LCOE!D$14&gt;0,G86,H86)</f>
        <v>0</v>
      </c>
      <c r="X86" s="16">
        <f>LCOE!AA112+LCOE!D$34</f>
        <v>101</v>
      </c>
      <c r="Y86" s="16">
        <f t="shared" si="15"/>
        <v>0</v>
      </c>
      <c r="Z86" s="50">
        <f t="shared" si="18"/>
        <v>0</v>
      </c>
      <c r="AA86" s="50">
        <f t="shared" si="19"/>
        <v>20000000</v>
      </c>
      <c r="AB86" s="50">
        <f t="shared" si="20"/>
        <v>168165720</v>
      </c>
      <c r="AC86" s="50">
        <f t="shared" si="16"/>
        <v>0</v>
      </c>
      <c r="AD86" s="50">
        <f t="shared" si="11"/>
        <v>37104075</v>
      </c>
      <c r="AE86">
        <f t="shared" si="17"/>
        <v>16</v>
      </c>
      <c r="AF86" s="12">
        <f>LCOE!E112+LCOE!D$40</f>
        <v>0</v>
      </c>
      <c r="AG86">
        <f t="shared" si="12"/>
        <v>1</v>
      </c>
      <c r="AH86" s="16">
        <f t="shared" si="21"/>
        <v>0</v>
      </c>
      <c r="AI86" s="16">
        <f t="shared" si="22"/>
        <v>20000000</v>
      </c>
      <c r="AJ86" s="16">
        <f t="shared" si="23"/>
        <v>168165720</v>
      </c>
      <c r="AK86" s="16">
        <f t="shared" si="24"/>
        <v>0</v>
      </c>
      <c r="AL86" s="16">
        <f t="shared" si="13"/>
        <v>37104075</v>
      </c>
      <c r="AM86" s="16">
        <f t="shared" si="14"/>
        <v>0</v>
      </c>
      <c r="AN86" s="16">
        <f>IF(LCOE!D$14&gt;0,G86,H86)/AG86</f>
        <v>3942000</v>
      </c>
    </row>
    <row r="87" spans="1:40">
      <c r="A87">
        <v>17</v>
      </c>
      <c r="C87" s="16">
        <f>LCOE!D113+IF(AND(LCOE!D$26&gt;0,A87&gt;=LCOE!D$26,A87&lt;=(LCOE!D$26+LCOE!D$27-1)),LCOE!D$42/LCOE!D$27,0)+IF(AND(AE87&gt;=LCOE!D$16,COUNTIF(AE62:AE87,LCOE!D$16)=LCOE!D$36+1),LCOE!D$35*LCOE!D$38,0)</f>
        <v>0</v>
      </c>
      <c r="D87" s="16">
        <f>IF(AE86&lt;LCOE!D$16,1,0)</f>
        <v>1</v>
      </c>
      <c r="E87" s="12">
        <f>LCOE!G113+IF(AND(A87&gt;=LCOE!D$26,A87&lt;=(LCOE!D$26+LCOE!D$27-1)),0,1)*IF(A87=LCOE!D$34,0,1)*D87</f>
        <v>1</v>
      </c>
      <c r="F87" s="12">
        <f>IF(F86&lt;LCOE!D$18,MIN(F86*(1+LCOE!D$19),LCOE!D$18),LCOE!D$18)+LCOE!J113</f>
        <v>0.9</v>
      </c>
      <c r="G87" s="16">
        <f>LCOE!K113+E87*F87*N87*(LCOE!D$14+LCOE!H113)*24*365*D87</f>
        <v>3942000</v>
      </c>
      <c r="H87" s="16">
        <f>LCOE!L113+F87*(LCOE!D$15+LCOE!I113)*E87*24*365*D87*N87</f>
        <v>0</v>
      </c>
      <c r="I87" s="16">
        <f>LCOE!M113+LCOE!D$20*IF(LCOE!D$14&gt;0,(LCOE!D$14+LCOE!H113),(LCOE!D$15+LCOE!I113))*K87*D87</f>
        <v>20000000</v>
      </c>
      <c r="J87" s="16">
        <f>LCOE!N113+LCOE!D$21*IF(LCOE!D$14&gt;0,G87,H87)*K87*D87</f>
        <v>0</v>
      </c>
      <c r="K87" s="15">
        <f>LCOE!O113+K86+K86*LCOE!D$22</f>
        <v>1</v>
      </c>
      <c r="L87" s="16">
        <f>LCOE!P113+LCOE!D$23*IF(LCOE!D$14&gt;0,G87,H87)*M87*D87</f>
        <v>168165720</v>
      </c>
      <c r="M87" s="15">
        <f>LCOE!Q113+M86+M86*LCOE!D$24</f>
        <v>1</v>
      </c>
      <c r="N87" s="15">
        <f>LCOE!R113+N86-N86*LCOE!D$25</f>
        <v>1</v>
      </c>
      <c r="O87" s="18">
        <f>LCOE!S113+LCOE!D$29</f>
        <v>313.75</v>
      </c>
      <c r="P87" s="12">
        <f>LCOE!T113+IF(A87&gt;=LCOE!D$30,100%,0%)</f>
        <v>1</v>
      </c>
      <c r="Q87" s="16">
        <f>LCOE!U113+O87/1000*IF(LCOE!D$14&gt;0,G87,H87)</f>
        <v>1236802.5</v>
      </c>
      <c r="R87" s="16">
        <f>LCOE!B113</f>
        <v>30</v>
      </c>
      <c r="S87" s="16">
        <f>LCOE!V113+Q87*P87*R87</f>
        <v>37104075</v>
      </c>
      <c r="T87" s="16">
        <f>LCOE!W113+LCOE!D$31</f>
        <v>0</v>
      </c>
      <c r="U87" s="16">
        <f>LCOE!X113+T87*IF(LCOE!D$14&gt;0,G87,H87)</f>
        <v>0</v>
      </c>
      <c r="V87" s="16">
        <f>LCOE!Y113+LCOE!D$32</f>
        <v>0</v>
      </c>
      <c r="W87" s="16">
        <f>LCOE!Z113+V87*IF(LCOE!D$14&gt;0,G87,H87)</f>
        <v>0</v>
      </c>
      <c r="X87" s="16">
        <f>LCOE!AA113+LCOE!D$34</f>
        <v>101</v>
      </c>
      <c r="Y87" s="16">
        <f t="shared" si="15"/>
        <v>0</v>
      </c>
      <c r="Z87" s="50">
        <f t="shared" si="18"/>
        <v>0</v>
      </c>
      <c r="AA87" s="50">
        <f t="shared" si="19"/>
        <v>20000000</v>
      </c>
      <c r="AB87" s="50">
        <f t="shared" si="20"/>
        <v>168165720</v>
      </c>
      <c r="AC87" s="50">
        <f t="shared" si="16"/>
        <v>0</v>
      </c>
      <c r="AD87" s="50">
        <f t="shared" si="11"/>
        <v>37104075</v>
      </c>
      <c r="AE87">
        <f t="shared" si="17"/>
        <v>17</v>
      </c>
      <c r="AF87" s="12">
        <f>LCOE!E113+LCOE!D$40</f>
        <v>0</v>
      </c>
      <c r="AG87">
        <f t="shared" si="12"/>
        <v>1</v>
      </c>
      <c r="AH87" s="16">
        <f t="shared" si="21"/>
        <v>0</v>
      </c>
      <c r="AI87" s="16">
        <f t="shared" si="22"/>
        <v>20000000</v>
      </c>
      <c r="AJ87" s="16">
        <f t="shared" si="23"/>
        <v>168165720</v>
      </c>
      <c r="AK87" s="16">
        <f t="shared" si="24"/>
        <v>0</v>
      </c>
      <c r="AL87" s="16">
        <f t="shared" si="13"/>
        <v>37104075</v>
      </c>
      <c r="AM87" s="16">
        <f t="shared" si="14"/>
        <v>0</v>
      </c>
      <c r="AN87" s="16">
        <f>IF(LCOE!D$14&gt;0,G87,H87)/AG87</f>
        <v>3942000</v>
      </c>
    </row>
    <row r="88" spans="1:40">
      <c r="A88">
        <v>18</v>
      </c>
      <c r="C88" s="16">
        <f>LCOE!D114+IF(AND(LCOE!D$26&gt;0,A88&gt;=LCOE!D$26,A88&lt;=(LCOE!D$26+LCOE!D$27-1)),LCOE!D$42/LCOE!D$27,0)+IF(AND(AE88&gt;=LCOE!D$16,COUNTIF(AE63:AE88,LCOE!D$16)=LCOE!D$36+1),LCOE!D$35*LCOE!D$38,0)</f>
        <v>0</v>
      </c>
      <c r="D88" s="16">
        <f>IF(AE87&lt;LCOE!D$16,1,0)</f>
        <v>1</v>
      </c>
      <c r="E88" s="12">
        <f>LCOE!G114+IF(AND(A88&gt;=LCOE!D$26,A88&lt;=(LCOE!D$26+LCOE!D$27-1)),0,1)*IF(A88=LCOE!D$34,0,1)*D88</f>
        <v>1</v>
      </c>
      <c r="F88" s="12">
        <f>IF(F87&lt;LCOE!D$18,MIN(F87*(1+LCOE!D$19),LCOE!D$18),LCOE!D$18)+LCOE!J114</f>
        <v>0.9</v>
      </c>
      <c r="G88" s="16">
        <f>LCOE!K114+E88*F88*N88*(LCOE!D$14+LCOE!H114)*24*365*D88</f>
        <v>3942000</v>
      </c>
      <c r="H88" s="16">
        <f>LCOE!L114+F88*(LCOE!D$15+LCOE!I114)*E88*24*365*D88*N88</f>
        <v>0</v>
      </c>
      <c r="I88" s="16">
        <f>LCOE!M114+LCOE!D$20*IF(LCOE!D$14&gt;0,(LCOE!D$14+LCOE!H114),(LCOE!D$15+LCOE!I114))*K88*D88</f>
        <v>20000000</v>
      </c>
      <c r="J88" s="16">
        <f>LCOE!N114+LCOE!D$21*IF(LCOE!D$14&gt;0,G88,H88)*K88*D88</f>
        <v>0</v>
      </c>
      <c r="K88" s="15">
        <f>LCOE!O114+K87+K87*LCOE!D$22</f>
        <v>1</v>
      </c>
      <c r="L88" s="16">
        <f>LCOE!P114+LCOE!D$23*IF(LCOE!D$14&gt;0,G88,H88)*M88*D88</f>
        <v>168165720</v>
      </c>
      <c r="M88" s="15">
        <f>LCOE!Q114+M87+M87*LCOE!D$24</f>
        <v>1</v>
      </c>
      <c r="N88" s="15">
        <f>LCOE!R114+N87-N87*LCOE!D$25</f>
        <v>1</v>
      </c>
      <c r="O88" s="18">
        <f>LCOE!S114+LCOE!D$29</f>
        <v>313.75</v>
      </c>
      <c r="P88" s="12">
        <f>LCOE!T114+IF(A88&gt;=LCOE!D$30,100%,0%)</f>
        <v>1</v>
      </c>
      <c r="Q88" s="16">
        <f>LCOE!U114+O88/1000*IF(LCOE!D$14&gt;0,G88,H88)</f>
        <v>1236802.5</v>
      </c>
      <c r="R88" s="16">
        <f>LCOE!B114</f>
        <v>30</v>
      </c>
      <c r="S88" s="16">
        <f>LCOE!V114+Q88*P88*R88</f>
        <v>37104075</v>
      </c>
      <c r="T88" s="16">
        <f>LCOE!W114+LCOE!D$31</f>
        <v>0</v>
      </c>
      <c r="U88" s="16">
        <f>LCOE!X114+T88*IF(LCOE!D$14&gt;0,G88,H88)</f>
        <v>0</v>
      </c>
      <c r="V88" s="16">
        <f>LCOE!Y114+LCOE!D$32</f>
        <v>0</v>
      </c>
      <c r="W88" s="16">
        <f>LCOE!Z114+V88*IF(LCOE!D$14&gt;0,G88,H88)</f>
        <v>0</v>
      </c>
      <c r="X88" s="16">
        <f>LCOE!AA114+LCOE!D$34</f>
        <v>101</v>
      </c>
      <c r="Y88" s="16">
        <f t="shared" si="15"/>
        <v>0</v>
      </c>
      <c r="Z88" s="50">
        <f t="shared" si="18"/>
        <v>0</v>
      </c>
      <c r="AA88" s="50">
        <f t="shared" si="19"/>
        <v>20000000</v>
      </c>
      <c r="AB88" s="50">
        <f t="shared" si="20"/>
        <v>168165720</v>
      </c>
      <c r="AC88" s="50">
        <f t="shared" si="16"/>
        <v>0</v>
      </c>
      <c r="AD88" s="50">
        <f t="shared" si="11"/>
        <v>37104075</v>
      </c>
      <c r="AE88">
        <f t="shared" si="17"/>
        <v>18</v>
      </c>
      <c r="AF88" s="12">
        <f>LCOE!E114+LCOE!D$40</f>
        <v>0</v>
      </c>
      <c r="AG88">
        <f t="shared" si="12"/>
        <v>1</v>
      </c>
      <c r="AH88" s="16">
        <f t="shared" si="21"/>
        <v>0</v>
      </c>
      <c r="AI88" s="16">
        <f t="shared" si="22"/>
        <v>20000000</v>
      </c>
      <c r="AJ88" s="16">
        <f t="shared" si="23"/>
        <v>168165720</v>
      </c>
      <c r="AK88" s="16">
        <f t="shared" si="24"/>
        <v>0</v>
      </c>
      <c r="AL88" s="16">
        <f t="shared" si="13"/>
        <v>37104075</v>
      </c>
      <c r="AM88" s="16">
        <f t="shared" si="14"/>
        <v>0</v>
      </c>
      <c r="AN88" s="16">
        <f>IF(LCOE!D$14&gt;0,G88,H88)/AG88</f>
        <v>3942000</v>
      </c>
    </row>
    <row r="89" spans="1:40">
      <c r="A89">
        <v>19</v>
      </c>
      <c r="C89" s="16">
        <f>LCOE!D115+IF(AND(LCOE!D$26&gt;0,A89&gt;=LCOE!D$26,A89&lt;=(LCOE!D$26+LCOE!D$27-1)),LCOE!D$42/LCOE!D$27,0)+IF(AND(AE89&gt;=LCOE!D$16,COUNTIF(AE64:AE89,LCOE!D$16)=LCOE!D$36+1),LCOE!D$35*LCOE!D$38,0)</f>
        <v>0</v>
      </c>
      <c r="D89" s="16">
        <f>IF(AE88&lt;LCOE!D$16,1,0)</f>
        <v>1</v>
      </c>
      <c r="E89" s="12">
        <f>LCOE!G115+IF(AND(A89&gt;=LCOE!D$26,A89&lt;=(LCOE!D$26+LCOE!D$27-1)),0,1)*IF(A89=LCOE!D$34,0,1)*D89</f>
        <v>1</v>
      </c>
      <c r="F89" s="12">
        <f>IF(F88&lt;LCOE!D$18,MIN(F88*(1+LCOE!D$19),LCOE!D$18),LCOE!D$18)+LCOE!J115</f>
        <v>0.9</v>
      </c>
      <c r="G89" s="16">
        <f>LCOE!K115+E89*F89*N89*(LCOE!D$14+LCOE!H115)*24*365*D89</f>
        <v>3942000</v>
      </c>
      <c r="H89" s="16">
        <f>LCOE!L115+F89*(LCOE!D$15+LCOE!I115)*E89*24*365*D89*N89</f>
        <v>0</v>
      </c>
      <c r="I89" s="16">
        <f>LCOE!M115+LCOE!D$20*IF(LCOE!D$14&gt;0,(LCOE!D$14+LCOE!H115),(LCOE!D$15+LCOE!I115))*K89*D89</f>
        <v>20000000</v>
      </c>
      <c r="J89" s="16">
        <f>LCOE!N115+LCOE!D$21*IF(LCOE!D$14&gt;0,G89,H89)*K89*D89</f>
        <v>0</v>
      </c>
      <c r="K89" s="15">
        <f>LCOE!O115+K88+K88*LCOE!D$22</f>
        <v>1</v>
      </c>
      <c r="L89" s="16">
        <f>LCOE!P115+LCOE!D$23*IF(LCOE!D$14&gt;0,G89,H89)*M89*D89</f>
        <v>168165720</v>
      </c>
      <c r="M89" s="15">
        <f>LCOE!Q115+M88+M88*LCOE!D$24</f>
        <v>1</v>
      </c>
      <c r="N89" s="15">
        <f>LCOE!R115+N88-N88*LCOE!D$25</f>
        <v>1</v>
      </c>
      <c r="O89" s="18">
        <f>LCOE!S115+LCOE!D$29</f>
        <v>313.75</v>
      </c>
      <c r="P89" s="12">
        <f>LCOE!T115+IF(A89&gt;=LCOE!D$30,100%,0%)</f>
        <v>1</v>
      </c>
      <c r="Q89" s="16">
        <f>LCOE!U115+O89/1000*IF(LCOE!D$14&gt;0,G89,H89)</f>
        <v>1236802.5</v>
      </c>
      <c r="R89" s="16">
        <f>LCOE!B115</f>
        <v>30</v>
      </c>
      <c r="S89" s="16">
        <f>LCOE!V115+Q89*P89*R89</f>
        <v>37104075</v>
      </c>
      <c r="T89" s="16">
        <f>LCOE!W115+LCOE!D$31</f>
        <v>0</v>
      </c>
      <c r="U89" s="16">
        <f>LCOE!X115+T89*IF(LCOE!D$14&gt;0,G89,H89)</f>
        <v>0</v>
      </c>
      <c r="V89" s="16">
        <f>LCOE!Y115+LCOE!D$32</f>
        <v>0</v>
      </c>
      <c r="W89" s="16">
        <f>LCOE!Z115+V89*IF(LCOE!D$14&gt;0,G89,H89)</f>
        <v>0</v>
      </c>
      <c r="X89" s="16">
        <f>LCOE!AA115+LCOE!D$34</f>
        <v>101</v>
      </c>
      <c r="Y89" s="16">
        <f t="shared" si="15"/>
        <v>0</v>
      </c>
      <c r="Z89" s="50">
        <f t="shared" si="18"/>
        <v>0</v>
      </c>
      <c r="AA89" s="50">
        <f t="shared" si="19"/>
        <v>20000000</v>
      </c>
      <c r="AB89" s="50">
        <f t="shared" si="20"/>
        <v>168165720</v>
      </c>
      <c r="AC89" s="50">
        <f t="shared" si="16"/>
        <v>0</v>
      </c>
      <c r="AD89" s="50">
        <f t="shared" si="11"/>
        <v>37104075</v>
      </c>
      <c r="AE89">
        <f t="shared" si="17"/>
        <v>19</v>
      </c>
      <c r="AF89" s="12">
        <f>LCOE!E115+LCOE!D$40</f>
        <v>0</v>
      </c>
      <c r="AG89">
        <f t="shared" si="12"/>
        <v>1</v>
      </c>
      <c r="AH89" s="16">
        <f t="shared" si="21"/>
        <v>0</v>
      </c>
      <c r="AI89" s="16">
        <f t="shared" si="22"/>
        <v>20000000</v>
      </c>
      <c r="AJ89" s="16">
        <f t="shared" si="23"/>
        <v>168165720</v>
      </c>
      <c r="AK89" s="16">
        <f t="shared" si="24"/>
        <v>0</v>
      </c>
      <c r="AL89" s="16">
        <f t="shared" si="13"/>
        <v>37104075</v>
      </c>
      <c r="AM89" s="16">
        <f t="shared" si="14"/>
        <v>0</v>
      </c>
      <c r="AN89" s="16">
        <f>IF(LCOE!D$14&gt;0,G89,H89)/AG89</f>
        <v>3942000</v>
      </c>
    </row>
    <row r="90" spans="1:40">
      <c r="A90">
        <v>20</v>
      </c>
      <c r="C90" s="16">
        <f>LCOE!D116+IF(AND(LCOE!D$26&gt;0,A90&gt;=LCOE!D$26,A90&lt;=(LCOE!D$26+LCOE!D$27-1)),LCOE!D$42/LCOE!D$27,0)+IF(AND(AE90&gt;=LCOE!D$16,COUNTIF(AE65:AE90,LCOE!D$16)=LCOE!D$36+1),LCOE!D$35*LCOE!D$38,0)</f>
        <v>0</v>
      </c>
      <c r="D90" s="16">
        <f>IF(AE89&lt;LCOE!D$16,1,0)</f>
        <v>1</v>
      </c>
      <c r="E90" s="12">
        <f>LCOE!G116+IF(AND(A90&gt;=LCOE!D$26,A90&lt;=(LCOE!D$26+LCOE!D$27-1)),0,1)*IF(A90=LCOE!D$34,0,1)*D90</f>
        <v>1</v>
      </c>
      <c r="F90" s="12">
        <f>IF(F89&lt;LCOE!D$18,MIN(F89*(1+LCOE!D$19),LCOE!D$18),LCOE!D$18)+LCOE!J116</f>
        <v>0.9</v>
      </c>
      <c r="G90" s="16">
        <f>LCOE!K116+E90*F90*N90*(LCOE!D$14+LCOE!H116)*24*365*D90</f>
        <v>3942000</v>
      </c>
      <c r="H90" s="16">
        <f>LCOE!L116+F90*(LCOE!D$15+LCOE!I116)*E90*24*365*D90*N90</f>
        <v>0</v>
      </c>
      <c r="I90" s="16">
        <f>LCOE!M116+LCOE!D$20*IF(LCOE!D$14&gt;0,(LCOE!D$14+LCOE!H116),(LCOE!D$15+LCOE!I116))*K90*D90</f>
        <v>20000000</v>
      </c>
      <c r="J90" s="16">
        <f>LCOE!N116+LCOE!D$21*IF(LCOE!D$14&gt;0,G90,H90)*K90*D90</f>
        <v>0</v>
      </c>
      <c r="K90" s="15">
        <f>LCOE!O116+K89+K89*LCOE!D$22</f>
        <v>1</v>
      </c>
      <c r="L90" s="16">
        <f>LCOE!P116+LCOE!D$23*IF(LCOE!D$14&gt;0,G90,H90)*M90*D90</f>
        <v>168165720</v>
      </c>
      <c r="M90" s="15">
        <f>LCOE!Q116+M89+M89*LCOE!D$24</f>
        <v>1</v>
      </c>
      <c r="N90" s="15">
        <f>LCOE!R116+N89-N89*LCOE!D$25</f>
        <v>1</v>
      </c>
      <c r="O90" s="18">
        <f>LCOE!S116+LCOE!D$29</f>
        <v>313.75</v>
      </c>
      <c r="P90" s="12">
        <f>LCOE!T116+IF(A90&gt;=LCOE!D$30,100%,0%)</f>
        <v>1</v>
      </c>
      <c r="Q90" s="16">
        <f>LCOE!U116+O90/1000*IF(LCOE!D$14&gt;0,G90,H90)</f>
        <v>1236802.5</v>
      </c>
      <c r="R90" s="16">
        <f>LCOE!B116</f>
        <v>30</v>
      </c>
      <c r="S90" s="16">
        <f>LCOE!V116+Q90*P90*R90</f>
        <v>37104075</v>
      </c>
      <c r="T90" s="16">
        <f>LCOE!W116+LCOE!D$31</f>
        <v>0</v>
      </c>
      <c r="U90" s="16">
        <f>LCOE!X116+T90*IF(LCOE!D$14&gt;0,G90,H90)</f>
        <v>0</v>
      </c>
      <c r="V90" s="16">
        <f>LCOE!Y116+LCOE!D$32</f>
        <v>0</v>
      </c>
      <c r="W90" s="16">
        <f>LCOE!Z116+V90*IF(LCOE!D$14&gt;0,G90,H90)</f>
        <v>0</v>
      </c>
      <c r="X90" s="16">
        <f>LCOE!AA116+LCOE!D$34</f>
        <v>101</v>
      </c>
      <c r="Y90" s="16">
        <f t="shared" si="15"/>
        <v>0</v>
      </c>
      <c r="Z90" s="50">
        <f t="shared" si="18"/>
        <v>0</v>
      </c>
      <c r="AA90" s="50">
        <f t="shared" si="19"/>
        <v>20000000</v>
      </c>
      <c r="AB90" s="50">
        <f t="shared" si="20"/>
        <v>168165720</v>
      </c>
      <c r="AC90" s="50">
        <f t="shared" si="16"/>
        <v>0</v>
      </c>
      <c r="AD90" s="50">
        <f t="shared" si="11"/>
        <v>37104075</v>
      </c>
      <c r="AE90">
        <f t="shared" si="17"/>
        <v>20</v>
      </c>
      <c r="AF90" s="12">
        <f>LCOE!E116+LCOE!D$40</f>
        <v>0</v>
      </c>
      <c r="AG90">
        <f t="shared" si="12"/>
        <v>1</v>
      </c>
      <c r="AH90" s="16">
        <f t="shared" si="21"/>
        <v>0</v>
      </c>
      <c r="AI90" s="16">
        <f t="shared" si="22"/>
        <v>20000000</v>
      </c>
      <c r="AJ90" s="16">
        <f t="shared" si="23"/>
        <v>168165720</v>
      </c>
      <c r="AK90" s="16">
        <f t="shared" si="24"/>
        <v>0</v>
      </c>
      <c r="AL90" s="16">
        <f t="shared" si="13"/>
        <v>37104075</v>
      </c>
      <c r="AM90" s="16">
        <f t="shared" si="14"/>
        <v>0</v>
      </c>
      <c r="AN90" s="16">
        <f>IF(LCOE!D$14&gt;0,G90,H90)/AG90</f>
        <v>3942000</v>
      </c>
    </row>
    <row r="91" spans="1:40">
      <c r="A91">
        <v>21</v>
      </c>
      <c r="C91" s="16">
        <f>LCOE!D117+IF(AND(LCOE!D$26&gt;0,A91&gt;=LCOE!D$26,A91&lt;=(LCOE!D$26+LCOE!D$27-1)),LCOE!D$42/LCOE!D$27,0)+IF(AND(AE91&gt;=LCOE!D$16,COUNTIF(AE66:AE91,LCOE!D$16)=LCOE!D$36+1),LCOE!D$35*LCOE!D$38,0)</f>
        <v>0</v>
      </c>
      <c r="D91" s="16">
        <f>IF(AE90&lt;LCOE!D$16,1,0)</f>
        <v>1</v>
      </c>
      <c r="E91" s="12">
        <f>LCOE!G117+IF(AND(A91&gt;=LCOE!D$26,A91&lt;=(LCOE!D$26+LCOE!D$27-1)),0,1)*IF(A91=LCOE!D$34,0,1)*D91</f>
        <v>1</v>
      </c>
      <c r="F91" s="12">
        <f>IF(F90&lt;LCOE!D$18,MIN(F90*(1+LCOE!D$19),LCOE!D$18),LCOE!D$18)+LCOE!J117</f>
        <v>0.9</v>
      </c>
      <c r="G91" s="16">
        <f>LCOE!K117+E91*F91*N91*(LCOE!D$14+LCOE!H117)*24*365*D91</f>
        <v>3942000</v>
      </c>
      <c r="H91" s="16">
        <f>LCOE!L117+F91*(LCOE!D$15+LCOE!I117)*E91*24*365*D91*N91</f>
        <v>0</v>
      </c>
      <c r="I91" s="16">
        <f>LCOE!M117+LCOE!D$20*IF(LCOE!D$14&gt;0,(LCOE!D$14+LCOE!H117),(LCOE!D$15+LCOE!I117))*K91*D91</f>
        <v>20000000</v>
      </c>
      <c r="J91" s="16">
        <f>LCOE!N117+LCOE!D$21*IF(LCOE!D$14&gt;0,G91,H91)*K91*D91</f>
        <v>0</v>
      </c>
      <c r="K91" s="15">
        <f>LCOE!O117+K90+K90*LCOE!D$22</f>
        <v>1</v>
      </c>
      <c r="L91" s="16">
        <f>LCOE!P117+LCOE!D$23*IF(LCOE!D$14&gt;0,G91,H91)*M91*D91</f>
        <v>168165720</v>
      </c>
      <c r="M91" s="15">
        <f>LCOE!Q117+M90+M90*LCOE!D$24</f>
        <v>1</v>
      </c>
      <c r="N91" s="15">
        <f>LCOE!R117+N90-N90*LCOE!D$25</f>
        <v>1</v>
      </c>
      <c r="O91" s="18">
        <f>LCOE!S117+LCOE!D$29</f>
        <v>313.75</v>
      </c>
      <c r="P91" s="12">
        <f>LCOE!T117+IF(A91&gt;=LCOE!D$30,100%,0%)</f>
        <v>1</v>
      </c>
      <c r="Q91" s="16">
        <f>LCOE!U117+O91/1000*IF(LCOE!D$14&gt;0,G91,H91)</f>
        <v>1236802.5</v>
      </c>
      <c r="R91" s="16">
        <f>LCOE!B117</f>
        <v>30</v>
      </c>
      <c r="S91" s="16">
        <f>LCOE!V117+Q91*P91*R91</f>
        <v>37104075</v>
      </c>
      <c r="T91" s="16">
        <f>LCOE!W117+LCOE!D$31</f>
        <v>0</v>
      </c>
      <c r="U91" s="16">
        <f>LCOE!X117+T91*IF(LCOE!D$14&gt;0,G91,H91)</f>
        <v>0</v>
      </c>
      <c r="V91" s="16">
        <f>LCOE!Y117+LCOE!D$32</f>
        <v>0</v>
      </c>
      <c r="W91" s="16">
        <f>LCOE!Z117+V91*IF(LCOE!D$14&gt;0,G91,H91)</f>
        <v>0</v>
      </c>
      <c r="X91" s="16">
        <f>LCOE!AA117+LCOE!D$34</f>
        <v>101</v>
      </c>
      <c r="Y91" s="16">
        <f t="shared" si="15"/>
        <v>0</v>
      </c>
      <c r="Z91" s="50">
        <f t="shared" si="18"/>
        <v>0</v>
      </c>
      <c r="AA91" s="50">
        <f t="shared" si="19"/>
        <v>20000000</v>
      </c>
      <c r="AB91" s="50">
        <f t="shared" si="20"/>
        <v>168165720</v>
      </c>
      <c r="AC91" s="50">
        <f t="shared" si="16"/>
        <v>0</v>
      </c>
      <c r="AD91" s="50">
        <f t="shared" si="11"/>
        <v>37104075</v>
      </c>
      <c r="AE91">
        <f t="shared" si="17"/>
        <v>21</v>
      </c>
      <c r="AF91" s="12">
        <f>LCOE!E117+LCOE!D$40</f>
        <v>0</v>
      </c>
      <c r="AG91">
        <f t="shared" si="12"/>
        <v>1</v>
      </c>
      <c r="AH91" s="16">
        <f t="shared" si="21"/>
        <v>0</v>
      </c>
      <c r="AI91" s="16">
        <f t="shared" si="22"/>
        <v>20000000</v>
      </c>
      <c r="AJ91" s="16">
        <f t="shared" si="23"/>
        <v>168165720</v>
      </c>
      <c r="AK91" s="16">
        <f t="shared" si="24"/>
        <v>0</v>
      </c>
      <c r="AL91" s="16">
        <f t="shared" si="13"/>
        <v>37104075</v>
      </c>
      <c r="AM91" s="16">
        <f t="shared" si="14"/>
        <v>0</v>
      </c>
      <c r="AN91" s="16">
        <f>IF(LCOE!D$14&gt;0,G91,H91)/AG91</f>
        <v>3942000</v>
      </c>
    </row>
    <row r="92" spans="1:40">
      <c r="A92">
        <v>22</v>
      </c>
      <c r="C92" s="16">
        <f>LCOE!D118+IF(AND(LCOE!D$26&gt;0,A92&gt;=LCOE!D$26,A92&lt;=(LCOE!D$26+LCOE!D$27-1)),LCOE!D$42/LCOE!D$27,0)+IF(AND(AE92&gt;=LCOE!D$16,COUNTIF(AE67:AE92,LCOE!D$16)=LCOE!D$36+1),LCOE!D$35*LCOE!D$38,0)</f>
        <v>0</v>
      </c>
      <c r="D92" s="16">
        <f>IF(AE91&lt;LCOE!D$16,1,0)</f>
        <v>1</v>
      </c>
      <c r="E92" s="12">
        <f>LCOE!G118+IF(AND(A92&gt;=LCOE!D$26,A92&lt;=(LCOE!D$26+LCOE!D$27-1)),0,1)*IF(A92=LCOE!D$34,0,1)*D92</f>
        <v>1</v>
      </c>
      <c r="F92" s="12">
        <f>IF(F91&lt;LCOE!D$18,MIN(F91*(1+LCOE!D$19),LCOE!D$18),LCOE!D$18)+LCOE!J118</f>
        <v>0.9</v>
      </c>
      <c r="G92" s="16">
        <f>LCOE!K118+E92*F92*N92*(LCOE!D$14+LCOE!H118)*24*365*D92</f>
        <v>3942000</v>
      </c>
      <c r="H92" s="16">
        <f>LCOE!L118+F92*(LCOE!D$15+LCOE!I118)*E92*24*365*D92*N92</f>
        <v>0</v>
      </c>
      <c r="I92" s="16">
        <f>LCOE!M118+LCOE!D$20*IF(LCOE!D$14&gt;0,(LCOE!D$14+LCOE!H118),(LCOE!D$15+LCOE!I118))*K92*D92</f>
        <v>20000000</v>
      </c>
      <c r="J92" s="16">
        <f>LCOE!N118+LCOE!D$21*IF(LCOE!D$14&gt;0,G92,H92)*K92*D92</f>
        <v>0</v>
      </c>
      <c r="K92" s="15">
        <f>LCOE!O118+K91+K91*LCOE!D$22</f>
        <v>1</v>
      </c>
      <c r="L92" s="16">
        <f>LCOE!P118+LCOE!D$23*IF(LCOE!D$14&gt;0,G92,H92)*M92*D92</f>
        <v>168165720</v>
      </c>
      <c r="M92" s="15">
        <f>LCOE!Q118+M91+M91*LCOE!D$24</f>
        <v>1</v>
      </c>
      <c r="N92" s="15">
        <f>LCOE!R118+N91-N91*LCOE!D$25</f>
        <v>1</v>
      </c>
      <c r="O92" s="18">
        <f>LCOE!S118+LCOE!D$29</f>
        <v>313.75</v>
      </c>
      <c r="P92" s="12">
        <f>LCOE!T118+IF(A92&gt;=LCOE!D$30,100%,0%)</f>
        <v>1</v>
      </c>
      <c r="Q92" s="16">
        <f>LCOE!U118+O92/1000*IF(LCOE!D$14&gt;0,G92,H92)</f>
        <v>1236802.5</v>
      </c>
      <c r="R92" s="16">
        <f>LCOE!B118</f>
        <v>30</v>
      </c>
      <c r="S92" s="16">
        <f>LCOE!V118+Q92*P92*R92</f>
        <v>37104075</v>
      </c>
      <c r="T92" s="16">
        <f>LCOE!W118+LCOE!D$31</f>
        <v>0</v>
      </c>
      <c r="U92" s="16">
        <f>LCOE!X118+T92*IF(LCOE!D$14&gt;0,G92,H92)</f>
        <v>0</v>
      </c>
      <c r="V92" s="16">
        <f>LCOE!Y118+LCOE!D$32</f>
        <v>0</v>
      </c>
      <c r="W92" s="16">
        <f>LCOE!Z118+V92*IF(LCOE!D$14&gt;0,G92,H92)</f>
        <v>0</v>
      </c>
      <c r="X92" s="16">
        <f>LCOE!AA118+LCOE!D$34</f>
        <v>101</v>
      </c>
      <c r="Y92" s="16">
        <f t="shared" si="15"/>
        <v>0</v>
      </c>
      <c r="Z92" s="50">
        <f t="shared" si="18"/>
        <v>0</v>
      </c>
      <c r="AA92" s="50">
        <f t="shared" si="19"/>
        <v>20000000</v>
      </c>
      <c r="AB92" s="50">
        <f t="shared" si="20"/>
        <v>168165720</v>
      </c>
      <c r="AC92" s="50">
        <f t="shared" si="16"/>
        <v>0</v>
      </c>
      <c r="AD92" s="50">
        <f t="shared" si="11"/>
        <v>37104075</v>
      </c>
      <c r="AE92">
        <f t="shared" si="17"/>
        <v>22</v>
      </c>
      <c r="AF92" s="12">
        <f>LCOE!E118+LCOE!D$40</f>
        <v>0</v>
      </c>
      <c r="AG92">
        <f t="shared" si="12"/>
        <v>1</v>
      </c>
      <c r="AH92" s="16">
        <f t="shared" si="21"/>
        <v>0</v>
      </c>
      <c r="AI92" s="16">
        <f t="shared" si="22"/>
        <v>20000000</v>
      </c>
      <c r="AJ92" s="16">
        <f t="shared" si="23"/>
        <v>168165720</v>
      </c>
      <c r="AK92" s="16">
        <f t="shared" si="24"/>
        <v>0</v>
      </c>
      <c r="AL92" s="16">
        <f t="shared" si="13"/>
        <v>37104075</v>
      </c>
      <c r="AM92" s="16">
        <f t="shared" si="14"/>
        <v>0</v>
      </c>
      <c r="AN92" s="16">
        <f>IF(LCOE!D$14&gt;0,G92,H92)/AG92</f>
        <v>3942000</v>
      </c>
    </row>
    <row r="93" spans="1:40">
      <c r="A93">
        <v>23</v>
      </c>
      <c r="C93" s="16">
        <f>LCOE!D119+IF(AND(LCOE!D$26&gt;0,A93&gt;=LCOE!D$26,A93&lt;=(LCOE!D$26+LCOE!D$27-1)),LCOE!D$42/LCOE!D$27,0)+IF(AND(AE93&gt;=LCOE!D$16,COUNTIF(AE68:AE93,LCOE!D$16)=LCOE!D$36+1),LCOE!D$35*LCOE!D$38,0)</f>
        <v>0</v>
      </c>
      <c r="D93" s="16">
        <f>IF(AE92&lt;LCOE!D$16,1,0)</f>
        <v>1</v>
      </c>
      <c r="E93" s="12">
        <f>LCOE!G119+IF(AND(A93&gt;=LCOE!D$26,A93&lt;=(LCOE!D$26+LCOE!D$27-1)),0,1)*IF(A93=LCOE!D$34,0,1)*D93</f>
        <v>1</v>
      </c>
      <c r="F93" s="12">
        <f>IF(F92&lt;LCOE!D$18,MIN(F92*(1+LCOE!D$19),LCOE!D$18),LCOE!D$18)+LCOE!J119</f>
        <v>0.9</v>
      </c>
      <c r="G93" s="16">
        <f>LCOE!K119+E93*F93*N93*(LCOE!D$14+LCOE!H119)*24*365*D93</f>
        <v>3942000</v>
      </c>
      <c r="H93" s="16">
        <f>LCOE!L119+F93*(LCOE!D$15+LCOE!I119)*E93*24*365*D93*N93</f>
        <v>0</v>
      </c>
      <c r="I93" s="16">
        <f>LCOE!M119+LCOE!D$20*IF(LCOE!D$14&gt;0,(LCOE!D$14+LCOE!H119),(LCOE!D$15+LCOE!I119))*K93*D93</f>
        <v>20000000</v>
      </c>
      <c r="J93" s="16">
        <f>LCOE!N119+LCOE!D$21*IF(LCOE!D$14&gt;0,G93,H93)*K93*D93</f>
        <v>0</v>
      </c>
      <c r="K93" s="15">
        <f>LCOE!O119+K92+K92*LCOE!D$22</f>
        <v>1</v>
      </c>
      <c r="L93" s="16">
        <f>LCOE!P119+LCOE!D$23*IF(LCOE!D$14&gt;0,G93,H93)*M93*D93</f>
        <v>168165720</v>
      </c>
      <c r="M93" s="15">
        <f>LCOE!Q119+M92+M92*LCOE!D$24</f>
        <v>1</v>
      </c>
      <c r="N93" s="15">
        <f>LCOE!R119+N92-N92*LCOE!D$25</f>
        <v>1</v>
      </c>
      <c r="O93" s="18">
        <f>LCOE!S119+LCOE!D$29</f>
        <v>313.75</v>
      </c>
      <c r="P93" s="12">
        <f>LCOE!T119+IF(A93&gt;=LCOE!D$30,100%,0%)</f>
        <v>1</v>
      </c>
      <c r="Q93" s="16">
        <f>LCOE!U119+O93/1000*IF(LCOE!D$14&gt;0,G93,H93)</f>
        <v>1236802.5</v>
      </c>
      <c r="R93" s="16">
        <f>LCOE!B119</f>
        <v>30</v>
      </c>
      <c r="S93" s="16">
        <f>LCOE!V119+Q93*P93*R93</f>
        <v>37104075</v>
      </c>
      <c r="T93" s="16">
        <f>LCOE!W119+LCOE!D$31</f>
        <v>0</v>
      </c>
      <c r="U93" s="16">
        <f>LCOE!X119+T93*IF(LCOE!D$14&gt;0,G93,H93)</f>
        <v>0</v>
      </c>
      <c r="V93" s="16">
        <f>LCOE!Y119+LCOE!D$32</f>
        <v>0</v>
      </c>
      <c r="W93" s="16">
        <f>LCOE!Z119+V93*IF(LCOE!D$14&gt;0,G93,H93)</f>
        <v>0</v>
      </c>
      <c r="X93" s="16">
        <f>LCOE!AA119+LCOE!D$34</f>
        <v>101</v>
      </c>
      <c r="Y93" s="16">
        <f t="shared" si="15"/>
        <v>0</v>
      </c>
      <c r="Z93" s="50">
        <f t="shared" si="18"/>
        <v>0</v>
      </c>
      <c r="AA93" s="50">
        <f t="shared" si="19"/>
        <v>20000000</v>
      </c>
      <c r="AB93" s="50">
        <f t="shared" si="20"/>
        <v>168165720</v>
      </c>
      <c r="AC93" s="50">
        <f t="shared" si="16"/>
        <v>0</v>
      </c>
      <c r="AD93" s="50">
        <f t="shared" si="11"/>
        <v>37104075</v>
      </c>
      <c r="AE93">
        <f t="shared" si="17"/>
        <v>23</v>
      </c>
      <c r="AF93" s="12">
        <f>LCOE!E119+LCOE!D$40</f>
        <v>0</v>
      </c>
      <c r="AG93">
        <f t="shared" si="12"/>
        <v>1</v>
      </c>
      <c r="AH93" s="16">
        <f t="shared" si="21"/>
        <v>0</v>
      </c>
      <c r="AI93" s="16">
        <f t="shared" si="22"/>
        <v>20000000</v>
      </c>
      <c r="AJ93" s="16">
        <f t="shared" si="23"/>
        <v>168165720</v>
      </c>
      <c r="AK93" s="16">
        <f t="shared" si="24"/>
        <v>0</v>
      </c>
      <c r="AL93" s="16">
        <f t="shared" si="13"/>
        <v>37104075</v>
      </c>
      <c r="AM93" s="16">
        <f t="shared" si="14"/>
        <v>0</v>
      </c>
      <c r="AN93" s="16">
        <f>IF(LCOE!D$14&gt;0,G93,H93)/AG93</f>
        <v>3942000</v>
      </c>
    </row>
    <row r="94" spans="1:40">
      <c r="A94">
        <v>24</v>
      </c>
      <c r="C94" s="16">
        <f>LCOE!D120+IF(AND(LCOE!D$26&gt;0,A94&gt;=LCOE!D$26,A94&lt;=(LCOE!D$26+LCOE!D$27-1)),LCOE!D$42/LCOE!D$27,0)+IF(AND(AE94&gt;=LCOE!D$16,COUNTIF(AE69:AE94,LCOE!D$16)=LCOE!D$36+1),LCOE!D$35*LCOE!D$38,0)</f>
        <v>0</v>
      </c>
      <c r="D94" s="16">
        <f>IF(AE93&lt;LCOE!D$16,1,0)</f>
        <v>1</v>
      </c>
      <c r="E94" s="12">
        <f>LCOE!G120+IF(AND(A94&gt;=LCOE!D$26,A94&lt;=(LCOE!D$26+LCOE!D$27-1)),0,1)*IF(A94=LCOE!D$34,0,1)*D94</f>
        <v>1</v>
      </c>
      <c r="F94" s="12">
        <f>IF(F93&lt;LCOE!D$18,MIN(F93*(1+LCOE!D$19),LCOE!D$18),LCOE!D$18)+LCOE!J120</f>
        <v>0.9</v>
      </c>
      <c r="G94" s="16">
        <f>LCOE!K120+E94*F94*N94*(LCOE!D$14+LCOE!H120)*24*365*D94</f>
        <v>3942000</v>
      </c>
      <c r="H94" s="16">
        <f>LCOE!L120+F94*(LCOE!D$15+LCOE!I120)*E94*24*365*D94*N94</f>
        <v>0</v>
      </c>
      <c r="I94" s="16">
        <f>LCOE!M120+LCOE!D$20*IF(LCOE!D$14&gt;0,(LCOE!D$14+LCOE!H120),(LCOE!D$15+LCOE!I120))*K94*D94</f>
        <v>20000000</v>
      </c>
      <c r="J94" s="16">
        <f>LCOE!N120+LCOE!D$21*IF(LCOE!D$14&gt;0,G94,H94)*K94*D94</f>
        <v>0</v>
      </c>
      <c r="K94" s="15">
        <f>LCOE!O120+K93+K93*LCOE!D$22</f>
        <v>1</v>
      </c>
      <c r="L94" s="16">
        <f>LCOE!P120+LCOE!D$23*IF(LCOE!D$14&gt;0,G94,H94)*M94*D94</f>
        <v>168165720</v>
      </c>
      <c r="M94" s="15">
        <f>LCOE!Q120+M93+M93*LCOE!D$24</f>
        <v>1</v>
      </c>
      <c r="N94" s="15">
        <f>LCOE!R120+N93-N93*LCOE!D$25</f>
        <v>1</v>
      </c>
      <c r="O94" s="18">
        <f>LCOE!S120+LCOE!D$29</f>
        <v>313.75</v>
      </c>
      <c r="P94" s="12">
        <f>LCOE!T120+IF(A94&gt;=LCOE!D$30,100%,0%)</f>
        <v>1</v>
      </c>
      <c r="Q94" s="16">
        <f>LCOE!U120+O94/1000*IF(LCOE!D$14&gt;0,G94,H94)</f>
        <v>1236802.5</v>
      </c>
      <c r="R94" s="16">
        <f>LCOE!B120</f>
        <v>30</v>
      </c>
      <c r="S94" s="16">
        <f>LCOE!V120+Q94*P94*R94</f>
        <v>37104075</v>
      </c>
      <c r="T94" s="16">
        <f>LCOE!W120+LCOE!D$31</f>
        <v>0</v>
      </c>
      <c r="U94" s="16">
        <f>LCOE!X120+T94*IF(LCOE!D$14&gt;0,G94,H94)</f>
        <v>0</v>
      </c>
      <c r="V94" s="16">
        <f>LCOE!Y120+LCOE!D$32</f>
        <v>0</v>
      </c>
      <c r="W94" s="16">
        <f>LCOE!Z120+V94*IF(LCOE!D$14&gt;0,G94,H94)</f>
        <v>0</v>
      </c>
      <c r="X94" s="16">
        <f>LCOE!AA120+LCOE!D$34</f>
        <v>101</v>
      </c>
      <c r="Y94" s="16">
        <f t="shared" si="15"/>
        <v>0</v>
      </c>
      <c r="Z94" s="50">
        <f t="shared" si="18"/>
        <v>0</v>
      </c>
      <c r="AA94" s="50">
        <f t="shared" si="19"/>
        <v>20000000</v>
      </c>
      <c r="AB94" s="50">
        <f t="shared" si="20"/>
        <v>168165720</v>
      </c>
      <c r="AC94" s="50">
        <f t="shared" si="16"/>
        <v>0</v>
      </c>
      <c r="AD94" s="50">
        <f t="shared" si="11"/>
        <v>37104075</v>
      </c>
      <c r="AE94">
        <f t="shared" si="17"/>
        <v>24</v>
      </c>
      <c r="AF94" s="12">
        <f>LCOE!E120+LCOE!D$40</f>
        <v>0</v>
      </c>
      <c r="AG94">
        <f t="shared" si="12"/>
        <v>1</v>
      </c>
      <c r="AH94" s="16">
        <f t="shared" si="21"/>
        <v>0</v>
      </c>
      <c r="AI94" s="16">
        <f t="shared" si="22"/>
        <v>20000000</v>
      </c>
      <c r="AJ94" s="16">
        <f t="shared" si="23"/>
        <v>168165720</v>
      </c>
      <c r="AK94" s="16">
        <f t="shared" si="24"/>
        <v>0</v>
      </c>
      <c r="AL94" s="16">
        <f t="shared" si="13"/>
        <v>37104075</v>
      </c>
      <c r="AM94" s="16">
        <f t="shared" si="14"/>
        <v>0</v>
      </c>
      <c r="AN94" s="16">
        <f>IF(LCOE!D$14&gt;0,G94,H94)/AG94</f>
        <v>3942000</v>
      </c>
    </row>
    <row r="95" spans="1:40">
      <c r="A95">
        <v>25</v>
      </c>
      <c r="C95" s="16">
        <f>LCOE!D121+IF(AND(LCOE!D$26&gt;0,A95&gt;=LCOE!D$26,A95&lt;=(LCOE!D$26+LCOE!D$27-1)),LCOE!D$42/LCOE!D$27,0)+IF(AND(AE95&gt;=LCOE!D$16,COUNTIF(AE70:AE95,LCOE!D$16)=LCOE!D$36+1),LCOE!D$35*LCOE!D$38,0)</f>
        <v>0</v>
      </c>
      <c r="D95" s="16">
        <f>IF(AE94&lt;LCOE!D$16,1,0)</f>
        <v>1</v>
      </c>
      <c r="E95" s="12">
        <f>LCOE!G121+IF(AND(A95&gt;=LCOE!D$26,A95&lt;=(LCOE!D$26+LCOE!D$27-1)),0,1)*IF(A95=LCOE!D$34,0,1)*D95</f>
        <v>1</v>
      </c>
      <c r="F95" s="12">
        <f>IF(F94&lt;LCOE!D$18,MIN(F94*(1+LCOE!D$19),LCOE!D$18),LCOE!D$18)+LCOE!J121</f>
        <v>0.9</v>
      </c>
      <c r="G95" s="16">
        <f>LCOE!K121+E95*F95*N95*(LCOE!D$14+LCOE!H121)*24*365*D95</f>
        <v>3942000</v>
      </c>
      <c r="H95" s="16">
        <f>LCOE!L121+F95*(LCOE!D$15+LCOE!I121)*E95*24*365*D95*N95</f>
        <v>0</v>
      </c>
      <c r="I95" s="16">
        <f>LCOE!M121+LCOE!D$20*IF(LCOE!D$14&gt;0,(LCOE!D$14+LCOE!H121),(LCOE!D$15+LCOE!I121))*K95*D95</f>
        <v>20000000</v>
      </c>
      <c r="J95" s="16">
        <f>LCOE!N121+LCOE!D$21*IF(LCOE!D$14&gt;0,G95,H95)*K95*D95</f>
        <v>0</v>
      </c>
      <c r="K95" s="15">
        <f>LCOE!O121+K94+K94*LCOE!D$22</f>
        <v>1</v>
      </c>
      <c r="L95" s="16">
        <f>LCOE!P121+LCOE!D$23*IF(LCOE!D$14&gt;0,G95,H95)*M95*D95</f>
        <v>168165720</v>
      </c>
      <c r="M95" s="15">
        <f>LCOE!Q121+M94+M94*LCOE!D$24</f>
        <v>1</v>
      </c>
      <c r="N95" s="15">
        <f>LCOE!R121+N94-N94*LCOE!D$25</f>
        <v>1</v>
      </c>
      <c r="O95" s="18">
        <f>LCOE!S121+LCOE!D$29</f>
        <v>313.75</v>
      </c>
      <c r="P95" s="12">
        <f>LCOE!T121+IF(A95&gt;=LCOE!D$30,100%,0%)</f>
        <v>1</v>
      </c>
      <c r="Q95" s="16">
        <f>LCOE!U121+O95/1000*IF(LCOE!D$14&gt;0,G95,H95)</f>
        <v>1236802.5</v>
      </c>
      <c r="R95" s="16">
        <f>LCOE!B121</f>
        <v>30</v>
      </c>
      <c r="S95" s="16">
        <f>LCOE!V121+Q95*P95*R95</f>
        <v>37104075</v>
      </c>
      <c r="T95" s="16">
        <f>LCOE!W121+LCOE!D$31</f>
        <v>0</v>
      </c>
      <c r="U95" s="16">
        <f>LCOE!X121+T95*IF(LCOE!D$14&gt;0,G95,H95)</f>
        <v>0</v>
      </c>
      <c r="V95" s="16">
        <f>LCOE!Y121+LCOE!D$32</f>
        <v>0</v>
      </c>
      <c r="W95" s="16">
        <f>LCOE!Z121+V95*IF(LCOE!D$14&gt;0,G95,H95)</f>
        <v>0</v>
      </c>
      <c r="X95" s="16">
        <f>LCOE!AA121+LCOE!D$34</f>
        <v>101</v>
      </c>
      <c r="Y95" s="16">
        <f t="shared" si="15"/>
        <v>0</v>
      </c>
      <c r="Z95" s="50">
        <f t="shared" si="18"/>
        <v>0</v>
      </c>
      <c r="AA95" s="50">
        <f t="shared" si="19"/>
        <v>20000000</v>
      </c>
      <c r="AB95" s="50">
        <f t="shared" si="20"/>
        <v>168165720</v>
      </c>
      <c r="AC95" s="50">
        <f t="shared" si="16"/>
        <v>0</v>
      </c>
      <c r="AD95" s="50">
        <f t="shared" si="11"/>
        <v>37104075</v>
      </c>
      <c r="AE95">
        <f t="shared" si="17"/>
        <v>25</v>
      </c>
      <c r="AF95" s="12">
        <f>LCOE!E121+LCOE!D$40</f>
        <v>0</v>
      </c>
      <c r="AG95">
        <f t="shared" si="12"/>
        <v>1</v>
      </c>
      <c r="AH95" s="16">
        <f t="shared" si="21"/>
        <v>0</v>
      </c>
      <c r="AI95" s="16">
        <f t="shared" si="22"/>
        <v>20000000</v>
      </c>
      <c r="AJ95" s="16">
        <f t="shared" si="23"/>
        <v>168165720</v>
      </c>
      <c r="AK95" s="16">
        <f t="shared" si="24"/>
        <v>0</v>
      </c>
      <c r="AL95" s="16">
        <f t="shared" si="13"/>
        <v>37104075</v>
      </c>
      <c r="AM95" s="16">
        <f t="shared" si="14"/>
        <v>0</v>
      </c>
      <c r="AN95" s="16">
        <f>IF(LCOE!D$14&gt;0,G95,H95)/AG95</f>
        <v>3942000</v>
      </c>
    </row>
    <row r="96" spans="1:40">
      <c r="A96">
        <v>26</v>
      </c>
      <c r="C96" s="16">
        <f>LCOE!D122+IF(AND(LCOE!D$26&gt;0,A96&gt;=LCOE!D$26,A96&lt;=(LCOE!D$26+LCOE!D$27-1)),LCOE!D$42/LCOE!D$27,0)+IF(AND(AE96&gt;=LCOE!D$16,COUNTIF(AE71:AE96,LCOE!D$16)=LCOE!D$36+1),LCOE!D$35*LCOE!D$38,0)</f>
        <v>0</v>
      </c>
      <c r="D96" s="16">
        <f>IF(AE95&lt;LCOE!D$16,1,0)</f>
        <v>1</v>
      </c>
      <c r="E96" s="12">
        <f>LCOE!G122+IF(AND(A96&gt;=LCOE!D$26,A96&lt;=(LCOE!D$26+LCOE!D$27-1)),0,1)*IF(A96=LCOE!D$34,0,1)*D96</f>
        <v>1</v>
      </c>
      <c r="F96" s="12">
        <f>IF(F95&lt;LCOE!D$18,MIN(F95*(1+LCOE!D$19),LCOE!D$18),LCOE!D$18)+LCOE!J122</f>
        <v>0.9</v>
      </c>
      <c r="G96" s="16">
        <f>LCOE!K122+E96*F96*N96*(LCOE!D$14+LCOE!H122)*24*365*D96</f>
        <v>3942000</v>
      </c>
      <c r="H96" s="16">
        <f>LCOE!L122+F96*(LCOE!D$15+LCOE!I122)*E96*24*365*D96*N96</f>
        <v>0</v>
      </c>
      <c r="I96" s="16">
        <f>LCOE!M122+LCOE!D$20*IF(LCOE!D$14&gt;0,(LCOE!D$14+LCOE!H122),(LCOE!D$15+LCOE!I122))*K96*D96</f>
        <v>20000000</v>
      </c>
      <c r="J96" s="16">
        <f>LCOE!N122+LCOE!D$21*IF(LCOE!D$14&gt;0,G96,H96)*K96*D96</f>
        <v>0</v>
      </c>
      <c r="K96" s="15">
        <f>LCOE!O122+K95+K95*LCOE!D$22</f>
        <v>1</v>
      </c>
      <c r="L96" s="16">
        <f>LCOE!P122+LCOE!D$23*IF(LCOE!D$14&gt;0,G96,H96)*M96*D96</f>
        <v>168165720</v>
      </c>
      <c r="M96" s="15">
        <f>LCOE!Q122+M95+M95*LCOE!D$24</f>
        <v>1</v>
      </c>
      <c r="N96" s="15">
        <f>LCOE!R122+N95-N95*LCOE!D$25</f>
        <v>1</v>
      </c>
      <c r="O96" s="18">
        <f>LCOE!S122+LCOE!D$29</f>
        <v>313.75</v>
      </c>
      <c r="P96" s="12">
        <f>LCOE!T122+IF(A96&gt;=LCOE!D$30,100%,0%)</f>
        <v>1</v>
      </c>
      <c r="Q96" s="16">
        <f>LCOE!U122+O96/1000*IF(LCOE!D$14&gt;0,G96,H96)</f>
        <v>1236802.5</v>
      </c>
      <c r="R96" s="16">
        <f>LCOE!B122</f>
        <v>30</v>
      </c>
      <c r="S96" s="16">
        <f>LCOE!V122+Q96*P96*R96</f>
        <v>37104075</v>
      </c>
      <c r="T96" s="16">
        <f>LCOE!W122+LCOE!D$31</f>
        <v>0</v>
      </c>
      <c r="U96" s="16">
        <f>LCOE!X122+T96*IF(LCOE!D$14&gt;0,G96,H96)</f>
        <v>0</v>
      </c>
      <c r="V96" s="16">
        <f>LCOE!Y122+LCOE!D$32</f>
        <v>0</v>
      </c>
      <c r="W96" s="16">
        <f>LCOE!Z122+V96*IF(LCOE!D$14&gt;0,G96,H96)</f>
        <v>0</v>
      </c>
      <c r="X96" s="16">
        <f>LCOE!AA122+LCOE!D$34</f>
        <v>101</v>
      </c>
      <c r="Y96" s="16">
        <f t="shared" si="15"/>
        <v>0</v>
      </c>
      <c r="Z96" s="50">
        <f t="shared" si="18"/>
        <v>0</v>
      </c>
      <c r="AA96" s="50">
        <f t="shared" si="19"/>
        <v>20000000</v>
      </c>
      <c r="AB96" s="50">
        <f t="shared" si="20"/>
        <v>168165720</v>
      </c>
      <c r="AC96" s="50">
        <f t="shared" si="16"/>
        <v>0</v>
      </c>
      <c r="AD96" s="50">
        <f t="shared" si="11"/>
        <v>37104075</v>
      </c>
      <c r="AE96">
        <f t="shared" si="17"/>
        <v>26</v>
      </c>
      <c r="AF96" s="12">
        <f>LCOE!E122+LCOE!D$40</f>
        <v>0</v>
      </c>
      <c r="AG96">
        <f t="shared" si="12"/>
        <v>1</v>
      </c>
      <c r="AH96" s="16">
        <f t="shared" si="21"/>
        <v>0</v>
      </c>
      <c r="AI96" s="16">
        <f t="shared" si="22"/>
        <v>20000000</v>
      </c>
      <c r="AJ96" s="16">
        <f t="shared" si="23"/>
        <v>168165720</v>
      </c>
      <c r="AK96" s="16">
        <f t="shared" si="24"/>
        <v>0</v>
      </c>
      <c r="AL96" s="16">
        <f t="shared" si="13"/>
        <v>37104075</v>
      </c>
      <c r="AM96" s="16">
        <f t="shared" si="14"/>
        <v>0</v>
      </c>
      <c r="AN96" s="16">
        <f>IF(LCOE!D$14&gt;0,G96,H96)/AG96</f>
        <v>3942000</v>
      </c>
    </row>
    <row r="97" spans="1:40">
      <c r="A97">
        <v>27</v>
      </c>
      <c r="C97" s="16">
        <f>LCOE!D123+IF(AND(LCOE!D$26&gt;0,A97&gt;=LCOE!D$26,A97&lt;=(LCOE!D$26+LCOE!D$27-1)),LCOE!D$42/LCOE!D$27,0)+IF(AND(AE97&gt;=LCOE!D$16,COUNTIF(AE72:AE97,LCOE!D$16)=LCOE!D$36+1),LCOE!D$35*LCOE!D$38,0)</f>
        <v>0</v>
      </c>
      <c r="D97" s="16">
        <f>IF(AE96&lt;LCOE!D$16,1,0)</f>
        <v>1</v>
      </c>
      <c r="E97" s="12">
        <f>LCOE!G123+IF(AND(A97&gt;=LCOE!D$26,A97&lt;=(LCOE!D$26+LCOE!D$27-1)),0,1)*IF(A97=LCOE!D$34,0,1)*D97</f>
        <v>1</v>
      </c>
      <c r="F97" s="12">
        <f>IF(F96&lt;LCOE!D$18,MIN(F96*(1+LCOE!D$19),LCOE!D$18),LCOE!D$18)+LCOE!J123</f>
        <v>0.9</v>
      </c>
      <c r="G97" s="16">
        <f>LCOE!K123+E97*F97*N97*(LCOE!D$14+LCOE!H123)*24*365*D97</f>
        <v>3942000</v>
      </c>
      <c r="H97" s="16">
        <f>LCOE!L123+F97*(LCOE!D$15+LCOE!I123)*E97*24*365*D97*N97</f>
        <v>0</v>
      </c>
      <c r="I97" s="16">
        <f>LCOE!M123+LCOE!D$20*IF(LCOE!D$14&gt;0,(LCOE!D$14+LCOE!H123),(LCOE!D$15+LCOE!I123))*K97*D97</f>
        <v>20000000</v>
      </c>
      <c r="J97" s="16">
        <f>LCOE!N123+LCOE!D$21*IF(LCOE!D$14&gt;0,G97,H97)*K97*D97</f>
        <v>0</v>
      </c>
      <c r="K97" s="15">
        <f>LCOE!O123+K96+K96*LCOE!D$22</f>
        <v>1</v>
      </c>
      <c r="L97" s="16">
        <f>LCOE!P123+LCOE!D$23*IF(LCOE!D$14&gt;0,G97,H97)*M97*D97</f>
        <v>168165720</v>
      </c>
      <c r="M97" s="15">
        <f>LCOE!Q123+M96+M96*LCOE!D$24</f>
        <v>1</v>
      </c>
      <c r="N97" s="15">
        <f>LCOE!R123+N96-N96*LCOE!D$25</f>
        <v>1</v>
      </c>
      <c r="O97" s="18">
        <f>LCOE!S123+LCOE!D$29</f>
        <v>313.75</v>
      </c>
      <c r="P97" s="12">
        <f>LCOE!T123+IF(A97&gt;=LCOE!D$30,100%,0%)</f>
        <v>1</v>
      </c>
      <c r="Q97" s="16">
        <f>LCOE!U123+O97/1000*IF(LCOE!D$14&gt;0,G97,H97)</f>
        <v>1236802.5</v>
      </c>
      <c r="R97" s="16">
        <f>LCOE!B123</f>
        <v>30</v>
      </c>
      <c r="S97" s="16">
        <f>LCOE!V123+Q97*P97*R97</f>
        <v>37104075</v>
      </c>
      <c r="T97" s="16">
        <f>LCOE!W123+LCOE!D$31</f>
        <v>0</v>
      </c>
      <c r="U97" s="16">
        <f>LCOE!X123+T97*IF(LCOE!D$14&gt;0,G97,H97)</f>
        <v>0</v>
      </c>
      <c r="V97" s="16">
        <f>LCOE!Y123+LCOE!D$32</f>
        <v>0</v>
      </c>
      <c r="W97" s="16">
        <f>LCOE!Z123+V97*IF(LCOE!D$14&gt;0,G97,H97)</f>
        <v>0</v>
      </c>
      <c r="X97" s="16">
        <f>LCOE!AA123+LCOE!D$34</f>
        <v>101</v>
      </c>
      <c r="Y97" s="16">
        <f t="shared" si="15"/>
        <v>0</v>
      </c>
      <c r="Z97" s="50">
        <f t="shared" si="18"/>
        <v>0</v>
      </c>
      <c r="AA97" s="50">
        <f t="shared" si="19"/>
        <v>20000000</v>
      </c>
      <c r="AB97" s="50">
        <f t="shared" si="20"/>
        <v>168165720</v>
      </c>
      <c r="AC97" s="50">
        <f t="shared" si="16"/>
        <v>0</v>
      </c>
      <c r="AD97" s="50">
        <f t="shared" si="11"/>
        <v>37104075</v>
      </c>
      <c r="AE97">
        <f t="shared" si="17"/>
        <v>27</v>
      </c>
      <c r="AF97" s="12">
        <f>LCOE!E123+LCOE!D$40</f>
        <v>0</v>
      </c>
      <c r="AG97">
        <f t="shared" si="12"/>
        <v>1</v>
      </c>
      <c r="AH97" s="16">
        <f t="shared" si="21"/>
        <v>0</v>
      </c>
      <c r="AI97" s="16">
        <f t="shared" si="22"/>
        <v>20000000</v>
      </c>
      <c r="AJ97" s="16">
        <f t="shared" si="23"/>
        <v>168165720</v>
      </c>
      <c r="AK97" s="16">
        <f t="shared" si="24"/>
        <v>0</v>
      </c>
      <c r="AL97" s="16">
        <f t="shared" si="13"/>
        <v>37104075</v>
      </c>
      <c r="AM97" s="16">
        <f t="shared" si="14"/>
        <v>0</v>
      </c>
      <c r="AN97" s="16">
        <f>IF(LCOE!D$14&gt;0,G97,H97)/AG97</f>
        <v>3942000</v>
      </c>
    </row>
    <row r="98" spans="1:40">
      <c r="A98">
        <v>28</v>
      </c>
      <c r="C98" s="16">
        <f>LCOE!D124+IF(AND(LCOE!D$26&gt;0,A98&gt;=LCOE!D$26,A98&lt;=(LCOE!D$26+LCOE!D$27-1)),LCOE!D$42/LCOE!D$27,0)+IF(AND(AE98&gt;=LCOE!D$16,COUNTIF(AE73:AE98,LCOE!D$16)=LCOE!D$36+1),LCOE!D$35*LCOE!D$38,0)</f>
        <v>0</v>
      </c>
      <c r="D98" s="16">
        <f>IF(AE97&lt;LCOE!D$16,1,0)</f>
        <v>1</v>
      </c>
      <c r="E98" s="12">
        <f>LCOE!G124+IF(AND(A98&gt;=LCOE!D$26,A98&lt;=(LCOE!D$26+LCOE!D$27-1)),0,1)*IF(A98=LCOE!D$34,0,1)*D98</f>
        <v>1</v>
      </c>
      <c r="F98" s="12">
        <f>IF(F97&lt;LCOE!D$18,MIN(F97*(1+LCOE!D$19),LCOE!D$18),LCOE!D$18)+LCOE!J124</f>
        <v>0.9</v>
      </c>
      <c r="G98" s="16">
        <f>LCOE!K124+E98*F98*N98*(LCOE!D$14+LCOE!H124)*24*365*D98</f>
        <v>3942000</v>
      </c>
      <c r="H98" s="16">
        <f>LCOE!L124+F98*(LCOE!D$15+LCOE!I124)*E98*24*365*D98*N98</f>
        <v>0</v>
      </c>
      <c r="I98" s="16">
        <f>LCOE!M124+LCOE!D$20*IF(LCOE!D$14&gt;0,(LCOE!D$14+LCOE!H124),(LCOE!D$15+LCOE!I124))*K98*D98</f>
        <v>20000000</v>
      </c>
      <c r="J98" s="16">
        <f>LCOE!N124+LCOE!D$21*IF(LCOE!D$14&gt;0,G98,H98)*K98*D98</f>
        <v>0</v>
      </c>
      <c r="K98" s="15">
        <f>LCOE!O124+K97+K97*LCOE!D$22</f>
        <v>1</v>
      </c>
      <c r="L98" s="16">
        <f>LCOE!P124+LCOE!D$23*IF(LCOE!D$14&gt;0,G98,H98)*M98*D98</f>
        <v>168165720</v>
      </c>
      <c r="M98" s="15">
        <f>LCOE!Q124+M97+M97*LCOE!D$24</f>
        <v>1</v>
      </c>
      <c r="N98" s="15">
        <f>LCOE!R124+N97-N97*LCOE!D$25</f>
        <v>1</v>
      </c>
      <c r="O98" s="18">
        <f>LCOE!S124+LCOE!D$29</f>
        <v>313.75</v>
      </c>
      <c r="P98" s="12">
        <f>LCOE!T124+IF(A98&gt;=LCOE!D$30,100%,0%)</f>
        <v>1</v>
      </c>
      <c r="Q98" s="16">
        <f>LCOE!U124+O98/1000*IF(LCOE!D$14&gt;0,G98,H98)</f>
        <v>1236802.5</v>
      </c>
      <c r="R98" s="16">
        <f>LCOE!B124</f>
        <v>30</v>
      </c>
      <c r="S98" s="16">
        <f>LCOE!V124+Q98*P98*R98</f>
        <v>37104075</v>
      </c>
      <c r="T98" s="16">
        <f>LCOE!W124+LCOE!D$31</f>
        <v>0</v>
      </c>
      <c r="U98" s="16">
        <f>LCOE!X124+T98*IF(LCOE!D$14&gt;0,G98,H98)</f>
        <v>0</v>
      </c>
      <c r="V98" s="16">
        <f>LCOE!Y124+LCOE!D$32</f>
        <v>0</v>
      </c>
      <c r="W98" s="16">
        <f>LCOE!Z124+V98*IF(LCOE!D$14&gt;0,G98,H98)</f>
        <v>0</v>
      </c>
      <c r="X98" s="16">
        <f>LCOE!AA124+LCOE!D$34</f>
        <v>101</v>
      </c>
      <c r="Y98" s="16">
        <f t="shared" si="15"/>
        <v>0</v>
      </c>
      <c r="Z98" s="50">
        <f t="shared" si="18"/>
        <v>0</v>
      </c>
      <c r="AA98" s="50">
        <f t="shared" si="19"/>
        <v>20000000</v>
      </c>
      <c r="AB98" s="50">
        <f t="shared" si="20"/>
        <v>168165720</v>
      </c>
      <c r="AC98" s="50">
        <f t="shared" si="16"/>
        <v>0</v>
      </c>
      <c r="AD98" s="50">
        <f t="shared" si="11"/>
        <v>37104075</v>
      </c>
      <c r="AE98">
        <f t="shared" si="17"/>
        <v>28</v>
      </c>
      <c r="AF98" s="12">
        <f>LCOE!E124+LCOE!D$40</f>
        <v>0</v>
      </c>
      <c r="AG98">
        <f t="shared" si="12"/>
        <v>1</v>
      </c>
      <c r="AH98" s="16">
        <f t="shared" si="21"/>
        <v>0</v>
      </c>
      <c r="AI98" s="16">
        <f t="shared" si="22"/>
        <v>20000000</v>
      </c>
      <c r="AJ98" s="16">
        <f t="shared" si="23"/>
        <v>168165720</v>
      </c>
      <c r="AK98" s="16">
        <f t="shared" si="24"/>
        <v>0</v>
      </c>
      <c r="AL98" s="16">
        <f t="shared" si="13"/>
        <v>37104075</v>
      </c>
      <c r="AM98" s="16">
        <f t="shared" si="14"/>
        <v>0</v>
      </c>
      <c r="AN98" s="16">
        <f>IF(LCOE!D$14&gt;0,G98,H98)/AG98</f>
        <v>3942000</v>
      </c>
    </row>
    <row r="99" spans="1:40">
      <c r="A99">
        <v>29</v>
      </c>
      <c r="C99" s="16">
        <f>LCOE!D125+IF(AND(LCOE!D$26&gt;0,A99&gt;=LCOE!D$26,A99&lt;=(LCOE!D$26+LCOE!D$27-1)),LCOE!D$42/LCOE!D$27,0)+IF(AND(AE99&gt;=LCOE!D$16,COUNTIF(AE74:AE99,LCOE!D$16)=LCOE!D$36+1),LCOE!D$35*LCOE!D$38,0)</f>
        <v>0</v>
      </c>
      <c r="D99" s="16">
        <f>IF(AE98&lt;LCOE!D$16,1,0)</f>
        <v>1</v>
      </c>
      <c r="E99" s="12">
        <f>LCOE!G125+IF(AND(A99&gt;=LCOE!D$26,A99&lt;=(LCOE!D$26+LCOE!D$27-1)),0,1)*IF(A99=LCOE!D$34,0,1)*D99</f>
        <v>1</v>
      </c>
      <c r="F99" s="12">
        <f>IF(F98&lt;LCOE!D$18,MIN(F98*(1+LCOE!D$19),LCOE!D$18),LCOE!D$18)+LCOE!J125</f>
        <v>0.9</v>
      </c>
      <c r="G99" s="16">
        <f>LCOE!K125+E99*F99*N99*(LCOE!D$14+LCOE!H125)*24*365*D99</f>
        <v>3942000</v>
      </c>
      <c r="H99" s="16">
        <f>LCOE!L125+F99*(LCOE!D$15+LCOE!I125)*E99*24*365*D99*N99</f>
        <v>0</v>
      </c>
      <c r="I99" s="16">
        <f>LCOE!M125+LCOE!D$20*IF(LCOE!D$14&gt;0,(LCOE!D$14+LCOE!H125),(LCOE!D$15+LCOE!I125))*K99*D99</f>
        <v>20000000</v>
      </c>
      <c r="J99" s="16">
        <f>LCOE!N125+LCOE!D$21*IF(LCOE!D$14&gt;0,G99,H99)*K99*D99</f>
        <v>0</v>
      </c>
      <c r="K99" s="15">
        <f>LCOE!O125+K98+K98*LCOE!D$22</f>
        <v>1</v>
      </c>
      <c r="L99" s="16">
        <f>LCOE!P125+LCOE!D$23*IF(LCOE!D$14&gt;0,G99,H99)*M99*D99</f>
        <v>168165720</v>
      </c>
      <c r="M99" s="15">
        <f>LCOE!Q125+M98+M98*LCOE!D$24</f>
        <v>1</v>
      </c>
      <c r="N99" s="15">
        <f>LCOE!R125+N98-N98*LCOE!D$25</f>
        <v>1</v>
      </c>
      <c r="O99" s="18">
        <f>LCOE!S125+LCOE!D$29</f>
        <v>313.75</v>
      </c>
      <c r="P99" s="12">
        <f>LCOE!T125+IF(A99&gt;=LCOE!D$30,100%,0%)</f>
        <v>1</v>
      </c>
      <c r="Q99" s="16">
        <f>LCOE!U125+O99/1000*IF(LCOE!D$14&gt;0,G99,H99)</f>
        <v>1236802.5</v>
      </c>
      <c r="R99" s="16">
        <f>LCOE!B125</f>
        <v>30</v>
      </c>
      <c r="S99" s="16">
        <f>LCOE!V125+Q99*P99*R99</f>
        <v>37104075</v>
      </c>
      <c r="T99" s="16">
        <f>LCOE!W125+LCOE!D$31</f>
        <v>0</v>
      </c>
      <c r="U99" s="16">
        <f>LCOE!X125+T99*IF(LCOE!D$14&gt;0,G99,H99)</f>
        <v>0</v>
      </c>
      <c r="V99" s="16">
        <f>LCOE!Y125+LCOE!D$32</f>
        <v>0</v>
      </c>
      <c r="W99" s="16">
        <f>LCOE!Z125+V99*IF(LCOE!D$14&gt;0,G99,H99)</f>
        <v>0</v>
      </c>
      <c r="X99" s="16">
        <f>LCOE!AA125+LCOE!D$34</f>
        <v>101</v>
      </c>
      <c r="Y99" s="16">
        <f t="shared" si="15"/>
        <v>0</v>
      </c>
      <c r="Z99" s="50">
        <f t="shared" si="18"/>
        <v>0</v>
      </c>
      <c r="AA99" s="50">
        <f t="shared" si="19"/>
        <v>20000000</v>
      </c>
      <c r="AB99" s="50">
        <f t="shared" si="20"/>
        <v>168165720</v>
      </c>
      <c r="AC99" s="50">
        <f t="shared" si="16"/>
        <v>0</v>
      </c>
      <c r="AD99" s="50">
        <f t="shared" si="11"/>
        <v>37104075</v>
      </c>
      <c r="AE99">
        <f t="shared" si="17"/>
        <v>29</v>
      </c>
      <c r="AF99" s="12">
        <f>LCOE!E125+LCOE!D$40</f>
        <v>0</v>
      </c>
      <c r="AG99">
        <f t="shared" si="12"/>
        <v>1</v>
      </c>
      <c r="AH99" s="16">
        <f t="shared" si="21"/>
        <v>0</v>
      </c>
      <c r="AI99" s="16">
        <f t="shared" si="22"/>
        <v>20000000</v>
      </c>
      <c r="AJ99" s="16">
        <f t="shared" si="23"/>
        <v>168165720</v>
      </c>
      <c r="AK99" s="16">
        <f t="shared" si="24"/>
        <v>0</v>
      </c>
      <c r="AL99" s="16">
        <f t="shared" si="13"/>
        <v>37104075</v>
      </c>
      <c r="AM99" s="16">
        <f t="shared" si="14"/>
        <v>0</v>
      </c>
      <c r="AN99" s="16">
        <f>IF(LCOE!D$14&gt;0,G99,H99)/AG99</f>
        <v>3942000</v>
      </c>
    </row>
    <row r="100" spans="1:40">
      <c r="A100">
        <v>30</v>
      </c>
      <c r="C100" s="16">
        <f>LCOE!D126+IF(AND(LCOE!D$26&gt;0,A100&gt;=LCOE!D$26,A100&lt;=(LCOE!D$26+LCOE!D$27-1)),LCOE!D$42/LCOE!D$27,0)+IF(AND(AE100&gt;=LCOE!D$16,COUNTIF(AE75:AE100,LCOE!D$16)=LCOE!D$36+1),LCOE!D$35*LCOE!D$38,0)</f>
        <v>0</v>
      </c>
      <c r="D100" s="16">
        <f>IF(AE99&lt;LCOE!D$16,1,0)</f>
        <v>1</v>
      </c>
      <c r="E100" s="12">
        <f>LCOE!G126+IF(AND(A100&gt;=LCOE!D$26,A100&lt;=(LCOE!D$26+LCOE!D$27-1)),0,1)*IF(A100=LCOE!D$34,0,1)*D100</f>
        <v>1</v>
      </c>
      <c r="F100" s="12">
        <f>IF(F99&lt;LCOE!D$18,MIN(F99*(1+LCOE!D$19),LCOE!D$18),LCOE!D$18)+LCOE!J126</f>
        <v>0.9</v>
      </c>
      <c r="G100" s="16">
        <f>LCOE!K126+E100*F100*N100*(LCOE!D$14+LCOE!H126)*24*365*D100</f>
        <v>3942000</v>
      </c>
      <c r="H100" s="16">
        <f>LCOE!L126+F100*(LCOE!D$15+LCOE!I126)*E100*24*365*D100*N100</f>
        <v>0</v>
      </c>
      <c r="I100" s="16">
        <f>LCOE!M126+LCOE!D$20*IF(LCOE!D$14&gt;0,(LCOE!D$14+LCOE!H126),(LCOE!D$15+LCOE!I126))*K100*D100</f>
        <v>20000000</v>
      </c>
      <c r="J100" s="16">
        <f>LCOE!N126+LCOE!D$21*IF(LCOE!D$14&gt;0,G100,H100)*K100*D100</f>
        <v>0</v>
      </c>
      <c r="K100" s="15">
        <f>LCOE!O126+K99+K99*LCOE!D$22</f>
        <v>1</v>
      </c>
      <c r="L100" s="16">
        <f>LCOE!P126+LCOE!D$23*IF(LCOE!D$14&gt;0,G100,H100)*M100*D100</f>
        <v>168165720</v>
      </c>
      <c r="M100" s="15">
        <f>LCOE!Q126+M99+M99*LCOE!D$24</f>
        <v>1</v>
      </c>
      <c r="N100" s="15">
        <f>LCOE!R126+N99-N99*LCOE!D$25</f>
        <v>1</v>
      </c>
      <c r="O100" s="18">
        <f>LCOE!S126+LCOE!D$29</f>
        <v>313.75</v>
      </c>
      <c r="P100" s="12">
        <f>LCOE!T126+IF(A100&gt;=LCOE!D$30,100%,0%)</f>
        <v>1</v>
      </c>
      <c r="Q100" s="16">
        <f>LCOE!U126+O100/1000*IF(LCOE!D$14&gt;0,G100,H100)</f>
        <v>1236802.5</v>
      </c>
      <c r="R100" s="16">
        <f>LCOE!B126</f>
        <v>30</v>
      </c>
      <c r="S100" s="16">
        <f>LCOE!V126+Q100*P100*R100</f>
        <v>37104075</v>
      </c>
      <c r="T100" s="16">
        <f>LCOE!W126+LCOE!D$31</f>
        <v>0</v>
      </c>
      <c r="U100" s="16">
        <f>LCOE!X126+T100*IF(LCOE!D$14&gt;0,G100,H100)</f>
        <v>0</v>
      </c>
      <c r="V100" s="16">
        <f>LCOE!Y126+LCOE!D$32</f>
        <v>0</v>
      </c>
      <c r="W100" s="16">
        <f>LCOE!Z126+V100*IF(LCOE!D$14&gt;0,G100,H100)</f>
        <v>0</v>
      </c>
      <c r="X100" s="16">
        <f>LCOE!AA126+LCOE!D$34</f>
        <v>101</v>
      </c>
      <c r="Y100" s="16">
        <f t="shared" si="15"/>
        <v>0</v>
      </c>
      <c r="Z100" s="50">
        <f t="shared" si="18"/>
        <v>0</v>
      </c>
      <c r="AA100" s="50">
        <f t="shared" si="19"/>
        <v>20000000</v>
      </c>
      <c r="AB100" s="50">
        <f t="shared" si="20"/>
        <v>168165720</v>
      </c>
      <c r="AC100" s="50">
        <f t="shared" si="16"/>
        <v>0</v>
      </c>
      <c r="AD100" s="50">
        <f t="shared" si="11"/>
        <v>37104075</v>
      </c>
      <c r="AE100">
        <f t="shared" si="17"/>
        <v>30</v>
      </c>
      <c r="AF100" s="12">
        <f>LCOE!E126+LCOE!D$40</f>
        <v>0</v>
      </c>
      <c r="AG100">
        <f t="shared" si="12"/>
        <v>1</v>
      </c>
      <c r="AH100" s="16">
        <f t="shared" si="21"/>
        <v>0</v>
      </c>
      <c r="AI100" s="16">
        <f t="shared" si="22"/>
        <v>20000000</v>
      </c>
      <c r="AJ100" s="16">
        <f t="shared" si="23"/>
        <v>168165720</v>
      </c>
      <c r="AK100" s="16">
        <f t="shared" si="24"/>
        <v>0</v>
      </c>
      <c r="AL100" s="16">
        <f t="shared" si="13"/>
        <v>37104075</v>
      </c>
      <c r="AM100" s="16">
        <f t="shared" si="14"/>
        <v>0</v>
      </c>
      <c r="AN100" s="16">
        <f>IF(LCOE!D$14&gt;0,G100,H100)/AG100</f>
        <v>3942000</v>
      </c>
    </row>
    <row r="101" spans="1:40">
      <c r="A101">
        <v>31</v>
      </c>
      <c r="C101" s="16">
        <f>LCOE!D127+IF(AND(LCOE!D$26&gt;0,A101&gt;=LCOE!D$26,A101&lt;=(LCOE!D$26+LCOE!D$27-1)),LCOE!D$42/LCOE!D$27,0)+IF(AND(AE101&gt;=LCOE!D$16,COUNTIF(AE76:AE101,LCOE!D$16)=LCOE!D$36+1),LCOE!D$35*LCOE!D$38,0)</f>
        <v>0</v>
      </c>
      <c r="D101" s="16">
        <f>IF(AE100&lt;LCOE!D$16,1,0)</f>
        <v>0</v>
      </c>
      <c r="E101" s="12">
        <f>LCOE!G127+IF(AND(A101&gt;=LCOE!D$26,A101&lt;=(LCOE!D$26+LCOE!D$27-1)),0,1)*IF(A101=LCOE!D$34,0,1)*D101</f>
        <v>0</v>
      </c>
      <c r="F101" s="12">
        <f>IF(F100&lt;LCOE!D$18,MIN(F100*(1+LCOE!D$19),LCOE!D$18),LCOE!D$18)+LCOE!J127</f>
        <v>0.9</v>
      </c>
      <c r="G101" s="16">
        <f>LCOE!K127+E101*F101*N101*(LCOE!D$14+LCOE!H127)*24*365*D101</f>
        <v>0</v>
      </c>
      <c r="H101" s="16">
        <f>LCOE!L127+F101*(LCOE!D$15+LCOE!I127)*E101*24*365*D101*N101</f>
        <v>0</v>
      </c>
      <c r="I101" s="16">
        <f>LCOE!M127+LCOE!D$20*IF(LCOE!D$14&gt;0,(LCOE!D$14+LCOE!H127),(LCOE!D$15+LCOE!I127))*K101*D101</f>
        <v>0</v>
      </c>
      <c r="J101" s="16">
        <f>LCOE!N127+LCOE!D$21*IF(LCOE!D$14&gt;0,G101,H101)*K101*D101</f>
        <v>0</v>
      </c>
      <c r="K101" s="15">
        <f>LCOE!O127+K100+K100*LCOE!D$22</f>
        <v>1</v>
      </c>
      <c r="L101" s="16">
        <f>LCOE!P127+LCOE!D$23*IF(LCOE!D$14&gt;0,G101,H101)*M101*D101</f>
        <v>0</v>
      </c>
      <c r="M101" s="15">
        <f>LCOE!Q127+M100+M100*LCOE!D$24</f>
        <v>1</v>
      </c>
      <c r="N101" s="15">
        <f>LCOE!R127+N100-N100*LCOE!D$25</f>
        <v>1</v>
      </c>
      <c r="O101" s="18">
        <f>LCOE!S127+LCOE!D$29</f>
        <v>313.75</v>
      </c>
      <c r="P101" s="12">
        <f>LCOE!T127+IF(A101&gt;=LCOE!D$30,100%,0%)</f>
        <v>1</v>
      </c>
      <c r="Q101" s="16">
        <f>LCOE!U127+O101/1000*IF(LCOE!D$14&gt;0,G101,H101)</f>
        <v>0</v>
      </c>
      <c r="R101" s="16">
        <f>LCOE!B127</f>
        <v>30</v>
      </c>
      <c r="S101" s="16">
        <f>LCOE!V127+Q101*P101*R101</f>
        <v>0</v>
      </c>
      <c r="T101" s="16">
        <f>LCOE!W127+LCOE!D$31</f>
        <v>0</v>
      </c>
      <c r="U101" s="16">
        <f>LCOE!X127+T101*IF(LCOE!D$14&gt;0,G101,H101)</f>
        <v>0</v>
      </c>
      <c r="V101" s="16">
        <f>LCOE!Y127+LCOE!D$32</f>
        <v>0</v>
      </c>
      <c r="W101" s="16">
        <f>LCOE!Z127+V101*IF(LCOE!D$14&gt;0,G101,H101)</f>
        <v>0</v>
      </c>
      <c r="X101" s="16">
        <f>LCOE!AA127+LCOE!D$34</f>
        <v>101</v>
      </c>
      <c r="Y101" s="16">
        <f t="shared" si="15"/>
        <v>0</v>
      </c>
      <c r="Z101" s="50">
        <f t="shared" si="18"/>
        <v>0</v>
      </c>
      <c r="AA101" s="50">
        <f t="shared" si="19"/>
        <v>0</v>
      </c>
      <c r="AB101" s="50">
        <f t="shared" si="20"/>
        <v>0</v>
      </c>
      <c r="AC101" s="50">
        <f t="shared" si="16"/>
        <v>0</v>
      </c>
      <c r="AD101" s="50">
        <f t="shared" si="11"/>
        <v>0</v>
      </c>
      <c r="AE101">
        <f t="shared" si="17"/>
        <v>30</v>
      </c>
      <c r="AF101" s="12">
        <f>LCOE!E127+LCOE!D$40</f>
        <v>0</v>
      </c>
      <c r="AG101">
        <f t="shared" si="12"/>
        <v>1</v>
      </c>
      <c r="AH101" s="16">
        <f t="shared" si="21"/>
        <v>0</v>
      </c>
      <c r="AI101" s="16">
        <f t="shared" si="22"/>
        <v>0</v>
      </c>
      <c r="AJ101" s="16">
        <f t="shared" si="23"/>
        <v>0</v>
      </c>
      <c r="AK101" s="16">
        <f t="shared" si="24"/>
        <v>0</v>
      </c>
      <c r="AL101" s="16">
        <f t="shared" si="13"/>
        <v>0</v>
      </c>
      <c r="AM101" s="16">
        <f t="shared" si="14"/>
        <v>0</v>
      </c>
      <c r="AN101" s="16">
        <f>IF(LCOE!D$14&gt;0,G101,H101)/AG101</f>
        <v>0</v>
      </c>
    </row>
    <row r="102" spans="1:40">
      <c r="A102">
        <v>32</v>
      </c>
      <c r="C102" s="16">
        <f>LCOE!D128+IF(AND(LCOE!D$26&gt;0,A102&gt;=LCOE!D$26,A102&lt;=(LCOE!D$26+LCOE!D$27-1)),LCOE!D$42/LCOE!D$27,0)+IF(AND(AE102&gt;=LCOE!D$16,COUNTIF(AE77:AE102,LCOE!D$16)=LCOE!D$36+1),LCOE!D$35*LCOE!D$38,0)</f>
        <v>0</v>
      </c>
      <c r="D102" s="16">
        <f>IF(AE101&lt;LCOE!D$16,1,0)</f>
        <v>0</v>
      </c>
      <c r="E102" s="12">
        <f>LCOE!G128+IF(AND(A102&gt;=LCOE!D$26,A102&lt;=(LCOE!D$26+LCOE!D$27-1)),0,1)*IF(A102=LCOE!D$34,0,1)*D102</f>
        <v>0</v>
      </c>
      <c r="F102" s="12">
        <f>IF(F101&lt;LCOE!D$18,MIN(F101*(1+LCOE!D$19),LCOE!D$18),LCOE!D$18)+LCOE!J128</f>
        <v>0.9</v>
      </c>
      <c r="G102" s="16">
        <f>LCOE!K128+E102*F102*N102*(LCOE!D$14+LCOE!H128)*24*365*D102</f>
        <v>0</v>
      </c>
      <c r="H102" s="16">
        <f>LCOE!L128+F102*(LCOE!D$15+LCOE!I128)*E102*24*365*D102*N102</f>
        <v>0</v>
      </c>
      <c r="I102" s="16">
        <f>LCOE!M128+LCOE!D$20*IF(LCOE!D$14&gt;0,(LCOE!D$14+LCOE!H128),(LCOE!D$15+LCOE!I128))*K102*D102</f>
        <v>0</v>
      </c>
      <c r="J102" s="16">
        <f>LCOE!N128+LCOE!D$21*IF(LCOE!D$14&gt;0,G102,H102)*K102*D102</f>
        <v>0</v>
      </c>
      <c r="K102" s="15">
        <f>LCOE!O128+K101+K101*LCOE!D$22</f>
        <v>1</v>
      </c>
      <c r="L102" s="16">
        <f>LCOE!P128+LCOE!D$23*IF(LCOE!D$14&gt;0,G102,H102)*M102*D102</f>
        <v>0</v>
      </c>
      <c r="M102" s="15">
        <f>LCOE!Q128+M101+M101*LCOE!D$24</f>
        <v>1</v>
      </c>
      <c r="N102" s="15">
        <f>LCOE!R128+N101-N101*LCOE!D$25</f>
        <v>1</v>
      </c>
      <c r="O102" s="18">
        <f>LCOE!S128+LCOE!D$29</f>
        <v>313.75</v>
      </c>
      <c r="P102" s="12">
        <f>LCOE!T128+IF(A102&gt;=LCOE!D$30,100%,0%)</f>
        <v>1</v>
      </c>
      <c r="Q102" s="16">
        <f>LCOE!U128+O102/1000*IF(LCOE!D$14&gt;0,G102,H102)</f>
        <v>0</v>
      </c>
      <c r="R102" s="16">
        <f>LCOE!B128</f>
        <v>30</v>
      </c>
      <c r="S102" s="16">
        <f>LCOE!V128+Q102*P102*R102</f>
        <v>0</v>
      </c>
      <c r="T102" s="16">
        <f>LCOE!W128+LCOE!D$31</f>
        <v>0</v>
      </c>
      <c r="U102" s="16">
        <f>LCOE!X128+T102*IF(LCOE!D$14&gt;0,G102,H102)</f>
        <v>0</v>
      </c>
      <c r="V102" s="16">
        <f>LCOE!Y128+LCOE!D$32</f>
        <v>0</v>
      </c>
      <c r="W102" s="16">
        <f>LCOE!Z128+V102*IF(LCOE!D$14&gt;0,G102,H102)</f>
        <v>0</v>
      </c>
      <c r="X102" s="16">
        <f>LCOE!AA128+LCOE!D$34</f>
        <v>101</v>
      </c>
      <c r="Y102" s="16">
        <f t="shared" si="15"/>
        <v>0</v>
      </c>
      <c r="Z102" s="50">
        <f t="shared" si="18"/>
        <v>0</v>
      </c>
      <c r="AA102" s="50">
        <f t="shared" si="19"/>
        <v>0</v>
      </c>
      <c r="AB102" s="50">
        <f t="shared" si="20"/>
        <v>0</v>
      </c>
      <c r="AC102" s="50">
        <f t="shared" si="16"/>
        <v>0</v>
      </c>
      <c r="AD102" s="50">
        <f t="shared" si="11"/>
        <v>0</v>
      </c>
      <c r="AE102">
        <f t="shared" si="17"/>
        <v>30</v>
      </c>
      <c r="AF102" s="12">
        <f>LCOE!E128+LCOE!D$40</f>
        <v>0</v>
      </c>
      <c r="AG102">
        <f t="shared" si="12"/>
        <v>1</v>
      </c>
      <c r="AH102" s="16">
        <f t="shared" si="21"/>
        <v>0</v>
      </c>
      <c r="AI102" s="16">
        <f t="shared" si="22"/>
        <v>0</v>
      </c>
      <c r="AJ102" s="16">
        <f t="shared" si="23"/>
        <v>0</v>
      </c>
      <c r="AK102" s="16">
        <f t="shared" si="24"/>
        <v>0</v>
      </c>
      <c r="AL102" s="16">
        <f t="shared" si="13"/>
        <v>0</v>
      </c>
      <c r="AM102" s="16">
        <f t="shared" si="14"/>
        <v>0</v>
      </c>
      <c r="AN102" s="16">
        <f>IF(LCOE!D$14&gt;0,G102,H102)/AG102</f>
        <v>0</v>
      </c>
    </row>
    <row r="103" spans="1:40">
      <c r="A103">
        <v>33</v>
      </c>
      <c r="C103" s="16">
        <f>LCOE!D129+IF(AND(LCOE!D$26&gt;0,A103&gt;=LCOE!D$26,A103&lt;=(LCOE!D$26+LCOE!D$27-1)),LCOE!D$42/LCOE!D$27,0)+IF(AND(AE103&gt;=LCOE!D$16,COUNTIF(AE78:AE103,LCOE!D$16)=LCOE!D$36+1),LCOE!D$35*LCOE!D$38,0)</f>
        <v>0</v>
      </c>
      <c r="D103" s="16">
        <f>IF(AE102&lt;LCOE!D$16,1,0)</f>
        <v>0</v>
      </c>
      <c r="E103" s="12">
        <f>LCOE!G129+IF(AND(A103&gt;=LCOE!D$26,A103&lt;=(LCOE!D$26+LCOE!D$27-1)),0,1)*IF(A103=LCOE!D$34,0,1)*D103</f>
        <v>0</v>
      </c>
      <c r="F103" s="12">
        <f>IF(F102&lt;LCOE!D$18,MIN(F102*(1+LCOE!D$19),LCOE!D$18),LCOE!D$18)+LCOE!J129</f>
        <v>0.9</v>
      </c>
      <c r="G103" s="16">
        <f>LCOE!K129+E103*F103*N103*(LCOE!D$14+LCOE!H129)*24*365*D103</f>
        <v>0</v>
      </c>
      <c r="H103" s="16">
        <f>LCOE!L129+F103*(LCOE!D$15+LCOE!I129)*E103*24*365*D103*N103</f>
        <v>0</v>
      </c>
      <c r="I103" s="16">
        <f>LCOE!M129+LCOE!D$20*IF(LCOE!D$14&gt;0,(LCOE!D$14+LCOE!H129),(LCOE!D$15+LCOE!I129))*K103*D103</f>
        <v>0</v>
      </c>
      <c r="J103" s="16">
        <f>LCOE!N129+LCOE!D$21*IF(LCOE!D$14&gt;0,G103,H103)*K103*D103</f>
        <v>0</v>
      </c>
      <c r="K103" s="15">
        <f>LCOE!O129+K102+K102*LCOE!D$22</f>
        <v>1</v>
      </c>
      <c r="L103" s="16">
        <f>LCOE!P129+LCOE!D$23*IF(LCOE!D$14&gt;0,G103,H103)*M103*D103</f>
        <v>0</v>
      </c>
      <c r="M103" s="15">
        <f>LCOE!Q129+M102+M102*LCOE!D$24</f>
        <v>1</v>
      </c>
      <c r="N103" s="15">
        <f>LCOE!R129+N102-N102*LCOE!D$25</f>
        <v>1</v>
      </c>
      <c r="O103" s="18">
        <f>LCOE!S129+LCOE!D$29</f>
        <v>313.75</v>
      </c>
      <c r="P103" s="12">
        <f>LCOE!T129+IF(A103&gt;=LCOE!D$30,100%,0%)</f>
        <v>1</v>
      </c>
      <c r="Q103" s="16">
        <f>LCOE!U129+O103/1000*IF(LCOE!D$14&gt;0,G103,H103)</f>
        <v>0</v>
      </c>
      <c r="R103" s="16">
        <f>LCOE!B129</f>
        <v>30</v>
      </c>
      <c r="S103" s="16">
        <f>LCOE!V129+Q103*P103*R103</f>
        <v>0</v>
      </c>
      <c r="T103" s="16">
        <f>LCOE!W129+LCOE!D$31</f>
        <v>0</v>
      </c>
      <c r="U103" s="16">
        <f>LCOE!X129+T103*IF(LCOE!D$14&gt;0,G103,H103)</f>
        <v>0</v>
      </c>
      <c r="V103" s="16">
        <f>LCOE!Y129+LCOE!D$32</f>
        <v>0</v>
      </c>
      <c r="W103" s="16">
        <f>LCOE!Z129+V103*IF(LCOE!D$14&gt;0,G103,H103)</f>
        <v>0</v>
      </c>
      <c r="X103" s="16">
        <f>LCOE!AA129+LCOE!D$34</f>
        <v>101</v>
      </c>
      <c r="Y103" s="16">
        <f t="shared" si="15"/>
        <v>0</v>
      </c>
      <c r="Z103" s="50">
        <f t="shared" si="18"/>
        <v>0</v>
      </c>
      <c r="AA103" s="50">
        <f t="shared" si="19"/>
        <v>0</v>
      </c>
      <c r="AB103" s="50">
        <f t="shared" si="20"/>
        <v>0</v>
      </c>
      <c r="AC103" s="50">
        <f t="shared" si="16"/>
        <v>0</v>
      </c>
      <c r="AD103" s="50">
        <f t="shared" si="11"/>
        <v>0</v>
      </c>
      <c r="AE103">
        <f t="shared" ref="AE103:AE134" si="25">AE102+1*E103</f>
        <v>30</v>
      </c>
      <c r="AF103" s="12">
        <f>LCOE!E129+LCOE!D$40</f>
        <v>0</v>
      </c>
      <c r="AG103">
        <f t="shared" si="12"/>
        <v>1</v>
      </c>
      <c r="AH103" s="16">
        <f t="shared" si="21"/>
        <v>0</v>
      </c>
      <c r="AI103" s="16">
        <f t="shared" si="22"/>
        <v>0</v>
      </c>
      <c r="AJ103" s="16">
        <f t="shared" si="23"/>
        <v>0</v>
      </c>
      <c r="AK103" s="16">
        <f t="shared" si="24"/>
        <v>0</v>
      </c>
      <c r="AL103" s="16">
        <f t="shared" si="13"/>
        <v>0</v>
      </c>
      <c r="AM103" s="16">
        <f t="shared" si="14"/>
        <v>0</v>
      </c>
      <c r="AN103" s="16">
        <f>IF(LCOE!D$14&gt;0,G103,H103)/AG103</f>
        <v>0</v>
      </c>
    </row>
    <row r="104" spans="1:40">
      <c r="A104">
        <v>34</v>
      </c>
      <c r="C104" s="16">
        <f>LCOE!D130+IF(AND(LCOE!D$26&gt;0,A104&gt;=LCOE!D$26,A104&lt;=(LCOE!D$26+LCOE!D$27-1)),LCOE!D$42/LCOE!D$27,0)+IF(AND(AE104&gt;=LCOE!D$16,COUNTIF(AE79:AE104,LCOE!D$16)=LCOE!D$36+1),LCOE!D$35*LCOE!D$38,0)</f>
        <v>0</v>
      </c>
      <c r="D104" s="16">
        <f>IF(AE103&lt;LCOE!D$16,1,0)</f>
        <v>0</v>
      </c>
      <c r="E104" s="12">
        <f>LCOE!G130+IF(AND(A104&gt;=LCOE!D$26,A104&lt;=(LCOE!D$26+LCOE!D$27-1)),0,1)*IF(A104=LCOE!D$34,0,1)*D104</f>
        <v>0</v>
      </c>
      <c r="F104" s="12">
        <f>IF(F103&lt;LCOE!D$18,MIN(F103*(1+LCOE!D$19),LCOE!D$18),LCOE!D$18)+LCOE!J130</f>
        <v>0.9</v>
      </c>
      <c r="G104" s="16">
        <f>LCOE!K130+E104*F104*N104*(LCOE!D$14+LCOE!H130)*24*365*D104</f>
        <v>0</v>
      </c>
      <c r="H104" s="16">
        <f>LCOE!L130+F104*(LCOE!D$15+LCOE!I130)*E104*24*365*D104*N104</f>
        <v>0</v>
      </c>
      <c r="I104" s="16">
        <f>LCOE!M130+LCOE!D$20*IF(LCOE!D$14&gt;0,(LCOE!D$14+LCOE!H130),(LCOE!D$15+LCOE!I130))*K104*D104</f>
        <v>0</v>
      </c>
      <c r="J104" s="16">
        <f>LCOE!N130+LCOE!D$21*IF(LCOE!D$14&gt;0,G104,H104)*K104*D104</f>
        <v>0</v>
      </c>
      <c r="K104" s="15">
        <f>LCOE!O130+K103+K103*LCOE!D$22</f>
        <v>1</v>
      </c>
      <c r="L104" s="16">
        <f>LCOE!P130+LCOE!D$23*IF(LCOE!D$14&gt;0,G104,H104)*M104*D104</f>
        <v>0</v>
      </c>
      <c r="M104" s="15">
        <f>LCOE!Q130+M103+M103*LCOE!D$24</f>
        <v>1</v>
      </c>
      <c r="N104" s="15">
        <f>LCOE!R130+N103-N103*LCOE!D$25</f>
        <v>1</v>
      </c>
      <c r="O104" s="18">
        <f>LCOE!S130+LCOE!D$29</f>
        <v>313.75</v>
      </c>
      <c r="P104" s="12">
        <f>LCOE!T130+IF(A104&gt;=LCOE!D$30,100%,0%)</f>
        <v>1</v>
      </c>
      <c r="Q104" s="16">
        <f>LCOE!U130+O104/1000*IF(LCOE!D$14&gt;0,G104,H104)</f>
        <v>0</v>
      </c>
      <c r="R104" s="16">
        <f>LCOE!B130</f>
        <v>30</v>
      </c>
      <c r="S104" s="16">
        <f>LCOE!V130+Q104*P104*R104</f>
        <v>0</v>
      </c>
      <c r="T104" s="16">
        <f>LCOE!W130+LCOE!D$31</f>
        <v>0</v>
      </c>
      <c r="U104" s="16">
        <f>LCOE!X130+T104*IF(LCOE!D$14&gt;0,G104,H104)</f>
        <v>0</v>
      </c>
      <c r="V104" s="16">
        <f>LCOE!Y130+LCOE!D$32</f>
        <v>0</v>
      </c>
      <c r="W104" s="16">
        <f>LCOE!Z130+V104*IF(LCOE!D$14&gt;0,G104,H104)</f>
        <v>0</v>
      </c>
      <c r="X104" s="16">
        <f>LCOE!AA130+LCOE!D$34</f>
        <v>101</v>
      </c>
      <c r="Y104" s="16">
        <f t="shared" si="15"/>
        <v>0</v>
      </c>
      <c r="Z104" s="50">
        <f t="shared" si="18"/>
        <v>0</v>
      </c>
      <c r="AA104" s="50">
        <f t="shared" si="19"/>
        <v>0</v>
      </c>
      <c r="AB104" s="50">
        <f t="shared" si="20"/>
        <v>0</v>
      </c>
      <c r="AC104" s="50">
        <f t="shared" si="16"/>
        <v>0</v>
      </c>
      <c r="AD104" s="50">
        <f t="shared" si="11"/>
        <v>0</v>
      </c>
      <c r="AE104">
        <f t="shared" si="25"/>
        <v>30</v>
      </c>
      <c r="AF104" s="12">
        <f>LCOE!E130+LCOE!D$40</f>
        <v>0</v>
      </c>
      <c r="AG104">
        <f t="shared" si="12"/>
        <v>1</v>
      </c>
      <c r="AH104" s="16">
        <f t="shared" si="21"/>
        <v>0</v>
      </c>
      <c r="AI104" s="16">
        <f t="shared" si="22"/>
        <v>0</v>
      </c>
      <c r="AJ104" s="16">
        <f t="shared" si="23"/>
        <v>0</v>
      </c>
      <c r="AK104" s="16">
        <f t="shared" si="24"/>
        <v>0</v>
      </c>
      <c r="AL104" s="16">
        <f t="shared" si="13"/>
        <v>0</v>
      </c>
      <c r="AM104" s="16">
        <f t="shared" si="14"/>
        <v>0</v>
      </c>
      <c r="AN104" s="16">
        <f>IF(LCOE!D$14&gt;0,G104,H104)/AG104</f>
        <v>0</v>
      </c>
    </row>
    <row r="105" spans="1:40">
      <c r="A105">
        <v>35</v>
      </c>
      <c r="C105" s="16">
        <f>LCOE!D131+IF(AND(LCOE!D$26&gt;0,A105&gt;=LCOE!D$26,A105&lt;=(LCOE!D$26+LCOE!D$27-1)),LCOE!D$42/LCOE!D$27,0)+IF(AND(AE105&gt;=LCOE!D$16,COUNTIF(AE80:AE105,LCOE!D$16)=LCOE!D$36+1),LCOE!D$35*LCOE!D$38,0)</f>
        <v>0</v>
      </c>
      <c r="D105" s="16">
        <f>IF(AE104&lt;LCOE!D$16,1,0)</f>
        <v>0</v>
      </c>
      <c r="E105" s="12">
        <f>LCOE!G131+IF(AND(A105&gt;=LCOE!D$26,A105&lt;=(LCOE!D$26+LCOE!D$27-1)),0,1)*IF(A105=LCOE!D$34,0,1)*D105</f>
        <v>0</v>
      </c>
      <c r="F105" s="12">
        <f>IF(F104&lt;LCOE!D$18,MIN(F104*(1+LCOE!D$19),LCOE!D$18),LCOE!D$18)+LCOE!J131</f>
        <v>0.9</v>
      </c>
      <c r="G105" s="16">
        <f>LCOE!K131+E105*F105*N105*(LCOE!D$14+LCOE!H131)*24*365*D105</f>
        <v>0</v>
      </c>
      <c r="H105" s="16">
        <f>LCOE!L131+F105*(LCOE!D$15+LCOE!I131)*E105*24*365*D105*N105</f>
        <v>0</v>
      </c>
      <c r="I105" s="16">
        <f>LCOE!M131+LCOE!D$20*IF(LCOE!D$14&gt;0,(LCOE!D$14+LCOE!H131),(LCOE!D$15+LCOE!I131))*K105*D105</f>
        <v>0</v>
      </c>
      <c r="J105" s="16">
        <f>LCOE!N131+LCOE!D$21*IF(LCOE!D$14&gt;0,G105,H105)*K105*D105</f>
        <v>0</v>
      </c>
      <c r="K105" s="15">
        <f>LCOE!O131+K104+K104*LCOE!D$22</f>
        <v>1</v>
      </c>
      <c r="L105" s="16">
        <f>LCOE!P131+LCOE!D$23*IF(LCOE!D$14&gt;0,G105,H105)*M105*D105</f>
        <v>0</v>
      </c>
      <c r="M105" s="15">
        <f>LCOE!Q131+M104+M104*LCOE!D$24</f>
        <v>1</v>
      </c>
      <c r="N105" s="15">
        <f>LCOE!R131+N104-N104*LCOE!D$25</f>
        <v>1</v>
      </c>
      <c r="O105" s="18">
        <f>LCOE!S131+LCOE!D$29</f>
        <v>313.75</v>
      </c>
      <c r="P105" s="12">
        <f>LCOE!T131+IF(A105&gt;=LCOE!D$30,100%,0%)</f>
        <v>1</v>
      </c>
      <c r="Q105" s="16">
        <f>LCOE!U131+O105/1000*IF(LCOE!D$14&gt;0,G105,H105)</f>
        <v>0</v>
      </c>
      <c r="R105" s="16">
        <f>LCOE!B131</f>
        <v>30</v>
      </c>
      <c r="S105" s="16">
        <f>LCOE!V131+Q105*P105*R105</f>
        <v>0</v>
      </c>
      <c r="T105" s="16">
        <f>LCOE!W131+LCOE!D$31</f>
        <v>0</v>
      </c>
      <c r="U105" s="16">
        <f>LCOE!X131+T105*IF(LCOE!D$14&gt;0,G105,H105)</f>
        <v>0</v>
      </c>
      <c r="V105" s="16">
        <f>LCOE!Y131+LCOE!D$32</f>
        <v>0</v>
      </c>
      <c r="W105" s="16">
        <f>LCOE!Z131+V105*IF(LCOE!D$14&gt;0,G105,H105)</f>
        <v>0</v>
      </c>
      <c r="X105" s="16">
        <f>LCOE!AA131+LCOE!D$34</f>
        <v>101</v>
      </c>
      <c r="Y105" s="16">
        <f t="shared" si="15"/>
        <v>0</v>
      </c>
      <c r="Z105" s="50">
        <f t="shared" si="18"/>
        <v>0</v>
      </c>
      <c r="AA105" s="50">
        <f t="shared" si="19"/>
        <v>0</v>
      </c>
      <c r="AB105" s="50">
        <f t="shared" si="20"/>
        <v>0</v>
      </c>
      <c r="AC105" s="50">
        <f t="shared" si="16"/>
        <v>0</v>
      </c>
      <c r="AD105" s="50">
        <f t="shared" si="11"/>
        <v>0</v>
      </c>
      <c r="AE105">
        <f t="shared" si="25"/>
        <v>30</v>
      </c>
      <c r="AF105" s="12">
        <f>LCOE!E131+LCOE!D$40</f>
        <v>0</v>
      </c>
      <c r="AG105">
        <f t="shared" si="12"/>
        <v>1</v>
      </c>
      <c r="AH105" s="16">
        <f t="shared" si="21"/>
        <v>0</v>
      </c>
      <c r="AI105" s="16">
        <f t="shared" si="22"/>
        <v>0</v>
      </c>
      <c r="AJ105" s="16">
        <f t="shared" si="23"/>
        <v>0</v>
      </c>
      <c r="AK105" s="16">
        <f t="shared" si="24"/>
        <v>0</v>
      </c>
      <c r="AL105" s="16">
        <f t="shared" si="13"/>
        <v>0</v>
      </c>
      <c r="AM105" s="16">
        <f t="shared" si="14"/>
        <v>0</v>
      </c>
      <c r="AN105" s="16">
        <f>IF(LCOE!D$14&gt;0,G105,H105)/AG105</f>
        <v>0</v>
      </c>
    </row>
    <row r="106" spans="1:40">
      <c r="A106">
        <v>36</v>
      </c>
      <c r="C106" s="16">
        <f>LCOE!D132+IF(AND(LCOE!D$26&gt;0,A106&gt;=LCOE!D$26,A106&lt;=(LCOE!D$26+LCOE!D$27-1)),LCOE!D$42/LCOE!D$27,0)+IF(AND(AE106&gt;=LCOE!D$16,COUNTIF(AE81:AE106,LCOE!D$16)=LCOE!D$36+1),LCOE!D$35*LCOE!D$38,0)</f>
        <v>0</v>
      </c>
      <c r="D106" s="16">
        <f>IF(AE105&lt;LCOE!D$16,1,0)</f>
        <v>0</v>
      </c>
      <c r="E106" s="12">
        <f>LCOE!G132+IF(AND(A106&gt;=LCOE!D$26,A106&lt;=(LCOE!D$26+LCOE!D$27-1)),0,1)*IF(A106=LCOE!D$34,0,1)*D106</f>
        <v>0</v>
      </c>
      <c r="F106" s="12">
        <f>IF(F105&lt;LCOE!D$18,MIN(F105*(1+LCOE!D$19),LCOE!D$18),LCOE!D$18)+LCOE!J132</f>
        <v>0.9</v>
      </c>
      <c r="G106" s="16">
        <f>LCOE!K132+E106*F106*N106*(LCOE!D$14+LCOE!H132)*24*365*D106</f>
        <v>0</v>
      </c>
      <c r="H106" s="16">
        <f>LCOE!L132+F106*(LCOE!D$15+LCOE!I132)*E106*24*365*D106*N106</f>
        <v>0</v>
      </c>
      <c r="I106" s="16">
        <f>LCOE!M132+LCOE!D$20*IF(LCOE!D$14&gt;0,(LCOE!D$14+LCOE!H132),(LCOE!D$15+LCOE!I132))*K106*D106</f>
        <v>0</v>
      </c>
      <c r="J106" s="16">
        <f>LCOE!N132+LCOE!D$21*IF(LCOE!D$14&gt;0,G106,H106)*K106*D106</f>
        <v>0</v>
      </c>
      <c r="K106" s="15">
        <f>LCOE!O132+K105+K105*LCOE!D$22</f>
        <v>1</v>
      </c>
      <c r="L106" s="16">
        <f>LCOE!P132+LCOE!D$23*IF(LCOE!D$14&gt;0,G106,H106)*M106*D106</f>
        <v>0</v>
      </c>
      <c r="M106" s="15">
        <f>LCOE!Q132+M105+M105*LCOE!D$24</f>
        <v>1</v>
      </c>
      <c r="N106" s="15">
        <f>LCOE!R132+N105-N105*LCOE!D$25</f>
        <v>1</v>
      </c>
      <c r="O106" s="18">
        <f>LCOE!S132+LCOE!D$29</f>
        <v>313.75</v>
      </c>
      <c r="P106" s="12">
        <f>LCOE!T132+IF(A106&gt;=LCOE!D$30,100%,0%)</f>
        <v>1</v>
      </c>
      <c r="Q106" s="16">
        <f>LCOE!U132+O106/1000*IF(LCOE!D$14&gt;0,G106,H106)</f>
        <v>0</v>
      </c>
      <c r="R106" s="16">
        <f>LCOE!B132</f>
        <v>30</v>
      </c>
      <c r="S106" s="16">
        <f>LCOE!V132+Q106*P106*R106</f>
        <v>0</v>
      </c>
      <c r="T106" s="16">
        <f>LCOE!W132+LCOE!D$31</f>
        <v>0</v>
      </c>
      <c r="U106" s="16">
        <f>LCOE!X132+T106*IF(LCOE!D$14&gt;0,G106,H106)</f>
        <v>0</v>
      </c>
      <c r="V106" s="16">
        <f>LCOE!Y132+LCOE!D$32</f>
        <v>0</v>
      </c>
      <c r="W106" s="16">
        <f>LCOE!Z132+V106*IF(LCOE!D$14&gt;0,G106,H106)</f>
        <v>0</v>
      </c>
      <c r="X106" s="16">
        <f>LCOE!AA132+LCOE!D$34</f>
        <v>101</v>
      </c>
      <c r="Y106" s="16">
        <f t="shared" si="15"/>
        <v>0</v>
      </c>
      <c r="Z106" s="50">
        <f t="shared" si="18"/>
        <v>0</v>
      </c>
      <c r="AA106" s="50">
        <f t="shared" si="19"/>
        <v>0</v>
      </c>
      <c r="AB106" s="50">
        <f t="shared" si="20"/>
        <v>0</v>
      </c>
      <c r="AC106" s="50">
        <f t="shared" si="16"/>
        <v>0</v>
      </c>
      <c r="AD106" s="50">
        <f t="shared" si="11"/>
        <v>0</v>
      </c>
      <c r="AE106">
        <f t="shared" si="25"/>
        <v>30</v>
      </c>
      <c r="AF106" s="12">
        <f>LCOE!E132+LCOE!D$40</f>
        <v>0</v>
      </c>
      <c r="AG106">
        <f t="shared" si="12"/>
        <v>1</v>
      </c>
      <c r="AH106" s="16">
        <f t="shared" si="21"/>
        <v>0</v>
      </c>
      <c r="AI106" s="16">
        <f t="shared" si="22"/>
        <v>0</v>
      </c>
      <c r="AJ106" s="16">
        <f t="shared" si="23"/>
        <v>0</v>
      </c>
      <c r="AK106" s="16">
        <f t="shared" si="24"/>
        <v>0</v>
      </c>
      <c r="AL106" s="16">
        <f t="shared" si="13"/>
        <v>0</v>
      </c>
      <c r="AM106" s="16">
        <f t="shared" si="14"/>
        <v>0</v>
      </c>
      <c r="AN106" s="16">
        <f>IF(LCOE!D$14&gt;0,G106,H106)/AG106</f>
        <v>0</v>
      </c>
    </row>
    <row r="107" spans="1:40">
      <c r="A107">
        <v>37</v>
      </c>
      <c r="C107" s="16">
        <f>LCOE!D133+IF(AND(LCOE!D$26&gt;0,A107&gt;=LCOE!D$26,A107&lt;=(LCOE!D$26+LCOE!D$27-1)),LCOE!D$42/LCOE!D$27,0)+IF(AND(AE107&gt;=LCOE!D$16,COUNTIF(AE82:AE107,LCOE!D$16)=LCOE!D$36+1),LCOE!D$35*LCOE!D$38,0)</f>
        <v>0</v>
      </c>
      <c r="D107" s="16">
        <f>IF(AE106&lt;LCOE!D$16,1,0)</f>
        <v>0</v>
      </c>
      <c r="E107" s="12">
        <f>LCOE!G133+IF(AND(A107&gt;=LCOE!D$26,A107&lt;=(LCOE!D$26+LCOE!D$27-1)),0,1)*IF(A107=LCOE!D$34,0,1)*D107</f>
        <v>0</v>
      </c>
      <c r="F107" s="12">
        <f>IF(F106&lt;LCOE!D$18,MIN(F106*(1+LCOE!D$19),LCOE!D$18),LCOE!D$18)+LCOE!J133</f>
        <v>0.9</v>
      </c>
      <c r="G107" s="16">
        <f>LCOE!K133+E107*F107*N107*(LCOE!D$14+LCOE!H133)*24*365*D107</f>
        <v>0</v>
      </c>
      <c r="H107" s="16">
        <f>LCOE!L133+F107*(LCOE!D$15+LCOE!I133)*E107*24*365*D107*N107</f>
        <v>0</v>
      </c>
      <c r="I107" s="16">
        <f>LCOE!M133+LCOE!D$20*IF(LCOE!D$14&gt;0,(LCOE!D$14+LCOE!H133),(LCOE!D$15+LCOE!I133))*K107*D107</f>
        <v>0</v>
      </c>
      <c r="J107" s="16">
        <f>LCOE!N133+LCOE!D$21*IF(LCOE!D$14&gt;0,G107,H107)*K107*D107</f>
        <v>0</v>
      </c>
      <c r="K107" s="15">
        <f>LCOE!O133+K106+K106*LCOE!D$22</f>
        <v>1</v>
      </c>
      <c r="L107" s="16">
        <f>LCOE!P133+LCOE!D$23*IF(LCOE!D$14&gt;0,G107,H107)*M107*D107</f>
        <v>0</v>
      </c>
      <c r="M107" s="15">
        <f>LCOE!Q133+M106+M106*LCOE!D$24</f>
        <v>1</v>
      </c>
      <c r="N107" s="15">
        <f>LCOE!R133+N106-N106*LCOE!D$25</f>
        <v>1</v>
      </c>
      <c r="O107" s="18">
        <f>LCOE!S133+LCOE!D$29</f>
        <v>313.75</v>
      </c>
      <c r="P107" s="12">
        <f>LCOE!T133+IF(A107&gt;=LCOE!D$30,100%,0%)</f>
        <v>1</v>
      </c>
      <c r="Q107" s="16">
        <f>LCOE!U133+O107/1000*IF(LCOE!D$14&gt;0,G107,H107)</f>
        <v>0</v>
      </c>
      <c r="R107" s="16">
        <f>LCOE!B133</f>
        <v>30</v>
      </c>
      <c r="S107" s="16">
        <f>LCOE!V133+Q107*P107*R107</f>
        <v>0</v>
      </c>
      <c r="T107" s="16">
        <f>LCOE!W133+LCOE!D$31</f>
        <v>0</v>
      </c>
      <c r="U107" s="16">
        <f>LCOE!X133+T107*IF(LCOE!D$14&gt;0,G107,H107)</f>
        <v>0</v>
      </c>
      <c r="V107" s="16">
        <f>LCOE!Y133+LCOE!D$32</f>
        <v>0</v>
      </c>
      <c r="W107" s="16">
        <f>LCOE!Z133+V107*IF(LCOE!D$14&gt;0,G107,H107)</f>
        <v>0</v>
      </c>
      <c r="X107" s="16">
        <f>LCOE!AA133+LCOE!D$34</f>
        <v>101</v>
      </c>
      <c r="Y107" s="16">
        <f t="shared" si="15"/>
        <v>0</v>
      </c>
      <c r="Z107" s="50">
        <f t="shared" si="18"/>
        <v>0</v>
      </c>
      <c r="AA107" s="50">
        <f t="shared" si="19"/>
        <v>0</v>
      </c>
      <c r="AB107" s="50">
        <f t="shared" si="20"/>
        <v>0</v>
      </c>
      <c r="AC107" s="50">
        <f t="shared" si="16"/>
        <v>0</v>
      </c>
      <c r="AD107" s="50">
        <f t="shared" si="11"/>
        <v>0</v>
      </c>
      <c r="AE107">
        <f t="shared" si="25"/>
        <v>30</v>
      </c>
      <c r="AF107" s="12">
        <f>LCOE!E133+LCOE!D$40</f>
        <v>0</v>
      </c>
      <c r="AG107">
        <f t="shared" si="12"/>
        <v>1</v>
      </c>
      <c r="AH107" s="16">
        <f t="shared" si="21"/>
        <v>0</v>
      </c>
      <c r="AI107" s="16">
        <f t="shared" si="22"/>
        <v>0</v>
      </c>
      <c r="AJ107" s="16">
        <f t="shared" si="23"/>
        <v>0</v>
      </c>
      <c r="AK107" s="16">
        <f t="shared" si="24"/>
        <v>0</v>
      </c>
      <c r="AL107" s="16">
        <f t="shared" si="13"/>
        <v>0</v>
      </c>
      <c r="AM107" s="16">
        <f t="shared" si="14"/>
        <v>0</v>
      </c>
      <c r="AN107" s="16">
        <f>IF(LCOE!D$14&gt;0,G107,H107)/AG107</f>
        <v>0</v>
      </c>
    </row>
    <row r="108" spans="1:40">
      <c r="A108">
        <v>38</v>
      </c>
      <c r="C108" s="16">
        <f>LCOE!D134+IF(AND(LCOE!D$26&gt;0,A108&gt;=LCOE!D$26,A108&lt;=(LCOE!D$26+LCOE!D$27-1)),LCOE!D$42/LCOE!D$27,0)+IF(AND(AE108&gt;=LCOE!D$16,COUNTIF(AE83:AE108,LCOE!D$16)=LCOE!D$36+1),LCOE!D$35*LCOE!D$38,0)</f>
        <v>0</v>
      </c>
      <c r="D108" s="16">
        <f>IF(AE107&lt;LCOE!D$16,1,0)</f>
        <v>0</v>
      </c>
      <c r="E108" s="12">
        <f>LCOE!G134+IF(AND(A108&gt;=LCOE!D$26,A108&lt;=(LCOE!D$26+LCOE!D$27-1)),0,1)*IF(A108=LCOE!D$34,0,1)*D108</f>
        <v>0</v>
      </c>
      <c r="F108" s="12">
        <f>IF(F107&lt;LCOE!D$18,MIN(F107*(1+LCOE!D$19),LCOE!D$18),LCOE!D$18)+LCOE!J134</f>
        <v>0.9</v>
      </c>
      <c r="G108" s="16">
        <f>LCOE!K134+E108*F108*N108*(LCOE!D$14+LCOE!H134)*24*365*D108</f>
        <v>0</v>
      </c>
      <c r="H108" s="16">
        <f>LCOE!L134+F108*(LCOE!D$15+LCOE!I134)*E108*24*365*D108*N108</f>
        <v>0</v>
      </c>
      <c r="I108" s="16">
        <f>LCOE!M134+LCOE!D$20*IF(LCOE!D$14&gt;0,(LCOE!D$14+LCOE!H134),(LCOE!D$15+LCOE!I134))*K108*D108</f>
        <v>0</v>
      </c>
      <c r="J108" s="16">
        <f>LCOE!N134+LCOE!D$21*IF(LCOE!D$14&gt;0,G108,H108)*K108*D108</f>
        <v>0</v>
      </c>
      <c r="K108" s="15">
        <f>LCOE!O134+K107+K107*LCOE!D$22</f>
        <v>1</v>
      </c>
      <c r="L108" s="16">
        <f>LCOE!P134+LCOE!D$23*IF(LCOE!D$14&gt;0,G108,H108)*M108*D108</f>
        <v>0</v>
      </c>
      <c r="M108" s="15">
        <f>LCOE!Q134+M107+M107*LCOE!D$24</f>
        <v>1</v>
      </c>
      <c r="N108" s="15">
        <f>LCOE!R134+N107-N107*LCOE!D$25</f>
        <v>1</v>
      </c>
      <c r="O108" s="18">
        <f>LCOE!S134+LCOE!D$29</f>
        <v>313.75</v>
      </c>
      <c r="P108" s="12">
        <f>LCOE!T134+IF(A108&gt;=LCOE!D$30,100%,0%)</f>
        <v>1</v>
      </c>
      <c r="Q108" s="16">
        <f>LCOE!U134+O108/1000*IF(LCOE!D$14&gt;0,G108,H108)</f>
        <v>0</v>
      </c>
      <c r="R108" s="16">
        <f>LCOE!B134</f>
        <v>30</v>
      </c>
      <c r="S108" s="16">
        <f>LCOE!V134+Q108*P108*R108</f>
        <v>0</v>
      </c>
      <c r="T108" s="16">
        <f>LCOE!W134+LCOE!D$31</f>
        <v>0</v>
      </c>
      <c r="U108" s="16">
        <f>LCOE!X134+T108*IF(LCOE!D$14&gt;0,G108,H108)</f>
        <v>0</v>
      </c>
      <c r="V108" s="16">
        <f>LCOE!Y134+LCOE!D$32</f>
        <v>0</v>
      </c>
      <c r="W108" s="16">
        <f>LCOE!Z134+V108*IF(LCOE!D$14&gt;0,G108,H108)</f>
        <v>0</v>
      </c>
      <c r="X108" s="16">
        <f>LCOE!AA134+LCOE!D$34</f>
        <v>101</v>
      </c>
      <c r="Y108" s="16">
        <f t="shared" si="15"/>
        <v>0</v>
      </c>
      <c r="Z108" s="50">
        <f t="shared" si="18"/>
        <v>0</v>
      </c>
      <c r="AA108" s="50">
        <f t="shared" si="19"/>
        <v>0</v>
      </c>
      <c r="AB108" s="50">
        <f t="shared" si="20"/>
        <v>0</v>
      </c>
      <c r="AC108" s="50">
        <f t="shared" si="16"/>
        <v>0</v>
      </c>
      <c r="AD108" s="50">
        <f t="shared" si="11"/>
        <v>0</v>
      </c>
      <c r="AE108">
        <f t="shared" si="25"/>
        <v>30</v>
      </c>
      <c r="AF108" s="12">
        <f>LCOE!E134+LCOE!D$40</f>
        <v>0</v>
      </c>
      <c r="AG108">
        <f t="shared" si="12"/>
        <v>1</v>
      </c>
      <c r="AH108" s="16">
        <f t="shared" si="21"/>
        <v>0</v>
      </c>
      <c r="AI108" s="16">
        <f t="shared" si="22"/>
        <v>0</v>
      </c>
      <c r="AJ108" s="16">
        <f t="shared" si="23"/>
        <v>0</v>
      </c>
      <c r="AK108" s="16">
        <f t="shared" si="24"/>
        <v>0</v>
      </c>
      <c r="AL108" s="16">
        <f t="shared" si="13"/>
        <v>0</v>
      </c>
      <c r="AM108" s="16">
        <f t="shared" si="14"/>
        <v>0</v>
      </c>
      <c r="AN108" s="16">
        <f>IF(LCOE!D$14&gt;0,G108,H108)/AG108</f>
        <v>0</v>
      </c>
    </row>
    <row r="109" spans="1:40">
      <c r="A109">
        <v>39</v>
      </c>
      <c r="C109" s="16">
        <f>LCOE!D135+IF(AND(LCOE!D$26&gt;0,A109&gt;=LCOE!D$26,A109&lt;=(LCOE!D$26+LCOE!D$27-1)),LCOE!D$42/LCOE!D$27,0)+IF(AND(AE109&gt;=LCOE!D$16,COUNTIF(AE84:AE109,LCOE!D$16)=LCOE!D$36+1),LCOE!D$35*LCOE!D$38,0)</f>
        <v>0</v>
      </c>
      <c r="D109" s="16">
        <f>IF(AE108&lt;LCOE!D$16,1,0)</f>
        <v>0</v>
      </c>
      <c r="E109" s="12">
        <f>LCOE!G135+IF(AND(A109&gt;=LCOE!D$26,A109&lt;=(LCOE!D$26+LCOE!D$27-1)),0,1)*IF(A109=LCOE!D$34,0,1)*D109</f>
        <v>0</v>
      </c>
      <c r="F109" s="12">
        <f>IF(F108&lt;LCOE!D$18,MIN(F108*(1+LCOE!D$19),LCOE!D$18),LCOE!D$18)+LCOE!J135</f>
        <v>0.9</v>
      </c>
      <c r="G109" s="16">
        <f>LCOE!K135+E109*F109*N109*(LCOE!D$14+LCOE!H135)*24*365*D109</f>
        <v>0</v>
      </c>
      <c r="H109" s="16">
        <f>LCOE!L135+F109*(LCOE!D$15+LCOE!I135)*E109*24*365*D109*N109</f>
        <v>0</v>
      </c>
      <c r="I109" s="16">
        <f>LCOE!M135+LCOE!D$20*IF(LCOE!D$14&gt;0,(LCOE!D$14+LCOE!H135),(LCOE!D$15+LCOE!I135))*K109*D109</f>
        <v>0</v>
      </c>
      <c r="J109" s="16">
        <f>LCOE!N135+LCOE!D$21*IF(LCOE!D$14&gt;0,G109,H109)*K109*D109</f>
        <v>0</v>
      </c>
      <c r="K109" s="15">
        <f>LCOE!O135+K108+K108*LCOE!D$22</f>
        <v>1</v>
      </c>
      <c r="L109" s="16">
        <f>LCOE!P135+LCOE!D$23*IF(LCOE!D$14&gt;0,G109,H109)*M109*D109</f>
        <v>0</v>
      </c>
      <c r="M109" s="15">
        <f>LCOE!Q135+M108+M108*LCOE!D$24</f>
        <v>1</v>
      </c>
      <c r="N109" s="15">
        <f>LCOE!R135+N108-N108*LCOE!D$25</f>
        <v>1</v>
      </c>
      <c r="O109" s="18">
        <f>LCOE!S135+LCOE!D$29</f>
        <v>313.75</v>
      </c>
      <c r="P109" s="12">
        <f>LCOE!T135+IF(A109&gt;=LCOE!D$30,100%,0%)</f>
        <v>1</v>
      </c>
      <c r="Q109" s="16">
        <f>LCOE!U135+O109/1000*IF(LCOE!D$14&gt;0,G109,H109)</f>
        <v>0</v>
      </c>
      <c r="R109" s="16">
        <f>LCOE!B135</f>
        <v>30</v>
      </c>
      <c r="S109" s="16">
        <f>LCOE!V135+Q109*P109*R109</f>
        <v>0</v>
      </c>
      <c r="T109" s="16">
        <f>LCOE!W135+LCOE!D$31</f>
        <v>0</v>
      </c>
      <c r="U109" s="16">
        <f>LCOE!X135+T109*IF(LCOE!D$14&gt;0,G109,H109)</f>
        <v>0</v>
      </c>
      <c r="V109" s="16">
        <f>LCOE!Y135+LCOE!D$32</f>
        <v>0</v>
      </c>
      <c r="W109" s="16">
        <f>LCOE!Z135+V109*IF(LCOE!D$14&gt;0,G109,H109)</f>
        <v>0</v>
      </c>
      <c r="X109" s="16">
        <f>LCOE!AA135+LCOE!D$34</f>
        <v>101</v>
      </c>
      <c r="Y109" s="16">
        <f t="shared" si="15"/>
        <v>0</v>
      </c>
      <c r="Z109" s="50">
        <f t="shared" si="18"/>
        <v>0</v>
      </c>
      <c r="AA109" s="50">
        <f t="shared" si="19"/>
        <v>0</v>
      </c>
      <c r="AB109" s="50">
        <f t="shared" si="20"/>
        <v>0</v>
      </c>
      <c r="AC109" s="50">
        <f t="shared" si="16"/>
        <v>0</v>
      </c>
      <c r="AD109" s="50">
        <f t="shared" si="11"/>
        <v>0</v>
      </c>
      <c r="AE109">
        <f t="shared" si="25"/>
        <v>30</v>
      </c>
      <c r="AF109" s="12">
        <f>LCOE!E135+LCOE!D$40</f>
        <v>0</v>
      </c>
      <c r="AG109">
        <f t="shared" si="12"/>
        <v>1</v>
      </c>
      <c r="AH109" s="16">
        <f t="shared" ref="AH109:AH140" si="26">Z109/AG109</f>
        <v>0</v>
      </c>
      <c r="AI109" s="16">
        <f t="shared" ref="AI109:AI140" si="27">AA109/AG109</f>
        <v>0</v>
      </c>
      <c r="AJ109" s="16">
        <f t="shared" ref="AJ109:AJ140" si="28">AB109/AG109</f>
        <v>0</v>
      </c>
      <c r="AK109" s="16">
        <f t="shared" ref="AK109:AK140" si="29">AC109/AG109</f>
        <v>0</v>
      </c>
      <c r="AL109" s="16">
        <f t="shared" si="13"/>
        <v>0</v>
      </c>
      <c r="AM109" s="16">
        <f t="shared" si="14"/>
        <v>0</v>
      </c>
      <c r="AN109" s="16">
        <f>IF(LCOE!D$14&gt;0,G109,H109)/AG109</f>
        <v>0</v>
      </c>
    </row>
    <row r="110" spans="1:40">
      <c r="A110">
        <v>40</v>
      </c>
      <c r="C110" s="16">
        <f>LCOE!D136+IF(AND(LCOE!D$26&gt;0,A110&gt;=LCOE!D$26,A110&lt;=(LCOE!D$26+LCOE!D$27-1)),LCOE!D$42/LCOE!D$27,0)+IF(AND(AE110&gt;=LCOE!D$16,COUNTIF(AE85:AE110,LCOE!D$16)=LCOE!D$36+1),LCOE!D$35*LCOE!D$38,0)</f>
        <v>0</v>
      </c>
      <c r="D110" s="16">
        <f>IF(AE109&lt;LCOE!D$16,1,0)</f>
        <v>0</v>
      </c>
      <c r="E110" s="12">
        <f>LCOE!G136+IF(AND(A110&gt;=LCOE!D$26,A110&lt;=(LCOE!D$26+LCOE!D$27-1)),0,1)*IF(A110=LCOE!D$34,0,1)*D110</f>
        <v>0</v>
      </c>
      <c r="F110" s="12">
        <f>IF(F109&lt;LCOE!D$18,MIN(F109*(1+LCOE!D$19),LCOE!D$18),LCOE!D$18)+LCOE!J136</f>
        <v>0.9</v>
      </c>
      <c r="G110" s="16">
        <f>LCOE!K136+E110*F110*N110*(LCOE!D$14+LCOE!H136)*24*365*D110</f>
        <v>0</v>
      </c>
      <c r="H110" s="16">
        <f>LCOE!L136+F110*(LCOE!D$15+LCOE!I136)*E110*24*365*D110*N110</f>
        <v>0</v>
      </c>
      <c r="I110" s="16">
        <f>LCOE!M136+LCOE!D$20*IF(LCOE!D$14&gt;0,(LCOE!D$14+LCOE!H136),(LCOE!D$15+LCOE!I136))*K110*D110</f>
        <v>0</v>
      </c>
      <c r="J110" s="16">
        <f>LCOE!N136+LCOE!D$21*IF(LCOE!D$14&gt;0,G110,H110)*K110*D110</f>
        <v>0</v>
      </c>
      <c r="K110" s="15">
        <f>LCOE!O136+K109+K109*LCOE!D$22</f>
        <v>1</v>
      </c>
      <c r="L110" s="16">
        <f>LCOE!P136+LCOE!D$23*IF(LCOE!D$14&gt;0,G110,H110)*M110*D110</f>
        <v>0</v>
      </c>
      <c r="M110" s="15">
        <f>LCOE!Q136+M109+M109*LCOE!D$24</f>
        <v>1</v>
      </c>
      <c r="N110" s="15">
        <f>LCOE!R136+N109-N109*LCOE!D$25</f>
        <v>1</v>
      </c>
      <c r="O110" s="18">
        <f>LCOE!S136+LCOE!D$29</f>
        <v>313.75</v>
      </c>
      <c r="P110" s="12">
        <f>LCOE!T136+IF(A110&gt;=LCOE!D$30,100%,0%)</f>
        <v>1</v>
      </c>
      <c r="Q110" s="16">
        <f>LCOE!U136+O110/1000*IF(LCOE!D$14&gt;0,G110,H110)</f>
        <v>0</v>
      </c>
      <c r="R110" s="16">
        <f>LCOE!B136</f>
        <v>30</v>
      </c>
      <c r="S110" s="16">
        <f>LCOE!V136+Q110*P110*R110</f>
        <v>0</v>
      </c>
      <c r="T110" s="16">
        <f>LCOE!W136+LCOE!D$31</f>
        <v>0</v>
      </c>
      <c r="U110" s="16">
        <f>LCOE!X136+T110*IF(LCOE!D$14&gt;0,G110,H110)</f>
        <v>0</v>
      </c>
      <c r="V110" s="16">
        <f>LCOE!Y136+LCOE!D$32</f>
        <v>0</v>
      </c>
      <c r="W110" s="16">
        <f>LCOE!Z136+V110*IF(LCOE!D$14&gt;0,G110,H110)</f>
        <v>0</v>
      </c>
      <c r="X110" s="16">
        <f>LCOE!AA136+LCOE!D$34</f>
        <v>101</v>
      </c>
      <c r="Y110" s="16">
        <f t="shared" si="15"/>
        <v>0</v>
      </c>
      <c r="Z110" s="50">
        <f t="shared" si="18"/>
        <v>0</v>
      </c>
      <c r="AA110" s="50">
        <f t="shared" si="19"/>
        <v>0</v>
      </c>
      <c r="AB110" s="50">
        <f t="shared" si="20"/>
        <v>0</v>
      </c>
      <c r="AC110" s="50">
        <f t="shared" si="16"/>
        <v>0</v>
      </c>
      <c r="AD110" s="50">
        <f t="shared" ref="AD110:AD170" si="30">S110</f>
        <v>0</v>
      </c>
      <c r="AE110">
        <f t="shared" si="25"/>
        <v>30</v>
      </c>
      <c r="AF110" s="12">
        <f>LCOE!E136+LCOE!D$40</f>
        <v>0</v>
      </c>
      <c r="AG110">
        <f t="shared" ref="AG110:AG170" si="31">(1+AF110)^A110</f>
        <v>1</v>
      </c>
      <c r="AH110" s="16">
        <f t="shared" si="26"/>
        <v>0</v>
      </c>
      <c r="AI110" s="16">
        <f t="shared" si="27"/>
        <v>0</v>
      </c>
      <c r="AJ110" s="16">
        <f t="shared" si="28"/>
        <v>0</v>
      </c>
      <c r="AK110" s="16">
        <f t="shared" si="29"/>
        <v>0</v>
      </c>
      <c r="AL110" s="16">
        <f t="shared" ref="AL110:AL170" si="32">AD110/AG110</f>
        <v>0</v>
      </c>
      <c r="AM110" s="16">
        <f t="shared" ref="AM110:AM170" si="33">(-1)*Y110/AG110</f>
        <v>0</v>
      </c>
      <c r="AN110" s="16">
        <f>IF(LCOE!D$14&gt;0,G110,H110)/AG110</f>
        <v>0</v>
      </c>
    </row>
    <row r="111" spans="1:40">
      <c r="A111">
        <v>41</v>
      </c>
      <c r="C111" s="16">
        <f>LCOE!D137+IF(AND(LCOE!D$26&gt;0,A111&gt;=LCOE!D$26,A111&lt;=(LCOE!D$26+LCOE!D$27-1)),LCOE!D$42/LCOE!D$27,0)+IF(AND(AE111&gt;=LCOE!D$16,COUNTIF(AE86:AE111,LCOE!D$16)=LCOE!D$36+1),LCOE!D$35*LCOE!D$38,0)</f>
        <v>0</v>
      </c>
      <c r="D111" s="16">
        <f>IF(AE110&lt;LCOE!D$16,1,0)</f>
        <v>0</v>
      </c>
      <c r="E111" s="12">
        <f>LCOE!G137+IF(AND(A111&gt;=LCOE!D$26,A111&lt;=(LCOE!D$26+LCOE!D$27-1)),0,1)*IF(A111=LCOE!D$34,0,1)*D111</f>
        <v>0</v>
      </c>
      <c r="F111" s="12">
        <f>IF(F110&lt;LCOE!D$18,MIN(F110*(1+LCOE!D$19),LCOE!D$18),LCOE!D$18)+LCOE!J137</f>
        <v>0.9</v>
      </c>
      <c r="G111" s="16">
        <f>LCOE!K137+E111*F111*N111*(LCOE!D$14+LCOE!H137)*24*365*D111</f>
        <v>0</v>
      </c>
      <c r="H111" s="16">
        <f>LCOE!L137+F111*(LCOE!D$15+LCOE!I137)*E111*24*365*D111*N111</f>
        <v>0</v>
      </c>
      <c r="I111" s="16">
        <f>LCOE!M137+LCOE!D$20*IF(LCOE!D$14&gt;0,(LCOE!D$14+LCOE!H137),(LCOE!D$15+LCOE!I137))*K111*D111</f>
        <v>0</v>
      </c>
      <c r="J111" s="16">
        <f>LCOE!N137+LCOE!D$21*IF(LCOE!D$14&gt;0,G111,H111)*K111*D111</f>
        <v>0</v>
      </c>
      <c r="K111" s="15">
        <f>LCOE!O137+K110+K110*LCOE!D$22</f>
        <v>1</v>
      </c>
      <c r="L111" s="16">
        <f>LCOE!P137+LCOE!D$23*IF(LCOE!D$14&gt;0,G111,H111)*M111*D111</f>
        <v>0</v>
      </c>
      <c r="M111" s="15">
        <f>LCOE!Q137+M110+M110*LCOE!D$24</f>
        <v>1</v>
      </c>
      <c r="N111" s="15">
        <f>LCOE!R137+N110-N110*LCOE!D$25</f>
        <v>1</v>
      </c>
      <c r="O111" s="18">
        <f>LCOE!S137+LCOE!D$29</f>
        <v>313.75</v>
      </c>
      <c r="P111" s="12">
        <f>LCOE!T137+IF(A111&gt;=LCOE!D$30,100%,0%)</f>
        <v>1</v>
      </c>
      <c r="Q111" s="16">
        <f>LCOE!U137+O111/1000*IF(LCOE!D$14&gt;0,G111,H111)</f>
        <v>0</v>
      </c>
      <c r="R111" s="16">
        <f>LCOE!B137</f>
        <v>30</v>
      </c>
      <c r="S111" s="16">
        <f>LCOE!V137+Q111*P111*R111</f>
        <v>0</v>
      </c>
      <c r="T111" s="16">
        <f>LCOE!W137+LCOE!D$31</f>
        <v>0</v>
      </c>
      <c r="U111" s="16">
        <f>LCOE!X137+T111*IF(LCOE!D$14&gt;0,G111,H111)</f>
        <v>0</v>
      </c>
      <c r="V111" s="16">
        <f>LCOE!Y137+LCOE!D$32</f>
        <v>0</v>
      </c>
      <c r="W111" s="16">
        <f>LCOE!Z137+V111*IF(LCOE!D$14&gt;0,G111,H111)</f>
        <v>0</v>
      </c>
      <c r="X111" s="16">
        <f>LCOE!AA137+LCOE!D$34</f>
        <v>101</v>
      </c>
      <c r="Y111" s="16">
        <f t="shared" si="15"/>
        <v>0</v>
      </c>
      <c r="Z111" s="50">
        <f t="shared" si="18"/>
        <v>0</v>
      </c>
      <c r="AA111" s="50">
        <f t="shared" si="19"/>
        <v>0</v>
      </c>
      <c r="AB111" s="50">
        <f t="shared" si="20"/>
        <v>0</v>
      </c>
      <c r="AC111" s="50">
        <f t="shared" si="16"/>
        <v>0</v>
      </c>
      <c r="AD111" s="50">
        <f t="shared" si="30"/>
        <v>0</v>
      </c>
      <c r="AE111">
        <f t="shared" si="25"/>
        <v>30</v>
      </c>
      <c r="AF111" s="12">
        <f>LCOE!E137+LCOE!D$40</f>
        <v>0</v>
      </c>
      <c r="AG111">
        <f t="shared" si="31"/>
        <v>1</v>
      </c>
      <c r="AH111" s="16">
        <f t="shared" si="26"/>
        <v>0</v>
      </c>
      <c r="AI111" s="16">
        <f t="shared" si="27"/>
        <v>0</v>
      </c>
      <c r="AJ111" s="16">
        <f t="shared" si="28"/>
        <v>0</v>
      </c>
      <c r="AK111" s="16">
        <f t="shared" si="29"/>
        <v>0</v>
      </c>
      <c r="AL111" s="16">
        <f t="shared" si="32"/>
        <v>0</v>
      </c>
      <c r="AM111" s="16">
        <f t="shared" si="33"/>
        <v>0</v>
      </c>
      <c r="AN111" s="16">
        <f>IF(LCOE!D$14&gt;0,G111,H111)/AG111</f>
        <v>0</v>
      </c>
    </row>
    <row r="112" spans="1:40">
      <c r="A112">
        <v>42</v>
      </c>
      <c r="C112" s="16">
        <f>LCOE!D138+IF(AND(LCOE!D$26&gt;0,A112&gt;=LCOE!D$26,A112&lt;=(LCOE!D$26+LCOE!D$27-1)),LCOE!D$42/LCOE!D$27,0)+IF(AND(AE112&gt;=LCOE!D$16,COUNTIF(AE87:AE112,LCOE!D$16)=LCOE!D$36+1),LCOE!D$35*LCOE!D$38,0)</f>
        <v>0</v>
      </c>
      <c r="D112" s="16">
        <f>IF(AE111&lt;LCOE!D$16,1,0)</f>
        <v>0</v>
      </c>
      <c r="E112" s="12">
        <f>LCOE!G138+IF(AND(A112&gt;=LCOE!D$26,A112&lt;=(LCOE!D$26+LCOE!D$27-1)),0,1)*IF(A112=LCOE!D$34,0,1)*D112</f>
        <v>0</v>
      </c>
      <c r="F112" s="12">
        <f>IF(F111&lt;LCOE!D$18,MIN(F111*(1+LCOE!D$19),LCOE!D$18),LCOE!D$18)+LCOE!J138</f>
        <v>0.9</v>
      </c>
      <c r="G112" s="16">
        <f>LCOE!K138+E112*F112*N112*(LCOE!D$14+LCOE!H138)*24*365*D112</f>
        <v>0</v>
      </c>
      <c r="H112" s="16">
        <f>LCOE!L138+F112*(LCOE!D$15+LCOE!I138)*E112*24*365*D112*N112</f>
        <v>0</v>
      </c>
      <c r="I112" s="16">
        <f>LCOE!M138+LCOE!D$20*IF(LCOE!D$14&gt;0,(LCOE!D$14+LCOE!H138),(LCOE!D$15+LCOE!I138))*K112*D112</f>
        <v>0</v>
      </c>
      <c r="J112" s="16">
        <f>LCOE!N138+LCOE!D$21*IF(LCOE!D$14&gt;0,G112,H112)*K112*D112</f>
        <v>0</v>
      </c>
      <c r="K112" s="15">
        <f>LCOE!O138+K111+K111*LCOE!D$22</f>
        <v>1</v>
      </c>
      <c r="L112" s="16">
        <f>LCOE!P138+LCOE!D$23*IF(LCOE!D$14&gt;0,G112,H112)*M112*D112</f>
        <v>0</v>
      </c>
      <c r="M112" s="15">
        <f>LCOE!Q138+M111+M111*LCOE!D$24</f>
        <v>1</v>
      </c>
      <c r="N112" s="15">
        <f>LCOE!R138+N111-N111*LCOE!D$25</f>
        <v>1</v>
      </c>
      <c r="O112" s="18">
        <f>LCOE!S138+LCOE!D$29</f>
        <v>313.75</v>
      </c>
      <c r="P112" s="12">
        <f>LCOE!T138+IF(A112&gt;=LCOE!D$30,100%,0%)</f>
        <v>1</v>
      </c>
      <c r="Q112" s="16">
        <f>LCOE!U138+O112/1000*IF(LCOE!D$14&gt;0,G112,H112)</f>
        <v>0</v>
      </c>
      <c r="R112" s="16">
        <f>LCOE!B138</f>
        <v>30</v>
      </c>
      <c r="S112" s="16">
        <f>LCOE!V138+Q112*P112*R112</f>
        <v>0</v>
      </c>
      <c r="T112" s="16">
        <f>LCOE!W138+LCOE!D$31</f>
        <v>0</v>
      </c>
      <c r="U112" s="16">
        <f>LCOE!X138+T112*IF(LCOE!D$14&gt;0,G112,H112)</f>
        <v>0</v>
      </c>
      <c r="V112" s="16">
        <f>LCOE!Y138+LCOE!D$32</f>
        <v>0</v>
      </c>
      <c r="W112" s="16">
        <f>LCOE!Z138+V112*IF(LCOE!D$14&gt;0,G112,H112)</f>
        <v>0</v>
      </c>
      <c r="X112" s="16">
        <f>LCOE!AA138+LCOE!D$34</f>
        <v>101</v>
      </c>
      <c r="Y112" s="16">
        <f t="shared" si="15"/>
        <v>0</v>
      </c>
      <c r="Z112" s="50">
        <f t="shared" si="18"/>
        <v>0</v>
      </c>
      <c r="AA112" s="50">
        <f t="shared" si="19"/>
        <v>0</v>
      </c>
      <c r="AB112" s="50">
        <f t="shared" si="20"/>
        <v>0</v>
      </c>
      <c r="AC112" s="50">
        <f t="shared" si="16"/>
        <v>0</v>
      </c>
      <c r="AD112" s="50">
        <f t="shared" si="30"/>
        <v>0</v>
      </c>
      <c r="AE112">
        <f t="shared" si="25"/>
        <v>30</v>
      </c>
      <c r="AF112" s="12">
        <f>LCOE!E138+LCOE!D$40</f>
        <v>0</v>
      </c>
      <c r="AG112">
        <f t="shared" si="31"/>
        <v>1</v>
      </c>
      <c r="AH112" s="16">
        <f t="shared" si="26"/>
        <v>0</v>
      </c>
      <c r="AI112" s="16">
        <f t="shared" si="27"/>
        <v>0</v>
      </c>
      <c r="AJ112" s="16">
        <f t="shared" si="28"/>
        <v>0</v>
      </c>
      <c r="AK112" s="16">
        <f t="shared" si="29"/>
        <v>0</v>
      </c>
      <c r="AL112" s="16">
        <f t="shared" si="32"/>
        <v>0</v>
      </c>
      <c r="AM112" s="16">
        <f t="shared" si="33"/>
        <v>0</v>
      </c>
      <c r="AN112" s="16">
        <f>IF(LCOE!D$14&gt;0,G112,H112)/AG112</f>
        <v>0</v>
      </c>
    </row>
    <row r="113" spans="1:40">
      <c r="A113">
        <v>43</v>
      </c>
      <c r="C113" s="16">
        <f>LCOE!D139+IF(AND(LCOE!D$26&gt;0,A113&gt;=LCOE!D$26,A113&lt;=(LCOE!D$26+LCOE!D$27-1)),LCOE!D$42/LCOE!D$27,0)+IF(AND(AE113&gt;=LCOE!D$16,COUNTIF(AE88:AE113,LCOE!D$16)=LCOE!D$36+1),LCOE!D$35*LCOE!D$38,0)</f>
        <v>0</v>
      </c>
      <c r="D113" s="16">
        <f>IF(AE112&lt;LCOE!D$16,1,0)</f>
        <v>0</v>
      </c>
      <c r="E113" s="12">
        <f>LCOE!G139+IF(AND(A113&gt;=LCOE!D$26,A113&lt;=(LCOE!D$26+LCOE!D$27-1)),0,1)*IF(A113=LCOE!D$34,0,1)*D113</f>
        <v>0</v>
      </c>
      <c r="F113" s="12">
        <f>IF(F112&lt;LCOE!D$18,MIN(F112*(1+LCOE!D$19),LCOE!D$18),LCOE!D$18)+LCOE!J139</f>
        <v>0.9</v>
      </c>
      <c r="G113" s="16">
        <f>LCOE!K139+E113*F113*N113*(LCOE!D$14+LCOE!H139)*24*365*D113</f>
        <v>0</v>
      </c>
      <c r="H113" s="16">
        <f>LCOE!L139+F113*(LCOE!D$15+LCOE!I139)*E113*24*365*D113*N113</f>
        <v>0</v>
      </c>
      <c r="I113" s="16">
        <f>LCOE!M139+LCOE!D$20*IF(LCOE!D$14&gt;0,(LCOE!D$14+LCOE!H139),(LCOE!D$15+LCOE!I139))*K113*D113</f>
        <v>0</v>
      </c>
      <c r="J113" s="16">
        <f>LCOE!N139+LCOE!D$21*IF(LCOE!D$14&gt;0,G113,H113)*K113*D113</f>
        <v>0</v>
      </c>
      <c r="K113" s="15">
        <f>LCOE!O139+K112+K112*LCOE!D$22</f>
        <v>1</v>
      </c>
      <c r="L113" s="16">
        <f>LCOE!P139+LCOE!D$23*IF(LCOE!D$14&gt;0,G113,H113)*M113*D113</f>
        <v>0</v>
      </c>
      <c r="M113" s="15">
        <f>LCOE!Q139+M112+M112*LCOE!D$24</f>
        <v>1</v>
      </c>
      <c r="N113" s="15">
        <f>LCOE!R139+N112-N112*LCOE!D$25</f>
        <v>1</v>
      </c>
      <c r="O113" s="18">
        <f>LCOE!S139+LCOE!D$29</f>
        <v>313.75</v>
      </c>
      <c r="P113" s="12">
        <f>LCOE!T139+IF(A113&gt;=LCOE!D$30,100%,0%)</f>
        <v>1</v>
      </c>
      <c r="Q113" s="16">
        <f>LCOE!U139+O113/1000*IF(LCOE!D$14&gt;0,G113,H113)</f>
        <v>0</v>
      </c>
      <c r="R113" s="16">
        <f>LCOE!B139</f>
        <v>30</v>
      </c>
      <c r="S113" s="16">
        <f>LCOE!V139+Q113*P113*R113</f>
        <v>0</v>
      </c>
      <c r="T113" s="16">
        <f>LCOE!W139+LCOE!D$31</f>
        <v>0</v>
      </c>
      <c r="U113" s="16">
        <f>LCOE!X139+T113*IF(LCOE!D$14&gt;0,G113,H113)</f>
        <v>0</v>
      </c>
      <c r="V113" s="16">
        <f>LCOE!Y139+LCOE!D$32</f>
        <v>0</v>
      </c>
      <c r="W113" s="16">
        <f>LCOE!Z139+V113*IF(LCOE!D$14&gt;0,G113,H113)</f>
        <v>0</v>
      </c>
      <c r="X113" s="16">
        <f>LCOE!AA139+LCOE!D$34</f>
        <v>101</v>
      </c>
      <c r="Y113" s="16">
        <f t="shared" si="15"/>
        <v>0</v>
      </c>
      <c r="Z113" s="50">
        <f t="shared" si="18"/>
        <v>0</v>
      </c>
      <c r="AA113" s="50">
        <f t="shared" si="19"/>
        <v>0</v>
      </c>
      <c r="AB113" s="50">
        <f t="shared" si="20"/>
        <v>0</v>
      </c>
      <c r="AC113" s="50">
        <f t="shared" si="16"/>
        <v>0</v>
      </c>
      <c r="AD113" s="50">
        <f t="shared" si="30"/>
        <v>0</v>
      </c>
      <c r="AE113">
        <f t="shared" si="25"/>
        <v>30</v>
      </c>
      <c r="AF113" s="12">
        <f>LCOE!E139+LCOE!D$40</f>
        <v>0</v>
      </c>
      <c r="AG113">
        <f t="shared" si="31"/>
        <v>1</v>
      </c>
      <c r="AH113" s="16">
        <f t="shared" si="26"/>
        <v>0</v>
      </c>
      <c r="AI113" s="16">
        <f t="shared" si="27"/>
        <v>0</v>
      </c>
      <c r="AJ113" s="16">
        <f t="shared" si="28"/>
        <v>0</v>
      </c>
      <c r="AK113" s="16">
        <f t="shared" si="29"/>
        <v>0</v>
      </c>
      <c r="AL113" s="16">
        <f t="shared" si="32"/>
        <v>0</v>
      </c>
      <c r="AM113" s="16">
        <f t="shared" si="33"/>
        <v>0</v>
      </c>
      <c r="AN113" s="16">
        <f>IF(LCOE!D$14&gt;0,G113,H113)/AG113</f>
        <v>0</v>
      </c>
    </row>
    <row r="114" spans="1:40">
      <c r="A114">
        <v>44</v>
      </c>
      <c r="C114" s="16">
        <f>LCOE!D140+IF(AND(LCOE!D$26&gt;0,A114&gt;=LCOE!D$26,A114&lt;=(LCOE!D$26+LCOE!D$27-1)),LCOE!D$42/LCOE!D$27,0)+IF(AND(AE114&gt;=LCOE!D$16,COUNTIF(AE89:AE114,LCOE!D$16)=LCOE!D$36+1),LCOE!D$35*LCOE!D$38,0)</f>
        <v>0</v>
      </c>
      <c r="D114" s="16">
        <f>IF(AE113&lt;LCOE!D$16,1,0)</f>
        <v>0</v>
      </c>
      <c r="E114" s="12">
        <f>LCOE!G140+IF(AND(A114&gt;=LCOE!D$26,A114&lt;=(LCOE!D$26+LCOE!D$27-1)),0,1)*IF(A114=LCOE!D$34,0,1)*D114</f>
        <v>0</v>
      </c>
      <c r="F114" s="12">
        <f>IF(F113&lt;LCOE!D$18,MIN(F113*(1+LCOE!D$19),LCOE!D$18),LCOE!D$18)+LCOE!J140</f>
        <v>0.9</v>
      </c>
      <c r="G114" s="16">
        <f>LCOE!K140+E114*F114*N114*(LCOE!D$14+LCOE!H140)*24*365*D114</f>
        <v>0</v>
      </c>
      <c r="H114" s="16">
        <f>LCOE!L140+F114*(LCOE!D$15+LCOE!I140)*E114*24*365*D114*N114</f>
        <v>0</v>
      </c>
      <c r="I114" s="16">
        <f>LCOE!M140+LCOE!D$20*IF(LCOE!D$14&gt;0,(LCOE!D$14+LCOE!H140),(LCOE!D$15+LCOE!I140))*K114*D114</f>
        <v>0</v>
      </c>
      <c r="J114" s="16">
        <f>LCOE!N140+LCOE!D$21*IF(LCOE!D$14&gt;0,G114,H114)*K114*D114</f>
        <v>0</v>
      </c>
      <c r="K114" s="15">
        <f>LCOE!O140+K113+K113*LCOE!D$22</f>
        <v>1</v>
      </c>
      <c r="L114" s="16">
        <f>LCOE!P140+LCOE!D$23*IF(LCOE!D$14&gt;0,G114,H114)*M114*D114</f>
        <v>0</v>
      </c>
      <c r="M114" s="15">
        <f>LCOE!Q140+M113+M113*LCOE!D$24</f>
        <v>1</v>
      </c>
      <c r="N114" s="15">
        <f>LCOE!R140+N113-N113*LCOE!D$25</f>
        <v>1</v>
      </c>
      <c r="O114" s="18">
        <f>LCOE!S140+LCOE!D$29</f>
        <v>313.75</v>
      </c>
      <c r="P114" s="12">
        <f>LCOE!T140+IF(A114&gt;=LCOE!D$30,100%,0%)</f>
        <v>1</v>
      </c>
      <c r="Q114" s="16">
        <f>LCOE!U140+O114/1000*IF(LCOE!D$14&gt;0,G114,H114)</f>
        <v>0</v>
      </c>
      <c r="R114" s="16">
        <f>LCOE!B140</f>
        <v>30</v>
      </c>
      <c r="S114" s="16">
        <f>LCOE!V140+Q114*P114*R114</f>
        <v>0</v>
      </c>
      <c r="T114" s="16">
        <f>LCOE!W140+LCOE!D$31</f>
        <v>0</v>
      </c>
      <c r="U114" s="16">
        <f>LCOE!X140+T114*IF(LCOE!D$14&gt;0,G114,H114)</f>
        <v>0</v>
      </c>
      <c r="V114" s="16">
        <f>LCOE!Y140+LCOE!D$32</f>
        <v>0</v>
      </c>
      <c r="W114" s="16">
        <f>LCOE!Z140+V114*IF(LCOE!D$14&gt;0,G114,H114)</f>
        <v>0</v>
      </c>
      <c r="X114" s="16">
        <f>LCOE!AA140+LCOE!D$34</f>
        <v>101</v>
      </c>
      <c r="Y114" s="16">
        <f t="shared" si="15"/>
        <v>0</v>
      </c>
      <c r="Z114" s="50">
        <f t="shared" si="18"/>
        <v>0</v>
      </c>
      <c r="AA114" s="50">
        <f t="shared" si="19"/>
        <v>0</v>
      </c>
      <c r="AB114" s="50">
        <f t="shared" si="20"/>
        <v>0</v>
      </c>
      <c r="AC114" s="50">
        <f t="shared" si="16"/>
        <v>0</v>
      </c>
      <c r="AD114" s="50">
        <f t="shared" si="30"/>
        <v>0</v>
      </c>
      <c r="AE114">
        <f t="shared" si="25"/>
        <v>30</v>
      </c>
      <c r="AF114" s="12">
        <f>LCOE!E140+LCOE!D$40</f>
        <v>0</v>
      </c>
      <c r="AG114">
        <f t="shared" si="31"/>
        <v>1</v>
      </c>
      <c r="AH114" s="16">
        <f t="shared" si="26"/>
        <v>0</v>
      </c>
      <c r="AI114" s="16">
        <f t="shared" si="27"/>
        <v>0</v>
      </c>
      <c r="AJ114" s="16">
        <f t="shared" si="28"/>
        <v>0</v>
      </c>
      <c r="AK114" s="16">
        <f t="shared" si="29"/>
        <v>0</v>
      </c>
      <c r="AL114" s="16">
        <f t="shared" si="32"/>
        <v>0</v>
      </c>
      <c r="AM114" s="16">
        <f t="shared" si="33"/>
        <v>0</v>
      </c>
      <c r="AN114" s="16">
        <f>IF(LCOE!D$14&gt;0,G114,H114)/AG114</f>
        <v>0</v>
      </c>
    </row>
    <row r="115" spans="1:40">
      <c r="A115">
        <v>45</v>
      </c>
      <c r="C115" s="16">
        <f>LCOE!D141+IF(AND(LCOE!D$26&gt;0,A115&gt;=LCOE!D$26,A115&lt;=(LCOE!D$26+LCOE!D$27-1)),LCOE!D$42/LCOE!D$27,0)+IF(AND(AE115&gt;=LCOE!D$16,COUNTIF(AE90:AE115,LCOE!D$16)=LCOE!D$36+1),LCOE!D$35*LCOE!D$38,0)</f>
        <v>0</v>
      </c>
      <c r="D115" s="16">
        <f>IF(AE114&lt;LCOE!D$16,1,0)</f>
        <v>0</v>
      </c>
      <c r="E115" s="12">
        <f>LCOE!G141+IF(AND(A115&gt;=LCOE!D$26,A115&lt;=(LCOE!D$26+LCOE!D$27-1)),0,1)*IF(A115=LCOE!D$34,0,1)*D115</f>
        <v>0</v>
      </c>
      <c r="F115" s="12">
        <f>IF(F114&lt;LCOE!D$18,MIN(F114*(1+LCOE!D$19),LCOE!D$18),LCOE!D$18)+LCOE!J141</f>
        <v>0.9</v>
      </c>
      <c r="G115" s="16">
        <f>LCOE!K141+E115*F115*N115*(LCOE!D$14+LCOE!H141)*24*365*D115</f>
        <v>0</v>
      </c>
      <c r="H115" s="16">
        <f>LCOE!L141+F115*(LCOE!D$15+LCOE!I141)*E115*24*365*D115*N115</f>
        <v>0</v>
      </c>
      <c r="I115" s="16">
        <f>LCOE!M141+LCOE!D$20*IF(LCOE!D$14&gt;0,(LCOE!D$14+LCOE!H141),(LCOE!D$15+LCOE!I141))*K115*D115</f>
        <v>0</v>
      </c>
      <c r="J115" s="16">
        <f>LCOE!N141+LCOE!D$21*IF(LCOE!D$14&gt;0,G115,H115)*K115*D115</f>
        <v>0</v>
      </c>
      <c r="K115" s="15">
        <f>LCOE!O141+K114+K114*LCOE!D$22</f>
        <v>1</v>
      </c>
      <c r="L115" s="16">
        <f>LCOE!P141+LCOE!D$23*IF(LCOE!D$14&gt;0,G115,H115)*M115*D115</f>
        <v>0</v>
      </c>
      <c r="M115" s="15">
        <f>LCOE!Q141+M114+M114*LCOE!D$24</f>
        <v>1</v>
      </c>
      <c r="N115" s="15">
        <f>LCOE!R141+N114-N114*LCOE!D$25</f>
        <v>1</v>
      </c>
      <c r="O115" s="18">
        <f>LCOE!S141+LCOE!D$29</f>
        <v>313.75</v>
      </c>
      <c r="P115" s="12">
        <f>LCOE!T141+IF(A115&gt;=LCOE!D$30,100%,0%)</f>
        <v>1</v>
      </c>
      <c r="Q115" s="16">
        <f>LCOE!U141+O115/1000*IF(LCOE!D$14&gt;0,G115,H115)</f>
        <v>0</v>
      </c>
      <c r="R115" s="16">
        <f>LCOE!B141</f>
        <v>30</v>
      </c>
      <c r="S115" s="16">
        <f>LCOE!V141+Q115*P115*R115</f>
        <v>0</v>
      </c>
      <c r="T115" s="16">
        <f>LCOE!W141+LCOE!D$31</f>
        <v>0</v>
      </c>
      <c r="U115" s="16">
        <f>LCOE!X141+T115*IF(LCOE!D$14&gt;0,G115,H115)</f>
        <v>0</v>
      </c>
      <c r="V115" s="16">
        <f>LCOE!Y141+LCOE!D$32</f>
        <v>0</v>
      </c>
      <c r="W115" s="16">
        <f>LCOE!Z141+V115*IF(LCOE!D$14&gt;0,G115,H115)</f>
        <v>0</v>
      </c>
      <c r="X115" s="16">
        <f>LCOE!AA141+LCOE!D$34</f>
        <v>101</v>
      </c>
      <c r="Y115" s="16">
        <f t="shared" si="15"/>
        <v>0</v>
      </c>
      <c r="Z115" s="50">
        <f t="shared" si="18"/>
        <v>0</v>
      </c>
      <c r="AA115" s="50">
        <f t="shared" si="19"/>
        <v>0</v>
      </c>
      <c r="AB115" s="50">
        <f t="shared" si="20"/>
        <v>0</v>
      </c>
      <c r="AC115" s="50">
        <f t="shared" si="16"/>
        <v>0</v>
      </c>
      <c r="AD115" s="50">
        <f t="shared" si="30"/>
        <v>0</v>
      </c>
      <c r="AE115">
        <f t="shared" si="25"/>
        <v>30</v>
      </c>
      <c r="AF115" s="12">
        <f>LCOE!E141+LCOE!D$40</f>
        <v>0</v>
      </c>
      <c r="AG115">
        <f t="shared" si="31"/>
        <v>1</v>
      </c>
      <c r="AH115" s="16">
        <f t="shared" si="26"/>
        <v>0</v>
      </c>
      <c r="AI115" s="16">
        <f t="shared" si="27"/>
        <v>0</v>
      </c>
      <c r="AJ115" s="16">
        <f t="shared" si="28"/>
        <v>0</v>
      </c>
      <c r="AK115" s="16">
        <f t="shared" si="29"/>
        <v>0</v>
      </c>
      <c r="AL115" s="16">
        <f t="shared" si="32"/>
        <v>0</v>
      </c>
      <c r="AM115" s="16">
        <f t="shared" si="33"/>
        <v>0</v>
      </c>
      <c r="AN115" s="16">
        <f>IF(LCOE!D$14&gt;0,G115,H115)/AG115</f>
        <v>0</v>
      </c>
    </row>
    <row r="116" spans="1:40">
      <c r="A116">
        <v>46</v>
      </c>
      <c r="C116" s="16">
        <f>LCOE!D142+IF(AND(LCOE!D$26&gt;0,A116&gt;=LCOE!D$26,A116&lt;=(LCOE!D$26+LCOE!D$27-1)),LCOE!D$42/LCOE!D$27,0)+IF(AND(AE116&gt;=LCOE!D$16,COUNTIF(AE91:AE116,LCOE!D$16)=LCOE!D$36+1),LCOE!D$35*LCOE!D$38,0)</f>
        <v>0</v>
      </c>
      <c r="D116" s="16">
        <f>IF(AE115&lt;LCOE!D$16,1,0)</f>
        <v>0</v>
      </c>
      <c r="E116" s="12">
        <f>LCOE!G142+IF(AND(A116&gt;=LCOE!D$26,A116&lt;=(LCOE!D$26+LCOE!D$27-1)),0,1)*IF(A116=LCOE!D$34,0,1)*D116</f>
        <v>0</v>
      </c>
      <c r="F116" s="12">
        <f>IF(F115&lt;LCOE!D$18,MIN(F115*(1+LCOE!D$19),LCOE!D$18),LCOE!D$18)+LCOE!J142</f>
        <v>0.9</v>
      </c>
      <c r="G116" s="16">
        <f>LCOE!K142+E116*F116*N116*(LCOE!D$14+LCOE!H142)*24*365*D116</f>
        <v>0</v>
      </c>
      <c r="H116" s="16">
        <f>LCOE!L142+F116*(LCOE!D$15+LCOE!I142)*E116*24*365*D116*N116</f>
        <v>0</v>
      </c>
      <c r="I116" s="16">
        <f>LCOE!M142+LCOE!D$20*IF(LCOE!D$14&gt;0,(LCOE!D$14+LCOE!H142),(LCOE!D$15+LCOE!I142))*K116*D116</f>
        <v>0</v>
      </c>
      <c r="J116" s="16">
        <f>LCOE!N142+LCOE!D$21*IF(LCOE!D$14&gt;0,G116,H116)*K116*D116</f>
        <v>0</v>
      </c>
      <c r="K116" s="15">
        <f>LCOE!O142+K115+K115*LCOE!D$22</f>
        <v>1</v>
      </c>
      <c r="L116" s="16">
        <f>LCOE!P142+LCOE!D$23*IF(LCOE!D$14&gt;0,G116,H116)*M116*D116</f>
        <v>0</v>
      </c>
      <c r="M116" s="15">
        <f>LCOE!Q142+M115+M115*LCOE!D$24</f>
        <v>1</v>
      </c>
      <c r="N116" s="15">
        <f>LCOE!R142+N115-N115*LCOE!D$25</f>
        <v>1</v>
      </c>
      <c r="O116" s="18">
        <f>LCOE!S142+LCOE!D$29</f>
        <v>313.75</v>
      </c>
      <c r="P116" s="12">
        <f>LCOE!T142+IF(A116&gt;=LCOE!D$30,100%,0%)</f>
        <v>1</v>
      </c>
      <c r="Q116" s="16">
        <f>LCOE!U142+O116/1000*IF(LCOE!D$14&gt;0,G116,H116)</f>
        <v>0</v>
      </c>
      <c r="R116" s="16">
        <f>LCOE!B142</f>
        <v>30</v>
      </c>
      <c r="S116" s="16">
        <f>LCOE!V142+Q116*P116*R116</f>
        <v>0</v>
      </c>
      <c r="T116" s="16">
        <f>LCOE!W142+LCOE!D$31</f>
        <v>0</v>
      </c>
      <c r="U116" s="16">
        <f>LCOE!X142+T116*IF(LCOE!D$14&gt;0,G116,H116)</f>
        <v>0</v>
      </c>
      <c r="V116" s="16">
        <f>LCOE!Y142+LCOE!D$32</f>
        <v>0</v>
      </c>
      <c r="W116" s="16">
        <f>LCOE!Z142+V116*IF(LCOE!D$14&gt;0,G116,H116)</f>
        <v>0</v>
      </c>
      <c r="X116" s="16">
        <f>LCOE!AA142+LCOE!D$34</f>
        <v>101</v>
      </c>
      <c r="Y116" s="16">
        <f t="shared" si="15"/>
        <v>0</v>
      </c>
      <c r="Z116" s="50">
        <f t="shared" si="18"/>
        <v>0</v>
      </c>
      <c r="AA116" s="50">
        <f t="shared" si="19"/>
        <v>0</v>
      </c>
      <c r="AB116" s="50">
        <f t="shared" si="20"/>
        <v>0</v>
      </c>
      <c r="AC116" s="50">
        <f t="shared" si="16"/>
        <v>0</v>
      </c>
      <c r="AD116" s="50">
        <f t="shared" si="30"/>
        <v>0</v>
      </c>
      <c r="AE116">
        <f t="shared" si="25"/>
        <v>30</v>
      </c>
      <c r="AF116" s="12">
        <f>LCOE!E142+LCOE!D$40</f>
        <v>0</v>
      </c>
      <c r="AG116">
        <f t="shared" si="31"/>
        <v>1</v>
      </c>
      <c r="AH116" s="16">
        <f t="shared" si="26"/>
        <v>0</v>
      </c>
      <c r="AI116" s="16">
        <f t="shared" si="27"/>
        <v>0</v>
      </c>
      <c r="AJ116" s="16">
        <f t="shared" si="28"/>
        <v>0</v>
      </c>
      <c r="AK116" s="16">
        <f t="shared" si="29"/>
        <v>0</v>
      </c>
      <c r="AL116" s="16">
        <f t="shared" si="32"/>
        <v>0</v>
      </c>
      <c r="AM116" s="16">
        <f t="shared" si="33"/>
        <v>0</v>
      </c>
      <c r="AN116" s="16">
        <f>IF(LCOE!D$14&gt;0,G116,H116)/AG116</f>
        <v>0</v>
      </c>
    </row>
    <row r="117" spans="1:40">
      <c r="A117">
        <v>47</v>
      </c>
      <c r="C117" s="16">
        <f>LCOE!D143+IF(AND(LCOE!D$26&gt;0,A117&gt;=LCOE!D$26,A117&lt;=(LCOE!D$26+LCOE!D$27-1)),LCOE!D$42/LCOE!D$27,0)+IF(AND(AE117&gt;=LCOE!D$16,COUNTIF(AE92:AE117,LCOE!D$16)=LCOE!D$36+1),LCOE!D$35*LCOE!D$38,0)</f>
        <v>0</v>
      </c>
      <c r="D117" s="16">
        <f>IF(AE116&lt;LCOE!D$16,1,0)</f>
        <v>0</v>
      </c>
      <c r="E117" s="12">
        <f>LCOE!G143+IF(AND(A117&gt;=LCOE!D$26,A117&lt;=(LCOE!D$26+LCOE!D$27-1)),0,1)*IF(A117=LCOE!D$34,0,1)*D117</f>
        <v>0</v>
      </c>
      <c r="F117" s="12">
        <f>IF(F116&lt;LCOE!D$18,MIN(F116*(1+LCOE!D$19),LCOE!D$18),LCOE!D$18)+LCOE!J143</f>
        <v>0.9</v>
      </c>
      <c r="G117" s="16">
        <f>LCOE!K143+E117*F117*N117*(LCOE!D$14+LCOE!H143)*24*365*D117</f>
        <v>0</v>
      </c>
      <c r="H117" s="16">
        <f>LCOE!L143+F117*(LCOE!D$15+LCOE!I143)*E117*24*365*D117*N117</f>
        <v>0</v>
      </c>
      <c r="I117" s="16">
        <f>LCOE!M143+LCOE!D$20*IF(LCOE!D$14&gt;0,(LCOE!D$14+LCOE!H143),(LCOE!D$15+LCOE!I143))*K117*D117</f>
        <v>0</v>
      </c>
      <c r="J117" s="16">
        <f>LCOE!N143+LCOE!D$21*IF(LCOE!D$14&gt;0,G117,H117)*K117*D117</f>
        <v>0</v>
      </c>
      <c r="K117" s="15">
        <f>LCOE!O143+K116+K116*LCOE!D$22</f>
        <v>1</v>
      </c>
      <c r="L117" s="16">
        <f>LCOE!P143+LCOE!D$23*IF(LCOE!D$14&gt;0,G117,H117)*M117*D117</f>
        <v>0</v>
      </c>
      <c r="M117" s="15">
        <f>LCOE!Q143+M116+M116*LCOE!D$24</f>
        <v>1</v>
      </c>
      <c r="N117" s="15">
        <f>LCOE!R143+N116-N116*LCOE!D$25</f>
        <v>1</v>
      </c>
      <c r="O117" s="18">
        <f>LCOE!S143+LCOE!D$29</f>
        <v>313.75</v>
      </c>
      <c r="P117" s="12">
        <f>LCOE!T143+IF(A117&gt;=LCOE!D$30,100%,0%)</f>
        <v>1</v>
      </c>
      <c r="Q117" s="16">
        <f>LCOE!U143+O117/1000*IF(LCOE!D$14&gt;0,G117,H117)</f>
        <v>0</v>
      </c>
      <c r="R117" s="16">
        <f>LCOE!B143</f>
        <v>30</v>
      </c>
      <c r="S117" s="16">
        <f>LCOE!V143+Q117*P117*R117</f>
        <v>0</v>
      </c>
      <c r="T117" s="16">
        <f>LCOE!W143+LCOE!D$31</f>
        <v>0</v>
      </c>
      <c r="U117" s="16">
        <f>LCOE!X143+T117*IF(LCOE!D$14&gt;0,G117,H117)</f>
        <v>0</v>
      </c>
      <c r="V117" s="16">
        <f>LCOE!Y143+LCOE!D$32</f>
        <v>0</v>
      </c>
      <c r="W117" s="16">
        <f>LCOE!Z143+V117*IF(LCOE!D$14&gt;0,G117,H117)</f>
        <v>0</v>
      </c>
      <c r="X117" s="16">
        <f>LCOE!AA143+LCOE!D$34</f>
        <v>101</v>
      </c>
      <c r="Y117" s="16">
        <f t="shared" si="15"/>
        <v>0</v>
      </c>
      <c r="Z117" s="50">
        <f t="shared" si="18"/>
        <v>0</v>
      </c>
      <c r="AA117" s="50">
        <f t="shared" si="19"/>
        <v>0</v>
      </c>
      <c r="AB117" s="50">
        <f t="shared" si="20"/>
        <v>0</v>
      </c>
      <c r="AC117" s="50">
        <f t="shared" si="16"/>
        <v>0</v>
      </c>
      <c r="AD117" s="50">
        <f t="shared" si="30"/>
        <v>0</v>
      </c>
      <c r="AE117">
        <f t="shared" si="25"/>
        <v>30</v>
      </c>
      <c r="AF117" s="12">
        <f>LCOE!E143+LCOE!D$40</f>
        <v>0</v>
      </c>
      <c r="AG117">
        <f t="shared" si="31"/>
        <v>1</v>
      </c>
      <c r="AH117" s="16">
        <f t="shared" si="26"/>
        <v>0</v>
      </c>
      <c r="AI117" s="16">
        <f t="shared" si="27"/>
        <v>0</v>
      </c>
      <c r="AJ117" s="16">
        <f t="shared" si="28"/>
        <v>0</v>
      </c>
      <c r="AK117" s="16">
        <f t="shared" si="29"/>
        <v>0</v>
      </c>
      <c r="AL117" s="16">
        <f t="shared" si="32"/>
        <v>0</v>
      </c>
      <c r="AM117" s="16">
        <f t="shared" si="33"/>
        <v>0</v>
      </c>
      <c r="AN117" s="16">
        <f>IF(LCOE!D$14&gt;0,G117,H117)/AG117</f>
        <v>0</v>
      </c>
    </row>
    <row r="118" spans="1:40">
      <c r="A118">
        <v>48</v>
      </c>
      <c r="C118" s="16">
        <f>LCOE!D144+IF(AND(LCOE!D$26&gt;0,A118&gt;=LCOE!D$26,A118&lt;=(LCOE!D$26+LCOE!D$27-1)),LCOE!D$42/LCOE!D$27,0)+IF(AND(AE118&gt;=LCOE!D$16,COUNTIF(AE93:AE118,LCOE!D$16)=LCOE!D$36+1),LCOE!D$35*LCOE!D$38,0)</f>
        <v>0</v>
      </c>
      <c r="D118" s="16">
        <f>IF(AE117&lt;LCOE!D$16,1,0)</f>
        <v>0</v>
      </c>
      <c r="E118" s="12">
        <f>LCOE!G144+IF(AND(A118&gt;=LCOE!D$26,A118&lt;=(LCOE!D$26+LCOE!D$27-1)),0,1)*IF(A118=LCOE!D$34,0,1)*D118</f>
        <v>0</v>
      </c>
      <c r="F118" s="12">
        <f>IF(F117&lt;LCOE!D$18,MIN(F117*(1+LCOE!D$19),LCOE!D$18),LCOE!D$18)+LCOE!J144</f>
        <v>0.9</v>
      </c>
      <c r="G118" s="16">
        <f>LCOE!K144+E118*F118*N118*(LCOE!D$14+LCOE!H144)*24*365*D118</f>
        <v>0</v>
      </c>
      <c r="H118" s="16">
        <f>LCOE!L144+F118*(LCOE!D$15+LCOE!I144)*E118*24*365*D118*N118</f>
        <v>0</v>
      </c>
      <c r="I118" s="16">
        <f>LCOE!M144+LCOE!D$20*IF(LCOE!D$14&gt;0,(LCOE!D$14+LCOE!H144),(LCOE!D$15+LCOE!I144))*K118*D118</f>
        <v>0</v>
      </c>
      <c r="J118" s="16">
        <f>LCOE!N144+LCOE!D$21*IF(LCOE!D$14&gt;0,G118,H118)*K118*D118</f>
        <v>0</v>
      </c>
      <c r="K118" s="15">
        <f>LCOE!O144+K117+K117*LCOE!D$22</f>
        <v>1</v>
      </c>
      <c r="L118" s="16">
        <f>LCOE!P144+LCOE!D$23*IF(LCOE!D$14&gt;0,G118,H118)*M118*D118</f>
        <v>0</v>
      </c>
      <c r="M118" s="15">
        <f>LCOE!Q144+M117+M117*LCOE!D$24</f>
        <v>1</v>
      </c>
      <c r="N118" s="15">
        <f>LCOE!R144+N117-N117*LCOE!D$25</f>
        <v>1</v>
      </c>
      <c r="O118" s="18">
        <f>LCOE!S144+LCOE!D$29</f>
        <v>313.75</v>
      </c>
      <c r="P118" s="12">
        <f>LCOE!T144+IF(A118&gt;=LCOE!D$30,100%,0%)</f>
        <v>1</v>
      </c>
      <c r="Q118" s="16">
        <f>LCOE!U144+O118/1000*IF(LCOE!D$14&gt;0,G118,H118)</f>
        <v>0</v>
      </c>
      <c r="R118" s="16">
        <f>LCOE!B144</f>
        <v>30</v>
      </c>
      <c r="S118" s="16">
        <f>LCOE!V144+Q118*P118*R118</f>
        <v>0</v>
      </c>
      <c r="T118" s="16">
        <f>LCOE!W144+LCOE!D$31</f>
        <v>0</v>
      </c>
      <c r="U118" s="16">
        <f>LCOE!X144+T118*IF(LCOE!D$14&gt;0,G118,H118)</f>
        <v>0</v>
      </c>
      <c r="V118" s="16">
        <f>LCOE!Y144+LCOE!D$32</f>
        <v>0</v>
      </c>
      <c r="W118" s="16">
        <f>LCOE!Z144+V118*IF(LCOE!D$14&gt;0,G118,H118)</f>
        <v>0</v>
      </c>
      <c r="X118" s="16">
        <f>LCOE!AA144+LCOE!D$34</f>
        <v>101</v>
      </c>
      <c r="Y118" s="16">
        <f t="shared" si="15"/>
        <v>0</v>
      </c>
      <c r="Z118" s="50">
        <f t="shared" si="18"/>
        <v>0</v>
      </c>
      <c r="AA118" s="50">
        <f t="shared" si="19"/>
        <v>0</v>
      </c>
      <c r="AB118" s="50">
        <f t="shared" si="20"/>
        <v>0</v>
      </c>
      <c r="AC118" s="50">
        <f t="shared" si="16"/>
        <v>0</v>
      </c>
      <c r="AD118" s="50">
        <f t="shared" si="30"/>
        <v>0</v>
      </c>
      <c r="AE118">
        <f t="shared" si="25"/>
        <v>30</v>
      </c>
      <c r="AF118" s="12">
        <f>LCOE!E144+LCOE!D$40</f>
        <v>0</v>
      </c>
      <c r="AG118">
        <f t="shared" si="31"/>
        <v>1</v>
      </c>
      <c r="AH118" s="16">
        <f t="shared" si="26"/>
        <v>0</v>
      </c>
      <c r="AI118" s="16">
        <f t="shared" si="27"/>
        <v>0</v>
      </c>
      <c r="AJ118" s="16">
        <f t="shared" si="28"/>
        <v>0</v>
      </c>
      <c r="AK118" s="16">
        <f t="shared" si="29"/>
        <v>0</v>
      </c>
      <c r="AL118" s="16">
        <f t="shared" si="32"/>
        <v>0</v>
      </c>
      <c r="AM118" s="16">
        <f t="shared" si="33"/>
        <v>0</v>
      </c>
      <c r="AN118" s="16">
        <f>IF(LCOE!D$14&gt;0,G118,H118)/AG118</f>
        <v>0</v>
      </c>
    </row>
    <row r="119" spans="1:40">
      <c r="A119">
        <v>49</v>
      </c>
      <c r="C119" s="16">
        <f>LCOE!D145+IF(AND(LCOE!D$26&gt;0,A119&gt;=LCOE!D$26,A119&lt;=(LCOE!D$26+LCOE!D$27-1)),LCOE!D$42/LCOE!D$27,0)+IF(AND(AE119&gt;=LCOE!D$16,COUNTIF(AE94:AE119,LCOE!D$16)=LCOE!D$36+1),LCOE!D$35*LCOE!D$38,0)</f>
        <v>0</v>
      </c>
      <c r="D119" s="16">
        <f>IF(AE118&lt;LCOE!D$16,1,0)</f>
        <v>0</v>
      </c>
      <c r="E119" s="12">
        <f>LCOE!G145+IF(AND(A119&gt;=LCOE!D$26,A119&lt;=(LCOE!D$26+LCOE!D$27-1)),0,1)*IF(A119=LCOE!D$34,0,1)*D119</f>
        <v>0</v>
      </c>
      <c r="F119" s="12">
        <f>IF(F118&lt;LCOE!D$18,MIN(F118*(1+LCOE!D$19),LCOE!D$18),LCOE!D$18)+LCOE!J145</f>
        <v>0.9</v>
      </c>
      <c r="G119" s="16">
        <f>LCOE!K145+E119*F119*N119*(LCOE!D$14+LCOE!H145)*24*365*D119</f>
        <v>0</v>
      </c>
      <c r="H119" s="16">
        <f>LCOE!L145+F119*(LCOE!D$15+LCOE!I145)*E119*24*365*D119*N119</f>
        <v>0</v>
      </c>
      <c r="I119" s="16">
        <f>LCOE!M145+LCOE!D$20*IF(LCOE!D$14&gt;0,(LCOE!D$14+LCOE!H145),(LCOE!D$15+LCOE!I145))*K119*D119</f>
        <v>0</v>
      </c>
      <c r="J119" s="16">
        <f>LCOE!N145+LCOE!D$21*IF(LCOE!D$14&gt;0,G119,H119)*K119*D119</f>
        <v>0</v>
      </c>
      <c r="K119" s="15">
        <f>LCOE!O145+K118+K118*LCOE!D$22</f>
        <v>1</v>
      </c>
      <c r="L119" s="16">
        <f>LCOE!P145+LCOE!D$23*IF(LCOE!D$14&gt;0,G119,H119)*M119*D119</f>
        <v>0</v>
      </c>
      <c r="M119" s="15">
        <f>LCOE!Q145+M118+M118*LCOE!D$24</f>
        <v>1</v>
      </c>
      <c r="N119" s="15">
        <f>LCOE!R145+N118-N118*LCOE!D$25</f>
        <v>1</v>
      </c>
      <c r="O119" s="18">
        <f>LCOE!S145+LCOE!D$29</f>
        <v>313.75</v>
      </c>
      <c r="P119" s="12">
        <f>LCOE!T145+IF(A119&gt;=LCOE!D$30,100%,0%)</f>
        <v>1</v>
      </c>
      <c r="Q119" s="16">
        <f>LCOE!U145+O119/1000*IF(LCOE!D$14&gt;0,G119,H119)</f>
        <v>0</v>
      </c>
      <c r="R119" s="16">
        <f>LCOE!B145</f>
        <v>30</v>
      </c>
      <c r="S119" s="16">
        <f>LCOE!V145+Q119*P119*R119</f>
        <v>0</v>
      </c>
      <c r="T119" s="16">
        <f>LCOE!W145+LCOE!D$31</f>
        <v>0</v>
      </c>
      <c r="U119" s="16">
        <f>LCOE!X145+T119*IF(LCOE!D$14&gt;0,G119,H119)</f>
        <v>0</v>
      </c>
      <c r="V119" s="16">
        <f>LCOE!Y145+LCOE!D$32</f>
        <v>0</v>
      </c>
      <c r="W119" s="16">
        <f>LCOE!Z145+V119*IF(LCOE!D$14&gt;0,G119,H119)</f>
        <v>0</v>
      </c>
      <c r="X119" s="16">
        <f>LCOE!AA145+LCOE!D$34</f>
        <v>101</v>
      </c>
      <c r="Y119" s="16">
        <f t="shared" si="15"/>
        <v>0</v>
      </c>
      <c r="Z119" s="50">
        <f t="shared" si="18"/>
        <v>0</v>
      </c>
      <c r="AA119" s="50">
        <f t="shared" si="19"/>
        <v>0</v>
      </c>
      <c r="AB119" s="50">
        <f t="shared" si="20"/>
        <v>0</v>
      </c>
      <c r="AC119" s="50">
        <f t="shared" si="16"/>
        <v>0</v>
      </c>
      <c r="AD119" s="50">
        <f t="shared" si="30"/>
        <v>0</v>
      </c>
      <c r="AE119">
        <f t="shared" si="25"/>
        <v>30</v>
      </c>
      <c r="AF119" s="12">
        <f>LCOE!E145+LCOE!D$40</f>
        <v>0</v>
      </c>
      <c r="AG119">
        <f t="shared" si="31"/>
        <v>1</v>
      </c>
      <c r="AH119" s="16">
        <f t="shared" si="26"/>
        <v>0</v>
      </c>
      <c r="AI119" s="16">
        <f t="shared" si="27"/>
        <v>0</v>
      </c>
      <c r="AJ119" s="16">
        <f t="shared" si="28"/>
        <v>0</v>
      </c>
      <c r="AK119" s="16">
        <f t="shared" si="29"/>
        <v>0</v>
      </c>
      <c r="AL119" s="16">
        <f t="shared" si="32"/>
        <v>0</v>
      </c>
      <c r="AM119" s="16">
        <f t="shared" si="33"/>
        <v>0</v>
      </c>
      <c r="AN119" s="16">
        <f>IF(LCOE!D$14&gt;0,G119,H119)/AG119</f>
        <v>0</v>
      </c>
    </row>
    <row r="120" spans="1:40">
      <c r="A120">
        <v>50</v>
      </c>
      <c r="C120" s="16">
        <f>LCOE!D146+IF(AND(LCOE!D$26&gt;0,A120&gt;=LCOE!D$26,A120&lt;=(LCOE!D$26+LCOE!D$27-1)),LCOE!D$42/LCOE!D$27,0)+IF(AND(AE120&gt;=LCOE!D$16,COUNTIF(AE95:AE120,LCOE!D$16)=LCOE!D$36+1),LCOE!D$35*LCOE!D$38,0)</f>
        <v>0</v>
      </c>
      <c r="D120" s="16">
        <f>IF(AE119&lt;LCOE!D$16,1,0)</f>
        <v>0</v>
      </c>
      <c r="E120" s="12">
        <f>LCOE!G146+IF(AND(A120&gt;=LCOE!D$26,A120&lt;=(LCOE!D$26+LCOE!D$27-1)),0,1)*IF(A120=LCOE!D$34,0,1)*D120</f>
        <v>0</v>
      </c>
      <c r="F120" s="12">
        <f>IF(F119&lt;LCOE!D$18,MIN(F119*(1+LCOE!D$19),LCOE!D$18),LCOE!D$18)+LCOE!J146</f>
        <v>0.9</v>
      </c>
      <c r="G120" s="16">
        <f>LCOE!K146+E120*F120*N120*(LCOE!D$14+LCOE!H146)*24*365*D120</f>
        <v>0</v>
      </c>
      <c r="H120" s="16">
        <f>LCOE!L146+F120*(LCOE!D$15+LCOE!I146)*E120*24*365*D120*N120</f>
        <v>0</v>
      </c>
      <c r="I120" s="16">
        <f>LCOE!M146+LCOE!D$20*IF(LCOE!D$14&gt;0,(LCOE!D$14+LCOE!H146),(LCOE!D$15+LCOE!I146))*K120*D120</f>
        <v>0</v>
      </c>
      <c r="J120" s="16">
        <f>LCOE!N146+LCOE!D$21*IF(LCOE!D$14&gt;0,G120,H120)*K120*D120</f>
        <v>0</v>
      </c>
      <c r="K120" s="15">
        <f>LCOE!O146+K119+K119*LCOE!D$22</f>
        <v>1</v>
      </c>
      <c r="L120" s="16">
        <f>LCOE!P146+LCOE!D$23*IF(LCOE!D$14&gt;0,G120,H120)*M120*D120</f>
        <v>0</v>
      </c>
      <c r="M120" s="15">
        <f>LCOE!Q146+M119+M119*LCOE!D$24</f>
        <v>1</v>
      </c>
      <c r="N120" s="15">
        <f>LCOE!R146+N119-N119*LCOE!D$25</f>
        <v>1</v>
      </c>
      <c r="O120" s="18">
        <f>LCOE!S146+LCOE!D$29</f>
        <v>313.75</v>
      </c>
      <c r="P120" s="12">
        <f>LCOE!T146+IF(A120&gt;=LCOE!D$30,100%,0%)</f>
        <v>1</v>
      </c>
      <c r="Q120" s="16">
        <f>LCOE!U146+O120/1000*IF(LCOE!D$14&gt;0,G120,H120)</f>
        <v>0</v>
      </c>
      <c r="R120" s="16">
        <f>LCOE!B146</f>
        <v>30</v>
      </c>
      <c r="S120" s="16">
        <f>LCOE!V146+Q120*P120*R120</f>
        <v>0</v>
      </c>
      <c r="T120" s="16">
        <f>LCOE!W146+LCOE!D$31</f>
        <v>0</v>
      </c>
      <c r="U120" s="16">
        <f>LCOE!X146+T120*IF(LCOE!D$14&gt;0,G120,H120)</f>
        <v>0</v>
      </c>
      <c r="V120" s="16">
        <f>LCOE!Y146+LCOE!D$32</f>
        <v>0</v>
      </c>
      <c r="W120" s="16">
        <f>LCOE!Z146+V120*IF(LCOE!D$14&gt;0,G120,H120)</f>
        <v>0</v>
      </c>
      <c r="X120" s="16">
        <f>LCOE!AA146+LCOE!D$34</f>
        <v>101</v>
      </c>
      <c r="Y120" s="16">
        <f t="shared" si="15"/>
        <v>0</v>
      </c>
      <c r="Z120" s="50">
        <f t="shared" si="18"/>
        <v>0</v>
      </c>
      <c r="AA120" s="50">
        <f t="shared" si="19"/>
        <v>0</v>
      </c>
      <c r="AB120" s="50">
        <f t="shared" si="20"/>
        <v>0</v>
      </c>
      <c r="AC120" s="50">
        <f t="shared" si="16"/>
        <v>0</v>
      </c>
      <c r="AD120" s="50">
        <f t="shared" si="30"/>
        <v>0</v>
      </c>
      <c r="AE120">
        <f t="shared" si="25"/>
        <v>30</v>
      </c>
      <c r="AF120" s="12">
        <f>LCOE!E146+LCOE!D$40</f>
        <v>0</v>
      </c>
      <c r="AG120">
        <f t="shared" si="31"/>
        <v>1</v>
      </c>
      <c r="AH120" s="16">
        <f t="shared" si="26"/>
        <v>0</v>
      </c>
      <c r="AI120" s="16">
        <f t="shared" si="27"/>
        <v>0</v>
      </c>
      <c r="AJ120" s="16">
        <f t="shared" si="28"/>
        <v>0</v>
      </c>
      <c r="AK120" s="16">
        <f t="shared" si="29"/>
        <v>0</v>
      </c>
      <c r="AL120" s="16">
        <f t="shared" si="32"/>
        <v>0</v>
      </c>
      <c r="AM120" s="16">
        <f t="shared" si="33"/>
        <v>0</v>
      </c>
      <c r="AN120" s="16">
        <f>IF(LCOE!D$14&gt;0,G120,H120)/AG120</f>
        <v>0</v>
      </c>
    </row>
    <row r="121" spans="1:40">
      <c r="A121">
        <v>51</v>
      </c>
      <c r="C121" s="16">
        <f>LCOE!D147+IF(AND(LCOE!D$26&gt;0,A121&gt;=LCOE!D$26,A121&lt;=(LCOE!D$26+LCOE!D$27-1)),LCOE!D$42/LCOE!D$27,0)+IF(AND(AE121&gt;=LCOE!D$16,COUNTIF(AE96:AE121,LCOE!D$16)=LCOE!D$36+1),LCOE!D$35*LCOE!D$38,0)</f>
        <v>0</v>
      </c>
      <c r="D121" s="16">
        <f>IF(AE120&lt;LCOE!D$16,1,0)</f>
        <v>0</v>
      </c>
      <c r="E121" s="12">
        <f>LCOE!G147+IF(AND(A121&gt;=LCOE!D$26,A121&lt;=(LCOE!D$26+LCOE!D$27-1)),0,1)*IF(A121=LCOE!D$34,0,1)*D121</f>
        <v>0</v>
      </c>
      <c r="F121" s="12">
        <f>IF(F120&lt;LCOE!D$18,MIN(F120*(1+LCOE!D$19),LCOE!D$18),LCOE!D$18)+LCOE!J147</f>
        <v>0.9</v>
      </c>
      <c r="G121" s="16">
        <f>LCOE!K147+E121*F121*N121*(LCOE!D$14+LCOE!H147)*24*365*D121</f>
        <v>0</v>
      </c>
      <c r="H121" s="16">
        <f>LCOE!L147+F121*(LCOE!D$15+LCOE!I147)*E121*24*365*D121*N121</f>
        <v>0</v>
      </c>
      <c r="I121" s="16">
        <f>LCOE!M147+LCOE!D$20*IF(LCOE!D$14&gt;0,(LCOE!D$14+LCOE!H147),(LCOE!D$15+LCOE!I147))*K121*D121</f>
        <v>0</v>
      </c>
      <c r="J121" s="16">
        <f>LCOE!N147+LCOE!D$21*IF(LCOE!D$14&gt;0,G121,H121)*K121*D121</f>
        <v>0</v>
      </c>
      <c r="K121" s="15">
        <f>LCOE!O147+K120+K120*LCOE!D$22</f>
        <v>1</v>
      </c>
      <c r="L121" s="16">
        <f>LCOE!P147+LCOE!D$23*IF(LCOE!D$14&gt;0,G121,H121)*M121*D121</f>
        <v>0</v>
      </c>
      <c r="M121" s="15">
        <f>LCOE!Q147+M120+M120*LCOE!D$24</f>
        <v>1</v>
      </c>
      <c r="N121" s="15">
        <f>LCOE!R147+N120-N120*LCOE!D$25</f>
        <v>1</v>
      </c>
      <c r="O121" s="18">
        <f>LCOE!S147+LCOE!D$29</f>
        <v>313.75</v>
      </c>
      <c r="P121" s="12">
        <f>LCOE!T147+IF(A121&gt;=LCOE!D$30,100%,0%)</f>
        <v>1</v>
      </c>
      <c r="Q121" s="16">
        <f>LCOE!U147+O121/1000*IF(LCOE!D$14&gt;0,G121,H121)</f>
        <v>0</v>
      </c>
      <c r="R121" s="16">
        <f>LCOE!B147</f>
        <v>30</v>
      </c>
      <c r="S121" s="16">
        <f>LCOE!V147+Q121*P121*R121</f>
        <v>0</v>
      </c>
      <c r="T121" s="16">
        <f>LCOE!W147+LCOE!D$31</f>
        <v>0</v>
      </c>
      <c r="U121" s="16">
        <f>LCOE!X147+T121*IF(LCOE!D$14&gt;0,G121,H121)</f>
        <v>0</v>
      </c>
      <c r="V121" s="16">
        <f>LCOE!Y147+LCOE!D$32</f>
        <v>0</v>
      </c>
      <c r="W121" s="16">
        <f>LCOE!Z147+V121*IF(LCOE!D$14&gt;0,G121,H121)</f>
        <v>0</v>
      </c>
      <c r="X121" s="16">
        <f>LCOE!AA147+LCOE!D$34</f>
        <v>101</v>
      </c>
      <c r="Y121" s="16">
        <f t="shared" si="15"/>
        <v>0</v>
      </c>
      <c r="Z121" s="50">
        <f t="shared" si="18"/>
        <v>0</v>
      </c>
      <c r="AA121" s="50">
        <f t="shared" si="19"/>
        <v>0</v>
      </c>
      <c r="AB121" s="50">
        <f t="shared" si="20"/>
        <v>0</v>
      </c>
      <c r="AC121" s="50">
        <f t="shared" si="16"/>
        <v>0</v>
      </c>
      <c r="AD121" s="50">
        <f t="shared" si="30"/>
        <v>0</v>
      </c>
      <c r="AE121">
        <f t="shared" si="25"/>
        <v>30</v>
      </c>
      <c r="AF121" s="12">
        <f>LCOE!E147+LCOE!D$40</f>
        <v>0</v>
      </c>
      <c r="AG121">
        <f t="shared" si="31"/>
        <v>1</v>
      </c>
      <c r="AH121" s="16">
        <f t="shared" si="26"/>
        <v>0</v>
      </c>
      <c r="AI121" s="16">
        <f t="shared" si="27"/>
        <v>0</v>
      </c>
      <c r="AJ121" s="16">
        <f t="shared" si="28"/>
        <v>0</v>
      </c>
      <c r="AK121" s="16">
        <f t="shared" si="29"/>
        <v>0</v>
      </c>
      <c r="AL121" s="16">
        <f t="shared" si="32"/>
        <v>0</v>
      </c>
      <c r="AM121" s="16">
        <f t="shared" si="33"/>
        <v>0</v>
      </c>
      <c r="AN121" s="16">
        <f>IF(LCOE!D$14&gt;0,G121,H121)/AG121</f>
        <v>0</v>
      </c>
    </row>
    <row r="122" spans="1:40">
      <c r="A122">
        <v>52</v>
      </c>
      <c r="C122" s="16">
        <f>LCOE!D148+IF(AND(LCOE!D$26&gt;0,A122&gt;=LCOE!D$26,A122&lt;=(LCOE!D$26+LCOE!D$27-1)),LCOE!D$42/LCOE!D$27,0)+IF(AND(AE122&gt;=LCOE!D$16,COUNTIF(AE97:AE122,LCOE!D$16)=LCOE!D$36+1),LCOE!D$35*LCOE!D$38,0)</f>
        <v>0</v>
      </c>
      <c r="D122" s="16">
        <f>IF(AE121&lt;LCOE!D$16,1,0)</f>
        <v>0</v>
      </c>
      <c r="E122" s="12">
        <f>LCOE!G148+IF(AND(A122&gt;=LCOE!D$26,A122&lt;=(LCOE!D$26+LCOE!D$27-1)),0,1)*IF(A122=LCOE!D$34,0,1)*D122</f>
        <v>0</v>
      </c>
      <c r="F122" s="12">
        <f>IF(F121&lt;LCOE!D$18,MIN(F121*(1+LCOE!D$19),LCOE!D$18),LCOE!D$18)+LCOE!J148</f>
        <v>0.9</v>
      </c>
      <c r="G122" s="16">
        <f>LCOE!K148+E122*F122*N122*(LCOE!D$14+LCOE!H148)*24*365*D122</f>
        <v>0</v>
      </c>
      <c r="H122" s="16">
        <f>LCOE!L148+F122*(LCOE!D$15+LCOE!I148)*E122*24*365*D122*N122</f>
        <v>0</v>
      </c>
      <c r="I122" s="16">
        <f>LCOE!M148+LCOE!D$20*IF(LCOE!D$14&gt;0,(LCOE!D$14+LCOE!H148),(LCOE!D$15+LCOE!I148))*K122*D122</f>
        <v>0</v>
      </c>
      <c r="J122" s="16">
        <f>LCOE!N148+LCOE!D$21*IF(LCOE!D$14&gt;0,G122,H122)*K122*D122</f>
        <v>0</v>
      </c>
      <c r="K122" s="15">
        <f>LCOE!O148+K121+K121*LCOE!D$22</f>
        <v>1</v>
      </c>
      <c r="L122" s="16">
        <f>LCOE!P148+LCOE!D$23*IF(LCOE!D$14&gt;0,G122,H122)*M122*D122</f>
        <v>0</v>
      </c>
      <c r="M122" s="15">
        <f>LCOE!Q148+M121+M121*LCOE!D$24</f>
        <v>1</v>
      </c>
      <c r="N122" s="15">
        <f>LCOE!R148+N121-N121*LCOE!D$25</f>
        <v>1</v>
      </c>
      <c r="O122" s="18">
        <f>LCOE!S148+LCOE!D$29</f>
        <v>313.75</v>
      </c>
      <c r="P122" s="12">
        <f>LCOE!T148+IF(A122&gt;=LCOE!D$30,100%,0%)</f>
        <v>1</v>
      </c>
      <c r="Q122" s="16">
        <f>LCOE!U148+O122/1000*IF(LCOE!D$14&gt;0,G122,H122)</f>
        <v>0</v>
      </c>
      <c r="R122" s="16">
        <f>LCOE!B148</f>
        <v>30</v>
      </c>
      <c r="S122" s="16">
        <f>LCOE!V148+Q122*P122*R122</f>
        <v>0</v>
      </c>
      <c r="T122" s="16">
        <f>LCOE!W148+LCOE!D$31</f>
        <v>0</v>
      </c>
      <c r="U122" s="16">
        <f>LCOE!X148+T122*IF(LCOE!D$14&gt;0,G122,H122)</f>
        <v>0</v>
      </c>
      <c r="V122" s="16">
        <f>LCOE!Y148+LCOE!D$32</f>
        <v>0</v>
      </c>
      <c r="W122" s="16">
        <f>LCOE!Z148+V122*IF(LCOE!D$14&gt;0,G122,H122)</f>
        <v>0</v>
      </c>
      <c r="X122" s="16">
        <f>LCOE!AA148+LCOE!D$34</f>
        <v>101</v>
      </c>
      <c r="Y122" s="16">
        <f t="shared" si="15"/>
        <v>0</v>
      </c>
      <c r="Z122" s="50">
        <f t="shared" si="18"/>
        <v>0</v>
      </c>
      <c r="AA122" s="50">
        <f t="shared" si="19"/>
        <v>0</v>
      </c>
      <c r="AB122" s="50">
        <f t="shared" si="20"/>
        <v>0</v>
      </c>
      <c r="AC122" s="50">
        <f t="shared" si="16"/>
        <v>0</v>
      </c>
      <c r="AD122" s="50">
        <f t="shared" si="30"/>
        <v>0</v>
      </c>
      <c r="AE122">
        <f t="shared" si="25"/>
        <v>30</v>
      </c>
      <c r="AF122" s="12">
        <f>LCOE!E148+LCOE!D$40</f>
        <v>0</v>
      </c>
      <c r="AG122">
        <f t="shared" si="31"/>
        <v>1</v>
      </c>
      <c r="AH122" s="16">
        <f t="shared" si="26"/>
        <v>0</v>
      </c>
      <c r="AI122" s="16">
        <f t="shared" si="27"/>
        <v>0</v>
      </c>
      <c r="AJ122" s="16">
        <f t="shared" si="28"/>
        <v>0</v>
      </c>
      <c r="AK122" s="16">
        <f t="shared" si="29"/>
        <v>0</v>
      </c>
      <c r="AL122" s="16">
        <f t="shared" si="32"/>
        <v>0</v>
      </c>
      <c r="AM122" s="16">
        <f t="shared" si="33"/>
        <v>0</v>
      </c>
      <c r="AN122" s="16">
        <f>IF(LCOE!D$14&gt;0,G122,H122)/AG122</f>
        <v>0</v>
      </c>
    </row>
    <row r="123" spans="1:40">
      <c r="A123">
        <v>53</v>
      </c>
      <c r="C123" s="16">
        <f>LCOE!D149+IF(AND(LCOE!D$26&gt;0,A123&gt;=LCOE!D$26,A123&lt;=(LCOE!D$26+LCOE!D$27-1)),LCOE!D$42/LCOE!D$27,0)+IF(AND(AE123&gt;=LCOE!D$16,COUNTIF(AE98:AE123,LCOE!D$16)=LCOE!D$36+1),LCOE!D$35*LCOE!D$38,0)</f>
        <v>0</v>
      </c>
      <c r="D123" s="16">
        <f>IF(AE122&lt;LCOE!D$16,1,0)</f>
        <v>0</v>
      </c>
      <c r="E123" s="12">
        <f>LCOE!G149+IF(AND(A123&gt;=LCOE!D$26,A123&lt;=(LCOE!D$26+LCOE!D$27-1)),0,1)*IF(A123=LCOE!D$34,0,1)*D123</f>
        <v>0</v>
      </c>
      <c r="F123" s="12">
        <f>IF(F122&lt;LCOE!D$18,MIN(F122*(1+LCOE!D$19),LCOE!D$18),LCOE!D$18)+LCOE!J149</f>
        <v>0.9</v>
      </c>
      <c r="G123" s="16">
        <f>LCOE!K149+E123*F123*N123*(LCOE!D$14+LCOE!H149)*24*365*D123</f>
        <v>0</v>
      </c>
      <c r="H123" s="16">
        <f>LCOE!L149+F123*(LCOE!D$15+LCOE!I149)*E123*24*365*D123*N123</f>
        <v>0</v>
      </c>
      <c r="I123" s="16">
        <f>LCOE!M149+LCOE!D$20*IF(LCOE!D$14&gt;0,(LCOE!D$14+LCOE!H149),(LCOE!D$15+LCOE!I149))*K123*D123</f>
        <v>0</v>
      </c>
      <c r="J123" s="16">
        <f>LCOE!N149+LCOE!D$21*IF(LCOE!D$14&gt;0,G123,H123)*K123*D123</f>
        <v>0</v>
      </c>
      <c r="K123" s="15">
        <f>LCOE!O149+K122+K122*LCOE!D$22</f>
        <v>1</v>
      </c>
      <c r="L123" s="16">
        <f>LCOE!P149+LCOE!D$23*IF(LCOE!D$14&gt;0,G123,H123)*M123*D123</f>
        <v>0</v>
      </c>
      <c r="M123" s="15">
        <f>LCOE!Q149+M122+M122*LCOE!D$24</f>
        <v>1</v>
      </c>
      <c r="N123" s="15">
        <f>LCOE!R149+N122-N122*LCOE!D$25</f>
        <v>1</v>
      </c>
      <c r="O123" s="18">
        <f>LCOE!S149+LCOE!D$29</f>
        <v>313.75</v>
      </c>
      <c r="P123" s="12">
        <f>LCOE!T149+IF(A123&gt;=LCOE!D$30,100%,0%)</f>
        <v>1</v>
      </c>
      <c r="Q123" s="16">
        <f>LCOE!U149+O123/1000*IF(LCOE!D$14&gt;0,G123,H123)</f>
        <v>0</v>
      </c>
      <c r="R123" s="16">
        <f>LCOE!B149</f>
        <v>30</v>
      </c>
      <c r="S123" s="16">
        <f>LCOE!V149+Q123*P123*R123</f>
        <v>0</v>
      </c>
      <c r="T123" s="16">
        <f>LCOE!W149+LCOE!D$31</f>
        <v>0</v>
      </c>
      <c r="U123" s="16">
        <f>LCOE!X149+T123*IF(LCOE!D$14&gt;0,G123,H123)</f>
        <v>0</v>
      </c>
      <c r="V123" s="16">
        <f>LCOE!Y149+LCOE!D$32</f>
        <v>0</v>
      </c>
      <c r="W123" s="16">
        <f>LCOE!Z149+V123*IF(LCOE!D$14&gt;0,G123,H123)</f>
        <v>0</v>
      </c>
      <c r="X123" s="16">
        <f>LCOE!AA149+LCOE!D$34</f>
        <v>101</v>
      </c>
      <c r="Y123" s="16">
        <f t="shared" si="15"/>
        <v>0</v>
      </c>
      <c r="Z123" s="50">
        <f t="shared" si="18"/>
        <v>0</v>
      </c>
      <c r="AA123" s="50">
        <f t="shared" si="19"/>
        <v>0</v>
      </c>
      <c r="AB123" s="50">
        <f t="shared" si="20"/>
        <v>0</v>
      </c>
      <c r="AC123" s="50">
        <f t="shared" si="16"/>
        <v>0</v>
      </c>
      <c r="AD123" s="50">
        <f t="shared" si="30"/>
        <v>0</v>
      </c>
      <c r="AE123">
        <f t="shared" si="25"/>
        <v>30</v>
      </c>
      <c r="AF123" s="12">
        <f>LCOE!E149+LCOE!D$40</f>
        <v>0</v>
      </c>
      <c r="AG123">
        <f t="shared" si="31"/>
        <v>1</v>
      </c>
      <c r="AH123" s="16">
        <f t="shared" si="26"/>
        <v>0</v>
      </c>
      <c r="AI123" s="16">
        <f t="shared" si="27"/>
        <v>0</v>
      </c>
      <c r="AJ123" s="16">
        <f t="shared" si="28"/>
        <v>0</v>
      </c>
      <c r="AK123" s="16">
        <f t="shared" si="29"/>
        <v>0</v>
      </c>
      <c r="AL123" s="16">
        <f t="shared" si="32"/>
        <v>0</v>
      </c>
      <c r="AM123" s="16">
        <f t="shared" si="33"/>
        <v>0</v>
      </c>
      <c r="AN123" s="16">
        <f>IF(LCOE!D$14&gt;0,G123,H123)/AG123</f>
        <v>0</v>
      </c>
    </row>
    <row r="124" spans="1:40">
      <c r="A124">
        <v>54</v>
      </c>
      <c r="C124" s="16">
        <f>LCOE!D150+IF(AND(LCOE!D$26&gt;0,A124&gt;=LCOE!D$26,A124&lt;=(LCOE!D$26+LCOE!D$27-1)),LCOE!D$42/LCOE!D$27,0)+IF(AND(AE124&gt;=LCOE!D$16,COUNTIF(AE99:AE124,LCOE!D$16)=LCOE!D$36+1),LCOE!D$35*LCOE!D$38,0)</f>
        <v>0</v>
      </c>
      <c r="D124" s="16">
        <f>IF(AE123&lt;LCOE!D$16,1,0)</f>
        <v>0</v>
      </c>
      <c r="E124" s="12">
        <f>LCOE!G150+IF(AND(A124&gt;=LCOE!D$26,A124&lt;=(LCOE!D$26+LCOE!D$27-1)),0,1)*IF(A124=LCOE!D$34,0,1)*D124</f>
        <v>0</v>
      </c>
      <c r="F124" s="12">
        <f>IF(F123&lt;LCOE!D$18,MIN(F123*(1+LCOE!D$19),LCOE!D$18),LCOE!D$18)+LCOE!J150</f>
        <v>0.9</v>
      </c>
      <c r="G124" s="16">
        <f>LCOE!K150+E124*F124*N124*(LCOE!D$14+LCOE!H150)*24*365*D124</f>
        <v>0</v>
      </c>
      <c r="H124" s="16">
        <f>LCOE!L150+F124*(LCOE!D$15+LCOE!I150)*E124*24*365*D124*N124</f>
        <v>0</v>
      </c>
      <c r="I124" s="16">
        <f>LCOE!M150+LCOE!D$20*IF(LCOE!D$14&gt;0,(LCOE!D$14+LCOE!H150),(LCOE!D$15+LCOE!I150))*K124*D124</f>
        <v>0</v>
      </c>
      <c r="J124" s="16">
        <f>LCOE!N150+LCOE!D$21*IF(LCOE!D$14&gt;0,G124,H124)*K124*D124</f>
        <v>0</v>
      </c>
      <c r="K124" s="15">
        <f>LCOE!O150+K123+K123*LCOE!D$22</f>
        <v>1</v>
      </c>
      <c r="L124" s="16">
        <f>LCOE!P150+LCOE!D$23*IF(LCOE!D$14&gt;0,G124,H124)*M124*D124</f>
        <v>0</v>
      </c>
      <c r="M124" s="15">
        <f>LCOE!Q150+M123+M123*LCOE!D$24</f>
        <v>1</v>
      </c>
      <c r="N124" s="15">
        <f>LCOE!R150+N123-N123*LCOE!D$25</f>
        <v>1</v>
      </c>
      <c r="O124" s="18">
        <f>LCOE!S150+LCOE!D$29</f>
        <v>313.75</v>
      </c>
      <c r="P124" s="12">
        <f>LCOE!T150+IF(A124&gt;=LCOE!D$30,100%,0%)</f>
        <v>1</v>
      </c>
      <c r="Q124" s="16">
        <f>LCOE!U150+O124/1000*IF(LCOE!D$14&gt;0,G124,H124)</f>
        <v>0</v>
      </c>
      <c r="R124" s="16">
        <f>LCOE!B150</f>
        <v>30</v>
      </c>
      <c r="S124" s="16">
        <f>LCOE!V150+Q124*P124*R124</f>
        <v>0</v>
      </c>
      <c r="T124" s="16">
        <f>LCOE!W150+LCOE!D$31</f>
        <v>0</v>
      </c>
      <c r="U124" s="16">
        <f>LCOE!X150+T124*IF(LCOE!D$14&gt;0,G124,H124)</f>
        <v>0</v>
      </c>
      <c r="V124" s="16">
        <f>LCOE!Y150+LCOE!D$32</f>
        <v>0</v>
      </c>
      <c r="W124" s="16">
        <f>LCOE!Z150+V124*IF(LCOE!D$14&gt;0,G124,H124)</f>
        <v>0</v>
      </c>
      <c r="X124" s="16">
        <f>LCOE!AA150+LCOE!D$34</f>
        <v>101</v>
      </c>
      <c r="Y124" s="16">
        <f t="shared" si="15"/>
        <v>0</v>
      </c>
      <c r="Z124" s="50">
        <f t="shared" si="18"/>
        <v>0</v>
      </c>
      <c r="AA124" s="50">
        <f t="shared" si="19"/>
        <v>0</v>
      </c>
      <c r="AB124" s="50">
        <f t="shared" si="20"/>
        <v>0</v>
      </c>
      <c r="AC124" s="50">
        <f t="shared" si="16"/>
        <v>0</v>
      </c>
      <c r="AD124" s="50">
        <f t="shared" si="30"/>
        <v>0</v>
      </c>
      <c r="AE124">
        <f t="shared" si="25"/>
        <v>30</v>
      </c>
      <c r="AF124" s="12">
        <f>LCOE!E150+LCOE!D$40</f>
        <v>0</v>
      </c>
      <c r="AG124">
        <f t="shared" si="31"/>
        <v>1</v>
      </c>
      <c r="AH124" s="16">
        <f t="shared" si="26"/>
        <v>0</v>
      </c>
      <c r="AI124" s="16">
        <f t="shared" si="27"/>
        <v>0</v>
      </c>
      <c r="AJ124" s="16">
        <f t="shared" si="28"/>
        <v>0</v>
      </c>
      <c r="AK124" s="16">
        <f t="shared" si="29"/>
        <v>0</v>
      </c>
      <c r="AL124" s="16">
        <f t="shared" si="32"/>
        <v>0</v>
      </c>
      <c r="AM124" s="16">
        <f t="shared" si="33"/>
        <v>0</v>
      </c>
      <c r="AN124" s="16">
        <f>IF(LCOE!D$14&gt;0,G124,H124)/AG124</f>
        <v>0</v>
      </c>
    </row>
    <row r="125" spans="1:40">
      <c r="A125">
        <v>55</v>
      </c>
      <c r="C125" s="16">
        <f>LCOE!D151+IF(AND(LCOE!D$26&gt;0,A125&gt;=LCOE!D$26,A125&lt;=(LCOE!D$26+LCOE!D$27-1)),LCOE!D$42/LCOE!D$27,0)+IF(AND(AE125&gt;=LCOE!D$16,COUNTIF(AE100:AE125,LCOE!D$16)=LCOE!D$36+1),LCOE!D$35*LCOE!D$38,0)</f>
        <v>25225000</v>
      </c>
      <c r="D125" s="16">
        <f>IF(AE124&lt;LCOE!D$16,1,0)</f>
        <v>0</v>
      </c>
      <c r="E125" s="12">
        <f>LCOE!G151+IF(AND(A125&gt;=LCOE!D$26,A125&lt;=(LCOE!D$26+LCOE!D$27-1)),0,1)*IF(A125=LCOE!D$34,0,1)*D125</f>
        <v>0</v>
      </c>
      <c r="F125" s="12">
        <f>IF(F124&lt;LCOE!D$18,MIN(F124*(1+LCOE!D$19),LCOE!D$18),LCOE!D$18)+LCOE!J151</f>
        <v>0.9</v>
      </c>
      <c r="G125" s="16">
        <f>LCOE!K151+E125*F125*N125*(LCOE!D$14+LCOE!H151)*24*365*D125</f>
        <v>0</v>
      </c>
      <c r="H125" s="16">
        <f>LCOE!L151+F125*(LCOE!D$15+LCOE!I151)*E125*24*365*D125*N125</f>
        <v>0</v>
      </c>
      <c r="I125" s="16">
        <f>LCOE!M151+LCOE!D$20*IF(LCOE!D$14&gt;0,(LCOE!D$14+LCOE!H151),(LCOE!D$15+LCOE!I151))*K125*D125</f>
        <v>0</v>
      </c>
      <c r="J125" s="16">
        <f>LCOE!N151+LCOE!D$21*IF(LCOE!D$14&gt;0,G125,H125)*K125*D125</f>
        <v>0</v>
      </c>
      <c r="K125" s="15">
        <f>LCOE!O151+K124+K124*LCOE!D$22</f>
        <v>1</v>
      </c>
      <c r="L125" s="16">
        <f>LCOE!P151+LCOE!D$23*IF(LCOE!D$14&gt;0,G125,H125)*M125*D125</f>
        <v>0</v>
      </c>
      <c r="M125" s="15">
        <f>LCOE!Q151+M124+M124*LCOE!D$24</f>
        <v>1</v>
      </c>
      <c r="N125" s="15">
        <f>LCOE!R151+N124-N124*LCOE!D$25</f>
        <v>1</v>
      </c>
      <c r="O125" s="18">
        <f>LCOE!S151+LCOE!D$29</f>
        <v>313.75</v>
      </c>
      <c r="P125" s="12">
        <f>LCOE!T151+IF(A125&gt;=LCOE!D$30,100%,0%)</f>
        <v>1</v>
      </c>
      <c r="Q125" s="16">
        <f>LCOE!U151+O125/1000*IF(LCOE!D$14&gt;0,G125,H125)</f>
        <v>0</v>
      </c>
      <c r="R125" s="16">
        <f>LCOE!B151</f>
        <v>30</v>
      </c>
      <c r="S125" s="16">
        <f>LCOE!V151+Q125*P125*R125</f>
        <v>0</v>
      </c>
      <c r="T125" s="16">
        <f>LCOE!W151+LCOE!D$31</f>
        <v>0</v>
      </c>
      <c r="U125" s="16">
        <f>LCOE!X151+T125*IF(LCOE!D$14&gt;0,G125,H125)</f>
        <v>0</v>
      </c>
      <c r="V125" s="16">
        <f>LCOE!Y151+LCOE!D$32</f>
        <v>0</v>
      </c>
      <c r="W125" s="16">
        <f>LCOE!Z151+V125*IF(LCOE!D$14&gt;0,G125,H125)</f>
        <v>0</v>
      </c>
      <c r="X125" s="16">
        <f>LCOE!AA151+LCOE!D$34</f>
        <v>101</v>
      </c>
      <c r="Y125" s="16">
        <f t="shared" si="15"/>
        <v>0</v>
      </c>
      <c r="Z125" s="50">
        <f t="shared" si="18"/>
        <v>25225000</v>
      </c>
      <c r="AA125" s="50">
        <f t="shared" si="19"/>
        <v>0</v>
      </c>
      <c r="AB125" s="50">
        <f t="shared" si="20"/>
        <v>0</v>
      </c>
      <c r="AC125" s="50">
        <f t="shared" si="16"/>
        <v>0</v>
      </c>
      <c r="AD125" s="50">
        <f t="shared" si="30"/>
        <v>0</v>
      </c>
      <c r="AE125">
        <f t="shared" si="25"/>
        <v>30</v>
      </c>
      <c r="AF125" s="12">
        <f>LCOE!E151+LCOE!D$40</f>
        <v>0</v>
      </c>
      <c r="AG125">
        <f t="shared" si="31"/>
        <v>1</v>
      </c>
      <c r="AH125" s="16">
        <f t="shared" si="26"/>
        <v>25225000</v>
      </c>
      <c r="AI125" s="16">
        <f t="shared" si="27"/>
        <v>0</v>
      </c>
      <c r="AJ125" s="16">
        <f t="shared" si="28"/>
        <v>0</v>
      </c>
      <c r="AK125" s="16">
        <f t="shared" si="29"/>
        <v>0</v>
      </c>
      <c r="AL125" s="16">
        <f t="shared" si="32"/>
        <v>0</v>
      </c>
      <c r="AM125" s="16">
        <f t="shared" si="33"/>
        <v>0</v>
      </c>
      <c r="AN125" s="16">
        <f>IF(LCOE!D$14&gt;0,G125,H125)/AG125</f>
        <v>0</v>
      </c>
    </row>
    <row r="126" spans="1:40">
      <c r="A126">
        <v>56</v>
      </c>
      <c r="C126" s="16">
        <f>LCOE!D152+IF(AND(LCOE!D$26&gt;0,A126&gt;=LCOE!D$26,A126&lt;=(LCOE!D$26+LCOE!D$27-1)),LCOE!D$42/LCOE!D$27,0)+IF(AND(AE126&gt;=LCOE!D$16,COUNTIF(AE101:AE126,LCOE!D$16)=LCOE!D$36+1),LCOE!D$35*LCOE!D$38,0)</f>
        <v>25225000</v>
      </c>
      <c r="D126" s="16">
        <f>IF(AE125&lt;LCOE!D$16,1,0)</f>
        <v>0</v>
      </c>
      <c r="E126" s="12">
        <f>LCOE!G152+IF(AND(A126&gt;=LCOE!D$26,A126&lt;=(LCOE!D$26+LCOE!D$27-1)),0,1)*IF(A126=LCOE!D$34,0,1)*D126</f>
        <v>0</v>
      </c>
      <c r="F126" s="12">
        <f>IF(F125&lt;LCOE!D$18,MIN(F125*(1+LCOE!D$19),LCOE!D$18),LCOE!D$18)+LCOE!J152</f>
        <v>0.9</v>
      </c>
      <c r="G126" s="16">
        <f>LCOE!K152+E126*F126*N126*(LCOE!D$14+LCOE!H152)*24*365*D126</f>
        <v>0</v>
      </c>
      <c r="H126" s="16">
        <f>LCOE!L152+F126*(LCOE!D$15+LCOE!I152)*E126*24*365*D126*N126</f>
        <v>0</v>
      </c>
      <c r="I126" s="16">
        <f>LCOE!M152+LCOE!D$20*IF(LCOE!D$14&gt;0,(LCOE!D$14+LCOE!H152),(LCOE!D$15+LCOE!I152))*K126*D126</f>
        <v>0</v>
      </c>
      <c r="J126" s="16">
        <f>LCOE!N152+LCOE!D$21*IF(LCOE!D$14&gt;0,G126,H126)*K126*D126</f>
        <v>0</v>
      </c>
      <c r="K126" s="15">
        <f>LCOE!O152+K125+K125*LCOE!D$22</f>
        <v>1</v>
      </c>
      <c r="L126" s="16">
        <f>LCOE!P152+LCOE!D$23*IF(LCOE!D$14&gt;0,G126,H126)*M126*D126</f>
        <v>0</v>
      </c>
      <c r="M126" s="15">
        <f>LCOE!Q152+M125+M125*LCOE!D$24</f>
        <v>1</v>
      </c>
      <c r="N126" s="15">
        <f>LCOE!R152+N125-N125*LCOE!D$25</f>
        <v>1</v>
      </c>
      <c r="O126" s="18">
        <f>LCOE!S152+LCOE!D$29</f>
        <v>313.75</v>
      </c>
      <c r="P126" s="12">
        <f>LCOE!T152+IF(A126&gt;=LCOE!D$30,100%,0%)</f>
        <v>1</v>
      </c>
      <c r="Q126" s="16">
        <f>LCOE!U152+O126/1000*IF(LCOE!D$14&gt;0,G126,H126)</f>
        <v>0</v>
      </c>
      <c r="R126" s="16">
        <f>LCOE!B152</f>
        <v>30</v>
      </c>
      <c r="S126" s="16">
        <f>LCOE!V152+Q126*P126*R126</f>
        <v>0</v>
      </c>
      <c r="T126" s="16">
        <f>LCOE!W152+LCOE!D$31</f>
        <v>0</v>
      </c>
      <c r="U126" s="16">
        <f>LCOE!X152+T126*IF(LCOE!D$14&gt;0,G126,H126)</f>
        <v>0</v>
      </c>
      <c r="V126" s="16">
        <f>LCOE!Y152+LCOE!D$32</f>
        <v>0</v>
      </c>
      <c r="W126" s="16">
        <f>LCOE!Z152+V126*IF(LCOE!D$14&gt;0,G126,H126)</f>
        <v>0</v>
      </c>
      <c r="X126" s="16">
        <f>LCOE!AA152+LCOE!D$34</f>
        <v>101</v>
      </c>
      <c r="Y126" s="16">
        <f t="shared" si="15"/>
        <v>0</v>
      </c>
      <c r="Z126" s="50">
        <f t="shared" si="18"/>
        <v>25225000</v>
      </c>
      <c r="AA126" s="50">
        <f t="shared" si="19"/>
        <v>0</v>
      </c>
      <c r="AB126" s="50">
        <f t="shared" si="20"/>
        <v>0</v>
      </c>
      <c r="AC126" s="50">
        <f t="shared" si="16"/>
        <v>0</v>
      </c>
      <c r="AD126" s="50">
        <f t="shared" si="30"/>
        <v>0</v>
      </c>
      <c r="AE126">
        <f t="shared" si="25"/>
        <v>30</v>
      </c>
      <c r="AF126" s="12">
        <f>LCOE!E152+LCOE!D$40</f>
        <v>0</v>
      </c>
      <c r="AG126">
        <f t="shared" si="31"/>
        <v>1</v>
      </c>
      <c r="AH126" s="16">
        <f t="shared" si="26"/>
        <v>25225000</v>
      </c>
      <c r="AI126" s="16">
        <f t="shared" si="27"/>
        <v>0</v>
      </c>
      <c r="AJ126" s="16">
        <f t="shared" si="28"/>
        <v>0</v>
      </c>
      <c r="AK126" s="16">
        <f t="shared" si="29"/>
        <v>0</v>
      </c>
      <c r="AL126" s="16">
        <f t="shared" si="32"/>
        <v>0</v>
      </c>
      <c r="AM126" s="16">
        <f t="shared" si="33"/>
        <v>0</v>
      </c>
      <c r="AN126" s="16">
        <f>IF(LCOE!D$14&gt;0,G126,H126)/AG126</f>
        <v>0</v>
      </c>
    </row>
    <row r="127" spans="1:40">
      <c r="A127">
        <v>57</v>
      </c>
      <c r="C127" s="16">
        <f>LCOE!D153+IF(AND(LCOE!D$26&gt;0,A127&gt;=LCOE!D$26,A127&lt;=(LCOE!D$26+LCOE!D$27-1)),LCOE!D$42/LCOE!D$27,0)+IF(AND(AE127&gt;=LCOE!D$16,COUNTIF(AE102:AE127,LCOE!D$16)=LCOE!D$36+1),LCOE!D$35*LCOE!D$38,0)</f>
        <v>25225000</v>
      </c>
      <c r="D127" s="16">
        <f>IF(AE126&lt;LCOE!D$16,1,0)</f>
        <v>0</v>
      </c>
      <c r="E127" s="12">
        <f>LCOE!G153+IF(AND(A127&gt;=LCOE!D$26,A127&lt;=(LCOE!D$26+LCOE!D$27-1)),0,1)*IF(A127=LCOE!D$34,0,1)*D127</f>
        <v>0</v>
      </c>
      <c r="F127" s="12">
        <f>IF(F126&lt;LCOE!D$18,MIN(F126*(1+LCOE!D$19),LCOE!D$18),LCOE!D$18)+LCOE!J153</f>
        <v>0.9</v>
      </c>
      <c r="G127" s="16">
        <f>LCOE!K153+E127*F127*N127*(LCOE!D$14+LCOE!H153)*24*365*D127</f>
        <v>0</v>
      </c>
      <c r="H127" s="16">
        <f>LCOE!L153+F127*(LCOE!D$15+LCOE!I153)*E127*24*365*D127*N127</f>
        <v>0</v>
      </c>
      <c r="I127" s="16">
        <f>LCOE!M153+LCOE!D$20*IF(LCOE!D$14&gt;0,(LCOE!D$14+LCOE!H153),(LCOE!D$15+LCOE!I153))*K127*D127</f>
        <v>0</v>
      </c>
      <c r="J127" s="16">
        <f>LCOE!N153+LCOE!D$21*IF(LCOE!D$14&gt;0,G127,H127)*K127*D127</f>
        <v>0</v>
      </c>
      <c r="K127" s="15">
        <f>LCOE!O153+K126+K126*LCOE!D$22</f>
        <v>1</v>
      </c>
      <c r="L127" s="16">
        <f>LCOE!P153+LCOE!D$23*IF(LCOE!D$14&gt;0,G127,H127)*M127*D127</f>
        <v>0</v>
      </c>
      <c r="M127" s="15">
        <f>LCOE!Q153+M126+M126*LCOE!D$24</f>
        <v>1</v>
      </c>
      <c r="N127" s="15">
        <f>LCOE!R153+N126-N126*LCOE!D$25</f>
        <v>1</v>
      </c>
      <c r="O127" s="18">
        <f>LCOE!S153+LCOE!D$29</f>
        <v>313.75</v>
      </c>
      <c r="P127" s="12">
        <f>LCOE!T153+IF(A127&gt;=LCOE!D$30,100%,0%)</f>
        <v>1</v>
      </c>
      <c r="Q127" s="16">
        <f>LCOE!U153+O127/1000*IF(LCOE!D$14&gt;0,G127,H127)</f>
        <v>0</v>
      </c>
      <c r="R127" s="16">
        <f>LCOE!B153</f>
        <v>30</v>
      </c>
      <c r="S127" s="16">
        <f>LCOE!V153+Q127*P127*R127</f>
        <v>0</v>
      </c>
      <c r="T127" s="16">
        <f>LCOE!W153+LCOE!D$31</f>
        <v>0</v>
      </c>
      <c r="U127" s="16">
        <f>LCOE!X153+T127*IF(LCOE!D$14&gt;0,G127,H127)</f>
        <v>0</v>
      </c>
      <c r="V127" s="16">
        <f>LCOE!Y153+LCOE!D$32</f>
        <v>0</v>
      </c>
      <c r="W127" s="16">
        <f>LCOE!Z153+V127*IF(LCOE!D$14&gt;0,G127,H127)</f>
        <v>0</v>
      </c>
      <c r="X127" s="16">
        <f>LCOE!AA153+LCOE!D$34</f>
        <v>101</v>
      </c>
      <c r="Y127" s="16">
        <f t="shared" si="15"/>
        <v>0</v>
      </c>
      <c r="Z127" s="50">
        <f t="shared" si="18"/>
        <v>25225000</v>
      </c>
      <c r="AA127" s="50">
        <f t="shared" si="19"/>
        <v>0</v>
      </c>
      <c r="AB127" s="50">
        <f t="shared" si="20"/>
        <v>0</v>
      </c>
      <c r="AC127" s="50">
        <f t="shared" si="16"/>
        <v>0</v>
      </c>
      <c r="AD127" s="50">
        <f t="shared" si="30"/>
        <v>0</v>
      </c>
      <c r="AE127">
        <f t="shared" si="25"/>
        <v>30</v>
      </c>
      <c r="AF127" s="12">
        <f>LCOE!E153+LCOE!D$40</f>
        <v>0</v>
      </c>
      <c r="AG127">
        <f t="shared" si="31"/>
        <v>1</v>
      </c>
      <c r="AH127" s="16">
        <f t="shared" si="26"/>
        <v>25225000</v>
      </c>
      <c r="AI127" s="16">
        <f t="shared" si="27"/>
        <v>0</v>
      </c>
      <c r="AJ127" s="16">
        <f t="shared" si="28"/>
        <v>0</v>
      </c>
      <c r="AK127" s="16">
        <f t="shared" si="29"/>
        <v>0</v>
      </c>
      <c r="AL127" s="16">
        <f t="shared" si="32"/>
        <v>0</v>
      </c>
      <c r="AM127" s="16">
        <f t="shared" si="33"/>
        <v>0</v>
      </c>
      <c r="AN127" s="16">
        <f>IF(LCOE!D$14&gt;0,G127,H127)/AG127</f>
        <v>0</v>
      </c>
    </row>
    <row r="128" spans="1:40">
      <c r="A128">
        <v>58</v>
      </c>
      <c r="C128" s="16">
        <f>LCOE!D154+IF(AND(LCOE!D$26&gt;0,A128&gt;=LCOE!D$26,A128&lt;=(LCOE!D$26+LCOE!D$27-1)),LCOE!D$42/LCOE!D$27,0)+IF(AND(AE128&gt;=LCOE!D$16,COUNTIF(AE103:AE128,LCOE!D$16)=LCOE!D$36+1),LCOE!D$35*LCOE!D$38,0)</f>
        <v>25225000</v>
      </c>
      <c r="D128" s="16">
        <f>IF(AE127&lt;LCOE!D$16,1,0)</f>
        <v>0</v>
      </c>
      <c r="E128" s="12">
        <f>LCOE!G154+IF(AND(A128&gt;=LCOE!D$26,A128&lt;=(LCOE!D$26+LCOE!D$27-1)),0,1)*IF(A128=LCOE!D$34,0,1)*D128</f>
        <v>0</v>
      </c>
      <c r="F128" s="12">
        <f>IF(F127&lt;LCOE!D$18,MIN(F127*(1+LCOE!D$19),LCOE!D$18),LCOE!D$18)+LCOE!J154</f>
        <v>0.9</v>
      </c>
      <c r="G128" s="16">
        <f>LCOE!K154+E128*F128*N128*(LCOE!D$14+LCOE!H154)*24*365*D128</f>
        <v>0</v>
      </c>
      <c r="H128" s="16">
        <f>LCOE!L154+F128*(LCOE!D$15+LCOE!I154)*E128*24*365*D128*N128</f>
        <v>0</v>
      </c>
      <c r="I128" s="16">
        <f>LCOE!M154+LCOE!D$20*IF(LCOE!D$14&gt;0,(LCOE!D$14+LCOE!H154),(LCOE!D$15+LCOE!I154))*K128*D128</f>
        <v>0</v>
      </c>
      <c r="J128" s="16">
        <f>LCOE!N154+LCOE!D$21*IF(LCOE!D$14&gt;0,G128,H128)*K128*D128</f>
        <v>0</v>
      </c>
      <c r="K128" s="15">
        <f>LCOE!O154+K127+K127*LCOE!D$22</f>
        <v>1</v>
      </c>
      <c r="L128" s="16">
        <f>LCOE!P154+LCOE!D$23*IF(LCOE!D$14&gt;0,G128,H128)*M128*D128</f>
        <v>0</v>
      </c>
      <c r="M128" s="15">
        <f>LCOE!Q154+M127+M127*LCOE!D$24</f>
        <v>1</v>
      </c>
      <c r="N128" s="15">
        <f>LCOE!R154+N127-N127*LCOE!D$25</f>
        <v>1</v>
      </c>
      <c r="O128" s="18">
        <f>LCOE!S154+LCOE!D$29</f>
        <v>313.75</v>
      </c>
      <c r="P128" s="12">
        <f>LCOE!T154+IF(A128&gt;=LCOE!D$30,100%,0%)</f>
        <v>1</v>
      </c>
      <c r="Q128" s="16">
        <f>LCOE!U154+O128/1000*IF(LCOE!D$14&gt;0,G128,H128)</f>
        <v>0</v>
      </c>
      <c r="R128" s="16">
        <f>LCOE!B154</f>
        <v>30</v>
      </c>
      <c r="S128" s="16">
        <f>LCOE!V154+Q128*P128*R128</f>
        <v>0</v>
      </c>
      <c r="T128" s="16">
        <f>LCOE!W154+LCOE!D$31</f>
        <v>0</v>
      </c>
      <c r="U128" s="16">
        <f>LCOE!X154+T128*IF(LCOE!D$14&gt;0,G128,H128)</f>
        <v>0</v>
      </c>
      <c r="V128" s="16">
        <f>LCOE!Y154+LCOE!D$32</f>
        <v>0</v>
      </c>
      <c r="W128" s="16">
        <f>LCOE!Z154+V128*IF(LCOE!D$14&gt;0,G128,H128)</f>
        <v>0</v>
      </c>
      <c r="X128" s="16">
        <f>LCOE!AA154+LCOE!D$34</f>
        <v>101</v>
      </c>
      <c r="Y128" s="16">
        <f t="shared" si="15"/>
        <v>0</v>
      </c>
      <c r="Z128" s="50">
        <f t="shared" si="18"/>
        <v>25225000</v>
      </c>
      <c r="AA128" s="50">
        <f t="shared" si="19"/>
        <v>0</v>
      </c>
      <c r="AB128" s="50">
        <f t="shared" si="20"/>
        <v>0</v>
      </c>
      <c r="AC128" s="50">
        <f t="shared" si="16"/>
        <v>0</v>
      </c>
      <c r="AD128" s="50">
        <f t="shared" si="30"/>
        <v>0</v>
      </c>
      <c r="AE128">
        <f t="shared" si="25"/>
        <v>30</v>
      </c>
      <c r="AF128" s="12">
        <f>LCOE!E154+LCOE!D$40</f>
        <v>0</v>
      </c>
      <c r="AG128">
        <f t="shared" si="31"/>
        <v>1</v>
      </c>
      <c r="AH128" s="16">
        <f t="shared" si="26"/>
        <v>25225000</v>
      </c>
      <c r="AI128" s="16">
        <f t="shared" si="27"/>
        <v>0</v>
      </c>
      <c r="AJ128" s="16">
        <f t="shared" si="28"/>
        <v>0</v>
      </c>
      <c r="AK128" s="16">
        <f t="shared" si="29"/>
        <v>0</v>
      </c>
      <c r="AL128" s="16">
        <f t="shared" si="32"/>
        <v>0</v>
      </c>
      <c r="AM128" s="16">
        <f t="shared" si="33"/>
        <v>0</v>
      </c>
      <c r="AN128" s="16">
        <f>IF(LCOE!D$14&gt;0,G128,H128)/AG128</f>
        <v>0</v>
      </c>
    </row>
    <row r="129" spans="1:40">
      <c r="A129">
        <v>59</v>
      </c>
      <c r="C129" s="16">
        <f>LCOE!D155+IF(AND(LCOE!D$26&gt;0,A129&gt;=LCOE!D$26,A129&lt;=(LCOE!D$26+LCOE!D$27-1)),LCOE!D$42/LCOE!D$27,0)+IF(AND(AE129&gt;=LCOE!D$16,COUNTIF(AE104:AE129,LCOE!D$16)=LCOE!D$36+1),LCOE!D$35*LCOE!D$38,0)</f>
        <v>25225000</v>
      </c>
      <c r="D129" s="16">
        <f>IF(AE128&lt;LCOE!D$16,1,0)</f>
        <v>0</v>
      </c>
      <c r="E129" s="12">
        <f>LCOE!G155+IF(AND(A129&gt;=LCOE!D$26,A129&lt;=(LCOE!D$26+LCOE!D$27-1)),0,1)*IF(A129=LCOE!D$34,0,1)*D129</f>
        <v>0</v>
      </c>
      <c r="F129" s="12">
        <f>IF(F128&lt;LCOE!D$18,MIN(F128*(1+LCOE!D$19),LCOE!D$18),LCOE!D$18)+LCOE!J155</f>
        <v>0.9</v>
      </c>
      <c r="G129" s="16">
        <f>LCOE!K155+E129*F129*N129*(LCOE!D$14+LCOE!H155)*24*365*D129</f>
        <v>0</v>
      </c>
      <c r="H129" s="16">
        <f>LCOE!L155+F129*(LCOE!D$15+LCOE!I155)*E129*24*365*D129*N129</f>
        <v>0</v>
      </c>
      <c r="I129" s="16">
        <f>LCOE!M155+LCOE!D$20*IF(LCOE!D$14&gt;0,(LCOE!D$14+LCOE!H155),(LCOE!D$15+LCOE!I155))*K129*D129</f>
        <v>0</v>
      </c>
      <c r="J129" s="16">
        <f>LCOE!N155+LCOE!D$21*IF(LCOE!D$14&gt;0,G129,H129)*K129*D129</f>
        <v>0</v>
      </c>
      <c r="K129" s="15">
        <f>LCOE!O155+K128+K128*LCOE!D$22</f>
        <v>1</v>
      </c>
      <c r="L129" s="16">
        <f>LCOE!P155+LCOE!D$23*IF(LCOE!D$14&gt;0,G129,H129)*M129*D129</f>
        <v>0</v>
      </c>
      <c r="M129" s="15">
        <f>LCOE!Q155+M128+M128*LCOE!D$24</f>
        <v>1</v>
      </c>
      <c r="N129" s="15">
        <f>LCOE!R155+N128-N128*LCOE!D$25</f>
        <v>1</v>
      </c>
      <c r="O129" s="18">
        <f>LCOE!S155+LCOE!D$29</f>
        <v>313.75</v>
      </c>
      <c r="P129" s="12">
        <f>LCOE!T155+IF(A129&gt;=LCOE!D$30,100%,0%)</f>
        <v>1</v>
      </c>
      <c r="Q129" s="16">
        <f>LCOE!U155+O129/1000*IF(LCOE!D$14&gt;0,G129,H129)</f>
        <v>0</v>
      </c>
      <c r="R129" s="16">
        <f>LCOE!B155</f>
        <v>30</v>
      </c>
      <c r="S129" s="16">
        <f>LCOE!V155+Q129*P129*R129</f>
        <v>0</v>
      </c>
      <c r="T129" s="16">
        <f>LCOE!W155+LCOE!D$31</f>
        <v>0</v>
      </c>
      <c r="U129" s="16">
        <f>LCOE!X155+T129*IF(LCOE!D$14&gt;0,G129,H129)</f>
        <v>0</v>
      </c>
      <c r="V129" s="16">
        <f>LCOE!Y155+LCOE!D$32</f>
        <v>0</v>
      </c>
      <c r="W129" s="16">
        <f>LCOE!Z155+V129*IF(LCOE!D$14&gt;0,G129,H129)</f>
        <v>0</v>
      </c>
      <c r="X129" s="16">
        <f>LCOE!AA155+LCOE!D$34</f>
        <v>101</v>
      </c>
      <c r="Y129" s="16">
        <f t="shared" si="15"/>
        <v>0</v>
      </c>
      <c r="Z129" s="50">
        <f t="shared" si="18"/>
        <v>25225000</v>
      </c>
      <c r="AA129" s="50">
        <f t="shared" si="19"/>
        <v>0</v>
      </c>
      <c r="AB129" s="50">
        <f t="shared" si="20"/>
        <v>0</v>
      </c>
      <c r="AC129" s="50">
        <f t="shared" si="16"/>
        <v>0</v>
      </c>
      <c r="AD129" s="50">
        <f t="shared" si="30"/>
        <v>0</v>
      </c>
      <c r="AE129">
        <f t="shared" si="25"/>
        <v>30</v>
      </c>
      <c r="AF129" s="12">
        <f>LCOE!E155+LCOE!D$40</f>
        <v>0</v>
      </c>
      <c r="AG129">
        <f t="shared" si="31"/>
        <v>1</v>
      </c>
      <c r="AH129" s="16">
        <f t="shared" si="26"/>
        <v>25225000</v>
      </c>
      <c r="AI129" s="16">
        <f t="shared" si="27"/>
        <v>0</v>
      </c>
      <c r="AJ129" s="16">
        <f t="shared" si="28"/>
        <v>0</v>
      </c>
      <c r="AK129" s="16">
        <f t="shared" si="29"/>
        <v>0</v>
      </c>
      <c r="AL129" s="16">
        <f t="shared" si="32"/>
        <v>0</v>
      </c>
      <c r="AM129" s="16">
        <f t="shared" si="33"/>
        <v>0</v>
      </c>
      <c r="AN129" s="16">
        <f>IF(LCOE!D$14&gt;0,G129,H129)/AG129</f>
        <v>0</v>
      </c>
    </row>
    <row r="130" spans="1:40">
      <c r="A130">
        <v>60</v>
      </c>
      <c r="C130" s="16">
        <f>LCOE!D156+IF(AND(LCOE!D$26&gt;0,A130&gt;=LCOE!D$26,A130&lt;=(LCOE!D$26+LCOE!D$27-1)),LCOE!D$42/LCOE!D$27,0)+IF(AND(AE130&gt;=LCOE!D$16,COUNTIF(AE105:AE130,LCOE!D$16)=LCOE!D$36+1),LCOE!D$35*LCOE!D$38,0)</f>
        <v>25225000</v>
      </c>
      <c r="D130" s="16">
        <f>IF(AE129&lt;LCOE!D$16,1,0)</f>
        <v>0</v>
      </c>
      <c r="E130" s="12">
        <f>LCOE!G156+IF(AND(A130&gt;=LCOE!D$26,A130&lt;=(LCOE!D$26+LCOE!D$27-1)),0,1)*IF(A130=LCOE!D$34,0,1)*D130</f>
        <v>0</v>
      </c>
      <c r="F130" s="12">
        <f>IF(F129&lt;LCOE!D$18,MIN(F129*(1+LCOE!D$19),LCOE!D$18),LCOE!D$18)+LCOE!J156</f>
        <v>0.9</v>
      </c>
      <c r="G130" s="16">
        <f>LCOE!K156+E130*F130*N130*(LCOE!D$14+LCOE!H156)*24*365*D130</f>
        <v>0</v>
      </c>
      <c r="H130" s="16">
        <f>LCOE!L156+F130*(LCOE!D$15+LCOE!I156)*E130*24*365*D130*N130</f>
        <v>0</v>
      </c>
      <c r="I130" s="16">
        <f>LCOE!M156+LCOE!D$20*IF(LCOE!D$14&gt;0,(LCOE!D$14+LCOE!H156),(LCOE!D$15+LCOE!I156))*K130*D130</f>
        <v>0</v>
      </c>
      <c r="J130" s="16">
        <f>LCOE!N156+LCOE!D$21*IF(LCOE!D$14&gt;0,G130,H130)*K130*D130</f>
        <v>0</v>
      </c>
      <c r="K130" s="15">
        <f>LCOE!O156+K129+K129*LCOE!D$22</f>
        <v>1</v>
      </c>
      <c r="L130" s="16">
        <f>LCOE!P156+LCOE!D$23*IF(LCOE!D$14&gt;0,G130,H130)*M130*D130</f>
        <v>0</v>
      </c>
      <c r="M130" s="15">
        <f>LCOE!Q156+M129+M129*LCOE!D$24</f>
        <v>1</v>
      </c>
      <c r="N130" s="15">
        <f>LCOE!R156+N129-N129*LCOE!D$25</f>
        <v>1</v>
      </c>
      <c r="O130" s="18">
        <f>LCOE!S156+LCOE!D$29</f>
        <v>313.75</v>
      </c>
      <c r="P130" s="12">
        <f>LCOE!T156+IF(A130&gt;=LCOE!D$30,100%,0%)</f>
        <v>1</v>
      </c>
      <c r="Q130" s="16">
        <f>LCOE!U156+O130/1000*IF(LCOE!D$14&gt;0,G130,H130)</f>
        <v>0</v>
      </c>
      <c r="R130" s="16">
        <f>LCOE!B156</f>
        <v>30</v>
      </c>
      <c r="S130" s="16">
        <f>LCOE!V156+Q130*P130*R130</f>
        <v>0</v>
      </c>
      <c r="T130" s="16">
        <f>LCOE!W156+LCOE!D$31</f>
        <v>0</v>
      </c>
      <c r="U130" s="16">
        <f>LCOE!X156+T130*IF(LCOE!D$14&gt;0,G130,H130)</f>
        <v>0</v>
      </c>
      <c r="V130" s="16">
        <f>LCOE!Y156+LCOE!D$32</f>
        <v>0</v>
      </c>
      <c r="W130" s="16">
        <f>LCOE!Z156+V130*IF(LCOE!D$14&gt;0,G130,H130)</f>
        <v>0</v>
      </c>
      <c r="X130" s="16">
        <f>LCOE!AA156+LCOE!D$34</f>
        <v>101</v>
      </c>
      <c r="Y130" s="16">
        <f t="shared" si="15"/>
        <v>0</v>
      </c>
      <c r="Z130" s="50">
        <f t="shared" si="18"/>
        <v>25225000</v>
      </c>
      <c r="AA130" s="50">
        <f t="shared" si="19"/>
        <v>0</v>
      </c>
      <c r="AB130" s="50">
        <f t="shared" si="20"/>
        <v>0</v>
      </c>
      <c r="AC130" s="50">
        <f t="shared" si="16"/>
        <v>0</v>
      </c>
      <c r="AD130" s="50">
        <f t="shared" si="30"/>
        <v>0</v>
      </c>
      <c r="AE130">
        <f t="shared" si="25"/>
        <v>30</v>
      </c>
      <c r="AF130" s="12">
        <f>LCOE!E156+LCOE!D$40</f>
        <v>0</v>
      </c>
      <c r="AG130">
        <f t="shared" si="31"/>
        <v>1</v>
      </c>
      <c r="AH130" s="16">
        <f t="shared" si="26"/>
        <v>25225000</v>
      </c>
      <c r="AI130" s="16">
        <f t="shared" si="27"/>
        <v>0</v>
      </c>
      <c r="AJ130" s="16">
        <f t="shared" si="28"/>
        <v>0</v>
      </c>
      <c r="AK130" s="16">
        <f t="shared" si="29"/>
        <v>0</v>
      </c>
      <c r="AL130" s="16">
        <f t="shared" si="32"/>
        <v>0</v>
      </c>
      <c r="AM130" s="16">
        <f t="shared" si="33"/>
        <v>0</v>
      </c>
      <c r="AN130" s="16">
        <f>IF(LCOE!D$14&gt;0,G130,H130)/AG130</f>
        <v>0</v>
      </c>
    </row>
    <row r="131" spans="1:40">
      <c r="A131">
        <v>61</v>
      </c>
      <c r="C131" s="16">
        <f>LCOE!D157+IF(AND(LCOE!D$26&gt;0,A131&gt;=LCOE!D$26,A131&lt;=(LCOE!D$26+LCOE!D$27-1)),LCOE!D$42/LCOE!D$27,0)+IF(AND(AE131&gt;=LCOE!D$16,COUNTIF(AE106:AE131,LCOE!D$16)=LCOE!D$36+1),LCOE!D$35*LCOE!D$38,0)</f>
        <v>25225000</v>
      </c>
      <c r="D131" s="16">
        <f>IF(AE130&lt;LCOE!D$16,1,0)</f>
        <v>0</v>
      </c>
      <c r="E131" s="12">
        <f>LCOE!G157+IF(AND(A131&gt;=LCOE!D$26,A131&lt;=(LCOE!D$26+LCOE!D$27-1)),0,1)*IF(A131=LCOE!D$34,0,1)*D131</f>
        <v>0</v>
      </c>
      <c r="F131" s="12">
        <f>IF(F130&lt;LCOE!D$18,MIN(F130*(1+LCOE!D$19),LCOE!D$18),LCOE!D$18)+LCOE!J157</f>
        <v>0.9</v>
      </c>
      <c r="G131" s="16">
        <f>LCOE!K157+E131*F131*N131*(LCOE!D$14+LCOE!H157)*24*365*D131</f>
        <v>0</v>
      </c>
      <c r="H131" s="16">
        <f>LCOE!L157+F131*(LCOE!D$15+LCOE!I157)*E131*24*365*D131*N131</f>
        <v>0</v>
      </c>
      <c r="I131" s="16">
        <f>LCOE!M157+LCOE!D$20*IF(LCOE!D$14&gt;0,(LCOE!D$14+LCOE!H157),(LCOE!D$15+LCOE!I157))*K131*D131</f>
        <v>0</v>
      </c>
      <c r="J131" s="16">
        <f>LCOE!N157+LCOE!D$21*IF(LCOE!D$14&gt;0,G131,H131)*K131*D131</f>
        <v>0</v>
      </c>
      <c r="K131" s="15">
        <f>LCOE!O157+K130+K130*LCOE!D$22</f>
        <v>1</v>
      </c>
      <c r="L131" s="16">
        <f>LCOE!P157+LCOE!D$23*IF(LCOE!D$14&gt;0,G131,H131)*M131*D131</f>
        <v>0</v>
      </c>
      <c r="M131" s="15">
        <f>LCOE!Q157+M130+M130*LCOE!D$24</f>
        <v>1</v>
      </c>
      <c r="N131" s="15">
        <f>LCOE!R157+N130-N130*LCOE!D$25</f>
        <v>1</v>
      </c>
      <c r="O131" s="18">
        <f>LCOE!S157+LCOE!D$29</f>
        <v>313.75</v>
      </c>
      <c r="P131" s="12">
        <f>LCOE!T157+IF(A131&gt;=LCOE!D$30,100%,0%)</f>
        <v>1</v>
      </c>
      <c r="Q131" s="16">
        <f>LCOE!U157+O131/1000*IF(LCOE!D$14&gt;0,G131,H131)</f>
        <v>0</v>
      </c>
      <c r="R131" s="16">
        <f>LCOE!B157</f>
        <v>30</v>
      </c>
      <c r="S131" s="16">
        <f>LCOE!V157+Q131*P131*R131</f>
        <v>0</v>
      </c>
      <c r="T131" s="16">
        <f>LCOE!W157+LCOE!D$31</f>
        <v>0</v>
      </c>
      <c r="U131" s="16">
        <f>LCOE!X157+T131*IF(LCOE!D$14&gt;0,G131,H131)</f>
        <v>0</v>
      </c>
      <c r="V131" s="16">
        <f>LCOE!Y157+LCOE!D$32</f>
        <v>0</v>
      </c>
      <c r="W131" s="16">
        <f>LCOE!Z157+V131*IF(LCOE!D$14&gt;0,G131,H131)</f>
        <v>0</v>
      </c>
      <c r="X131" s="16">
        <f>LCOE!AA157+LCOE!D$34</f>
        <v>101</v>
      </c>
      <c r="Y131" s="16">
        <f t="shared" si="15"/>
        <v>0</v>
      </c>
      <c r="Z131" s="50">
        <f t="shared" si="18"/>
        <v>25225000</v>
      </c>
      <c r="AA131" s="50">
        <f t="shared" si="19"/>
        <v>0</v>
      </c>
      <c r="AB131" s="50">
        <f t="shared" si="20"/>
        <v>0</v>
      </c>
      <c r="AC131" s="50">
        <f t="shared" si="16"/>
        <v>0</v>
      </c>
      <c r="AD131" s="50">
        <f t="shared" si="30"/>
        <v>0</v>
      </c>
      <c r="AE131">
        <f t="shared" si="25"/>
        <v>30</v>
      </c>
      <c r="AF131" s="12">
        <f>LCOE!E157+LCOE!D$40</f>
        <v>0</v>
      </c>
      <c r="AG131">
        <f t="shared" si="31"/>
        <v>1</v>
      </c>
      <c r="AH131" s="16">
        <f t="shared" si="26"/>
        <v>25225000</v>
      </c>
      <c r="AI131" s="16">
        <f t="shared" si="27"/>
        <v>0</v>
      </c>
      <c r="AJ131" s="16">
        <f t="shared" si="28"/>
        <v>0</v>
      </c>
      <c r="AK131" s="16">
        <f t="shared" si="29"/>
        <v>0</v>
      </c>
      <c r="AL131" s="16">
        <f t="shared" si="32"/>
        <v>0</v>
      </c>
      <c r="AM131" s="16">
        <f t="shared" si="33"/>
        <v>0</v>
      </c>
      <c r="AN131" s="16">
        <f>IF(LCOE!D$14&gt;0,G131,H131)/AG131</f>
        <v>0</v>
      </c>
    </row>
    <row r="132" spans="1:40">
      <c r="A132">
        <v>62</v>
      </c>
      <c r="C132" s="16">
        <f>LCOE!D158+IF(AND(LCOE!D$26&gt;0,A132&gt;=LCOE!D$26,A132&lt;=(LCOE!D$26+LCOE!D$27-1)),LCOE!D$42/LCOE!D$27,0)+IF(AND(AE132&gt;=LCOE!D$16,COUNTIF(AE107:AE132,LCOE!D$16)=LCOE!D$36+1),LCOE!D$35*LCOE!D$38,0)</f>
        <v>25225000</v>
      </c>
      <c r="D132" s="16">
        <f>IF(AE131&lt;LCOE!D$16,1,0)</f>
        <v>0</v>
      </c>
      <c r="E132" s="12">
        <f>LCOE!G158+IF(AND(A132&gt;=LCOE!D$26,A132&lt;=(LCOE!D$26+LCOE!D$27-1)),0,1)*IF(A132=LCOE!D$34,0,1)*D132</f>
        <v>0</v>
      </c>
      <c r="F132" s="12">
        <f>IF(F131&lt;LCOE!D$18,MIN(F131*(1+LCOE!D$19),LCOE!D$18),LCOE!D$18)+LCOE!J158</f>
        <v>0.9</v>
      </c>
      <c r="G132" s="16">
        <f>LCOE!K158+E132*F132*N132*(LCOE!D$14+LCOE!H158)*24*365*D132</f>
        <v>0</v>
      </c>
      <c r="H132" s="16">
        <f>LCOE!L158+F132*(LCOE!D$15+LCOE!I158)*E132*24*365*D132*N132</f>
        <v>0</v>
      </c>
      <c r="I132" s="16">
        <f>LCOE!M158+LCOE!D$20*IF(LCOE!D$14&gt;0,(LCOE!D$14+LCOE!H158),(LCOE!D$15+LCOE!I158))*K132*D132</f>
        <v>0</v>
      </c>
      <c r="J132" s="16">
        <f>LCOE!N158+LCOE!D$21*IF(LCOE!D$14&gt;0,G132,H132)*K132*D132</f>
        <v>0</v>
      </c>
      <c r="K132" s="15">
        <f>LCOE!O158+K131+K131*LCOE!D$22</f>
        <v>1</v>
      </c>
      <c r="L132" s="16">
        <f>LCOE!P158+LCOE!D$23*IF(LCOE!D$14&gt;0,G132,H132)*M132*D132</f>
        <v>0</v>
      </c>
      <c r="M132" s="15">
        <f>LCOE!Q158+M131+M131*LCOE!D$24</f>
        <v>1</v>
      </c>
      <c r="N132" s="15">
        <f>LCOE!R158+N131-N131*LCOE!D$25</f>
        <v>1</v>
      </c>
      <c r="O132" s="18">
        <f>LCOE!S158+LCOE!D$29</f>
        <v>313.75</v>
      </c>
      <c r="P132" s="12">
        <f>LCOE!T158+IF(A132&gt;=LCOE!D$30,100%,0%)</f>
        <v>1</v>
      </c>
      <c r="Q132" s="16">
        <f>LCOE!U158+O132/1000*IF(LCOE!D$14&gt;0,G132,H132)</f>
        <v>0</v>
      </c>
      <c r="R132" s="16">
        <f>LCOE!B158</f>
        <v>30</v>
      </c>
      <c r="S132" s="16">
        <f>LCOE!V158+Q132*P132*R132</f>
        <v>0</v>
      </c>
      <c r="T132" s="16">
        <f>LCOE!W158+LCOE!D$31</f>
        <v>0</v>
      </c>
      <c r="U132" s="16">
        <f>LCOE!X158+T132*IF(LCOE!D$14&gt;0,G132,H132)</f>
        <v>0</v>
      </c>
      <c r="V132" s="16">
        <f>LCOE!Y158+LCOE!D$32</f>
        <v>0</v>
      </c>
      <c r="W132" s="16">
        <f>LCOE!Z158+V132*IF(LCOE!D$14&gt;0,G132,H132)</f>
        <v>0</v>
      </c>
      <c r="X132" s="16">
        <f>LCOE!AA158+LCOE!D$34</f>
        <v>101</v>
      </c>
      <c r="Y132" s="16">
        <f t="shared" si="15"/>
        <v>0</v>
      </c>
      <c r="Z132" s="50">
        <f t="shared" si="18"/>
        <v>25225000</v>
      </c>
      <c r="AA132" s="50">
        <f t="shared" si="19"/>
        <v>0</v>
      </c>
      <c r="AB132" s="50">
        <f t="shared" si="20"/>
        <v>0</v>
      </c>
      <c r="AC132" s="50">
        <f t="shared" si="16"/>
        <v>0</v>
      </c>
      <c r="AD132" s="50">
        <f t="shared" si="30"/>
        <v>0</v>
      </c>
      <c r="AE132">
        <f t="shared" si="25"/>
        <v>30</v>
      </c>
      <c r="AF132" s="12">
        <f>LCOE!E158+LCOE!D$40</f>
        <v>0</v>
      </c>
      <c r="AG132">
        <f t="shared" si="31"/>
        <v>1</v>
      </c>
      <c r="AH132" s="16">
        <f t="shared" si="26"/>
        <v>25225000</v>
      </c>
      <c r="AI132" s="16">
        <f t="shared" si="27"/>
        <v>0</v>
      </c>
      <c r="AJ132" s="16">
        <f t="shared" si="28"/>
        <v>0</v>
      </c>
      <c r="AK132" s="16">
        <f t="shared" si="29"/>
        <v>0</v>
      </c>
      <c r="AL132" s="16">
        <f t="shared" si="32"/>
        <v>0</v>
      </c>
      <c r="AM132" s="16">
        <f t="shared" si="33"/>
        <v>0</v>
      </c>
      <c r="AN132" s="16">
        <f>IF(LCOE!D$14&gt;0,G132,H132)/AG132</f>
        <v>0</v>
      </c>
    </row>
    <row r="133" spans="1:40">
      <c r="A133">
        <v>63</v>
      </c>
      <c r="C133" s="16">
        <f>LCOE!D159+IF(AND(LCOE!D$26&gt;0,A133&gt;=LCOE!D$26,A133&lt;=(LCOE!D$26+LCOE!D$27-1)),LCOE!D$42/LCOE!D$27,0)+IF(AND(AE133&gt;=LCOE!D$16,COUNTIF(AE108:AE133,LCOE!D$16)=LCOE!D$36+1),LCOE!D$35*LCOE!D$38,0)</f>
        <v>25225000</v>
      </c>
      <c r="D133" s="16">
        <f>IF(AE132&lt;LCOE!D$16,1,0)</f>
        <v>0</v>
      </c>
      <c r="E133" s="12">
        <f>LCOE!G159+IF(AND(A133&gt;=LCOE!D$26,A133&lt;=(LCOE!D$26+LCOE!D$27-1)),0,1)*IF(A133=LCOE!D$34,0,1)*D133</f>
        <v>0</v>
      </c>
      <c r="F133" s="12">
        <f>IF(F132&lt;LCOE!D$18,MIN(F132*(1+LCOE!D$19),LCOE!D$18),LCOE!D$18)+LCOE!J159</f>
        <v>0.9</v>
      </c>
      <c r="G133" s="16">
        <f>LCOE!K159+E133*F133*N133*(LCOE!D$14+LCOE!H159)*24*365*D133</f>
        <v>0</v>
      </c>
      <c r="H133" s="16">
        <f>LCOE!L159+F133*(LCOE!D$15+LCOE!I159)*E133*24*365*D133*N133</f>
        <v>0</v>
      </c>
      <c r="I133" s="16">
        <f>LCOE!M159+LCOE!D$20*IF(LCOE!D$14&gt;0,(LCOE!D$14+LCOE!H159),(LCOE!D$15+LCOE!I159))*K133*D133</f>
        <v>0</v>
      </c>
      <c r="J133" s="16">
        <f>LCOE!N159+LCOE!D$21*IF(LCOE!D$14&gt;0,G133,H133)*K133*D133</f>
        <v>0</v>
      </c>
      <c r="K133" s="15">
        <f>LCOE!O159+K132+K132*LCOE!D$22</f>
        <v>1</v>
      </c>
      <c r="L133" s="16">
        <f>LCOE!P159+LCOE!D$23*IF(LCOE!D$14&gt;0,G133,H133)*M133*D133</f>
        <v>0</v>
      </c>
      <c r="M133" s="15">
        <f>LCOE!Q159+M132+M132*LCOE!D$24</f>
        <v>1</v>
      </c>
      <c r="N133" s="15">
        <f>LCOE!R159+N132-N132*LCOE!D$25</f>
        <v>1</v>
      </c>
      <c r="O133" s="18">
        <f>LCOE!S159+LCOE!D$29</f>
        <v>313.75</v>
      </c>
      <c r="P133" s="12">
        <f>LCOE!T159+IF(A133&gt;=LCOE!D$30,100%,0%)</f>
        <v>1</v>
      </c>
      <c r="Q133" s="16">
        <f>LCOE!U159+O133/1000*IF(LCOE!D$14&gt;0,G133,H133)</f>
        <v>0</v>
      </c>
      <c r="R133" s="16">
        <f>LCOE!B159</f>
        <v>30</v>
      </c>
      <c r="S133" s="16">
        <f>LCOE!V159+Q133*P133*R133</f>
        <v>0</v>
      </c>
      <c r="T133" s="16">
        <f>LCOE!W159+LCOE!D$31</f>
        <v>0</v>
      </c>
      <c r="U133" s="16">
        <f>LCOE!X159+T133*IF(LCOE!D$14&gt;0,G133,H133)</f>
        <v>0</v>
      </c>
      <c r="V133" s="16">
        <f>LCOE!Y159+LCOE!D$32</f>
        <v>0</v>
      </c>
      <c r="W133" s="16">
        <f>LCOE!Z159+V133*IF(LCOE!D$14&gt;0,G133,H133)</f>
        <v>0</v>
      </c>
      <c r="X133" s="16">
        <f>LCOE!AA159+LCOE!D$34</f>
        <v>101</v>
      </c>
      <c r="Y133" s="16">
        <f t="shared" si="15"/>
        <v>0</v>
      </c>
      <c r="Z133" s="50">
        <f t="shared" si="18"/>
        <v>25225000</v>
      </c>
      <c r="AA133" s="50">
        <f t="shared" si="19"/>
        <v>0</v>
      </c>
      <c r="AB133" s="50">
        <f t="shared" si="20"/>
        <v>0</v>
      </c>
      <c r="AC133" s="50">
        <f t="shared" si="16"/>
        <v>0</v>
      </c>
      <c r="AD133" s="50">
        <f t="shared" si="30"/>
        <v>0</v>
      </c>
      <c r="AE133">
        <f t="shared" si="25"/>
        <v>30</v>
      </c>
      <c r="AF133" s="12">
        <f>LCOE!E159+LCOE!D$40</f>
        <v>0</v>
      </c>
      <c r="AG133">
        <f t="shared" si="31"/>
        <v>1</v>
      </c>
      <c r="AH133" s="16">
        <f t="shared" si="26"/>
        <v>25225000</v>
      </c>
      <c r="AI133" s="16">
        <f t="shared" si="27"/>
        <v>0</v>
      </c>
      <c r="AJ133" s="16">
        <f t="shared" si="28"/>
        <v>0</v>
      </c>
      <c r="AK133" s="16">
        <f t="shared" si="29"/>
        <v>0</v>
      </c>
      <c r="AL133" s="16">
        <f t="shared" si="32"/>
        <v>0</v>
      </c>
      <c r="AM133" s="16">
        <f t="shared" si="33"/>
        <v>0</v>
      </c>
      <c r="AN133" s="16">
        <f>IF(LCOE!D$14&gt;0,G133,H133)/AG133</f>
        <v>0</v>
      </c>
    </row>
    <row r="134" spans="1:40">
      <c r="A134">
        <v>64</v>
      </c>
      <c r="C134" s="16">
        <f>LCOE!D160+IF(AND(LCOE!D$26&gt;0,A134&gt;=LCOE!D$26,A134&lt;=(LCOE!D$26+LCOE!D$27-1)),LCOE!D$42/LCOE!D$27,0)+IF(AND(AE134&gt;=LCOE!D$16,COUNTIF(AE109:AE134,LCOE!D$16)=LCOE!D$36+1),LCOE!D$35*LCOE!D$38,0)</f>
        <v>25225000</v>
      </c>
      <c r="D134" s="16">
        <f>IF(AE133&lt;LCOE!D$16,1,0)</f>
        <v>0</v>
      </c>
      <c r="E134" s="12">
        <f>LCOE!G160+IF(AND(A134&gt;=LCOE!D$26,A134&lt;=(LCOE!D$26+LCOE!D$27-1)),0,1)*IF(A134=LCOE!D$34,0,1)*D134</f>
        <v>0</v>
      </c>
      <c r="F134" s="12">
        <f>IF(F133&lt;LCOE!D$18,MIN(F133*(1+LCOE!D$19),LCOE!D$18),LCOE!D$18)+LCOE!J160</f>
        <v>0.9</v>
      </c>
      <c r="G134" s="16">
        <f>LCOE!K160+E134*F134*N134*(LCOE!D$14+LCOE!H160)*24*365*D134</f>
        <v>0</v>
      </c>
      <c r="H134" s="16">
        <f>LCOE!L160+F134*(LCOE!D$15+LCOE!I160)*E134*24*365*D134*N134</f>
        <v>0</v>
      </c>
      <c r="I134" s="16">
        <f>LCOE!M160+LCOE!D$20*IF(LCOE!D$14&gt;0,(LCOE!D$14+LCOE!H160),(LCOE!D$15+LCOE!I160))*K134*D134</f>
        <v>0</v>
      </c>
      <c r="J134" s="16">
        <f>LCOE!N160+LCOE!D$21*IF(LCOE!D$14&gt;0,G134,H134)*K134*D134</f>
        <v>0</v>
      </c>
      <c r="K134" s="15">
        <f>LCOE!O160+K133+K133*LCOE!D$22</f>
        <v>1</v>
      </c>
      <c r="L134" s="16">
        <f>LCOE!P160+LCOE!D$23*IF(LCOE!D$14&gt;0,G134,H134)*M134*D134</f>
        <v>0</v>
      </c>
      <c r="M134" s="15">
        <f>LCOE!Q160+M133+M133*LCOE!D$24</f>
        <v>1</v>
      </c>
      <c r="N134" s="15">
        <f>LCOE!R160+N133-N133*LCOE!D$25</f>
        <v>1</v>
      </c>
      <c r="O134" s="18">
        <f>LCOE!S160+LCOE!D$29</f>
        <v>313.75</v>
      </c>
      <c r="P134" s="12">
        <f>LCOE!T160+IF(A134&gt;=LCOE!D$30,100%,0%)</f>
        <v>1</v>
      </c>
      <c r="Q134" s="16">
        <f>LCOE!U160+O134/1000*IF(LCOE!D$14&gt;0,G134,H134)</f>
        <v>0</v>
      </c>
      <c r="R134" s="16">
        <f>LCOE!B160</f>
        <v>30</v>
      </c>
      <c r="S134" s="16">
        <f>LCOE!V160+Q134*P134*R134</f>
        <v>0</v>
      </c>
      <c r="T134" s="16">
        <f>LCOE!W160+LCOE!D$31</f>
        <v>0</v>
      </c>
      <c r="U134" s="16">
        <f>LCOE!X160+T134*IF(LCOE!D$14&gt;0,G134,H134)</f>
        <v>0</v>
      </c>
      <c r="V134" s="16">
        <f>LCOE!Y160+LCOE!D$32</f>
        <v>0</v>
      </c>
      <c r="W134" s="16">
        <f>LCOE!Z160+V134*IF(LCOE!D$14&gt;0,G134,H134)</f>
        <v>0</v>
      </c>
      <c r="X134" s="16">
        <f>LCOE!AA160+LCOE!D$34</f>
        <v>101</v>
      </c>
      <c r="Y134" s="16">
        <f t="shared" si="15"/>
        <v>0</v>
      </c>
      <c r="Z134" s="50">
        <f t="shared" si="18"/>
        <v>25225000</v>
      </c>
      <c r="AA134" s="50">
        <f t="shared" si="19"/>
        <v>0</v>
      </c>
      <c r="AB134" s="50">
        <f t="shared" si="20"/>
        <v>0</v>
      </c>
      <c r="AC134" s="50">
        <f t="shared" si="16"/>
        <v>0</v>
      </c>
      <c r="AD134" s="50">
        <f t="shared" si="30"/>
        <v>0</v>
      </c>
      <c r="AE134">
        <f t="shared" si="25"/>
        <v>30</v>
      </c>
      <c r="AF134" s="12">
        <f>LCOE!E160+LCOE!D$40</f>
        <v>0</v>
      </c>
      <c r="AG134">
        <f t="shared" si="31"/>
        <v>1</v>
      </c>
      <c r="AH134" s="16">
        <f t="shared" si="26"/>
        <v>25225000</v>
      </c>
      <c r="AI134" s="16">
        <f t="shared" si="27"/>
        <v>0</v>
      </c>
      <c r="AJ134" s="16">
        <f t="shared" si="28"/>
        <v>0</v>
      </c>
      <c r="AK134" s="16">
        <f t="shared" si="29"/>
        <v>0</v>
      </c>
      <c r="AL134" s="16">
        <f t="shared" si="32"/>
        <v>0</v>
      </c>
      <c r="AM134" s="16">
        <f t="shared" si="33"/>
        <v>0</v>
      </c>
      <c r="AN134" s="16">
        <f>IF(LCOE!D$14&gt;0,G134,H134)/AG134</f>
        <v>0</v>
      </c>
    </row>
    <row r="135" spans="1:40">
      <c r="A135">
        <v>65</v>
      </c>
      <c r="C135" s="16">
        <f>LCOE!D161+IF(AND(LCOE!D$26&gt;0,A135&gt;=LCOE!D$26,A135&lt;=(LCOE!D$26+LCOE!D$27-1)),LCOE!D$42/LCOE!D$27,0)+IF(AND(AE135&gt;=LCOE!D$16,COUNTIF(AE110:AE135,LCOE!D$16)=LCOE!D$36+1),LCOE!D$35*LCOE!D$38,0)</f>
        <v>25225000</v>
      </c>
      <c r="D135" s="16">
        <f>IF(AE134&lt;LCOE!D$16,1,0)</f>
        <v>0</v>
      </c>
      <c r="E135" s="12">
        <f>LCOE!G161+IF(AND(A135&gt;=LCOE!D$26,A135&lt;=(LCOE!D$26+LCOE!D$27-1)),0,1)*IF(A135=LCOE!D$34,0,1)*D135</f>
        <v>0</v>
      </c>
      <c r="F135" s="12">
        <f>IF(F134&lt;LCOE!D$18,MIN(F134*(1+LCOE!D$19),LCOE!D$18),LCOE!D$18)+LCOE!J161</f>
        <v>0.9</v>
      </c>
      <c r="G135" s="16">
        <f>LCOE!K161+E135*F135*N135*(LCOE!D$14+LCOE!H161)*24*365*D135</f>
        <v>0</v>
      </c>
      <c r="H135" s="16">
        <f>LCOE!L161+F135*(LCOE!D$15+LCOE!I161)*E135*24*365*D135*N135</f>
        <v>0</v>
      </c>
      <c r="I135" s="16">
        <f>LCOE!M161+LCOE!D$20*IF(LCOE!D$14&gt;0,(LCOE!D$14+LCOE!H161),(LCOE!D$15+LCOE!I161))*K135*D135</f>
        <v>0</v>
      </c>
      <c r="J135" s="16">
        <f>LCOE!N161+LCOE!D$21*IF(LCOE!D$14&gt;0,G135,H135)*K135*D135</f>
        <v>0</v>
      </c>
      <c r="K135" s="15">
        <f>LCOE!O161+K134+K134*LCOE!D$22</f>
        <v>1</v>
      </c>
      <c r="L135" s="16">
        <f>LCOE!P161+LCOE!D$23*IF(LCOE!D$14&gt;0,G135,H135)*M135*D135</f>
        <v>0</v>
      </c>
      <c r="M135" s="15">
        <f>LCOE!Q161+M134+M134*LCOE!D$24</f>
        <v>1</v>
      </c>
      <c r="N135" s="15">
        <f>LCOE!R161+N134-N134*LCOE!D$25</f>
        <v>1</v>
      </c>
      <c r="O135" s="18">
        <f>LCOE!S161+LCOE!D$29</f>
        <v>313.75</v>
      </c>
      <c r="P135" s="12">
        <f>LCOE!T161+IF(A135&gt;=LCOE!D$30,100%,0%)</f>
        <v>1</v>
      </c>
      <c r="Q135" s="16">
        <f>LCOE!U161+O135/1000*IF(LCOE!D$14&gt;0,G135,H135)</f>
        <v>0</v>
      </c>
      <c r="R135" s="16">
        <f>LCOE!B161</f>
        <v>30</v>
      </c>
      <c r="S135" s="16">
        <f>LCOE!V161+Q135*P135*R135</f>
        <v>0</v>
      </c>
      <c r="T135" s="16">
        <f>LCOE!W161+LCOE!D$31</f>
        <v>0</v>
      </c>
      <c r="U135" s="16">
        <f>LCOE!X161+T135*IF(LCOE!D$14&gt;0,G135,H135)</f>
        <v>0</v>
      </c>
      <c r="V135" s="16">
        <f>LCOE!Y161+LCOE!D$32</f>
        <v>0</v>
      </c>
      <c r="W135" s="16">
        <f>LCOE!Z161+V135*IF(LCOE!D$14&gt;0,G135,H135)</f>
        <v>0</v>
      </c>
      <c r="X135" s="16">
        <f>LCOE!AA161+LCOE!D$34</f>
        <v>101</v>
      </c>
      <c r="Y135" s="16">
        <f t="shared" ref="Y135:Y170" si="34">X135*H135</f>
        <v>0</v>
      </c>
      <c r="Z135" s="50">
        <f t="shared" si="18"/>
        <v>25225000</v>
      </c>
      <c r="AA135" s="50">
        <f t="shared" si="19"/>
        <v>0</v>
      </c>
      <c r="AB135" s="50">
        <f t="shared" si="20"/>
        <v>0</v>
      </c>
      <c r="AC135" s="50">
        <f t="shared" ref="AC135:AC170" si="35">U135+W135</f>
        <v>0</v>
      </c>
      <c r="AD135" s="50">
        <f t="shared" si="30"/>
        <v>0</v>
      </c>
      <c r="AE135">
        <f t="shared" ref="AE135:AE170" si="36">AE134+1*E135</f>
        <v>30</v>
      </c>
      <c r="AF135" s="12">
        <f>LCOE!E161+LCOE!D$40</f>
        <v>0</v>
      </c>
      <c r="AG135">
        <f t="shared" si="31"/>
        <v>1</v>
      </c>
      <c r="AH135" s="16">
        <f t="shared" si="26"/>
        <v>25225000</v>
      </c>
      <c r="AI135" s="16">
        <f t="shared" si="27"/>
        <v>0</v>
      </c>
      <c r="AJ135" s="16">
        <f t="shared" si="28"/>
        <v>0</v>
      </c>
      <c r="AK135" s="16">
        <f t="shared" si="29"/>
        <v>0</v>
      </c>
      <c r="AL135" s="16">
        <f t="shared" si="32"/>
        <v>0</v>
      </c>
      <c r="AM135" s="16">
        <f t="shared" si="33"/>
        <v>0</v>
      </c>
      <c r="AN135" s="16">
        <f>IF(LCOE!D$14&gt;0,G135,H135)/AG135</f>
        <v>0</v>
      </c>
    </row>
    <row r="136" spans="1:40">
      <c r="A136">
        <v>66</v>
      </c>
      <c r="C136" s="16">
        <f>LCOE!D162+IF(AND(LCOE!D$26&gt;0,A136&gt;=LCOE!D$26,A136&lt;=(LCOE!D$26+LCOE!D$27-1)),LCOE!D$42/LCOE!D$27,0)+IF(AND(AE136&gt;=LCOE!D$16,COUNTIF(AE111:AE136,LCOE!D$16)=LCOE!D$36+1),LCOE!D$35*LCOE!D$38,0)</f>
        <v>25225000</v>
      </c>
      <c r="D136" s="16">
        <f>IF(AE135&lt;LCOE!D$16,1,0)</f>
        <v>0</v>
      </c>
      <c r="E136" s="12">
        <f>LCOE!G162+IF(AND(A136&gt;=LCOE!D$26,A136&lt;=(LCOE!D$26+LCOE!D$27-1)),0,1)*IF(A136=LCOE!D$34,0,1)*D136</f>
        <v>0</v>
      </c>
      <c r="F136" s="12">
        <f>IF(F135&lt;LCOE!D$18,MIN(F135*(1+LCOE!D$19),LCOE!D$18),LCOE!D$18)+LCOE!J162</f>
        <v>0.9</v>
      </c>
      <c r="G136" s="16">
        <f>LCOE!K162+E136*F136*N136*(LCOE!D$14+LCOE!H162)*24*365*D136</f>
        <v>0</v>
      </c>
      <c r="H136" s="16">
        <f>LCOE!L162+F136*(LCOE!D$15+LCOE!I162)*E136*24*365*D136*N136</f>
        <v>0</v>
      </c>
      <c r="I136" s="16">
        <f>LCOE!M162+LCOE!D$20*IF(LCOE!D$14&gt;0,(LCOE!D$14+LCOE!H162),(LCOE!D$15+LCOE!I162))*K136*D136</f>
        <v>0</v>
      </c>
      <c r="J136" s="16">
        <f>LCOE!N162+LCOE!D$21*IF(LCOE!D$14&gt;0,G136,H136)*K136*D136</f>
        <v>0</v>
      </c>
      <c r="K136" s="15">
        <f>LCOE!O162+K135+K135*LCOE!D$22</f>
        <v>1</v>
      </c>
      <c r="L136" s="16">
        <f>LCOE!P162+LCOE!D$23*IF(LCOE!D$14&gt;0,G136,H136)*M136*D136</f>
        <v>0</v>
      </c>
      <c r="M136" s="15">
        <f>LCOE!Q162+M135+M135*LCOE!D$24</f>
        <v>1</v>
      </c>
      <c r="N136" s="15">
        <f>LCOE!R162+N135-N135*LCOE!D$25</f>
        <v>1</v>
      </c>
      <c r="O136" s="18">
        <f>LCOE!S162+LCOE!D$29</f>
        <v>313.75</v>
      </c>
      <c r="P136" s="12">
        <f>LCOE!T162+IF(A136&gt;=LCOE!D$30,100%,0%)</f>
        <v>1</v>
      </c>
      <c r="Q136" s="16">
        <f>LCOE!U162+O136/1000*IF(LCOE!D$14&gt;0,G136,H136)</f>
        <v>0</v>
      </c>
      <c r="R136" s="16">
        <f>LCOE!B162</f>
        <v>30</v>
      </c>
      <c r="S136" s="16">
        <f>LCOE!V162+Q136*P136*R136</f>
        <v>0</v>
      </c>
      <c r="T136" s="16">
        <f>LCOE!W162+LCOE!D$31</f>
        <v>0</v>
      </c>
      <c r="U136" s="16">
        <f>LCOE!X162+T136*IF(LCOE!D$14&gt;0,G136,H136)</f>
        <v>0</v>
      </c>
      <c r="V136" s="16">
        <f>LCOE!Y162+LCOE!D$32</f>
        <v>0</v>
      </c>
      <c r="W136" s="16">
        <f>LCOE!Z162+V136*IF(LCOE!D$14&gt;0,G136,H136)</f>
        <v>0</v>
      </c>
      <c r="X136" s="16">
        <f>LCOE!AA162+LCOE!D$34</f>
        <v>101</v>
      </c>
      <c r="Y136" s="16">
        <f t="shared" si="34"/>
        <v>0</v>
      </c>
      <c r="Z136" s="50">
        <f t="shared" ref="Z136:Z170" si="37">SUM(B136:C136)</f>
        <v>25225000</v>
      </c>
      <c r="AA136" s="50">
        <f t="shared" ref="AA136:AA170" si="38">SUM(I136:J136)</f>
        <v>0</v>
      </c>
      <c r="AB136" s="50">
        <f t="shared" ref="AB136:AB170" si="39">L136</f>
        <v>0</v>
      </c>
      <c r="AC136" s="50">
        <f t="shared" si="35"/>
        <v>0</v>
      </c>
      <c r="AD136" s="50">
        <f t="shared" si="30"/>
        <v>0</v>
      </c>
      <c r="AE136">
        <f t="shared" si="36"/>
        <v>30</v>
      </c>
      <c r="AF136" s="12">
        <f>LCOE!E162+LCOE!D$40</f>
        <v>0</v>
      </c>
      <c r="AG136">
        <f t="shared" si="31"/>
        <v>1</v>
      </c>
      <c r="AH136" s="16">
        <f t="shared" si="26"/>
        <v>25225000</v>
      </c>
      <c r="AI136" s="16">
        <f t="shared" si="27"/>
        <v>0</v>
      </c>
      <c r="AJ136" s="16">
        <f t="shared" si="28"/>
        <v>0</v>
      </c>
      <c r="AK136" s="16">
        <f t="shared" si="29"/>
        <v>0</v>
      </c>
      <c r="AL136" s="16">
        <f t="shared" si="32"/>
        <v>0</v>
      </c>
      <c r="AM136" s="16">
        <f t="shared" si="33"/>
        <v>0</v>
      </c>
      <c r="AN136" s="16">
        <f>IF(LCOE!D$14&gt;0,G136,H136)/AG136</f>
        <v>0</v>
      </c>
    </row>
    <row r="137" spans="1:40">
      <c r="A137">
        <v>67</v>
      </c>
      <c r="C137" s="16">
        <f>LCOE!D163+IF(AND(LCOE!D$26&gt;0,A137&gt;=LCOE!D$26,A137&lt;=(LCOE!D$26+LCOE!D$27-1)),LCOE!D$42/LCOE!D$27,0)+IF(AND(AE137&gt;=LCOE!D$16,COUNTIF(AE112:AE137,LCOE!D$16)=LCOE!D$36+1),LCOE!D$35*LCOE!D$38,0)</f>
        <v>25225000</v>
      </c>
      <c r="D137" s="16">
        <f>IF(AE136&lt;LCOE!D$16,1,0)</f>
        <v>0</v>
      </c>
      <c r="E137" s="12">
        <f>LCOE!G163+IF(AND(A137&gt;=LCOE!D$26,A137&lt;=(LCOE!D$26+LCOE!D$27-1)),0,1)*IF(A137=LCOE!D$34,0,1)*D137</f>
        <v>0</v>
      </c>
      <c r="F137" s="12">
        <f>IF(F136&lt;LCOE!D$18,MIN(F136*(1+LCOE!D$19),LCOE!D$18),LCOE!D$18)+LCOE!J163</f>
        <v>0.9</v>
      </c>
      <c r="G137" s="16">
        <f>LCOE!K163+E137*F137*N137*(LCOE!D$14+LCOE!H163)*24*365*D137</f>
        <v>0</v>
      </c>
      <c r="H137" s="16">
        <f>LCOE!L163+F137*(LCOE!D$15+LCOE!I163)*E137*24*365*D137*N137</f>
        <v>0</v>
      </c>
      <c r="I137" s="16">
        <f>LCOE!M163+LCOE!D$20*IF(LCOE!D$14&gt;0,(LCOE!D$14+LCOE!H163),(LCOE!D$15+LCOE!I163))*K137*D137</f>
        <v>0</v>
      </c>
      <c r="J137" s="16">
        <f>LCOE!N163+LCOE!D$21*IF(LCOE!D$14&gt;0,G137,H137)*K137*D137</f>
        <v>0</v>
      </c>
      <c r="K137" s="15">
        <f>LCOE!O163+K136+K136*LCOE!D$22</f>
        <v>1</v>
      </c>
      <c r="L137" s="16">
        <f>LCOE!P163+LCOE!D$23*IF(LCOE!D$14&gt;0,G137,H137)*M137*D137</f>
        <v>0</v>
      </c>
      <c r="M137" s="15">
        <f>LCOE!Q163+M136+M136*LCOE!D$24</f>
        <v>1</v>
      </c>
      <c r="N137" s="15">
        <f>LCOE!R163+N136-N136*LCOE!D$25</f>
        <v>1</v>
      </c>
      <c r="O137" s="18">
        <f>LCOE!S163+LCOE!D$29</f>
        <v>313.75</v>
      </c>
      <c r="P137" s="12">
        <f>LCOE!T163+IF(A137&gt;=LCOE!D$30,100%,0%)</f>
        <v>1</v>
      </c>
      <c r="Q137" s="16">
        <f>LCOE!U163+O137/1000*IF(LCOE!D$14&gt;0,G137,H137)</f>
        <v>0</v>
      </c>
      <c r="R137" s="16">
        <f>LCOE!B163</f>
        <v>30</v>
      </c>
      <c r="S137" s="16">
        <f>LCOE!V163+Q137*P137*R137</f>
        <v>0</v>
      </c>
      <c r="T137" s="16">
        <f>LCOE!W163+LCOE!D$31</f>
        <v>0</v>
      </c>
      <c r="U137" s="16">
        <f>LCOE!X163+T137*IF(LCOE!D$14&gt;0,G137,H137)</f>
        <v>0</v>
      </c>
      <c r="V137" s="16">
        <f>LCOE!Y163+LCOE!D$32</f>
        <v>0</v>
      </c>
      <c r="W137" s="16">
        <f>LCOE!Z163+V137*IF(LCOE!D$14&gt;0,G137,H137)</f>
        <v>0</v>
      </c>
      <c r="X137" s="16">
        <f>LCOE!AA163+LCOE!D$34</f>
        <v>101</v>
      </c>
      <c r="Y137" s="16">
        <f t="shared" si="34"/>
        <v>0</v>
      </c>
      <c r="Z137" s="50">
        <f t="shared" si="37"/>
        <v>25225000</v>
      </c>
      <c r="AA137" s="50">
        <f t="shared" si="38"/>
        <v>0</v>
      </c>
      <c r="AB137" s="50">
        <f t="shared" si="39"/>
        <v>0</v>
      </c>
      <c r="AC137" s="50">
        <f t="shared" si="35"/>
        <v>0</v>
      </c>
      <c r="AD137" s="50">
        <f t="shared" si="30"/>
        <v>0</v>
      </c>
      <c r="AE137">
        <f t="shared" si="36"/>
        <v>30</v>
      </c>
      <c r="AF137" s="12">
        <f>LCOE!E163+LCOE!D$40</f>
        <v>0</v>
      </c>
      <c r="AG137">
        <f t="shared" si="31"/>
        <v>1</v>
      </c>
      <c r="AH137" s="16">
        <f t="shared" si="26"/>
        <v>25225000</v>
      </c>
      <c r="AI137" s="16">
        <f t="shared" si="27"/>
        <v>0</v>
      </c>
      <c r="AJ137" s="16">
        <f t="shared" si="28"/>
        <v>0</v>
      </c>
      <c r="AK137" s="16">
        <f t="shared" si="29"/>
        <v>0</v>
      </c>
      <c r="AL137" s="16">
        <f t="shared" si="32"/>
        <v>0</v>
      </c>
      <c r="AM137" s="16">
        <f t="shared" si="33"/>
        <v>0</v>
      </c>
      <c r="AN137" s="16">
        <f>IF(LCOE!D$14&gt;0,G137,H137)/AG137</f>
        <v>0</v>
      </c>
    </row>
    <row r="138" spans="1:40">
      <c r="A138">
        <v>68</v>
      </c>
      <c r="C138" s="16">
        <f>LCOE!D164+IF(AND(LCOE!D$26&gt;0,A138&gt;=LCOE!D$26,A138&lt;=(LCOE!D$26+LCOE!D$27-1)),LCOE!D$42/LCOE!D$27,0)+IF(AND(AE138&gt;=LCOE!D$16,COUNTIF(AE113:AE138,LCOE!D$16)=LCOE!D$36+1),LCOE!D$35*LCOE!D$38,0)</f>
        <v>25225000</v>
      </c>
      <c r="D138" s="16">
        <f>IF(AE137&lt;LCOE!D$16,1,0)</f>
        <v>0</v>
      </c>
      <c r="E138" s="12">
        <f>LCOE!G164+IF(AND(A138&gt;=LCOE!D$26,A138&lt;=(LCOE!D$26+LCOE!D$27-1)),0,1)*IF(A138=LCOE!D$34,0,1)*D138</f>
        <v>0</v>
      </c>
      <c r="F138" s="12">
        <f>IF(F137&lt;LCOE!D$18,MIN(F137*(1+LCOE!D$19),LCOE!D$18),LCOE!D$18)+LCOE!J164</f>
        <v>0.9</v>
      </c>
      <c r="G138" s="16">
        <f>LCOE!K164+E138*F138*N138*(LCOE!D$14+LCOE!H164)*24*365*D138</f>
        <v>0</v>
      </c>
      <c r="H138" s="16">
        <f>LCOE!L164+F138*(LCOE!D$15+LCOE!I164)*E138*24*365*D138*N138</f>
        <v>0</v>
      </c>
      <c r="I138" s="16">
        <f>LCOE!M164+LCOE!D$20*IF(LCOE!D$14&gt;0,(LCOE!D$14+LCOE!H164),(LCOE!D$15+LCOE!I164))*K138*D138</f>
        <v>0</v>
      </c>
      <c r="J138" s="16">
        <f>LCOE!N164+LCOE!D$21*IF(LCOE!D$14&gt;0,G138,H138)*K138*D138</f>
        <v>0</v>
      </c>
      <c r="K138" s="15">
        <f>LCOE!O164+K137+K137*LCOE!D$22</f>
        <v>1</v>
      </c>
      <c r="L138" s="16">
        <f>LCOE!P164+LCOE!D$23*IF(LCOE!D$14&gt;0,G138,H138)*M138*D138</f>
        <v>0</v>
      </c>
      <c r="M138" s="15">
        <f>LCOE!Q164+M137+M137*LCOE!D$24</f>
        <v>1</v>
      </c>
      <c r="N138" s="15">
        <f>LCOE!R164+N137-N137*LCOE!D$25</f>
        <v>1</v>
      </c>
      <c r="O138" s="18">
        <f>LCOE!S164+LCOE!D$29</f>
        <v>313.75</v>
      </c>
      <c r="P138" s="12">
        <f>LCOE!T164+IF(A138&gt;=LCOE!D$30,100%,0%)</f>
        <v>1</v>
      </c>
      <c r="Q138" s="16">
        <f>LCOE!U164+O138/1000*IF(LCOE!D$14&gt;0,G138,H138)</f>
        <v>0</v>
      </c>
      <c r="R138" s="16">
        <f>LCOE!B164</f>
        <v>30</v>
      </c>
      <c r="S138" s="16">
        <f>LCOE!V164+Q138*P138*R138</f>
        <v>0</v>
      </c>
      <c r="T138" s="16">
        <f>LCOE!W164+LCOE!D$31</f>
        <v>0</v>
      </c>
      <c r="U138" s="16">
        <f>LCOE!X164+T138*IF(LCOE!D$14&gt;0,G138,H138)</f>
        <v>0</v>
      </c>
      <c r="V138" s="16">
        <f>LCOE!Y164+LCOE!D$32</f>
        <v>0</v>
      </c>
      <c r="W138" s="16">
        <f>LCOE!Z164+V138*IF(LCOE!D$14&gt;0,G138,H138)</f>
        <v>0</v>
      </c>
      <c r="X138" s="16">
        <f>LCOE!AA164+LCOE!D$34</f>
        <v>101</v>
      </c>
      <c r="Y138" s="16">
        <f t="shared" si="34"/>
        <v>0</v>
      </c>
      <c r="Z138" s="50">
        <f t="shared" si="37"/>
        <v>25225000</v>
      </c>
      <c r="AA138" s="50">
        <f t="shared" si="38"/>
        <v>0</v>
      </c>
      <c r="AB138" s="50">
        <f t="shared" si="39"/>
        <v>0</v>
      </c>
      <c r="AC138" s="50">
        <f t="shared" si="35"/>
        <v>0</v>
      </c>
      <c r="AD138" s="50">
        <f t="shared" si="30"/>
        <v>0</v>
      </c>
      <c r="AE138">
        <f t="shared" si="36"/>
        <v>30</v>
      </c>
      <c r="AF138" s="12">
        <f>LCOE!E164+LCOE!D$40</f>
        <v>0</v>
      </c>
      <c r="AG138">
        <f t="shared" si="31"/>
        <v>1</v>
      </c>
      <c r="AH138" s="16">
        <f t="shared" si="26"/>
        <v>25225000</v>
      </c>
      <c r="AI138" s="16">
        <f t="shared" si="27"/>
        <v>0</v>
      </c>
      <c r="AJ138" s="16">
        <f t="shared" si="28"/>
        <v>0</v>
      </c>
      <c r="AK138" s="16">
        <f t="shared" si="29"/>
        <v>0</v>
      </c>
      <c r="AL138" s="16">
        <f t="shared" si="32"/>
        <v>0</v>
      </c>
      <c r="AM138" s="16">
        <f t="shared" si="33"/>
        <v>0</v>
      </c>
      <c r="AN138" s="16">
        <f>IF(LCOE!D$14&gt;0,G138,H138)/AG138</f>
        <v>0</v>
      </c>
    </row>
    <row r="139" spans="1:40">
      <c r="A139">
        <v>69</v>
      </c>
      <c r="C139" s="16">
        <f>LCOE!D165+IF(AND(LCOE!D$26&gt;0,A139&gt;=LCOE!D$26,A139&lt;=(LCOE!D$26+LCOE!D$27-1)),LCOE!D$42/LCOE!D$27,0)+IF(AND(AE139&gt;=LCOE!D$16,COUNTIF(AE114:AE139,LCOE!D$16)=LCOE!D$36+1),LCOE!D$35*LCOE!D$38,0)</f>
        <v>25225000</v>
      </c>
      <c r="D139" s="16">
        <f>IF(AE138&lt;LCOE!D$16,1,0)</f>
        <v>0</v>
      </c>
      <c r="E139" s="12">
        <f>LCOE!G165+IF(AND(A139&gt;=LCOE!D$26,A139&lt;=(LCOE!D$26+LCOE!D$27-1)),0,1)*IF(A139=LCOE!D$34,0,1)*D139</f>
        <v>0</v>
      </c>
      <c r="F139" s="12">
        <f>IF(F138&lt;LCOE!D$18,MIN(F138*(1+LCOE!D$19),LCOE!D$18),LCOE!D$18)+LCOE!J165</f>
        <v>0.9</v>
      </c>
      <c r="G139" s="16">
        <f>LCOE!K165+E139*F139*N139*(LCOE!D$14+LCOE!H165)*24*365*D139</f>
        <v>0</v>
      </c>
      <c r="H139" s="16">
        <f>LCOE!L165+F139*(LCOE!D$15+LCOE!I165)*E139*24*365*D139*N139</f>
        <v>0</v>
      </c>
      <c r="I139" s="16">
        <f>LCOE!M165+LCOE!D$20*IF(LCOE!D$14&gt;0,(LCOE!D$14+LCOE!H165),(LCOE!D$15+LCOE!I165))*K139*D139</f>
        <v>0</v>
      </c>
      <c r="J139" s="16">
        <f>LCOE!N165+LCOE!D$21*IF(LCOE!D$14&gt;0,G139,H139)*K139*D139</f>
        <v>0</v>
      </c>
      <c r="K139" s="15">
        <f>LCOE!O165+K138+K138*LCOE!D$22</f>
        <v>1</v>
      </c>
      <c r="L139" s="16">
        <f>LCOE!P165+LCOE!D$23*IF(LCOE!D$14&gt;0,G139,H139)*M139*D139</f>
        <v>0</v>
      </c>
      <c r="M139" s="15">
        <f>LCOE!Q165+M138+M138*LCOE!D$24</f>
        <v>1</v>
      </c>
      <c r="N139" s="15">
        <f>LCOE!R165+N138-N138*LCOE!D$25</f>
        <v>1</v>
      </c>
      <c r="O139" s="18">
        <f>LCOE!S165+LCOE!D$29</f>
        <v>313.75</v>
      </c>
      <c r="P139" s="12">
        <f>LCOE!T165+IF(A139&gt;=LCOE!D$30,100%,0%)</f>
        <v>1</v>
      </c>
      <c r="Q139" s="16">
        <f>LCOE!U165+O139/1000*IF(LCOE!D$14&gt;0,G139,H139)</f>
        <v>0</v>
      </c>
      <c r="R139" s="16">
        <f>LCOE!B165</f>
        <v>30</v>
      </c>
      <c r="S139" s="16">
        <f>LCOE!V165+Q139*P139*R139</f>
        <v>0</v>
      </c>
      <c r="T139" s="16">
        <f>LCOE!W165+LCOE!D$31</f>
        <v>0</v>
      </c>
      <c r="U139" s="16">
        <f>LCOE!X165+T139*IF(LCOE!D$14&gt;0,G139,H139)</f>
        <v>0</v>
      </c>
      <c r="V139" s="16">
        <f>LCOE!Y165+LCOE!D$32</f>
        <v>0</v>
      </c>
      <c r="W139" s="16">
        <f>LCOE!Z165+V139*IF(LCOE!D$14&gt;0,G139,H139)</f>
        <v>0</v>
      </c>
      <c r="X139" s="16">
        <f>LCOE!AA165+LCOE!D$34</f>
        <v>101</v>
      </c>
      <c r="Y139" s="16">
        <f t="shared" si="34"/>
        <v>0</v>
      </c>
      <c r="Z139" s="50">
        <f t="shared" si="37"/>
        <v>25225000</v>
      </c>
      <c r="AA139" s="50">
        <f t="shared" si="38"/>
        <v>0</v>
      </c>
      <c r="AB139" s="50">
        <f t="shared" si="39"/>
        <v>0</v>
      </c>
      <c r="AC139" s="50">
        <f t="shared" si="35"/>
        <v>0</v>
      </c>
      <c r="AD139" s="50">
        <f t="shared" si="30"/>
        <v>0</v>
      </c>
      <c r="AE139">
        <f t="shared" si="36"/>
        <v>30</v>
      </c>
      <c r="AF139" s="12">
        <f>LCOE!E165+LCOE!D$40</f>
        <v>0</v>
      </c>
      <c r="AG139">
        <f t="shared" si="31"/>
        <v>1</v>
      </c>
      <c r="AH139" s="16">
        <f t="shared" si="26"/>
        <v>25225000</v>
      </c>
      <c r="AI139" s="16">
        <f t="shared" si="27"/>
        <v>0</v>
      </c>
      <c r="AJ139" s="16">
        <f t="shared" si="28"/>
        <v>0</v>
      </c>
      <c r="AK139" s="16">
        <f t="shared" si="29"/>
        <v>0</v>
      </c>
      <c r="AL139" s="16">
        <f t="shared" si="32"/>
        <v>0</v>
      </c>
      <c r="AM139" s="16">
        <f t="shared" si="33"/>
        <v>0</v>
      </c>
      <c r="AN139" s="16">
        <f>IF(LCOE!D$14&gt;0,G139,H139)/AG139</f>
        <v>0</v>
      </c>
    </row>
    <row r="140" spans="1:40">
      <c r="A140">
        <v>70</v>
      </c>
      <c r="C140" s="16">
        <f>LCOE!D166+IF(AND(LCOE!D$26&gt;0,A140&gt;=LCOE!D$26,A140&lt;=(LCOE!D$26+LCOE!D$27-1)),LCOE!D$42/LCOE!D$27,0)+IF(AND(AE140&gt;=LCOE!D$16,COUNTIF(AE115:AE140,LCOE!D$16)=LCOE!D$36+1),LCOE!D$35*LCOE!D$38,0)</f>
        <v>25225000</v>
      </c>
      <c r="D140" s="16">
        <f>IF(AE139&lt;LCOE!D$16,1,0)</f>
        <v>0</v>
      </c>
      <c r="E140" s="12">
        <f>LCOE!G166+IF(AND(A140&gt;=LCOE!D$26,A140&lt;=(LCOE!D$26+LCOE!D$27-1)),0,1)*IF(A140=LCOE!D$34,0,1)*D140</f>
        <v>0</v>
      </c>
      <c r="F140" s="12">
        <f>IF(F139&lt;LCOE!D$18,MIN(F139*(1+LCOE!D$19),LCOE!D$18),LCOE!D$18)+LCOE!J166</f>
        <v>0.9</v>
      </c>
      <c r="G140" s="16">
        <f>LCOE!K166+E140*F140*N140*(LCOE!D$14+LCOE!H166)*24*365*D140</f>
        <v>0</v>
      </c>
      <c r="H140" s="16">
        <f>LCOE!L166+F140*(LCOE!D$15+LCOE!I166)*E140*24*365*D140*N140</f>
        <v>0</v>
      </c>
      <c r="I140" s="16">
        <f>LCOE!M166+LCOE!D$20*IF(LCOE!D$14&gt;0,(LCOE!D$14+LCOE!H166),(LCOE!D$15+LCOE!I166))*K140*D140</f>
        <v>0</v>
      </c>
      <c r="J140" s="16">
        <f>LCOE!N166+LCOE!D$21*IF(LCOE!D$14&gt;0,G140,H140)*K140*D140</f>
        <v>0</v>
      </c>
      <c r="K140" s="15">
        <f>LCOE!O166+K139+K139*LCOE!D$22</f>
        <v>1</v>
      </c>
      <c r="L140" s="16">
        <f>LCOE!P166+LCOE!D$23*IF(LCOE!D$14&gt;0,G140,H140)*M140*D140</f>
        <v>0</v>
      </c>
      <c r="M140" s="15">
        <f>LCOE!Q166+M139+M139*LCOE!D$24</f>
        <v>1</v>
      </c>
      <c r="N140" s="15">
        <f>LCOE!R166+N139-N139*LCOE!D$25</f>
        <v>1</v>
      </c>
      <c r="O140" s="18">
        <f>LCOE!S166+LCOE!D$29</f>
        <v>313.75</v>
      </c>
      <c r="P140" s="12">
        <f>LCOE!T166+IF(A140&gt;=LCOE!D$30,100%,0%)</f>
        <v>1</v>
      </c>
      <c r="Q140" s="16">
        <f>LCOE!U166+O140/1000*IF(LCOE!D$14&gt;0,G140,H140)</f>
        <v>0</v>
      </c>
      <c r="R140" s="16">
        <f>LCOE!B166</f>
        <v>30</v>
      </c>
      <c r="S140" s="16">
        <f>LCOE!V166+Q140*P140*R140</f>
        <v>0</v>
      </c>
      <c r="T140" s="16">
        <f>LCOE!W166+LCOE!D$31</f>
        <v>0</v>
      </c>
      <c r="U140" s="16">
        <f>LCOE!X166+T140*IF(LCOE!D$14&gt;0,G140,H140)</f>
        <v>0</v>
      </c>
      <c r="V140" s="16">
        <f>LCOE!Y166+LCOE!D$32</f>
        <v>0</v>
      </c>
      <c r="W140" s="16">
        <f>LCOE!Z166+V140*IF(LCOE!D$14&gt;0,G140,H140)</f>
        <v>0</v>
      </c>
      <c r="X140" s="16">
        <f>LCOE!AA166+LCOE!D$34</f>
        <v>101</v>
      </c>
      <c r="Y140" s="16">
        <f t="shared" si="34"/>
        <v>0</v>
      </c>
      <c r="Z140" s="50">
        <f t="shared" si="37"/>
        <v>25225000</v>
      </c>
      <c r="AA140" s="50">
        <f t="shared" si="38"/>
        <v>0</v>
      </c>
      <c r="AB140" s="50">
        <f t="shared" si="39"/>
        <v>0</v>
      </c>
      <c r="AC140" s="50">
        <f t="shared" si="35"/>
        <v>0</v>
      </c>
      <c r="AD140" s="50">
        <f t="shared" si="30"/>
        <v>0</v>
      </c>
      <c r="AE140">
        <f t="shared" si="36"/>
        <v>30</v>
      </c>
      <c r="AF140" s="12">
        <f>LCOE!E166+LCOE!D$40</f>
        <v>0</v>
      </c>
      <c r="AG140">
        <f t="shared" si="31"/>
        <v>1</v>
      </c>
      <c r="AH140" s="16">
        <f t="shared" si="26"/>
        <v>25225000</v>
      </c>
      <c r="AI140" s="16">
        <f t="shared" si="27"/>
        <v>0</v>
      </c>
      <c r="AJ140" s="16">
        <f t="shared" si="28"/>
        <v>0</v>
      </c>
      <c r="AK140" s="16">
        <f t="shared" si="29"/>
        <v>0</v>
      </c>
      <c r="AL140" s="16">
        <f t="shared" si="32"/>
        <v>0</v>
      </c>
      <c r="AM140" s="16">
        <f t="shared" si="33"/>
        <v>0</v>
      </c>
      <c r="AN140" s="16">
        <f>IF(LCOE!D$14&gt;0,G140,H140)/AG140</f>
        <v>0</v>
      </c>
    </row>
    <row r="141" spans="1:40">
      <c r="A141">
        <v>71</v>
      </c>
      <c r="C141" s="16">
        <f>LCOE!D167+IF(AND(LCOE!D$26&gt;0,A141&gt;=LCOE!D$26,A141&lt;=(LCOE!D$26+LCOE!D$27-1)),LCOE!D$42/LCOE!D$27,0)+IF(AND(AE141&gt;=LCOE!D$16,COUNTIF(AE116:AE141,LCOE!D$16)=LCOE!D$36+1),LCOE!D$35*LCOE!D$38,0)</f>
        <v>25225000</v>
      </c>
      <c r="D141" s="16">
        <f>IF(AE140&lt;LCOE!D$16,1,0)</f>
        <v>0</v>
      </c>
      <c r="E141" s="12">
        <f>LCOE!G167+IF(AND(A141&gt;=LCOE!D$26,A141&lt;=(LCOE!D$26+LCOE!D$27-1)),0,1)*IF(A141=LCOE!D$34,0,1)*D141</f>
        <v>0</v>
      </c>
      <c r="F141" s="12">
        <f>IF(F140&lt;LCOE!D$18,MIN(F140*(1+LCOE!D$19),LCOE!D$18),LCOE!D$18)+LCOE!J167</f>
        <v>0.9</v>
      </c>
      <c r="G141" s="16">
        <f>LCOE!K167+E141*F141*N141*(LCOE!D$14+LCOE!H167)*24*365*D141</f>
        <v>0</v>
      </c>
      <c r="H141" s="16">
        <f>LCOE!L167+F141*(LCOE!D$15+LCOE!I167)*E141*24*365*D141*N141</f>
        <v>0</v>
      </c>
      <c r="I141" s="16">
        <f>LCOE!M167+LCOE!D$20*IF(LCOE!D$14&gt;0,(LCOE!D$14+LCOE!H167),(LCOE!D$15+LCOE!I167))*K141*D141</f>
        <v>0</v>
      </c>
      <c r="J141" s="16">
        <f>LCOE!N167+LCOE!D$21*IF(LCOE!D$14&gt;0,G141,H141)*K141*D141</f>
        <v>0</v>
      </c>
      <c r="K141" s="15">
        <f>LCOE!O167+K140+K140*LCOE!D$22</f>
        <v>1</v>
      </c>
      <c r="L141" s="16">
        <f>LCOE!P167+LCOE!D$23*IF(LCOE!D$14&gt;0,G141,H141)*M141*D141</f>
        <v>0</v>
      </c>
      <c r="M141" s="15">
        <f>LCOE!Q167+M140+M140*LCOE!D$24</f>
        <v>1</v>
      </c>
      <c r="N141" s="15">
        <f>LCOE!R167+N140-N140*LCOE!D$25</f>
        <v>1</v>
      </c>
      <c r="O141" s="18">
        <f>LCOE!S167+LCOE!D$29</f>
        <v>313.75</v>
      </c>
      <c r="P141" s="12">
        <f>LCOE!T167+IF(A141&gt;=LCOE!D$30,100%,0%)</f>
        <v>1</v>
      </c>
      <c r="Q141" s="16">
        <f>LCOE!U167+O141/1000*IF(LCOE!D$14&gt;0,G141,H141)</f>
        <v>0</v>
      </c>
      <c r="R141" s="16">
        <f>LCOE!B167</f>
        <v>30</v>
      </c>
      <c r="S141" s="16">
        <f>LCOE!V167+Q141*P141*R141</f>
        <v>0</v>
      </c>
      <c r="T141" s="16">
        <f>LCOE!W167+LCOE!D$31</f>
        <v>0</v>
      </c>
      <c r="U141" s="16">
        <f>LCOE!X167+T141*IF(LCOE!D$14&gt;0,G141,H141)</f>
        <v>0</v>
      </c>
      <c r="V141" s="16">
        <f>LCOE!Y167+LCOE!D$32</f>
        <v>0</v>
      </c>
      <c r="W141" s="16">
        <f>LCOE!Z167+V141*IF(LCOE!D$14&gt;0,G141,H141)</f>
        <v>0</v>
      </c>
      <c r="X141" s="16">
        <f>LCOE!AA167+LCOE!D$34</f>
        <v>101</v>
      </c>
      <c r="Y141" s="16">
        <f t="shared" si="34"/>
        <v>0</v>
      </c>
      <c r="Z141" s="50">
        <f t="shared" si="37"/>
        <v>25225000</v>
      </c>
      <c r="AA141" s="50">
        <f t="shared" si="38"/>
        <v>0</v>
      </c>
      <c r="AB141" s="50">
        <f t="shared" si="39"/>
        <v>0</v>
      </c>
      <c r="AC141" s="50">
        <f t="shared" si="35"/>
        <v>0</v>
      </c>
      <c r="AD141" s="50">
        <f t="shared" si="30"/>
        <v>0</v>
      </c>
      <c r="AE141">
        <f t="shared" si="36"/>
        <v>30</v>
      </c>
      <c r="AF141" s="12">
        <f>LCOE!E167+LCOE!D$40</f>
        <v>0</v>
      </c>
      <c r="AG141">
        <f t="shared" si="31"/>
        <v>1</v>
      </c>
      <c r="AH141" s="16">
        <f t="shared" ref="AH141:AH170" si="40">Z141/AG141</f>
        <v>25225000</v>
      </c>
      <c r="AI141" s="16">
        <f t="shared" ref="AI141:AI170" si="41">AA141/AG141</f>
        <v>0</v>
      </c>
      <c r="AJ141" s="16">
        <f t="shared" ref="AJ141:AJ170" si="42">AB141/AG141</f>
        <v>0</v>
      </c>
      <c r="AK141" s="16">
        <f t="shared" ref="AK141:AK170" si="43">AC141/AG141</f>
        <v>0</v>
      </c>
      <c r="AL141" s="16">
        <f t="shared" si="32"/>
        <v>0</v>
      </c>
      <c r="AM141" s="16">
        <f t="shared" si="33"/>
        <v>0</v>
      </c>
      <c r="AN141" s="16">
        <f>IF(LCOE!D$14&gt;0,G141,H141)/AG141</f>
        <v>0</v>
      </c>
    </row>
    <row r="142" spans="1:40">
      <c r="A142">
        <v>72</v>
      </c>
      <c r="C142" s="16">
        <f>LCOE!D168+IF(AND(LCOE!D$26&gt;0,A142&gt;=LCOE!D$26,A142&lt;=(LCOE!D$26+LCOE!D$27-1)),LCOE!D$42/LCOE!D$27,0)+IF(AND(AE142&gt;=LCOE!D$16,COUNTIF(AE117:AE142,LCOE!D$16)=LCOE!D$36+1),LCOE!D$35*LCOE!D$38,0)</f>
        <v>25225000</v>
      </c>
      <c r="D142" s="16">
        <f>IF(AE141&lt;LCOE!D$16,1,0)</f>
        <v>0</v>
      </c>
      <c r="E142" s="12">
        <f>LCOE!G168+IF(AND(A142&gt;=LCOE!D$26,A142&lt;=(LCOE!D$26+LCOE!D$27-1)),0,1)*IF(A142=LCOE!D$34,0,1)*D142</f>
        <v>0</v>
      </c>
      <c r="F142" s="12">
        <f>IF(F141&lt;LCOE!D$18,MIN(F141*(1+LCOE!D$19),LCOE!D$18),LCOE!D$18)+LCOE!J168</f>
        <v>0.9</v>
      </c>
      <c r="G142" s="16">
        <f>LCOE!K168+E142*F142*N142*(LCOE!D$14+LCOE!H168)*24*365*D142</f>
        <v>0</v>
      </c>
      <c r="H142" s="16">
        <f>LCOE!L168+F142*(LCOE!D$15+LCOE!I168)*E142*24*365*D142*N142</f>
        <v>0</v>
      </c>
      <c r="I142" s="16">
        <f>LCOE!M168+LCOE!D$20*IF(LCOE!D$14&gt;0,(LCOE!D$14+LCOE!H168),(LCOE!D$15+LCOE!I168))*K142*D142</f>
        <v>0</v>
      </c>
      <c r="J142" s="16">
        <f>LCOE!N168+LCOE!D$21*IF(LCOE!D$14&gt;0,G142,H142)*K142*D142</f>
        <v>0</v>
      </c>
      <c r="K142" s="15">
        <f>LCOE!O168+K141+K141*LCOE!D$22</f>
        <v>1</v>
      </c>
      <c r="L142" s="16">
        <f>LCOE!P168+LCOE!D$23*IF(LCOE!D$14&gt;0,G142,H142)*M142*D142</f>
        <v>0</v>
      </c>
      <c r="M142" s="15">
        <f>LCOE!Q168+M141+M141*LCOE!D$24</f>
        <v>1</v>
      </c>
      <c r="N142" s="15">
        <f>LCOE!R168+N141-N141*LCOE!D$25</f>
        <v>1</v>
      </c>
      <c r="O142" s="18">
        <f>LCOE!S168+LCOE!D$29</f>
        <v>313.75</v>
      </c>
      <c r="P142" s="12">
        <f>LCOE!T168+IF(A142&gt;=LCOE!D$30,100%,0%)</f>
        <v>1</v>
      </c>
      <c r="Q142" s="16">
        <f>LCOE!U168+O142/1000*IF(LCOE!D$14&gt;0,G142,H142)</f>
        <v>0</v>
      </c>
      <c r="R142" s="16">
        <f>LCOE!B168</f>
        <v>30</v>
      </c>
      <c r="S142" s="16">
        <f>LCOE!V168+Q142*P142*R142</f>
        <v>0</v>
      </c>
      <c r="T142" s="16">
        <f>LCOE!W168+LCOE!D$31</f>
        <v>0</v>
      </c>
      <c r="U142" s="16">
        <f>LCOE!X168+T142*IF(LCOE!D$14&gt;0,G142,H142)</f>
        <v>0</v>
      </c>
      <c r="V142" s="16">
        <f>LCOE!Y168+LCOE!D$32</f>
        <v>0</v>
      </c>
      <c r="W142" s="16">
        <f>LCOE!Z168+V142*IF(LCOE!D$14&gt;0,G142,H142)</f>
        <v>0</v>
      </c>
      <c r="X142" s="16">
        <f>LCOE!AA168+LCOE!D$34</f>
        <v>101</v>
      </c>
      <c r="Y142" s="16">
        <f t="shared" si="34"/>
        <v>0</v>
      </c>
      <c r="Z142" s="50">
        <f t="shared" si="37"/>
        <v>25225000</v>
      </c>
      <c r="AA142" s="50">
        <f t="shared" si="38"/>
        <v>0</v>
      </c>
      <c r="AB142" s="50">
        <f t="shared" si="39"/>
        <v>0</v>
      </c>
      <c r="AC142" s="50">
        <f t="shared" si="35"/>
        <v>0</v>
      </c>
      <c r="AD142" s="50">
        <f t="shared" si="30"/>
        <v>0</v>
      </c>
      <c r="AE142">
        <f t="shared" si="36"/>
        <v>30</v>
      </c>
      <c r="AF142" s="12">
        <f>LCOE!E168+LCOE!D$40</f>
        <v>0</v>
      </c>
      <c r="AG142">
        <f t="shared" si="31"/>
        <v>1</v>
      </c>
      <c r="AH142" s="16">
        <f t="shared" si="40"/>
        <v>25225000</v>
      </c>
      <c r="AI142" s="16">
        <f t="shared" si="41"/>
        <v>0</v>
      </c>
      <c r="AJ142" s="16">
        <f t="shared" si="42"/>
        <v>0</v>
      </c>
      <c r="AK142" s="16">
        <f t="shared" si="43"/>
        <v>0</v>
      </c>
      <c r="AL142" s="16">
        <f t="shared" si="32"/>
        <v>0</v>
      </c>
      <c r="AM142" s="16">
        <f t="shared" si="33"/>
        <v>0</v>
      </c>
      <c r="AN142" s="16">
        <f>IF(LCOE!D$14&gt;0,G142,H142)/AG142</f>
        <v>0</v>
      </c>
    </row>
    <row r="143" spans="1:40">
      <c r="A143">
        <v>73</v>
      </c>
      <c r="C143" s="16">
        <f>LCOE!D169+IF(AND(LCOE!D$26&gt;0,A143&gt;=LCOE!D$26,A143&lt;=(LCOE!D$26+LCOE!D$27-1)),LCOE!D$42/LCOE!D$27,0)+IF(AND(AE143&gt;=LCOE!D$16,COUNTIF(AE118:AE143,LCOE!D$16)=LCOE!D$36+1),LCOE!D$35*LCOE!D$38,0)</f>
        <v>25225000</v>
      </c>
      <c r="D143" s="16">
        <f>IF(AE142&lt;LCOE!D$16,1,0)</f>
        <v>0</v>
      </c>
      <c r="E143" s="12">
        <f>LCOE!G169+IF(AND(A143&gt;=LCOE!D$26,A143&lt;=(LCOE!D$26+LCOE!D$27-1)),0,1)*IF(A143=LCOE!D$34,0,1)*D143</f>
        <v>0</v>
      </c>
      <c r="F143" s="12">
        <f>IF(F142&lt;LCOE!D$18,MIN(F142*(1+LCOE!D$19),LCOE!D$18),LCOE!D$18)+LCOE!J169</f>
        <v>0.9</v>
      </c>
      <c r="G143" s="16">
        <f>LCOE!K169+E143*F143*N143*(LCOE!D$14+LCOE!H169)*24*365*D143</f>
        <v>0</v>
      </c>
      <c r="H143" s="16">
        <f>LCOE!L169+F143*(LCOE!D$15+LCOE!I169)*E143*24*365*D143*N143</f>
        <v>0</v>
      </c>
      <c r="I143" s="16">
        <f>LCOE!M169+LCOE!D$20*IF(LCOE!D$14&gt;0,(LCOE!D$14+LCOE!H169),(LCOE!D$15+LCOE!I169))*K143*D143</f>
        <v>0</v>
      </c>
      <c r="J143" s="16">
        <f>LCOE!N169+LCOE!D$21*IF(LCOE!D$14&gt;0,G143,H143)*K143*D143</f>
        <v>0</v>
      </c>
      <c r="K143" s="15">
        <f>LCOE!O169+K142+K142*LCOE!D$22</f>
        <v>1</v>
      </c>
      <c r="L143" s="16">
        <f>LCOE!P169+LCOE!D$23*IF(LCOE!D$14&gt;0,G143,H143)*M143*D143</f>
        <v>0</v>
      </c>
      <c r="M143" s="15">
        <f>LCOE!Q169+M142+M142*LCOE!D$24</f>
        <v>1</v>
      </c>
      <c r="N143" s="15">
        <f>LCOE!R169+N142-N142*LCOE!D$25</f>
        <v>1</v>
      </c>
      <c r="O143" s="18">
        <f>LCOE!S169+LCOE!D$29</f>
        <v>313.75</v>
      </c>
      <c r="P143" s="12">
        <f>LCOE!T169+IF(A143&gt;=LCOE!D$30,100%,0%)</f>
        <v>1</v>
      </c>
      <c r="Q143" s="16">
        <f>LCOE!U169+O143/1000*IF(LCOE!D$14&gt;0,G143,H143)</f>
        <v>0</v>
      </c>
      <c r="R143" s="16">
        <f>LCOE!B169</f>
        <v>30</v>
      </c>
      <c r="S143" s="16">
        <f>LCOE!V169+Q143*P143*R143</f>
        <v>0</v>
      </c>
      <c r="T143" s="16">
        <f>LCOE!W169+LCOE!D$31</f>
        <v>0</v>
      </c>
      <c r="U143" s="16">
        <f>LCOE!X169+T143*IF(LCOE!D$14&gt;0,G143,H143)</f>
        <v>0</v>
      </c>
      <c r="V143" s="16">
        <f>LCOE!Y169+LCOE!D$32</f>
        <v>0</v>
      </c>
      <c r="W143" s="16">
        <f>LCOE!Z169+V143*IF(LCOE!D$14&gt;0,G143,H143)</f>
        <v>0</v>
      </c>
      <c r="X143" s="16">
        <f>LCOE!AA169+LCOE!D$34</f>
        <v>101</v>
      </c>
      <c r="Y143" s="16">
        <f t="shared" si="34"/>
        <v>0</v>
      </c>
      <c r="Z143" s="50">
        <f t="shared" si="37"/>
        <v>25225000</v>
      </c>
      <c r="AA143" s="50">
        <f t="shared" si="38"/>
        <v>0</v>
      </c>
      <c r="AB143" s="50">
        <f t="shared" si="39"/>
        <v>0</v>
      </c>
      <c r="AC143" s="50">
        <f t="shared" si="35"/>
        <v>0</v>
      </c>
      <c r="AD143" s="50">
        <f t="shared" si="30"/>
        <v>0</v>
      </c>
      <c r="AE143">
        <f t="shared" si="36"/>
        <v>30</v>
      </c>
      <c r="AF143" s="12">
        <f>LCOE!E169+LCOE!D$40</f>
        <v>0</v>
      </c>
      <c r="AG143">
        <f t="shared" si="31"/>
        <v>1</v>
      </c>
      <c r="AH143" s="16">
        <f t="shared" si="40"/>
        <v>25225000</v>
      </c>
      <c r="AI143" s="16">
        <f t="shared" si="41"/>
        <v>0</v>
      </c>
      <c r="AJ143" s="16">
        <f t="shared" si="42"/>
        <v>0</v>
      </c>
      <c r="AK143" s="16">
        <f t="shared" si="43"/>
        <v>0</v>
      </c>
      <c r="AL143" s="16">
        <f t="shared" si="32"/>
        <v>0</v>
      </c>
      <c r="AM143" s="16">
        <f t="shared" si="33"/>
        <v>0</v>
      </c>
      <c r="AN143" s="16">
        <f>IF(LCOE!D$14&gt;0,G143,H143)/AG143</f>
        <v>0</v>
      </c>
    </row>
    <row r="144" spans="1:40">
      <c r="A144">
        <v>74</v>
      </c>
      <c r="C144" s="16">
        <f>LCOE!D170+IF(AND(LCOE!D$26&gt;0,A144&gt;=LCOE!D$26,A144&lt;=(LCOE!D$26+LCOE!D$27-1)),LCOE!D$42/LCOE!D$27,0)+IF(AND(AE144&gt;=LCOE!D$16,COUNTIF(AE119:AE144,LCOE!D$16)=LCOE!D$36+1),LCOE!D$35*LCOE!D$38,0)</f>
        <v>25225000</v>
      </c>
      <c r="D144" s="16">
        <f>IF(AE143&lt;LCOE!D$16,1,0)</f>
        <v>0</v>
      </c>
      <c r="E144" s="12">
        <f>LCOE!G170+IF(AND(A144&gt;=LCOE!D$26,A144&lt;=(LCOE!D$26+LCOE!D$27-1)),0,1)*IF(A144=LCOE!D$34,0,1)*D144</f>
        <v>0</v>
      </c>
      <c r="F144" s="12">
        <f>IF(F143&lt;LCOE!D$18,MIN(F143*(1+LCOE!D$19),LCOE!D$18),LCOE!D$18)+LCOE!J170</f>
        <v>0.9</v>
      </c>
      <c r="G144" s="16">
        <f>LCOE!K170+E144*F144*N144*(LCOE!D$14+LCOE!H170)*24*365*D144</f>
        <v>0</v>
      </c>
      <c r="H144" s="16">
        <f>LCOE!L170+F144*(LCOE!D$15+LCOE!I170)*E144*24*365*D144*N144</f>
        <v>0</v>
      </c>
      <c r="I144" s="16">
        <f>LCOE!M170+LCOE!D$20*IF(LCOE!D$14&gt;0,(LCOE!D$14+LCOE!H170),(LCOE!D$15+LCOE!I170))*K144*D144</f>
        <v>0</v>
      </c>
      <c r="J144" s="16">
        <f>LCOE!N170+LCOE!D$21*IF(LCOE!D$14&gt;0,G144,H144)*K144*D144</f>
        <v>0</v>
      </c>
      <c r="K144" s="15">
        <f>LCOE!O170+K143+K143*LCOE!D$22</f>
        <v>1</v>
      </c>
      <c r="L144" s="16">
        <f>LCOE!P170+LCOE!D$23*IF(LCOE!D$14&gt;0,G144,H144)*M144*D144</f>
        <v>0</v>
      </c>
      <c r="M144" s="15">
        <f>LCOE!Q170+M143+M143*LCOE!D$24</f>
        <v>1</v>
      </c>
      <c r="N144" s="15">
        <f>LCOE!R170+N143-N143*LCOE!D$25</f>
        <v>1</v>
      </c>
      <c r="O144" s="18">
        <f>LCOE!S170+LCOE!D$29</f>
        <v>313.75</v>
      </c>
      <c r="P144" s="12">
        <f>LCOE!T170+IF(A144&gt;=LCOE!D$30,100%,0%)</f>
        <v>1</v>
      </c>
      <c r="Q144" s="16">
        <f>LCOE!U170+O144/1000*IF(LCOE!D$14&gt;0,G144,H144)</f>
        <v>0</v>
      </c>
      <c r="R144" s="16">
        <f>LCOE!B170</f>
        <v>30</v>
      </c>
      <c r="S144" s="16">
        <f>LCOE!V170+Q144*P144*R144</f>
        <v>0</v>
      </c>
      <c r="T144" s="16">
        <f>LCOE!W170+LCOE!D$31</f>
        <v>0</v>
      </c>
      <c r="U144" s="16">
        <f>LCOE!X170+T144*IF(LCOE!D$14&gt;0,G144,H144)</f>
        <v>0</v>
      </c>
      <c r="V144" s="16">
        <f>LCOE!Y170+LCOE!D$32</f>
        <v>0</v>
      </c>
      <c r="W144" s="16">
        <f>LCOE!Z170+V144*IF(LCOE!D$14&gt;0,G144,H144)</f>
        <v>0</v>
      </c>
      <c r="X144" s="16">
        <f>LCOE!AA170+LCOE!D$34</f>
        <v>101</v>
      </c>
      <c r="Y144" s="16">
        <f t="shared" si="34"/>
        <v>0</v>
      </c>
      <c r="Z144" s="50">
        <f t="shared" si="37"/>
        <v>25225000</v>
      </c>
      <c r="AA144" s="50">
        <f t="shared" si="38"/>
        <v>0</v>
      </c>
      <c r="AB144" s="50">
        <f t="shared" si="39"/>
        <v>0</v>
      </c>
      <c r="AC144" s="50">
        <f t="shared" si="35"/>
        <v>0</v>
      </c>
      <c r="AD144" s="50">
        <f t="shared" si="30"/>
        <v>0</v>
      </c>
      <c r="AE144">
        <f t="shared" si="36"/>
        <v>30</v>
      </c>
      <c r="AF144" s="12">
        <f>LCOE!E170+LCOE!D$40</f>
        <v>0</v>
      </c>
      <c r="AG144">
        <f t="shared" si="31"/>
        <v>1</v>
      </c>
      <c r="AH144" s="16">
        <f t="shared" si="40"/>
        <v>25225000</v>
      </c>
      <c r="AI144" s="16">
        <f t="shared" si="41"/>
        <v>0</v>
      </c>
      <c r="AJ144" s="16">
        <f t="shared" si="42"/>
        <v>0</v>
      </c>
      <c r="AK144" s="16">
        <f t="shared" si="43"/>
        <v>0</v>
      </c>
      <c r="AL144" s="16">
        <f t="shared" si="32"/>
        <v>0</v>
      </c>
      <c r="AM144" s="16">
        <f t="shared" si="33"/>
        <v>0</v>
      </c>
      <c r="AN144" s="16">
        <f>IF(LCOE!D$14&gt;0,G144,H144)/AG144</f>
        <v>0</v>
      </c>
    </row>
    <row r="145" spans="1:40">
      <c r="A145">
        <v>75</v>
      </c>
      <c r="C145" s="16">
        <f>LCOE!D171+IF(AND(LCOE!D$26&gt;0,A145&gt;=LCOE!D$26,A145&lt;=(LCOE!D$26+LCOE!D$27-1)),LCOE!D$42/LCOE!D$27,0)+IF(AND(AE145&gt;=LCOE!D$16,COUNTIF(AE120:AE145,LCOE!D$16)=LCOE!D$36+1),LCOE!D$35*LCOE!D$38,0)</f>
        <v>25225000</v>
      </c>
      <c r="D145" s="16">
        <f>IF(AE144&lt;LCOE!D$16,1,0)</f>
        <v>0</v>
      </c>
      <c r="E145" s="12">
        <f>LCOE!G171+IF(AND(A145&gt;=LCOE!D$26,A145&lt;=(LCOE!D$26+LCOE!D$27-1)),0,1)*IF(A145=LCOE!D$34,0,1)*D145</f>
        <v>0</v>
      </c>
      <c r="F145" s="12">
        <f>IF(F144&lt;LCOE!D$18,MIN(F144*(1+LCOE!D$19),LCOE!D$18),LCOE!D$18)+LCOE!J171</f>
        <v>0.9</v>
      </c>
      <c r="G145" s="16">
        <f>LCOE!K171+E145*F145*N145*(LCOE!D$14+LCOE!H171)*24*365*D145</f>
        <v>0</v>
      </c>
      <c r="H145" s="16">
        <f>LCOE!L171+F145*(LCOE!D$15+LCOE!I171)*E145*24*365*D145*N145</f>
        <v>0</v>
      </c>
      <c r="I145" s="16">
        <f>LCOE!M171+LCOE!D$20*IF(LCOE!D$14&gt;0,(LCOE!D$14+LCOE!H171),(LCOE!D$15+LCOE!I171))*K145*D145</f>
        <v>0</v>
      </c>
      <c r="J145" s="16">
        <f>LCOE!N171+LCOE!D$21*IF(LCOE!D$14&gt;0,G145,H145)*K145*D145</f>
        <v>0</v>
      </c>
      <c r="K145" s="15">
        <f>LCOE!O171+K144+K144*LCOE!D$22</f>
        <v>1</v>
      </c>
      <c r="L145" s="16">
        <f>LCOE!P171+LCOE!D$23*IF(LCOE!D$14&gt;0,G145,H145)*M145*D145</f>
        <v>0</v>
      </c>
      <c r="M145" s="15">
        <f>LCOE!Q171+M144+M144*LCOE!D$24</f>
        <v>1</v>
      </c>
      <c r="N145" s="15">
        <f>LCOE!R171+N144-N144*LCOE!D$25</f>
        <v>1</v>
      </c>
      <c r="O145" s="18">
        <f>LCOE!S171+LCOE!D$29</f>
        <v>313.75</v>
      </c>
      <c r="P145" s="12">
        <f>LCOE!T171+IF(A145&gt;=LCOE!D$30,100%,0%)</f>
        <v>1</v>
      </c>
      <c r="Q145" s="16">
        <f>LCOE!U171+O145/1000*IF(LCOE!D$14&gt;0,G145,H145)</f>
        <v>0</v>
      </c>
      <c r="R145" s="16">
        <f>LCOE!B171</f>
        <v>30</v>
      </c>
      <c r="S145" s="16">
        <f>LCOE!V171+Q145*P145*R145</f>
        <v>0</v>
      </c>
      <c r="T145" s="16">
        <f>LCOE!W171+LCOE!D$31</f>
        <v>0</v>
      </c>
      <c r="U145" s="16">
        <f>LCOE!X171+T145*IF(LCOE!D$14&gt;0,G145,H145)</f>
        <v>0</v>
      </c>
      <c r="V145" s="16">
        <f>LCOE!Y171+LCOE!D$32</f>
        <v>0</v>
      </c>
      <c r="W145" s="16">
        <f>LCOE!Z171+V145*IF(LCOE!D$14&gt;0,G145,H145)</f>
        <v>0</v>
      </c>
      <c r="X145" s="16">
        <f>LCOE!AA171+LCOE!D$34</f>
        <v>101</v>
      </c>
      <c r="Y145" s="16">
        <f t="shared" si="34"/>
        <v>0</v>
      </c>
      <c r="Z145" s="50">
        <f t="shared" si="37"/>
        <v>25225000</v>
      </c>
      <c r="AA145" s="50">
        <f t="shared" si="38"/>
        <v>0</v>
      </c>
      <c r="AB145" s="50">
        <f t="shared" si="39"/>
        <v>0</v>
      </c>
      <c r="AC145" s="50">
        <f t="shared" si="35"/>
        <v>0</v>
      </c>
      <c r="AD145" s="50">
        <f t="shared" si="30"/>
        <v>0</v>
      </c>
      <c r="AE145">
        <f t="shared" si="36"/>
        <v>30</v>
      </c>
      <c r="AF145" s="12">
        <f>LCOE!E171+LCOE!D$40</f>
        <v>0</v>
      </c>
      <c r="AG145">
        <f t="shared" si="31"/>
        <v>1</v>
      </c>
      <c r="AH145" s="16">
        <f t="shared" si="40"/>
        <v>25225000</v>
      </c>
      <c r="AI145" s="16">
        <f t="shared" si="41"/>
        <v>0</v>
      </c>
      <c r="AJ145" s="16">
        <f t="shared" si="42"/>
        <v>0</v>
      </c>
      <c r="AK145" s="16">
        <f t="shared" si="43"/>
        <v>0</v>
      </c>
      <c r="AL145" s="16">
        <f t="shared" si="32"/>
        <v>0</v>
      </c>
      <c r="AM145" s="16">
        <f t="shared" si="33"/>
        <v>0</v>
      </c>
      <c r="AN145" s="16">
        <f>IF(LCOE!D$14&gt;0,G145,H145)/AG145</f>
        <v>0</v>
      </c>
    </row>
    <row r="146" spans="1:40">
      <c r="A146">
        <v>76</v>
      </c>
      <c r="C146" s="16">
        <f>LCOE!D172+IF(AND(LCOE!D$26&gt;0,A146&gt;=LCOE!D$26,A146&lt;=(LCOE!D$26+LCOE!D$27-1)),LCOE!D$42/LCOE!D$27,0)+IF(AND(AE146&gt;=LCOE!D$16,COUNTIF(AE121:AE146,LCOE!D$16)=LCOE!D$36+1),LCOE!D$35*LCOE!D$38,0)</f>
        <v>25225000</v>
      </c>
      <c r="D146" s="16">
        <f>IF(AE145&lt;LCOE!D$16,1,0)</f>
        <v>0</v>
      </c>
      <c r="E146" s="12">
        <f>LCOE!G172+IF(AND(A146&gt;=LCOE!D$26,A146&lt;=(LCOE!D$26+LCOE!D$27-1)),0,1)*IF(A146=LCOE!D$34,0,1)*D146</f>
        <v>0</v>
      </c>
      <c r="F146" s="12">
        <f>IF(F145&lt;LCOE!D$18,MIN(F145*(1+LCOE!D$19),LCOE!D$18),LCOE!D$18)+LCOE!J172</f>
        <v>0.9</v>
      </c>
      <c r="G146" s="16">
        <f>LCOE!K172+E146*F146*N146*(LCOE!D$14+LCOE!H172)*24*365*D146</f>
        <v>0</v>
      </c>
      <c r="H146" s="16">
        <f>LCOE!L172+F146*(LCOE!D$15+LCOE!I172)*E146*24*365*D146*N146</f>
        <v>0</v>
      </c>
      <c r="I146" s="16">
        <f>LCOE!M172+LCOE!D$20*IF(LCOE!D$14&gt;0,(LCOE!D$14+LCOE!H172),(LCOE!D$15+LCOE!I172))*K146*D146</f>
        <v>0</v>
      </c>
      <c r="J146" s="16">
        <f>LCOE!N172+LCOE!D$21*IF(LCOE!D$14&gt;0,G146,H146)*K146*D146</f>
        <v>0</v>
      </c>
      <c r="K146" s="15">
        <f>LCOE!O172+K145+K145*LCOE!D$22</f>
        <v>1</v>
      </c>
      <c r="L146" s="16">
        <f>LCOE!P172+LCOE!D$23*IF(LCOE!D$14&gt;0,G146,H146)*M146*D146</f>
        <v>0</v>
      </c>
      <c r="M146" s="15">
        <f>LCOE!Q172+M145+M145*LCOE!D$24</f>
        <v>1</v>
      </c>
      <c r="N146" s="15">
        <f>LCOE!R172+N145-N145*LCOE!D$25</f>
        <v>1</v>
      </c>
      <c r="O146" s="18">
        <f>LCOE!S172+LCOE!D$29</f>
        <v>313.75</v>
      </c>
      <c r="P146" s="12">
        <f>LCOE!T172+IF(A146&gt;=LCOE!D$30,100%,0%)</f>
        <v>1</v>
      </c>
      <c r="Q146" s="16">
        <f>LCOE!U172+O146/1000*IF(LCOE!D$14&gt;0,G146,H146)</f>
        <v>0</v>
      </c>
      <c r="R146" s="16">
        <f>LCOE!B172</f>
        <v>30</v>
      </c>
      <c r="S146" s="16">
        <f>LCOE!V172+Q146*P146*R146</f>
        <v>0</v>
      </c>
      <c r="T146" s="16">
        <f>LCOE!W172+LCOE!D$31</f>
        <v>0</v>
      </c>
      <c r="U146" s="16">
        <f>LCOE!X172+T146*IF(LCOE!D$14&gt;0,G146,H146)</f>
        <v>0</v>
      </c>
      <c r="V146" s="16">
        <f>LCOE!Y172+LCOE!D$32</f>
        <v>0</v>
      </c>
      <c r="W146" s="16">
        <f>LCOE!Z172+V146*IF(LCOE!D$14&gt;0,G146,H146)</f>
        <v>0</v>
      </c>
      <c r="X146" s="16">
        <f>LCOE!AA172+LCOE!D$34</f>
        <v>101</v>
      </c>
      <c r="Y146" s="16">
        <f t="shared" si="34"/>
        <v>0</v>
      </c>
      <c r="Z146" s="50">
        <f t="shared" si="37"/>
        <v>25225000</v>
      </c>
      <c r="AA146" s="50">
        <f t="shared" si="38"/>
        <v>0</v>
      </c>
      <c r="AB146" s="50">
        <f t="shared" si="39"/>
        <v>0</v>
      </c>
      <c r="AC146" s="50">
        <f t="shared" si="35"/>
        <v>0</v>
      </c>
      <c r="AD146" s="50">
        <f t="shared" si="30"/>
        <v>0</v>
      </c>
      <c r="AE146">
        <f t="shared" si="36"/>
        <v>30</v>
      </c>
      <c r="AF146" s="12">
        <f>LCOE!E172+LCOE!D$40</f>
        <v>0</v>
      </c>
      <c r="AG146">
        <f t="shared" si="31"/>
        <v>1</v>
      </c>
      <c r="AH146" s="16">
        <f t="shared" si="40"/>
        <v>25225000</v>
      </c>
      <c r="AI146" s="16">
        <f t="shared" si="41"/>
        <v>0</v>
      </c>
      <c r="AJ146" s="16">
        <f t="shared" si="42"/>
        <v>0</v>
      </c>
      <c r="AK146" s="16">
        <f t="shared" si="43"/>
        <v>0</v>
      </c>
      <c r="AL146" s="16">
        <f t="shared" si="32"/>
        <v>0</v>
      </c>
      <c r="AM146" s="16">
        <f t="shared" si="33"/>
        <v>0</v>
      </c>
      <c r="AN146" s="16">
        <f>IF(LCOE!D$14&gt;0,G146,H146)/AG146</f>
        <v>0</v>
      </c>
    </row>
    <row r="147" spans="1:40">
      <c r="A147">
        <v>77</v>
      </c>
      <c r="C147" s="16">
        <f>LCOE!D173+IF(AND(LCOE!D$26&gt;0,A147&gt;=LCOE!D$26,A147&lt;=(LCOE!D$26+LCOE!D$27-1)),LCOE!D$42/LCOE!D$27,0)+IF(AND(AE147&gt;=LCOE!D$16,COUNTIF(AE122:AE147,LCOE!D$16)=LCOE!D$36+1),LCOE!D$35*LCOE!D$38,0)</f>
        <v>25225000</v>
      </c>
      <c r="D147" s="16">
        <f>IF(AE146&lt;LCOE!D$16,1,0)</f>
        <v>0</v>
      </c>
      <c r="E147" s="12">
        <f>LCOE!G173+IF(AND(A147&gt;=LCOE!D$26,A147&lt;=(LCOE!D$26+LCOE!D$27-1)),0,1)*IF(A147=LCOE!D$34,0,1)*D147</f>
        <v>0</v>
      </c>
      <c r="F147" s="12">
        <f>IF(F146&lt;LCOE!D$18,MIN(F146*(1+LCOE!D$19),LCOE!D$18),LCOE!D$18)+LCOE!J173</f>
        <v>0.9</v>
      </c>
      <c r="G147" s="16">
        <f>LCOE!K173+E147*F147*N147*(LCOE!D$14+LCOE!H173)*24*365*D147</f>
        <v>0</v>
      </c>
      <c r="H147" s="16">
        <f>LCOE!L173+F147*(LCOE!D$15+LCOE!I173)*E147*24*365*D147*N147</f>
        <v>0</v>
      </c>
      <c r="I147" s="16">
        <f>LCOE!M173+LCOE!D$20*IF(LCOE!D$14&gt;0,(LCOE!D$14+LCOE!H173),(LCOE!D$15+LCOE!I173))*K147*D147</f>
        <v>0</v>
      </c>
      <c r="J147" s="16">
        <f>LCOE!N173+LCOE!D$21*IF(LCOE!D$14&gt;0,G147,H147)*K147*D147</f>
        <v>0</v>
      </c>
      <c r="K147" s="15">
        <f>LCOE!O173+K146+K146*LCOE!D$22</f>
        <v>1</v>
      </c>
      <c r="L147" s="16">
        <f>LCOE!P173+LCOE!D$23*IF(LCOE!D$14&gt;0,G147,H147)*M147*D147</f>
        <v>0</v>
      </c>
      <c r="M147" s="15">
        <f>LCOE!Q173+M146+M146*LCOE!D$24</f>
        <v>1</v>
      </c>
      <c r="N147" s="15">
        <f>LCOE!R173+N146-N146*LCOE!D$25</f>
        <v>1</v>
      </c>
      <c r="O147" s="18">
        <f>LCOE!S173+LCOE!D$29</f>
        <v>313.75</v>
      </c>
      <c r="P147" s="12">
        <f>LCOE!T173+IF(A147&gt;=LCOE!D$30,100%,0%)</f>
        <v>1</v>
      </c>
      <c r="Q147" s="16">
        <f>LCOE!U173+O147/1000*IF(LCOE!D$14&gt;0,G147,H147)</f>
        <v>0</v>
      </c>
      <c r="R147" s="16">
        <f>LCOE!B173</f>
        <v>30</v>
      </c>
      <c r="S147" s="16">
        <f>LCOE!V173+Q147*P147*R147</f>
        <v>0</v>
      </c>
      <c r="T147" s="16">
        <f>LCOE!W173+LCOE!D$31</f>
        <v>0</v>
      </c>
      <c r="U147" s="16">
        <f>LCOE!X173+T147*IF(LCOE!D$14&gt;0,G147,H147)</f>
        <v>0</v>
      </c>
      <c r="V147" s="16">
        <f>LCOE!Y173+LCOE!D$32</f>
        <v>0</v>
      </c>
      <c r="W147" s="16">
        <f>LCOE!Z173+V147*IF(LCOE!D$14&gt;0,G147,H147)</f>
        <v>0</v>
      </c>
      <c r="X147" s="16">
        <f>LCOE!AA173+LCOE!D$34</f>
        <v>101</v>
      </c>
      <c r="Y147" s="16">
        <f t="shared" si="34"/>
        <v>0</v>
      </c>
      <c r="Z147" s="50">
        <f t="shared" si="37"/>
        <v>25225000</v>
      </c>
      <c r="AA147" s="50">
        <f t="shared" si="38"/>
        <v>0</v>
      </c>
      <c r="AB147" s="50">
        <f t="shared" si="39"/>
        <v>0</v>
      </c>
      <c r="AC147" s="50">
        <f t="shared" si="35"/>
        <v>0</v>
      </c>
      <c r="AD147" s="50">
        <f t="shared" si="30"/>
        <v>0</v>
      </c>
      <c r="AE147">
        <f t="shared" si="36"/>
        <v>30</v>
      </c>
      <c r="AF147" s="12">
        <f>LCOE!E173+LCOE!D$40</f>
        <v>0</v>
      </c>
      <c r="AG147">
        <f t="shared" si="31"/>
        <v>1</v>
      </c>
      <c r="AH147" s="16">
        <f t="shared" si="40"/>
        <v>25225000</v>
      </c>
      <c r="AI147" s="16">
        <f t="shared" si="41"/>
        <v>0</v>
      </c>
      <c r="AJ147" s="16">
        <f t="shared" si="42"/>
        <v>0</v>
      </c>
      <c r="AK147" s="16">
        <f t="shared" si="43"/>
        <v>0</v>
      </c>
      <c r="AL147" s="16">
        <f t="shared" si="32"/>
        <v>0</v>
      </c>
      <c r="AM147" s="16">
        <f t="shared" si="33"/>
        <v>0</v>
      </c>
      <c r="AN147" s="16">
        <f>IF(LCOE!D$14&gt;0,G147,H147)/AG147</f>
        <v>0</v>
      </c>
    </row>
    <row r="148" spans="1:40">
      <c r="A148">
        <v>78</v>
      </c>
      <c r="C148" s="16">
        <f>LCOE!D174+IF(AND(LCOE!D$26&gt;0,A148&gt;=LCOE!D$26,A148&lt;=(LCOE!D$26+LCOE!D$27-1)),LCOE!D$42/LCOE!D$27,0)+IF(AND(AE148&gt;=LCOE!D$16,COUNTIF(AE123:AE148,LCOE!D$16)=LCOE!D$36+1),LCOE!D$35*LCOE!D$38,0)</f>
        <v>25225000</v>
      </c>
      <c r="D148" s="16">
        <f>IF(AE147&lt;LCOE!D$16,1,0)</f>
        <v>0</v>
      </c>
      <c r="E148" s="12">
        <f>LCOE!G174+IF(AND(A148&gt;=LCOE!D$26,A148&lt;=(LCOE!D$26+LCOE!D$27-1)),0,1)*IF(A148=LCOE!D$34,0,1)*D148</f>
        <v>0</v>
      </c>
      <c r="F148" s="12">
        <f>IF(F147&lt;LCOE!D$18,MIN(F147*(1+LCOE!D$19),LCOE!D$18),LCOE!D$18)+LCOE!J174</f>
        <v>0.9</v>
      </c>
      <c r="G148" s="16">
        <f>LCOE!K174+E148*F148*N148*(LCOE!D$14+LCOE!H174)*24*365*D148</f>
        <v>0</v>
      </c>
      <c r="H148" s="16">
        <f>LCOE!L174+F148*(LCOE!D$15+LCOE!I174)*E148*24*365*D148*N148</f>
        <v>0</v>
      </c>
      <c r="I148" s="16">
        <f>LCOE!M174+LCOE!D$20*IF(LCOE!D$14&gt;0,(LCOE!D$14+LCOE!H174),(LCOE!D$15+LCOE!I174))*K148*D148</f>
        <v>0</v>
      </c>
      <c r="J148" s="16">
        <f>LCOE!N174+LCOE!D$21*IF(LCOE!D$14&gt;0,G148,H148)*K148*D148</f>
        <v>0</v>
      </c>
      <c r="K148" s="15">
        <f>LCOE!O174+K147+K147*LCOE!D$22</f>
        <v>1</v>
      </c>
      <c r="L148" s="16">
        <f>LCOE!P174+LCOE!D$23*IF(LCOE!D$14&gt;0,G148,H148)*M148*D148</f>
        <v>0</v>
      </c>
      <c r="M148" s="15">
        <f>LCOE!Q174+M147+M147*LCOE!D$24</f>
        <v>1</v>
      </c>
      <c r="N148" s="15">
        <f>LCOE!R174+N147-N147*LCOE!D$25</f>
        <v>1</v>
      </c>
      <c r="O148" s="18">
        <f>LCOE!S174+LCOE!D$29</f>
        <v>313.75</v>
      </c>
      <c r="P148" s="12">
        <f>LCOE!T174+IF(A148&gt;=LCOE!D$30,100%,0%)</f>
        <v>1</v>
      </c>
      <c r="Q148" s="16">
        <f>LCOE!U174+O148/1000*IF(LCOE!D$14&gt;0,G148,H148)</f>
        <v>0</v>
      </c>
      <c r="R148" s="16">
        <f>LCOE!B174</f>
        <v>30</v>
      </c>
      <c r="S148" s="16">
        <f>LCOE!V174+Q148*P148*R148</f>
        <v>0</v>
      </c>
      <c r="T148" s="16">
        <f>LCOE!W174+LCOE!D$31</f>
        <v>0</v>
      </c>
      <c r="U148" s="16">
        <f>LCOE!X174+T148*IF(LCOE!D$14&gt;0,G148,H148)</f>
        <v>0</v>
      </c>
      <c r="V148" s="16">
        <f>LCOE!Y174+LCOE!D$32</f>
        <v>0</v>
      </c>
      <c r="W148" s="16">
        <f>LCOE!Z174+V148*IF(LCOE!D$14&gt;0,G148,H148)</f>
        <v>0</v>
      </c>
      <c r="X148" s="16">
        <f>LCOE!AA174+LCOE!D$34</f>
        <v>101</v>
      </c>
      <c r="Y148" s="16">
        <f t="shared" si="34"/>
        <v>0</v>
      </c>
      <c r="Z148" s="50">
        <f t="shared" si="37"/>
        <v>25225000</v>
      </c>
      <c r="AA148" s="50">
        <f t="shared" si="38"/>
        <v>0</v>
      </c>
      <c r="AB148" s="50">
        <f t="shared" si="39"/>
        <v>0</v>
      </c>
      <c r="AC148" s="50">
        <f t="shared" si="35"/>
        <v>0</v>
      </c>
      <c r="AD148" s="50">
        <f t="shared" si="30"/>
        <v>0</v>
      </c>
      <c r="AE148">
        <f t="shared" si="36"/>
        <v>30</v>
      </c>
      <c r="AF148" s="12">
        <f>LCOE!E174+LCOE!D$40</f>
        <v>0</v>
      </c>
      <c r="AG148">
        <f t="shared" si="31"/>
        <v>1</v>
      </c>
      <c r="AH148" s="16">
        <f t="shared" si="40"/>
        <v>25225000</v>
      </c>
      <c r="AI148" s="16">
        <f t="shared" si="41"/>
        <v>0</v>
      </c>
      <c r="AJ148" s="16">
        <f t="shared" si="42"/>
        <v>0</v>
      </c>
      <c r="AK148" s="16">
        <f t="shared" si="43"/>
        <v>0</v>
      </c>
      <c r="AL148" s="16">
        <f t="shared" si="32"/>
        <v>0</v>
      </c>
      <c r="AM148" s="16">
        <f t="shared" si="33"/>
        <v>0</v>
      </c>
      <c r="AN148" s="16">
        <f>IF(LCOE!D$14&gt;0,G148,H148)/AG148</f>
        <v>0</v>
      </c>
    </row>
    <row r="149" spans="1:40">
      <c r="A149">
        <v>79</v>
      </c>
      <c r="C149" s="16">
        <f>LCOE!D175+IF(AND(LCOE!D$26&gt;0,A149&gt;=LCOE!D$26,A149&lt;=(LCOE!D$26+LCOE!D$27-1)),LCOE!D$42/LCOE!D$27,0)+IF(AND(AE149&gt;=LCOE!D$16,COUNTIF(AE124:AE149,LCOE!D$16)=LCOE!D$36+1),LCOE!D$35*LCOE!D$38,0)</f>
        <v>25225000</v>
      </c>
      <c r="D149" s="16">
        <f>IF(AE148&lt;LCOE!D$16,1,0)</f>
        <v>0</v>
      </c>
      <c r="E149" s="12">
        <f>LCOE!G175+IF(AND(A149&gt;=LCOE!D$26,A149&lt;=(LCOE!D$26+LCOE!D$27-1)),0,1)*IF(A149=LCOE!D$34,0,1)*D149</f>
        <v>0</v>
      </c>
      <c r="F149" s="12">
        <f>IF(F148&lt;LCOE!D$18,MIN(F148*(1+LCOE!D$19),LCOE!D$18),LCOE!D$18)+LCOE!J175</f>
        <v>0.9</v>
      </c>
      <c r="G149" s="16">
        <f>LCOE!K175+E149*F149*N149*(LCOE!D$14+LCOE!H175)*24*365*D149</f>
        <v>0</v>
      </c>
      <c r="H149" s="16">
        <f>LCOE!L175+F149*(LCOE!D$15+LCOE!I175)*E149*24*365*D149*N149</f>
        <v>0</v>
      </c>
      <c r="I149" s="16">
        <f>LCOE!M175+LCOE!D$20*IF(LCOE!D$14&gt;0,(LCOE!D$14+LCOE!H175),(LCOE!D$15+LCOE!I175))*K149*D149</f>
        <v>0</v>
      </c>
      <c r="J149" s="16">
        <f>LCOE!N175+LCOE!D$21*IF(LCOE!D$14&gt;0,G149,H149)*K149*D149</f>
        <v>0</v>
      </c>
      <c r="K149" s="15">
        <f>LCOE!O175+K148+K148*LCOE!D$22</f>
        <v>1</v>
      </c>
      <c r="L149" s="16">
        <f>LCOE!P175+LCOE!D$23*IF(LCOE!D$14&gt;0,G149,H149)*M149*D149</f>
        <v>0</v>
      </c>
      <c r="M149" s="15">
        <f>LCOE!Q175+M148+M148*LCOE!D$24</f>
        <v>1</v>
      </c>
      <c r="N149" s="15">
        <f>LCOE!R175+N148-N148*LCOE!D$25</f>
        <v>1</v>
      </c>
      <c r="O149" s="18">
        <f>LCOE!S175+LCOE!D$29</f>
        <v>313.75</v>
      </c>
      <c r="P149" s="12">
        <f>LCOE!T175+IF(A149&gt;=LCOE!D$30,100%,0%)</f>
        <v>1</v>
      </c>
      <c r="Q149" s="16">
        <f>LCOE!U175+O149/1000*IF(LCOE!D$14&gt;0,G149,H149)</f>
        <v>0</v>
      </c>
      <c r="R149" s="16">
        <f>LCOE!B175</f>
        <v>30</v>
      </c>
      <c r="S149" s="16">
        <f>LCOE!V175+Q149*P149*R149</f>
        <v>0</v>
      </c>
      <c r="T149" s="16">
        <f>LCOE!W175+LCOE!D$31</f>
        <v>0</v>
      </c>
      <c r="U149" s="16">
        <f>LCOE!X175+T149*IF(LCOE!D$14&gt;0,G149,H149)</f>
        <v>0</v>
      </c>
      <c r="V149" s="16">
        <f>LCOE!Y175+LCOE!D$32</f>
        <v>0</v>
      </c>
      <c r="W149" s="16">
        <f>LCOE!Z175+V149*IF(LCOE!D$14&gt;0,G149,H149)</f>
        <v>0</v>
      </c>
      <c r="X149" s="16">
        <f>LCOE!AA175+LCOE!D$34</f>
        <v>101</v>
      </c>
      <c r="Y149" s="16">
        <f t="shared" si="34"/>
        <v>0</v>
      </c>
      <c r="Z149" s="50">
        <f t="shared" si="37"/>
        <v>25225000</v>
      </c>
      <c r="AA149" s="50">
        <f t="shared" si="38"/>
        <v>0</v>
      </c>
      <c r="AB149" s="50">
        <f t="shared" si="39"/>
        <v>0</v>
      </c>
      <c r="AC149" s="50">
        <f t="shared" si="35"/>
        <v>0</v>
      </c>
      <c r="AD149" s="50">
        <f t="shared" si="30"/>
        <v>0</v>
      </c>
      <c r="AE149">
        <f t="shared" si="36"/>
        <v>30</v>
      </c>
      <c r="AF149" s="12">
        <f>LCOE!E175+LCOE!D$40</f>
        <v>0</v>
      </c>
      <c r="AG149">
        <f t="shared" si="31"/>
        <v>1</v>
      </c>
      <c r="AH149" s="16">
        <f t="shared" si="40"/>
        <v>25225000</v>
      </c>
      <c r="AI149" s="16">
        <f t="shared" si="41"/>
        <v>0</v>
      </c>
      <c r="AJ149" s="16">
        <f t="shared" si="42"/>
        <v>0</v>
      </c>
      <c r="AK149" s="16">
        <f t="shared" si="43"/>
        <v>0</v>
      </c>
      <c r="AL149" s="16">
        <f t="shared" si="32"/>
        <v>0</v>
      </c>
      <c r="AM149" s="16">
        <f t="shared" si="33"/>
        <v>0</v>
      </c>
      <c r="AN149" s="16">
        <f>IF(LCOE!D$14&gt;0,G149,H149)/AG149</f>
        <v>0</v>
      </c>
    </row>
    <row r="150" spans="1:40">
      <c r="A150">
        <v>80</v>
      </c>
      <c r="C150" s="16">
        <f>LCOE!D176+IF(AND(LCOE!D$26&gt;0,A150&gt;=LCOE!D$26,A150&lt;=(LCOE!D$26+LCOE!D$27-1)),LCOE!D$42/LCOE!D$27,0)+IF(AND(AE150&gt;=LCOE!D$16,COUNTIF(AE125:AE150,LCOE!D$16)=LCOE!D$36+1),LCOE!D$35*LCOE!D$38,0)</f>
        <v>25225000</v>
      </c>
      <c r="D150" s="16">
        <f>IF(AE149&lt;LCOE!D$16,1,0)</f>
        <v>0</v>
      </c>
      <c r="E150" s="12">
        <f>LCOE!G176+IF(AND(A150&gt;=LCOE!D$26,A150&lt;=(LCOE!D$26+LCOE!D$27-1)),0,1)*IF(A150=LCOE!D$34,0,1)*D150</f>
        <v>0</v>
      </c>
      <c r="F150" s="12">
        <f>IF(F149&lt;LCOE!D$18,MIN(F149*(1+LCOE!D$19),LCOE!D$18),LCOE!D$18)+LCOE!J176</f>
        <v>0.9</v>
      </c>
      <c r="G150" s="16">
        <f>LCOE!K176+E150*F150*N150*(LCOE!D$14+LCOE!H176)*24*365*D150</f>
        <v>0</v>
      </c>
      <c r="H150" s="16">
        <f>LCOE!L176+F150*(LCOE!D$15+LCOE!I176)*E150*24*365*D150*N150</f>
        <v>0</v>
      </c>
      <c r="I150" s="16">
        <f>LCOE!M176+LCOE!D$20*IF(LCOE!D$14&gt;0,(LCOE!D$14+LCOE!H176),(LCOE!D$15+LCOE!I176))*K150*D150</f>
        <v>0</v>
      </c>
      <c r="J150" s="16">
        <f>LCOE!N176+LCOE!D$21*IF(LCOE!D$14&gt;0,G150,H150)*K150*D150</f>
        <v>0</v>
      </c>
      <c r="K150" s="15">
        <f>LCOE!O176+K149+K149*LCOE!D$22</f>
        <v>1</v>
      </c>
      <c r="L150" s="16">
        <f>LCOE!P176+LCOE!D$23*IF(LCOE!D$14&gt;0,G150,H150)*M150*D150</f>
        <v>0</v>
      </c>
      <c r="M150" s="15">
        <f>LCOE!Q176+M149+M149*LCOE!D$24</f>
        <v>1</v>
      </c>
      <c r="N150" s="15">
        <f>LCOE!R176+N149-N149*LCOE!D$25</f>
        <v>1</v>
      </c>
      <c r="O150" s="18">
        <f>LCOE!S176+LCOE!D$29</f>
        <v>313.75</v>
      </c>
      <c r="P150" s="12">
        <f>LCOE!T176+IF(A150&gt;=LCOE!D$30,100%,0%)</f>
        <v>1</v>
      </c>
      <c r="Q150" s="16">
        <f>LCOE!U176+O150/1000*IF(LCOE!D$14&gt;0,G150,H150)</f>
        <v>0</v>
      </c>
      <c r="R150" s="16">
        <f>LCOE!B176</f>
        <v>30</v>
      </c>
      <c r="S150" s="16">
        <f>LCOE!V176+Q150*P150*R150</f>
        <v>0</v>
      </c>
      <c r="T150" s="16">
        <f>LCOE!W176+LCOE!D$31</f>
        <v>0</v>
      </c>
      <c r="U150" s="16">
        <f>LCOE!X176+T150*IF(LCOE!D$14&gt;0,G150,H150)</f>
        <v>0</v>
      </c>
      <c r="V150" s="16">
        <f>LCOE!Y176+LCOE!D$32</f>
        <v>0</v>
      </c>
      <c r="W150" s="16">
        <f>LCOE!Z176+V150*IF(LCOE!D$14&gt;0,G150,H150)</f>
        <v>0</v>
      </c>
      <c r="X150" s="16">
        <f>LCOE!AA176+LCOE!D$34</f>
        <v>101</v>
      </c>
      <c r="Y150" s="16">
        <f t="shared" si="34"/>
        <v>0</v>
      </c>
      <c r="Z150" s="50">
        <f t="shared" si="37"/>
        <v>25225000</v>
      </c>
      <c r="AA150" s="50">
        <f t="shared" si="38"/>
        <v>0</v>
      </c>
      <c r="AB150" s="50">
        <f t="shared" si="39"/>
        <v>0</v>
      </c>
      <c r="AC150" s="50">
        <f t="shared" si="35"/>
        <v>0</v>
      </c>
      <c r="AD150" s="50">
        <f t="shared" si="30"/>
        <v>0</v>
      </c>
      <c r="AE150">
        <f t="shared" si="36"/>
        <v>30</v>
      </c>
      <c r="AF150" s="12">
        <f>LCOE!E176+LCOE!D$40</f>
        <v>0</v>
      </c>
      <c r="AG150">
        <f t="shared" si="31"/>
        <v>1</v>
      </c>
      <c r="AH150" s="16">
        <f t="shared" si="40"/>
        <v>25225000</v>
      </c>
      <c r="AI150" s="16">
        <f t="shared" si="41"/>
        <v>0</v>
      </c>
      <c r="AJ150" s="16">
        <f t="shared" si="42"/>
        <v>0</v>
      </c>
      <c r="AK150" s="16">
        <f t="shared" si="43"/>
        <v>0</v>
      </c>
      <c r="AL150" s="16">
        <f t="shared" si="32"/>
        <v>0</v>
      </c>
      <c r="AM150" s="16">
        <f t="shared" si="33"/>
        <v>0</v>
      </c>
      <c r="AN150" s="16">
        <f>IF(LCOE!D$14&gt;0,G150,H150)/AG150</f>
        <v>0</v>
      </c>
    </row>
    <row r="151" spans="1:40">
      <c r="A151">
        <v>81</v>
      </c>
      <c r="C151" s="16">
        <f>LCOE!D177+IF(AND(LCOE!D$26&gt;0,A151&gt;=LCOE!D$26,A151&lt;=(LCOE!D$26+LCOE!D$27-1)),LCOE!D$42/LCOE!D$27,0)+IF(AND(AE151&gt;=LCOE!D$16,COUNTIF(AE126:AE151,LCOE!D$16)=LCOE!D$36+1),LCOE!D$35*LCOE!D$38,0)</f>
        <v>25225000</v>
      </c>
      <c r="D151" s="16">
        <f>IF(AE150&lt;LCOE!D$16,1,0)</f>
        <v>0</v>
      </c>
      <c r="E151" s="12">
        <f>LCOE!G177+IF(AND(A151&gt;=LCOE!D$26,A151&lt;=(LCOE!D$26+LCOE!D$27-1)),0,1)*IF(A151=LCOE!D$34,0,1)*D151</f>
        <v>0</v>
      </c>
      <c r="F151" s="12">
        <f>IF(F150&lt;LCOE!D$18,MIN(F150*(1+LCOE!D$19),LCOE!D$18),LCOE!D$18)+LCOE!J177</f>
        <v>0.9</v>
      </c>
      <c r="G151" s="16">
        <f>LCOE!K177+E151*F151*N151*(LCOE!D$14+LCOE!H177)*24*365*D151</f>
        <v>0</v>
      </c>
      <c r="H151" s="16">
        <f>LCOE!L177+F151*(LCOE!D$15+LCOE!I177)*E151*24*365*D151*N151</f>
        <v>0</v>
      </c>
      <c r="I151" s="16">
        <f>LCOE!M177+LCOE!D$20*IF(LCOE!D$14&gt;0,(LCOE!D$14+LCOE!H177),(LCOE!D$15+LCOE!I177))*K151*D151</f>
        <v>0</v>
      </c>
      <c r="J151" s="16">
        <f>LCOE!N177+LCOE!D$21*IF(LCOE!D$14&gt;0,G151,H151)*K151*D151</f>
        <v>0</v>
      </c>
      <c r="K151" s="15">
        <f>LCOE!O177+K150+K150*LCOE!D$22</f>
        <v>1</v>
      </c>
      <c r="L151" s="16">
        <f>LCOE!P177+LCOE!D$23*IF(LCOE!D$14&gt;0,G151,H151)*M151*D151</f>
        <v>0</v>
      </c>
      <c r="M151" s="15">
        <f>LCOE!Q177+M150+M150*LCOE!D$24</f>
        <v>1</v>
      </c>
      <c r="N151" s="15">
        <f>LCOE!R177+N150-N150*LCOE!D$25</f>
        <v>1</v>
      </c>
      <c r="O151" s="18">
        <f>LCOE!S177+LCOE!D$29</f>
        <v>313.75</v>
      </c>
      <c r="P151" s="12">
        <f>LCOE!T177+IF(A151&gt;=LCOE!D$30,100%,0%)</f>
        <v>1</v>
      </c>
      <c r="Q151" s="16">
        <f>LCOE!U177+O151/1000*IF(LCOE!D$14&gt;0,G151,H151)</f>
        <v>0</v>
      </c>
      <c r="R151" s="16">
        <f>LCOE!B177</f>
        <v>30</v>
      </c>
      <c r="S151" s="16">
        <f>LCOE!V177+Q151*P151*R151</f>
        <v>0</v>
      </c>
      <c r="T151" s="16">
        <f>LCOE!W177+LCOE!D$31</f>
        <v>0</v>
      </c>
      <c r="U151" s="16">
        <f>LCOE!X177+T151*IF(LCOE!D$14&gt;0,G151,H151)</f>
        <v>0</v>
      </c>
      <c r="V151" s="16">
        <f>LCOE!Y177+LCOE!D$32</f>
        <v>0</v>
      </c>
      <c r="W151" s="16">
        <f>LCOE!Z177+V151*IF(LCOE!D$14&gt;0,G151,H151)</f>
        <v>0</v>
      </c>
      <c r="X151" s="16">
        <f>LCOE!AA177+LCOE!D$34</f>
        <v>101</v>
      </c>
      <c r="Y151" s="16">
        <f t="shared" si="34"/>
        <v>0</v>
      </c>
      <c r="Z151" s="50">
        <f t="shared" si="37"/>
        <v>25225000</v>
      </c>
      <c r="AA151" s="50">
        <f t="shared" si="38"/>
        <v>0</v>
      </c>
      <c r="AB151" s="50">
        <f t="shared" si="39"/>
        <v>0</v>
      </c>
      <c r="AC151" s="50">
        <f t="shared" si="35"/>
        <v>0</v>
      </c>
      <c r="AD151" s="50">
        <f t="shared" si="30"/>
        <v>0</v>
      </c>
      <c r="AE151">
        <f t="shared" si="36"/>
        <v>30</v>
      </c>
      <c r="AF151" s="12">
        <f>LCOE!E177+LCOE!D$40</f>
        <v>0</v>
      </c>
      <c r="AG151">
        <f t="shared" si="31"/>
        <v>1</v>
      </c>
      <c r="AH151" s="16">
        <f t="shared" si="40"/>
        <v>25225000</v>
      </c>
      <c r="AI151" s="16">
        <f t="shared" si="41"/>
        <v>0</v>
      </c>
      <c r="AJ151" s="16">
        <f t="shared" si="42"/>
        <v>0</v>
      </c>
      <c r="AK151" s="16">
        <f t="shared" si="43"/>
        <v>0</v>
      </c>
      <c r="AL151" s="16">
        <f t="shared" si="32"/>
        <v>0</v>
      </c>
      <c r="AM151" s="16">
        <f t="shared" si="33"/>
        <v>0</v>
      </c>
      <c r="AN151" s="16">
        <f>IF(LCOE!D$14&gt;0,G151,H151)/AG151</f>
        <v>0</v>
      </c>
    </row>
    <row r="152" spans="1:40">
      <c r="A152">
        <v>82</v>
      </c>
      <c r="C152" s="16">
        <f>LCOE!D178+IF(AND(LCOE!D$26&gt;0,A152&gt;=LCOE!D$26,A152&lt;=(LCOE!D$26+LCOE!D$27-1)),LCOE!D$42/LCOE!D$27,0)+IF(AND(AE152&gt;=LCOE!D$16,COUNTIF(AE127:AE152,LCOE!D$16)=LCOE!D$36+1),LCOE!D$35*LCOE!D$38,0)</f>
        <v>25225000</v>
      </c>
      <c r="D152" s="16">
        <f>IF(AE151&lt;LCOE!D$16,1,0)</f>
        <v>0</v>
      </c>
      <c r="E152" s="12">
        <f>LCOE!G178+IF(AND(A152&gt;=LCOE!D$26,A152&lt;=(LCOE!D$26+LCOE!D$27-1)),0,1)*IF(A152=LCOE!D$34,0,1)*D152</f>
        <v>0</v>
      </c>
      <c r="F152" s="12">
        <f>IF(F151&lt;LCOE!D$18,MIN(F151*(1+LCOE!D$19),LCOE!D$18),LCOE!D$18)+LCOE!J178</f>
        <v>0.9</v>
      </c>
      <c r="G152" s="16">
        <f>LCOE!K178+E152*F152*N152*(LCOE!D$14+LCOE!H178)*24*365*D152</f>
        <v>0</v>
      </c>
      <c r="H152" s="16">
        <f>LCOE!L178+F152*(LCOE!D$15+LCOE!I178)*E152*24*365*D152*N152</f>
        <v>0</v>
      </c>
      <c r="I152" s="16">
        <f>LCOE!M178+LCOE!D$20*IF(LCOE!D$14&gt;0,(LCOE!D$14+LCOE!H178),(LCOE!D$15+LCOE!I178))*K152*D152</f>
        <v>0</v>
      </c>
      <c r="J152" s="16">
        <f>LCOE!N178+LCOE!D$21*IF(LCOE!D$14&gt;0,G152,H152)*K152*D152</f>
        <v>0</v>
      </c>
      <c r="K152" s="15">
        <f>LCOE!O178+K151+K151*LCOE!D$22</f>
        <v>1</v>
      </c>
      <c r="L152" s="16">
        <f>LCOE!P178+LCOE!D$23*IF(LCOE!D$14&gt;0,G152,H152)*M152*D152</f>
        <v>0</v>
      </c>
      <c r="M152" s="15">
        <f>LCOE!Q178+M151+M151*LCOE!D$24</f>
        <v>1</v>
      </c>
      <c r="N152" s="15">
        <f>LCOE!R178+N151-N151*LCOE!D$25</f>
        <v>1</v>
      </c>
      <c r="O152" s="18">
        <f>LCOE!S178+LCOE!D$29</f>
        <v>313.75</v>
      </c>
      <c r="P152" s="12">
        <f>LCOE!T178+IF(A152&gt;=LCOE!D$30,100%,0%)</f>
        <v>1</v>
      </c>
      <c r="Q152" s="16">
        <f>LCOE!U178+O152/1000*IF(LCOE!D$14&gt;0,G152,H152)</f>
        <v>0</v>
      </c>
      <c r="R152" s="16">
        <f>LCOE!B178</f>
        <v>30</v>
      </c>
      <c r="S152" s="16">
        <f>LCOE!V178+Q152*P152*R152</f>
        <v>0</v>
      </c>
      <c r="T152" s="16">
        <f>LCOE!W178+LCOE!D$31</f>
        <v>0</v>
      </c>
      <c r="U152" s="16">
        <f>LCOE!X178+T152*IF(LCOE!D$14&gt;0,G152,H152)</f>
        <v>0</v>
      </c>
      <c r="V152" s="16">
        <f>LCOE!Y178+LCOE!D$32</f>
        <v>0</v>
      </c>
      <c r="W152" s="16">
        <f>LCOE!Z178+V152*IF(LCOE!D$14&gt;0,G152,H152)</f>
        <v>0</v>
      </c>
      <c r="X152" s="16">
        <f>LCOE!AA178+LCOE!D$34</f>
        <v>101</v>
      </c>
      <c r="Y152" s="16">
        <f t="shared" si="34"/>
        <v>0</v>
      </c>
      <c r="Z152" s="50">
        <f t="shared" si="37"/>
        <v>25225000</v>
      </c>
      <c r="AA152" s="50">
        <f t="shared" si="38"/>
        <v>0</v>
      </c>
      <c r="AB152" s="50">
        <f t="shared" si="39"/>
        <v>0</v>
      </c>
      <c r="AC152" s="50">
        <f t="shared" si="35"/>
        <v>0</v>
      </c>
      <c r="AD152" s="50">
        <f t="shared" si="30"/>
        <v>0</v>
      </c>
      <c r="AE152">
        <f t="shared" si="36"/>
        <v>30</v>
      </c>
      <c r="AF152" s="12">
        <f>LCOE!E178+LCOE!D$40</f>
        <v>0</v>
      </c>
      <c r="AG152">
        <f t="shared" si="31"/>
        <v>1</v>
      </c>
      <c r="AH152" s="16">
        <f t="shared" si="40"/>
        <v>25225000</v>
      </c>
      <c r="AI152" s="16">
        <f t="shared" si="41"/>
        <v>0</v>
      </c>
      <c r="AJ152" s="16">
        <f t="shared" si="42"/>
        <v>0</v>
      </c>
      <c r="AK152" s="16">
        <f t="shared" si="43"/>
        <v>0</v>
      </c>
      <c r="AL152" s="16">
        <f t="shared" si="32"/>
        <v>0</v>
      </c>
      <c r="AM152" s="16">
        <f t="shared" si="33"/>
        <v>0</v>
      </c>
      <c r="AN152" s="16">
        <f>IF(LCOE!D$14&gt;0,G152,H152)/AG152</f>
        <v>0</v>
      </c>
    </row>
    <row r="153" spans="1:40">
      <c r="A153">
        <v>83</v>
      </c>
      <c r="C153" s="16">
        <f>LCOE!D179+IF(AND(LCOE!D$26&gt;0,A153&gt;=LCOE!D$26,A153&lt;=(LCOE!D$26+LCOE!D$27-1)),LCOE!D$42/LCOE!D$27,0)+IF(AND(AE153&gt;=LCOE!D$16,COUNTIF(AE128:AE153,LCOE!D$16)=LCOE!D$36+1),LCOE!D$35*LCOE!D$38,0)</f>
        <v>25225000</v>
      </c>
      <c r="D153" s="16">
        <f>IF(AE152&lt;LCOE!D$16,1,0)</f>
        <v>0</v>
      </c>
      <c r="E153" s="12">
        <f>LCOE!G179+IF(AND(A153&gt;=LCOE!D$26,A153&lt;=(LCOE!D$26+LCOE!D$27-1)),0,1)*IF(A153=LCOE!D$34,0,1)*D153</f>
        <v>0</v>
      </c>
      <c r="F153" s="12">
        <f>IF(F152&lt;LCOE!D$18,MIN(F152*(1+LCOE!D$19),LCOE!D$18),LCOE!D$18)+LCOE!J179</f>
        <v>0.9</v>
      </c>
      <c r="G153" s="16">
        <f>LCOE!K179+E153*F153*N153*(LCOE!D$14+LCOE!H179)*24*365*D153</f>
        <v>0</v>
      </c>
      <c r="H153" s="16">
        <f>LCOE!L179+F153*(LCOE!D$15+LCOE!I179)*E153*24*365*D153*N153</f>
        <v>0</v>
      </c>
      <c r="I153" s="16">
        <f>LCOE!M179+LCOE!D$20*IF(LCOE!D$14&gt;0,(LCOE!D$14+LCOE!H179),(LCOE!D$15+LCOE!I179))*K153*D153</f>
        <v>0</v>
      </c>
      <c r="J153" s="16">
        <f>LCOE!N179+LCOE!D$21*IF(LCOE!D$14&gt;0,G153,H153)*K153*D153</f>
        <v>0</v>
      </c>
      <c r="K153" s="15">
        <f>LCOE!O179+K152+K152*LCOE!D$22</f>
        <v>1</v>
      </c>
      <c r="L153" s="16">
        <f>LCOE!P179+LCOE!D$23*IF(LCOE!D$14&gt;0,G153,H153)*M153*D153</f>
        <v>0</v>
      </c>
      <c r="M153" s="15">
        <f>LCOE!Q179+M152+M152*LCOE!D$24</f>
        <v>1</v>
      </c>
      <c r="N153" s="15">
        <f>LCOE!R179+N152-N152*LCOE!D$25</f>
        <v>1</v>
      </c>
      <c r="O153" s="18">
        <f>LCOE!S179+LCOE!D$29</f>
        <v>313.75</v>
      </c>
      <c r="P153" s="12">
        <f>LCOE!T179+IF(A153&gt;=LCOE!D$30,100%,0%)</f>
        <v>1</v>
      </c>
      <c r="Q153" s="16">
        <f>LCOE!U179+O153/1000*IF(LCOE!D$14&gt;0,G153,H153)</f>
        <v>0</v>
      </c>
      <c r="R153" s="16">
        <f>LCOE!B179</f>
        <v>30</v>
      </c>
      <c r="S153" s="16">
        <f>LCOE!V179+Q153*P153*R153</f>
        <v>0</v>
      </c>
      <c r="T153" s="16">
        <f>LCOE!W179+LCOE!D$31</f>
        <v>0</v>
      </c>
      <c r="U153" s="16">
        <f>LCOE!X179+T153*IF(LCOE!D$14&gt;0,G153,H153)</f>
        <v>0</v>
      </c>
      <c r="V153" s="16">
        <f>LCOE!Y179+LCOE!D$32</f>
        <v>0</v>
      </c>
      <c r="W153" s="16">
        <f>LCOE!Z179+V153*IF(LCOE!D$14&gt;0,G153,H153)</f>
        <v>0</v>
      </c>
      <c r="X153" s="16">
        <f>LCOE!AA179+LCOE!D$34</f>
        <v>101</v>
      </c>
      <c r="Y153" s="16">
        <f t="shared" si="34"/>
        <v>0</v>
      </c>
      <c r="Z153" s="50">
        <f t="shared" si="37"/>
        <v>25225000</v>
      </c>
      <c r="AA153" s="50">
        <f t="shared" si="38"/>
        <v>0</v>
      </c>
      <c r="AB153" s="50">
        <f t="shared" si="39"/>
        <v>0</v>
      </c>
      <c r="AC153" s="50">
        <f t="shared" si="35"/>
        <v>0</v>
      </c>
      <c r="AD153" s="50">
        <f t="shared" si="30"/>
        <v>0</v>
      </c>
      <c r="AE153">
        <f t="shared" si="36"/>
        <v>30</v>
      </c>
      <c r="AF153" s="12">
        <f>LCOE!E179+LCOE!D$40</f>
        <v>0</v>
      </c>
      <c r="AG153">
        <f t="shared" si="31"/>
        <v>1</v>
      </c>
      <c r="AH153" s="16">
        <f t="shared" si="40"/>
        <v>25225000</v>
      </c>
      <c r="AI153" s="16">
        <f t="shared" si="41"/>
        <v>0</v>
      </c>
      <c r="AJ153" s="16">
        <f t="shared" si="42"/>
        <v>0</v>
      </c>
      <c r="AK153" s="16">
        <f t="shared" si="43"/>
        <v>0</v>
      </c>
      <c r="AL153" s="16">
        <f t="shared" si="32"/>
        <v>0</v>
      </c>
      <c r="AM153" s="16">
        <f t="shared" si="33"/>
        <v>0</v>
      </c>
      <c r="AN153" s="16">
        <f>IF(LCOE!D$14&gt;0,G153,H153)/AG153</f>
        <v>0</v>
      </c>
    </row>
    <row r="154" spans="1:40">
      <c r="A154">
        <v>84</v>
      </c>
      <c r="C154" s="16">
        <f>LCOE!D180+IF(AND(LCOE!D$26&gt;0,A154&gt;=LCOE!D$26,A154&lt;=(LCOE!D$26+LCOE!D$27-1)),LCOE!D$42/LCOE!D$27,0)+IF(AND(AE154&gt;=LCOE!D$16,COUNTIF(AE129:AE154,LCOE!D$16)=LCOE!D$36+1),LCOE!D$35*LCOE!D$38,0)</f>
        <v>25225000</v>
      </c>
      <c r="D154" s="16">
        <f>IF(AE153&lt;LCOE!D$16,1,0)</f>
        <v>0</v>
      </c>
      <c r="E154" s="12">
        <f>LCOE!G180+IF(AND(A154&gt;=LCOE!D$26,A154&lt;=(LCOE!D$26+LCOE!D$27-1)),0,1)*IF(A154=LCOE!D$34,0,1)*D154</f>
        <v>0</v>
      </c>
      <c r="F154" s="12">
        <f>IF(F153&lt;LCOE!D$18,MIN(F153*(1+LCOE!D$19),LCOE!D$18),LCOE!D$18)+LCOE!J180</f>
        <v>0.9</v>
      </c>
      <c r="G154" s="16">
        <f>LCOE!K180+E154*F154*N154*(LCOE!D$14+LCOE!H180)*24*365*D154</f>
        <v>0</v>
      </c>
      <c r="H154" s="16">
        <f>LCOE!L180+F154*(LCOE!D$15+LCOE!I180)*E154*24*365*D154*N154</f>
        <v>0</v>
      </c>
      <c r="I154" s="16">
        <f>LCOE!M180+LCOE!D$20*IF(LCOE!D$14&gt;0,(LCOE!D$14+LCOE!H180),(LCOE!D$15+LCOE!I180))*K154*D154</f>
        <v>0</v>
      </c>
      <c r="J154" s="16">
        <f>LCOE!N180+LCOE!D$21*IF(LCOE!D$14&gt;0,G154,H154)*K154*D154</f>
        <v>0</v>
      </c>
      <c r="K154" s="15">
        <f>LCOE!O180+K153+K153*LCOE!D$22</f>
        <v>1</v>
      </c>
      <c r="L154" s="16">
        <f>LCOE!P180+LCOE!D$23*IF(LCOE!D$14&gt;0,G154,H154)*M154*D154</f>
        <v>0</v>
      </c>
      <c r="M154" s="15">
        <f>LCOE!Q180+M153+M153*LCOE!D$24</f>
        <v>1</v>
      </c>
      <c r="N154" s="15">
        <f>LCOE!R180+N153-N153*LCOE!D$25</f>
        <v>1</v>
      </c>
      <c r="O154" s="18">
        <f>LCOE!S180+LCOE!D$29</f>
        <v>313.75</v>
      </c>
      <c r="P154" s="12">
        <f>LCOE!T180+IF(A154&gt;=LCOE!D$30,100%,0%)</f>
        <v>1</v>
      </c>
      <c r="Q154" s="16">
        <f>LCOE!U180+O154/1000*IF(LCOE!D$14&gt;0,G154,H154)</f>
        <v>0</v>
      </c>
      <c r="R154" s="16">
        <f>LCOE!B180</f>
        <v>30</v>
      </c>
      <c r="S154" s="16">
        <f>LCOE!V180+Q154*P154*R154</f>
        <v>0</v>
      </c>
      <c r="T154" s="16">
        <f>LCOE!W180+LCOE!D$31</f>
        <v>0</v>
      </c>
      <c r="U154" s="16">
        <f>LCOE!X180+T154*IF(LCOE!D$14&gt;0,G154,H154)</f>
        <v>0</v>
      </c>
      <c r="V154" s="16">
        <f>LCOE!Y180+LCOE!D$32</f>
        <v>0</v>
      </c>
      <c r="W154" s="16">
        <f>LCOE!Z180+V154*IF(LCOE!D$14&gt;0,G154,H154)</f>
        <v>0</v>
      </c>
      <c r="X154" s="16">
        <f>LCOE!AA180+LCOE!D$34</f>
        <v>101</v>
      </c>
      <c r="Y154" s="16">
        <f t="shared" si="34"/>
        <v>0</v>
      </c>
      <c r="Z154" s="50">
        <f t="shared" si="37"/>
        <v>25225000</v>
      </c>
      <c r="AA154" s="50">
        <f t="shared" si="38"/>
        <v>0</v>
      </c>
      <c r="AB154" s="50">
        <f t="shared" si="39"/>
        <v>0</v>
      </c>
      <c r="AC154" s="50">
        <f t="shared" si="35"/>
        <v>0</v>
      </c>
      <c r="AD154" s="50">
        <f t="shared" si="30"/>
        <v>0</v>
      </c>
      <c r="AE154">
        <f t="shared" si="36"/>
        <v>30</v>
      </c>
      <c r="AF154" s="12">
        <f>LCOE!E180+LCOE!D$40</f>
        <v>0</v>
      </c>
      <c r="AG154">
        <f t="shared" si="31"/>
        <v>1</v>
      </c>
      <c r="AH154" s="16">
        <f t="shared" si="40"/>
        <v>25225000</v>
      </c>
      <c r="AI154" s="16">
        <f t="shared" si="41"/>
        <v>0</v>
      </c>
      <c r="AJ154" s="16">
        <f t="shared" si="42"/>
        <v>0</v>
      </c>
      <c r="AK154" s="16">
        <f t="shared" si="43"/>
        <v>0</v>
      </c>
      <c r="AL154" s="16">
        <f t="shared" si="32"/>
        <v>0</v>
      </c>
      <c r="AM154" s="16">
        <f t="shared" si="33"/>
        <v>0</v>
      </c>
      <c r="AN154" s="16">
        <f>IF(LCOE!D$14&gt;0,G154,H154)/AG154</f>
        <v>0</v>
      </c>
    </row>
    <row r="155" spans="1:40">
      <c r="A155">
        <v>85</v>
      </c>
      <c r="C155" s="16">
        <f>LCOE!D181+IF(AND(LCOE!D$26&gt;0,A155&gt;=LCOE!D$26,A155&lt;=(LCOE!D$26+LCOE!D$27-1)),LCOE!D$42/LCOE!D$27,0)+IF(AND(AE155&gt;=LCOE!D$16,COUNTIF(AE130:AE155,LCOE!D$16)=LCOE!D$36+1),LCOE!D$35*LCOE!D$38,0)</f>
        <v>25225000</v>
      </c>
      <c r="D155" s="16">
        <f>IF(AE154&lt;LCOE!D$16,1,0)</f>
        <v>0</v>
      </c>
      <c r="E155" s="12">
        <f>LCOE!G181+IF(AND(A155&gt;=LCOE!D$26,A155&lt;=(LCOE!D$26+LCOE!D$27-1)),0,1)*IF(A155=LCOE!D$34,0,1)*D155</f>
        <v>0</v>
      </c>
      <c r="F155" s="12">
        <f>IF(F154&lt;LCOE!D$18,MIN(F154*(1+LCOE!D$19),LCOE!D$18),LCOE!D$18)+LCOE!J181</f>
        <v>0.9</v>
      </c>
      <c r="G155" s="16">
        <f>LCOE!K181+E155*F155*N155*(LCOE!D$14+LCOE!H181)*24*365*D155</f>
        <v>0</v>
      </c>
      <c r="H155" s="16">
        <f>LCOE!L181+F155*(LCOE!D$15+LCOE!I181)*E155*24*365*D155*N155</f>
        <v>0</v>
      </c>
      <c r="I155" s="16">
        <f>LCOE!M181+LCOE!D$20*IF(LCOE!D$14&gt;0,(LCOE!D$14+LCOE!H181),(LCOE!D$15+LCOE!I181))*K155*D155</f>
        <v>0</v>
      </c>
      <c r="J155" s="16">
        <f>LCOE!N181+LCOE!D$21*IF(LCOE!D$14&gt;0,G155,H155)*K155*D155</f>
        <v>0</v>
      </c>
      <c r="K155" s="15">
        <f>LCOE!O181+K154+K154*LCOE!D$22</f>
        <v>1</v>
      </c>
      <c r="L155" s="16">
        <f>LCOE!P181+LCOE!D$23*IF(LCOE!D$14&gt;0,G155,H155)*M155*D155</f>
        <v>0</v>
      </c>
      <c r="M155" s="15">
        <f>LCOE!Q181+M154+M154*LCOE!D$24</f>
        <v>1</v>
      </c>
      <c r="N155" s="15">
        <f>LCOE!R181+N154-N154*LCOE!D$25</f>
        <v>1</v>
      </c>
      <c r="O155" s="18">
        <f>LCOE!S181+LCOE!D$29</f>
        <v>313.75</v>
      </c>
      <c r="P155" s="12">
        <f>LCOE!T181+IF(A155&gt;=LCOE!D$30,100%,0%)</f>
        <v>1</v>
      </c>
      <c r="Q155" s="16">
        <f>LCOE!U181+O155/1000*IF(LCOE!D$14&gt;0,G155,H155)</f>
        <v>0</v>
      </c>
      <c r="R155" s="16">
        <f>LCOE!B181</f>
        <v>30</v>
      </c>
      <c r="S155" s="16">
        <f>LCOE!V181+Q155*P155*R155</f>
        <v>0</v>
      </c>
      <c r="T155" s="16">
        <f>LCOE!W181+LCOE!D$31</f>
        <v>0</v>
      </c>
      <c r="U155" s="16">
        <f>LCOE!X181+T155*IF(LCOE!D$14&gt;0,G155,H155)</f>
        <v>0</v>
      </c>
      <c r="V155" s="16">
        <f>LCOE!Y181+LCOE!D$32</f>
        <v>0</v>
      </c>
      <c r="W155" s="16">
        <f>LCOE!Z181+V155*IF(LCOE!D$14&gt;0,G155,H155)</f>
        <v>0</v>
      </c>
      <c r="X155" s="16">
        <f>LCOE!AA181+LCOE!D$34</f>
        <v>101</v>
      </c>
      <c r="Y155" s="16">
        <f t="shared" si="34"/>
        <v>0</v>
      </c>
      <c r="Z155" s="50">
        <f t="shared" si="37"/>
        <v>25225000</v>
      </c>
      <c r="AA155" s="50">
        <f t="shared" si="38"/>
        <v>0</v>
      </c>
      <c r="AB155" s="50">
        <f t="shared" si="39"/>
        <v>0</v>
      </c>
      <c r="AC155" s="50">
        <f t="shared" si="35"/>
        <v>0</v>
      </c>
      <c r="AD155" s="50">
        <f t="shared" si="30"/>
        <v>0</v>
      </c>
      <c r="AE155">
        <f t="shared" si="36"/>
        <v>30</v>
      </c>
      <c r="AF155" s="12">
        <f>LCOE!E181+LCOE!D$40</f>
        <v>0</v>
      </c>
      <c r="AG155">
        <f t="shared" si="31"/>
        <v>1</v>
      </c>
      <c r="AH155" s="16">
        <f t="shared" si="40"/>
        <v>25225000</v>
      </c>
      <c r="AI155" s="16">
        <f t="shared" si="41"/>
        <v>0</v>
      </c>
      <c r="AJ155" s="16">
        <f t="shared" si="42"/>
        <v>0</v>
      </c>
      <c r="AK155" s="16">
        <f t="shared" si="43"/>
        <v>0</v>
      </c>
      <c r="AL155" s="16">
        <f t="shared" si="32"/>
        <v>0</v>
      </c>
      <c r="AM155" s="16">
        <f t="shared" si="33"/>
        <v>0</v>
      </c>
      <c r="AN155" s="16">
        <f>IF(LCOE!D$14&gt;0,G155,H155)/AG155</f>
        <v>0</v>
      </c>
    </row>
    <row r="156" spans="1:40">
      <c r="A156">
        <v>86</v>
      </c>
      <c r="C156" s="16">
        <f>LCOE!D182+IF(AND(LCOE!D$26&gt;0,A156&gt;=LCOE!D$26,A156&lt;=(LCOE!D$26+LCOE!D$27-1)),LCOE!D$42/LCOE!D$27,0)+IF(AND(AE156&gt;=LCOE!D$16,COUNTIF(AE131:AE156,LCOE!D$16)=LCOE!D$36+1),LCOE!D$35*LCOE!D$38,0)</f>
        <v>25225000</v>
      </c>
      <c r="D156" s="16">
        <f>IF(AE155&lt;LCOE!D$16,1,0)</f>
        <v>0</v>
      </c>
      <c r="E156" s="12">
        <f>LCOE!G182+IF(AND(A156&gt;=LCOE!D$26,A156&lt;=(LCOE!D$26+LCOE!D$27-1)),0,1)*IF(A156=LCOE!D$34,0,1)*D156</f>
        <v>0</v>
      </c>
      <c r="F156" s="12">
        <f>IF(F155&lt;LCOE!D$18,MIN(F155*(1+LCOE!D$19),LCOE!D$18),LCOE!D$18)+LCOE!J182</f>
        <v>0.9</v>
      </c>
      <c r="G156" s="16">
        <f>LCOE!K182+E156*F156*N156*(LCOE!D$14+LCOE!H182)*24*365*D156</f>
        <v>0</v>
      </c>
      <c r="H156" s="16">
        <f>LCOE!L182+F156*(LCOE!D$15+LCOE!I182)*E156*24*365*D156*N156</f>
        <v>0</v>
      </c>
      <c r="I156" s="16">
        <f>LCOE!M182+LCOE!D$20*IF(LCOE!D$14&gt;0,(LCOE!D$14+LCOE!H182),(LCOE!D$15+LCOE!I182))*K156*D156</f>
        <v>0</v>
      </c>
      <c r="J156" s="16">
        <f>LCOE!N182+LCOE!D$21*IF(LCOE!D$14&gt;0,G156,H156)*K156*D156</f>
        <v>0</v>
      </c>
      <c r="K156" s="15">
        <f>LCOE!O182+K155+K155*LCOE!D$22</f>
        <v>1</v>
      </c>
      <c r="L156" s="16">
        <f>LCOE!P182+LCOE!D$23*IF(LCOE!D$14&gt;0,G156,H156)*M156*D156</f>
        <v>0</v>
      </c>
      <c r="M156" s="15">
        <f>LCOE!Q182+M155+M155*LCOE!D$24</f>
        <v>1</v>
      </c>
      <c r="N156" s="15">
        <f>LCOE!R182+N155-N155*LCOE!D$25</f>
        <v>1</v>
      </c>
      <c r="O156" s="18">
        <f>LCOE!S182+LCOE!D$29</f>
        <v>313.75</v>
      </c>
      <c r="P156" s="12">
        <f>LCOE!T182+IF(A156&gt;=LCOE!D$30,100%,0%)</f>
        <v>1</v>
      </c>
      <c r="Q156" s="16">
        <f>LCOE!U182+O156/1000*IF(LCOE!D$14&gt;0,G156,H156)</f>
        <v>0</v>
      </c>
      <c r="R156" s="16">
        <f>LCOE!B182</f>
        <v>30</v>
      </c>
      <c r="S156" s="16">
        <f>LCOE!V182+Q156*P156*R156</f>
        <v>0</v>
      </c>
      <c r="T156" s="16">
        <f>LCOE!W182+LCOE!D$31</f>
        <v>0</v>
      </c>
      <c r="U156" s="16">
        <f>LCOE!X182+T156*IF(LCOE!D$14&gt;0,G156,H156)</f>
        <v>0</v>
      </c>
      <c r="V156" s="16">
        <f>LCOE!Y182+LCOE!D$32</f>
        <v>0</v>
      </c>
      <c r="W156" s="16">
        <f>LCOE!Z182+V156*IF(LCOE!D$14&gt;0,G156,H156)</f>
        <v>0</v>
      </c>
      <c r="X156" s="16">
        <f>LCOE!AA182+LCOE!D$34</f>
        <v>101</v>
      </c>
      <c r="Y156" s="16">
        <f t="shared" si="34"/>
        <v>0</v>
      </c>
      <c r="Z156" s="50">
        <f t="shared" si="37"/>
        <v>25225000</v>
      </c>
      <c r="AA156" s="50">
        <f t="shared" si="38"/>
        <v>0</v>
      </c>
      <c r="AB156" s="50">
        <f t="shared" si="39"/>
        <v>0</v>
      </c>
      <c r="AC156" s="50">
        <f t="shared" si="35"/>
        <v>0</v>
      </c>
      <c r="AD156" s="50">
        <f t="shared" si="30"/>
        <v>0</v>
      </c>
      <c r="AE156">
        <f t="shared" si="36"/>
        <v>30</v>
      </c>
      <c r="AF156" s="12">
        <f>LCOE!E182+LCOE!D$40</f>
        <v>0</v>
      </c>
      <c r="AG156">
        <f t="shared" si="31"/>
        <v>1</v>
      </c>
      <c r="AH156" s="16">
        <f t="shared" si="40"/>
        <v>25225000</v>
      </c>
      <c r="AI156" s="16">
        <f t="shared" si="41"/>
        <v>0</v>
      </c>
      <c r="AJ156" s="16">
        <f t="shared" si="42"/>
        <v>0</v>
      </c>
      <c r="AK156" s="16">
        <f t="shared" si="43"/>
        <v>0</v>
      </c>
      <c r="AL156" s="16">
        <f t="shared" si="32"/>
        <v>0</v>
      </c>
      <c r="AM156" s="16">
        <f t="shared" si="33"/>
        <v>0</v>
      </c>
      <c r="AN156" s="16">
        <f>IF(LCOE!D$14&gt;0,G156,H156)/AG156</f>
        <v>0</v>
      </c>
    </row>
    <row r="157" spans="1:40">
      <c r="A157">
        <v>87</v>
      </c>
      <c r="C157" s="16">
        <f>LCOE!D183+IF(AND(LCOE!D$26&gt;0,A157&gt;=LCOE!D$26,A157&lt;=(LCOE!D$26+LCOE!D$27-1)),LCOE!D$42/LCOE!D$27,0)+IF(AND(AE157&gt;=LCOE!D$16,COUNTIF(AE132:AE157,LCOE!D$16)=LCOE!D$36+1),LCOE!D$35*LCOE!D$38,0)</f>
        <v>25225000</v>
      </c>
      <c r="D157" s="16">
        <f>IF(AE156&lt;LCOE!D$16,1,0)</f>
        <v>0</v>
      </c>
      <c r="E157" s="12">
        <f>LCOE!G183+IF(AND(A157&gt;=LCOE!D$26,A157&lt;=(LCOE!D$26+LCOE!D$27-1)),0,1)*IF(A157=LCOE!D$34,0,1)*D157</f>
        <v>0</v>
      </c>
      <c r="F157" s="12">
        <f>IF(F156&lt;LCOE!D$18,MIN(F156*(1+LCOE!D$19),LCOE!D$18),LCOE!D$18)+LCOE!J183</f>
        <v>0.9</v>
      </c>
      <c r="G157" s="16">
        <f>LCOE!K183+E157*F157*N157*(LCOE!D$14+LCOE!H183)*24*365*D157</f>
        <v>0</v>
      </c>
      <c r="H157" s="16">
        <f>LCOE!L183+F157*(LCOE!D$15+LCOE!I183)*E157*24*365*D157*N157</f>
        <v>0</v>
      </c>
      <c r="I157" s="16">
        <f>LCOE!M183+LCOE!D$20*IF(LCOE!D$14&gt;0,(LCOE!D$14+LCOE!H183),(LCOE!D$15+LCOE!I183))*K157*D157</f>
        <v>0</v>
      </c>
      <c r="J157" s="16">
        <f>LCOE!N183+LCOE!D$21*IF(LCOE!D$14&gt;0,G157,H157)*K157*D157</f>
        <v>0</v>
      </c>
      <c r="K157" s="15">
        <f>LCOE!O183+K156+K156*LCOE!D$22</f>
        <v>1</v>
      </c>
      <c r="L157" s="16">
        <f>LCOE!P183+LCOE!D$23*IF(LCOE!D$14&gt;0,G157,H157)*M157*D157</f>
        <v>0</v>
      </c>
      <c r="M157" s="15">
        <f>LCOE!Q183+M156+M156*LCOE!D$24</f>
        <v>1</v>
      </c>
      <c r="N157" s="15">
        <f>LCOE!R183+N156-N156*LCOE!D$25</f>
        <v>1</v>
      </c>
      <c r="O157" s="18">
        <f>LCOE!S183+LCOE!D$29</f>
        <v>313.75</v>
      </c>
      <c r="P157" s="12">
        <f>LCOE!T183+IF(A157&gt;=LCOE!D$30,100%,0%)</f>
        <v>1</v>
      </c>
      <c r="Q157" s="16">
        <f>LCOE!U183+O157/1000*IF(LCOE!D$14&gt;0,G157,H157)</f>
        <v>0</v>
      </c>
      <c r="R157" s="16">
        <f>LCOE!B183</f>
        <v>30</v>
      </c>
      <c r="S157" s="16">
        <f>LCOE!V183+Q157*P157*R157</f>
        <v>0</v>
      </c>
      <c r="T157" s="16">
        <f>LCOE!W183+LCOE!D$31</f>
        <v>0</v>
      </c>
      <c r="U157" s="16">
        <f>LCOE!X183+T157*IF(LCOE!D$14&gt;0,G157,H157)</f>
        <v>0</v>
      </c>
      <c r="V157" s="16">
        <f>LCOE!Y183+LCOE!D$32</f>
        <v>0</v>
      </c>
      <c r="W157" s="16">
        <f>LCOE!Z183+V157*IF(LCOE!D$14&gt;0,G157,H157)</f>
        <v>0</v>
      </c>
      <c r="X157" s="16">
        <f>LCOE!AA183+LCOE!D$34</f>
        <v>101</v>
      </c>
      <c r="Y157" s="16">
        <f t="shared" si="34"/>
        <v>0</v>
      </c>
      <c r="Z157" s="50">
        <f t="shared" si="37"/>
        <v>25225000</v>
      </c>
      <c r="AA157" s="50">
        <f t="shared" si="38"/>
        <v>0</v>
      </c>
      <c r="AB157" s="50">
        <f t="shared" si="39"/>
        <v>0</v>
      </c>
      <c r="AC157" s="50">
        <f t="shared" si="35"/>
        <v>0</v>
      </c>
      <c r="AD157" s="50">
        <f t="shared" si="30"/>
        <v>0</v>
      </c>
      <c r="AE157">
        <f t="shared" si="36"/>
        <v>30</v>
      </c>
      <c r="AF157" s="12">
        <f>LCOE!E183+LCOE!D$40</f>
        <v>0</v>
      </c>
      <c r="AG157">
        <f t="shared" si="31"/>
        <v>1</v>
      </c>
      <c r="AH157" s="16">
        <f t="shared" si="40"/>
        <v>25225000</v>
      </c>
      <c r="AI157" s="16">
        <f t="shared" si="41"/>
        <v>0</v>
      </c>
      <c r="AJ157" s="16">
        <f t="shared" si="42"/>
        <v>0</v>
      </c>
      <c r="AK157" s="16">
        <f t="shared" si="43"/>
        <v>0</v>
      </c>
      <c r="AL157" s="16">
        <f t="shared" si="32"/>
        <v>0</v>
      </c>
      <c r="AM157" s="16">
        <f t="shared" si="33"/>
        <v>0</v>
      </c>
      <c r="AN157" s="16">
        <f>IF(LCOE!D$14&gt;0,G157,H157)/AG157</f>
        <v>0</v>
      </c>
    </row>
    <row r="158" spans="1:40">
      <c r="A158">
        <v>88</v>
      </c>
      <c r="C158" s="16">
        <f>LCOE!D184+IF(AND(LCOE!D$26&gt;0,A158&gt;=LCOE!D$26,A158&lt;=(LCOE!D$26+LCOE!D$27-1)),LCOE!D$42/LCOE!D$27,0)+IF(AND(AE158&gt;=LCOE!D$16,COUNTIF(AE133:AE158,LCOE!D$16)=LCOE!D$36+1),LCOE!D$35*LCOE!D$38,0)</f>
        <v>25225000</v>
      </c>
      <c r="D158" s="16">
        <f>IF(AE157&lt;LCOE!D$16,1,0)</f>
        <v>0</v>
      </c>
      <c r="E158" s="12">
        <f>LCOE!G184+IF(AND(A158&gt;=LCOE!D$26,A158&lt;=(LCOE!D$26+LCOE!D$27-1)),0,1)*IF(A158=LCOE!D$34,0,1)*D158</f>
        <v>0</v>
      </c>
      <c r="F158" s="12">
        <f>IF(F157&lt;LCOE!D$18,MIN(F157*(1+LCOE!D$19),LCOE!D$18),LCOE!D$18)+LCOE!J184</f>
        <v>0.9</v>
      </c>
      <c r="G158" s="16">
        <f>LCOE!K184+E158*F158*N158*(LCOE!D$14+LCOE!H184)*24*365*D158</f>
        <v>0</v>
      </c>
      <c r="H158" s="16">
        <f>LCOE!L184+F158*(LCOE!D$15+LCOE!I184)*E158*24*365*D158*N158</f>
        <v>0</v>
      </c>
      <c r="I158" s="16">
        <f>LCOE!M184+LCOE!D$20*IF(LCOE!D$14&gt;0,(LCOE!D$14+LCOE!H184),(LCOE!D$15+LCOE!I184))*K158*D158</f>
        <v>0</v>
      </c>
      <c r="J158" s="16">
        <f>LCOE!N184+LCOE!D$21*IF(LCOE!D$14&gt;0,G158,H158)*K158*D158</f>
        <v>0</v>
      </c>
      <c r="K158" s="15">
        <f>LCOE!O184+K157+K157*LCOE!D$22</f>
        <v>1</v>
      </c>
      <c r="L158" s="16">
        <f>LCOE!P184+LCOE!D$23*IF(LCOE!D$14&gt;0,G158,H158)*M158*D158</f>
        <v>0</v>
      </c>
      <c r="M158" s="15">
        <f>LCOE!Q184+M157+M157*LCOE!D$24</f>
        <v>1</v>
      </c>
      <c r="N158" s="15">
        <f>LCOE!R184+N157-N157*LCOE!D$25</f>
        <v>1</v>
      </c>
      <c r="O158" s="18">
        <f>LCOE!S184+LCOE!D$29</f>
        <v>313.75</v>
      </c>
      <c r="P158" s="12">
        <f>LCOE!T184+IF(A158&gt;=LCOE!D$30,100%,0%)</f>
        <v>1</v>
      </c>
      <c r="Q158" s="16">
        <f>LCOE!U184+O158/1000*IF(LCOE!D$14&gt;0,G158,H158)</f>
        <v>0</v>
      </c>
      <c r="R158" s="16">
        <f>LCOE!B184</f>
        <v>30</v>
      </c>
      <c r="S158" s="16">
        <f>LCOE!V184+Q158*P158*R158</f>
        <v>0</v>
      </c>
      <c r="T158" s="16">
        <f>LCOE!W184+LCOE!D$31</f>
        <v>0</v>
      </c>
      <c r="U158" s="16">
        <f>LCOE!X184+T158*IF(LCOE!D$14&gt;0,G158,H158)</f>
        <v>0</v>
      </c>
      <c r="V158" s="16">
        <f>LCOE!Y184+LCOE!D$32</f>
        <v>0</v>
      </c>
      <c r="W158" s="16">
        <f>LCOE!Z184+V158*IF(LCOE!D$14&gt;0,G158,H158)</f>
        <v>0</v>
      </c>
      <c r="X158" s="16">
        <f>LCOE!AA184+LCOE!D$34</f>
        <v>101</v>
      </c>
      <c r="Y158" s="16">
        <f t="shared" si="34"/>
        <v>0</v>
      </c>
      <c r="Z158" s="50">
        <f t="shared" si="37"/>
        <v>25225000</v>
      </c>
      <c r="AA158" s="50">
        <f t="shared" si="38"/>
        <v>0</v>
      </c>
      <c r="AB158" s="50">
        <f t="shared" si="39"/>
        <v>0</v>
      </c>
      <c r="AC158" s="50">
        <f t="shared" si="35"/>
        <v>0</v>
      </c>
      <c r="AD158" s="50">
        <f t="shared" si="30"/>
        <v>0</v>
      </c>
      <c r="AE158">
        <f t="shared" si="36"/>
        <v>30</v>
      </c>
      <c r="AF158" s="12">
        <f>LCOE!E184+LCOE!D$40</f>
        <v>0</v>
      </c>
      <c r="AG158">
        <f t="shared" si="31"/>
        <v>1</v>
      </c>
      <c r="AH158" s="16">
        <f t="shared" si="40"/>
        <v>25225000</v>
      </c>
      <c r="AI158" s="16">
        <f t="shared" si="41"/>
        <v>0</v>
      </c>
      <c r="AJ158" s="16">
        <f t="shared" si="42"/>
        <v>0</v>
      </c>
      <c r="AK158" s="16">
        <f t="shared" si="43"/>
        <v>0</v>
      </c>
      <c r="AL158" s="16">
        <f t="shared" si="32"/>
        <v>0</v>
      </c>
      <c r="AM158" s="16">
        <f t="shared" si="33"/>
        <v>0</v>
      </c>
      <c r="AN158" s="16">
        <f>IF(LCOE!D$14&gt;0,G158,H158)/AG158</f>
        <v>0</v>
      </c>
    </row>
    <row r="159" spans="1:40">
      <c r="A159">
        <v>89</v>
      </c>
      <c r="C159" s="16">
        <f>LCOE!D185+IF(AND(LCOE!D$26&gt;0,A159&gt;=LCOE!D$26,A159&lt;=(LCOE!D$26+LCOE!D$27-1)),LCOE!D$42/LCOE!D$27,0)+IF(AND(AE159&gt;=LCOE!D$16,COUNTIF(AE134:AE159,LCOE!D$16)=LCOE!D$36+1),LCOE!D$35*LCOE!D$38,0)</f>
        <v>25225000</v>
      </c>
      <c r="D159" s="16">
        <f>IF(AE158&lt;LCOE!D$16,1,0)</f>
        <v>0</v>
      </c>
      <c r="E159" s="12">
        <f>LCOE!G185+IF(AND(A159&gt;=LCOE!D$26,A159&lt;=(LCOE!D$26+LCOE!D$27-1)),0,1)*IF(A159=LCOE!D$34,0,1)*D159</f>
        <v>0</v>
      </c>
      <c r="F159" s="12">
        <f>IF(F158&lt;LCOE!D$18,MIN(F158*(1+LCOE!D$19),LCOE!D$18),LCOE!D$18)+LCOE!J185</f>
        <v>0.9</v>
      </c>
      <c r="G159" s="16">
        <f>LCOE!K185+E159*F159*N159*(LCOE!D$14+LCOE!H185)*24*365*D159</f>
        <v>0</v>
      </c>
      <c r="H159" s="16">
        <f>LCOE!L185+F159*(LCOE!D$15+LCOE!I185)*E159*24*365*D159*N159</f>
        <v>0</v>
      </c>
      <c r="I159" s="16">
        <f>LCOE!M185+LCOE!D$20*IF(LCOE!D$14&gt;0,(LCOE!D$14+LCOE!H185),(LCOE!D$15+LCOE!I185))*K159*D159</f>
        <v>0</v>
      </c>
      <c r="J159" s="16">
        <f>LCOE!N185+LCOE!D$21*IF(LCOE!D$14&gt;0,G159,H159)*K159*D159</f>
        <v>0</v>
      </c>
      <c r="K159" s="15">
        <f>LCOE!O185+K158+K158*LCOE!D$22</f>
        <v>1</v>
      </c>
      <c r="L159" s="16">
        <f>LCOE!P185+LCOE!D$23*IF(LCOE!D$14&gt;0,G159,H159)*M159*D159</f>
        <v>0</v>
      </c>
      <c r="M159" s="15">
        <f>LCOE!Q185+M158+M158*LCOE!D$24</f>
        <v>1</v>
      </c>
      <c r="N159" s="15">
        <f>LCOE!R185+N158-N158*LCOE!D$25</f>
        <v>1</v>
      </c>
      <c r="O159" s="18">
        <f>LCOE!S185+LCOE!D$29</f>
        <v>313.75</v>
      </c>
      <c r="P159" s="12">
        <f>LCOE!T185+IF(A159&gt;=LCOE!D$30,100%,0%)</f>
        <v>1</v>
      </c>
      <c r="Q159" s="16">
        <f>LCOE!U185+O159/1000*IF(LCOE!D$14&gt;0,G159,H159)</f>
        <v>0</v>
      </c>
      <c r="R159" s="16">
        <f>LCOE!B185</f>
        <v>30</v>
      </c>
      <c r="S159" s="16">
        <f>LCOE!V185+Q159*P159*R159</f>
        <v>0</v>
      </c>
      <c r="T159" s="16">
        <f>LCOE!W185+LCOE!D$31</f>
        <v>0</v>
      </c>
      <c r="U159" s="16">
        <f>LCOE!X185+T159*IF(LCOE!D$14&gt;0,G159,H159)</f>
        <v>0</v>
      </c>
      <c r="V159" s="16">
        <f>LCOE!Y185+LCOE!D$32</f>
        <v>0</v>
      </c>
      <c r="W159" s="16">
        <f>LCOE!Z185+V159*IF(LCOE!D$14&gt;0,G159,H159)</f>
        <v>0</v>
      </c>
      <c r="X159" s="16">
        <f>LCOE!AA185+LCOE!D$34</f>
        <v>101</v>
      </c>
      <c r="Y159" s="16">
        <f t="shared" si="34"/>
        <v>0</v>
      </c>
      <c r="Z159" s="50">
        <f t="shared" si="37"/>
        <v>25225000</v>
      </c>
      <c r="AA159" s="50">
        <f t="shared" si="38"/>
        <v>0</v>
      </c>
      <c r="AB159" s="50">
        <f t="shared" si="39"/>
        <v>0</v>
      </c>
      <c r="AC159" s="50">
        <f t="shared" si="35"/>
        <v>0</v>
      </c>
      <c r="AD159" s="50">
        <f t="shared" si="30"/>
        <v>0</v>
      </c>
      <c r="AE159">
        <f t="shared" si="36"/>
        <v>30</v>
      </c>
      <c r="AF159" s="12">
        <f>LCOE!E185+LCOE!D$40</f>
        <v>0</v>
      </c>
      <c r="AG159">
        <f t="shared" si="31"/>
        <v>1</v>
      </c>
      <c r="AH159" s="16">
        <f t="shared" si="40"/>
        <v>25225000</v>
      </c>
      <c r="AI159" s="16">
        <f t="shared" si="41"/>
        <v>0</v>
      </c>
      <c r="AJ159" s="16">
        <f t="shared" si="42"/>
        <v>0</v>
      </c>
      <c r="AK159" s="16">
        <f t="shared" si="43"/>
        <v>0</v>
      </c>
      <c r="AL159" s="16">
        <f t="shared" si="32"/>
        <v>0</v>
      </c>
      <c r="AM159" s="16">
        <f t="shared" si="33"/>
        <v>0</v>
      </c>
      <c r="AN159" s="16">
        <f>IF(LCOE!D$14&gt;0,G159,H159)/AG159</f>
        <v>0</v>
      </c>
    </row>
    <row r="160" spans="1:40">
      <c r="A160">
        <v>90</v>
      </c>
      <c r="C160" s="16">
        <f>LCOE!D186+IF(AND(LCOE!D$26&gt;0,A160&gt;=LCOE!D$26,A160&lt;=(LCOE!D$26+LCOE!D$27-1)),LCOE!D$42/LCOE!D$27,0)+IF(AND(AE160&gt;=LCOE!D$16,COUNTIF(AE135:AE160,LCOE!D$16)=LCOE!D$36+1),LCOE!D$35*LCOE!D$38,0)</f>
        <v>25225000</v>
      </c>
      <c r="D160" s="16">
        <f>IF(AE159&lt;LCOE!D$16,1,0)</f>
        <v>0</v>
      </c>
      <c r="E160" s="12">
        <f>LCOE!G186+IF(AND(A160&gt;=LCOE!D$26,A160&lt;=(LCOE!D$26+LCOE!D$27-1)),0,1)*IF(A160=LCOE!D$34,0,1)*D160</f>
        <v>0</v>
      </c>
      <c r="F160" s="12">
        <f>IF(F159&lt;LCOE!D$18,MIN(F159*(1+LCOE!D$19),LCOE!D$18),LCOE!D$18)+LCOE!J186</f>
        <v>0.9</v>
      </c>
      <c r="G160" s="16">
        <f>LCOE!K186+E160*F160*N160*(LCOE!D$14+LCOE!H186)*24*365*D160</f>
        <v>0</v>
      </c>
      <c r="H160" s="16">
        <f>LCOE!L186+F160*(LCOE!D$15+LCOE!I186)*E160*24*365*D160*N160</f>
        <v>0</v>
      </c>
      <c r="I160" s="16">
        <f>LCOE!M186+LCOE!D$20*IF(LCOE!D$14&gt;0,(LCOE!D$14+LCOE!H186),(LCOE!D$15+LCOE!I186))*K160*D160</f>
        <v>0</v>
      </c>
      <c r="J160" s="16">
        <f>LCOE!N186+LCOE!D$21*IF(LCOE!D$14&gt;0,G160,H160)*K160*D160</f>
        <v>0</v>
      </c>
      <c r="K160" s="15">
        <f>LCOE!O186+K159+K159*LCOE!D$22</f>
        <v>1</v>
      </c>
      <c r="L160" s="16">
        <f>LCOE!P186+LCOE!D$23*IF(LCOE!D$14&gt;0,G160,H160)*M160*D160</f>
        <v>0</v>
      </c>
      <c r="M160" s="15">
        <f>LCOE!Q186+M159+M159*LCOE!D$24</f>
        <v>1</v>
      </c>
      <c r="N160" s="15">
        <f>LCOE!R186+N159-N159*LCOE!D$25</f>
        <v>1</v>
      </c>
      <c r="O160" s="18">
        <f>LCOE!S186+LCOE!D$29</f>
        <v>313.75</v>
      </c>
      <c r="P160" s="12">
        <f>LCOE!T186+IF(A160&gt;=LCOE!D$30,100%,0%)</f>
        <v>1</v>
      </c>
      <c r="Q160" s="16">
        <f>LCOE!U186+O160/1000*IF(LCOE!D$14&gt;0,G160,H160)</f>
        <v>0</v>
      </c>
      <c r="R160" s="16">
        <f>LCOE!B186</f>
        <v>30</v>
      </c>
      <c r="S160" s="16">
        <f>LCOE!V186+Q160*P160*R160</f>
        <v>0</v>
      </c>
      <c r="T160" s="16">
        <f>LCOE!W186+LCOE!D$31</f>
        <v>0</v>
      </c>
      <c r="U160" s="16">
        <f>LCOE!X186+T160*IF(LCOE!D$14&gt;0,G160,H160)</f>
        <v>0</v>
      </c>
      <c r="V160" s="16">
        <f>LCOE!Y186+LCOE!D$32</f>
        <v>0</v>
      </c>
      <c r="W160" s="16">
        <f>LCOE!Z186+V160*IF(LCOE!D$14&gt;0,G160,H160)</f>
        <v>0</v>
      </c>
      <c r="X160" s="16">
        <f>LCOE!AA186+LCOE!D$34</f>
        <v>101</v>
      </c>
      <c r="Y160" s="16">
        <f t="shared" si="34"/>
        <v>0</v>
      </c>
      <c r="Z160" s="50">
        <f t="shared" si="37"/>
        <v>25225000</v>
      </c>
      <c r="AA160" s="50">
        <f t="shared" si="38"/>
        <v>0</v>
      </c>
      <c r="AB160" s="50">
        <f t="shared" si="39"/>
        <v>0</v>
      </c>
      <c r="AC160" s="50">
        <f t="shared" si="35"/>
        <v>0</v>
      </c>
      <c r="AD160" s="50">
        <f t="shared" si="30"/>
        <v>0</v>
      </c>
      <c r="AE160">
        <f t="shared" si="36"/>
        <v>30</v>
      </c>
      <c r="AF160" s="12">
        <f>LCOE!E186+LCOE!D$40</f>
        <v>0</v>
      </c>
      <c r="AG160">
        <f t="shared" si="31"/>
        <v>1</v>
      </c>
      <c r="AH160" s="16">
        <f t="shared" si="40"/>
        <v>25225000</v>
      </c>
      <c r="AI160" s="16">
        <f t="shared" si="41"/>
        <v>0</v>
      </c>
      <c r="AJ160" s="16">
        <f t="shared" si="42"/>
        <v>0</v>
      </c>
      <c r="AK160" s="16">
        <f t="shared" si="43"/>
        <v>0</v>
      </c>
      <c r="AL160" s="16">
        <f t="shared" si="32"/>
        <v>0</v>
      </c>
      <c r="AM160" s="16">
        <f t="shared" si="33"/>
        <v>0</v>
      </c>
      <c r="AN160" s="16">
        <f>IF(LCOE!D$14&gt;0,G160,H160)/AG160</f>
        <v>0</v>
      </c>
    </row>
    <row r="161" spans="1:40">
      <c r="A161">
        <v>91</v>
      </c>
      <c r="C161" s="16">
        <f>LCOE!D187+IF(AND(LCOE!D$26&gt;0,A161&gt;=LCOE!D$26,A161&lt;=(LCOE!D$26+LCOE!D$27-1)),LCOE!D$42/LCOE!D$27,0)+IF(AND(AE161&gt;=LCOE!D$16,COUNTIF(AE136:AE161,LCOE!D$16)=LCOE!D$36+1),LCOE!D$35*LCOE!D$38,0)</f>
        <v>25225000</v>
      </c>
      <c r="D161" s="16">
        <f>IF(AE160&lt;LCOE!D$16,1,0)</f>
        <v>0</v>
      </c>
      <c r="E161" s="12">
        <f>LCOE!G187+IF(AND(A161&gt;=LCOE!D$26,A161&lt;=(LCOE!D$26+LCOE!D$27-1)),0,1)*IF(A161=LCOE!D$34,0,1)*D161</f>
        <v>0</v>
      </c>
      <c r="F161" s="12">
        <f>IF(F160&lt;LCOE!D$18,MIN(F160*(1+LCOE!D$19),LCOE!D$18),LCOE!D$18)+LCOE!J187</f>
        <v>0.9</v>
      </c>
      <c r="G161" s="16">
        <f>LCOE!K187+E161*F161*N161*(LCOE!D$14+LCOE!H187)*24*365*D161</f>
        <v>0</v>
      </c>
      <c r="H161" s="16">
        <f>LCOE!L187+F161*(LCOE!D$15+LCOE!I187)*E161*24*365*D161*N161</f>
        <v>0</v>
      </c>
      <c r="I161" s="16">
        <f>LCOE!M187+LCOE!D$20*IF(LCOE!D$14&gt;0,(LCOE!D$14+LCOE!H187),(LCOE!D$15+LCOE!I187))*K161*D161</f>
        <v>0</v>
      </c>
      <c r="J161" s="16">
        <f>LCOE!N187+LCOE!D$21*IF(LCOE!D$14&gt;0,G161,H161)*K161*D161</f>
        <v>0</v>
      </c>
      <c r="K161" s="15">
        <f>LCOE!O187+K160+K160*LCOE!D$22</f>
        <v>1</v>
      </c>
      <c r="L161" s="16">
        <f>LCOE!P187+LCOE!D$23*IF(LCOE!D$14&gt;0,G161,H161)*M161*D161</f>
        <v>0</v>
      </c>
      <c r="M161" s="15">
        <f>LCOE!Q187+M160+M160*LCOE!D$24</f>
        <v>1</v>
      </c>
      <c r="N161" s="15">
        <f>LCOE!R187+N160-N160*LCOE!D$25</f>
        <v>1</v>
      </c>
      <c r="O161" s="18">
        <f>LCOE!S187+LCOE!D$29</f>
        <v>313.75</v>
      </c>
      <c r="P161" s="12">
        <f>LCOE!T187+IF(A161&gt;=LCOE!D$30,100%,0%)</f>
        <v>1</v>
      </c>
      <c r="Q161" s="16">
        <f>LCOE!U187+O161/1000*IF(LCOE!D$14&gt;0,G161,H161)</f>
        <v>0</v>
      </c>
      <c r="R161" s="16">
        <f>LCOE!B187</f>
        <v>30</v>
      </c>
      <c r="S161" s="16">
        <f>LCOE!V187+Q161*P161*R161</f>
        <v>0</v>
      </c>
      <c r="T161" s="16">
        <f>LCOE!W187+LCOE!D$31</f>
        <v>0</v>
      </c>
      <c r="U161" s="16">
        <f>LCOE!X187+T161*IF(LCOE!D$14&gt;0,G161,H161)</f>
        <v>0</v>
      </c>
      <c r="V161" s="16">
        <f>LCOE!Y187+LCOE!D$32</f>
        <v>0</v>
      </c>
      <c r="W161" s="16">
        <f>LCOE!Z187+V161*IF(LCOE!D$14&gt;0,G161,H161)</f>
        <v>0</v>
      </c>
      <c r="X161" s="16">
        <f>LCOE!AA187+LCOE!D$34</f>
        <v>101</v>
      </c>
      <c r="Y161" s="16">
        <f t="shared" si="34"/>
        <v>0</v>
      </c>
      <c r="Z161" s="50">
        <f t="shared" si="37"/>
        <v>25225000</v>
      </c>
      <c r="AA161" s="50">
        <f t="shared" si="38"/>
        <v>0</v>
      </c>
      <c r="AB161" s="50">
        <f t="shared" si="39"/>
        <v>0</v>
      </c>
      <c r="AC161" s="50">
        <f t="shared" si="35"/>
        <v>0</v>
      </c>
      <c r="AD161" s="50">
        <f t="shared" si="30"/>
        <v>0</v>
      </c>
      <c r="AE161">
        <f t="shared" si="36"/>
        <v>30</v>
      </c>
      <c r="AF161" s="12">
        <f>LCOE!E187+LCOE!D$40</f>
        <v>0</v>
      </c>
      <c r="AG161">
        <f t="shared" si="31"/>
        <v>1</v>
      </c>
      <c r="AH161" s="16">
        <f t="shared" si="40"/>
        <v>25225000</v>
      </c>
      <c r="AI161" s="16">
        <f t="shared" si="41"/>
        <v>0</v>
      </c>
      <c r="AJ161" s="16">
        <f t="shared" si="42"/>
        <v>0</v>
      </c>
      <c r="AK161" s="16">
        <f t="shared" si="43"/>
        <v>0</v>
      </c>
      <c r="AL161" s="16">
        <f t="shared" si="32"/>
        <v>0</v>
      </c>
      <c r="AM161" s="16">
        <f t="shared" si="33"/>
        <v>0</v>
      </c>
      <c r="AN161" s="16">
        <f>IF(LCOE!D$14&gt;0,G161,H161)/AG161</f>
        <v>0</v>
      </c>
    </row>
    <row r="162" spans="1:40">
      <c r="A162">
        <v>92</v>
      </c>
      <c r="C162" s="16">
        <f>LCOE!D188+IF(AND(LCOE!D$26&gt;0,A162&gt;=LCOE!D$26,A162&lt;=(LCOE!D$26+LCOE!D$27-1)),LCOE!D$42/LCOE!D$27,0)+IF(AND(AE162&gt;=LCOE!D$16,COUNTIF(AE137:AE162,LCOE!D$16)=LCOE!D$36+1),LCOE!D$35*LCOE!D$38,0)</f>
        <v>25225000</v>
      </c>
      <c r="D162" s="16">
        <f>IF(AE161&lt;LCOE!D$16,1,0)</f>
        <v>0</v>
      </c>
      <c r="E162" s="12">
        <f>LCOE!G188+IF(AND(A162&gt;=LCOE!D$26,A162&lt;=(LCOE!D$26+LCOE!D$27-1)),0,1)*IF(A162=LCOE!D$34,0,1)*D162</f>
        <v>0</v>
      </c>
      <c r="F162" s="12">
        <f>IF(F161&lt;LCOE!D$18,MIN(F161*(1+LCOE!D$19),LCOE!D$18),LCOE!D$18)+LCOE!J188</f>
        <v>0.9</v>
      </c>
      <c r="G162" s="16">
        <f>LCOE!K188+E162*F162*N162*(LCOE!D$14+LCOE!H188)*24*365*D162</f>
        <v>0</v>
      </c>
      <c r="H162" s="16">
        <f>LCOE!L188+F162*(LCOE!D$15+LCOE!I188)*E162*24*365*D162*N162</f>
        <v>0</v>
      </c>
      <c r="I162" s="16">
        <f>LCOE!M188+LCOE!D$20*IF(LCOE!D$14&gt;0,(LCOE!D$14+LCOE!H188),(LCOE!D$15+LCOE!I188))*K162*D162</f>
        <v>0</v>
      </c>
      <c r="J162" s="16">
        <f>LCOE!N188+LCOE!D$21*IF(LCOE!D$14&gt;0,G162,H162)*K162*D162</f>
        <v>0</v>
      </c>
      <c r="K162" s="15">
        <f>LCOE!O188+K161+K161*LCOE!D$22</f>
        <v>1</v>
      </c>
      <c r="L162" s="16">
        <f>LCOE!P188+LCOE!D$23*IF(LCOE!D$14&gt;0,G162,H162)*M162*D162</f>
        <v>0</v>
      </c>
      <c r="M162" s="15">
        <f>LCOE!Q188+M161+M161*LCOE!D$24</f>
        <v>1</v>
      </c>
      <c r="N162" s="15">
        <f>LCOE!R188+N161-N161*LCOE!D$25</f>
        <v>1</v>
      </c>
      <c r="O162" s="18">
        <f>LCOE!S188+LCOE!D$29</f>
        <v>313.75</v>
      </c>
      <c r="P162" s="12">
        <f>LCOE!T188+IF(A162&gt;=LCOE!D$30,100%,0%)</f>
        <v>1</v>
      </c>
      <c r="Q162" s="16">
        <f>LCOE!U188+O162/1000*IF(LCOE!D$14&gt;0,G162,H162)</f>
        <v>0</v>
      </c>
      <c r="R162" s="16">
        <f>LCOE!B188</f>
        <v>30</v>
      </c>
      <c r="S162" s="16">
        <f>LCOE!V188+Q162*P162*R162</f>
        <v>0</v>
      </c>
      <c r="T162" s="16">
        <f>LCOE!W188+LCOE!D$31</f>
        <v>0</v>
      </c>
      <c r="U162" s="16">
        <f>LCOE!X188+T162*IF(LCOE!D$14&gt;0,G162,H162)</f>
        <v>0</v>
      </c>
      <c r="V162" s="16">
        <f>LCOE!Y188+LCOE!D$32</f>
        <v>0</v>
      </c>
      <c r="W162" s="16">
        <f>LCOE!Z188+V162*IF(LCOE!D$14&gt;0,G162,H162)</f>
        <v>0</v>
      </c>
      <c r="X162" s="16">
        <f>LCOE!AA188+LCOE!D$34</f>
        <v>101</v>
      </c>
      <c r="Y162" s="16">
        <f t="shared" si="34"/>
        <v>0</v>
      </c>
      <c r="Z162" s="50">
        <f t="shared" si="37"/>
        <v>25225000</v>
      </c>
      <c r="AA162" s="50">
        <f t="shared" si="38"/>
        <v>0</v>
      </c>
      <c r="AB162" s="50">
        <f t="shared" si="39"/>
        <v>0</v>
      </c>
      <c r="AC162" s="50">
        <f t="shared" si="35"/>
        <v>0</v>
      </c>
      <c r="AD162" s="50">
        <f t="shared" si="30"/>
        <v>0</v>
      </c>
      <c r="AE162">
        <f t="shared" si="36"/>
        <v>30</v>
      </c>
      <c r="AF162" s="12">
        <f>LCOE!E188+LCOE!D$40</f>
        <v>0</v>
      </c>
      <c r="AG162">
        <f t="shared" si="31"/>
        <v>1</v>
      </c>
      <c r="AH162" s="16">
        <f t="shared" si="40"/>
        <v>25225000</v>
      </c>
      <c r="AI162" s="16">
        <f t="shared" si="41"/>
        <v>0</v>
      </c>
      <c r="AJ162" s="16">
        <f t="shared" si="42"/>
        <v>0</v>
      </c>
      <c r="AK162" s="16">
        <f t="shared" si="43"/>
        <v>0</v>
      </c>
      <c r="AL162" s="16">
        <f t="shared" si="32"/>
        <v>0</v>
      </c>
      <c r="AM162" s="16">
        <f t="shared" si="33"/>
        <v>0</v>
      </c>
      <c r="AN162" s="16">
        <f>IF(LCOE!D$14&gt;0,G162,H162)/AG162</f>
        <v>0</v>
      </c>
    </row>
    <row r="163" spans="1:40">
      <c r="A163">
        <v>93</v>
      </c>
      <c r="C163" s="16">
        <f>LCOE!D189+IF(AND(LCOE!D$26&gt;0,A163&gt;=LCOE!D$26,A163&lt;=(LCOE!D$26+LCOE!D$27-1)),LCOE!D$42/LCOE!D$27,0)+IF(AND(AE163&gt;=LCOE!D$16,COUNTIF(AE138:AE163,LCOE!D$16)=LCOE!D$36+1),LCOE!D$35*LCOE!D$38,0)</f>
        <v>25225000</v>
      </c>
      <c r="D163" s="16">
        <f>IF(AE162&lt;LCOE!D$16,1,0)</f>
        <v>0</v>
      </c>
      <c r="E163" s="12">
        <f>LCOE!G189+IF(AND(A163&gt;=LCOE!D$26,A163&lt;=(LCOE!D$26+LCOE!D$27-1)),0,1)*IF(A163=LCOE!D$34,0,1)*D163</f>
        <v>0</v>
      </c>
      <c r="F163" s="12">
        <f>IF(F162&lt;LCOE!D$18,MIN(F162*(1+LCOE!D$19),LCOE!D$18),LCOE!D$18)+LCOE!J189</f>
        <v>0.9</v>
      </c>
      <c r="G163" s="16">
        <f>LCOE!K189+E163*F163*N163*(LCOE!D$14+LCOE!H189)*24*365*D163</f>
        <v>0</v>
      </c>
      <c r="H163" s="16">
        <f>LCOE!L189+F163*(LCOE!D$15+LCOE!I189)*E163*24*365*D163*N163</f>
        <v>0</v>
      </c>
      <c r="I163" s="16">
        <f>LCOE!M189+LCOE!D$20*IF(LCOE!D$14&gt;0,(LCOE!D$14+LCOE!H189),(LCOE!D$15+LCOE!I189))*K163*D163</f>
        <v>0</v>
      </c>
      <c r="J163" s="16">
        <f>LCOE!N189+LCOE!D$21*IF(LCOE!D$14&gt;0,G163,H163)*K163*D163</f>
        <v>0</v>
      </c>
      <c r="K163" s="15">
        <f>LCOE!O189+K162+K162*LCOE!D$22</f>
        <v>1</v>
      </c>
      <c r="L163" s="16">
        <f>LCOE!P189+LCOE!D$23*IF(LCOE!D$14&gt;0,G163,H163)*M163*D163</f>
        <v>0</v>
      </c>
      <c r="M163" s="15">
        <f>LCOE!Q189+M162+M162*LCOE!D$24</f>
        <v>1</v>
      </c>
      <c r="N163" s="15">
        <f>LCOE!R189+N162-N162*LCOE!D$25</f>
        <v>1</v>
      </c>
      <c r="O163" s="18">
        <f>LCOE!S189+LCOE!D$29</f>
        <v>313.75</v>
      </c>
      <c r="P163" s="12">
        <f>LCOE!T189+IF(A163&gt;=LCOE!D$30,100%,0%)</f>
        <v>1</v>
      </c>
      <c r="Q163" s="16">
        <f>LCOE!U189+O163/1000*IF(LCOE!D$14&gt;0,G163,H163)</f>
        <v>0</v>
      </c>
      <c r="R163" s="16">
        <f>LCOE!B189</f>
        <v>30</v>
      </c>
      <c r="S163" s="16">
        <f>LCOE!V189+Q163*P163*R163</f>
        <v>0</v>
      </c>
      <c r="T163" s="16">
        <f>LCOE!W189+LCOE!D$31</f>
        <v>0</v>
      </c>
      <c r="U163" s="16">
        <f>LCOE!X189+T163*IF(LCOE!D$14&gt;0,G163,H163)</f>
        <v>0</v>
      </c>
      <c r="V163" s="16">
        <f>LCOE!Y189+LCOE!D$32</f>
        <v>0</v>
      </c>
      <c r="W163" s="16">
        <f>LCOE!Z189+V163*IF(LCOE!D$14&gt;0,G163,H163)</f>
        <v>0</v>
      </c>
      <c r="X163" s="16">
        <f>LCOE!AA189+LCOE!D$34</f>
        <v>101</v>
      </c>
      <c r="Y163" s="16">
        <f t="shared" si="34"/>
        <v>0</v>
      </c>
      <c r="Z163" s="50">
        <f t="shared" si="37"/>
        <v>25225000</v>
      </c>
      <c r="AA163" s="50">
        <f t="shared" si="38"/>
        <v>0</v>
      </c>
      <c r="AB163" s="50">
        <f t="shared" si="39"/>
        <v>0</v>
      </c>
      <c r="AC163" s="50">
        <f t="shared" si="35"/>
        <v>0</v>
      </c>
      <c r="AD163" s="50">
        <f t="shared" si="30"/>
        <v>0</v>
      </c>
      <c r="AE163">
        <f t="shared" si="36"/>
        <v>30</v>
      </c>
      <c r="AF163" s="12">
        <f>LCOE!E189+LCOE!D$40</f>
        <v>0</v>
      </c>
      <c r="AG163">
        <f t="shared" si="31"/>
        <v>1</v>
      </c>
      <c r="AH163" s="16">
        <f t="shared" si="40"/>
        <v>25225000</v>
      </c>
      <c r="AI163" s="16">
        <f t="shared" si="41"/>
        <v>0</v>
      </c>
      <c r="AJ163" s="16">
        <f t="shared" si="42"/>
        <v>0</v>
      </c>
      <c r="AK163" s="16">
        <f t="shared" si="43"/>
        <v>0</v>
      </c>
      <c r="AL163" s="16">
        <f t="shared" si="32"/>
        <v>0</v>
      </c>
      <c r="AM163" s="16">
        <f t="shared" si="33"/>
        <v>0</v>
      </c>
      <c r="AN163" s="16">
        <f>IF(LCOE!D$14&gt;0,G163,H163)/AG163</f>
        <v>0</v>
      </c>
    </row>
    <row r="164" spans="1:40">
      <c r="A164">
        <v>94</v>
      </c>
      <c r="C164" s="16">
        <f>LCOE!D190+IF(AND(LCOE!D$26&gt;0,A164&gt;=LCOE!D$26,A164&lt;=(LCOE!D$26+LCOE!D$27-1)),LCOE!D$42/LCOE!D$27,0)+IF(AND(AE164&gt;=LCOE!D$16,COUNTIF(AE139:AE164,LCOE!D$16)=LCOE!D$36+1),LCOE!D$35*LCOE!D$38,0)</f>
        <v>25225000</v>
      </c>
      <c r="D164" s="16">
        <f>IF(AE163&lt;LCOE!D$16,1,0)</f>
        <v>0</v>
      </c>
      <c r="E164" s="12">
        <f>LCOE!G190+IF(AND(A164&gt;=LCOE!D$26,A164&lt;=(LCOE!D$26+LCOE!D$27-1)),0,1)*IF(A164=LCOE!D$34,0,1)*D164</f>
        <v>0</v>
      </c>
      <c r="F164" s="12">
        <f>IF(F163&lt;LCOE!D$18,MIN(F163*(1+LCOE!D$19),LCOE!D$18),LCOE!D$18)+LCOE!J190</f>
        <v>0.9</v>
      </c>
      <c r="G164" s="16">
        <f>LCOE!K190+E164*F164*N164*(LCOE!D$14+LCOE!H190)*24*365*D164</f>
        <v>0</v>
      </c>
      <c r="H164" s="16">
        <f>LCOE!L190+F164*(LCOE!D$15+LCOE!I190)*E164*24*365*D164*N164</f>
        <v>0</v>
      </c>
      <c r="I164" s="16">
        <f>LCOE!M190+LCOE!D$20*IF(LCOE!D$14&gt;0,(LCOE!D$14+LCOE!H190),(LCOE!D$15+LCOE!I190))*K164*D164</f>
        <v>0</v>
      </c>
      <c r="J164" s="16">
        <f>LCOE!N190+LCOE!D$21*IF(LCOE!D$14&gt;0,G164,H164)*K164*D164</f>
        <v>0</v>
      </c>
      <c r="K164" s="15">
        <f>LCOE!O190+K163+K163*LCOE!D$22</f>
        <v>1</v>
      </c>
      <c r="L164" s="16">
        <f>LCOE!P190+LCOE!D$23*IF(LCOE!D$14&gt;0,G164,H164)*M164*D164</f>
        <v>0</v>
      </c>
      <c r="M164" s="15">
        <f>LCOE!Q190+M163+M163*LCOE!D$24</f>
        <v>1</v>
      </c>
      <c r="N164" s="15">
        <f>LCOE!R190+N163-N163*LCOE!D$25</f>
        <v>1</v>
      </c>
      <c r="O164" s="18">
        <f>LCOE!S190+LCOE!D$29</f>
        <v>313.75</v>
      </c>
      <c r="P164" s="12">
        <f>LCOE!T190+IF(A164&gt;=LCOE!D$30,100%,0%)</f>
        <v>1</v>
      </c>
      <c r="Q164" s="16">
        <f>LCOE!U190+O164/1000*IF(LCOE!D$14&gt;0,G164,H164)</f>
        <v>0</v>
      </c>
      <c r="R164" s="16">
        <f>LCOE!B190</f>
        <v>30</v>
      </c>
      <c r="S164" s="16">
        <f>LCOE!V190+Q164*P164*R164</f>
        <v>0</v>
      </c>
      <c r="T164" s="16">
        <f>LCOE!W190+LCOE!D$31</f>
        <v>0</v>
      </c>
      <c r="U164" s="16">
        <f>LCOE!X190+T164*IF(LCOE!D$14&gt;0,G164,H164)</f>
        <v>0</v>
      </c>
      <c r="V164" s="16">
        <f>LCOE!Y190+LCOE!D$32</f>
        <v>0</v>
      </c>
      <c r="W164" s="16">
        <f>LCOE!Z190+V164*IF(LCOE!D$14&gt;0,G164,H164)</f>
        <v>0</v>
      </c>
      <c r="X164" s="16">
        <f>LCOE!AA190+LCOE!D$34</f>
        <v>101</v>
      </c>
      <c r="Y164" s="16">
        <f t="shared" si="34"/>
        <v>0</v>
      </c>
      <c r="Z164" s="50">
        <f t="shared" si="37"/>
        <v>25225000</v>
      </c>
      <c r="AA164" s="50">
        <f t="shared" si="38"/>
        <v>0</v>
      </c>
      <c r="AB164" s="50">
        <f t="shared" si="39"/>
        <v>0</v>
      </c>
      <c r="AC164" s="50">
        <f t="shared" si="35"/>
        <v>0</v>
      </c>
      <c r="AD164" s="50">
        <f t="shared" si="30"/>
        <v>0</v>
      </c>
      <c r="AE164">
        <f t="shared" si="36"/>
        <v>30</v>
      </c>
      <c r="AF164" s="12">
        <f>LCOE!E190+LCOE!D$40</f>
        <v>0</v>
      </c>
      <c r="AG164">
        <f t="shared" si="31"/>
        <v>1</v>
      </c>
      <c r="AH164" s="16">
        <f t="shared" si="40"/>
        <v>25225000</v>
      </c>
      <c r="AI164" s="16">
        <f t="shared" si="41"/>
        <v>0</v>
      </c>
      <c r="AJ164" s="16">
        <f t="shared" si="42"/>
        <v>0</v>
      </c>
      <c r="AK164" s="16">
        <f t="shared" si="43"/>
        <v>0</v>
      </c>
      <c r="AL164" s="16">
        <f t="shared" si="32"/>
        <v>0</v>
      </c>
      <c r="AM164" s="16">
        <f t="shared" si="33"/>
        <v>0</v>
      </c>
      <c r="AN164" s="16">
        <f>IF(LCOE!D$14&gt;0,G164,H164)/AG164</f>
        <v>0</v>
      </c>
    </row>
    <row r="165" spans="1:40">
      <c r="A165">
        <v>95</v>
      </c>
      <c r="C165" s="16">
        <f>LCOE!D191+IF(AND(LCOE!D$26&gt;0,A165&gt;=LCOE!D$26,A165&lt;=(LCOE!D$26+LCOE!D$27-1)),LCOE!D$42/LCOE!D$27,0)+IF(AND(AE165&gt;=LCOE!D$16,COUNTIF(AE140:AE165,LCOE!D$16)=LCOE!D$36+1),LCOE!D$35*LCOE!D$38,0)</f>
        <v>25225000</v>
      </c>
      <c r="D165" s="16">
        <f>IF(AE164&lt;LCOE!D$16,1,0)</f>
        <v>0</v>
      </c>
      <c r="E165" s="12">
        <f>LCOE!G191+IF(AND(A165&gt;=LCOE!D$26,A165&lt;=(LCOE!D$26+LCOE!D$27-1)),0,1)*IF(A165=LCOE!D$34,0,1)*D165</f>
        <v>0</v>
      </c>
      <c r="F165" s="12">
        <f>IF(F164&lt;LCOE!D$18,MIN(F164*(1+LCOE!D$19),LCOE!D$18),LCOE!D$18)+LCOE!J191</f>
        <v>0.9</v>
      </c>
      <c r="G165" s="16">
        <f>LCOE!K191+E165*F165*N165*(LCOE!D$14+LCOE!H191)*24*365*D165</f>
        <v>0</v>
      </c>
      <c r="H165" s="16">
        <f>LCOE!L191+F165*(LCOE!D$15+LCOE!I191)*E165*24*365*D165*N165</f>
        <v>0</v>
      </c>
      <c r="I165" s="16">
        <f>LCOE!M191+LCOE!D$20*IF(LCOE!D$14&gt;0,(LCOE!D$14+LCOE!H191),(LCOE!D$15+LCOE!I191))*K165*D165</f>
        <v>0</v>
      </c>
      <c r="J165" s="16">
        <f>LCOE!N191+LCOE!D$21*IF(LCOE!D$14&gt;0,G165,H165)*K165*D165</f>
        <v>0</v>
      </c>
      <c r="K165" s="15">
        <f>LCOE!O191+K164+K164*LCOE!D$22</f>
        <v>1</v>
      </c>
      <c r="L165" s="16">
        <f>LCOE!P191+LCOE!D$23*IF(LCOE!D$14&gt;0,G165,H165)*M165*D165</f>
        <v>0</v>
      </c>
      <c r="M165" s="15">
        <f>LCOE!Q191+M164+M164*LCOE!D$24</f>
        <v>1</v>
      </c>
      <c r="N165" s="15">
        <f>LCOE!R191+N164-N164*LCOE!D$25</f>
        <v>1</v>
      </c>
      <c r="O165" s="18">
        <f>LCOE!S191+LCOE!D$29</f>
        <v>313.75</v>
      </c>
      <c r="P165" s="12">
        <f>LCOE!T191+IF(A165&gt;=LCOE!D$30,100%,0%)</f>
        <v>1</v>
      </c>
      <c r="Q165" s="16">
        <f>LCOE!U191+O165/1000*IF(LCOE!D$14&gt;0,G165,H165)</f>
        <v>0</v>
      </c>
      <c r="R165" s="16">
        <f>LCOE!B191</f>
        <v>30</v>
      </c>
      <c r="S165" s="16">
        <f>LCOE!V191+Q165*P165*R165</f>
        <v>0</v>
      </c>
      <c r="T165" s="16">
        <f>LCOE!W191+LCOE!D$31</f>
        <v>0</v>
      </c>
      <c r="U165" s="16">
        <f>LCOE!X191+T165*IF(LCOE!D$14&gt;0,G165,H165)</f>
        <v>0</v>
      </c>
      <c r="V165" s="16">
        <f>LCOE!Y191+LCOE!D$32</f>
        <v>0</v>
      </c>
      <c r="W165" s="16">
        <f>LCOE!Z191+V165*IF(LCOE!D$14&gt;0,G165,H165)</f>
        <v>0</v>
      </c>
      <c r="X165" s="16">
        <f>LCOE!AA191+LCOE!D$34</f>
        <v>101</v>
      </c>
      <c r="Y165" s="16">
        <f t="shared" si="34"/>
        <v>0</v>
      </c>
      <c r="Z165" s="50">
        <f t="shared" si="37"/>
        <v>25225000</v>
      </c>
      <c r="AA165" s="50">
        <f t="shared" si="38"/>
        <v>0</v>
      </c>
      <c r="AB165" s="50">
        <f t="shared" si="39"/>
        <v>0</v>
      </c>
      <c r="AC165" s="50">
        <f t="shared" si="35"/>
        <v>0</v>
      </c>
      <c r="AD165" s="50">
        <f t="shared" si="30"/>
        <v>0</v>
      </c>
      <c r="AE165">
        <f t="shared" si="36"/>
        <v>30</v>
      </c>
      <c r="AF165" s="12">
        <f>LCOE!E191+LCOE!D$40</f>
        <v>0</v>
      </c>
      <c r="AG165">
        <f t="shared" si="31"/>
        <v>1</v>
      </c>
      <c r="AH165" s="16">
        <f t="shared" si="40"/>
        <v>25225000</v>
      </c>
      <c r="AI165" s="16">
        <f t="shared" si="41"/>
        <v>0</v>
      </c>
      <c r="AJ165" s="16">
        <f t="shared" si="42"/>
        <v>0</v>
      </c>
      <c r="AK165" s="16">
        <f t="shared" si="43"/>
        <v>0</v>
      </c>
      <c r="AL165" s="16">
        <f t="shared" si="32"/>
        <v>0</v>
      </c>
      <c r="AM165" s="16">
        <f t="shared" si="33"/>
        <v>0</v>
      </c>
      <c r="AN165" s="16">
        <f>IF(LCOE!D$14&gt;0,G165,H165)/AG165</f>
        <v>0</v>
      </c>
    </row>
    <row r="166" spans="1:40">
      <c r="A166">
        <v>96</v>
      </c>
      <c r="C166" s="16">
        <f>LCOE!D192+IF(AND(LCOE!D$26&gt;0,A166&gt;=LCOE!D$26,A166&lt;=(LCOE!D$26+LCOE!D$27-1)),LCOE!D$42/LCOE!D$27,0)+IF(AND(AE166&gt;=LCOE!D$16,COUNTIF(AE141:AE166,LCOE!D$16)=LCOE!D$36+1),LCOE!D$35*LCOE!D$38,0)</f>
        <v>25225000</v>
      </c>
      <c r="D166" s="16">
        <f>IF(AE165&lt;LCOE!D$16,1,0)</f>
        <v>0</v>
      </c>
      <c r="E166" s="12">
        <f>LCOE!G192+IF(AND(A166&gt;=LCOE!D$26,A166&lt;=(LCOE!D$26+LCOE!D$27-1)),0,1)*IF(A166=LCOE!D$34,0,1)*D166</f>
        <v>0</v>
      </c>
      <c r="F166" s="12">
        <f>IF(F165&lt;LCOE!D$18,MIN(F165*(1+LCOE!D$19),LCOE!D$18),LCOE!D$18)+LCOE!J192</f>
        <v>0.9</v>
      </c>
      <c r="G166" s="16">
        <f>LCOE!K192+E166*F166*N166*(LCOE!D$14+LCOE!H192)*24*365*D166</f>
        <v>0</v>
      </c>
      <c r="H166" s="16">
        <f>LCOE!L192+F166*(LCOE!D$15+LCOE!I192)*E166*24*365*D166*N166</f>
        <v>0</v>
      </c>
      <c r="I166" s="16">
        <f>LCOE!M192+LCOE!D$20*IF(LCOE!D$14&gt;0,(LCOE!D$14+LCOE!H192),(LCOE!D$15+LCOE!I192))*K166*D166</f>
        <v>0</v>
      </c>
      <c r="J166" s="16">
        <f>LCOE!N192+LCOE!D$21*IF(LCOE!D$14&gt;0,G166,H166)*K166*D166</f>
        <v>0</v>
      </c>
      <c r="K166" s="15">
        <f>LCOE!O192+K165+K165*LCOE!D$22</f>
        <v>1</v>
      </c>
      <c r="L166" s="16">
        <f>LCOE!P192+LCOE!D$23*IF(LCOE!D$14&gt;0,G166,H166)*M166*D166</f>
        <v>0</v>
      </c>
      <c r="M166" s="15">
        <f>LCOE!Q192+M165+M165*LCOE!D$24</f>
        <v>1</v>
      </c>
      <c r="N166" s="15">
        <f>LCOE!R192+N165-N165*LCOE!D$25</f>
        <v>1</v>
      </c>
      <c r="O166" s="18">
        <f>LCOE!S192+LCOE!D$29</f>
        <v>313.75</v>
      </c>
      <c r="P166" s="12">
        <f>LCOE!T192+IF(A166&gt;=LCOE!D$30,100%,0%)</f>
        <v>1</v>
      </c>
      <c r="Q166" s="16">
        <f>LCOE!U192+O166/1000*IF(LCOE!D$14&gt;0,G166,H166)</f>
        <v>0</v>
      </c>
      <c r="R166" s="16">
        <f>LCOE!B192</f>
        <v>30</v>
      </c>
      <c r="S166" s="16">
        <f>LCOE!V192+Q166*P166*R166</f>
        <v>0</v>
      </c>
      <c r="T166" s="16">
        <f>LCOE!W192+LCOE!D$31</f>
        <v>0</v>
      </c>
      <c r="U166" s="16">
        <f>LCOE!X192+T166*IF(LCOE!D$14&gt;0,G166,H166)</f>
        <v>0</v>
      </c>
      <c r="V166" s="16">
        <f>LCOE!Y192+LCOE!D$32</f>
        <v>0</v>
      </c>
      <c r="W166" s="16">
        <f>LCOE!Z192+V166*IF(LCOE!D$14&gt;0,G166,H166)</f>
        <v>0</v>
      </c>
      <c r="X166" s="16">
        <f>LCOE!AA192+LCOE!D$34</f>
        <v>101</v>
      </c>
      <c r="Y166" s="16">
        <f t="shared" si="34"/>
        <v>0</v>
      </c>
      <c r="Z166" s="50">
        <f t="shared" si="37"/>
        <v>25225000</v>
      </c>
      <c r="AA166" s="50">
        <f t="shared" si="38"/>
        <v>0</v>
      </c>
      <c r="AB166" s="50">
        <f t="shared" si="39"/>
        <v>0</v>
      </c>
      <c r="AC166" s="50">
        <f t="shared" si="35"/>
        <v>0</v>
      </c>
      <c r="AD166" s="50">
        <f t="shared" si="30"/>
        <v>0</v>
      </c>
      <c r="AE166">
        <f t="shared" si="36"/>
        <v>30</v>
      </c>
      <c r="AF166" s="12">
        <f>LCOE!E192+LCOE!D$40</f>
        <v>0</v>
      </c>
      <c r="AG166">
        <f t="shared" si="31"/>
        <v>1</v>
      </c>
      <c r="AH166" s="16">
        <f t="shared" si="40"/>
        <v>25225000</v>
      </c>
      <c r="AI166" s="16">
        <f t="shared" si="41"/>
        <v>0</v>
      </c>
      <c r="AJ166" s="16">
        <f t="shared" si="42"/>
        <v>0</v>
      </c>
      <c r="AK166" s="16">
        <f t="shared" si="43"/>
        <v>0</v>
      </c>
      <c r="AL166" s="16">
        <f t="shared" si="32"/>
        <v>0</v>
      </c>
      <c r="AM166" s="16">
        <f t="shared" si="33"/>
        <v>0</v>
      </c>
      <c r="AN166" s="16">
        <f>IF(LCOE!D$14&gt;0,G166,H166)/AG166</f>
        <v>0</v>
      </c>
    </row>
    <row r="167" spans="1:40">
      <c r="A167">
        <v>97</v>
      </c>
      <c r="C167" s="16">
        <f>LCOE!D193+IF(AND(LCOE!D$26&gt;0,A167&gt;=LCOE!D$26,A167&lt;=(LCOE!D$26+LCOE!D$27-1)),LCOE!D$42/LCOE!D$27,0)+IF(AND(AE167&gt;=LCOE!D$16,COUNTIF(AE142:AE167,LCOE!D$16)=LCOE!D$36+1),LCOE!D$35*LCOE!D$38,0)</f>
        <v>25225000</v>
      </c>
      <c r="D167" s="16">
        <f>IF(AE166&lt;LCOE!D$16,1,0)</f>
        <v>0</v>
      </c>
      <c r="E167" s="12">
        <f>LCOE!G193+IF(AND(A167&gt;=LCOE!D$26,A167&lt;=(LCOE!D$26+LCOE!D$27-1)),0,1)*IF(A167=LCOE!D$34,0,1)*D167</f>
        <v>0</v>
      </c>
      <c r="F167" s="12">
        <f>IF(F166&lt;LCOE!D$18,MIN(F166*(1+LCOE!D$19),LCOE!D$18),LCOE!D$18)+LCOE!J193</f>
        <v>0.9</v>
      </c>
      <c r="G167" s="16">
        <f>LCOE!K193+E167*F167*N167*(LCOE!D$14+LCOE!H193)*24*365*D167</f>
        <v>0</v>
      </c>
      <c r="H167" s="16">
        <f>LCOE!L193+F167*(LCOE!D$15+LCOE!I193)*E167*24*365*D167*N167</f>
        <v>0</v>
      </c>
      <c r="I167" s="16">
        <f>LCOE!M193+LCOE!D$20*IF(LCOE!D$14&gt;0,(LCOE!D$14+LCOE!H193),(LCOE!D$15+LCOE!I193))*K167*D167</f>
        <v>0</v>
      </c>
      <c r="J167" s="16">
        <f>LCOE!N193+LCOE!D$21*IF(LCOE!D$14&gt;0,G167,H167)*K167*D167</f>
        <v>0</v>
      </c>
      <c r="K167" s="15">
        <f>LCOE!O193+K166+K166*LCOE!D$22</f>
        <v>1</v>
      </c>
      <c r="L167" s="16">
        <f>LCOE!P193+LCOE!D$23*IF(LCOE!D$14&gt;0,G167,H167)*M167*D167</f>
        <v>0</v>
      </c>
      <c r="M167" s="15">
        <f>LCOE!Q193+M166+M166*LCOE!D$24</f>
        <v>1</v>
      </c>
      <c r="N167" s="15">
        <f>LCOE!R193+N166-N166*LCOE!D$25</f>
        <v>1</v>
      </c>
      <c r="O167" s="18">
        <f>LCOE!S193+LCOE!D$29</f>
        <v>313.75</v>
      </c>
      <c r="P167" s="12">
        <f>LCOE!T193+IF(A167&gt;=LCOE!D$30,100%,0%)</f>
        <v>1</v>
      </c>
      <c r="Q167" s="16">
        <f>LCOE!U193+O167/1000*IF(LCOE!D$14&gt;0,G167,H167)</f>
        <v>0</v>
      </c>
      <c r="R167" s="16">
        <f>LCOE!B193</f>
        <v>30</v>
      </c>
      <c r="S167" s="16">
        <f>LCOE!V193+Q167*P167*R167</f>
        <v>0</v>
      </c>
      <c r="T167" s="16">
        <f>LCOE!W193+LCOE!D$31</f>
        <v>0</v>
      </c>
      <c r="U167" s="16">
        <f>LCOE!X193+T167*IF(LCOE!D$14&gt;0,G167,H167)</f>
        <v>0</v>
      </c>
      <c r="V167" s="16">
        <f>LCOE!Y193+LCOE!D$32</f>
        <v>0</v>
      </c>
      <c r="W167" s="16">
        <f>LCOE!Z193+V167*IF(LCOE!D$14&gt;0,G167,H167)</f>
        <v>0</v>
      </c>
      <c r="X167" s="16">
        <f>LCOE!AA193+LCOE!D$34</f>
        <v>101</v>
      </c>
      <c r="Y167" s="16">
        <f t="shared" si="34"/>
        <v>0</v>
      </c>
      <c r="Z167" s="50">
        <f t="shared" si="37"/>
        <v>25225000</v>
      </c>
      <c r="AA167" s="50">
        <f t="shared" si="38"/>
        <v>0</v>
      </c>
      <c r="AB167" s="50">
        <f t="shared" si="39"/>
        <v>0</v>
      </c>
      <c r="AC167" s="50">
        <f t="shared" si="35"/>
        <v>0</v>
      </c>
      <c r="AD167" s="50">
        <f t="shared" si="30"/>
        <v>0</v>
      </c>
      <c r="AE167">
        <f t="shared" si="36"/>
        <v>30</v>
      </c>
      <c r="AF167" s="12">
        <f>LCOE!E193+LCOE!D$40</f>
        <v>0</v>
      </c>
      <c r="AG167">
        <f t="shared" si="31"/>
        <v>1</v>
      </c>
      <c r="AH167" s="16">
        <f t="shared" si="40"/>
        <v>25225000</v>
      </c>
      <c r="AI167" s="16">
        <f t="shared" si="41"/>
        <v>0</v>
      </c>
      <c r="AJ167" s="16">
        <f t="shared" si="42"/>
        <v>0</v>
      </c>
      <c r="AK167" s="16">
        <f t="shared" si="43"/>
        <v>0</v>
      </c>
      <c r="AL167" s="16">
        <f t="shared" si="32"/>
        <v>0</v>
      </c>
      <c r="AM167" s="16">
        <f t="shared" si="33"/>
        <v>0</v>
      </c>
      <c r="AN167" s="16">
        <f>IF(LCOE!D$14&gt;0,G167,H167)/AG167</f>
        <v>0</v>
      </c>
    </row>
    <row r="168" spans="1:40">
      <c r="A168">
        <v>98</v>
      </c>
      <c r="C168" s="16">
        <f>LCOE!D194+IF(AND(LCOE!D$26&gt;0,A168&gt;=LCOE!D$26,A168&lt;=(LCOE!D$26+LCOE!D$27-1)),LCOE!D$42/LCOE!D$27,0)+IF(AND(AE168&gt;=LCOE!D$16,COUNTIF(AE143:AE168,LCOE!D$16)=LCOE!D$36+1),LCOE!D$35*LCOE!D$38,0)</f>
        <v>25225000</v>
      </c>
      <c r="D168" s="16">
        <f>IF(AE167&lt;LCOE!D$16,1,0)</f>
        <v>0</v>
      </c>
      <c r="E168" s="12">
        <f>LCOE!G194+IF(AND(A168&gt;=LCOE!D$26,A168&lt;=(LCOE!D$26+LCOE!D$27-1)),0,1)*IF(A168=LCOE!D$34,0,1)*D168</f>
        <v>0</v>
      </c>
      <c r="F168" s="12">
        <f>IF(F167&lt;LCOE!D$18,MIN(F167*(1+LCOE!D$19),LCOE!D$18),LCOE!D$18)+LCOE!J194</f>
        <v>0.9</v>
      </c>
      <c r="G168" s="16">
        <f>LCOE!K194+E168*F168*N168*(LCOE!D$14+LCOE!H194)*24*365*D168</f>
        <v>0</v>
      </c>
      <c r="H168" s="16">
        <f>LCOE!L194+F168*(LCOE!D$15+LCOE!I194)*E168*24*365*D168*N168</f>
        <v>0</v>
      </c>
      <c r="I168" s="16">
        <f>LCOE!M194+LCOE!D$20*IF(LCOE!D$14&gt;0,(LCOE!D$14+LCOE!H194),(LCOE!D$15+LCOE!I194))*K168*D168</f>
        <v>0</v>
      </c>
      <c r="J168" s="16">
        <f>LCOE!N194+LCOE!D$21*IF(LCOE!D$14&gt;0,G168,H168)*K168*D168</f>
        <v>0</v>
      </c>
      <c r="K168" s="15">
        <f>LCOE!O194+K167+K167*LCOE!D$22</f>
        <v>1</v>
      </c>
      <c r="L168" s="16">
        <f>LCOE!P194+LCOE!D$23*IF(LCOE!D$14&gt;0,G168,H168)*M168*D168</f>
        <v>0</v>
      </c>
      <c r="M168" s="15">
        <f>LCOE!Q194+M167+M167*LCOE!D$24</f>
        <v>1</v>
      </c>
      <c r="N168" s="15">
        <f>LCOE!R194+N167-N167*LCOE!D$25</f>
        <v>1</v>
      </c>
      <c r="O168" s="18">
        <f>LCOE!S194+LCOE!D$29</f>
        <v>313.75</v>
      </c>
      <c r="P168" s="12">
        <f>LCOE!T194+IF(A168&gt;=LCOE!D$30,100%,0%)</f>
        <v>1</v>
      </c>
      <c r="Q168" s="16">
        <f>LCOE!U194+O168/1000*IF(LCOE!D$14&gt;0,G168,H168)</f>
        <v>0</v>
      </c>
      <c r="R168" s="16">
        <f>LCOE!B194</f>
        <v>30</v>
      </c>
      <c r="S168" s="16">
        <f>LCOE!V194+Q168*P168*R168</f>
        <v>0</v>
      </c>
      <c r="T168" s="16">
        <f>LCOE!W194+LCOE!D$31</f>
        <v>0</v>
      </c>
      <c r="U168" s="16">
        <f>LCOE!X194+T168*IF(LCOE!D$14&gt;0,G168,H168)</f>
        <v>0</v>
      </c>
      <c r="V168" s="16">
        <f>LCOE!Y194+LCOE!D$32</f>
        <v>0</v>
      </c>
      <c r="W168" s="16">
        <f>LCOE!Z194+V168*IF(LCOE!D$14&gt;0,G168,H168)</f>
        <v>0</v>
      </c>
      <c r="X168" s="16">
        <f>LCOE!AA194+LCOE!D$34</f>
        <v>101</v>
      </c>
      <c r="Y168" s="16">
        <f t="shared" si="34"/>
        <v>0</v>
      </c>
      <c r="Z168" s="50">
        <f t="shared" si="37"/>
        <v>25225000</v>
      </c>
      <c r="AA168" s="50">
        <f t="shared" si="38"/>
        <v>0</v>
      </c>
      <c r="AB168" s="50">
        <f t="shared" si="39"/>
        <v>0</v>
      </c>
      <c r="AC168" s="50">
        <f t="shared" si="35"/>
        <v>0</v>
      </c>
      <c r="AD168" s="50">
        <f t="shared" si="30"/>
        <v>0</v>
      </c>
      <c r="AE168">
        <f t="shared" si="36"/>
        <v>30</v>
      </c>
      <c r="AF168" s="12">
        <f>LCOE!E194+LCOE!D$40</f>
        <v>0</v>
      </c>
      <c r="AG168">
        <f t="shared" si="31"/>
        <v>1</v>
      </c>
      <c r="AH168" s="16">
        <f t="shared" si="40"/>
        <v>25225000</v>
      </c>
      <c r="AI168" s="16">
        <f t="shared" si="41"/>
        <v>0</v>
      </c>
      <c r="AJ168" s="16">
        <f t="shared" si="42"/>
        <v>0</v>
      </c>
      <c r="AK168" s="16">
        <f t="shared" si="43"/>
        <v>0</v>
      </c>
      <c r="AL168" s="16">
        <f t="shared" si="32"/>
        <v>0</v>
      </c>
      <c r="AM168" s="16">
        <f t="shared" si="33"/>
        <v>0</v>
      </c>
      <c r="AN168" s="16">
        <f>IF(LCOE!D$14&gt;0,G168,H168)/AG168</f>
        <v>0</v>
      </c>
    </row>
    <row r="169" spans="1:40">
      <c r="A169">
        <v>99</v>
      </c>
      <c r="C169" s="16">
        <f>LCOE!D195+IF(AND(LCOE!D$26&gt;0,A169&gt;=LCOE!D$26,A169&lt;=(LCOE!D$26+LCOE!D$27-1)),LCOE!D$42/LCOE!D$27,0)+IF(AND(AE169&gt;=LCOE!D$16,COUNTIF(AE144:AE169,LCOE!D$16)=LCOE!D$36+1),LCOE!D$35*LCOE!D$38,0)</f>
        <v>25225000</v>
      </c>
      <c r="D169" s="16">
        <f>IF(AE168&lt;LCOE!D$16,1,0)</f>
        <v>0</v>
      </c>
      <c r="E169" s="12">
        <f>LCOE!G195+IF(AND(A169&gt;=LCOE!D$26,A169&lt;=(LCOE!D$26+LCOE!D$27-1)),0,1)*IF(A169=LCOE!D$34,0,1)*D169</f>
        <v>0</v>
      </c>
      <c r="F169" s="12">
        <f>IF(F168&lt;LCOE!D$18,MIN(F168*(1+LCOE!D$19),LCOE!D$18),LCOE!D$18)+LCOE!J195</f>
        <v>0.9</v>
      </c>
      <c r="G169" s="16">
        <f>LCOE!K195+E169*F169*N169*(LCOE!D$14+LCOE!H195)*24*365*D169</f>
        <v>0</v>
      </c>
      <c r="H169" s="16">
        <f>LCOE!L195+F169*(LCOE!D$15+LCOE!I195)*E169*24*365*D169*N169</f>
        <v>0</v>
      </c>
      <c r="I169" s="16">
        <f>LCOE!M195+LCOE!D$20*IF(LCOE!D$14&gt;0,(LCOE!D$14+LCOE!H195),(LCOE!D$15+LCOE!I195))*K169*D169</f>
        <v>0</v>
      </c>
      <c r="J169" s="16">
        <f>LCOE!N195+LCOE!D$21*IF(LCOE!D$14&gt;0,G169,H169)*K169*D169</f>
        <v>0</v>
      </c>
      <c r="K169" s="15">
        <f>LCOE!O195+K168+K168*LCOE!D$22</f>
        <v>1</v>
      </c>
      <c r="L169" s="16">
        <f>LCOE!P195+LCOE!D$23*IF(LCOE!D$14&gt;0,G169,H169)*M169*D169</f>
        <v>0</v>
      </c>
      <c r="M169" s="15">
        <f>LCOE!Q195+M168+M168*LCOE!D$24</f>
        <v>1</v>
      </c>
      <c r="N169" s="15">
        <f>LCOE!R195+N168-N168*LCOE!D$25</f>
        <v>1</v>
      </c>
      <c r="O169" s="18">
        <f>LCOE!S195+LCOE!D$29</f>
        <v>313.75</v>
      </c>
      <c r="P169" s="12">
        <f>LCOE!T195+IF(A169&gt;=LCOE!D$30,100%,0%)</f>
        <v>1</v>
      </c>
      <c r="Q169" s="16">
        <f>LCOE!U195+O169/1000*IF(LCOE!D$14&gt;0,G169,H169)</f>
        <v>0</v>
      </c>
      <c r="R169" s="16">
        <f>LCOE!B195</f>
        <v>30</v>
      </c>
      <c r="S169" s="16">
        <f>LCOE!V195+Q169*P169*R169</f>
        <v>0</v>
      </c>
      <c r="T169" s="16">
        <f>LCOE!W195+LCOE!D$31</f>
        <v>0</v>
      </c>
      <c r="U169" s="16">
        <f>LCOE!X195+T169*IF(LCOE!D$14&gt;0,G169,H169)</f>
        <v>0</v>
      </c>
      <c r="V169" s="16">
        <f>LCOE!Y195+LCOE!D$32</f>
        <v>0</v>
      </c>
      <c r="W169" s="16">
        <f>LCOE!Z195+V169*IF(LCOE!D$14&gt;0,G169,H169)</f>
        <v>0</v>
      </c>
      <c r="X169" s="16">
        <f>LCOE!AA195+LCOE!D$34</f>
        <v>101</v>
      </c>
      <c r="Y169" s="16">
        <f t="shared" si="34"/>
        <v>0</v>
      </c>
      <c r="Z169" s="50">
        <f t="shared" si="37"/>
        <v>25225000</v>
      </c>
      <c r="AA169" s="50">
        <f t="shared" si="38"/>
        <v>0</v>
      </c>
      <c r="AB169" s="50">
        <f t="shared" si="39"/>
        <v>0</v>
      </c>
      <c r="AC169" s="50">
        <f t="shared" si="35"/>
        <v>0</v>
      </c>
      <c r="AD169" s="50">
        <f t="shared" si="30"/>
        <v>0</v>
      </c>
      <c r="AE169">
        <f t="shared" si="36"/>
        <v>30</v>
      </c>
      <c r="AF169" s="12">
        <f>LCOE!E195+LCOE!D$40</f>
        <v>0</v>
      </c>
      <c r="AG169">
        <f t="shared" si="31"/>
        <v>1</v>
      </c>
      <c r="AH169" s="16">
        <f t="shared" si="40"/>
        <v>25225000</v>
      </c>
      <c r="AI169" s="16">
        <f t="shared" si="41"/>
        <v>0</v>
      </c>
      <c r="AJ169" s="16">
        <f t="shared" si="42"/>
        <v>0</v>
      </c>
      <c r="AK169" s="16">
        <f t="shared" si="43"/>
        <v>0</v>
      </c>
      <c r="AL169" s="16">
        <f t="shared" si="32"/>
        <v>0</v>
      </c>
      <c r="AM169" s="16">
        <f t="shared" si="33"/>
        <v>0</v>
      </c>
      <c r="AN169" s="16">
        <f>IF(LCOE!D$14&gt;0,G169,H169)/AG169</f>
        <v>0</v>
      </c>
    </row>
    <row r="170" spans="1:40">
      <c r="A170">
        <v>100</v>
      </c>
      <c r="C170" s="16">
        <f>LCOE!D196+IF(AND(LCOE!D$26&gt;0,A170&gt;=LCOE!D$26,A170&lt;=(LCOE!D$26+LCOE!D$27-1)),LCOE!D$42/LCOE!D$27,0)+IF(AND(AE170&gt;=LCOE!D$16,COUNTIF(AE145:AE170,LCOE!D$16)=LCOE!D$36+1),LCOE!D$35*LCOE!D$38,0)</f>
        <v>25225000</v>
      </c>
      <c r="D170" s="16">
        <f>IF(AE169&lt;LCOE!D$16,1,0)</f>
        <v>0</v>
      </c>
      <c r="E170" s="12">
        <f>LCOE!G196+IF(AND(A170&gt;=LCOE!D$26,A170&lt;=(LCOE!D$26+LCOE!D$27-1)),0,1)*IF(A170=LCOE!D$34,0,1)*D170</f>
        <v>0</v>
      </c>
      <c r="F170" s="12">
        <f>IF(F169&lt;LCOE!D$18,MIN(F169*(1+LCOE!D$19),LCOE!D$18),LCOE!D$18)+LCOE!J196</f>
        <v>0.9</v>
      </c>
      <c r="G170" s="16">
        <f>LCOE!K196+E170*F170*N170*(LCOE!D$14+LCOE!H196)*24*365*D170</f>
        <v>0</v>
      </c>
      <c r="H170" s="16">
        <f>LCOE!L196+F170*(LCOE!D$15+LCOE!I196)*E170*24*365*D170*N170</f>
        <v>0</v>
      </c>
      <c r="I170" s="16">
        <f>LCOE!M196+LCOE!D$20*IF(LCOE!D$14&gt;0,(LCOE!D$14+LCOE!H196),(LCOE!D$15+LCOE!I196))*K170*D170</f>
        <v>0</v>
      </c>
      <c r="J170" s="16">
        <f>LCOE!N196+LCOE!D$21*IF(LCOE!D$14&gt;0,G170,H170)*K170*D170</f>
        <v>0</v>
      </c>
      <c r="K170" s="15">
        <f>LCOE!O196+K169+K169*LCOE!D$22</f>
        <v>1</v>
      </c>
      <c r="L170" s="16">
        <f>LCOE!P196+LCOE!D$23*IF(LCOE!D$14&gt;0,G170,H170)*M170*D170</f>
        <v>0</v>
      </c>
      <c r="M170" s="15">
        <f>LCOE!Q196+M169+M169*LCOE!D$24</f>
        <v>1</v>
      </c>
      <c r="N170" s="15">
        <f>LCOE!R196+N169-N169*LCOE!D$25</f>
        <v>1</v>
      </c>
      <c r="O170" s="18">
        <f>LCOE!S196+LCOE!D$29</f>
        <v>313.75</v>
      </c>
      <c r="P170" s="12">
        <f>LCOE!T196+IF(A170&gt;=LCOE!D$30,100%,0%)</f>
        <v>1</v>
      </c>
      <c r="Q170" s="16">
        <f>LCOE!U196+O170/1000*IF(LCOE!D$14&gt;0,G170,H170)</f>
        <v>0</v>
      </c>
      <c r="R170" s="16">
        <f>LCOE!B196</f>
        <v>30</v>
      </c>
      <c r="S170" s="16">
        <f>LCOE!V196+Q170*P170*R170</f>
        <v>0</v>
      </c>
      <c r="T170" s="16">
        <f>LCOE!W196+LCOE!D$31</f>
        <v>0</v>
      </c>
      <c r="U170" s="16">
        <f>LCOE!X196+T170*IF(LCOE!D$14&gt;0,G170,H170)</f>
        <v>0</v>
      </c>
      <c r="V170" s="16">
        <f>LCOE!Y196+LCOE!D$32</f>
        <v>0</v>
      </c>
      <c r="W170" s="16">
        <f>LCOE!Z196+V170*IF(LCOE!D$14&gt;0,G170,H170)</f>
        <v>0</v>
      </c>
      <c r="X170" s="16">
        <f>LCOE!AA196+LCOE!D$34</f>
        <v>101</v>
      </c>
      <c r="Y170" s="16">
        <f t="shared" si="34"/>
        <v>0</v>
      </c>
      <c r="Z170" s="50">
        <f t="shared" si="37"/>
        <v>25225000</v>
      </c>
      <c r="AA170" s="50">
        <f t="shared" si="38"/>
        <v>0</v>
      </c>
      <c r="AB170" s="50">
        <f t="shared" si="39"/>
        <v>0</v>
      </c>
      <c r="AC170" s="50">
        <f t="shared" si="35"/>
        <v>0</v>
      </c>
      <c r="AD170" s="50">
        <f t="shared" si="30"/>
        <v>0</v>
      </c>
      <c r="AE170">
        <f t="shared" si="36"/>
        <v>30</v>
      </c>
      <c r="AF170" s="12">
        <f>LCOE!E196+LCOE!D$40</f>
        <v>0</v>
      </c>
      <c r="AG170">
        <f t="shared" si="31"/>
        <v>1</v>
      </c>
      <c r="AH170" s="16">
        <f t="shared" si="40"/>
        <v>25225000</v>
      </c>
      <c r="AI170" s="16">
        <f t="shared" si="41"/>
        <v>0</v>
      </c>
      <c r="AJ170" s="16">
        <f t="shared" si="42"/>
        <v>0</v>
      </c>
      <c r="AK170" s="16">
        <f t="shared" si="43"/>
        <v>0</v>
      </c>
      <c r="AL170" s="16">
        <f t="shared" si="32"/>
        <v>0</v>
      </c>
      <c r="AM170" s="16">
        <f t="shared" si="33"/>
        <v>0</v>
      </c>
      <c r="AN170" s="16">
        <f>IF(LCOE!D$14&gt;0,G170,H170)/AG170</f>
        <v>0</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C0B1-0844-6A4F-A677-ADA9226E9A62}">
  <dimension ref="A2:AN170"/>
  <sheetViews>
    <sheetView workbookViewId="0">
      <pane xSplit="1760" ySplit="5160" topLeftCell="A52" activePane="bottomRight"/>
      <selection pane="bottomRight" activeCell="H70" sqref="H70"/>
      <selection pane="bottomLeft" activeCell="A41" sqref="A41:D41"/>
      <selection pane="topRight" activeCell="D10" sqref="D10"/>
    </sheetView>
    <sheetView workbookViewId="1"/>
  </sheetViews>
  <sheetFormatPr defaultColWidth="11" defaultRowHeight="15.95"/>
  <cols>
    <col min="2" max="2" width="40.875" bestFit="1" customWidth="1"/>
    <col min="3" max="3" width="14.625" bestFit="1" customWidth="1"/>
    <col min="4" max="5" width="14.625" customWidth="1"/>
    <col min="6" max="6" width="18.125" customWidth="1"/>
    <col min="7" max="8" width="15.625" customWidth="1"/>
    <col min="9" max="9" width="11.125" bestFit="1" customWidth="1"/>
    <col min="10" max="10" width="11.625" bestFit="1" customWidth="1"/>
    <col min="11" max="11" width="12.625" bestFit="1" customWidth="1"/>
    <col min="12" max="12" width="11.125" bestFit="1" customWidth="1"/>
    <col min="17" max="17" width="13.625" bestFit="1" customWidth="1"/>
    <col min="18" max="18" width="13.625" customWidth="1"/>
    <col min="19" max="20" width="12.125" customWidth="1"/>
    <col min="26" max="26" width="12.875" bestFit="1" customWidth="1"/>
    <col min="27" max="28" width="11.125" bestFit="1" customWidth="1"/>
    <col min="29" max="30" width="11" bestFit="1" customWidth="1"/>
    <col min="34" max="34" width="17.625" customWidth="1"/>
    <col min="35" max="37" width="11.625" bestFit="1" customWidth="1"/>
    <col min="38" max="38" width="11.625" customWidth="1"/>
  </cols>
  <sheetData>
    <row r="2" spans="2:10" ht="21">
      <c r="B2" s="26" t="s">
        <v>221</v>
      </c>
      <c r="C2" s="26" t="str">
        <f>LCOE!E3</f>
        <v>LCOE 2</v>
      </c>
      <c r="D2" s="26"/>
      <c r="E2" s="26"/>
      <c r="F2" s="26" t="s">
        <v>222</v>
      </c>
      <c r="G2" t="str">
        <f>C4</f>
        <v>USD</v>
      </c>
      <c r="I2" t="str">
        <f>C6</f>
        <v>USD</v>
      </c>
    </row>
    <row r="3" spans="2:10">
      <c r="B3" t="str">
        <f>LCOE!C5</f>
        <v>Name</v>
      </c>
      <c r="C3" t="str">
        <f>LCOE!E5</f>
        <v>CCGT in Belgium (2020)</v>
      </c>
      <c r="F3" s="24" t="str">
        <f>LCOE!C46</f>
        <v>LCOE (LCOHeat for pure heat plants)</v>
      </c>
      <c r="G3" s="25">
        <f>SUM(AH45:AM170)/SUM(AN45:AN170)</f>
        <v>64.075543409183908</v>
      </c>
      <c r="H3" s="24" t="str">
        <f t="shared" ref="H3:H9" si="0">_xlfn.CONCAT(C$4,"/MWh")</f>
        <v>USD/MWh</v>
      </c>
      <c r="I3" s="25">
        <f>G3*C$7</f>
        <v>64.075543409183908</v>
      </c>
      <c r="J3" t="str">
        <f t="shared" ref="J3:J9" si="1">_xlfn.CONCAT(C$6,"/MWh")</f>
        <v>USD/MWh</v>
      </c>
    </row>
    <row r="4" spans="2:10">
      <c r="B4" t="str">
        <f>LCOE!C6</f>
        <v>Currency used for LCOE calculations</v>
      </c>
      <c r="C4" t="str">
        <f>LCOE!E6</f>
        <v>USD</v>
      </c>
      <c r="F4" s="24" t="str">
        <f>LCOE!C47</f>
        <v>Of which: Capital costs</v>
      </c>
      <c r="G4" s="22">
        <f>SUM(AH45:AH170)/SUM(AN45:AN170)</f>
        <v>6.7525503993352283</v>
      </c>
      <c r="H4" t="str">
        <f t="shared" si="0"/>
        <v>USD/MWh</v>
      </c>
      <c r="I4" s="25">
        <f t="shared" ref="I4:I9" si="2">G4*C$7</f>
        <v>6.7525503993352283</v>
      </c>
      <c r="J4" t="str">
        <f t="shared" si="1"/>
        <v>USD/MWh</v>
      </c>
    </row>
    <row r="5" spans="2:10">
      <c r="B5" t="str">
        <f>LCOE!C7</f>
        <v>Price reference year</v>
      </c>
      <c r="C5">
        <f>LCOE!E7</f>
        <v>0</v>
      </c>
      <c r="F5" s="24" t="str">
        <f>LCOE!C48</f>
        <v>O&amp;M</v>
      </c>
      <c r="G5" s="23">
        <f>SUM(AI45:AI170)/SUM(AN45:AN170)</f>
        <v>5.2504930098486851</v>
      </c>
      <c r="H5" t="str">
        <f t="shared" si="0"/>
        <v>USD/MWh</v>
      </c>
      <c r="I5" s="25">
        <f t="shared" si="2"/>
        <v>5.2504930098486851</v>
      </c>
      <c r="J5" t="str">
        <f t="shared" si="1"/>
        <v>USD/MWh</v>
      </c>
    </row>
    <row r="6" spans="2:10">
      <c r="B6" t="str">
        <f>LCOE!C8</f>
        <v>Currency used</v>
      </c>
      <c r="C6" t="str">
        <f>LCOE!E8</f>
        <v>USD</v>
      </c>
      <c r="F6" s="24" t="str">
        <f>LCOE!C49</f>
        <v>Fuel</v>
      </c>
      <c r="G6" s="23">
        <f>SUM(AJ45:AJ170)/SUM(AN45:AN170)</f>
        <v>42.659999999999975</v>
      </c>
      <c r="H6" t="str">
        <f t="shared" si="0"/>
        <v>USD/MWh</v>
      </c>
      <c r="I6" s="25">
        <f t="shared" si="2"/>
        <v>42.659999999999975</v>
      </c>
      <c r="J6" t="str">
        <f t="shared" si="1"/>
        <v>USD/MWh</v>
      </c>
    </row>
    <row r="7" spans="2:10">
      <c r="B7" t="str">
        <f>LCOE!C9</f>
        <v>Conversion rate at reference year</v>
      </c>
      <c r="C7">
        <f>LCOE!E9</f>
        <v>1</v>
      </c>
      <c r="F7" s="24" t="str">
        <f>LCOE!C50</f>
        <v>Taxes and fees</v>
      </c>
      <c r="G7" s="23">
        <f>SUM(AK45:AK170)/SUM(AN45:AN170)</f>
        <v>0</v>
      </c>
      <c r="H7" t="str">
        <f t="shared" si="0"/>
        <v>USD/MWh</v>
      </c>
      <c r="I7" s="25">
        <f t="shared" si="2"/>
        <v>0</v>
      </c>
      <c r="J7" t="str">
        <f t="shared" si="1"/>
        <v>USD/MWh</v>
      </c>
    </row>
    <row r="8" spans="2:10">
      <c r="B8" t="str">
        <f>LCOE!C10</f>
        <v>Debt %</v>
      </c>
      <c r="C8">
        <f>LCOE!E10</f>
        <v>0.9</v>
      </c>
      <c r="F8" s="24" t="str">
        <f>LCOE!C51</f>
        <v>Emission costs</v>
      </c>
      <c r="G8" s="23">
        <f>SUM(AL45:AL170)/SUM(AN45:AN170)</f>
        <v>9.4124999999999979</v>
      </c>
      <c r="H8" t="str">
        <f t="shared" si="0"/>
        <v>USD/MWh</v>
      </c>
      <c r="I8" s="25">
        <f t="shared" si="2"/>
        <v>9.4124999999999979</v>
      </c>
      <c r="J8" t="str">
        <f t="shared" si="1"/>
        <v>USD/MWh</v>
      </c>
    </row>
    <row r="9" spans="2:10">
      <c r="B9" t="str">
        <f>LCOE!C11</f>
        <v>Cost of debt (private discount rate)</v>
      </c>
      <c r="C9" s="3">
        <f>LCOE!E11</f>
        <v>0.03</v>
      </c>
      <c r="F9" s="24" t="str">
        <f>LCOE!C52</f>
        <v>Heat credit (for CHP plants)</v>
      </c>
      <c r="G9" s="18">
        <f>IF(C15&gt;0,SUM(AM45:AM170)/SUM(AN45:AN170),0)</f>
        <v>0</v>
      </c>
      <c r="H9" t="str">
        <f t="shared" si="0"/>
        <v>USD/MWh</v>
      </c>
      <c r="I9" s="25">
        <f t="shared" si="2"/>
        <v>0</v>
      </c>
      <c r="J9" t="str">
        <f t="shared" si="1"/>
        <v>USD/MWh</v>
      </c>
    </row>
    <row r="10" spans="2:10">
      <c r="B10" t="str">
        <f>LCOE!C12</f>
        <v>Cost of equity (discount rate)</v>
      </c>
      <c r="C10" s="3">
        <f>LCOE!E12</f>
        <v>0.03</v>
      </c>
      <c r="F10" s="24" t="str">
        <f>LCOE!C53</f>
        <v>WACC average over lifetime</v>
      </c>
      <c r="G10" s="12">
        <f>AVERAGE(AF70:AF170)</f>
        <v>2.999999999999995E-2</v>
      </c>
      <c r="I10" s="14">
        <f>G10</f>
        <v>2.999999999999995E-2</v>
      </c>
    </row>
    <row r="11" spans="2:10">
      <c r="B11" t="str">
        <f>LCOE!C13</f>
        <v>Construction cost per kW</v>
      </c>
      <c r="C11">
        <f>LCOE!E13</f>
        <v>1009</v>
      </c>
      <c r="F11" s="24" t="str">
        <f>LCOE!C54</f>
        <v>Plant type</v>
      </c>
      <c r="G11" t="str">
        <f>IF(AND(LCOE!E$14&gt;0,LCOE!E$15=0),"Electric only",IF(AND(LCOE!E$14&gt;0,LCOE!E$15&gt;0),"CHP",IF(AND(LCOE!E$14=0,LCOE!E$15&gt;0),"Heat only","Error: no generation")))</f>
        <v>Electric only</v>
      </c>
      <c r="I11" s="18" t="str">
        <f>G11</f>
        <v>Electric only</v>
      </c>
    </row>
    <row r="12" spans="2:10">
      <c r="B12" t="str">
        <f>LCOE!C14</f>
        <v>Maximum electric power, in MW_e</v>
      </c>
      <c r="C12">
        <f>LCOE!E14</f>
        <v>500</v>
      </c>
    </row>
    <row r="13" spans="2:10">
      <c r="B13" t="str">
        <f>LCOE!C15</f>
        <v>Maximum heat power, in MW_h</v>
      </c>
      <c r="C13">
        <f>LCOE!E15</f>
        <v>0</v>
      </c>
    </row>
    <row r="14" spans="2:10">
      <c r="B14" t="str">
        <f>LCOE!C16</f>
        <v>Plant lifetime</v>
      </c>
      <c r="C14">
        <f>LCOE!E16</f>
        <v>30</v>
      </c>
    </row>
    <row r="15" spans="2:10">
      <c r="B15" t="str">
        <f>LCOE!C17</f>
        <v>Construction period, years</v>
      </c>
      <c r="C15">
        <f>LCOE!E17</f>
        <v>3</v>
      </c>
    </row>
    <row r="16" spans="2:10">
      <c r="B16" t="str">
        <f>LCOE!C18</f>
        <v>Capacity factor (settled down)</v>
      </c>
      <c r="C16" s="14">
        <f>LCOE!E18</f>
        <v>0.9</v>
      </c>
    </row>
    <row r="17" spans="2:3">
      <c r="B17" t="str">
        <f>LCOE!C19</f>
        <v>Capacity factor ramp-up on startup, per year</v>
      </c>
      <c r="C17" s="14">
        <f>LCOE!E19</f>
        <v>0.6</v>
      </c>
    </row>
    <row r="18" spans="2:3">
      <c r="B18" t="str">
        <f>LCOE!C20</f>
        <v>Fixed OPEX/MW capacity at project start</v>
      </c>
      <c r="C18" s="18">
        <f>LCOE!E20</f>
        <v>40000</v>
      </c>
    </row>
    <row r="19" spans="2:3">
      <c r="B19" t="str">
        <f>LCOE!C21</f>
        <v>Variable OPEX/MWh produced at project start</v>
      </c>
      <c r="C19" s="18">
        <f>LCOE!E21</f>
        <v>0</v>
      </c>
    </row>
    <row r="20" spans="2:3">
      <c r="B20" t="str">
        <f>LCOE!C22</f>
        <v>OPEX escalator</v>
      </c>
      <c r="C20" s="14">
        <f>LCOE!E22</f>
        <v>0</v>
      </c>
    </row>
    <row r="21" spans="2:3">
      <c r="B21" t="str">
        <f>LCOE!C23</f>
        <v>FUELEX/MWh produced at project start</v>
      </c>
      <c r="C21">
        <f>LCOE!E23</f>
        <v>42.66</v>
      </c>
    </row>
    <row r="22" spans="2:3">
      <c r="B22" t="str">
        <f>LCOE!C24</f>
        <v>FUELEX escalator</v>
      </c>
      <c r="C22" s="14">
        <f>LCOE!E24</f>
        <v>0</v>
      </c>
    </row>
    <row r="23" spans="2:3">
      <c r="B23" t="str">
        <f>LCOE!C25</f>
        <v>Efficiency loss/year</v>
      </c>
      <c r="C23" s="14">
        <f>LCOE!E25</f>
        <v>0</v>
      </c>
    </row>
    <row r="24" spans="2:3">
      <c r="B24" t="str">
        <f>LCOE!C26</f>
        <v>Refurbishment year</v>
      </c>
      <c r="C24">
        <f>LCOE!E26</f>
        <v>101</v>
      </c>
    </row>
    <row r="25" spans="2:3">
      <c r="B25" t="str">
        <f>LCOE!C27</f>
        <v>Refurbishment time required, years</v>
      </c>
      <c r="C25">
        <f>LCOE!E27</f>
        <v>1</v>
      </c>
    </row>
    <row r="26" spans="2:3">
      <c r="B26" t="str">
        <f>LCOE!C28</f>
        <v>Refurbishment cost, per kW</v>
      </c>
      <c r="C26">
        <f>LCOE!E28</f>
        <v>0</v>
      </c>
    </row>
    <row r="27" spans="2:3">
      <c r="B27" t="str">
        <f>LCOE!C29</f>
        <v>Emission factor, gCO2e/kWh</v>
      </c>
      <c r="C27">
        <f>LCOE!E29</f>
        <v>313.75</v>
      </c>
    </row>
    <row r="28" spans="2:3">
      <c r="B28" t="str">
        <f>LCOE!C30</f>
        <v>Emissions taxed starting from year</v>
      </c>
      <c r="C28">
        <f>LCOE!E30</f>
        <v>0</v>
      </c>
    </row>
    <row r="29" spans="2:3">
      <c r="B29" t="str">
        <f>LCOE!C31</f>
        <v>Taxes, per MWh produced</v>
      </c>
      <c r="C29">
        <f>LCOE!E31</f>
        <v>0</v>
      </c>
    </row>
    <row r="30" spans="2:3">
      <c r="B30" t="str">
        <f>LCOE!C32</f>
        <v>Waste fee, per MWh produced</v>
      </c>
      <c r="C30">
        <f>LCOE!E32</f>
        <v>0</v>
      </c>
    </row>
    <row r="31" spans="2:3">
      <c r="B31" t="str">
        <f>LCOE!C33</f>
        <v>Heat credit, per MWh produced</v>
      </c>
      <c r="C31">
        <f>LCOE!E33</f>
        <v>30</v>
      </c>
    </row>
    <row r="32" spans="2:3">
      <c r="B32" t="str">
        <f>LCOE!C34</f>
        <v>Outage at year</v>
      </c>
      <c r="C32">
        <f>LCOE!E34</f>
        <v>101</v>
      </c>
    </row>
    <row r="33" spans="1:40">
      <c r="B33" t="str">
        <f>LCOE!C35</f>
        <v>Decommissioning costs, % of initial capital cost</v>
      </c>
      <c r="C33" s="14">
        <f>LCOE!E35</f>
        <v>0.05</v>
      </c>
    </row>
    <row r="34" spans="1:40">
      <c r="B34" t="str">
        <f>LCOE!C36</f>
        <v>Decommissioning delay, years</v>
      </c>
      <c r="C34">
        <f>LCOE!E36</f>
        <v>1</v>
      </c>
    </row>
    <row r="35" spans="1:40">
      <c r="B35" t="str">
        <f>LCOE!C37</f>
        <v>Results reference year/LC start year</v>
      </c>
      <c r="C35">
        <f>LCOE!E37</f>
        <v>2020</v>
      </c>
    </row>
    <row r="36" spans="1:40">
      <c r="B36" t="str">
        <f>LCOE!C38</f>
        <v>Total cost</v>
      </c>
      <c r="C36" s="16">
        <f>LCOE!E38</f>
        <v>504500000</v>
      </c>
    </row>
    <row r="37" spans="1:40">
      <c r="B37" t="str">
        <f>LCOE!C39</f>
        <v>Equity share</v>
      </c>
      <c r="C37">
        <f>LCOE!E39</f>
        <v>9.9999999999999978E-2</v>
      </c>
    </row>
    <row r="38" spans="1:40">
      <c r="B38" t="str">
        <f>LCOE!C40</f>
        <v>WACC (average discount rate)</v>
      </c>
      <c r="C38" s="3">
        <f>LCOE!E40</f>
        <v>0.03</v>
      </c>
    </row>
    <row r="39" spans="1:40">
      <c r="B39" t="str">
        <f>LCOE!C41</f>
        <v>Interest during construction (IDC)</v>
      </c>
      <c r="C39" s="14">
        <f>LCOE!E41</f>
        <v>0.03</v>
      </c>
    </row>
    <row r="40" spans="1:40">
      <c r="B40" t="str">
        <f>LCOE!C42</f>
        <v>Total overnight cost of refurbishment</v>
      </c>
      <c r="C40" s="16">
        <f>LCOE!E42</f>
        <v>0</v>
      </c>
    </row>
    <row r="41" spans="1:40">
      <c r="B41" t="str">
        <f>LCOE!C43</f>
        <v>Overrides</v>
      </c>
      <c r="C41">
        <f>LCOE!E43</f>
        <v>0</v>
      </c>
    </row>
    <row r="43" spans="1:40">
      <c r="Z43" s="48" t="s">
        <v>223</v>
      </c>
      <c r="AA43" s="48"/>
      <c r="AB43" s="48"/>
      <c r="AC43" s="48"/>
      <c r="AD43" s="48"/>
    </row>
    <row r="44" spans="1:40" ht="183.95">
      <c r="A44" t="s">
        <v>224</v>
      </c>
      <c r="B44" s="17" t="s">
        <v>161</v>
      </c>
      <c r="C44" s="43" t="s">
        <v>225</v>
      </c>
      <c r="D44" s="17" t="s">
        <v>226</v>
      </c>
      <c r="E44" s="17" t="s">
        <v>164</v>
      </c>
      <c r="F44" s="17" t="s">
        <v>167</v>
      </c>
      <c r="G44" s="17" t="s">
        <v>168</v>
      </c>
      <c r="H44" s="17" t="s">
        <v>169</v>
      </c>
      <c r="I44" s="17" t="s">
        <v>170</v>
      </c>
      <c r="J44" s="17" t="s">
        <v>171</v>
      </c>
      <c r="K44" s="17" t="s">
        <v>227</v>
      </c>
      <c r="L44" s="17" t="s">
        <v>173</v>
      </c>
      <c r="M44" s="17" t="s">
        <v>228</v>
      </c>
      <c r="N44" s="17" t="s">
        <v>229</v>
      </c>
      <c r="O44" s="17" t="s">
        <v>230</v>
      </c>
      <c r="P44" s="17" t="s">
        <v>177</v>
      </c>
      <c r="Q44" s="17" t="s">
        <v>231</v>
      </c>
      <c r="R44" s="17" t="s">
        <v>232</v>
      </c>
      <c r="S44" s="17" t="s">
        <v>233</v>
      </c>
      <c r="T44" s="17" t="s">
        <v>180</v>
      </c>
      <c r="U44" s="17" t="s">
        <v>181</v>
      </c>
      <c r="V44" s="17" t="s">
        <v>182</v>
      </c>
      <c r="W44" s="17" t="s">
        <v>183</v>
      </c>
      <c r="X44" s="17" t="s">
        <v>234</v>
      </c>
      <c r="Y44" s="17" t="s">
        <v>185</v>
      </c>
      <c r="Z44" s="49" t="s">
        <v>235</v>
      </c>
      <c r="AA44" s="49" t="s">
        <v>236</v>
      </c>
      <c r="AB44" s="49" t="s">
        <v>237</v>
      </c>
      <c r="AC44" s="49" t="s">
        <v>238</v>
      </c>
      <c r="AD44" s="49" t="s">
        <v>239</v>
      </c>
      <c r="AE44" s="17" t="s">
        <v>240</v>
      </c>
      <c r="AF44" s="17" t="s">
        <v>241</v>
      </c>
      <c r="AG44" s="17" t="s">
        <v>242</v>
      </c>
      <c r="AH44" s="17" t="s">
        <v>243</v>
      </c>
      <c r="AI44" s="17" t="s">
        <v>244</v>
      </c>
      <c r="AJ44" s="17" t="s">
        <v>245</v>
      </c>
      <c r="AK44" s="17" t="s">
        <v>246</v>
      </c>
      <c r="AL44" s="17" t="s">
        <v>247</v>
      </c>
      <c r="AM44" s="17" t="s">
        <v>248</v>
      </c>
      <c r="AN44" s="17" t="s">
        <v>249</v>
      </c>
    </row>
    <row r="45" spans="1:40">
      <c r="A45">
        <v>-25</v>
      </c>
      <c r="B45" s="16">
        <f>LCOE!C71+IF(A45&gt;=((LCOE!E$17*-1)+1),LCOE!E$38/LCOE!E$17,0)</f>
        <v>0</v>
      </c>
      <c r="C45" s="16"/>
      <c r="D45" s="16"/>
      <c r="E45" s="18"/>
      <c r="Z45" s="50">
        <f t="shared" ref="Z45:Z69" si="3">SUM(B45:C45)</f>
        <v>0</v>
      </c>
      <c r="AA45" s="50">
        <f t="shared" ref="AA45:AA69" si="4">SUM(I45:J45)</f>
        <v>0</v>
      </c>
      <c r="AB45" s="50">
        <f t="shared" ref="AB45:AB69" si="5">L45</f>
        <v>0</v>
      </c>
      <c r="AC45" s="50">
        <f t="shared" ref="AC45:AC69" si="6">SUM(S45:W45)</f>
        <v>0</v>
      </c>
      <c r="AD45" s="50">
        <f>S45</f>
        <v>0</v>
      </c>
      <c r="AE45">
        <v>-25</v>
      </c>
      <c r="AF45" s="12">
        <f>LCOE!E71+LCOE!E$40</f>
        <v>0.03</v>
      </c>
      <c r="AG45">
        <f>(1+AF45)^A45</f>
        <v>0.47760556926165965</v>
      </c>
      <c r="AH45" s="16">
        <f t="shared" ref="AH45:AH108" si="7">Z45/AG45</f>
        <v>0</v>
      </c>
      <c r="AI45" s="16">
        <f t="shared" ref="AI45:AI108" si="8">AA45/AG45</f>
        <v>0</v>
      </c>
      <c r="AJ45" s="16">
        <f t="shared" ref="AJ45:AJ108" si="9">AB45/AG45</f>
        <v>0</v>
      </c>
      <c r="AK45" s="16">
        <f t="shared" ref="AK45:AK108" si="10">AC45/AG45</f>
        <v>0</v>
      </c>
      <c r="AL45" s="16">
        <f>AD45/AG45</f>
        <v>0</v>
      </c>
      <c r="AM45" s="16"/>
    </row>
    <row r="46" spans="1:40">
      <c r="A46">
        <v>-24</v>
      </c>
      <c r="B46" s="16">
        <f>LCOE!C72+IF(A46&gt;=((LCOE!E$17*-1)+1),LCOE!E$38/LCOE!E$17,0)</f>
        <v>0</v>
      </c>
      <c r="C46" s="16"/>
      <c r="D46" s="16"/>
      <c r="E46" s="18"/>
      <c r="Z46" s="50">
        <f t="shared" si="3"/>
        <v>0</v>
      </c>
      <c r="AA46" s="50">
        <f t="shared" si="4"/>
        <v>0</v>
      </c>
      <c r="AB46" s="50">
        <f t="shared" si="5"/>
        <v>0</v>
      </c>
      <c r="AC46" s="50">
        <f t="shared" si="6"/>
        <v>0</v>
      </c>
      <c r="AD46" s="50">
        <f t="shared" ref="AD46:AD109" si="11">S46</f>
        <v>0</v>
      </c>
      <c r="AE46">
        <v>-24</v>
      </c>
      <c r="AF46" s="12">
        <f>LCOE!E72+LCOE!E$40</f>
        <v>0.03</v>
      </c>
      <c r="AG46">
        <f t="shared" ref="AG46:AG109" si="12">(1+AF46)^A46</f>
        <v>0.49193373633950943</v>
      </c>
      <c r="AH46" s="16">
        <f t="shared" si="7"/>
        <v>0</v>
      </c>
      <c r="AI46" s="16">
        <f t="shared" si="8"/>
        <v>0</v>
      </c>
      <c r="AJ46" s="16">
        <f t="shared" si="9"/>
        <v>0</v>
      </c>
      <c r="AK46" s="16">
        <f t="shared" si="10"/>
        <v>0</v>
      </c>
      <c r="AL46" s="16">
        <f t="shared" ref="AL46:AL109" si="13">AD46/AG46</f>
        <v>0</v>
      </c>
      <c r="AM46" s="16"/>
    </row>
    <row r="47" spans="1:40">
      <c r="A47">
        <v>-23</v>
      </c>
      <c r="B47" s="16">
        <f>LCOE!C73+IF(A47&gt;=((LCOE!E$17*-1)+1),LCOE!E$38/LCOE!E$17,0)</f>
        <v>0</v>
      </c>
      <c r="C47" s="16"/>
      <c r="D47" s="16"/>
      <c r="E47" s="18"/>
      <c r="Z47" s="50">
        <f t="shared" si="3"/>
        <v>0</v>
      </c>
      <c r="AA47" s="50">
        <f t="shared" si="4"/>
        <v>0</v>
      </c>
      <c r="AB47" s="50">
        <f t="shared" si="5"/>
        <v>0</v>
      </c>
      <c r="AC47" s="50">
        <f t="shared" si="6"/>
        <v>0</v>
      </c>
      <c r="AD47" s="50">
        <f t="shared" si="11"/>
        <v>0</v>
      </c>
      <c r="AE47">
        <v>-23</v>
      </c>
      <c r="AF47" s="12">
        <f>LCOE!E73+LCOE!E$40</f>
        <v>0.03</v>
      </c>
      <c r="AG47">
        <f t="shared" si="12"/>
        <v>0.50669174842969467</v>
      </c>
      <c r="AH47" s="16">
        <f t="shared" si="7"/>
        <v>0</v>
      </c>
      <c r="AI47" s="16">
        <f t="shared" si="8"/>
        <v>0</v>
      </c>
      <c r="AJ47" s="16">
        <f t="shared" si="9"/>
        <v>0</v>
      </c>
      <c r="AK47" s="16">
        <f t="shared" si="10"/>
        <v>0</v>
      </c>
      <c r="AL47" s="16">
        <f t="shared" si="13"/>
        <v>0</v>
      </c>
      <c r="AM47" s="16"/>
    </row>
    <row r="48" spans="1:40">
      <c r="A48">
        <v>-22</v>
      </c>
      <c r="B48" s="16">
        <f>LCOE!C74+IF(A48&gt;=((LCOE!E$17*-1)+1),LCOE!E$38/LCOE!E$17,0)</f>
        <v>0</v>
      </c>
      <c r="C48" s="16"/>
      <c r="D48" s="16"/>
      <c r="E48" s="18"/>
      <c r="Z48" s="50">
        <f t="shared" si="3"/>
        <v>0</v>
      </c>
      <c r="AA48" s="50">
        <f t="shared" si="4"/>
        <v>0</v>
      </c>
      <c r="AB48" s="50">
        <f t="shared" si="5"/>
        <v>0</v>
      </c>
      <c r="AC48" s="50">
        <f t="shared" si="6"/>
        <v>0</v>
      </c>
      <c r="AD48" s="50">
        <f t="shared" si="11"/>
        <v>0</v>
      </c>
      <c r="AE48">
        <v>-22</v>
      </c>
      <c r="AF48" s="12">
        <f>LCOE!E74+LCOE!E$40</f>
        <v>0.03</v>
      </c>
      <c r="AG48">
        <f t="shared" si="12"/>
        <v>0.52189250088258554</v>
      </c>
      <c r="AH48" s="16">
        <f t="shared" si="7"/>
        <v>0</v>
      </c>
      <c r="AI48" s="16">
        <f t="shared" si="8"/>
        <v>0</v>
      </c>
      <c r="AJ48" s="16">
        <f t="shared" si="9"/>
        <v>0</v>
      </c>
      <c r="AK48" s="16">
        <f t="shared" si="10"/>
        <v>0</v>
      </c>
      <c r="AL48" s="16">
        <f t="shared" si="13"/>
        <v>0</v>
      </c>
      <c r="AM48" s="16"/>
    </row>
    <row r="49" spans="1:39">
      <c r="A49">
        <v>-21</v>
      </c>
      <c r="B49" s="16">
        <f>LCOE!C75+IF(A49&gt;=((LCOE!E$17*-1)+1),LCOE!E$38/LCOE!E$17,0)</f>
        <v>0</v>
      </c>
      <c r="C49" s="16"/>
      <c r="D49" s="16"/>
      <c r="E49" s="18"/>
      <c r="Z49" s="50">
        <f t="shared" si="3"/>
        <v>0</v>
      </c>
      <c r="AA49" s="50">
        <f t="shared" si="4"/>
        <v>0</v>
      </c>
      <c r="AB49" s="50">
        <f t="shared" si="5"/>
        <v>0</v>
      </c>
      <c r="AC49" s="50">
        <f t="shared" si="6"/>
        <v>0</v>
      </c>
      <c r="AD49" s="50">
        <f t="shared" si="11"/>
        <v>0</v>
      </c>
      <c r="AE49">
        <v>-21</v>
      </c>
      <c r="AF49" s="12">
        <f>LCOE!E75+LCOE!E$40</f>
        <v>0.03</v>
      </c>
      <c r="AG49">
        <f t="shared" si="12"/>
        <v>0.5375492759090631</v>
      </c>
      <c r="AH49" s="16">
        <f t="shared" si="7"/>
        <v>0</v>
      </c>
      <c r="AI49" s="16">
        <f t="shared" si="8"/>
        <v>0</v>
      </c>
      <c r="AJ49" s="16">
        <f t="shared" si="9"/>
        <v>0</v>
      </c>
      <c r="AK49" s="16">
        <f t="shared" si="10"/>
        <v>0</v>
      </c>
      <c r="AL49" s="16">
        <f t="shared" si="13"/>
        <v>0</v>
      </c>
      <c r="AM49" s="16"/>
    </row>
    <row r="50" spans="1:39">
      <c r="A50">
        <v>-20</v>
      </c>
      <c r="B50" s="16">
        <f>LCOE!C76+IF(A50&gt;=((LCOE!E$17*-1)+1),LCOE!E$38/LCOE!E$17,0)</f>
        <v>0</v>
      </c>
      <c r="C50" s="16"/>
      <c r="D50" s="16"/>
      <c r="E50" s="18"/>
      <c r="Z50" s="50">
        <f t="shared" si="3"/>
        <v>0</v>
      </c>
      <c r="AA50" s="50">
        <f t="shared" si="4"/>
        <v>0</v>
      </c>
      <c r="AB50" s="50">
        <f t="shared" si="5"/>
        <v>0</v>
      </c>
      <c r="AC50" s="50">
        <f t="shared" si="6"/>
        <v>0</v>
      </c>
      <c r="AD50" s="50">
        <f t="shared" si="11"/>
        <v>0</v>
      </c>
      <c r="AE50">
        <v>-20</v>
      </c>
      <c r="AF50" s="12">
        <f>LCOE!E76+LCOE!E$40</f>
        <v>0.03</v>
      </c>
      <c r="AG50">
        <f t="shared" si="12"/>
        <v>0.55367575418633497</v>
      </c>
      <c r="AH50" s="16">
        <f t="shared" si="7"/>
        <v>0</v>
      </c>
      <c r="AI50" s="16">
        <f t="shared" si="8"/>
        <v>0</v>
      </c>
      <c r="AJ50" s="16">
        <f t="shared" si="9"/>
        <v>0</v>
      </c>
      <c r="AK50" s="16">
        <f t="shared" si="10"/>
        <v>0</v>
      </c>
      <c r="AL50" s="16">
        <f t="shared" si="13"/>
        <v>0</v>
      </c>
      <c r="AM50" s="16"/>
    </row>
    <row r="51" spans="1:39">
      <c r="A51">
        <v>-19</v>
      </c>
      <c r="B51" s="16">
        <f>LCOE!C77+IF(A51&gt;=((LCOE!E$17*-1)+1),LCOE!E$38/LCOE!E$17,0)</f>
        <v>0</v>
      </c>
      <c r="C51" s="16"/>
      <c r="D51" s="16"/>
      <c r="E51" s="18"/>
      <c r="Z51" s="50">
        <f t="shared" si="3"/>
        <v>0</v>
      </c>
      <c r="AA51" s="50">
        <f t="shared" si="4"/>
        <v>0</v>
      </c>
      <c r="AB51" s="50">
        <f t="shared" si="5"/>
        <v>0</v>
      </c>
      <c r="AC51" s="50">
        <f t="shared" si="6"/>
        <v>0</v>
      </c>
      <c r="AD51" s="50">
        <f t="shared" si="11"/>
        <v>0</v>
      </c>
      <c r="AE51">
        <v>-19</v>
      </c>
      <c r="AF51" s="12">
        <f>LCOE!E77+LCOE!E$40</f>
        <v>0.03</v>
      </c>
      <c r="AG51">
        <f t="shared" si="12"/>
        <v>0.57028602681192497</v>
      </c>
      <c r="AH51" s="16">
        <f t="shared" si="7"/>
        <v>0</v>
      </c>
      <c r="AI51" s="16">
        <f t="shared" si="8"/>
        <v>0</v>
      </c>
      <c r="AJ51" s="16">
        <f t="shared" si="9"/>
        <v>0</v>
      </c>
      <c r="AK51" s="16">
        <f t="shared" si="10"/>
        <v>0</v>
      </c>
      <c r="AL51" s="16">
        <f t="shared" si="13"/>
        <v>0</v>
      </c>
      <c r="AM51" s="16"/>
    </row>
    <row r="52" spans="1:39">
      <c r="A52">
        <v>-18</v>
      </c>
      <c r="B52" s="16">
        <f>LCOE!C78+IF(A52&gt;=((LCOE!E$17*-1)+1),LCOE!E$38/LCOE!E$17,0)</f>
        <v>0</v>
      </c>
      <c r="C52" s="16"/>
      <c r="D52" s="16"/>
      <c r="E52" s="18"/>
      <c r="Z52" s="50">
        <f t="shared" si="3"/>
        <v>0</v>
      </c>
      <c r="AA52" s="50">
        <f t="shared" si="4"/>
        <v>0</v>
      </c>
      <c r="AB52" s="50">
        <f t="shared" si="5"/>
        <v>0</v>
      </c>
      <c r="AC52" s="50">
        <f t="shared" si="6"/>
        <v>0</v>
      </c>
      <c r="AD52" s="50">
        <f t="shared" si="11"/>
        <v>0</v>
      </c>
      <c r="AE52">
        <v>-18</v>
      </c>
      <c r="AF52" s="12">
        <f>LCOE!E78+LCOE!E$40</f>
        <v>0.03</v>
      </c>
      <c r="AG52">
        <f t="shared" si="12"/>
        <v>0.5873946076162827</v>
      </c>
      <c r="AH52" s="16">
        <f t="shared" si="7"/>
        <v>0</v>
      </c>
      <c r="AI52" s="16">
        <f t="shared" si="8"/>
        <v>0</v>
      </c>
      <c r="AJ52" s="16">
        <f t="shared" si="9"/>
        <v>0</v>
      </c>
      <c r="AK52" s="16">
        <f t="shared" si="10"/>
        <v>0</v>
      </c>
      <c r="AL52" s="16">
        <f t="shared" si="13"/>
        <v>0</v>
      </c>
      <c r="AM52" s="16"/>
    </row>
    <row r="53" spans="1:39">
      <c r="A53">
        <v>-17</v>
      </c>
      <c r="B53" s="16">
        <f>LCOE!C79+IF(A53&gt;=((LCOE!E$17*-1)+1),LCOE!E$38/LCOE!E$17,0)</f>
        <v>0</v>
      </c>
      <c r="C53" s="16"/>
      <c r="D53" s="16"/>
      <c r="E53" s="18"/>
      <c r="Z53" s="50">
        <f t="shared" si="3"/>
        <v>0</v>
      </c>
      <c r="AA53" s="50">
        <f t="shared" si="4"/>
        <v>0</v>
      </c>
      <c r="AB53" s="50">
        <f t="shared" si="5"/>
        <v>0</v>
      </c>
      <c r="AC53" s="50">
        <f t="shared" si="6"/>
        <v>0</v>
      </c>
      <c r="AD53" s="50">
        <f t="shared" si="11"/>
        <v>0</v>
      </c>
      <c r="AE53">
        <v>-17</v>
      </c>
      <c r="AF53" s="12">
        <f>LCOE!E79+LCOE!E$40</f>
        <v>0.03</v>
      </c>
      <c r="AG53">
        <f t="shared" si="12"/>
        <v>0.60501644584477121</v>
      </c>
      <c r="AH53" s="16">
        <f t="shared" si="7"/>
        <v>0</v>
      </c>
      <c r="AI53" s="16">
        <f t="shared" si="8"/>
        <v>0</v>
      </c>
      <c r="AJ53" s="16">
        <f t="shared" si="9"/>
        <v>0</v>
      </c>
      <c r="AK53" s="16">
        <f t="shared" si="10"/>
        <v>0</v>
      </c>
      <c r="AL53" s="16">
        <f t="shared" si="13"/>
        <v>0</v>
      </c>
      <c r="AM53" s="16"/>
    </row>
    <row r="54" spans="1:39">
      <c r="A54">
        <v>-16</v>
      </c>
      <c r="B54" s="16">
        <f>LCOE!C80+IF(A54&gt;=((LCOE!E$17*-1)+1),LCOE!E$38/LCOE!E$17,0)</f>
        <v>0</v>
      </c>
      <c r="C54" s="16"/>
      <c r="D54" s="16"/>
      <c r="E54" s="18"/>
      <c r="Z54" s="50">
        <f t="shared" si="3"/>
        <v>0</v>
      </c>
      <c r="AA54" s="50">
        <f t="shared" si="4"/>
        <v>0</v>
      </c>
      <c r="AB54" s="50">
        <f t="shared" si="5"/>
        <v>0</v>
      </c>
      <c r="AC54" s="50">
        <f t="shared" si="6"/>
        <v>0</v>
      </c>
      <c r="AD54" s="50">
        <f t="shared" si="11"/>
        <v>0</v>
      </c>
      <c r="AE54">
        <v>-16</v>
      </c>
      <c r="AF54" s="12">
        <f>LCOE!E80+LCOE!E$40</f>
        <v>0.03</v>
      </c>
      <c r="AG54">
        <f t="shared" si="12"/>
        <v>0.62316693922011435</v>
      </c>
      <c r="AH54" s="16">
        <f t="shared" si="7"/>
        <v>0</v>
      </c>
      <c r="AI54" s="16">
        <f t="shared" si="8"/>
        <v>0</v>
      </c>
      <c r="AJ54" s="16">
        <f t="shared" si="9"/>
        <v>0</v>
      </c>
      <c r="AK54" s="16">
        <f t="shared" si="10"/>
        <v>0</v>
      </c>
      <c r="AL54" s="16">
        <f t="shared" si="13"/>
        <v>0</v>
      </c>
      <c r="AM54" s="16"/>
    </row>
    <row r="55" spans="1:39">
      <c r="A55">
        <v>-15</v>
      </c>
      <c r="B55" s="16">
        <f>LCOE!C81+IF(A55&gt;=((LCOE!E$17*-1)+1),LCOE!E$38/LCOE!E$17,0)</f>
        <v>0</v>
      </c>
      <c r="C55" s="16"/>
      <c r="D55" s="16"/>
      <c r="E55" s="18"/>
      <c r="Z55" s="50">
        <f t="shared" si="3"/>
        <v>0</v>
      </c>
      <c r="AA55" s="50">
        <f t="shared" si="4"/>
        <v>0</v>
      </c>
      <c r="AB55" s="50">
        <f t="shared" si="5"/>
        <v>0</v>
      </c>
      <c r="AC55" s="50">
        <f t="shared" si="6"/>
        <v>0</v>
      </c>
      <c r="AD55" s="50">
        <f t="shared" si="11"/>
        <v>0</v>
      </c>
      <c r="AE55">
        <v>-15</v>
      </c>
      <c r="AF55" s="12">
        <f>LCOE!E81+LCOE!E$40</f>
        <v>0.03</v>
      </c>
      <c r="AG55">
        <f t="shared" si="12"/>
        <v>0.64186194739671765</v>
      </c>
      <c r="AH55" s="16">
        <f t="shared" si="7"/>
        <v>0</v>
      </c>
      <c r="AI55" s="16">
        <f t="shared" si="8"/>
        <v>0</v>
      </c>
      <c r="AJ55" s="16">
        <f t="shared" si="9"/>
        <v>0</v>
      </c>
      <c r="AK55" s="16">
        <f t="shared" si="10"/>
        <v>0</v>
      </c>
      <c r="AL55" s="16">
        <f t="shared" si="13"/>
        <v>0</v>
      </c>
      <c r="AM55" s="16"/>
    </row>
    <row r="56" spans="1:39">
      <c r="A56">
        <v>-14</v>
      </c>
      <c r="B56" s="16">
        <f>LCOE!C82+IF(A56&gt;=((LCOE!E$17*-1)+1),LCOE!E$38/LCOE!E$17,0)</f>
        <v>0</v>
      </c>
      <c r="C56" s="16"/>
      <c r="D56" s="16"/>
      <c r="E56" s="18"/>
      <c r="Z56" s="50">
        <f t="shared" si="3"/>
        <v>0</v>
      </c>
      <c r="AA56" s="50">
        <f t="shared" si="4"/>
        <v>0</v>
      </c>
      <c r="AB56" s="50">
        <f t="shared" si="5"/>
        <v>0</v>
      </c>
      <c r="AC56" s="50">
        <f t="shared" si="6"/>
        <v>0</v>
      </c>
      <c r="AD56" s="50">
        <f t="shared" si="11"/>
        <v>0</v>
      </c>
      <c r="AE56">
        <v>-14</v>
      </c>
      <c r="AF56" s="12">
        <f>LCOE!E82+LCOE!E$40</f>
        <v>0.03</v>
      </c>
      <c r="AG56">
        <f t="shared" si="12"/>
        <v>0.66111780581861923</v>
      </c>
      <c r="AH56" s="16">
        <f t="shared" si="7"/>
        <v>0</v>
      </c>
      <c r="AI56" s="16">
        <f t="shared" si="8"/>
        <v>0</v>
      </c>
      <c r="AJ56" s="16">
        <f t="shared" si="9"/>
        <v>0</v>
      </c>
      <c r="AK56" s="16">
        <f t="shared" si="10"/>
        <v>0</v>
      </c>
      <c r="AL56" s="16">
        <f t="shared" si="13"/>
        <v>0</v>
      </c>
      <c r="AM56" s="16"/>
    </row>
    <row r="57" spans="1:39">
      <c r="A57">
        <v>-13</v>
      </c>
      <c r="B57" s="16">
        <f>LCOE!C83+IF(A57&gt;=((LCOE!E$17*-1)+1),LCOE!E$38/LCOE!E$17,0)</f>
        <v>0</v>
      </c>
      <c r="C57" s="16"/>
      <c r="D57" s="16"/>
      <c r="E57" s="18"/>
      <c r="Z57" s="50">
        <f t="shared" si="3"/>
        <v>0</v>
      </c>
      <c r="AA57" s="50">
        <f t="shared" si="4"/>
        <v>0</v>
      </c>
      <c r="AB57" s="50">
        <f t="shared" si="5"/>
        <v>0</v>
      </c>
      <c r="AC57" s="50">
        <f t="shared" si="6"/>
        <v>0</v>
      </c>
      <c r="AD57" s="50">
        <f t="shared" si="11"/>
        <v>0</v>
      </c>
      <c r="AE57">
        <v>-13</v>
      </c>
      <c r="AF57" s="12">
        <f>LCOE!E83+LCOE!E$40</f>
        <v>0.03</v>
      </c>
      <c r="AG57">
        <f t="shared" si="12"/>
        <v>0.68095133999317792</v>
      </c>
      <c r="AH57" s="16">
        <f t="shared" si="7"/>
        <v>0</v>
      </c>
      <c r="AI57" s="16">
        <f t="shared" si="8"/>
        <v>0</v>
      </c>
      <c r="AJ57" s="16">
        <f t="shared" si="9"/>
        <v>0</v>
      </c>
      <c r="AK57" s="16">
        <f t="shared" si="10"/>
        <v>0</v>
      </c>
      <c r="AL57" s="16">
        <f t="shared" si="13"/>
        <v>0</v>
      </c>
      <c r="AM57" s="16"/>
    </row>
    <row r="58" spans="1:39">
      <c r="A58">
        <v>-12</v>
      </c>
      <c r="B58" s="16">
        <f>LCOE!C84+IF(A58&gt;=((LCOE!E$17*-1)+1),LCOE!E$38/LCOE!E$17,0)</f>
        <v>0</v>
      </c>
      <c r="C58" s="16"/>
      <c r="D58" s="16"/>
      <c r="E58" s="18"/>
      <c r="Z58" s="50">
        <f t="shared" si="3"/>
        <v>0</v>
      </c>
      <c r="AA58" s="50">
        <f t="shared" si="4"/>
        <v>0</v>
      </c>
      <c r="AB58" s="50">
        <f t="shared" si="5"/>
        <v>0</v>
      </c>
      <c r="AC58" s="50">
        <f t="shared" si="6"/>
        <v>0</v>
      </c>
      <c r="AD58" s="50">
        <f t="shared" si="11"/>
        <v>0</v>
      </c>
      <c r="AE58">
        <v>-12</v>
      </c>
      <c r="AF58" s="12">
        <f>LCOE!E84+LCOE!E$40</f>
        <v>0.03</v>
      </c>
      <c r="AG58">
        <f t="shared" si="12"/>
        <v>0.70137988019297326</v>
      </c>
      <c r="AH58" s="16">
        <f t="shared" si="7"/>
        <v>0</v>
      </c>
      <c r="AI58" s="16">
        <f t="shared" si="8"/>
        <v>0</v>
      </c>
      <c r="AJ58" s="16">
        <f t="shared" si="9"/>
        <v>0</v>
      </c>
      <c r="AK58" s="16">
        <f t="shared" si="10"/>
        <v>0</v>
      </c>
      <c r="AL58" s="16">
        <f t="shared" si="13"/>
        <v>0</v>
      </c>
      <c r="AM58" s="16"/>
    </row>
    <row r="59" spans="1:39">
      <c r="A59">
        <v>-11</v>
      </c>
      <c r="B59" s="16">
        <f>LCOE!C85+IF(A59&gt;=((LCOE!E$17*-1)+1),LCOE!E$38/LCOE!E$17,0)</f>
        <v>0</v>
      </c>
      <c r="C59" s="16"/>
      <c r="D59" s="16"/>
      <c r="E59" s="18"/>
      <c r="Z59" s="50">
        <f t="shared" si="3"/>
        <v>0</v>
      </c>
      <c r="AA59" s="50">
        <f t="shared" si="4"/>
        <v>0</v>
      </c>
      <c r="AB59" s="50">
        <f t="shared" si="5"/>
        <v>0</v>
      </c>
      <c r="AC59" s="50">
        <f t="shared" si="6"/>
        <v>0</v>
      </c>
      <c r="AD59" s="50">
        <f t="shared" si="11"/>
        <v>0</v>
      </c>
      <c r="AE59">
        <v>-11</v>
      </c>
      <c r="AF59" s="12">
        <f>LCOE!E85+LCOE!E$40</f>
        <v>0.03</v>
      </c>
      <c r="AG59">
        <f t="shared" si="12"/>
        <v>0.72242127659876232</v>
      </c>
      <c r="AH59" s="16">
        <f t="shared" si="7"/>
        <v>0</v>
      </c>
      <c r="AI59" s="16">
        <f t="shared" si="8"/>
        <v>0</v>
      </c>
      <c r="AJ59" s="16">
        <f t="shared" si="9"/>
        <v>0</v>
      </c>
      <c r="AK59" s="16">
        <f t="shared" si="10"/>
        <v>0</v>
      </c>
      <c r="AL59" s="16">
        <f t="shared" si="13"/>
        <v>0</v>
      </c>
      <c r="AM59" s="16"/>
    </row>
    <row r="60" spans="1:39">
      <c r="A60">
        <v>-10</v>
      </c>
      <c r="B60" s="16">
        <f>LCOE!C86+IF(A60&gt;=((LCOE!E$17*-1)+1),LCOE!E$38/LCOE!E$17,0)</f>
        <v>0</v>
      </c>
      <c r="C60" s="16"/>
      <c r="D60" s="16"/>
      <c r="E60" s="18"/>
      <c r="Z60" s="50">
        <f t="shared" si="3"/>
        <v>0</v>
      </c>
      <c r="AA60" s="50">
        <f t="shared" si="4"/>
        <v>0</v>
      </c>
      <c r="AB60" s="50">
        <f t="shared" si="5"/>
        <v>0</v>
      </c>
      <c r="AC60" s="50">
        <f t="shared" si="6"/>
        <v>0</v>
      </c>
      <c r="AD60" s="50">
        <f t="shared" si="11"/>
        <v>0</v>
      </c>
      <c r="AE60">
        <v>-10</v>
      </c>
      <c r="AF60" s="12">
        <f>LCOE!E86+LCOE!E$40</f>
        <v>0.03</v>
      </c>
      <c r="AG60">
        <f t="shared" si="12"/>
        <v>0.74409391489672516</v>
      </c>
      <c r="AH60" s="16">
        <f t="shared" si="7"/>
        <v>0</v>
      </c>
      <c r="AI60" s="16">
        <f t="shared" si="8"/>
        <v>0</v>
      </c>
      <c r="AJ60" s="16">
        <f t="shared" si="9"/>
        <v>0</v>
      </c>
      <c r="AK60" s="16">
        <f t="shared" si="10"/>
        <v>0</v>
      </c>
      <c r="AL60" s="16">
        <f t="shared" si="13"/>
        <v>0</v>
      </c>
      <c r="AM60" s="16"/>
    </row>
    <row r="61" spans="1:39">
      <c r="A61">
        <v>-9</v>
      </c>
      <c r="B61" s="16">
        <f>LCOE!C87+IF(A61&gt;=((LCOE!E$17*-1)+1),LCOE!E$38/LCOE!E$17,0)</f>
        <v>0</v>
      </c>
      <c r="C61" s="16"/>
      <c r="D61" s="16"/>
      <c r="E61" s="18"/>
      <c r="Z61" s="50">
        <f t="shared" si="3"/>
        <v>0</v>
      </c>
      <c r="AA61" s="50">
        <f t="shared" si="4"/>
        <v>0</v>
      </c>
      <c r="AB61" s="50">
        <f t="shared" si="5"/>
        <v>0</v>
      </c>
      <c r="AC61" s="50">
        <f t="shared" si="6"/>
        <v>0</v>
      </c>
      <c r="AD61" s="50">
        <f t="shared" si="11"/>
        <v>0</v>
      </c>
      <c r="AE61">
        <v>-9</v>
      </c>
      <c r="AF61" s="12">
        <f>LCOE!E87+LCOE!E$40</f>
        <v>0.03</v>
      </c>
      <c r="AG61">
        <f t="shared" si="12"/>
        <v>0.76641673234362695</v>
      </c>
      <c r="AH61" s="16">
        <f t="shared" si="7"/>
        <v>0</v>
      </c>
      <c r="AI61" s="16">
        <f t="shared" si="8"/>
        <v>0</v>
      </c>
      <c r="AJ61" s="16">
        <f t="shared" si="9"/>
        <v>0</v>
      </c>
      <c r="AK61" s="16">
        <f t="shared" si="10"/>
        <v>0</v>
      </c>
      <c r="AL61" s="16">
        <f t="shared" si="13"/>
        <v>0</v>
      </c>
      <c r="AM61" s="16"/>
    </row>
    <row r="62" spans="1:39">
      <c r="A62">
        <v>-8</v>
      </c>
      <c r="B62" s="16">
        <f>LCOE!C88+IF(A62&gt;=((LCOE!E$17*-1)+1),LCOE!E$38/LCOE!E$17,0)</f>
        <v>0</v>
      </c>
      <c r="C62" s="16"/>
      <c r="D62" s="16"/>
      <c r="E62" s="18"/>
      <c r="Z62" s="50">
        <f t="shared" si="3"/>
        <v>0</v>
      </c>
      <c r="AA62" s="50">
        <f t="shared" si="4"/>
        <v>0</v>
      </c>
      <c r="AB62" s="50">
        <f t="shared" si="5"/>
        <v>0</v>
      </c>
      <c r="AC62" s="50">
        <f t="shared" si="6"/>
        <v>0</v>
      </c>
      <c r="AD62" s="50">
        <f t="shared" si="11"/>
        <v>0</v>
      </c>
      <c r="AE62">
        <v>-8</v>
      </c>
      <c r="AF62" s="12">
        <f>LCOE!E88+LCOE!E$40</f>
        <v>0.03</v>
      </c>
      <c r="AG62">
        <f t="shared" si="12"/>
        <v>0.78940923431393573</v>
      </c>
      <c r="AH62" s="16">
        <f t="shared" si="7"/>
        <v>0</v>
      </c>
      <c r="AI62" s="16">
        <f t="shared" si="8"/>
        <v>0</v>
      </c>
      <c r="AJ62" s="16">
        <f t="shared" si="9"/>
        <v>0</v>
      </c>
      <c r="AK62" s="16">
        <f t="shared" si="10"/>
        <v>0</v>
      </c>
      <c r="AL62" s="16">
        <f t="shared" si="13"/>
        <v>0</v>
      </c>
      <c r="AM62" s="16"/>
    </row>
    <row r="63" spans="1:39">
      <c r="A63">
        <v>-7</v>
      </c>
      <c r="B63" s="16">
        <f>LCOE!C89+IF(A63&gt;=((LCOE!E$17*-1)+1),LCOE!E$38/LCOE!E$17,0)</f>
        <v>0</v>
      </c>
      <c r="C63" s="16"/>
      <c r="D63" s="16"/>
      <c r="E63" s="18"/>
      <c r="Z63" s="50">
        <f t="shared" si="3"/>
        <v>0</v>
      </c>
      <c r="AA63" s="50">
        <f t="shared" si="4"/>
        <v>0</v>
      </c>
      <c r="AB63" s="50">
        <f t="shared" si="5"/>
        <v>0</v>
      </c>
      <c r="AC63" s="50">
        <f t="shared" si="6"/>
        <v>0</v>
      </c>
      <c r="AD63" s="50">
        <f t="shared" si="11"/>
        <v>0</v>
      </c>
      <c r="AE63">
        <v>-7</v>
      </c>
      <c r="AF63" s="12">
        <f>LCOE!E89+LCOE!E$40</f>
        <v>0.03</v>
      </c>
      <c r="AG63">
        <f t="shared" si="12"/>
        <v>0.81309151134335378</v>
      </c>
      <c r="AH63" s="16">
        <f t="shared" si="7"/>
        <v>0</v>
      </c>
      <c r="AI63" s="16">
        <f t="shared" si="8"/>
        <v>0</v>
      </c>
      <c r="AJ63" s="16">
        <f t="shared" si="9"/>
        <v>0</v>
      </c>
      <c r="AK63" s="16">
        <f t="shared" si="10"/>
        <v>0</v>
      </c>
      <c r="AL63" s="16">
        <f t="shared" si="13"/>
        <v>0</v>
      </c>
      <c r="AM63" s="16"/>
    </row>
    <row r="64" spans="1:39">
      <c r="A64">
        <v>-6</v>
      </c>
      <c r="B64" s="16">
        <f>LCOE!C90+IF(A64&gt;=((LCOE!E$17*-1)+1),LCOE!E$38/LCOE!E$17,0)</f>
        <v>0</v>
      </c>
      <c r="C64" s="16"/>
      <c r="D64" s="16"/>
      <c r="E64" s="18"/>
      <c r="Z64" s="50">
        <f t="shared" si="3"/>
        <v>0</v>
      </c>
      <c r="AA64" s="50">
        <f t="shared" si="4"/>
        <v>0</v>
      </c>
      <c r="AB64" s="50">
        <f t="shared" si="5"/>
        <v>0</v>
      </c>
      <c r="AC64" s="50">
        <f t="shared" si="6"/>
        <v>0</v>
      </c>
      <c r="AD64" s="50">
        <f t="shared" si="11"/>
        <v>0</v>
      </c>
      <c r="AE64">
        <v>-6</v>
      </c>
      <c r="AF64" s="12">
        <f>LCOE!E90+LCOE!E$40</f>
        <v>0.03</v>
      </c>
      <c r="AG64">
        <f t="shared" si="12"/>
        <v>0.83748425668365445</v>
      </c>
      <c r="AH64" s="16">
        <f t="shared" si="7"/>
        <v>0</v>
      </c>
      <c r="AI64" s="16">
        <f t="shared" si="8"/>
        <v>0</v>
      </c>
      <c r="AJ64" s="16">
        <f t="shared" si="9"/>
        <v>0</v>
      </c>
      <c r="AK64" s="16">
        <f t="shared" si="10"/>
        <v>0</v>
      </c>
      <c r="AL64" s="16">
        <f t="shared" si="13"/>
        <v>0</v>
      </c>
      <c r="AM64" s="16"/>
    </row>
    <row r="65" spans="1:40">
      <c r="A65">
        <v>-5</v>
      </c>
      <c r="B65" s="16">
        <f>LCOE!C91+IF(A65&gt;=((LCOE!E$17*-1)+1),LCOE!E$38/LCOE!E$17,0)</f>
        <v>0</v>
      </c>
      <c r="C65" s="16"/>
      <c r="D65" s="16"/>
      <c r="E65" s="18"/>
      <c r="Z65" s="50">
        <f t="shared" si="3"/>
        <v>0</v>
      </c>
      <c r="AA65" s="50">
        <f t="shared" si="4"/>
        <v>0</v>
      </c>
      <c r="AB65" s="50">
        <f t="shared" si="5"/>
        <v>0</v>
      </c>
      <c r="AC65" s="50">
        <f t="shared" si="6"/>
        <v>0</v>
      </c>
      <c r="AD65" s="50">
        <f t="shared" si="11"/>
        <v>0</v>
      </c>
      <c r="AE65">
        <v>-5</v>
      </c>
      <c r="AF65" s="12">
        <f>LCOE!E91+LCOE!E$40</f>
        <v>0.03</v>
      </c>
      <c r="AG65">
        <f t="shared" si="12"/>
        <v>0.86260878438416411</v>
      </c>
      <c r="AH65" s="16">
        <f t="shared" si="7"/>
        <v>0</v>
      </c>
      <c r="AI65" s="16">
        <f t="shared" si="8"/>
        <v>0</v>
      </c>
      <c r="AJ65" s="16">
        <f t="shared" si="9"/>
        <v>0</v>
      </c>
      <c r="AK65" s="16">
        <f t="shared" si="10"/>
        <v>0</v>
      </c>
      <c r="AL65" s="16">
        <f t="shared" si="13"/>
        <v>0</v>
      </c>
      <c r="AM65" s="16"/>
    </row>
    <row r="66" spans="1:40">
      <c r="A66">
        <v>-4</v>
      </c>
      <c r="B66" s="16">
        <f>LCOE!C92+IF(A66&gt;=((LCOE!E$17*-1)+1),LCOE!E$38/LCOE!E$17,0)</f>
        <v>0</v>
      </c>
      <c r="C66" s="16"/>
      <c r="D66" s="16"/>
      <c r="E66" s="18"/>
      <c r="Z66" s="50">
        <f t="shared" si="3"/>
        <v>0</v>
      </c>
      <c r="AA66" s="50">
        <f t="shared" si="4"/>
        <v>0</v>
      </c>
      <c r="AB66" s="50">
        <f t="shared" si="5"/>
        <v>0</v>
      </c>
      <c r="AC66" s="50">
        <f t="shared" si="6"/>
        <v>0</v>
      </c>
      <c r="AD66" s="50">
        <f t="shared" si="11"/>
        <v>0</v>
      </c>
      <c r="AE66">
        <v>-4</v>
      </c>
      <c r="AF66" s="12">
        <f>LCOE!E92+LCOE!E$40</f>
        <v>0.03</v>
      </c>
      <c r="AG66">
        <f t="shared" si="12"/>
        <v>0.888487047915689</v>
      </c>
      <c r="AH66" s="16">
        <f t="shared" si="7"/>
        <v>0</v>
      </c>
      <c r="AI66" s="16">
        <f t="shared" si="8"/>
        <v>0</v>
      </c>
      <c r="AJ66" s="16">
        <f t="shared" si="9"/>
        <v>0</v>
      </c>
      <c r="AK66" s="16">
        <f t="shared" si="10"/>
        <v>0</v>
      </c>
      <c r="AL66" s="16">
        <f t="shared" si="13"/>
        <v>0</v>
      </c>
      <c r="AM66" s="16"/>
    </row>
    <row r="67" spans="1:40">
      <c r="A67">
        <v>-3</v>
      </c>
      <c r="B67" s="16">
        <f>LCOE!C93+IF(A67&gt;=((LCOE!E$17*-1)+1),LCOE!E$38/LCOE!E$17,0)</f>
        <v>0</v>
      </c>
      <c r="C67" s="16"/>
      <c r="D67" s="16"/>
      <c r="E67" s="18"/>
      <c r="Z67" s="50">
        <f t="shared" si="3"/>
        <v>0</v>
      </c>
      <c r="AA67" s="50">
        <f t="shared" si="4"/>
        <v>0</v>
      </c>
      <c r="AB67" s="50">
        <f t="shared" si="5"/>
        <v>0</v>
      </c>
      <c r="AC67" s="50">
        <f t="shared" si="6"/>
        <v>0</v>
      </c>
      <c r="AD67" s="50">
        <f t="shared" si="11"/>
        <v>0</v>
      </c>
      <c r="AE67">
        <v>-3</v>
      </c>
      <c r="AF67" s="12">
        <f>LCOE!E93+LCOE!E$40</f>
        <v>0.03</v>
      </c>
      <c r="AG67">
        <f t="shared" si="12"/>
        <v>0.91514165935315961</v>
      </c>
      <c r="AH67" s="16">
        <f t="shared" si="7"/>
        <v>0</v>
      </c>
      <c r="AI67" s="16">
        <f t="shared" si="8"/>
        <v>0</v>
      </c>
      <c r="AJ67" s="16">
        <f t="shared" si="9"/>
        <v>0</v>
      </c>
      <c r="AK67" s="16">
        <f t="shared" si="10"/>
        <v>0</v>
      </c>
      <c r="AL67" s="16">
        <f t="shared" si="13"/>
        <v>0</v>
      </c>
      <c r="AM67" s="16"/>
    </row>
    <row r="68" spans="1:40">
      <c r="A68">
        <v>-2</v>
      </c>
      <c r="B68" s="16">
        <f>LCOE!C94+IF(A68&gt;=((LCOE!E$17*-1)+1),LCOE!E$38/LCOE!E$17,0)</f>
        <v>168166666.66666666</v>
      </c>
      <c r="C68" s="16"/>
      <c r="D68" s="16"/>
      <c r="E68" s="18"/>
      <c r="Z68" s="50">
        <f t="shared" si="3"/>
        <v>168166666.66666666</v>
      </c>
      <c r="AA68" s="50">
        <f t="shared" si="4"/>
        <v>0</v>
      </c>
      <c r="AB68" s="50">
        <f t="shared" si="5"/>
        <v>0</v>
      </c>
      <c r="AC68" s="50">
        <f t="shared" si="6"/>
        <v>0</v>
      </c>
      <c r="AD68" s="50">
        <f t="shared" si="11"/>
        <v>0</v>
      </c>
      <c r="AE68">
        <v>-2</v>
      </c>
      <c r="AF68" s="12">
        <f>LCOE!E94+LCOE!E$40</f>
        <v>0.03</v>
      </c>
      <c r="AG68">
        <f t="shared" si="12"/>
        <v>0.94259590913375435</v>
      </c>
      <c r="AH68" s="16">
        <f t="shared" si="7"/>
        <v>178408016.66666666</v>
      </c>
      <c r="AI68" s="16">
        <f t="shared" si="8"/>
        <v>0</v>
      </c>
      <c r="AJ68" s="16">
        <f t="shared" si="9"/>
        <v>0</v>
      </c>
      <c r="AK68" s="16">
        <f t="shared" si="10"/>
        <v>0</v>
      </c>
      <c r="AL68" s="16">
        <f t="shared" si="13"/>
        <v>0</v>
      </c>
      <c r="AM68" s="16"/>
    </row>
    <row r="69" spans="1:40">
      <c r="A69">
        <v>-1</v>
      </c>
      <c r="B69" s="16">
        <f>LCOE!C95+IF(A69&gt;=((LCOE!E$17*-1)+1),LCOE!E$38/LCOE!E$17,0)</f>
        <v>168166666.66666666</v>
      </c>
      <c r="C69" s="16"/>
      <c r="D69" s="16"/>
      <c r="E69" s="18"/>
      <c r="Z69" s="50">
        <f t="shared" si="3"/>
        <v>168166666.66666666</v>
      </c>
      <c r="AA69" s="50">
        <f t="shared" si="4"/>
        <v>0</v>
      </c>
      <c r="AB69" s="50">
        <f t="shared" si="5"/>
        <v>0</v>
      </c>
      <c r="AC69" s="50">
        <f t="shared" si="6"/>
        <v>0</v>
      </c>
      <c r="AD69" s="50">
        <f t="shared" si="11"/>
        <v>0</v>
      </c>
      <c r="AE69">
        <v>-1</v>
      </c>
      <c r="AF69" s="12">
        <f>LCOE!E95+LCOE!E$40</f>
        <v>0.03</v>
      </c>
      <c r="AG69">
        <f t="shared" si="12"/>
        <v>0.970873786407767</v>
      </c>
      <c r="AH69" s="16">
        <f t="shared" si="7"/>
        <v>173211666.66666666</v>
      </c>
      <c r="AI69" s="16">
        <f t="shared" si="8"/>
        <v>0</v>
      </c>
      <c r="AJ69" s="16">
        <f t="shared" si="9"/>
        <v>0</v>
      </c>
      <c r="AK69" s="16">
        <f t="shared" si="10"/>
        <v>0</v>
      </c>
      <c r="AL69" s="16">
        <f t="shared" si="13"/>
        <v>0</v>
      </c>
      <c r="AM69" s="16"/>
    </row>
    <row r="70" spans="1:40">
      <c r="A70">
        <v>0</v>
      </c>
      <c r="B70" s="16">
        <f>LCOE!C96+IF(A70&gt;=((LCOE!E$17*-1)+1),LCOE!E$38/LCOE!E$17,0)</f>
        <v>168166666.66666666</v>
      </c>
      <c r="C70" s="16">
        <f>LCOE!E96+IF(AND(LCOE!E$26&gt;0,A70&gt;=LCOE!E$26,A70&lt;=(LCOE!E$26+LCOE!E$27-1)),LCOE!E$42/LCOE!E$27,0)+IF(AND(D70=0,AE70&gt;=LCOE!E$16,COUNTIF(D45:D70,0)=LCOE!E$36),LCOE!E$35*LCOE!E$38,0)</f>
        <v>0</v>
      </c>
      <c r="D70" s="16">
        <f>IF(AE69&lt;LCOE!E$16,1,0)</f>
        <v>1</v>
      </c>
      <c r="E70" s="12">
        <f>LCOE!G96+IF(AND(A70&gt;=LCOE!E$26,A70&lt;=(LCOE!E$26+LCOE!E$27-1)),0,1)*IF(A70=LCOE!E$34,0,1)*D70</f>
        <v>1</v>
      </c>
      <c r="F70" s="14">
        <f>LCOE!E$18*50%+LCOE!J96</f>
        <v>0.45</v>
      </c>
      <c r="G70" s="16">
        <f>LCOE!K96+E70*F70*N70*(LCOE!E$14+LCOE!H96)*24*365*D70</f>
        <v>1971000</v>
      </c>
      <c r="H70" s="16">
        <f>LCOE!L96+F70*(LCOE!E$15+LCOE!I96)*E70*24*365*D70*N70</f>
        <v>0</v>
      </c>
      <c r="I70" s="16">
        <f>LCOE!M96+LCOE!E$20*IF(LCOE!E$14&gt;0,(LCOE!E$14+LCOE!H96),(LCOE!E$15+LCOE!I96))*K70*D70</f>
        <v>20000000</v>
      </c>
      <c r="J70" s="16">
        <f>LCOE!N96+LCOE!E$21*IF(LCOE!E$14&gt;0,G70,H70)*K70*D70</f>
        <v>0</v>
      </c>
      <c r="K70" s="15">
        <f>LCOE!O96+100%</f>
        <v>1</v>
      </c>
      <c r="L70" s="16">
        <f>LCOE!P96+LCOE!E$23*IF(LCOE!E$14&gt;0,G70,H70)*M70*D70</f>
        <v>84082860</v>
      </c>
      <c r="M70" s="15">
        <f>LCOE!Q96+100%</f>
        <v>1</v>
      </c>
      <c r="N70" s="15">
        <f>LCOE!R96+100%</f>
        <v>1</v>
      </c>
      <c r="O70" s="18">
        <f>LCOE!S96+LCOE!E$29</f>
        <v>313.75</v>
      </c>
      <c r="P70" s="12">
        <f>LCOE!T96+IF(A70&gt;=LCOE!E$30,100%,0%)</f>
        <v>1</v>
      </c>
      <c r="Q70" s="16">
        <f>LCOE!U96+O70/1000*IF(LCOE!E$14&gt;0,G70,H70)</f>
        <v>618401.25</v>
      </c>
      <c r="R70" s="16">
        <f>LCOE!B96</f>
        <v>30</v>
      </c>
      <c r="S70" s="16">
        <f>LCOE!V96+Q70*P70*R70</f>
        <v>18552037.5</v>
      </c>
      <c r="T70" s="16">
        <f>LCOE!W96+LCOE!E$31</f>
        <v>0</v>
      </c>
      <c r="U70" s="16">
        <f>LCOE!X96+T70*IF(LCOE!E$14&gt;0,G70,H70)</f>
        <v>0</v>
      </c>
      <c r="V70" s="16">
        <f>LCOE!Y96+LCOE!E$32</f>
        <v>0</v>
      </c>
      <c r="W70" s="16">
        <f>LCOE!Z96+V70*IF(LCOE!E$14&gt;0,G70,H70)</f>
        <v>0</v>
      </c>
      <c r="X70" s="16">
        <f>LCOE!AA96+LCOE!E$34</f>
        <v>101</v>
      </c>
      <c r="Y70" s="16">
        <f>X70*H70</f>
        <v>0</v>
      </c>
      <c r="Z70" s="50">
        <f>SUM(B70:C70)</f>
        <v>168166666.66666666</v>
      </c>
      <c r="AA70" s="50">
        <f>SUM(I70:J70)</f>
        <v>20000000</v>
      </c>
      <c r="AB70" s="50">
        <f>L70</f>
        <v>84082860</v>
      </c>
      <c r="AC70" s="50">
        <f>U70+W70</f>
        <v>0</v>
      </c>
      <c r="AD70" s="50">
        <f t="shared" si="11"/>
        <v>18552037.5</v>
      </c>
      <c r="AE70">
        <v>0</v>
      </c>
      <c r="AF70" s="12">
        <f>LCOE!E96+LCOE!E$40</f>
        <v>0.03</v>
      </c>
      <c r="AG70">
        <f t="shared" si="12"/>
        <v>1</v>
      </c>
      <c r="AH70" s="16">
        <f t="shared" si="7"/>
        <v>168166666.66666666</v>
      </c>
      <c r="AI70" s="16">
        <f t="shared" si="8"/>
        <v>20000000</v>
      </c>
      <c r="AJ70" s="16">
        <f t="shared" si="9"/>
        <v>84082860</v>
      </c>
      <c r="AK70" s="16">
        <f t="shared" si="10"/>
        <v>0</v>
      </c>
      <c r="AL70" s="16">
        <f t="shared" si="13"/>
        <v>18552037.5</v>
      </c>
      <c r="AM70" s="16">
        <f t="shared" ref="AM70:AM133" si="14">(-1)*Y70/AG70</f>
        <v>0</v>
      </c>
      <c r="AN70" s="16">
        <f>IF(LCOE!E$14&gt;0,G70,H70)/AG70</f>
        <v>1971000</v>
      </c>
    </row>
    <row r="71" spans="1:40">
      <c r="A71">
        <v>1</v>
      </c>
      <c r="C71" s="16">
        <f>LCOE!E97+IF(AND(LCOE!E$26&gt;0,A71&gt;=LCOE!E$26,A71&lt;=(LCOE!E$26+LCOE!E$27-1)),LCOE!E$42/LCOE!E$27,0)+IF(AND(D71=0,AE71&gt;=LCOE!E$16,COUNTIF(D46:D71,0)=LCOE!E$36),LCOE!E$35*LCOE!E$38,0)</f>
        <v>0</v>
      </c>
      <c r="D71" s="16">
        <f>IF(AE70&lt;LCOE!E$16,1,0)</f>
        <v>1</v>
      </c>
      <c r="E71" s="12">
        <f>LCOE!G97+IF(AND(A71&gt;=LCOE!E$26,A71&lt;=(LCOE!E$26+LCOE!E$27-1)),0,1)*IF(A71=LCOE!E$34,0,1)*D71</f>
        <v>1</v>
      </c>
      <c r="F71" s="12">
        <f>IF(F70&lt;LCOE!E$18,MIN(F70*(1+LCOE!E$19),LCOE!E$18),LCOE!E$18)+LCOE!J97</f>
        <v>0.72000000000000008</v>
      </c>
      <c r="G71" s="16">
        <f>LCOE!K97+E71*F71*N71*(LCOE!E$14+LCOE!H97)*24*365*D71</f>
        <v>3153600.0000000005</v>
      </c>
      <c r="H71" s="16">
        <f>LCOE!L97+F71*(LCOE!E$15+LCOE!I97)*E71*24*365*D71*N71</f>
        <v>0</v>
      </c>
      <c r="I71" s="16">
        <f>LCOE!M97+LCOE!E$20*IF(LCOE!E$14&gt;0,(LCOE!E$14+LCOE!H97),(LCOE!E$15+LCOE!I97))*K71*D71</f>
        <v>20000000</v>
      </c>
      <c r="J71" s="16">
        <f>LCOE!N97+LCOE!E$21*IF(LCOE!E$14&gt;0,G71,H71)*K71*D71</f>
        <v>0</v>
      </c>
      <c r="K71" s="15">
        <f>LCOE!O97+K70+K70*LCOE!E$22</f>
        <v>1</v>
      </c>
      <c r="L71" s="16">
        <f>LCOE!P97+LCOE!E$23*IF(LCOE!E$14&gt;0,G71,H71)*M71*D71</f>
        <v>134532576</v>
      </c>
      <c r="M71" s="15">
        <f>LCOE!Q97+M70+M70*LCOE!E$24</f>
        <v>1</v>
      </c>
      <c r="N71" s="15">
        <f>LCOE!R97+N70-N70*LCOE!E$25</f>
        <v>1</v>
      </c>
      <c r="O71" s="18">
        <f>LCOE!S97+LCOE!E$29</f>
        <v>313.75</v>
      </c>
      <c r="P71" s="12">
        <f>LCOE!T97+IF(A71&gt;=LCOE!E$30,100%,0%)</f>
        <v>1</v>
      </c>
      <c r="Q71" s="16">
        <f>LCOE!U97+O71/1000*IF(LCOE!E$14&gt;0,G71,H71)</f>
        <v>989442.00000000012</v>
      </c>
      <c r="R71" s="16">
        <f>LCOE!B97</f>
        <v>30</v>
      </c>
      <c r="S71" s="16">
        <f>LCOE!V97+Q71*P71*R71</f>
        <v>29683260.000000004</v>
      </c>
      <c r="T71" s="16">
        <f>LCOE!W97+LCOE!E$31</f>
        <v>0</v>
      </c>
      <c r="U71" s="16">
        <f>LCOE!X97+T71*IF(LCOE!E$14&gt;0,G71,H71)</f>
        <v>0</v>
      </c>
      <c r="V71" s="16">
        <f>LCOE!Y97+LCOE!E$32</f>
        <v>0</v>
      </c>
      <c r="W71" s="16">
        <f>LCOE!Z97+V71*IF(LCOE!E$14&gt;0,G71,H71)</f>
        <v>0</v>
      </c>
      <c r="X71" s="16">
        <f>LCOE!AA97+LCOE!E$34</f>
        <v>101</v>
      </c>
      <c r="Y71" s="16">
        <f t="shared" ref="Y71:Y134" si="15">X71*H71</f>
        <v>0</v>
      </c>
      <c r="Z71" s="50">
        <f>SUM(B71:C71)</f>
        <v>0</v>
      </c>
      <c r="AA71" s="50">
        <f>SUM(I71:J71)</f>
        <v>20000000</v>
      </c>
      <c r="AB71" s="50">
        <f>L71</f>
        <v>134532576</v>
      </c>
      <c r="AC71" s="50">
        <f t="shared" ref="AC71:AC134" si="16">U71+W71</f>
        <v>0</v>
      </c>
      <c r="AD71" s="50">
        <f t="shared" si="11"/>
        <v>29683260.000000004</v>
      </c>
      <c r="AE71">
        <f t="shared" ref="AE71:AE134" si="17">AE70+1*E71</f>
        <v>1</v>
      </c>
      <c r="AF71" s="12">
        <f>LCOE!E97+LCOE!E$40</f>
        <v>0.03</v>
      </c>
      <c r="AG71">
        <f t="shared" si="12"/>
        <v>1.03</v>
      </c>
      <c r="AH71" s="16">
        <f t="shared" si="7"/>
        <v>0</v>
      </c>
      <c r="AI71" s="16">
        <f t="shared" si="8"/>
        <v>19417475.728155341</v>
      </c>
      <c r="AJ71" s="16">
        <f t="shared" si="9"/>
        <v>130614151.45631067</v>
      </c>
      <c r="AK71" s="16">
        <f t="shared" si="10"/>
        <v>0</v>
      </c>
      <c r="AL71" s="16">
        <f t="shared" si="13"/>
        <v>28818699.029126216</v>
      </c>
      <c r="AM71" s="16">
        <f t="shared" si="14"/>
        <v>0</v>
      </c>
      <c r="AN71" s="16">
        <f>IF(LCOE!E$14&gt;0,G71,H71)/AG71</f>
        <v>3061747.5728155342</v>
      </c>
    </row>
    <row r="72" spans="1:40">
      <c r="A72">
        <v>2</v>
      </c>
      <c r="C72" s="16">
        <f>LCOE!E98+IF(AND(LCOE!E$26&gt;0,A72&gt;=LCOE!E$26,A72&lt;=(LCOE!E$26+LCOE!E$27-1)),LCOE!E$42/LCOE!E$27,0)+IF(AND(D72=0,AE72&gt;=LCOE!E$16,COUNTIF(D47:D72,0)=LCOE!E$36),LCOE!E$35*LCOE!E$38,0)</f>
        <v>0</v>
      </c>
      <c r="D72" s="16">
        <f>IF(AE71&lt;LCOE!E$16,1,0)</f>
        <v>1</v>
      </c>
      <c r="E72" s="12">
        <f>LCOE!G98+IF(AND(A72&gt;=LCOE!E$26,A72&lt;=(LCOE!E$26+LCOE!E$27-1)),0,1)*IF(A72=LCOE!E$34,0,1)*D72</f>
        <v>1</v>
      </c>
      <c r="F72" s="12">
        <f>IF(F71&lt;LCOE!E$18,MIN(F71*(1+LCOE!E$19),LCOE!E$18),LCOE!E$18)+LCOE!J98</f>
        <v>0.9</v>
      </c>
      <c r="G72" s="16">
        <f>LCOE!K98+E72*F72*N72*(LCOE!E$14+LCOE!H98)*24*365*D72</f>
        <v>3942000</v>
      </c>
      <c r="H72" s="16">
        <f>LCOE!L98+F72*(LCOE!E$15+LCOE!I98)*E72*24*365*D72*N72</f>
        <v>0</v>
      </c>
      <c r="I72" s="16">
        <f>LCOE!M98+LCOE!E$20*IF(LCOE!E$14&gt;0,(LCOE!E$14+LCOE!H98),(LCOE!E$15+LCOE!I98))*K72*D72</f>
        <v>20000000</v>
      </c>
      <c r="J72" s="16">
        <f>LCOE!N98+LCOE!E$21*IF(LCOE!E$14&gt;0,G72,H72)*K72*D72</f>
        <v>0</v>
      </c>
      <c r="K72" s="15">
        <f>LCOE!O98+K71+K71*LCOE!E$22</f>
        <v>1</v>
      </c>
      <c r="L72" s="16">
        <f>LCOE!P98+LCOE!E$23*IF(LCOE!E$14&gt;0,G72,H72)*M72*D72</f>
        <v>168165720</v>
      </c>
      <c r="M72" s="15">
        <f>LCOE!Q98+M71+M71*LCOE!E$24</f>
        <v>1</v>
      </c>
      <c r="N72" s="15">
        <f>LCOE!R98+N71-N71*LCOE!E$25</f>
        <v>1</v>
      </c>
      <c r="O72" s="18">
        <f>LCOE!S98+LCOE!E$29</f>
        <v>313.75</v>
      </c>
      <c r="P72" s="12">
        <f>LCOE!T98+IF(A72&gt;=LCOE!E$30,100%,0%)</f>
        <v>1</v>
      </c>
      <c r="Q72" s="16">
        <f>LCOE!U98+O72/1000*IF(LCOE!E$14&gt;0,G72,H72)</f>
        <v>1236802.5</v>
      </c>
      <c r="R72" s="16">
        <f>LCOE!B98</f>
        <v>30</v>
      </c>
      <c r="S72" s="16">
        <f>LCOE!V98+Q72*P72*R72</f>
        <v>37104075</v>
      </c>
      <c r="T72" s="16">
        <f>LCOE!W98+LCOE!E$31</f>
        <v>0</v>
      </c>
      <c r="U72" s="16">
        <f>LCOE!X98+T72*IF(LCOE!E$14&gt;0,G72,H72)</f>
        <v>0</v>
      </c>
      <c r="V72" s="16">
        <f>LCOE!Y98+LCOE!E$32</f>
        <v>0</v>
      </c>
      <c r="W72" s="16">
        <f>LCOE!Z98+V72*IF(LCOE!E$14&gt;0,G72,H72)</f>
        <v>0</v>
      </c>
      <c r="X72" s="16">
        <f>LCOE!AA98+LCOE!E$34</f>
        <v>101</v>
      </c>
      <c r="Y72" s="16">
        <f t="shared" si="15"/>
        <v>0</v>
      </c>
      <c r="Z72" s="50">
        <f t="shared" ref="Z72:Z135" si="18">SUM(B72:C72)</f>
        <v>0</v>
      </c>
      <c r="AA72" s="50">
        <f t="shared" ref="AA72:AA135" si="19">SUM(I72:J72)</f>
        <v>20000000</v>
      </c>
      <c r="AB72" s="50">
        <f t="shared" ref="AB72:AB135" si="20">L72</f>
        <v>168165720</v>
      </c>
      <c r="AC72" s="50">
        <f t="shared" si="16"/>
        <v>0</v>
      </c>
      <c r="AD72" s="50">
        <f t="shared" si="11"/>
        <v>37104075</v>
      </c>
      <c r="AE72">
        <f t="shared" si="17"/>
        <v>2</v>
      </c>
      <c r="AF72" s="12">
        <f>LCOE!E98+LCOE!E$40</f>
        <v>0.03</v>
      </c>
      <c r="AG72">
        <f t="shared" si="12"/>
        <v>1.0609</v>
      </c>
      <c r="AH72" s="16">
        <f t="shared" si="7"/>
        <v>0</v>
      </c>
      <c r="AI72" s="16">
        <f t="shared" si="8"/>
        <v>18851918.18267509</v>
      </c>
      <c r="AJ72" s="16">
        <f t="shared" si="9"/>
        <v>158512319.72853237</v>
      </c>
      <c r="AK72" s="16">
        <f t="shared" si="10"/>
        <v>0</v>
      </c>
      <c r="AL72" s="16">
        <f t="shared" si="13"/>
        <v>34974149.307192005</v>
      </c>
      <c r="AM72" s="16">
        <f t="shared" si="14"/>
        <v>0</v>
      </c>
      <c r="AN72" s="16">
        <f>IF(LCOE!E$14&gt;0,G72,H72)/AG72</f>
        <v>3715713.07380526</v>
      </c>
    </row>
    <row r="73" spans="1:40">
      <c r="A73">
        <v>3</v>
      </c>
      <c r="C73" s="16">
        <f>LCOE!E99+IF(AND(LCOE!E$26&gt;0,A73&gt;=LCOE!E$26,A73&lt;=(LCOE!E$26+LCOE!E$27-1)),LCOE!E$42/LCOE!E$27,0)+IF(AND(D73=0,AE73&gt;=LCOE!E$16,COUNTIF(D48:D73,0)=LCOE!E$36),LCOE!E$35*LCOE!E$38,0)</f>
        <v>0</v>
      </c>
      <c r="D73" s="16">
        <f>IF(AE72&lt;LCOE!E$16,1,0)</f>
        <v>1</v>
      </c>
      <c r="E73" s="12">
        <f>LCOE!G99+IF(AND(A73&gt;=LCOE!E$26,A73&lt;=(LCOE!E$26+LCOE!E$27-1)),0,1)*IF(A73=LCOE!E$34,0,1)*D73</f>
        <v>1</v>
      </c>
      <c r="F73" s="12">
        <f>IF(F72&lt;LCOE!E$18,MIN(F72*(1+LCOE!E$19),LCOE!E$18),LCOE!E$18)+LCOE!J99</f>
        <v>0.9</v>
      </c>
      <c r="G73" s="16">
        <f>LCOE!K99+E73*F73*N73*(LCOE!E$14+LCOE!H99)*24*365*D73</f>
        <v>3942000</v>
      </c>
      <c r="H73" s="16">
        <f>LCOE!L99+F73*(LCOE!E$15+LCOE!I99)*E73*24*365*D73*N73</f>
        <v>0</v>
      </c>
      <c r="I73" s="16">
        <f>LCOE!M99+LCOE!E$20*IF(LCOE!E$14&gt;0,(LCOE!E$14+LCOE!H99),(LCOE!E$15+LCOE!I99))*K73*D73</f>
        <v>20000000</v>
      </c>
      <c r="J73" s="16">
        <f>LCOE!N99+LCOE!E$21*IF(LCOE!E$14&gt;0,G73,H73)*K73*D73</f>
        <v>0</v>
      </c>
      <c r="K73" s="15">
        <f>LCOE!O99+K72+K72*LCOE!E$22</f>
        <v>1</v>
      </c>
      <c r="L73" s="16">
        <f>LCOE!P99+LCOE!E$23*IF(LCOE!E$14&gt;0,G73,H73)*M73*D73</f>
        <v>168165720</v>
      </c>
      <c r="M73" s="15">
        <f>LCOE!Q99+M72+M72*LCOE!E$24</f>
        <v>1</v>
      </c>
      <c r="N73" s="15">
        <f>LCOE!R99+N72-N72*LCOE!E$25</f>
        <v>1</v>
      </c>
      <c r="O73" s="18">
        <f>LCOE!S99+LCOE!E$29</f>
        <v>313.75</v>
      </c>
      <c r="P73" s="12">
        <f>LCOE!T99+IF(A73&gt;=LCOE!E$30,100%,0%)</f>
        <v>1</v>
      </c>
      <c r="Q73" s="16">
        <f>LCOE!U99+O73/1000*IF(LCOE!E$14&gt;0,G73,H73)</f>
        <v>1236802.5</v>
      </c>
      <c r="R73" s="16">
        <f>LCOE!B99</f>
        <v>30</v>
      </c>
      <c r="S73" s="16">
        <f>LCOE!V99+Q73*P73*R73</f>
        <v>37104075</v>
      </c>
      <c r="T73" s="16">
        <f>LCOE!W99+LCOE!E$31</f>
        <v>0</v>
      </c>
      <c r="U73" s="16">
        <f>LCOE!X99+T73*IF(LCOE!E$14&gt;0,G73,H73)</f>
        <v>0</v>
      </c>
      <c r="V73" s="16">
        <f>LCOE!Y99+LCOE!E$32</f>
        <v>0</v>
      </c>
      <c r="W73" s="16">
        <f>LCOE!Z99+V73*IF(LCOE!E$14&gt;0,G73,H73)</f>
        <v>0</v>
      </c>
      <c r="X73" s="16">
        <f>LCOE!AA99+LCOE!E$34</f>
        <v>101</v>
      </c>
      <c r="Y73" s="16">
        <f t="shared" si="15"/>
        <v>0</v>
      </c>
      <c r="Z73" s="50">
        <f t="shared" si="18"/>
        <v>0</v>
      </c>
      <c r="AA73" s="50">
        <f t="shared" si="19"/>
        <v>20000000</v>
      </c>
      <c r="AB73" s="50">
        <f t="shared" si="20"/>
        <v>168165720</v>
      </c>
      <c r="AC73" s="50">
        <f t="shared" si="16"/>
        <v>0</v>
      </c>
      <c r="AD73" s="50">
        <f t="shared" si="11"/>
        <v>37104075</v>
      </c>
      <c r="AE73">
        <f t="shared" si="17"/>
        <v>3</v>
      </c>
      <c r="AF73" s="12">
        <f>LCOE!E99+LCOE!E$40</f>
        <v>0.03</v>
      </c>
      <c r="AG73">
        <f t="shared" si="12"/>
        <v>1.092727</v>
      </c>
      <c r="AH73" s="16">
        <f t="shared" si="7"/>
        <v>0</v>
      </c>
      <c r="AI73" s="16">
        <f t="shared" si="8"/>
        <v>18302833.187063191</v>
      </c>
      <c r="AJ73" s="16">
        <f t="shared" si="9"/>
        <v>153895456.04711881</v>
      </c>
      <c r="AK73" s="16">
        <f t="shared" si="10"/>
        <v>0</v>
      </c>
      <c r="AL73" s="16">
        <f t="shared" si="13"/>
        <v>33955484.764264084</v>
      </c>
      <c r="AM73" s="16">
        <f t="shared" si="14"/>
        <v>0</v>
      </c>
      <c r="AN73" s="16">
        <f>IF(LCOE!E$14&gt;0,G73,H73)/AG73</f>
        <v>3607488.4211701551</v>
      </c>
    </row>
    <row r="74" spans="1:40">
      <c r="A74">
        <v>4</v>
      </c>
      <c r="C74" s="16">
        <f>LCOE!E100+IF(AND(LCOE!E$26&gt;0,A74&gt;=LCOE!E$26,A74&lt;=(LCOE!E$26+LCOE!E$27-1)),LCOE!E$42/LCOE!E$27,0)+IF(AND(D74=0,AE74&gt;=LCOE!E$16,COUNTIF(D49:D74,0)=LCOE!E$36),LCOE!E$35*LCOE!E$38,0)</f>
        <v>0</v>
      </c>
      <c r="D74" s="16">
        <f>IF(AE73&lt;LCOE!E$16,1,0)</f>
        <v>1</v>
      </c>
      <c r="E74" s="12">
        <f>LCOE!G100+IF(AND(A74&gt;=LCOE!E$26,A74&lt;=(LCOE!E$26+LCOE!E$27-1)),0,1)*IF(A74=LCOE!E$34,0,1)*D74</f>
        <v>1</v>
      </c>
      <c r="F74" s="12">
        <f>IF(F73&lt;LCOE!E$18,MIN(F73*(1+LCOE!E$19),LCOE!E$18),LCOE!E$18)+LCOE!J100</f>
        <v>0.9</v>
      </c>
      <c r="G74" s="16">
        <f>LCOE!K100+E74*F74*N74*(LCOE!E$14+LCOE!H100)*24*365*D74</f>
        <v>3942000</v>
      </c>
      <c r="H74" s="16">
        <f>LCOE!L100+F74*(LCOE!E$15+LCOE!I100)*E74*24*365*D74*N74</f>
        <v>0</v>
      </c>
      <c r="I74" s="16">
        <f>LCOE!M100+LCOE!E$20*IF(LCOE!E$14&gt;0,(LCOE!E$14+LCOE!H100),(LCOE!E$15+LCOE!I100))*K74*D74</f>
        <v>20000000</v>
      </c>
      <c r="J74" s="16">
        <f>LCOE!N100+LCOE!E$21*IF(LCOE!E$14&gt;0,G74,H74)*K74*D74</f>
        <v>0</v>
      </c>
      <c r="K74" s="15">
        <f>LCOE!O100+K73+K73*LCOE!E$22</f>
        <v>1</v>
      </c>
      <c r="L74" s="16">
        <f>LCOE!P100+LCOE!E$23*IF(LCOE!E$14&gt;0,G74,H74)*M74*D74</f>
        <v>168165720</v>
      </c>
      <c r="M74" s="15">
        <f>LCOE!Q100+M73+M73*LCOE!E$24</f>
        <v>1</v>
      </c>
      <c r="N74" s="15">
        <f>LCOE!R100+N73-N73*LCOE!E$25</f>
        <v>1</v>
      </c>
      <c r="O74" s="18">
        <f>LCOE!S100+LCOE!E$29</f>
        <v>313.75</v>
      </c>
      <c r="P74" s="12">
        <f>LCOE!T100+IF(A74&gt;=LCOE!E$30,100%,0%)</f>
        <v>1</v>
      </c>
      <c r="Q74" s="16">
        <f>LCOE!U100+O74/1000*IF(LCOE!E$14&gt;0,G74,H74)</f>
        <v>1236802.5</v>
      </c>
      <c r="R74" s="16">
        <f>LCOE!B100</f>
        <v>30</v>
      </c>
      <c r="S74" s="16">
        <f>LCOE!V100+Q74*P74*R74</f>
        <v>37104075</v>
      </c>
      <c r="T74" s="16">
        <f>LCOE!W100+LCOE!E$31</f>
        <v>0</v>
      </c>
      <c r="U74" s="16">
        <f>LCOE!X100+T74*IF(LCOE!E$14&gt;0,G74,H74)</f>
        <v>0</v>
      </c>
      <c r="V74" s="16">
        <f>LCOE!Y100+LCOE!E$32</f>
        <v>0</v>
      </c>
      <c r="W74" s="16">
        <f>LCOE!Z100+V74*IF(LCOE!E$14&gt;0,G74,H74)</f>
        <v>0</v>
      </c>
      <c r="X74" s="16">
        <f>LCOE!AA100+LCOE!E$34</f>
        <v>101</v>
      </c>
      <c r="Y74" s="16">
        <f t="shared" si="15"/>
        <v>0</v>
      </c>
      <c r="Z74" s="50">
        <f t="shared" si="18"/>
        <v>0</v>
      </c>
      <c r="AA74" s="50">
        <f t="shared" si="19"/>
        <v>20000000</v>
      </c>
      <c r="AB74" s="50">
        <f t="shared" si="20"/>
        <v>168165720</v>
      </c>
      <c r="AC74" s="50">
        <f t="shared" si="16"/>
        <v>0</v>
      </c>
      <c r="AD74" s="50">
        <f t="shared" si="11"/>
        <v>37104075</v>
      </c>
      <c r="AE74">
        <f t="shared" si="17"/>
        <v>4</v>
      </c>
      <c r="AF74" s="12">
        <f>LCOE!E100+LCOE!E$40</f>
        <v>0.03</v>
      </c>
      <c r="AG74">
        <f t="shared" si="12"/>
        <v>1.1255088099999999</v>
      </c>
      <c r="AH74" s="16">
        <f t="shared" si="7"/>
        <v>0</v>
      </c>
      <c r="AI74" s="16">
        <f t="shared" si="8"/>
        <v>17769740.958313778</v>
      </c>
      <c r="AJ74" s="16">
        <f t="shared" si="9"/>
        <v>149413064.12341633</v>
      </c>
      <c r="AK74" s="16">
        <f t="shared" si="10"/>
        <v>0</v>
      </c>
      <c r="AL74" s="16">
        <f t="shared" si="13"/>
        <v>32966490.062392317</v>
      </c>
      <c r="AM74" s="16">
        <f t="shared" si="14"/>
        <v>0</v>
      </c>
      <c r="AN74" s="16">
        <f>IF(LCOE!E$14&gt;0,G74,H74)/AG74</f>
        <v>3502415.9428836461</v>
      </c>
    </row>
    <row r="75" spans="1:40">
      <c r="A75">
        <v>5</v>
      </c>
      <c r="C75" s="16">
        <f>LCOE!E101+IF(AND(LCOE!E$26&gt;0,A75&gt;=LCOE!E$26,A75&lt;=(LCOE!E$26+LCOE!E$27-1)),LCOE!E$42/LCOE!E$27,0)+IF(AND(D75=0,AE75&gt;=LCOE!E$16,COUNTIF(D50:D75,0)=LCOE!E$36),LCOE!E$35*LCOE!E$38,0)</f>
        <v>0</v>
      </c>
      <c r="D75" s="16">
        <f>IF(AE74&lt;LCOE!E$16,1,0)</f>
        <v>1</v>
      </c>
      <c r="E75" s="12">
        <f>LCOE!G101+IF(AND(A75&gt;=LCOE!E$26,A75&lt;=(LCOE!E$26+LCOE!E$27-1)),0,1)*IF(A75=LCOE!E$34,0,1)*D75</f>
        <v>1</v>
      </c>
      <c r="F75" s="12">
        <f>IF(F74&lt;LCOE!E$18,MIN(F74*(1+LCOE!E$19),LCOE!E$18),LCOE!E$18)+LCOE!J101</f>
        <v>0.9</v>
      </c>
      <c r="G75" s="16">
        <f>LCOE!K101+E75*F75*N75*(LCOE!E$14+LCOE!H101)*24*365*D75</f>
        <v>3942000</v>
      </c>
      <c r="H75" s="16">
        <f>LCOE!L101+F75*(LCOE!E$15+LCOE!I101)*E75*24*365*D75*N75</f>
        <v>0</v>
      </c>
      <c r="I75" s="16">
        <f>LCOE!M101+LCOE!E$20*IF(LCOE!E$14&gt;0,(LCOE!E$14+LCOE!H101),(LCOE!E$15+LCOE!I101))*K75*D75</f>
        <v>20000000</v>
      </c>
      <c r="J75" s="16">
        <f>LCOE!N101+LCOE!E$21*IF(LCOE!E$14&gt;0,G75,H75)*K75*D75</f>
        <v>0</v>
      </c>
      <c r="K75" s="15">
        <f>LCOE!O101+K74+K74*LCOE!E$22</f>
        <v>1</v>
      </c>
      <c r="L75" s="16">
        <f>LCOE!P101+LCOE!E$23*IF(LCOE!E$14&gt;0,G75,H75)*M75*D75</f>
        <v>168165720</v>
      </c>
      <c r="M75" s="15">
        <f>LCOE!Q101+M74+M74*LCOE!E$24</f>
        <v>1</v>
      </c>
      <c r="N75" s="15">
        <f>LCOE!R101+N74-N74*LCOE!E$25</f>
        <v>1</v>
      </c>
      <c r="O75" s="18">
        <f>LCOE!S101+LCOE!E$29</f>
        <v>313.75</v>
      </c>
      <c r="P75" s="12">
        <f>LCOE!T101+IF(A75&gt;=LCOE!E$30,100%,0%)</f>
        <v>1</v>
      </c>
      <c r="Q75" s="16">
        <f>LCOE!U101+O75/1000*IF(LCOE!E$14&gt;0,G75,H75)</f>
        <v>1236802.5</v>
      </c>
      <c r="R75" s="16">
        <f>LCOE!B101</f>
        <v>30</v>
      </c>
      <c r="S75" s="16">
        <f>LCOE!V101+Q75*P75*R75</f>
        <v>37104075</v>
      </c>
      <c r="T75" s="16">
        <f>LCOE!W101+LCOE!E$31</f>
        <v>0</v>
      </c>
      <c r="U75" s="16">
        <f>LCOE!X101+T75*IF(LCOE!E$14&gt;0,G75,H75)</f>
        <v>0</v>
      </c>
      <c r="V75" s="16">
        <f>LCOE!Y101+LCOE!E$32</f>
        <v>0</v>
      </c>
      <c r="W75" s="16">
        <f>LCOE!Z101+V75*IF(LCOE!E$14&gt;0,G75,H75)</f>
        <v>0</v>
      </c>
      <c r="X75" s="16">
        <f>LCOE!AA101+LCOE!E$34</f>
        <v>101</v>
      </c>
      <c r="Y75" s="16">
        <f t="shared" si="15"/>
        <v>0</v>
      </c>
      <c r="Z75" s="50">
        <f t="shared" si="18"/>
        <v>0</v>
      </c>
      <c r="AA75" s="50">
        <f t="shared" si="19"/>
        <v>20000000</v>
      </c>
      <c r="AB75" s="50">
        <f t="shared" si="20"/>
        <v>168165720</v>
      </c>
      <c r="AC75" s="50">
        <f t="shared" si="16"/>
        <v>0</v>
      </c>
      <c r="AD75" s="50">
        <f t="shared" si="11"/>
        <v>37104075</v>
      </c>
      <c r="AE75">
        <f t="shared" si="17"/>
        <v>5</v>
      </c>
      <c r="AF75" s="12">
        <f>LCOE!E101+LCOE!E$40</f>
        <v>0.03</v>
      </c>
      <c r="AG75">
        <f t="shared" si="12"/>
        <v>1.1592740742999998</v>
      </c>
      <c r="AH75" s="16">
        <f t="shared" si="7"/>
        <v>0</v>
      </c>
      <c r="AI75" s="16">
        <f t="shared" si="8"/>
        <v>17252175.687683281</v>
      </c>
      <c r="AJ75" s="16">
        <f t="shared" si="9"/>
        <v>145061227.3042877</v>
      </c>
      <c r="AK75" s="16">
        <f t="shared" si="10"/>
        <v>0</v>
      </c>
      <c r="AL75" s="16">
        <f t="shared" si="13"/>
        <v>32006301.031448852</v>
      </c>
      <c r="AM75" s="16">
        <f t="shared" si="14"/>
        <v>0</v>
      </c>
      <c r="AN75" s="16">
        <f>IF(LCOE!E$14&gt;0,G75,H75)/AG75</f>
        <v>3400403.8280423749</v>
      </c>
    </row>
    <row r="76" spans="1:40">
      <c r="A76">
        <v>6</v>
      </c>
      <c r="C76" s="16">
        <f>LCOE!E102+IF(AND(LCOE!E$26&gt;0,A76&gt;=LCOE!E$26,A76&lt;=(LCOE!E$26+LCOE!E$27-1)),LCOE!E$42/LCOE!E$27,0)+IF(AND(D76=0,AE76&gt;=LCOE!E$16,COUNTIF(D51:D76,0)=LCOE!E$36),LCOE!E$35*LCOE!E$38,0)</f>
        <v>0</v>
      </c>
      <c r="D76" s="16">
        <f>IF(AE75&lt;LCOE!E$16,1,0)</f>
        <v>1</v>
      </c>
      <c r="E76" s="12">
        <f>LCOE!G102+IF(AND(A76&gt;=LCOE!E$26,A76&lt;=(LCOE!E$26+LCOE!E$27-1)),0,1)*IF(A76=LCOE!E$34,0,1)*D76</f>
        <v>1</v>
      </c>
      <c r="F76" s="12">
        <f>IF(F75&lt;LCOE!E$18,MIN(F75*(1+LCOE!E$19),LCOE!E$18),LCOE!E$18)+LCOE!J102</f>
        <v>0.9</v>
      </c>
      <c r="G76" s="16">
        <f>LCOE!K102+E76*F76*N76*(LCOE!E$14+LCOE!H102)*24*365*D76</f>
        <v>3942000</v>
      </c>
      <c r="H76" s="16">
        <f>LCOE!L102+F76*(LCOE!E$15+LCOE!I102)*E76*24*365*D76*N76</f>
        <v>0</v>
      </c>
      <c r="I76" s="16">
        <f>LCOE!M102+LCOE!E$20*IF(LCOE!E$14&gt;0,(LCOE!E$14+LCOE!H102),(LCOE!E$15+LCOE!I102))*K76*D76</f>
        <v>20000000</v>
      </c>
      <c r="J76" s="16">
        <f>LCOE!N102+LCOE!E$21*IF(LCOE!E$14&gt;0,G76,H76)*K76*D76</f>
        <v>0</v>
      </c>
      <c r="K76" s="15">
        <f>LCOE!O102+K75+K75*LCOE!E$22</f>
        <v>1</v>
      </c>
      <c r="L76" s="16">
        <f>LCOE!P102+LCOE!E$23*IF(LCOE!E$14&gt;0,G76,H76)*M76*D76</f>
        <v>168165720</v>
      </c>
      <c r="M76" s="15">
        <f>LCOE!Q102+M75+M75*LCOE!E$24</f>
        <v>1</v>
      </c>
      <c r="N76" s="15">
        <f>LCOE!R102+N75-N75*LCOE!E$25</f>
        <v>1</v>
      </c>
      <c r="O76" s="18">
        <f>LCOE!S102+LCOE!E$29</f>
        <v>313.75</v>
      </c>
      <c r="P76" s="12">
        <f>LCOE!T102+IF(A76&gt;=LCOE!E$30,100%,0%)</f>
        <v>1</v>
      </c>
      <c r="Q76" s="16">
        <f>LCOE!U102+O76/1000*IF(LCOE!E$14&gt;0,G76,H76)</f>
        <v>1236802.5</v>
      </c>
      <c r="R76" s="16">
        <f>LCOE!B102</f>
        <v>30</v>
      </c>
      <c r="S76" s="16">
        <f>LCOE!V102+Q76*P76*R76</f>
        <v>37104075</v>
      </c>
      <c r="T76" s="16">
        <f>LCOE!W102+LCOE!E$31</f>
        <v>0</v>
      </c>
      <c r="U76" s="16">
        <f>LCOE!X102+T76*IF(LCOE!E$14&gt;0,G76,H76)</f>
        <v>0</v>
      </c>
      <c r="V76" s="16">
        <f>LCOE!Y102+LCOE!E$32</f>
        <v>0</v>
      </c>
      <c r="W76" s="16">
        <f>LCOE!Z102+V76*IF(LCOE!E$14&gt;0,G76,H76)</f>
        <v>0</v>
      </c>
      <c r="X76" s="16">
        <f>LCOE!AA102+LCOE!E$34</f>
        <v>101</v>
      </c>
      <c r="Y76" s="16">
        <f t="shared" si="15"/>
        <v>0</v>
      </c>
      <c r="Z76" s="50">
        <f t="shared" si="18"/>
        <v>0</v>
      </c>
      <c r="AA76" s="50">
        <f t="shared" si="19"/>
        <v>20000000</v>
      </c>
      <c r="AB76" s="50">
        <f t="shared" si="20"/>
        <v>168165720</v>
      </c>
      <c r="AC76" s="50">
        <f t="shared" si="16"/>
        <v>0</v>
      </c>
      <c r="AD76" s="50">
        <f t="shared" si="11"/>
        <v>37104075</v>
      </c>
      <c r="AE76">
        <f t="shared" si="17"/>
        <v>6</v>
      </c>
      <c r="AF76" s="12">
        <f>LCOE!E102+LCOE!E$40</f>
        <v>0.03</v>
      </c>
      <c r="AG76">
        <f t="shared" si="12"/>
        <v>1.1940522965289999</v>
      </c>
      <c r="AH76" s="16">
        <f t="shared" si="7"/>
        <v>0</v>
      </c>
      <c r="AI76" s="16">
        <f t="shared" si="8"/>
        <v>16749685.133673089</v>
      </c>
      <c r="AJ76" s="16">
        <f t="shared" si="9"/>
        <v>140836143.01387155</v>
      </c>
      <c r="AK76" s="16">
        <f t="shared" si="10"/>
        <v>0</v>
      </c>
      <c r="AL76" s="16">
        <f t="shared" si="13"/>
        <v>31074078.671309564</v>
      </c>
      <c r="AM76" s="16">
        <f t="shared" si="14"/>
        <v>0</v>
      </c>
      <c r="AN76" s="16">
        <f>IF(LCOE!E$14&gt;0,G76,H76)/AG76</f>
        <v>3301362.9398469655</v>
      </c>
    </row>
    <row r="77" spans="1:40">
      <c r="A77">
        <v>7</v>
      </c>
      <c r="C77" s="16">
        <f>LCOE!E103+IF(AND(LCOE!E$26&gt;0,A77&gt;=LCOE!E$26,A77&lt;=(LCOE!E$26+LCOE!E$27-1)),LCOE!E$42/LCOE!E$27,0)+IF(AND(D77=0,AE77&gt;=LCOE!E$16,COUNTIF(D52:D77,0)=LCOE!E$36),LCOE!E$35*LCOE!E$38,0)</f>
        <v>0</v>
      </c>
      <c r="D77" s="16">
        <f>IF(AE76&lt;LCOE!E$16,1,0)</f>
        <v>1</v>
      </c>
      <c r="E77" s="12">
        <f>LCOE!G103+IF(AND(A77&gt;=LCOE!E$26,A77&lt;=(LCOE!E$26+LCOE!E$27-1)),0,1)*IF(A77=LCOE!E$34,0,1)*D77</f>
        <v>1</v>
      </c>
      <c r="F77" s="12">
        <f>IF(F76&lt;LCOE!E$18,MIN(F76*(1+LCOE!E$19),LCOE!E$18),LCOE!E$18)+LCOE!J103</f>
        <v>0.9</v>
      </c>
      <c r="G77" s="16">
        <f>LCOE!K103+E77*F77*N77*(LCOE!E$14+LCOE!H103)*24*365*D77</f>
        <v>3942000</v>
      </c>
      <c r="H77" s="16">
        <f>LCOE!L103+F77*(LCOE!E$15+LCOE!I103)*E77*24*365*D77*N77</f>
        <v>0</v>
      </c>
      <c r="I77" s="16">
        <f>LCOE!M103+LCOE!E$20*IF(LCOE!E$14&gt;0,(LCOE!E$14+LCOE!H103),(LCOE!E$15+LCOE!I103))*K77*D77</f>
        <v>20000000</v>
      </c>
      <c r="J77" s="16">
        <f>LCOE!N103+LCOE!E$21*IF(LCOE!E$14&gt;0,G77,H77)*K77*D77</f>
        <v>0</v>
      </c>
      <c r="K77" s="15">
        <f>LCOE!O103+K76+K76*LCOE!E$22</f>
        <v>1</v>
      </c>
      <c r="L77" s="16">
        <f>LCOE!P103+LCOE!E$23*IF(LCOE!E$14&gt;0,G77,H77)*M77*D77</f>
        <v>168165720</v>
      </c>
      <c r="M77" s="15">
        <f>LCOE!Q103+M76+M76*LCOE!E$24</f>
        <v>1</v>
      </c>
      <c r="N77" s="15">
        <f>LCOE!R103+N76-N76*LCOE!E$25</f>
        <v>1</v>
      </c>
      <c r="O77" s="18">
        <f>LCOE!S103+LCOE!E$29</f>
        <v>313.75</v>
      </c>
      <c r="P77" s="12">
        <f>LCOE!T103+IF(A77&gt;=LCOE!E$30,100%,0%)</f>
        <v>1</v>
      </c>
      <c r="Q77" s="16">
        <f>LCOE!U103+O77/1000*IF(LCOE!E$14&gt;0,G77,H77)</f>
        <v>1236802.5</v>
      </c>
      <c r="R77" s="16">
        <f>LCOE!B103</f>
        <v>30</v>
      </c>
      <c r="S77" s="16">
        <f>LCOE!V103+Q77*P77*R77</f>
        <v>37104075</v>
      </c>
      <c r="T77" s="16">
        <f>LCOE!W103+LCOE!E$31</f>
        <v>0</v>
      </c>
      <c r="U77" s="16">
        <f>LCOE!X103+T77*IF(LCOE!E$14&gt;0,G77,H77)</f>
        <v>0</v>
      </c>
      <c r="V77" s="16">
        <f>LCOE!Y103+LCOE!E$32</f>
        <v>0</v>
      </c>
      <c r="W77" s="16">
        <f>LCOE!Z103+V77*IF(LCOE!E$14&gt;0,G77,H77)</f>
        <v>0</v>
      </c>
      <c r="X77" s="16">
        <f>LCOE!AA103+LCOE!E$34</f>
        <v>101</v>
      </c>
      <c r="Y77" s="16">
        <f t="shared" si="15"/>
        <v>0</v>
      </c>
      <c r="Z77" s="50">
        <f t="shared" si="18"/>
        <v>0</v>
      </c>
      <c r="AA77" s="50">
        <f t="shared" si="19"/>
        <v>20000000</v>
      </c>
      <c r="AB77" s="50">
        <f t="shared" si="20"/>
        <v>168165720</v>
      </c>
      <c r="AC77" s="50">
        <f t="shared" si="16"/>
        <v>0</v>
      </c>
      <c r="AD77" s="50">
        <f t="shared" si="11"/>
        <v>37104075</v>
      </c>
      <c r="AE77">
        <f t="shared" si="17"/>
        <v>7</v>
      </c>
      <c r="AF77" s="12">
        <f>LCOE!E103+LCOE!E$40</f>
        <v>0.03</v>
      </c>
      <c r="AG77">
        <f t="shared" si="12"/>
        <v>1.22987386542487</v>
      </c>
      <c r="AH77" s="16">
        <f t="shared" si="7"/>
        <v>0</v>
      </c>
      <c r="AI77" s="16">
        <f t="shared" si="8"/>
        <v>16261830.226867074</v>
      </c>
      <c r="AJ77" s="16">
        <f t="shared" si="9"/>
        <v>136734119.43094325</v>
      </c>
      <c r="AK77" s="16">
        <f t="shared" si="10"/>
        <v>0</v>
      </c>
      <c r="AL77" s="16">
        <f t="shared" si="13"/>
        <v>30169008.418747149</v>
      </c>
      <c r="AM77" s="16">
        <f t="shared" si="14"/>
        <v>0</v>
      </c>
      <c r="AN77" s="16">
        <f>IF(LCOE!E$14&gt;0,G77,H77)/AG77</f>
        <v>3205206.7377155004</v>
      </c>
    </row>
    <row r="78" spans="1:40">
      <c r="A78">
        <v>8</v>
      </c>
      <c r="C78" s="16">
        <f>LCOE!E104+IF(AND(LCOE!E$26&gt;0,A78&gt;=LCOE!E$26,A78&lt;=(LCOE!E$26+LCOE!E$27-1)),LCOE!E$42/LCOE!E$27,0)+IF(AND(D78=0,AE78&gt;=LCOE!E$16,COUNTIF(D53:D78,0)=LCOE!E$36),LCOE!E$35*LCOE!E$38,0)</f>
        <v>0</v>
      </c>
      <c r="D78" s="16">
        <f>IF(AE77&lt;LCOE!E$16,1,0)</f>
        <v>1</v>
      </c>
      <c r="E78" s="12">
        <f>LCOE!G104+IF(AND(A78&gt;=LCOE!E$26,A78&lt;=(LCOE!E$26+LCOE!E$27-1)),0,1)*IF(A78=LCOE!E$34,0,1)*D78</f>
        <v>1</v>
      </c>
      <c r="F78" s="12">
        <f>IF(F77&lt;LCOE!E$18,MIN(F77*(1+LCOE!E$19),LCOE!E$18),LCOE!E$18)+LCOE!J104</f>
        <v>0.9</v>
      </c>
      <c r="G78" s="16">
        <f>LCOE!K104+E78*F78*N78*(LCOE!E$14+LCOE!H104)*24*365*D78</f>
        <v>3942000</v>
      </c>
      <c r="H78" s="16">
        <f>LCOE!L104+F78*(LCOE!E$15+LCOE!I104)*E78*24*365*D78*N78</f>
        <v>0</v>
      </c>
      <c r="I78" s="16">
        <f>LCOE!M104+LCOE!E$20*IF(LCOE!E$14&gt;0,(LCOE!E$14+LCOE!H104),(LCOE!E$15+LCOE!I104))*K78*D78</f>
        <v>20000000</v>
      </c>
      <c r="J78" s="16">
        <f>LCOE!N104+LCOE!E$21*IF(LCOE!E$14&gt;0,G78,H78)*K78*D78</f>
        <v>0</v>
      </c>
      <c r="K78" s="15">
        <f>LCOE!O104+K77+K77*LCOE!E$22</f>
        <v>1</v>
      </c>
      <c r="L78" s="16">
        <f>LCOE!P104+LCOE!E$23*IF(LCOE!E$14&gt;0,G78,H78)*M78*D78</f>
        <v>168165720</v>
      </c>
      <c r="M78" s="15">
        <f>LCOE!Q104+M77+M77*LCOE!E$24</f>
        <v>1</v>
      </c>
      <c r="N78" s="15">
        <f>LCOE!R104+N77-N77*LCOE!E$25</f>
        <v>1</v>
      </c>
      <c r="O78" s="18">
        <f>LCOE!S104+LCOE!E$29</f>
        <v>313.75</v>
      </c>
      <c r="P78" s="12">
        <f>LCOE!T104+IF(A78&gt;=LCOE!E$30,100%,0%)</f>
        <v>1</v>
      </c>
      <c r="Q78" s="16">
        <f>LCOE!U104+O78/1000*IF(LCOE!E$14&gt;0,G78,H78)</f>
        <v>1236802.5</v>
      </c>
      <c r="R78" s="16">
        <f>LCOE!B104</f>
        <v>30</v>
      </c>
      <c r="S78" s="16">
        <f>LCOE!V104+Q78*P78*R78</f>
        <v>37104075</v>
      </c>
      <c r="T78" s="16">
        <f>LCOE!W104+LCOE!E$31</f>
        <v>0</v>
      </c>
      <c r="U78" s="16">
        <f>LCOE!X104+T78*IF(LCOE!E$14&gt;0,G78,H78)</f>
        <v>0</v>
      </c>
      <c r="V78" s="16">
        <f>LCOE!Y104+LCOE!E$32</f>
        <v>0</v>
      </c>
      <c r="W78" s="16">
        <f>LCOE!Z104+V78*IF(LCOE!E$14&gt;0,G78,H78)</f>
        <v>0</v>
      </c>
      <c r="X78" s="16">
        <f>LCOE!AA104+LCOE!E$34</f>
        <v>101</v>
      </c>
      <c r="Y78" s="16">
        <f t="shared" si="15"/>
        <v>0</v>
      </c>
      <c r="Z78" s="50">
        <f t="shared" si="18"/>
        <v>0</v>
      </c>
      <c r="AA78" s="50">
        <f t="shared" si="19"/>
        <v>20000000</v>
      </c>
      <c r="AB78" s="50">
        <f t="shared" si="20"/>
        <v>168165720</v>
      </c>
      <c r="AC78" s="50">
        <f t="shared" si="16"/>
        <v>0</v>
      </c>
      <c r="AD78" s="50">
        <f t="shared" si="11"/>
        <v>37104075</v>
      </c>
      <c r="AE78">
        <f t="shared" si="17"/>
        <v>8</v>
      </c>
      <c r="AF78" s="12">
        <f>LCOE!E104+LCOE!E$40</f>
        <v>0.03</v>
      </c>
      <c r="AG78">
        <f t="shared" si="12"/>
        <v>1.2667700813876159</v>
      </c>
      <c r="AH78" s="16">
        <f t="shared" si="7"/>
        <v>0</v>
      </c>
      <c r="AI78" s="16">
        <f t="shared" si="8"/>
        <v>15788184.686278716</v>
      </c>
      <c r="AJ78" s="16">
        <f t="shared" si="9"/>
        <v>132751572.26305172</v>
      </c>
      <c r="AK78" s="16">
        <f t="shared" si="10"/>
        <v>0</v>
      </c>
      <c r="AL78" s="16">
        <f t="shared" si="13"/>
        <v>29290299.435676847</v>
      </c>
      <c r="AM78" s="16">
        <f t="shared" si="14"/>
        <v>0</v>
      </c>
      <c r="AN78" s="16">
        <f>IF(LCOE!E$14&gt;0,G78,H78)/AG78</f>
        <v>3111851.2016655346</v>
      </c>
    </row>
    <row r="79" spans="1:40">
      <c r="A79">
        <v>9</v>
      </c>
      <c r="C79" s="16">
        <f>LCOE!E105+IF(AND(LCOE!E$26&gt;0,A79&gt;=LCOE!E$26,A79&lt;=(LCOE!E$26+LCOE!E$27-1)),LCOE!E$42/LCOE!E$27,0)+IF(AND(D79=0,AE79&gt;=LCOE!E$16,COUNTIF(D54:D79,0)=LCOE!E$36),LCOE!E$35*LCOE!E$38,0)</f>
        <v>0</v>
      </c>
      <c r="D79" s="16">
        <f>IF(AE78&lt;LCOE!E$16,1,0)</f>
        <v>1</v>
      </c>
      <c r="E79" s="12">
        <f>LCOE!G105+IF(AND(A79&gt;=LCOE!E$26,A79&lt;=(LCOE!E$26+LCOE!E$27-1)),0,1)*IF(A79=LCOE!E$34,0,1)*D79</f>
        <v>1</v>
      </c>
      <c r="F79" s="12">
        <f>IF(F78&lt;LCOE!E$18,MIN(F78*(1+LCOE!E$19),LCOE!E$18),LCOE!E$18)+LCOE!J105</f>
        <v>0.9</v>
      </c>
      <c r="G79" s="16">
        <f>LCOE!K105+E79*F79*N79*(LCOE!E$14+LCOE!H105)*24*365*D79</f>
        <v>3942000</v>
      </c>
      <c r="H79" s="16">
        <f>LCOE!L105+F79*(LCOE!E$15+LCOE!I105)*E79*24*365*D79*N79</f>
        <v>0</v>
      </c>
      <c r="I79" s="16">
        <f>LCOE!M105+LCOE!E$20*IF(LCOE!E$14&gt;0,(LCOE!E$14+LCOE!H105),(LCOE!E$15+LCOE!I105))*K79*D79</f>
        <v>20000000</v>
      </c>
      <c r="J79" s="16">
        <f>LCOE!N105+LCOE!E$21*IF(LCOE!E$14&gt;0,G79,H79)*K79*D79</f>
        <v>0</v>
      </c>
      <c r="K79" s="15">
        <f>LCOE!O105+K78+K78*LCOE!E$22</f>
        <v>1</v>
      </c>
      <c r="L79" s="16">
        <f>LCOE!P105+LCOE!E$23*IF(LCOE!E$14&gt;0,G79,H79)*M79*D79</f>
        <v>168165720</v>
      </c>
      <c r="M79" s="15">
        <f>LCOE!Q105+M78+M78*LCOE!E$24</f>
        <v>1</v>
      </c>
      <c r="N79" s="15">
        <f>LCOE!R105+N78-N78*LCOE!E$25</f>
        <v>1</v>
      </c>
      <c r="O79" s="18">
        <f>LCOE!S105+LCOE!E$29</f>
        <v>313.75</v>
      </c>
      <c r="P79" s="12">
        <f>LCOE!T105+IF(A79&gt;=LCOE!E$30,100%,0%)</f>
        <v>1</v>
      </c>
      <c r="Q79" s="16">
        <f>LCOE!U105+O79/1000*IF(LCOE!E$14&gt;0,G79,H79)</f>
        <v>1236802.5</v>
      </c>
      <c r="R79" s="16">
        <f>LCOE!B105</f>
        <v>30</v>
      </c>
      <c r="S79" s="16">
        <f>LCOE!V105+Q79*P79*R79</f>
        <v>37104075</v>
      </c>
      <c r="T79" s="16">
        <f>LCOE!W105+LCOE!E$31</f>
        <v>0</v>
      </c>
      <c r="U79" s="16">
        <f>LCOE!X105+T79*IF(LCOE!E$14&gt;0,G79,H79)</f>
        <v>0</v>
      </c>
      <c r="V79" s="16">
        <f>LCOE!Y105+LCOE!E$32</f>
        <v>0</v>
      </c>
      <c r="W79" s="16">
        <f>LCOE!Z105+V79*IF(LCOE!E$14&gt;0,G79,H79)</f>
        <v>0</v>
      </c>
      <c r="X79" s="16">
        <f>LCOE!AA105+LCOE!E$34</f>
        <v>101</v>
      </c>
      <c r="Y79" s="16">
        <f t="shared" si="15"/>
        <v>0</v>
      </c>
      <c r="Z79" s="50">
        <f t="shared" si="18"/>
        <v>0</v>
      </c>
      <c r="AA79" s="50">
        <f t="shared" si="19"/>
        <v>20000000</v>
      </c>
      <c r="AB79" s="50">
        <f t="shared" si="20"/>
        <v>168165720</v>
      </c>
      <c r="AC79" s="50">
        <f t="shared" si="16"/>
        <v>0</v>
      </c>
      <c r="AD79" s="50">
        <f t="shared" si="11"/>
        <v>37104075</v>
      </c>
      <c r="AE79">
        <f t="shared" si="17"/>
        <v>9</v>
      </c>
      <c r="AF79" s="12">
        <f>LCOE!E105+LCOE!E$40</f>
        <v>0.03</v>
      </c>
      <c r="AG79">
        <f t="shared" si="12"/>
        <v>1.3047731838292445</v>
      </c>
      <c r="AH79" s="16">
        <f t="shared" si="7"/>
        <v>0</v>
      </c>
      <c r="AI79" s="16">
        <f t="shared" si="8"/>
        <v>15328334.646872539</v>
      </c>
      <c r="AJ79" s="16">
        <f t="shared" si="9"/>
        <v>128885021.61461331</v>
      </c>
      <c r="AK79" s="16">
        <f t="shared" si="10"/>
        <v>0</v>
      </c>
      <c r="AL79" s="16">
        <f t="shared" si="13"/>
        <v>28437183.91813286</v>
      </c>
      <c r="AM79" s="16">
        <f t="shared" si="14"/>
        <v>0</v>
      </c>
      <c r="AN79" s="16">
        <f>IF(LCOE!E$14&gt;0,G79,H79)/AG79</f>
        <v>3021214.7588985772</v>
      </c>
    </row>
    <row r="80" spans="1:40">
      <c r="A80">
        <v>10</v>
      </c>
      <c r="C80" s="16">
        <f>LCOE!E106+IF(AND(LCOE!E$26&gt;0,A80&gt;=LCOE!E$26,A80&lt;=(LCOE!E$26+LCOE!E$27-1)),LCOE!E$42/LCOE!E$27,0)+IF(AND(D80=0,AE80&gt;=LCOE!E$16,COUNTIF(D55:D80,0)=LCOE!E$36),LCOE!E$35*LCOE!E$38,0)</f>
        <v>0</v>
      </c>
      <c r="D80" s="16">
        <f>IF(AE79&lt;LCOE!E$16,1,0)</f>
        <v>1</v>
      </c>
      <c r="E80" s="12">
        <f>LCOE!G106+IF(AND(A80&gt;=LCOE!E$26,A80&lt;=(LCOE!E$26+LCOE!E$27-1)),0,1)*IF(A80=LCOE!E$34,0,1)*D80</f>
        <v>1</v>
      </c>
      <c r="F80" s="12">
        <f>IF(F79&lt;LCOE!E$18,MIN(F79*(1+LCOE!E$19),LCOE!E$18),LCOE!E$18)+LCOE!J106</f>
        <v>0.9</v>
      </c>
      <c r="G80" s="16">
        <f>LCOE!K106+E80*F80*N80*(LCOE!E$14+LCOE!H106)*24*365*D80</f>
        <v>3942000</v>
      </c>
      <c r="H80" s="16">
        <f>LCOE!L106+F80*(LCOE!E$15+LCOE!I106)*E80*24*365*D80*N80</f>
        <v>0</v>
      </c>
      <c r="I80" s="16">
        <f>LCOE!M106+LCOE!E$20*IF(LCOE!E$14&gt;0,(LCOE!E$14+LCOE!H106),(LCOE!E$15+LCOE!I106))*K80*D80</f>
        <v>20000000</v>
      </c>
      <c r="J80" s="16">
        <f>LCOE!N106+LCOE!E$21*IF(LCOE!E$14&gt;0,G80,H80)*K80*D80</f>
        <v>0</v>
      </c>
      <c r="K80" s="15">
        <f>LCOE!O106+K79+K79*LCOE!E$22</f>
        <v>1</v>
      </c>
      <c r="L80" s="16">
        <f>LCOE!P106+LCOE!E$23*IF(LCOE!E$14&gt;0,G80,H80)*M80*D80</f>
        <v>168165720</v>
      </c>
      <c r="M80" s="15">
        <f>LCOE!Q106+M79+M79*LCOE!E$24</f>
        <v>1</v>
      </c>
      <c r="N80" s="15">
        <f>LCOE!R106+N79-N79*LCOE!E$25</f>
        <v>1</v>
      </c>
      <c r="O80" s="18">
        <f>LCOE!S106+LCOE!E$29</f>
        <v>313.75</v>
      </c>
      <c r="P80" s="12">
        <f>LCOE!T106+IF(A80&gt;=LCOE!E$30,100%,0%)</f>
        <v>1</v>
      </c>
      <c r="Q80" s="16">
        <f>LCOE!U106+O80/1000*IF(LCOE!E$14&gt;0,G80,H80)</f>
        <v>1236802.5</v>
      </c>
      <c r="R80" s="16">
        <f>LCOE!B106</f>
        <v>30</v>
      </c>
      <c r="S80" s="16">
        <f>LCOE!V106+Q80*P80*R80</f>
        <v>37104075</v>
      </c>
      <c r="T80" s="16">
        <f>LCOE!W106+LCOE!E$31</f>
        <v>0</v>
      </c>
      <c r="U80" s="16">
        <f>LCOE!X106+T80*IF(LCOE!E$14&gt;0,G80,H80)</f>
        <v>0</v>
      </c>
      <c r="V80" s="16">
        <f>LCOE!Y106+LCOE!E$32</f>
        <v>0</v>
      </c>
      <c r="W80" s="16">
        <f>LCOE!Z106+V80*IF(LCOE!E$14&gt;0,G80,H80)</f>
        <v>0</v>
      </c>
      <c r="X80" s="16">
        <f>LCOE!AA106+LCOE!E$34</f>
        <v>101</v>
      </c>
      <c r="Y80" s="16">
        <f t="shared" si="15"/>
        <v>0</v>
      </c>
      <c r="Z80" s="50">
        <f t="shared" si="18"/>
        <v>0</v>
      </c>
      <c r="AA80" s="50">
        <f t="shared" si="19"/>
        <v>20000000</v>
      </c>
      <c r="AB80" s="50">
        <f t="shared" si="20"/>
        <v>168165720</v>
      </c>
      <c r="AC80" s="50">
        <f t="shared" si="16"/>
        <v>0</v>
      </c>
      <c r="AD80" s="50">
        <f t="shared" si="11"/>
        <v>37104075</v>
      </c>
      <c r="AE80">
        <f t="shared" si="17"/>
        <v>10</v>
      </c>
      <c r="AF80" s="12">
        <f>LCOE!E106+LCOE!E$40</f>
        <v>0.03</v>
      </c>
      <c r="AG80">
        <f t="shared" si="12"/>
        <v>1.3439163793441218</v>
      </c>
      <c r="AH80" s="16">
        <f t="shared" si="7"/>
        <v>0</v>
      </c>
      <c r="AI80" s="16">
        <f t="shared" si="8"/>
        <v>14881878.297934504</v>
      </c>
      <c r="AJ80" s="16">
        <f t="shared" si="9"/>
        <v>125131088.94622652</v>
      </c>
      <c r="AK80" s="16">
        <f t="shared" si="10"/>
        <v>0</v>
      </c>
      <c r="AL80" s="16">
        <f t="shared" si="13"/>
        <v>27608916.42537171</v>
      </c>
      <c r="AM80" s="16">
        <f t="shared" si="14"/>
        <v>0</v>
      </c>
      <c r="AN80" s="16">
        <f>IF(LCOE!E$14&gt;0,G80,H80)/AG80</f>
        <v>2933218.2125228909</v>
      </c>
    </row>
    <row r="81" spans="1:40">
      <c r="A81">
        <v>11</v>
      </c>
      <c r="C81" s="16">
        <f>LCOE!E107+IF(AND(LCOE!E$26&gt;0,A81&gt;=LCOE!E$26,A81&lt;=(LCOE!E$26+LCOE!E$27-1)),LCOE!E$42/LCOE!E$27,0)+IF(AND(D81=0,AE81&gt;=LCOE!E$16,COUNTIF(D56:D81,0)=LCOE!E$36),LCOE!E$35*LCOE!E$38,0)</f>
        <v>0</v>
      </c>
      <c r="D81" s="16">
        <f>IF(AE80&lt;LCOE!E$16,1,0)</f>
        <v>1</v>
      </c>
      <c r="E81" s="12">
        <f>LCOE!G107+IF(AND(A81&gt;=LCOE!E$26,A81&lt;=(LCOE!E$26+LCOE!E$27-1)),0,1)*IF(A81=LCOE!E$34,0,1)*D81</f>
        <v>1</v>
      </c>
      <c r="F81" s="12">
        <f>IF(F80&lt;LCOE!E$18,MIN(F80*(1+LCOE!E$19),LCOE!E$18),LCOE!E$18)+LCOE!J107</f>
        <v>0.9</v>
      </c>
      <c r="G81" s="16">
        <f>LCOE!K107+E81*F81*N81*(LCOE!E$14+LCOE!H107)*24*365*D81</f>
        <v>3942000</v>
      </c>
      <c r="H81" s="16">
        <f>LCOE!L107+F81*(LCOE!E$15+LCOE!I107)*E81*24*365*D81*N81</f>
        <v>0</v>
      </c>
      <c r="I81" s="16">
        <f>LCOE!M107+LCOE!E$20*IF(LCOE!E$14&gt;0,(LCOE!E$14+LCOE!H107),(LCOE!E$15+LCOE!I107))*K81*D81</f>
        <v>20000000</v>
      </c>
      <c r="J81" s="16">
        <f>LCOE!N107+LCOE!E$21*IF(LCOE!E$14&gt;0,G81,H81)*K81*D81</f>
        <v>0</v>
      </c>
      <c r="K81" s="15">
        <f>LCOE!O107+K80+K80*LCOE!E$22</f>
        <v>1</v>
      </c>
      <c r="L81" s="16">
        <f>LCOE!P107+LCOE!E$23*IF(LCOE!E$14&gt;0,G81,H81)*M81*D81</f>
        <v>168165720</v>
      </c>
      <c r="M81" s="15">
        <f>LCOE!Q107+M80+M80*LCOE!E$24</f>
        <v>1</v>
      </c>
      <c r="N81" s="15">
        <f>LCOE!R107+N80-N80*LCOE!E$25</f>
        <v>1</v>
      </c>
      <c r="O81" s="18">
        <f>LCOE!S107+LCOE!E$29</f>
        <v>313.75</v>
      </c>
      <c r="P81" s="12">
        <f>LCOE!T107+IF(A81&gt;=LCOE!E$30,100%,0%)</f>
        <v>1</v>
      </c>
      <c r="Q81" s="16">
        <f>LCOE!U107+O81/1000*IF(LCOE!E$14&gt;0,G81,H81)</f>
        <v>1236802.5</v>
      </c>
      <c r="R81" s="16">
        <f>LCOE!B107</f>
        <v>30</v>
      </c>
      <c r="S81" s="16">
        <f>LCOE!V107+Q81*P81*R81</f>
        <v>37104075</v>
      </c>
      <c r="T81" s="16">
        <f>LCOE!W107+LCOE!E$31</f>
        <v>0</v>
      </c>
      <c r="U81" s="16">
        <f>LCOE!X107+T81*IF(LCOE!E$14&gt;0,G81,H81)</f>
        <v>0</v>
      </c>
      <c r="V81" s="16">
        <f>LCOE!Y107+LCOE!E$32</f>
        <v>0</v>
      </c>
      <c r="W81" s="16">
        <f>LCOE!Z107+V81*IF(LCOE!E$14&gt;0,G81,H81)</f>
        <v>0</v>
      </c>
      <c r="X81" s="16">
        <f>LCOE!AA107+LCOE!E$34</f>
        <v>101</v>
      </c>
      <c r="Y81" s="16">
        <f t="shared" si="15"/>
        <v>0</v>
      </c>
      <c r="Z81" s="50">
        <f t="shared" si="18"/>
        <v>0</v>
      </c>
      <c r="AA81" s="50">
        <f t="shared" si="19"/>
        <v>20000000</v>
      </c>
      <c r="AB81" s="50">
        <f t="shared" si="20"/>
        <v>168165720</v>
      </c>
      <c r="AC81" s="50">
        <f t="shared" si="16"/>
        <v>0</v>
      </c>
      <c r="AD81" s="50">
        <f t="shared" si="11"/>
        <v>37104075</v>
      </c>
      <c r="AE81">
        <f t="shared" si="17"/>
        <v>11</v>
      </c>
      <c r="AF81" s="12">
        <f>LCOE!E107+LCOE!E$40</f>
        <v>0.03</v>
      </c>
      <c r="AG81">
        <f t="shared" si="12"/>
        <v>1.3842338707244455</v>
      </c>
      <c r="AH81" s="16">
        <f t="shared" si="7"/>
        <v>0</v>
      </c>
      <c r="AI81" s="16">
        <f t="shared" si="8"/>
        <v>14448425.531975245</v>
      </c>
      <c r="AJ81" s="16">
        <f t="shared" si="9"/>
        <v>121486494.12255001</v>
      </c>
      <c r="AK81" s="16">
        <f t="shared" si="10"/>
        <v>0</v>
      </c>
      <c r="AL81" s="16">
        <f t="shared" si="13"/>
        <v>26804773.228516221</v>
      </c>
      <c r="AM81" s="16">
        <f t="shared" si="14"/>
        <v>0</v>
      </c>
      <c r="AN81" s="16">
        <f>IF(LCOE!E$14&gt;0,G81,H81)/AG81</f>
        <v>2847784.672352321</v>
      </c>
    </row>
    <row r="82" spans="1:40">
      <c r="A82">
        <v>12</v>
      </c>
      <c r="C82" s="16">
        <f>LCOE!E108+IF(AND(LCOE!E$26&gt;0,A82&gt;=LCOE!E$26,A82&lt;=(LCOE!E$26+LCOE!E$27-1)),LCOE!E$42/LCOE!E$27,0)+IF(AND(D82=0,AE82&gt;=LCOE!E$16,COUNTIF(D57:D82,0)=LCOE!E$36),LCOE!E$35*LCOE!E$38,0)</f>
        <v>0</v>
      </c>
      <c r="D82" s="16">
        <f>IF(AE81&lt;LCOE!E$16,1,0)</f>
        <v>1</v>
      </c>
      <c r="E82" s="12">
        <f>LCOE!G108+IF(AND(A82&gt;=LCOE!E$26,A82&lt;=(LCOE!E$26+LCOE!E$27-1)),0,1)*IF(A82=LCOE!E$34,0,1)*D82</f>
        <v>1</v>
      </c>
      <c r="F82" s="12">
        <f>IF(F81&lt;LCOE!E$18,MIN(F81*(1+LCOE!E$19),LCOE!E$18),LCOE!E$18)+LCOE!J108</f>
        <v>0.9</v>
      </c>
      <c r="G82" s="16">
        <f>LCOE!K108+E82*F82*N82*(LCOE!E$14+LCOE!H108)*24*365*D82</f>
        <v>3942000</v>
      </c>
      <c r="H82" s="16">
        <f>LCOE!L108+F82*(LCOE!E$15+LCOE!I108)*E82*24*365*D82*N82</f>
        <v>0</v>
      </c>
      <c r="I82" s="16">
        <f>LCOE!M108+LCOE!E$20*IF(LCOE!E$14&gt;0,(LCOE!E$14+LCOE!H108),(LCOE!E$15+LCOE!I108))*K82*D82</f>
        <v>20000000</v>
      </c>
      <c r="J82" s="16">
        <f>LCOE!N108+LCOE!E$21*IF(LCOE!E$14&gt;0,G82,H82)*K82*D82</f>
        <v>0</v>
      </c>
      <c r="K82" s="15">
        <f>LCOE!O108+K81+K81*LCOE!E$22</f>
        <v>1</v>
      </c>
      <c r="L82" s="16">
        <f>LCOE!P108+LCOE!E$23*IF(LCOE!E$14&gt;0,G82,H82)*M82*D82</f>
        <v>168165720</v>
      </c>
      <c r="M82" s="15">
        <f>LCOE!Q108+M81+M81*LCOE!E$24</f>
        <v>1</v>
      </c>
      <c r="N82" s="15">
        <f>LCOE!R108+N81-N81*LCOE!E$25</f>
        <v>1</v>
      </c>
      <c r="O82" s="18">
        <f>LCOE!S108+LCOE!E$29</f>
        <v>313.75</v>
      </c>
      <c r="P82" s="12">
        <f>LCOE!T108+IF(A82&gt;=LCOE!E$30,100%,0%)</f>
        <v>1</v>
      </c>
      <c r="Q82" s="16">
        <f>LCOE!U108+O82/1000*IF(LCOE!E$14&gt;0,G82,H82)</f>
        <v>1236802.5</v>
      </c>
      <c r="R82" s="16">
        <f>LCOE!B108</f>
        <v>30</v>
      </c>
      <c r="S82" s="16">
        <f>LCOE!V108+Q82*P82*R82</f>
        <v>37104075</v>
      </c>
      <c r="T82" s="16">
        <f>LCOE!W108+LCOE!E$31</f>
        <v>0</v>
      </c>
      <c r="U82" s="16">
        <f>LCOE!X108+T82*IF(LCOE!E$14&gt;0,G82,H82)</f>
        <v>0</v>
      </c>
      <c r="V82" s="16">
        <f>LCOE!Y108+LCOE!E$32</f>
        <v>0</v>
      </c>
      <c r="W82" s="16">
        <f>LCOE!Z108+V82*IF(LCOE!E$14&gt;0,G82,H82)</f>
        <v>0</v>
      </c>
      <c r="X82" s="16">
        <f>LCOE!AA108+LCOE!E$34</f>
        <v>101</v>
      </c>
      <c r="Y82" s="16">
        <f t="shared" si="15"/>
        <v>0</v>
      </c>
      <c r="Z82" s="50">
        <f t="shared" si="18"/>
        <v>0</v>
      </c>
      <c r="AA82" s="50">
        <f t="shared" si="19"/>
        <v>20000000</v>
      </c>
      <c r="AB82" s="50">
        <f t="shared" si="20"/>
        <v>168165720</v>
      </c>
      <c r="AC82" s="50">
        <f t="shared" si="16"/>
        <v>0</v>
      </c>
      <c r="AD82" s="50">
        <f t="shared" si="11"/>
        <v>37104075</v>
      </c>
      <c r="AE82">
        <f t="shared" si="17"/>
        <v>12</v>
      </c>
      <c r="AF82" s="12">
        <f>LCOE!E108+LCOE!E$40</f>
        <v>0.03</v>
      </c>
      <c r="AG82">
        <f t="shared" si="12"/>
        <v>1.4257608868461786</v>
      </c>
      <c r="AH82" s="16">
        <f t="shared" si="7"/>
        <v>0</v>
      </c>
      <c r="AI82" s="16">
        <f t="shared" si="8"/>
        <v>14027597.603859464</v>
      </c>
      <c r="AJ82" s="16">
        <f t="shared" si="9"/>
        <v>117948052.54616508</v>
      </c>
      <c r="AK82" s="16">
        <f t="shared" si="10"/>
        <v>0</v>
      </c>
      <c r="AL82" s="16">
        <f t="shared" si="13"/>
        <v>26024051.678171091</v>
      </c>
      <c r="AM82" s="16">
        <f t="shared" si="14"/>
        <v>0</v>
      </c>
      <c r="AN82" s="16">
        <f>IF(LCOE!E$14&gt;0,G82,H82)/AG82</f>
        <v>2764839.4877207004</v>
      </c>
    </row>
    <row r="83" spans="1:40">
      <c r="A83">
        <v>13</v>
      </c>
      <c r="C83" s="16">
        <f>LCOE!E109+IF(AND(LCOE!E$26&gt;0,A83&gt;=LCOE!E$26,A83&lt;=(LCOE!E$26+LCOE!E$27-1)),LCOE!E$42/LCOE!E$27,0)+IF(AND(D83=0,AE83&gt;=LCOE!E$16,COUNTIF(D58:D83,0)=LCOE!E$36),LCOE!E$35*LCOE!E$38,0)</f>
        <v>0</v>
      </c>
      <c r="D83" s="16">
        <f>IF(AE82&lt;LCOE!E$16,1,0)</f>
        <v>1</v>
      </c>
      <c r="E83" s="12">
        <f>LCOE!G109+IF(AND(A83&gt;=LCOE!E$26,A83&lt;=(LCOE!E$26+LCOE!E$27-1)),0,1)*IF(A83=LCOE!E$34,0,1)*D83</f>
        <v>1</v>
      </c>
      <c r="F83" s="12">
        <f>IF(F82&lt;LCOE!E$18,MIN(F82*(1+LCOE!E$19),LCOE!E$18),LCOE!E$18)+LCOE!J109</f>
        <v>0.9</v>
      </c>
      <c r="G83" s="16">
        <f>LCOE!K109+E83*F83*N83*(LCOE!E$14+LCOE!H109)*24*365*D83</f>
        <v>3942000</v>
      </c>
      <c r="H83" s="16">
        <f>LCOE!L109+F83*(LCOE!E$15+LCOE!I109)*E83*24*365*D83*N83</f>
        <v>0</v>
      </c>
      <c r="I83" s="16">
        <f>LCOE!M109+LCOE!E$20*IF(LCOE!E$14&gt;0,(LCOE!E$14+LCOE!H109),(LCOE!E$15+LCOE!I109))*K83*D83</f>
        <v>20000000</v>
      </c>
      <c r="J83" s="16">
        <f>LCOE!N109+LCOE!E$21*IF(LCOE!E$14&gt;0,G83,H83)*K83*D83</f>
        <v>0</v>
      </c>
      <c r="K83" s="15">
        <f>LCOE!O109+K82+K82*LCOE!E$22</f>
        <v>1</v>
      </c>
      <c r="L83" s="16">
        <f>LCOE!P109+LCOE!E$23*IF(LCOE!E$14&gt;0,G83,H83)*M83*D83</f>
        <v>168165720</v>
      </c>
      <c r="M83" s="15">
        <f>LCOE!Q109+M82+M82*LCOE!E$24</f>
        <v>1</v>
      </c>
      <c r="N83" s="15">
        <f>LCOE!R109+N82-N82*LCOE!E$25</f>
        <v>1</v>
      </c>
      <c r="O83" s="18">
        <f>LCOE!S109+LCOE!E$29</f>
        <v>313.75</v>
      </c>
      <c r="P83" s="12">
        <f>LCOE!T109+IF(A83&gt;=LCOE!E$30,100%,0%)</f>
        <v>1</v>
      </c>
      <c r="Q83" s="16">
        <f>LCOE!U109+O83/1000*IF(LCOE!E$14&gt;0,G83,H83)</f>
        <v>1236802.5</v>
      </c>
      <c r="R83" s="16">
        <f>LCOE!B109</f>
        <v>30</v>
      </c>
      <c r="S83" s="16">
        <f>LCOE!V109+Q83*P83*R83</f>
        <v>37104075</v>
      </c>
      <c r="T83" s="16">
        <f>LCOE!W109+LCOE!E$31</f>
        <v>0</v>
      </c>
      <c r="U83" s="16">
        <f>LCOE!X109+T83*IF(LCOE!E$14&gt;0,G83,H83)</f>
        <v>0</v>
      </c>
      <c r="V83" s="16">
        <f>LCOE!Y109+LCOE!E$32</f>
        <v>0</v>
      </c>
      <c r="W83" s="16">
        <f>LCOE!Z109+V83*IF(LCOE!E$14&gt;0,G83,H83)</f>
        <v>0</v>
      </c>
      <c r="X83" s="16">
        <f>LCOE!AA109+LCOE!E$34</f>
        <v>101</v>
      </c>
      <c r="Y83" s="16">
        <f t="shared" si="15"/>
        <v>0</v>
      </c>
      <c r="Z83" s="50">
        <f t="shared" si="18"/>
        <v>0</v>
      </c>
      <c r="AA83" s="50">
        <f t="shared" si="19"/>
        <v>20000000</v>
      </c>
      <c r="AB83" s="50">
        <f t="shared" si="20"/>
        <v>168165720</v>
      </c>
      <c r="AC83" s="50">
        <f t="shared" si="16"/>
        <v>0</v>
      </c>
      <c r="AD83" s="50">
        <f t="shared" si="11"/>
        <v>37104075</v>
      </c>
      <c r="AE83">
        <f t="shared" si="17"/>
        <v>13</v>
      </c>
      <c r="AF83" s="12">
        <f>LCOE!E109+LCOE!E$40</f>
        <v>0.03</v>
      </c>
      <c r="AG83">
        <f t="shared" si="12"/>
        <v>1.4685337134515639</v>
      </c>
      <c r="AH83" s="16">
        <f t="shared" si="7"/>
        <v>0</v>
      </c>
      <c r="AI83" s="16">
        <f t="shared" si="8"/>
        <v>13619026.799863558</v>
      </c>
      <c r="AJ83" s="16">
        <f t="shared" si="9"/>
        <v>114512672.37491755</v>
      </c>
      <c r="AK83" s="16">
        <f t="shared" si="10"/>
        <v>0</v>
      </c>
      <c r="AL83" s="16">
        <f t="shared" si="13"/>
        <v>25266069.590457372</v>
      </c>
      <c r="AM83" s="16">
        <f t="shared" si="14"/>
        <v>0</v>
      </c>
      <c r="AN83" s="16">
        <f>IF(LCOE!E$14&gt;0,G83,H83)/AG83</f>
        <v>2684310.1822531074</v>
      </c>
    </row>
    <row r="84" spans="1:40">
      <c r="A84">
        <v>14</v>
      </c>
      <c r="C84" s="16">
        <f>LCOE!E110+IF(AND(LCOE!E$26&gt;0,A84&gt;=LCOE!E$26,A84&lt;=(LCOE!E$26+LCOE!E$27-1)),LCOE!E$42/LCOE!E$27,0)+IF(AND(D84=0,AE84&gt;=LCOE!E$16,COUNTIF(D59:D84,0)=LCOE!E$36),LCOE!E$35*LCOE!E$38,0)</f>
        <v>0</v>
      </c>
      <c r="D84" s="16">
        <f>IF(AE83&lt;LCOE!E$16,1,0)</f>
        <v>1</v>
      </c>
      <c r="E84" s="12">
        <f>LCOE!G110+IF(AND(A84&gt;=LCOE!E$26,A84&lt;=(LCOE!E$26+LCOE!E$27-1)),0,1)*IF(A84=LCOE!E$34,0,1)*D84</f>
        <v>1</v>
      </c>
      <c r="F84" s="12">
        <f>IF(F83&lt;LCOE!E$18,MIN(F83*(1+LCOE!E$19),LCOE!E$18),LCOE!E$18)+LCOE!J110</f>
        <v>0.9</v>
      </c>
      <c r="G84" s="16">
        <f>LCOE!K110+E84*F84*N84*(LCOE!E$14+LCOE!H110)*24*365*D84</f>
        <v>3942000</v>
      </c>
      <c r="H84" s="16">
        <f>LCOE!L110+F84*(LCOE!E$15+LCOE!I110)*E84*24*365*D84*N84</f>
        <v>0</v>
      </c>
      <c r="I84" s="16">
        <f>LCOE!M110+LCOE!E$20*IF(LCOE!E$14&gt;0,(LCOE!E$14+LCOE!H110),(LCOE!E$15+LCOE!I110))*K84*D84</f>
        <v>20000000</v>
      </c>
      <c r="J84" s="16">
        <f>LCOE!N110+LCOE!E$21*IF(LCOE!E$14&gt;0,G84,H84)*K84*D84</f>
        <v>0</v>
      </c>
      <c r="K84" s="15">
        <f>LCOE!O110+K83+K83*LCOE!E$22</f>
        <v>1</v>
      </c>
      <c r="L84" s="16">
        <f>LCOE!P110+LCOE!E$23*IF(LCOE!E$14&gt;0,G84,H84)*M84*D84</f>
        <v>168165720</v>
      </c>
      <c r="M84" s="15">
        <f>LCOE!Q110+M83+M83*LCOE!E$24</f>
        <v>1</v>
      </c>
      <c r="N84" s="15">
        <f>LCOE!R110+N83-N83*LCOE!E$25</f>
        <v>1</v>
      </c>
      <c r="O84" s="18">
        <f>LCOE!S110+LCOE!E$29</f>
        <v>313.75</v>
      </c>
      <c r="P84" s="12">
        <f>LCOE!T110+IF(A84&gt;=LCOE!E$30,100%,0%)</f>
        <v>1</v>
      </c>
      <c r="Q84" s="16">
        <f>LCOE!U110+O84/1000*IF(LCOE!E$14&gt;0,G84,H84)</f>
        <v>1236802.5</v>
      </c>
      <c r="R84" s="16">
        <f>LCOE!B110</f>
        <v>30</v>
      </c>
      <c r="S84" s="16">
        <f>LCOE!V110+Q84*P84*R84</f>
        <v>37104075</v>
      </c>
      <c r="T84" s="16">
        <f>LCOE!W110+LCOE!E$31</f>
        <v>0</v>
      </c>
      <c r="U84" s="16">
        <f>LCOE!X110+T84*IF(LCOE!E$14&gt;0,G84,H84)</f>
        <v>0</v>
      </c>
      <c r="V84" s="16">
        <f>LCOE!Y110+LCOE!E$32</f>
        <v>0</v>
      </c>
      <c r="W84" s="16">
        <f>LCOE!Z110+V84*IF(LCOE!E$14&gt;0,G84,H84)</f>
        <v>0</v>
      </c>
      <c r="X84" s="16">
        <f>LCOE!AA110+LCOE!E$34</f>
        <v>101</v>
      </c>
      <c r="Y84" s="16">
        <f t="shared" si="15"/>
        <v>0</v>
      </c>
      <c r="Z84" s="50">
        <f t="shared" si="18"/>
        <v>0</v>
      </c>
      <c r="AA84" s="50">
        <f t="shared" si="19"/>
        <v>20000000</v>
      </c>
      <c r="AB84" s="50">
        <f t="shared" si="20"/>
        <v>168165720</v>
      </c>
      <c r="AC84" s="50">
        <f t="shared" si="16"/>
        <v>0</v>
      </c>
      <c r="AD84" s="50">
        <f t="shared" si="11"/>
        <v>37104075</v>
      </c>
      <c r="AE84">
        <f t="shared" si="17"/>
        <v>14</v>
      </c>
      <c r="AF84" s="12">
        <f>LCOE!E110+LCOE!E$40</f>
        <v>0.03</v>
      </c>
      <c r="AG84">
        <f t="shared" si="12"/>
        <v>1.512589724855111</v>
      </c>
      <c r="AH84" s="16">
        <f t="shared" si="7"/>
        <v>0</v>
      </c>
      <c r="AI84" s="16">
        <f t="shared" si="8"/>
        <v>13222356.116372384</v>
      </c>
      <c r="AJ84" s="16">
        <f t="shared" si="9"/>
        <v>111177351.8203083</v>
      </c>
      <c r="AK84" s="16">
        <f t="shared" si="10"/>
        <v>0</v>
      </c>
      <c r="AL84" s="16">
        <f t="shared" si="13"/>
        <v>24530164.650929485</v>
      </c>
      <c r="AM84" s="16">
        <f t="shared" si="14"/>
        <v>0</v>
      </c>
      <c r="AN84" s="16">
        <f>IF(LCOE!E$14&gt;0,G84,H84)/AG84</f>
        <v>2606126.390536997</v>
      </c>
    </row>
    <row r="85" spans="1:40">
      <c r="A85">
        <v>15</v>
      </c>
      <c r="C85" s="16">
        <f>LCOE!E111+IF(AND(LCOE!E$26&gt;0,A85&gt;=LCOE!E$26,A85&lt;=(LCOE!E$26+LCOE!E$27-1)),LCOE!E$42/LCOE!E$27,0)+IF(AND(D85=0,AE85&gt;=LCOE!E$16,COUNTIF(D60:D85,0)=LCOE!E$36),LCOE!E$35*LCOE!E$38,0)</f>
        <v>0</v>
      </c>
      <c r="D85" s="16">
        <f>IF(AE84&lt;LCOE!E$16,1,0)</f>
        <v>1</v>
      </c>
      <c r="E85" s="12">
        <f>LCOE!G111+IF(AND(A85&gt;=LCOE!E$26,A85&lt;=(LCOE!E$26+LCOE!E$27-1)),0,1)*IF(A85=LCOE!E$34,0,1)*D85</f>
        <v>1</v>
      </c>
      <c r="F85" s="12">
        <f>IF(F84&lt;LCOE!E$18,MIN(F84*(1+LCOE!E$19),LCOE!E$18),LCOE!E$18)+LCOE!J111</f>
        <v>0.9</v>
      </c>
      <c r="G85" s="16">
        <f>LCOE!K111+E85*F85*N85*(LCOE!E$14+LCOE!H111)*24*365*D85</f>
        <v>3942000</v>
      </c>
      <c r="H85" s="16">
        <f>LCOE!L111+F85*(LCOE!E$15+LCOE!I111)*E85*24*365*D85*N85</f>
        <v>0</v>
      </c>
      <c r="I85" s="16">
        <f>LCOE!M111+LCOE!E$20*IF(LCOE!E$14&gt;0,(LCOE!E$14+LCOE!H111),(LCOE!E$15+LCOE!I111))*K85*D85</f>
        <v>20000000</v>
      </c>
      <c r="J85" s="16">
        <f>LCOE!N111+LCOE!E$21*IF(LCOE!E$14&gt;0,G85,H85)*K85*D85</f>
        <v>0</v>
      </c>
      <c r="K85" s="15">
        <f>LCOE!O111+K84+K84*LCOE!E$22</f>
        <v>1</v>
      </c>
      <c r="L85" s="16">
        <f>LCOE!P111+LCOE!E$23*IF(LCOE!E$14&gt;0,G85,H85)*M85*D85</f>
        <v>168165720</v>
      </c>
      <c r="M85" s="15">
        <f>LCOE!Q111+M84+M84*LCOE!E$24</f>
        <v>1</v>
      </c>
      <c r="N85" s="15">
        <f>LCOE!R111+N84-N84*LCOE!E$25</f>
        <v>1</v>
      </c>
      <c r="O85" s="18">
        <f>LCOE!S111+LCOE!E$29</f>
        <v>313.75</v>
      </c>
      <c r="P85" s="12">
        <f>LCOE!T111+IF(A85&gt;=LCOE!E$30,100%,0%)</f>
        <v>1</v>
      </c>
      <c r="Q85" s="16">
        <f>LCOE!U111+O85/1000*IF(LCOE!E$14&gt;0,G85,H85)</f>
        <v>1236802.5</v>
      </c>
      <c r="R85" s="16">
        <f>LCOE!B111</f>
        <v>30</v>
      </c>
      <c r="S85" s="16">
        <f>LCOE!V111+Q85*P85*R85</f>
        <v>37104075</v>
      </c>
      <c r="T85" s="16">
        <f>LCOE!W111+LCOE!E$31</f>
        <v>0</v>
      </c>
      <c r="U85" s="16">
        <f>LCOE!X111+T85*IF(LCOE!E$14&gt;0,G85,H85)</f>
        <v>0</v>
      </c>
      <c r="V85" s="16">
        <f>LCOE!Y111+LCOE!E$32</f>
        <v>0</v>
      </c>
      <c r="W85" s="16">
        <f>LCOE!Z111+V85*IF(LCOE!E$14&gt;0,G85,H85)</f>
        <v>0</v>
      </c>
      <c r="X85" s="16">
        <f>LCOE!AA111+LCOE!E$34</f>
        <v>101</v>
      </c>
      <c r="Y85" s="16">
        <f t="shared" si="15"/>
        <v>0</v>
      </c>
      <c r="Z85" s="50">
        <f t="shared" si="18"/>
        <v>0</v>
      </c>
      <c r="AA85" s="50">
        <f t="shared" si="19"/>
        <v>20000000</v>
      </c>
      <c r="AB85" s="50">
        <f t="shared" si="20"/>
        <v>168165720</v>
      </c>
      <c r="AC85" s="50">
        <f t="shared" si="16"/>
        <v>0</v>
      </c>
      <c r="AD85" s="50">
        <f t="shared" si="11"/>
        <v>37104075</v>
      </c>
      <c r="AE85">
        <f t="shared" si="17"/>
        <v>15</v>
      </c>
      <c r="AF85" s="12">
        <f>LCOE!E111+LCOE!E$40</f>
        <v>0.03</v>
      </c>
      <c r="AG85">
        <f t="shared" si="12"/>
        <v>1.5579674166007644</v>
      </c>
      <c r="AH85" s="16">
        <f t="shared" si="7"/>
        <v>0</v>
      </c>
      <c r="AI85" s="16">
        <f t="shared" si="8"/>
        <v>12837238.947934354</v>
      </c>
      <c r="AJ85" s="16">
        <f t="shared" si="9"/>
        <v>107939176.52457115</v>
      </c>
      <c r="AK85" s="16">
        <f t="shared" si="10"/>
        <v>0</v>
      </c>
      <c r="AL85" s="16">
        <f t="shared" si="13"/>
        <v>23815693.835853867</v>
      </c>
      <c r="AM85" s="16">
        <f t="shared" si="14"/>
        <v>0</v>
      </c>
      <c r="AN85" s="16">
        <f>IF(LCOE!E$14&gt;0,G85,H85)/AG85</f>
        <v>2530219.7966378611</v>
      </c>
    </row>
    <row r="86" spans="1:40">
      <c r="A86">
        <v>16</v>
      </c>
      <c r="C86" s="16">
        <f>LCOE!E112+IF(AND(LCOE!E$26&gt;0,A86&gt;=LCOE!E$26,A86&lt;=(LCOE!E$26+LCOE!E$27-1)),LCOE!E$42/LCOE!E$27,0)+IF(AND(D86=0,AE86&gt;=LCOE!E$16,COUNTIF(D61:D86,0)=LCOE!E$36),LCOE!E$35*LCOE!E$38,0)</f>
        <v>0</v>
      </c>
      <c r="D86" s="16">
        <f>IF(AE85&lt;LCOE!E$16,1,0)</f>
        <v>1</v>
      </c>
      <c r="E86" s="12">
        <f>LCOE!G112+IF(AND(A86&gt;=LCOE!E$26,A86&lt;=(LCOE!E$26+LCOE!E$27-1)),0,1)*IF(A86=LCOE!E$34,0,1)*D86</f>
        <v>1</v>
      </c>
      <c r="F86" s="12">
        <f>IF(F85&lt;LCOE!E$18,MIN(F85*(1+LCOE!E$19),LCOE!E$18),LCOE!E$18)+LCOE!J112</f>
        <v>0.9</v>
      </c>
      <c r="G86" s="16">
        <f>LCOE!K112+E86*F86*N86*(LCOE!E$14+LCOE!H112)*24*365*D86</f>
        <v>3942000</v>
      </c>
      <c r="H86" s="16">
        <f>LCOE!L112+F86*(LCOE!E$15+LCOE!I112)*E86*24*365*D86*N86</f>
        <v>0</v>
      </c>
      <c r="I86" s="16">
        <f>LCOE!M112+LCOE!E$20*IF(LCOE!E$14&gt;0,(LCOE!E$14+LCOE!H112),(LCOE!E$15+LCOE!I112))*K86*D86</f>
        <v>20000000</v>
      </c>
      <c r="J86" s="16">
        <f>LCOE!N112+LCOE!E$21*IF(LCOE!E$14&gt;0,G86,H86)*K86*D86</f>
        <v>0</v>
      </c>
      <c r="K86" s="15">
        <f>LCOE!O112+K85+K85*LCOE!E$22</f>
        <v>1</v>
      </c>
      <c r="L86" s="16">
        <f>LCOE!P112+LCOE!E$23*IF(LCOE!E$14&gt;0,G86,H86)*M86*D86</f>
        <v>168165720</v>
      </c>
      <c r="M86" s="15">
        <f>LCOE!Q112+M85+M85*LCOE!E$24</f>
        <v>1</v>
      </c>
      <c r="N86" s="15">
        <f>LCOE!R112+N85-N85*LCOE!E$25</f>
        <v>1</v>
      </c>
      <c r="O86" s="18">
        <f>LCOE!S112+LCOE!E$29</f>
        <v>313.75</v>
      </c>
      <c r="P86" s="12">
        <f>LCOE!T112+IF(A86&gt;=LCOE!E$30,100%,0%)</f>
        <v>1</v>
      </c>
      <c r="Q86" s="16">
        <f>LCOE!U112+O86/1000*IF(LCOE!E$14&gt;0,G86,H86)</f>
        <v>1236802.5</v>
      </c>
      <c r="R86" s="16">
        <f>LCOE!B112</f>
        <v>30</v>
      </c>
      <c r="S86" s="16">
        <f>LCOE!V112+Q86*P86*R86</f>
        <v>37104075</v>
      </c>
      <c r="T86" s="16">
        <f>LCOE!W112+LCOE!E$31</f>
        <v>0</v>
      </c>
      <c r="U86" s="16">
        <f>LCOE!X112+T86*IF(LCOE!E$14&gt;0,G86,H86)</f>
        <v>0</v>
      </c>
      <c r="V86" s="16">
        <f>LCOE!Y112+LCOE!E$32</f>
        <v>0</v>
      </c>
      <c r="W86" s="16">
        <f>LCOE!Z112+V86*IF(LCOE!E$14&gt;0,G86,H86)</f>
        <v>0</v>
      </c>
      <c r="X86" s="16">
        <f>LCOE!AA112+LCOE!E$34</f>
        <v>101</v>
      </c>
      <c r="Y86" s="16">
        <f t="shared" si="15"/>
        <v>0</v>
      </c>
      <c r="Z86" s="50">
        <f t="shared" si="18"/>
        <v>0</v>
      </c>
      <c r="AA86" s="50">
        <f t="shared" si="19"/>
        <v>20000000</v>
      </c>
      <c r="AB86" s="50">
        <f t="shared" si="20"/>
        <v>168165720</v>
      </c>
      <c r="AC86" s="50">
        <f t="shared" si="16"/>
        <v>0</v>
      </c>
      <c r="AD86" s="50">
        <f t="shared" si="11"/>
        <v>37104075</v>
      </c>
      <c r="AE86">
        <f t="shared" si="17"/>
        <v>16</v>
      </c>
      <c r="AF86" s="12">
        <f>LCOE!E112+LCOE!E$40</f>
        <v>0.03</v>
      </c>
      <c r="AG86">
        <f t="shared" si="12"/>
        <v>1.6047064390987871</v>
      </c>
      <c r="AH86" s="16">
        <f t="shared" si="7"/>
        <v>0</v>
      </c>
      <c r="AI86" s="16">
        <f t="shared" si="8"/>
        <v>12463338.784402287</v>
      </c>
      <c r="AJ86" s="16">
        <f t="shared" si="9"/>
        <v>104795317.01414678</v>
      </c>
      <c r="AK86" s="16">
        <f t="shared" si="10"/>
        <v>0</v>
      </c>
      <c r="AL86" s="16">
        <f t="shared" si="13"/>
        <v>23122032.850343566</v>
      </c>
      <c r="AM86" s="16">
        <f t="shared" si="14"/>
        <v>0</v>
      </c>
      <c r="AN86" s="16">
        <f>IF(LCOE!E$14&gt;0,G86,H86)/AG86</f>
        <v>2456524.0744056907</v>
      </c>
    </row>
    <row r="87" spans="1:40">
      <c r="A87">
        <v>17</v>
      </c>
      <c r="C87" s="16">
        <f>LCOE!E113+IF(AND(LCOE!E$26&gt;0,A87&gt;=LCOE!E$26,A87&lt;=(LCOE!E$26+LCOE!E$27-1)),LCOE!E$42/LCOE!E$27,0)+IF(AND(D87=0,AE87&gt;=LCOE!E$16,COUNTIF(D62:D87,0)=LCOE!E$36),LCOE!E$35*LCOE!E$38,0)</f>
        <v>0</v>
      </c>
      <c r="D87" s="16">
        <f>IF(AE86&lt;LCOE!E$16,1,0)</f>
        <v>1</v>
      </c>
      <c r="E87" s="12">
        <f>LCOE!G113+IF(AND(A87&gt;=LCOE!E$26,A87&lt;=(LCOE!E$26+LCOE!E$27-1)),0,1)*IF(A87=LCOE!E$34,0,1)*D87</f>
        <v>1</v>
      </c>
      <c r="F87" s="12">
        <f>IF(F86&lt;LCOE!E$18,MIN(F86*(1+LCOE!E$19),LCOE!E$18),LCOE!E$18)+LCOE!J113</f>
        <v>0.9</v>
      </c>
      <c r="G87" s="16">
        <f>LCOE!K113+E87*F87*N87*(LCOE!E$14+LCOE!H113)*24*365*D87</f>
        <v>3942000</v>
      </c>
      <c r="H87" s="16">
        <f>LCOE!L113+F87*(LCOE!E$15+LCOE!I113)*E87*24*365*D87*N87</f>
        <v>0</v>
      </c>
      <c r="I87" s="16">
        <f>LCOE!M113+LCOE!E$20*IF(LCOE!E$14&gt;0,(LCOE!E$14+LCOE!H113),(LCOE!E$15+LCOE!I113))*K87*D87</f>
        <v>20000000</v>
      </c>
      <c r="J87" s="16">
        <f>LCOE!N113+LCOE!E$21*IF(LCOE!E$14&gt;0,G87,H87)*K87*D87</f>
        <v>0</v>
      </c>
      <c r="K87" s="15">
        <f>LCOE!O113+K86+K86*LCOE!E$22</f>
        <v>1</v>
      </c>
      <c r="L87" s="16">
        <f>LCOE!P113+LCOE!E$23*IF(LCOE!E$14&gt;0,G87,H87)*M87*D87</f>
        <v>168165720</v>
      </c>
      <c r="M87" s="15">
        <f>LCOE!Q113+M86+M86*LCOE!E$24</f>
        <v>1</v>
      </c>
      <c r="N87" s="15">
        <f>LCOE!R113+N86-N86*LCOE!E$25</f>
        <v>1</v>
      </c>
      <c r="O87" s="18">
        <f>LCOE!S113+LCOE!E$29</f>
        <v>313.75</v>
      </c>
      <c r="P87" s="12">
        <f>LCOE!T113+IF(A87&gt;=LCOE!E$30,100%,0%)</f>
        <v>1</v>
      </c>
      <c r="Q87" s="16">
        <f>LCOE!U113+O87/1000*IF(LCOE!E$14&gt;0,G87,H87)</f>
        <v>1236802.5</v>
      </c>
      <c r="R87" s="16">
        <f>LCOE!B113</f>
        <v>30</v>
      </c>
      <c r="S87" s="16">
        <f>LCOE!V113+Q87*P87*R87</f>
        <v>37104075</v>
      </c>
      <c r="T87" s="16">
        <f>LCOE!W113+LCOE!E$31</f>
        <v>0</v>
      </c>
      <c r="U87" s="16">
        <f>LCOE!X113+T87*IF(LCOE!E$14&gt;0,G87,H87)</f>
        <v>0</v>
      </c>
      <c r="V87" s="16">
        <f>LCOE!Y113+LCOE!E$32</f>
        <v>0</v>
      </c>
      <c r="W87" s="16">
        <f>LCOE!Z113+V87*IF(LCOE!E$14&gt;0,G87,H87)</f>
        <v>0</v>
      </c>
      <c r="X87" s="16">
        <f>LCOE!AA113+LCOE!E$34</f>
        <v>101</v>
      </c>
      <c r="Y87" s="16">
        <f t="shared" si="15"/>
        <v>0</v>
      </c>
      <c r="Z87" s="50">
        <f t="shared" si="18"/>
        <v>0</v>
      </c>
      <c r="AA87" s="50">
        <f t="shared" si="19"/>
        <v>20000000</v>
      </c>
      <c r="AB87" s="50">
        <f t="shared" si="20"/>
        <v>168165720</v>
      </c>
      <c r="AC87" s="50">
        <f t="shared" si="16"/>
        <v>0</v>
      </c>
      <c r="AD87" s="50">
        <f t="shared" si="11"/>
        <v>37104075</v>
      </c>
      <c r="AE87">
        <f t="shared" si="17"/>
        <v>17</v>
      </c>
      <c r="AF87" s="12">
        <f>LCOE!E113+LCOE!E$40</f>
        <v>0.03</v>
      </c>
      <c r="AG87">
        <f t="shared" si="12"/>
        <v>1.6528476322717507</v>
      </c>
      <c r="AH87" s="16">
        <f t="shared" si="7"/>
        <v>0</v>
      </c>
      <c r="AI87" s="16">
        <f t="shared" si="8"/>
        <v>12100328.916895425</v>
      </c>
      <c r="AJ87" s="16">
        <f t="shared" si="9"/>
        <v>101743026.22732696</v>
      </c>
      <c r="AK87" s="16">
        <f t="shared" si="10"/>
        <v>0</v>
      </c>
      <c r="AL87" s="16">
        <f t="shared" si="13"/>
        <v>22448575.582857829</v>
      </c>
      <c r="AM87" s="16">
        <f t="shared" si="14"/>
        <v>0</v>
      </c>
      <c r="AN87" s="16">
        <f>IF(LCOE!E$14&gt;0,G87,H87)/AG87</f>
        <v>2384974.8295200882</v>
      </c>
    </row>
    <row r="88" spans="1:40">
      <c r="A88">
        <v>18</v>
      </c>
      <c r="C88" s="16">
        <f>LCOE!E114+IF(AND(LCOE!E$26&gt;0,A88&gt;=LCOE!E$26,A88&lt;=(LCOE!E$26+LCOE!E$27-1)),LCOE!E$42/LCOE!E$27,0)+IF(AND(D88=0,AE88&gt;=LCOE!E$16,COUNTIF(D63:D88,0)=LCOE!E$36),LCOE!E$35*LCOE!E$38,0)</f>
        <v>0</v>
      </c>
      <c r="D88" s="16">
        <f>IF(AE87&lt;LCOE!E$16,1,0)</f>
        <v>1</v>
      </c>
      <c r="E88" s="12">
        <f>LCOE!G114+IF(AND(A88&gt;=LCOE!E$26,A88&lt;=(LCOE!E$26+LCOE!E$27-1)),0,1)*IF(A88=LCOE!E$34,0,1)*D88</f>
        <v>1</v>
      </c>
      <c r="F88" s="12">
        <f>IF(F87&lt;LCOE!E$18,MIN(F87*(1+LCOE!E$19),LCOE!E$18),LCOE!E$18)+LCOE!J114</f>
        <v>0.9</v>
      </c>
      <c r="G88" s="16">
        <f>LCOE!K114+E88*F88*N88*(LCOE!E$14+LCOE!H114)*24*365*D88</f>
        <v>3942000</v>
      </c>
      <c r="H88" s="16">
        <f>LCOE!L114+F88*(LCOE!E$15+LCOE!I114)*E88*24*365*D88*N88</f>
        <v>0</v>
      </c>
      <c r="I88" s="16">
        <f>LCOE!M114+LCOE!E$20*IF(LCOE!E$14&gt;0,(LCOE!E$14+LCOE!H114),(LCOE!E$15+LCOE!I114))*K88*D88</f>
        <v>20000000</v>
      </c>
      <c r="J88" s="16">
        <f>LCOE!N114+LCOE!E$21*IF(LCOE!E$14&gt;0,G88,H88)*K88*D88</f>
        <v>0</v>
      </c>
      <c r="K88" s="15">
        <f>LCOE!O114+K87+K87*LCOE!E$22</f>
        <v>1</v>
      </c>
      <c r="L88" s="16">
        <f>LCOE!P114+LCOE!E$23*IF(LCOE!E$14&gt;0,G88,H88)*M88*D88</f>
        <v>168165720</v>
      </c>
      <c r="M88" s="15">
        <f>LCOE!Q114+M87+M87*LCOE!E$24</f>
        <v>1</v>
      </c>
      <c r="N88" s="15">
        <f>LCOE!R114+N87-N87*LCOE!E$25</f>
        <v>1</v>
      </c>
      <c r="O88" s="18">
        <f>LCOE!S114+LCOE!E$29</f>
        <v>313.75</v>
      </c>
      <c r="P88" s="12">
        <f>LCOE!T114+IF(A88&gt;=LCOE!E$30,100%,0%)</f>
        <v>1</v>
      </c>
      <c r="Q88" s="16">
        <f>LCOE!U114+O88/1000*IF(LCOE!E$14&gt;0,G88,H88)</f>
        <v>1236802.5</v>
      </c>
      <c r="R88" s="16">
        <f>LCOE!B114</f>
        <v>30</v>
      </c>
      <c r="S88" s="16">
        <f>LCOE!V114+Q88*P88*R88</f>
        <v>37104075</v>
      </c>
      <c r="T88" s="16">
        <f>LCOE!W114+LCOE!E$31</f>
        <v>0</v>
      </c>
      <c r="U88" s="16">
        <f>LCOE!X114+T88*IF(LCOE!E$14&gt;0,G88,H88)</f>
        <v>0</v>
      </c>
      <c r="V88" s="16">
        <f>LCOE!Y114+LCOE!E$32</f>
        <v>0</v>
      </c>
      <c r="W88" s="16">
        <f>LCOE!Z114+V88*IF(LCOE!E$14&gt;0,G88,H88)</f>
        <v>0</v>
      </c>
      <c r="X88" s="16">
        <f>LCOE!AA114+LCOE!E$34</f>
        <v>101</v>
      </c>
      <c r="Y88" s="16">
        <f t="shared" si="15"/>
        <v>0</v>
      </c>
      <c r="Z88" s="50">
        <f t="shared" si="18"/>
        <v>0</v>
      </c>
      <c r="AA88" s="50">
        <f t="shared" si="19"/>
        <v>20000000</v>
      </c>
      <c r="AB88" s="50">
        <f t="shared" si="20"/>
        <v>168165720</v>
      </c>
      <c r="AC88" s="50">
        <f t="shared" si="16"/>
        <v>0</v>
      </c>
      <c r="AD88" s="50">
        <f t="shared" si="11"/>
        <v>37104075</v>
      </c>
      <c r="AE88">
        <f t="shared" si="17"/>
        <v>18</v>
      </c>
      <c r="AF88" s="12">
        <f>LCOE!E114+LCOE!E$40</f>
        <v>0.03</v>
      </c>
      <c r="AG88">
        <f t="shared" si="12"/>
        <v>1.7024330612399032</v>
      </c>
      <c r="AH88" s="16">
        <f t="shared" si="7"/>
        <v>0</v>
      </c>
      <c r="AI88" s="16">
        <f t="shared" si="8"/>
        <v>11747892.152325654</v>
      </c>
      <c r="AJ88" s="16">
        <f t="shared" si="9"/>
        <v>98779637.113909677</v>
      </c>
      <c r="AK88" s="16">
        <f t="shared" si="10"/>
        <v>0</v>
      </c>
      <c r="AL88" s="16">
        <f t="shared" si="13"/>
        <v>21794733.575590126</v>
      </c>
      <c r="AM88" s="16">
        <f t="shared" si="14"/>
        <v>0</v>
      </c>
      <c r="AN88" s="16">
        <f>IF(LCOE!E$14&gt;0,G88,H88)/AG88</f>
        <v>2315509.5432233866</v>
      </c>
    </row>
    <row r="89" spans="1:40">
      <c r="A89">
        <v>19</v>
      </c>
      <c r="C89" s="16">
        <f>LCOE!E115+IF(AND(LCOE!E$26&gt;0,A89&gt;=LCOE!E$26,A89&lt;=(LCOE!E$26+LCOE!E$27-1)),LCOE!E$42/LCOE!E$27,0)+IF(AND(D89=0,AE89&gt;=LCOE!E$16,COUNTIF(D64:D89,0)=LCOE!E$36),LCOE!E$35*LCOE!E$38,0)</f>
        <v>0</v>
      </c>
      <c r="D89" s="16">
        <f>IF(AE88&lt;LCOE!E$16,1,0)</f>
        <v>1</v>
      </c>
      <c r="E89" s="12">
        <f>LCOE!G115+IF(AND(A89&gt;=LCOE!E$26,A89&lt;=(LCOE!E$26+LCOE!E$27-1)),0,1)*IF(A89=LCOE!E$34,0,1)*D89</f>
        <v>1</v>
      </c>
      <c r="F89" s="12">
        <f>IF(F88&lt;LCOE!E$18,MIN(F88*(1+LCOE!E$19),LCOE!E$18),LCOE!E$18)+LCOE!J115</f>
        <v>0.9</v>
      </c>
      <c r="G89" s="16">
        <f>LCOE!K115+E89*F89*N89*(LCOE!E$14+LCOE!H115)*24*365*D89</f>
        <v>3942000</v>
      </c>
      <c r="H89" s="16">
        <f>LCOE!L115+F89*(LCOE!E$15+LCOE!I115)*E89*24*365*D89*N89</f>
        <v>0</v>
      </c>
      <c r="I89" s="16">
        <f>LCOE!M115+LCOE!E$20*IF(LCOE!E$14&gt;0,(LCOE!E$14+LCOE!H115),(LCOE!E$15+LCOE!I115))*K89*D89</f>
        <v>20000000</v>
      </c>
      <c r="J89" s="16">
        <f>LCOE!N115+LCOE!E$21*IF(LCOE!E$14&gt;0,G89,H89)*K89*D89</f>
        <v>0</v>
      </c>
      <c r="K89" s="15">
        <f>LCOE!O115+K88+K88*LCOE!E$22</f>
        <v>1</v>
      </c>
      <c r="L89" s="16">
        <f>LCOE!P115+LCOE!E$23*IF(LCOE!E$14&gt;0,G89,H89)*M89*D89</f>
        <v>168165720</v>
      </c>
      <c r="M89" s="15">
        <f>LCOE!Q115+M88+M88*LCOE!E$24</f>
        <v>1</v>
      </c>
      <c r="N89" s="15">
        <f>LCOE!R115+N88-N88*LCOE!E$25</f>
        <v>1</v>
      </c>
      <c r="O89" s="18">
        <f>LCOE!S115+LCOE!E$29</f>
        <v>313.75</v>
      </c>
      <c r="P89" s="12">
        <f>LCOE!T115+IF(A89&gt;=LCOE!E$30,100%,0%)</f>
        <v>1</v>
      </c>
      <c r="Q89" s="16">
        <f>LCOE!U115+O89/1000*IF(LCOE!E$14&gt;0,G89,H89)</f>
        <v>1236802.5</v>
      </c>
      <c r="R89" s="16">
        <f>LCOE!B115</f>
        <v>30</v>
      </c>
      <c r="S89" s="16">
        <f>LCOE!V115+Q89*P89*R89</f>
        <v>37104075</v>
      </c>
      <c r="T89" s="16">
        <f>LCOE!W115+LCOE!E$31</f>
        <v>0</v>
      </c>
      <c r="U89" s="16">
        <f>LCOE!X115+T89*IF(LCOE!E$14&gt;0,G89,H89)</f>
        <v>0</v>
      </c>
      <c r="V89" s="16">
        <f>LCOE!Y115+LCOE!E$32</f>
        <v>0</v>
      </c>
      <c r="W89" s="16">
        <f>LCOE!Z115+V89*IF(LCOE!E$14&gt;0,G89,H89)</f>
        <v>0</v>
      </c>
      <c r="X89" s="16">
        <f>LCOE!AA115+LCOE!E$34</f>
        <v>101</v>
      </c>
      <c r="Y89" s="16">
        <f t="shared" si="15"/>
        <v>0</v>
      </c>
      <c r="Z89" s="50">
        <f t="shared" si="18"/>
        <v>0</v>
      </c>
      <c r="AA89" s="50">
        <f t="shared" si="19"/>
        <v>20000000</v>
      </c>
      <c r="AB89" s="50">
        <f t="shared" si="20"/>
        <v>168165720</v>
      </c>
      <c r="AC89" s="50">
        <f t="shared" si="16"/>
        <v>0</v>
      </c>
      <c r="AD89" s="50">
        <f t="shared" si="11"/>
        <v>37104075</v>
      </c>
      <c r="AE89">
        <f t="shared" si="17"/>
        <v>19</v>
      </c>
      <c r="AF89" s="12">
        <f>LCOE!E115+LCOE!E$40</f>
        <v>0.03</v>
      </c>
      <c r="AG89">
        <f t="shared" si="12"/>
        <v>1.7535060530771003</v>
      </c>
      <c r="AH89" s="16">
        <f t="shared" si="7"/>
        <v>0</v>
      </c>
      <c r="AI89" s="16">
        <f t="shared" si="8"/>
        <v>11405720.536238501</v>
      </c>
      <c r="AJ89" s="16">
        <f t="shared" si="9"/>
        <v>95902560.30476667</v>
      </c>
      <c r="AK89" s="16">
        <f t="shared" si="10"/>
        <v>0</v>
      </c>
      <c r="AL89" s="16">
        <f t="shared" si="13"/>
        <v>21159935.510281675</v>
      </c>
      <c r="AM89" s="16">
        <f t="shared" si="14"/>
        <v>0</v>
      </c>
      <c r="AN89" s="16">
        <f>IF(LCOE!E$14&gt;0,G89,H89)/AG89</f>
        <v>2248067.5176926083</v>
      </c>
    </row>
    <row r="90" spans="1:40">
      <c r="A90">
        <v>20</v>
      </c>
      <c r="C90" s="16">
        <f>LCOE!E116+IF(AND(LCOE!E$26&gt;0,A90&gt;=LCOE!E$26,A90&lt;=(LCOE!E$26+LCOE!E$27-1)),LCOE!E$42/LCOE!E$27,0)+IF(AND(D90=0,AE90&gt;=LCOE!E$16,COUNTIF(D65:D90,0)=LCOE!E$36),LCOE!E$35*LCOE!E$38,0)</f>
        <v>0</v>
      </c>
      <c r="D90" s="16">
        <f>IF(AE89&lt;LCOE!E$16,1,0)</f>
        <v>1</v>
      </c>
      <c r="E90" s="12">
        <f>LCOE!G116+IF(AND(A90&gt;=LCOE!E$26,A90&lt;=(LCOE!E$26+LCOE!E$27-1)),0,1)*IF(A90=LCOE!E$34,0,1)*D90</f>
        <v>1</v>
      </c>
      <c r="F90" s="12">
        <f>IF(F89&lt;LCOE!E$18,MIN(F89*(1+LCOE!E$19),LCOE!E$18),LCOE!E$18)+LCOE!J116</f>
        <v>0.9</v>
      </c>
      <c r="G90" s="16">
        <f>LCOE!K116+E90*F90*N90*(LCOE!E$14+LCOE!H116)*24*365*D90</f>
        <v>3942000</v>
      </c>
      <c r="H90" s="16">
        <f>LCOE!L116+F90*(LCOE!E$15+LCOE!I116)*E90*24*365*D90*N90</f>
        <v>0</v>
      </c>
      <c r="I90" s="16">
        <f>LCOE!M116+LCOE!E$20*IF(LCOE!E$14&gt;0,(LCOE!E$14+LCOE!H116),(LCOE!E$15+LCOE!I116))*K90*D90</f>
        <v>20000000</v>
      </c>
      <c r="J90" s="16">
        <f>LCOE!N116+LCOE!E$21*IF(LCOE!E$14&gt;0,G90,H90)*K90*D90</f>
        <v>0</v>
      </c>
      <c r="K90" s="15">
        <f>LCOE!O116+K89+K89*LCOE!E$22</f>
        <v>1</v>
      </c>
      <c r="L90" s="16">
        <f>LCOE!P116+LCOE!E$23*IF(LCOE!E$14&gt;0,G90,H90)*M90*D90</f>
        <v>168165720</v>
      </c>
      <c r="M90" s="15">
        <f>LCOE!Q116+M89+M89*LCOE!E$24</f>
        <v>1</v>
      </c>
      <c r="N90" s="15">
        <f>LCOE!R116+N89-N89*LCOE!E$25</f>
        <v>1</v>
      </c>
      <c r="O90" s="18">
        <f>LCOE!S116+LCOE!E$29</f>
        <v>313.75</v>
      </c>
      <c r="P90" s="12">
        <f>LCOE!T116+IF(A90&gt;=LCOE!E$30,100%,0%)</f>
        <v>1</v>
      </c>
      <c r="Q90" s="16">
        <f>LCOE!U116+O90/1000*IF(LCOE!E$14&gt;0,G90,H90)</f>
        <v>1236802.5</v>
      </c>
      <c r="R90" s="16">
        <f>LCOE!B116</f>
        <v>30</v>
      </c>
      <c r="S90" s="16">
        <f>LCOE!V116+Q90*P90*R90</f>
        <v>37104075</v>
      </c>
      <c r="T90" s="16">
        <f>LCOE!W116+LCOE!E$31</f>
        <v>0</v>
      </c>
      <c r="U90" s="16">
        <f>LCOE!X116+T90*IF(LCOE!E$14&gt;0,G90,H90)</f>
        <v>0</v>
      </c>
      <c r="V90" s="16">
        <f>LCOE!Y116+LCOE!E$32</f>
        <v>0</v>
      </c>
      <c r="W90" s="16">
        <f>LCOE!Z116+V90*IF(LCOE!E$14&gt;0,G90,H90)</f>
        <v>0</v>
      </c>
      <c r="X90" s="16">
        <f>LCOE!AA116+LCOE!E$34</f>
        <v>101</v>
      </c>
      <c r="Y90" s="16">
        <f t="shared" si="15"/>
        <v>0</v>
      </c>
      <c r="Z90" s="50">
        <f t="shared" si="18"/>
        <v>0</v>
      </c>
      <c r="AA90" s="50">
        <f t="shared" si="19"/>
        <v>20000000</v>
      </c>
      <c r="AB90" s="50">
        <f t="shared" si="20"/>
        <v>168165720</v>
      </c>
      <c r="AC90" s="50">
        <f t="shared" si="16"/>
        <v>0</v>
      </c>
      <c r="AD90" s="50">
        <f t="shared" si="11"/>
        <v>37104075</v>
      </c>
      <c r="AE90">
        <f t="shared" si="17"/>
        <v>20</v>
      </c>
      <c r="AF90" s="12">
        <f>LCOE!E116+LCOE!E$40</f>
        <v>0.03</v>
      </c>
      <c r="AG90">
        <f t="shared" si="12"/>
        <v>1.8061112346694133</v>
      </c>
      <c r="AH90" s="16">
        <f t="shared" si="7"/>
        <v>0</v>
      </c>
      <c r="AI90" s="16">
        <f t="shared" si="8"/>
        <v>11073515.083726699</v>
      </c>
      <c r="AJ90" s="16">
        <f t="shared" si="9"/>
        <v>93109281.849288031</v>
      </c>
      <c r="AK90" s="16">
        <f t="shared" si="10"/>
        <v>0</v>
      </c>
      <c r="AL90" s="16">
        <f t="shared" si="13"/>
        <v>20543626.709011335</v>
      </c>
      <c r="AM90" s="16">
        <f t="shared" si="14"/>
        <v>0</v>
      </c>
      <c r="AN90" s="16">
        <f>IF(LCOE!E$14&gt;0,G90,H90)/AG90</f>
        <v>2182589.8230025326</v>
      </c>
    </row>
    <row r="91" spans="1:40">
      <c r="A91">
        <v>21</v>
      </c>
      <c r="C91" s="16">
        <f>LCOE!E117+IF(AND(LCOE!E$26&gt;0,A91&gt;=LCOE!E$26,A91&lt;=(LCOE!E$26+LCOE!E$27-1)),LCOE!E$42/LCOE!E$27,0)+IF(AND(D91=0,AE91&gt;=LCOE!E$16,COUNTIF(D66:D91,0)=LCOE!E$36),LCOE!E$35*LCOE!E$38,0)</f>
        <v>0</v>
      </c>
      <c r="D91" s="16">
        <f>IF(AE90&lt;LCOE!E$16,1,0)</f>
        <v>1</v>
      </c>
      <c r="E91" s="12">
        <f>LCOE!G117+IF(AND(A91&gt;=LCOE!E$26,A91&lt;=(LCOE!E$26+LCOE!E$27-1)),0,1)*IF(A91=LCOE!E$34,0,1)*D91</f>
        <v>1</v>
      </c>
      <c r="F91" s="12">
        <f>IF(F90&lt;LCOE!E$18,MIN(F90*(1+LCOE!E$19),LCOE!E$18),LCOE!E$18)+LCOE!J117</f>
        <v>0.9</v>
      </c>
      <c r="G91" s="16">
        <f>LCOE!K117+E91*F91*N91*(LCOE!E$14+LCOE!H117)*24*365*D91</f>
        <v>3942000</v>
      </c>
      <c r="H91" s="16">
        <f>LCOE!L117+F91*(LCOE!E$15+LCOE!I117)*E91*24*365*D91*N91</f>
        <v>0</v>
      </c>
      <c r="I91" s="16">
        <f>LCOE!M117+LCOE!E$20*IF(LCOE!E$14&gt;0,(LCOE!E$14+LCOE!H117),(LCOE!E$15+LCOE!I117))*K91*D91</f>
        <v>20000000</v>
      </c>
      <c r="J91" s="16">
        <f>LCOE!N117+LCOE!E$21*IF(LCOE!E$14&gt;0,G91,H91)*K91*D91</f>
        <v>0</v>
      </c>
      <c r="K91" s="15">
        <f>LCOE!O117+K90+K90*LCOE!E$22</f>
        <v>1</v>
      </c>
      <c r="L91" s="16">
        <f>LCOE!P117+LCOE!E$23*IF(LCOE!E$14&gt;0,G91,H91)*M91*D91</f>
        <v>168165720</v>
      </c>
      <c r="M91" s="15">
        <f>LCOE!Q117+M90+M90*LCOE!E$24</f>
        <v>1</v>
      </c>
      <c r="N91" s="15">
        <f>LCOE!R117+N90-N90*LCOE!E$25</f>
        <v>1</v>
      </c>
      <c r="O91" s="18">
        <f>LCOE!S117+LCOE!E$29</f>
        <v>313.75</v>
      </c>
      <c r="P91" s="12">
        <f>LCOE!T117+IF(A91&gt;=LCOE!E$30,100%,0%)</f>
        <v>1</v>
      </c>
      <c r="Q91" s="16">
        <f>LCOE!U117+O91/1000*IF(LCOE!E$14&gt;0,G91,H91)</f>
        <v>1236802.5</v>
      </c>
      <c r="R91" s="16">
        <f>LCOE!B117</f>
        <v>30</v>
      </c>
      <c r="S91" s="16">
        <f>LCOE!V117+Q91*P91*R91</f>
        <v>37104075</v>
      </c>
      <c r="T91" s="16">
        <f>LCOE!W117+LCOE!E$31</f>
        <v>0</v>
      </c>
      <c r="U91" s="16">
        <f>LCOE!X117+T91*IF(LCOE!E$14&gt;0,G91,H91)</f>
        <v>0</v>
      </c>
      <c r="V91" s="16">
        <f>LCOE!Y117+LCOE!E$32</f>
        <v>0</v>
      </c>
      <c r="W91" s="16">
        <f>LCOE!Z117+V91*IF(LCOE!E$14&gt;0,G91,H91)</f>
        <v>0</v>
      </c>
      <c r="X91" s="16">
        <f>LCOE!AA117+LCOE!E$34</f>
        <v>101</v>
      </c>
      <c r="Y91" s="16">
        <f t="shared" si="15"/>
        <v>0</v>
      </c>
      <c r="Z91" s="50">
        <f t="shared" si="18"/>
        <v>0</v>
      </c>
      <c r="AA91" s="50">
        <f t="shared" si="19"/>
        <v>20000000</v>
      </c>
      <c r="AB91" s="50">
        <f t="shared" si="20"/>
        <v>168165720</v>
      </c>
      <c r="AC91" s="50">
        <f t="shared" si="16"/>
        <v>0</v>
      </c>
      <c r="AD91" s="50">
        <f t="shared" si="11"/>
        <v>37104075</v>
      </c>
      <c r="AE91">
        <f t="shared" si="17"/>
        <v>21</v>
      </c>
      <c r="AF91" s="12">
        <f>LCOE!E117+LCOE!E$40</f>
        <v>0.03</v>
      </c>
      <c r="AG91">
        <f t="shared" si="12"/>
        <v>1.8602945717094954</v>
      </c>
      <c r="AH91" s="16">
        <f t="shared" si="7"/>
        <v>0</v>
      </c>
      <c r="AI91" s="16">
        <f t="shared" si="8"/>
        <v>10750985.518181263</v>
      </c>
      <c r="AJ91" s="16">
        <f t="shared" si="9"/>
        <v>90397361.018726259</v>
      </c>
      <c r="AK91" s="16">
        <f t="shared" si="10"/>
        <v>0</v>
      </c>
      <c r="AL91" s="16">
        <f t="shared" si="13"/>
        <v>19945268.649525572</v>
      </c>
      <c r="AM91" s="16">
        <f t="shared" si="14"/>
        <v>0</v>
      </c>
      <c r="AN91" s="16">
        <f>IF(LCOE!E$14&gt;0,G91,H91)/AG91</f>
        <v>2119019.2456335267</v>
      </c>
    </row>
    <row r="92" spans="1:40">
      <c r="A92">
        <v>22</v>
      </c>
      <c r="C92" s="16">
        <f>LCOE!E118+IF(AND(LCOE!E$26&gt;0,A92&gt;=LCOE!E$26,A92&lt;=(LCOE!E$26+LCOE!E$27-1)),LCOE!E$42/LCOE!E$27,0)+IF(AND(D92=0,AE92&gt;=LCOE!E$16,COUNTIF(D67:D92,0)=LCOE!E$36),LCOE!E$35*LCOE!E$38,0)</f>
        <v>0</v>
      </c>
      <c r="D92" s="16">
        <f>IF(AE91&lt;LCOE!E$16,1,0)</f>
        <v>1</v>
      </c>
      <c r="E92" s="12">
        <f>LCOE!G118+IF(AND(A92&gt;=LCOE!E$26,A92&lt;=(LCOE!E$26+LCOE!E$27-1)),0,1)*IF(A92=LCOE!E$34,0,1)*D92</f>
        <v>1</v>
      </c>
      <c r="F92" s="12">
        <f>IF(F91&lt;LCOE!E$18,MIN(F91*(1+LCOE!E$19),LCOE!E$18),LCOE!E$18)+LCOE!J118</f>
        <v>0.9</v>
      </c>
      <c r="G92" s="16">
        <f>LCOE!K118+E92*F92*N92*(LCOE!E$14+LCOE!H118)*24*365*D92</f>
        <v>3942000</v>
      </c>
      <c r="H92" s="16">
        <f>LCOE!L118+F92*(LCOE!E$15+LCOE!I118)*E92*24*365*D92*N92</f>
        <v>0</v>
      </c>
      <c r="I92" s="16">
        <f>LCOE!M118+LCOE!E$20*IF(LCOE!E$14&gt;0,(LCOE!E$14+LCOE!H118),(LCOE!E$15+LCOE!I118))*K92*D92</f>
        <v>20000000</v>
      </c>
      <c r="J92" s="16">
        <f>LCOE!N118+LCOE!E$21*IF(LCOE!E$14&gt;0,G92,H92)*K92*D92</f>
        <v>0</v>
      </c>
      <c r="K92" s="15">
        <f>LCOE!O118+K91+K91*LCOE!E$22</f>
        <v>1</v>
      </c>
      <c r="L92" s="16">
        <f>LCOE!P118+LCOE!E$23*IF(LCOE!E$14&gt;0,G92,H92)*M92*D92</f>
        <v>168165720</v>
      </c>
      <c r="M92" s="15">
        <f>LCOE!Q118+M91+M91*LCOE!E$24</f>
        <v>1</v>
      </c>
      <c r="N92" s="15">
        <f>LCOE!R118+N91-N91*LCOE!E$25</f>
        <v>1</v>
      </c>
      <c r="O92" s="18">
        <f>LCOE!S118+LCOE!E$29</f>
        <v>313.75</v>
      </c>
      <c r="P92" s="12">
        <f>LCOE!T118+IF(A92&gt;=LCOE!E$30,100%,0%)</f>
        <v>1</v>
      </c>
      <c r="Q92" s="16">
        <f>LCOE!U118+O92/1000*IF(LCOE!E$14&gt;0,G92,H92)</f>
        <v>1236802.5</v>
      </c>
      <c r="R92" s="16">
        <f>LCOE!B118</f>
        <v>30</v>
      </c>
      <c r="S92" s="16">
        <f>LCOE!V118+Q92*P92*R92</f>
        <v>37104075</v>
      </c>
      <c r="T92" s="16">
        <f>LCOE!W118+LCOE!E$31</f>
        <v>0</v>
      </c>
      <c r="U92" s="16">
        <f>LCOE!X118+T92*IF(LCOE!E$14&gt;0,G92,H92)</f>
        <v>0</v>
      </c>
      <c r="V92" s="16">
        <f>LCOE!Y118+LCOE!E$32</f>
        <v>0</v>
      </c>
      <c r="W92" s="16">
        <f>LCOE!Z118+V92*IF(LCOE!E$14&gt;0,G92,H92)</f>
        <v>0</v>
      </c>
      <c r="X92" s="16">
        <f>LCOE!AA118+LCOE!E$34</f>
        <v>101</v>
      </c>
      <c r="Y92" s="16">
        <f t="shared" si="15"/>
        <v>0</v>
      </c>
      <c r="Z92" s="50">
        <f t="shared" si="18"/>
        <v>0</v>
      </c>
      <c r="AA92" s="50">
        <f t="shared" si="19"/>
        <v>20000000</v>
      </c>
      <c r="AB92" s="50">
        <f t="shared" si="20"/>
        <v>168165720</v>
      </c>
      <c r="AC92" s="50">
        <f t="shared" si="16"/>
        <v>0</v>
      </c>
      <c r="AD92" s="50">
        <f t="shared" si="11"/>
        <v>37104075</v>
      </c>
      <c r="AE92">
        <f t="shared" si="17"/>
        <v>22</v>
      </c>
      <c r="AF92" s="12">
        <f>LCOE!E118+LCOE!E$40</f>
        <v>0.03</v>
      </c>
      <c r="AG92">
        <f t="shared" si="12"/>
        <v>1.9161034088607805</v>
      </c>
      <c r="AH92" s="16">
        <f t="shared" si="7"/>
        <v>0</v>
      </c>
      <c r="AI92" s="16">
        <f t="shared" si="8"/>
        <v>10437850.017651711</v>
      </c>
      <c r="AJ92" s="16">
        <f t="shared" si="9"/>
        <v>87764428.173520625</v>
      </c>
      <c r="AK92" s="16">
        <f t="shared" si="10"/>
        <v>0</v>
      </c>
      <c r="AL92" s="16">
        <f t="shared" si="13"/>
        <v>19364338.49468502</v>
      </c>
      <c r="AM92" s="16">
        <f t="shared" si="14"/>
        <v>0</v>
      </c>
      <c r="AN92" s="16">
        <f>IF(LCOE!E$14&gt;0,G92,H92)/AG92</f>
        <v>2057300.2384791521</v>
      </c>
    </row>
    <row r="93" spans="1:40">
      <c r="A93">
        <v>23</v>
      </c>
      <c r="C93" s="16">
        <f>LCOE!E119+IF(AND(LCOE!E$26&gt;0,A93&gt;=LCOE!E$26,A93&lt;=(LCOE!E$26+LCOE!E$27-1)),LCOE!E$42/LCOE!E$27,0)+IF(AND(D93=0,AE93&gt;=LCOE!E$16,COUNTIF(D68:D93,0)=LCOE!E$36),LCOE!E$35*LCOE!E$38,0)</f>
        <v>0</v>
      </c>
      <c r="D93" s="16">
        <f>IF(AE92&lt;LCOE!E$16,1,0)</f>
        <v>1</v>
      </c>
      <c r="E93" s="12">
        <f>LCOE!G119+IF(AND(A93&gt;=LCOE!E$26,A93&lt;=(LCOE!E$26+LCOE!E$27-1)),0,1)*IF(A93=LCOE!E$34,0,1)*D93</f>
        <v>1</v>
      </c>
      <c r="F93" s="12">
        <f>IF(F92&lt;LCOE!E$18,MIN(F92*(1+LCOE!E$19),LCOE!E$18),LCOE!E$18)+LCOE!J119</f>
        <v>0.9</v>
      </c>
      <c r="G93" s="16">
        <f>LCOE!K119+E93*F93*N93*(LCOE!E$14+LCOE!H119)*24*365*D93</f>
        <v>3942000</v>
      </c>
      <c r="H93" s="16">
        <f>LCOE!L119+F93*(LCOE!E$15+LCOE!I119)*E93*24*365*D93*N93</f>
        <v>0</v>
      </c>
      <c r="I93" s="16">
        <f>LCOE!M119+LCOE!E$20*IF(LCOE!E$14&gt;0,(LCOE!E$14+LCOE!H119),(LCOE!E$15+LCOE!I119))*K93*D93</f>
        <v>20000000</v>
      </c>
      <c r="J93" s="16">
        <f>LCOE!N119+LCOE!E$21*IF(LCOE!E$14&gt;0,G93,H93)*K93*D93</f>
        <v>0</v>
      </c>
      <c r="K93" s="15">
        <f>LCOE!O119+K92+K92*LCOE!E$22</f>
        <v>1</v>
      </c>
      <c r="L93" s="16">
        <f>LCOE!P119+LCOE!E$23*IF(LCOE!E$14&gt;0,G93,H93)*M93*D93</f>
        <v>168165720</v>
      </c>
      <c r="M93" s="15">
        <f>LCOE!Q119+M92+M92*LCOE!E$24</f>
        <v>1</v>
      </c>
      <c r="N93" s="15">
        <f>LCOE!R119+N92-N92*LCOE!E$25</f>
        <v>1</v>
      </c>
      <c r="O93" s="18">
        <f>LCOE!S119+LCOE!E$29</f>
        <v>313.75</v>
      </c>
      <c r="P93" s="12">
        <f>LCOE!T119+IF(A93&gt;=LCOE!E$30,100%,0%)</f>
        <v>1</v>
      </c>
      <c r="Q93" s="16">
        <f>LCOE!U119+O93/1000*IF(LCOE!E$14&gt;0,G93,H93)</f>
        <v>1236802.5</v>
      </c>
      <c r="R93" s="16">
        <f>LCOE!B119</f>
        <v>30</v>
      </c>
      <c r="S93" s="16">
        <f>LCOE!V119+Q93*P93*R93</f>
        <v>37104075</v>
      </c>
      <c r="T93" s="16">
        <f>LCOE!W119+LCOE!E$31</f>
        <v>0</v>
      </c>
      <c r="U93" s="16">
        <f>LCOE!X119+T93*IF(LCOE!E$14&gt;0,G93,H93)</f>
        <v>0</v>
      </c>
      <c r="V93" s="16">
        <f>LCOE!Y119+LCOE!E$32</f>
        <v>0</v>
      </c>
      <c r="W93" s="16">
        <f>LCOE!Z119+V93*IF(LCOE!E$14&gt;0,G93,H93)</f>
        <v>0</v>
      </c>
      <c r="X93" s="16">
        <f>LCOE!AA119+LCOE!E$34</f>
        <v>101</v>
      </c>
      <c r="Y93" s="16">
        <f t="shared" si="15"/>
        <v>0</v>
      </c>
      <c r="Z93" s="50">
        <f t="shared" si="18"/>
        <v>0</v>
      </c>
      <c r="AA93" s="50">
        <f t="shared" si="19"/>
        <v>20000000</v>
      </c>
      <c r="AB93" s="50">
        <f t="shared" si="20"/>
        <v>168165720</v>
      </c>
      <c r="AC93" s="50">
        <f t="shared" si="16"/>
        <v>0</v>
      </c>
      <c r="AD93" s="50">
        <f t="shared" si="11"/>
        <v>37104075</v>
      </c>
      <c r="AE93">
        <f t="shared" si="17"/>
        <v>23</v>
      </c>
      <c r="AF93" s="12">
        <f>LCOE!E119+LCOE!E$40</f>
        <v>0.03</v>
      </c>
      <c r="AG93">
        <f t="shared" si="12"/>
        <v>1.973586511126604</v>
      </c>
      <c r="AH93" s="16">
        <f t="shared" si="7"/>
        <v>0</v>
      </c>
      <c r="AI93" s="16">
        <f t="shared" si="8"/>
        <v>10133834.968593894</v>
      </c>
      <c r="AJ93" s="16">
        <f t="shared" si="9"/>
        <v>85208182.692738473</v>
      </c>
      <c r="AK93" s="16">
        <f t="shared" si="10"/>
        <v>0</v>
      </c>
      <c r="AL93" s="16">
        <f t="shared" si="13"/>
        <v>18800328.635616522</v>
      </c>
      <c r="AM93" s="16">
        <f t="shared" si="14"/>
        <v>0</v>
      </c>
      <c r="AN93" s="16">
        <f>IF(LCOE!E$14&gt;0,G93,H93)/AG93</f>
        <v>1997378.8723098563</v>
      </c>
    </row>
    <row r="94" spans="1:40">
      <c r="A94">
        <v>24</v>
      </c>
      <c r="C94" s="16">
        <f>LCOE!E120+IF(AND(LCOE!E$26&gt;0,A94&gt;=LCOE!E$26,A94&lt;=(LCOE!E$26+LCOE!E$27-1)),LCOE!E$42/LCOE!E$27,0)+IF(AND(D94=0,AE94&gt;=LCOE!E$16,COUNTIF(D69:D94,0)=LCOE!E$36),LCOE!E$35*LCOE!E$38,0)</f>
        <v>0</v>
      </c>
      <c r="D94" s="16">
        <f>IF(AE93&lt;LCOE!E$16,1,0)</f>
        <v>1</v>
      </c>
      <c r="E94" s="12">
        <f>LCOE!G120+IF(AND(A94&gt;=LCOE!E$26,A94&lt;=(LCOE!E$26+LCOE!E$27-1)),0,1)*IF(A94=LCOE!E$34,0,1)*D94</f>
        <v>1</v>
      </c>
      <c r="F94" s="12">
        <f>IF(F93&lt;LCOE!E$18,MIN(F93*(1+LCOE!E$19),LCOE!E$18),LCOE!E$18)+LCOE!J120</f>
        <v>0.9</v>
      </c>
      <c r="G94" s="16">
        <f>LCOE!K120+E94*F94*N94*(LCOE!E$14+LCOE!H120)*24*365*D94</f>
        <v>3942000</v>
      </c>
      <c r="H94" s="16">
        <f>LCOE!L120+F94*(LCOE!E$15+LCOE!I120)*E94*24*365*D94*N94</f>
        <v>0</v>
      </c>
      <c r="I94" s="16">
        <f>LCOE!M120+LCOE!E$20*IF(LCOE!E$14&gt;0,(LCOE!E$14+LCOE!H120),(LCOE!E$15+LCOE!I120))*K94*D94</f>
        <v>20000000</v>
      </c>
      <c r="J94" s="16">
        <f>LCOE!N120+LCOE!E$21*IF(LCOE!E$14&gt;0,G94,H94)*K94*D94</f>
        <v>0</v>
      </c>
      <c r="K94" s="15">
        <f>LCOE!O120+K93+K93*LCOE!E$22</f>
        <v>1</v>
      </c>
      <c r="L94" s="16">
        <f>LCOE!P120+LCOE!E$23*IF(LCOE!E$14&gt;0,G94,H94)*M94*D94</f>
        <v>168165720</v>
      </c>
      <c r="M94" s="15">
        <f>LCOE!Q120+M93+M93*LCOE!E$24</f>
        <v>1</v>
      </c>
      <c r="N94" s="15">
        <f>LCOE!R120+N93-N93*LCOE!E$25</f>
        <v>1</v>
      </c>
      <c r="O94" s="18">
        <f>LCOE!S120+LCOE!E$29</f>
        <v>313.75</v>
      </c>
      <c r="P94" s="12">
        <f>LCOE!T120+IF(A94&gt;=LCOE!E$30,100%,0%)</f>
        <v>1</v>
      </c>
      <c r="Q94" s="16">
        <f>LCOE!U120+O94/1000*IF(LCOE!E$14&gt;0,G94,H94)</f>
        <v>1236802.5</v>
      </c>
      <c r="R94" s="16">
        <f>LCOE!B120</f>
        <v>30</v>
      </c>
      <c r="S94" s="16">
        <f>LCOE!V120+Q94*P94*R94</f>
        <v>37104075</v>
      </c>
      <c r="T94" s="16">
        <f>LCOE!W120+LCOE!E$31</f>
        <v>0</v>
      </c>
      <c r="U94" s="16">
        <f>LCOE!X120+T94*IF(LCOE!E$14&gt;0,G94,H94)</f>
        <v>0</v>
      </c>
      <c r="V94" s="16">
        <f>LCOE!Y120+LCOE!E$32</f>
        <v>0</v>
      </c>
      <c r="W94" s="16">
        <f>LCOE!Z120+V94*IF(LCOE!E$14&gt;0,G94,H94)</f>
        <v>0</v>
      </c>
      <c r="X94" s="16">
        <f>LCOE!AA120+LCOE!E$34</f>
        <v>101</v>
      </c>
      <c r="Y94" s="16">
        <f t="shared" si="15"/>
        <v>0</v>
      </c>
      <c r="Z94" s="50">
        <f t="shared" si="18"/>
        <v>0</v>
      </c>
      <c r="AA94" s="50">
        <f t="shared" si="19"/>
        <v>20000000</v>
      </c>
      <c r="AB94" s="50">
        <f t="shared" si="20"/>
        <v>168165720</v>
      </c>
      <c r="AC94" s="50">
        <f t="shared" si="16"/>
        <v>0</v>
      </c>
      <c r="AD94" s="50">
        <f t="shared" si="11"/>
        <v>37104075</v>
      </c>
      <c r="AE94">
        <f t="shared" si="17"/>
        <v>24</v>
      </c>
      <c r="AF94" s="12">
        <f>LCOE!E120+LCOE!E$40</f>
        <v>0.03</v>
      </c>
      <c r="AG94">
        <f t="shared" si="12"/>
        <v>2.0327941064604018</v>
      </c>
      <c r="AH94" s="16">
        <f t="shared" si="7"/>
        <v>0</v>
      </c>
      <c r="AI94" s="16">
        <f t="shared" si="8"/>
        <v>9838674.7267901897</v>
      </c>
      <c r="AJ94" s="16">
        <f t="shared" si="9"/>
        <v>82726390.963823766</v>
      </c>
      <c r="AK94" s="16">
        <f t="shared" si="10"/>
        <v>0</v>
      </c>
      <c r="AL94" s="16">
        <f t="shared" si="13"/>
        <v>18252746.248171385</v>
      </c>
      <c r="AM94" s="16">
        <f t="shared" si="14"/>
        <v>0</v>
      </c>
      <c r="AN94" s="16">
        <f>IF(LCOE!E$14&gt;0,G94,H94)/AG94</f>
        <v>1939202.7886503462</v>
      </c>
    </row>
    <row r="95" spans="1:40">
      <c r="A95">
        <v>25</v>
      </c>
      <c r="C95" s="16">
        <f>LCOE!E121+IF(AND(LCOE!E$26&gt;0,A95&gt;=LCOE!E$26,A95&lt;=(LCOE!E$26+LCOE!E$27-1)),LCOE!E$42/LCOE!E$27,0)+IF(AND(D95=0,AE95&gt;=LCOE!E$16,COUNTIF(D70:D95,0)=LCOE!E$36),LCOE!E$35*LCOE!E$38,0)</f>
        <v>0</v>
      </c>
      <c r="D95" s="16">
        <f>IF(AE94&lt;LCOE!E$16,1,0)</f>
        <v>1</v>
      </c>
      <c r="E95" s="12">
        <f>LCOE!G121+IF(AND(A95&gt;=LCOE!E$26,A95&lt;=(LCOE!E$26+LCOE!E$27-1)),0,1)*IF(A95=LCOE!E$34,0,1)*D95</f>
        <v>1</v>
      </c>
      <c r="F95" s="12">
        <f>IF(F94&lt;LCOE!E$18,MIN(F94*(1+LCOE!E$19),LCOE!E$18),LCOE!E$18)+LCOE!J121</f>
        <v>0.9</v>
      </c>
      <c r="G95" s="16">
        <f>LCOE!K121+E95*F95*N95*(LCOE!E$14+LCOE!H121)*24*365*D95</f>
        <v>3942000</v>
      </c>
      <c r="H95" s="16">
        <f>LCOE!L121+F95*(LCOE!E$15+LCOE!I121)*E95*24*365*D95*N95</f>
        <v>0</v>
      </c>
      <c r="I95" s="16">
        <f>LCOE!M121+LCOE!E$20*IF(LCOE!E$14&gt;0,(LCOE!E$14+LCOE!H121),(LCOE!E$15+LCOE!I121))*K95*D95</f>
        <v>20000000</v>
      </c>
      <c r="J95" s="16">
        <f>LCOE!N121+LCOE!E$21*IF(LCOE!E$14&gt;0,G95,H95)*K95*D95</f>
        <v>0</v>
      </c>
      <c r="K95" s="15">
        <f>LCOE!O121+K94+K94*LCOE!E$22</f>
        <v>1</v>
      </c>
      <c r="L95" s="16">
        <f>LCOE!P121+LCOE!E$23*IF(LCOE!E$14&gt;0,G95,H95)*M95*D95</f>
        <v>168165720</v>
      </c>
      <c r="M95" s="15">
        <f>LCOE!Q121+M94+M94*LCOE!E$24</f>
        <v>1</v>
      </c>
      <c r="N95" s="15">
        <f>LCOE!R121+N94-N94*LCOE!E$25</f>
        <v>1</v>
      </c>
      <c r="O95" s="18">
        <f>LCOE!S121+LCOE!E$29</f>
        <v>313.75</v>
      </c>
      <c r="P95" s="12">
        <f>LCOE!T121+IF(A95&gt;=LCOE!E$30,100%,0%)</f>
        <v>1</v>
      </c>
      <c r="Q95" s="16">
        <f>LCOE!U121+O95/1000*IF(LCOE!E$14&gt;0,G95,H95)</f>
        <v>1236802.5</v>
      </c>
      <c r="R95" s="16">
        <f>LCOE!B121</f>
        <v>30</v>
      </c>
      <c r="S95" s="16">
        <f>LCOE!V121+Q95*P95*R95</f>
        <v>37104075</v>
      </c>
      <c r="T95" s="16">
        <f>LCOE!W121+LCOE!E$31</f>
        <v>0</v>
      </c>
      <c r="U95" s="16">
        <f>LCOE!X121+T95*IF(LCOE!E$14&gt;0,G95,H95)</f>
        <v>0</v>
      </c>
      <c r="V95" s="16">
        <f>LCOE!Y121+LCOE!E$32</f>
        <v>0</v>
      </c>
      <c r="W95" s="16">
        <f>LCOE!Z121+V95*IF(LCOE!E$14&gt;0,G95,H95)</f>
        <v>0</v>
      </c>
      <c r="X95" s="16">
        <f>LCOE!AA121+LCOE!E$34</f>
        <v>101</v>
      </c>
      <c r="Y95" s="16">
        <f t="shared" si="15"/>
        <v>0</v>
      </c>
      <c r="Z95" s="50">
        <f t="shared" si="18"/>
        <v>0</v>
      </c>
      <c r="AA95" s="50">
        <f t="shared" si="19"/>
        <v>20000000</v>
      </c>
      <c r="AB95" s="50">
        <f t="shared" si="20"/>
        <v>168165720</v>
      </c>
      <c r="AC95" s="50">
        <f t="shared" si="16"/>
        <v>0</v>
      </c>
      <c r="AD95" s="50">
        <f t="shared" si="11"/>
        <v>37104075</v>
      </c>
      <c r="AE95">
        <f t="shared" si="17"/>
        <v>25</v>
      </c>
      <c r="AF95" s="12">
        <f>LCOE!E121+LCOE!E$40</f>
        <v>0.03</v>
      </c>
      <c r="AG95">
        <f t="shared" si="12"/>
        <v>2.0937779296542138</v>
      </c>
      <c r="AH95" s="16">
        <f t="shared" si="7"/>
        <v>0</v>
      </c>
      <c r="AI95" s="16">
        <f t="shared" si="8"/>
        <v>9552111.3852331936</v>
      </c>
      <c r="AJ95" s="16">
        <f t="shared" si="9"/>
        <v>80316884.430896863</v>
      </c>
      <c r="AK95" s="16">
        <f t="shared" si="10"/>
        <v>0</v>
      </c>
      <c r="AL95" s="16">
        <f t="shared" si="13"/>
        <v>17721112.862302314</v>
      </c>
      <c r="AM95" s="16">
        <f t="shared" si="14"/>
        <v>0</v>
      </c>
      <c r="AN95" s="16">
        <f>IF(LCOE!E$14&gt;0,G95,H95)/AG95</f>
        <v>1882721.1540294625</v>
      </c>
    </row>
    <row r="96" spans="1:40">
      <c r="A96">
        <v>26</v>
      </c>
      <c r="C96" s="16">
        <f>LCOE!E122+IF(AND(LCOE!E$26&gt;0,A96&gt;=LCOE!E$26,A96&lt;=(LCOE!E$26+LCOE!E$27-1)),LCOE!E$42/LCOE!E$27,0)+IF(AND(D96=0,AE96&gt;=LCOE!E$16,COUNTIF(D71:D96,0)=LCOE!E$36),LCOE!E$35*LCOE!E$38,0)</f>
        <v>0</v>
      </c>
      <c r="D96" s="16">
        <f>IF(AE95&lt;LCOE!E$16,1,0)</f>
        <v>1</v>
      </c>
      <c r="E96" s="12">
        <f>LCOE!G122+IF(AND(A96&gt;=LCOE!E$26,A96&lt;=(LCOE!E$26+LCOE!E$27-1)),0,1)*IF(A96=LCOE!E$34,0,1)*D96</f>
        <v>1</v>
      </c>
      <c r="F96" s="12">
        <f>IF(F95&lt;LCOE!E$18,MIN(F95*(1+LCOE!E$19),LCOE!E$18),LCOE!E$18)+LCOE!J122</f>
        <v>0.9</v>
      </c>
      <c r="G96" s="16">
        <f>LCOE!K122+E96*F96*N96*(LCOE!E$14+LCOE!H122)*24*365*D96</f>
        <v>3942000</v>
      </c>
      <c r="H96" s="16">
        <f>LCOE!L122+F96*(LCOE!E$15+LCOE!I122)*E96*24*365*D96*N96</f>
        <v>0</v>
      </c>
      <c r="I96" s="16">
        <f>LCOE!M122+LCOE!E$20*IF(LCOE!E$14&gt;0,(LCOE!E$14+LCOE!H122),(LCOE!E$15+LCOE!I122))*K96*D96</f>
        <v>20000000</v>
      </c>
      <c r="J96" s="16">
        <f>LCOE!N122+LCOE!E$21*IF(LCOE!E$14&gt;0,G96,H96)*K96*D96</f>
        <v>0</v>
      </c>
      <c r="K96" s="15">
        <f>LCOE!O122+K95+K95*LCOE!E$22</f>
        <v>1</v>
      </c>
      <c r="L96" s="16">
        <f>LCOE!P122+LCOE!E$23*IF(LCOE!E$14&gt;0,G96,H96)*M96*D96</f>
        <v>168165720</v>
      </c>
      <c r="M96" s="15">
        <f>LCOE!Q122+M95+M95*LCOE!E$24</f>
        <v>1</v>
      </c>
      <c r="N96" s="15">
        <f>LCOE!R122+N95-N95*LCOE!E$25</f>
        <v>1</v>
      </c>
      <c r="O96" s="18">
        <f>LCOE!S122+LCOE!E$29</f>
        <v>313.75</v>
      </c>
      <c r="P96" s="12">
        <f>LCOE!T122+IF(A96&gt;=LCOE!E$30,100%,0%)</f>
        <v>1</v>
      </c>
      <c r="Q96" s="16">
        <f>LCOE!U122+O96/1000*IF(LCOE!E$14&gt;0,G96,H96)</f>
        <v>1236802.5</v>
      </c>
      <c r="R96" s="16">
        <f>LCOE!B122</f>
        <v>30</v>
      </c>
      <c r="S96" s="16">
        <f>LCOE!V122+Q96*P96*R96</f>
        <v>37104075</v>
      </c>
      <c r="T96" s="16">
        <f>LCOE!W122+LCOE!E$31</f>
        <v>0</v>
      </c>
      <c r="U96" s="16">
        <f>LCOE!X122+T96*IF(LCOE!E$14&gt;0,G96,H96)</f>
        <v>0</v>
      </c>
      <c r="V96" s="16">
        <f>LCOE!Y122+LCOE!E$32</f>
        <v>0</v>
      </c>
      <c r="W96" s="16">
        <f>LCOE!Z122+V96*IF(LCOE!E$14&gt;0,G96,H96)</f>
        <v>0</v>
      </c>
      <c r="X96" s="16">
        <f>LCOE!AA122+LCOE!E$34</f>
        <v>101</v>
      </c>
      <c r="Y96" s="16">
        <f t="shared" si="15"/>
        <v>0</v>
      </c>
      <c r="Z96" s="50">
        <f t="shared" si="18"/>
        <v>0</v>
      </c>
      <c r="AA96" s="50">
        <f t="shared" si="19"/>
        <v>20000000</v>
      </c>
      <c r="AB96" s="50">
        <f t="shared" si="20"/>
        <v>168165720</v>
      </c>
      <c r="AC96" s="50">
        <f t="shared" si="16"/>
        <v>0</v>
      </c>
      <c r="AD96" s="50">
        <f t="shared" si="11"/>
        <v>37104075</v>
      </c>
      <c r="AE96">
        <f t="shared" si="17"/>
        <v>26</v>
      </c>
      <c r="AF96" s="12">
        <f>LCOE!E122+LCOE!E$40</f>
        <v>0.03</v>
      </c>
      <c r="AG96">
        <f t="shared" si="12"/>
        <v>2.1565912675438406</v>
      </c>
      <c r="AH96" s="16">
        <f t="shared" si="7"/>
        <v>0</v>
      </c>
      <c r="AI96" s="16">
        <f t="shared" si="8"/>
        <v>9273894.5487700887</v>
      </c>
      <c r="AJ96" s="16">
        <f t="shared" si="9"/>
        <v>77977557.699899852</v>
      </c>
      <c r="AK96" s="16">
        <f t="shared" si="10"/>
        <v>0</v>
      </c>
      <c r="AL96" s="16">
        <f t="shared" si="13"/>
        <v>17204963.943982828</v>
      </c>
      <c r="AM96" s="16">
        <f t="shared" si="14"/>
        <v>0</v>
      </c>
      <c r="AN96" s="16">
        <f>IF(LCOE!E$14&gt;0,G96,H96)/AG96</f>
        <v>1827884.6155625845</v>
      </c>
    </row>
    <row r="97" spans="1:40">
      <c r="A97">
        <v>27</v>
      </c>
      <c r="C97" s="16">
        <f>LCOE!E123+IF(AND(LCOE!E$26&gt;0,A97&gt;=LCOE!E$26,A97&lt;=(LCOE!E$26+LCOE!E$27-1)),LCOE!E$42/LCOE!E$27,0)+IF(AND(D97=0,AE97&gt;=LCOE!E$16,COUNTIF(D72:D97,0)=LCOE!E$36),LCOE!E$35*LCOE!E$38,0)</f>
        <v>0</v>
      </c>
      <c r="D97" s="16">
        <f>IF(AE96&lt;LCOE!E$16,1,0)</f>
        <v>1</v>
      </c>
      <c r="E97" s="12">
        <f>LCOE!G123+IF(AND(A97&gt;=LCOE!E$26,A97&lt;=(LCOE!E$26+LCOE!E$27-1)),0,1)*IF(A97=LCOE!E$34,0,1)*D97</f>
        <v>1</v>
      </c>
      <c r="F97" s="12">
        <f>IF(F96&lt;LCOE!E$18,MIN(F96*(1+LCOE!E$19),LCOE!E$18),LCOE!E$18)+LCOE!J123</f>
        <v>0.9</v>
      </c>
      <c r="G97" s="16">
        <f>LCOE!K123+E97*F97*N97*(LCOE!E$14+LCOE!H123)*24*365*D97</f>
        <v>3942000</v>
      </c>
      <c r="H97" s="16">
        <f>LCOE!L123+F97*(LCOE!E$15+LCOE!I123)*E97*24*365*D97*N97</f>
        <v>0</v>
      </c>
      <c r="I97" s="16">
        <f>LCOE!M123+LCOE!E$20*IF(LCOE!E$14&gt;0,(LCOE!E$14+LCOE!H123),(LCOE!E$15+LCOE!I123))*K97*D97</f>
        <v>20000000</v>
      </c>
      <c r="J97" s="16">
        <f>LCOE!N123+LCOE!E$21*IF(LCOE!E$14&gt;0,G97,H97)*K97*D97</f>
        <v>0</v>
      </c>
      <c r="K97" s="15">
        <f>LCOE!O123+K96+K96*LCOE!E$22</f>
        <v>1</v>
      </c>
      <c r="L97" s="16">
        <f>LCOE!P123+LCOE!E$23*IF(LCOE!E$14&gt;0,G97,H97)*M97*D97</f>
        <v>168165720</v>
      </c>
      <c r="M97" s="15">
        <f>LCOE!Q123+M96+M96*LCOE!E$24</f>
        <v>1</v>
      </c>
      <c r="N97" s="15">
        <f>LCOE!R123+N96-N96*LCOE!E$25</f>
        <v>1</v>
      </c>
      <c r="O97" s="18">
        <f>LCOE!S123+LCOE!E$29</f>
        <v>313.75</v>
      </c>
      <c r="P97" s="12">
        <f>LCOE!T123+IF(A97&gt;=LCOE!E$30,100%,0%)</f>
        <v>1</v>
      </c>
      <c r="Q97" s="16">
        <f>LCOE!U123+O97/1000*IF(LCOE!E$14&gt;0,G97,H97)</f>
        <v>1236802.5</v>
      </c>
      <c r="R97" s="16">
        <f>LCOE!B123</f>
        <v>30</v>
      </c>
      <c r="S97" s="16">
        <f>LCOE!V123+Q97*P97*R97</f>
        <v>37104075</v>
      </c>
      <c r="T97" s="16">
        <f>LCOE!W123+LCOE!E$31</f>
        <v>0</v>
      </c>
      <c r="U97" s="16">
        <f>LCOE!X123+T97*IF(LCOE!E$14&gt;0,G97,H97)</f>
        <v>0</v>
      </c>
      <c r="V97" s="16">
        <f>LCOE!Y123+LCOE!E$32</f>
        <v>0</v>
      </c>
      <c r="W97" s="16">
        <f>LCOE!Z123+V97*IF(LCOE!E$14&gt;0,G97,H97)</f>
        <v>0</v>
      </c>
      <c r="X97" s="16">
        <f>LCOE!AA123+LCOE!E$34</f>
        <v>101</v>
      </c>
      <c r="Y97" s="16">
        <f t="shared" si="15"/>
        <v>0</v>
      </c>
      <c r="Z97" s="50">
        <f t="shared" si="18"/>
        <v>0</v>
      </c>
      <c r="AA97" s="50">
        <f t="shared" si="19"/>
        <v>20000000</v>
      </c>
      <c r="AB97" s="50">
        <f t="shared" si="20"/>
        <v>168165720</v>
      </c>
      <c r="AC97" s="50">
        <f t="shared" si="16"/>
        <v>0</v>
      </c>
      <c r="AD97" s="50">
        <f t="shared" si="11"/>
        <v>37104075</v>
      </c>
      <c r="AE97">
        <f t="shared" si="17"/>
        <v>27</v>
      </c>
      <c r="AF97" s="12">
        <f>LCOE!E123+LCOE!E$40</f>
        <v>0.03</v>
      </c>
      <c r="AG97">
        <f t="shared" si="12"/>
        <v>2.2212890055701555</v>
      </c>
      <c r="AH97" s="16">
        <f t="shared" si="7"/>
        <v>0</v>
      </c>
      <c r="AI97" s="16">
        <f t="shared" si="8"/>
        <v>9003781.1153107677</v>
      </c>
      <c r="AJ97" s="16">
        <f t="shared" si="9"/>
        <v>75706366.698931918</v>
      </c>
      <c r="AK97" s="16">
        <f t="shared" si="10"/>
        <v>0</v>
      </c>
      <c r="AL97" s="16">
        <f t="shared" si="13"/>
        <v>16703848.489303717</v>
      </c>
      <c r="AM97" s="16">
        <f t="shared" si="14"/>
        <v>0</v>
      </c>
      <c r="AN97" s="16">
        <f>IF(LCOE!E$14&gt;0,G97,H97)/AG97</f>
        <v>1774645.2578277523</v>
      </c>
    </row>
    <row r="98" spans="1:40">
      <c r="A98">
        <v>28</v>
      </c>
      <c r="C98" s="16">
        <f>LCOE!E124+IF(AND(LCOE!E$26&gt;0,A98&gt;=LCOE!E$26,A98&lt;=(LCOE!E$26+LCOE!E$27-1)),LCOE!E$42/LCOE!E$27,0)+IF(AND(D98=0,AE98&gt;=LCOE!E$16,COUNTIF(D73:D98,0)=LCOE!E$36),LCOE!E$35*LCOE!E$38,0)</f>
        <v>0</v>
      </c>
      <c r="D98" s="16">
        <f>IF(AE97&lt;LCOE!E$16,1,0)</f>
        <v>1</v>
      </c>
      <c r="E98" s="12">
        <f>LCOE!G124+IF(AND(A98&gt;=LCOE!E$26,A98&lt;=(LCOE!E$26+LCOE!E$27-1)),0,1)*IF(A98=LCOE!E$34,0,1)*D98</f>
        <v>1</v>
      </c>
      <c r="F98" s="12">
        <f>IF(F97&lt;LCOE!E$18,MIN(F97*(1+LCOE!E$19),LCOE!E$18),LCOE!E$18)+LCOE!J124</f>
        <v>0.9</v>
      </c>
      <c r="G98" s="16">
        <f>LCOE!K124+E98*F98*N98*(LCOE!E$14+LCOE!H124)*24*365*D98</f>
        <v>3942000</v>
      </c>
      <c r="H98" s="16">
        <f>LCOE!L124+F98*(LCOE!E$15+LCOE!I124)*E98*24*365*D98*N98</f>
        <v>0</v>
      </c>
      <c r="I98" s="16">
        <f>LCOE!M124+LCOE!E$20*IF(LCOE!E$14&gt;0,(LCOE!E$14+LCOE!H124),(LCOE!E$15+LCOE!I124))*K98*D98</f>
        <v>20000000</v>
      </c>
      <c r="J98" s="16">
        <f>LCOE!N124+LCOE!E$21*IF(LCOE!E$14&gt;0,G98,H98)*K98*D98</f>
        <v>0</v>
      </c>
      <c r="K98" s="15">
        <f>LCOE!O124+K97+K97*LCOE!E$22</f>
        <v>1</v>
      </c>
      <c r="L98" s="16">
        <f>LCOE!P124+LCOE!E$23*IF(LCOE!E$14&gt;0,G98,H98)*M98*D98</f>
        <v>168165720</v>
      </c>
      <c r="M98" s="15">
        <f>LCOE!Q124+M97+M97*LCOE!E$24</f>
        <v>1</v>
      </c>
      <c r="N98" s="15">
        <f>LCOE!R124+N97-N97*LCOE!E$25</f>
        <v>1</v>
      </c>
      <c r="O98" s="18">
        <f>LCOE!S124+LCOE!E$29</f>
        <v>313.75</v>
      </c>
      <c r="P98" s="12">
        <f>LCOE!T124+IF(A98&gt;=LCOE!E$30,100%,0%)</f>
        <v>1</v>
      </c>
      <c r="Q98" s="16">
        <f>LCOE!U124+O98/1000*IF(LCOE!E$14&gt;0,G98,H98)</f>
        <v>1236802.5</v>
      </c>
      <c r="R98" s="16">
        <f>LCOE!B124</f>
        <v>30</v>
      </c>
      <c r="S98" s="16">
        <f>LCOE!V124+Q98*P98*R98</f>
        <v>37104075</v>
      </c>
      <c r="T98" s="16">
        <f>LCOE!W124+LCOE!E$31</f>
        <v>0</v>
      </c>
      <c r="U98" s="16">
        <f>LCOE!X124+T98*IF(LCOE!E$14&gt;0,G98,H98)</f>
        <v>0</v>
      </c>
      <c r="V98" s="16">
        <f>LCOE!Y124+LCOE!E$32</f>
        <v>0</v>
      </c>
      <c r="W98" s="16">
        <f>LCOE!Z124+V98*IF(LCOE!E$14&gt;0,G98,H98)</f>
        <v>0</v>
      </c>
      <c r="X98" s="16">
        <f>LCOE!AA124+LCOE!E$34</f>
        <v>101</v>
      </c>
      <c r="Y98" s="16">
        <f t="shared" si="15"/>
        <v>0</v>
      </c>
      <c r="Z98" s="50">
        <f t="shared" si="18"/>
        <v>0</v>
      </c>
      <c r="AA98" s="50">
        <f t="shared" si="19"/>
        <v>20000000</v>
      </c>
      <c r="AB98" s="50">
        <f t="shared" si="20"/>
        <v>168165720</v>
      </c>
      <c r="AC98" s="50">
        <f t="shared" si="16"/>
        <v>0</v>
      </c>
      <c r="AD98" s="50">
        <f t="shared" si="11"/>
        <v>37104075</v>
      </c>
      <c r="AE98">
        <f t="shared" si="17"/>
        <v>28</v>
      </c>
      <c r="AF98" s="12">
        <f>LCOE!E124+LCOE!E$40</f>
        <v>0.03</v>
      </c>
      <c r="AG98">
        <f t="shared" si="12"/>
        <v>2.2879276757372602</v>
      </c>
      <c r="AH98" s="16">
        <f t="shared" si="7"/>
        <v>0</v>
      </c>
      <c r="AI98" s="16">
        <f t="shared" si="8"/>
        <v>8741535.0634085126</v>
      </c>
      <c r="AJ98" s="16">
        <f t="shared" si="9"/>
        <v>73501326.892166898</v>
      </c>
      <c r="AK98" s="16">
        <f t="shared" si="10"/>
        <v>0</v>
      </c>
      <c r="AL98" s="16">
        <f t="shared" si="13"/>
        <v>16217328.630391959</v>
      </c>
      <c r="AM98" s="16">
        <f t="shared" si="14"/>
        <v>0</v>
      </c>
      <c r="AN98" s="16">
        <f>IF(LCOE!E$14&gt;0,G98,H98)/AG98</f>
        <v>1722956.5609978177</v>
      </c>
    </row>
    <row r="99" spans="1:40">
      <c r="A99">
        <v>29</v>
      </c>
      <c r="C99" s="16">
        <f>LCOE!E125+IF(AND(LCOE!E$26&gt;0,A99&gt;=LCOE!E$26,A99&lt;=(LCOE!E$26+LCOE!E$27-1)),LCOE!E$42/LCOE!E$27,0)+IF(AND(D99=0,AE99&gt;=LCOE!E$16,COUNTIF(D74:D99,0)=LCOE!E$36),LCOE!E$35*LCOE!E$38,0)</f>
        <v>0</v>
      </c>
      <c r="D99" s="16">
        <f>IF(AE98&lt;LCOE!E$16,1,0)</f>
        <v>1</v>
      </c>
      <c r="E99" s="12">
        <f>LCOE!G125+IF(AND(A99&gt;=LCOE!E$26,A99&lt;=(LCOE!E$26+LCOE!E$27-1)),0,1)*IF(A99=LCOE!E$34,0,1)*D99</f>
        <v>1</v>
      </c>
      <c r="F99" s="12">
        <f>IF(F98&lt;LCOE!E$18,MIN(F98*(1+LCOE!E$19),LCOE!E$18),LCOE!E$18)+LCOE!J125</f>
        <v>0.9</v>
      </c>
      <c r="G99" s="16">
        <f>LCOE!K125+E99*F99*N99*(LCOE!E$14+LCOE!H125)*24*365*D99</f>
        <v>3942000</v>
      </c>
      <c r="H99" s="16">
        <f>LCOE!L125+F99*(LCOE!E$15+LCOE!I125)*E99*24*365*D99*N99</f>
        <v>0</v>
      </c>
      <c r="I99" s="16">
        <f>LCOE!M125+LCOE!E$20*IF(LCOE!E$14&gt;0,(LCOE!E$14+LCOE!H125),(LCOE!E$15+LCOE!I125))*K99*D99</f>
        <v>20000000</v>
      </c>
      <c r="J99" s="16">
        <f>LCOE!N125+LCOE!E$21*IF(LCOE!E$14&gt;0,G99,H99)*K99*D99</f>
        <v>0</v>
      </c>
      <c r="K99" s="15">
        <f>LCOE!O125+K98+K98*LCOE!E$22</f>
        <v>1</v>
      </c>
      <c r="L99" s="16">
        <f>LCOE!P125+LCOE!E$23*IF(LCOE!E$14&gt;0,G99,H99)*M99*D99</f>
        <v>168165720</v>
      </c>
      <c r="M99" s="15">
        <f>LCOE!Q125+M98+M98*LCOE!E$24</f>
        <v>1</v>
      </c>
      <c r="N99" s="15">
        <f>LCOE!R125+N98-N98*LCOE!E$25</f>
        <v>1</v>
      </c>
      <c r="O99" s="18">
        <f>LCOE!S125+LCOE!E$29</f>
        <v>313.75</v>
      </c>
      <c r="P99" s="12">
        <f>LCOE!T125+IF(A99&gt;=LCOE!E$30,100%,0%)</f>
        <v>1</v>
      </c>
      <c r="Q99" s="16">
        <f>LCOE!U125+O99/1000*IF(LCOE!E$14&gt;0,G99,H99)</f>
        <v>1236802.5</v>
      </c>
      <c r="R99" s="16">
        <f>LCOE!B125</f>
        <v>30</v>
      </c>
      <c r="S99" s="16">
        <f>LCOE!V125+Q99*P99*R99</f>
        <v>37104075</v>
      </c>
      <c r="T99" s="16">
        <f>LCOE!W125+LCOE!E$31</f>
        <v>0</v>
      </c>
      <c r="U99" s="16">
        <f>LCOE!X125+T99*IF(LCOE!E$14&gt;0,G99,H99)</f>
        <v>0</v>
      </c>
      <c r="V99" s="16">
        <f>LCOE!Y125+LCOE!E$32</f>
        <v>0</v>
      </c>
      <c r="W99" s="16">
        <f>LCOE!Z125+V99*IF(LCOE!E$14&gt;0,G99,H99)</f>
        <v>0</v>
      </c>
      <c r="X99" s="16">
        <f>LCOE!AA125+LCOE!E$34</f>
        <v>101</v>
      </c>
      <c r="Y99" s="16">
        <f t="shared" si="15"/>
        <v>0</v>
      </c>
      <c r="Z99" s="50">
        <f t="shared" si="18"/>
        <v>0</v>
      </c>
      <c r="AA99" s="50">
        <f t="shared" si="19"/>
        <v>20000000</v>
      </c>
      <c r="AB99" s="50">
        <f t="shared" si="20"/>
        <v>168165720</v>
      </c>
      <c r="AC99" s="50">
        <f t="shared" si="16"/>
        <v>0</v>
      </c>
      <c r="AD99" s="50">
        <f t="shared" si="11"/>
        <v>37104075</v>
      </c>
      <c r="AE99">
        <f t="shared" si="17"/>
        <v>29</v>
      </c>
      <c r="AF99" s="12">
        <f>LCOE!E125+LCOE!E$40</f>
        <v>0.03</v>
      </c>
      <c r="AG99">
        <f t="shared" si="12"/>
        <v>2.3565655060093778</v>
      </c>
      <c r="AH99" s="16">
        <f t="shared" si="7"/>
        <v>0</v>
      </c>
      <c r="AI99" s="16">
        <f t="shared" si="8"/>
        <v>8486927.246027682</v>
      </c>
      <c r="AJ99" s="16">
        <f t="shared" si="9"/>
        <v>71360511.545793116</v>
      </c>
      <c r="AK99" s="16">
        <f t="shared" si="10"/>
        <v>0</v>
      </c>
      <c r="AL99" s="16">
        <f t="shared" si="13"/>
        <v>15744979.252807729</v>
      </c>
      <c r="AM99" s="16">
        <f t="shared" si="14"/>
        <v>0</v>
      </c>
      <c r="AN99" s="16">
        <f>IF(LCOE!E$14&gt;0,G99,H99)/AG99</f>
        <v>1672773.3601920563</v>
      </c>
    </row>
    <row r="100" spans="1:40">
      <c r="A100">
        <v>30</v>
      </c>
      <c r="C100" s="16">
        <f>LCOE!E126+IF(AND(LCOE!E$26&gt;0,A100&gt;=LCOE!E$26,A100&lt;=(LCOE!E$26+LCOE!E$27-1)),LCOE!E$42/LCOE!E$27,0)+IF(AND(D100=0,AE100&gt;=LCOE!E$16,COUNTIF(D75:D100,0)=LCOE!E$36),LCOE!E$35*LCOE!E$38,0)</f>
        <v>0</v>
      </c>
      <c r="D100" s="16">
        <f>IF(AE99&lt;LCOE!E$16,1,0)</f>
        <v>1</v>
      </c>
      <c r="E100" s="12">
        <f>LCOE!G126+IF(AND(A100&gt;=LCOE!E$26,A100&lt;=(LCOE!E$26+LCOE!E$27-1)),0,1)*IF(A100=LCOE!E$34,0,1)*D100</f>
        <v>1</v>
      </c>
      <c r="F100" s="12">
        <f>IF(F99&lt;LCOE!E$18,MIN(F99*(1+LCOE!E$19),LCOE!E$18),LCOE!E$18)+LCOE!J126</f>
        <v>0.9</v>
      </c>
      <c r="G100" s="16">
        <f>LCOE!K126+E100*F100*N100*(LCOE!E$14+LCOE!H126)*24*365*D100</f>
        <v>3942000</v>
      </c>
      <c r="H100" s="16">
        <f>LCOE!L126+F100*(LCOE!E$15+LCOE!I126)*E100*24*365*D100*N100</f>
        <v>0</v>
      </c>
      <c r="I100" s="16">
        <f>LCOE!M126+LCOE!E$20*IF(LCOE!E$14&gt;0,(LCOE!E$14+LCOE!H126),(LCOE!E$15+LCOE!I126))*K100*D100</f>
        <v>20000000</v>
      </c>
      <c r="J100" s="16">
        <f>LCOE!N126+LCOE!E$21*IF(LCOE!E$14&gt;0,G100,H100)*K100*D100</f>
        <v>0</v>
      </c>
      <c r="K100" s="15">
        <f>LCOE!O126+K99+K99*LCOE!E$22</f>
        <v>1</v>
      </c>
      <c r="L100" s="16">
        <f>LCOE!P126+LCOE!E$23*IF(LCOE!E$14&gt;0,G100,H100)*M100*D100</f>
        <v>168165720</v>
      </c>
      <c r="M100" s="15">
        <f>LCOE!Q126+M99+M99*LCOE!E$24</f>
        <v>1</v>
      </c>
      <c r="N100" s="15">
        <f>LCOE!R126+N99-N99*LCOE!E$25</f>
        <v>1</v>
      </c>
      <c r="O100" s="18">
        <f>LCOE!S126+LCOE!E$29</f>
        <v>313.75</v>
      </c>
      <c r="P100" s="12">
        <f>LCOE!T126+IF(A100&gt;=LCOE!E$30,100%,0%)</f>
        <v>1</v>
      </c>
      <c r="Q100" s="16">
        <f>LCOE!U126+O100/1000*IF(LCOE!E$14&gt;0,G100,H100)</f>
        <v>1236802.5</v>
      </c>
      <c r="R100" s="16">
        <f>LCOE!B126</f>
        <v>30</v>
      </c>
      <c r="S100" s="16">
        <f>LCOE!V126+Q100*P100*R100</f>
        <v>37104075</v>
      </c>
      <c r="T100" s="16">
        <f>LCOE!W126+LCOE!E$31</f>
        <v>0</v>
      </c>
      <c r="U100" s="16">
        <f>LCOE!X126+T100*IF(LCOE!E$14&gt;0,G100,H100)</f>
        <v>0</v>
      </c>
      <c r="V100" s="16">
        <f>LCOE!Y126+LCOE!E$32</f>
        <v>0</v>
      </c>
      <c r="W100" s="16">
        <f>LCOE!Z126+V100*IF(LCOE!E$14&gt;0,G100,H100)</f>
        <v>0</v>
      </c>
      <c r="X100" s="16">
        <f>LCOE!AA126+LCOE!E$34</f>
        <v>101</v>
      </c>
      <c r="Y100" s="16">
        <f t="shared" si="15"/>
        <v>0</v>
      </c>
      <c r="Z100" s="50">
        <f t="shared" si="18"/>
        <v>0</v>
      </c>
      <c r="AA100" s="50">
        <f t="shared" si="19"/>
        <v>20000000</v>
      </c>
      <c r="AB100" s="50">
        <f t="shared" si="20"/>
        <v>168165720</v>
      </c>
      <c r="AC100" s="50">
        <f t="shared" si="16"/>
        <v>0</v>
      </c>
      <c r="AD100" s="50">
        <f t="shared" si="11"/>
        <v>37104075</v>
      </c>
      <c r="AE100">
        <f t="shared" si="17"/>
        <v>30</v>
      </c>
      <c r="AF100" s="12">
        <f>LCOE!E126+LCOE!E$40</f>
        <v>0.03</v>
      </c>
      <c r="AG100">
        <f t="shared" si="12"/>
        <v>2.4272624711896591</v>
      </c>
      <c r="AH100" s="16">
        <f t="shared" si="7"/>
        <v>0</v>
      </c>
      <c r="AI100" s="16">
        <f t="shared" si="8"/>
        <v>8239735.1903181383</v>
      </c>
      <c r="AJ100" s="16">
        <f t="shared" si="9"/>
        <v>69282050.044459343</v>
      </c>
      <c r="AK100" s="16">
        <f t="shared" si="10"/>
        <v>0</v>
      </c>
      <c r="AL100" s="16">
        <f t="shared" si="13"/>
        <v>15286387.624085173</v>
      </c>
      <c r="AM100" s="16">
        <f t="shared" si="14"/>
        <v>0</v>
      </c>
      <c r="AN100" s="16">
        <f>IF(LCOE!E$14&gt;0,G100,H100)/AG100</f>
        <v>1624051.806011705</v>
      </c>
    </row>
    <row r="101" spans="1:40">
      <c r="A101">
        <v>31</v>
      </c>
      <c r="C101" s="16">
        <f>LCOE!E127+IF(AND(LCOE!E$26&gt;0,A101&gt;=LCOE!E$26,A101&lt;=(LCOE!E$26+LCOE!E$27-1)),LCOE!E$42/LCOE!E$27,0)+IF(AND(D101=0,AE101&gt;=LCOE!E$16,COUNTIF(D76:D101,0)=LCOE!E$36),LCOE!E$35*LCOE!E$38,0)</f>
        <v>25225000</v>
      </c>
      <c r="D101" s="16">
        <f>IF(AE100&lt;LCOE!E$16,1,0)</f>
        <v>0</v>
      </c>
      <c r="E101" s="12">
        <f>LCOE!G127+IF(AND(A101&gt;=LCOE!E$26,A101&lt;=(LCOE!E$26+LCOE!E$27-1)),0,1)*IF(A101=LCOE!E$34,0,1)*D101</f>
        <v>0</v>
      </c>
      <c r="F101" s="12">
        <f>IF(F100&lt;LCOE!E$18,MIN(F100*(1+LCOE!E$19),LCOE!E$18),LCOE!E$18)+LCOE!J127</f>
        <v>0.9</v>
      </c>
      <c r="G101" s="16">
        <f>LCOE!K127+E101*F101*N101*(LCOE!E$14+LCOE!H127)*24*365*D101</f>
        <v>0</v>
      </c>
      <c r="H101" s="16">
        <f>LCOE!L127+F101*(LCOE!E$15+LCOE!I127)*E101*24*365*D101*N101</f>
        <v>0</v>
      </c>
      <c r="I101" s="16">
        <f>LCOE!M127+LCOE!E$20*IF(LCOE!E$14&gt;0,(LCOE!E$14+LCOE!H127),(LCOE!E$15+LCOE!I127))*K101*D101</f>
        <v>0</v>
      </c>
      <c r="J101" s="16">
        <f>LCOE!N127+LCOE!E$21*IF(LCOE!E$14&gt;0,G101,H101)*K101*D101</f>
        <v>0</v>
      </c>
      <c r="K101" s="15">
        <f>LCOE!O127+K100+K100*LCOE!E$22</f>
        <v>1</v>
      </c>
      <c r="L101" s="16">
        <f>LCOE!P127+LCOE!E$23*IF(LCOE!E$14&gt;0,G101,H101)*M101*D101</f>
        <v>0</v>
      </c>
      <c r="M101" s="15">
        <f>LCOE!Q127+M100+M100*LCOE!E$24</f>
        <v>1</v>
      </c>
      <c r="N101" s="15">
        <f>LCOE!R127+N100-N100*LCOE!E$25</f>
        <v>1</v>
      </c>
      <c r="O101" s="18">
        <f>LCOE!S127+LCOE!E$29</f>
        <v>313.75</v>
      </c>
      <c r="P101" s="12">
        <f>LCOE!T127+IF(A101&gt;=LCOE!E$30,100%,0%)</f>
        <v>1</v>
      </c>
      <c r="Q101" s="16">
        <f>LCOE!U127+O101/1000*IF(LCOE!E$14&gt;0,G101,H101)</f>
        <v>0</v>
      </c>
      <c r="R101" s="16">
        <f>LCOE!B127</f>
        <v>30</v>
      </c>
      <c r="S101" s="16">
        <f>LCOE!V127+Q101*P101*R101</f>
        <v>0</v>
      </c>
      <c r="T101" s="16">
        <f>LCOE!W127+LCOE!E$31</f>
        <v>0</v>
      </c>
      <c r="U101" s="16">
        <f>LCOE!X127+T101*IF(LCOE!E$14&gt;0,G101,H101)</f>
        <v>0</v>
      </c>
      <c r="V101" s="16">
        <f>LCOE!Y127+LCOE!E$32</f>
        <v>0</v>
      </c>
      <c r="W101" s="16">
        <f>LCOE!Z127+V101*IF(LCOE!E$14&gt;0,G101,H101)</f>
        <v>0</v>
      </c>
      <c r="X101" s="16">
        <f>LCOE!AA127+LCOE!E$34</f>
        <v>101</v>
      </c>
      <c r="Y101" s="16">
        <f t="shared" si="15"/>
        <v>0</v>
      </c>
      <c r="Z101" s="50">
        <f t="shared" si="18"/>
        <v>25225000</v>
      </c>
      <c r="AA101" s="50">
        <f t="shared" si="19"/>
        <v>0</v>
      </c>
      <c r="AB101" s="50">
        <f t="shared" si="20"/>
        <v>0</v>
      </c>
      <c r="AC101" s="50">
        <f t="shared" si="16"/>
        <v>0</v>
      </c>
      <c r="AD101" s="50">
        <f t="shared" si="11"/>
        <v>0</v>
      </c>
      <c r="AE101">
        <f t="shared" si="17"/>
        <v>30</v>
      </c>
      <c r="AF101" s="12">
        <f>LCOE!E127+LCOE!E$40</f>
        <v>0.03</v>
      </c>
      <c r="AG101">
        <f t="shared" si="12"/>
        <v>2.5000803453253493</v>
      </c>
      <c r="AH101" s="16">
        <f t="shared" si="7"/>
        <v>10089675.736688107</v>
      </c>
      <c r="AI101" s="16">
        <f t="shared" si="8"/>
        <v>0</v>
      </c>
      <c r="AJ101" s="16">
        <f t="shared" si="9"/>
        <v>0</v>
      </c>
      <c r="AK101" s="16">
        <f t="shared" si="10"/>
        <v>0</v>
      </c>
      <c r="AL101" s="16">
        <f t="shared" si="13"/>
        <v>0</v>
      </c>
      <c r="AM101" s="16">
        <f t="shared" si="14"/>
        <v>0</v>
      </c>
      <c r="AN101" s="16">
        <f>IF(LCOE!E$14&gt;0,G101,H101)/AG101</f>
        <v>0</v>
      </c>
    </row>
    <row r="102" spans="1:40">
      <c r="A102">
        <v>32</v>
      </c>
      <c r="C102" s="16">
        <f>LCOE!E128+IF(AND(LCOE!E$26&gt;0,A102&gt;=LCOE!E$26,A102&lt;=(LCOE!E$26+LCOE!E$27-1)),LCOE!E$42/LCOE!E$27,0)+IF(AND(D102=0,AE102&gt;=LCOE!E$16,COUNTIF(D77:D102,0)=LCOE!E$36),LCOE!E$35*LCOE!E$38,0)</f>
        <v>0</v>
      </c>
      <c r="D102" s="16">
        <f>IF(AE101&lt;LCOE!E$16,1,0)</f>
        <v>0</v>
      </c>
      <c r="E102" s="12">
        <f>LCOE!G128+IF(AND(A102&gt;=LCOE!E$26,A102&lt;=(LCOE!E$26+LCOE!E$27-1)),0,1)*IF(A102=LCOE!E$34,0,1)*D102</f>
        <v>0</v>
      </c>
      <c r="F102" s="12">
        <f>IF(F101&lt;LCOE!E$18,MIN(F101*(1+LCOE!E$19),LCOE!E$18),LCOE!E$18)+LCOE!J128</f>
        <v>0.9</v>
      </c>
      <c r="G102" s="16">
        <f>LCOE!K128+E102*F102*N102*(LCOE!E$14+LCOE!H128)*24*365*D102</f>
        <v>0</v>
      </c>
      <c r="H102" s="16">
        <f>LCOE!L128+F102*(LCOE!E$15+LCOE!I128)*E102*24*365*D102*N102</f>
        <v>0</v>
      </c>
      <c r="I102" s="16">
        <f>LCOE!M128+LCOE!E$20*IF(LCOE!E$14&gt;0,(LCOE!E$14+LCOE!H128),(LCOE!E$15+LCOE!I128))*K102*D102</f>
        <v>0</v>
      </c>
      <c r="J102" s="16">
        <f>LCOE!N128+LCOE!E$21*IF(LCOE!E$14&gt;0,G102,H102)*K102*D102</f>
        <v>0</v>
      </c>
      <c r="K102" s="15">
        <f>LCOE!O128+K101+K101*LCOE!E$22</f>
        <v>1</v>
      </c>
      <c r="L102" s="16">
        <f>LCOE!P128+LCOE!E$23*IF(LCOE!E$14&gt;0,G102,H102)*M102*D102</f>
        <v>0</v>
      </c>
      <c r="M102" s="15">
        <f>LCOE!Q128+M101+M101*LCOE!E$24</f>
        <v>1</v>
      </c>
      <c r="N102" s="15">
        <f>LCOE!R128+N101-N101*LCOE!E$25</f>
        <v>1</v>
      </c>
      <c r="O102" s="18">
        <f>LCOE!S128+LCOE!E$29</f>
        <v>313.75</v>
      </c>
      <c r="P102" s="12">
        <f>LCOE!T128+IF(A102&gt;=LCOE!E$30,100%,0%)</f>
        <v>1</v>
      </c>
      <c r="Q102" s="16">
        <f>LCOE!U128+O102/1000*IF(LCOE!E$14&gt;0,G102,H102)</f>
        <v>0</v>
      </c>
      <c r="R102" s="16">
        <f>LCOE!B128</f>
        <v>30</v>
      </c>
      <c r="S102" s="16">
        <f>LCOE!V128+Q102*P102*R102</f>
        <v>0</v>
      </c>
      <c r="T102" s="16">
        <f>LCOE!W128+LCOE!E$31</f>
        <v>0</v>
      </c>
      <c r="U102" s="16">
        <f>LCOE!X128+T102*IF(LCOE!E$14&gt;0,G102,H102)</f>
        <v>0</v>
      </c>
      <c r="V102" s="16">
        <f>LCOE!Y128+LCOE!E$32</f>
        <v>0</v>
      </c>
      <c r="W102" s="16">
        <f>LCOE!Z128+V102*IF(LCOE!E$14&gt;0,G102,H102)</f>
        <v>0</v>
      </c>
      <c r="X102" s="16">
        <f>LCOE!AA128+LCOE!E$34</f>
        <v>101</v>
      </c>
      <c r="Y102" s="16">
        <f t="shared" si="15"/>
        <v>0</v>
      </c>
      <c r="Z102" s="50">
        <f t="shared" si="18"/>
        <v>0</v>
      </c>
      <c r="AA102" s="50">
        <f t="shared" si="19"/>
        <v>0</v>
      </c>
      <c r="AB102" s="50">
        <f t="shared" si="20"/>
        <v>0</v>
      </c>
      <c r="AC102" s="50">
        <f t="shared" si="16"/>
        <v>0</v>
      </c>
      <c r="AD102" s="50">
        <f t="shared" si="11"/>
        <v>0</v>
      </c>
      <c r="AE102">
        <f t="shared" si="17"/>
        <v>30</v>
      </c>
      <c r="AF102" s="12">
        <f>LCOE!E128+LCOE!E$40</f>
        <v>0.03</v>
      </c>
      <c r="AG102">
        <f t="shared" si="12"/>
        <v>2.5750827556851092</v>
      </c>
      <c r="AH102" s="16">
        <f t="shared" si="7"/>
        <v>0</v>
      </c>
      <c r="AI102" s="16">
        <f t="shared" si="8"/>
        <v>0</v>
      </c>
      <c r="AJ102" s="16">
        <f t="shared" si="9"/>
        <v>0</v>
      </c>
      <c r="AK102" s="16">
        <f t="shared" si="10"/>
        <v>0</v>
      </c>
      <c r="AL102" s="16">
        <f t="shared" si="13"/>
        <v>0</v>
      </c>
      <c r="AM102" s="16">
        <f t="shared" si="14"/>
        <v>0</v>
      </c>
      <c r="AN102" s="16">
        <f>IF(LCOE!E$14&gt;0,G102,H102)/AG102</f>
        <v>0</v>
      </c>
    </row>
    <row r="103" spans="1:40">
      <c r="A103">
        <v>33</v>
      </c>
      <c r="C103" s="16">
        <f>LCOE!E129+IF(AND(LCOE!E$26&gt;0,A103&gt;=LCOE!E$26,A103&lt;=(LCOE!E$26+LCOE!E$27-1)),LCOE!E$42/LCOE!E$27,0)+IF(AND(D103=0,AE103&gt;=LCOE!E$16,COUNTIF(D78:D103,0)=LCOE!E$36),LCOE!E$35*LCOE!E$38,0)</f>
        <v>0</v>
      </c>
      <c r="D103" s="16">
        <f>IF(AE102&lt;LCOE!E$16,1,0)</f>
        <v>0</v>
      </c>
      <c r="E103" s="12">
        <f>LCOE!G129+IF(AND(A103&gt;=LCOE!E$26,A103&lt;=(LCOE!E$26+LCOE!E$27-1)),0,1)*IF(A103=LCOE!E$34,0,1)*D103</f>
        <v>0</v>
      </c>
      <c r="F103" s="12">
        <f>IF(F102&lt;LCOE!E$18,MIN(F102*(1+LCOE!E$19),LCOE!E$18),LCOE!E$18)+LCOE!J129</f>
        <v>0.9</v>
      </c>
      <c r="G103" s="16">
        <f>LCOE!K129+E103*F103*N103*(LCOE!E$14+LCOE!H129)*24*365*D103</f>
        <v>0</v>
      </c>
      <c r="H103" s="16">
        <f>LCOE!L129+F103*(LCOE!E$15+LCOE!I129)*E103*24*365*D103*N103</f>
        <v>0</v>
      </c>
      <c r="I103" s="16">
        <f>LCOE!M129+LCOE!E$20*IF(LCOE!E$14&gt;0,(LCOE!E$14+LCOE!H129),(LCOE!E$15+LCOE!I129))*K103*D103</f>
        <v>0</v>
      </c>
      <c r="J103" s="16">
        <f>LCOE!N129+LCOE!E$21*IF(LCOE!E$14&gt;0,G103,H103)*K103*D103</f>
        <v>0</v>
      </c>
      <c r="K103" s="15">
        <f>LCOE!O129+K102+K102*LCOE!E$22</f>
        <v>1</v>
      </c>
      <c r="L103" s="16">
        <f>LCOE!P129+LCOE!E$23*IF(LCOE!E$14&gt;0,G103,H103)*M103*D103</f>
        <v>0</v>
      </c>
      <c r="M103" s="15">
        <f>LCOE!Q129+M102+M102*LCOE!E$24</f>
        <v>1</v>
      </c>
      <c r="N103" s="15">
        <f>LCOE!R129+N102-N102*LCOE!E$25</f>
        <v>1</v>
      </c>
      <c r="O103" s="18">
        <f>LCOE!S129+LCOE!E$29</f>
        <v>313.75</v>
      </c>
      <c r="P103" s="12">
        <f>LCOE!T129+IF(A103&gt;=LCOE!E$30,100%,0%)</f>
        <v>1</v>
      </c>
      <c r="Q103" s="16">
        <f>LCOE!U129+O103/1000*IF(LCOE!E$14&gt;0,G103,H103)</f>
        <v>0</v>
      </c>
      <c r="R103" s="16">
        <f>LCOE!B129</f>
        <v>30</v>
      </c>
      <c r="S103" s="16">
        <f>LCOE!V129+Q103*P103*R103</f>
        <v>0</v>
      </c>
      <c r="T103" s="16">
        <f>LCOE!W129+LCOE!E$31</f>
        <v>0</v>
      </c>
      <c r="U103" s="16">
        <f>LCOE!X129+T103*IF(LCOE!E$14&gt;0,G103,H103)</f>
        <v>0</v>
      </c>
      <c r="V103" s="16">
        <f>LCOE!Y129+LCOE!E$32</f>
        <v>0</v>
      </c>
      <c r="W103" s="16">
        <f>LCOE!Z129+V103*IF(LCOE!E$14&gt;0,G103,H103)</f>
        <v>0</v>
      </c>
      <c r="X103" s="16">
        <f>LCOE!AA129+LCOE!E$34</f>
        <v>101</v>
      </c>
      <c r="Y103" s="16">
        <f t="shared" si="15"/>
        <v>0</v>
      </c>
      <c r="Z103" s="50">
        <f t="shared" si="18"/>
        <v>0</v>
      </c>
      <c r="AA103" s="50">
        <f t="shared" si="19"/>
        <v>0</v>
      </c>
      <c r="AB103" s="50">
        <f t="shared" si="20"/>
        <v>0</v>
      </c>
      <c r="AC103" s="50">
        <f t="shared" si="16"/>
        <v>0</v>
      </c>
      <c r="AD103" s="50">
        <f t="shared" si="11"/>
        <v>0</v>
      </c>
      <c r="AE103">
        <f t="shared" si="17"/>
        <v>30</v>
      </c>
      <c r="AF103" s="12">
        <f>LCOE!E129+LCOE!E$40</f>
        <v>0.03</v>
      </c>
      <c r="AG103">
        <f t="shared" si="12"/>
        <v>2.6523352383556626</v>
      </c>
      <c r="AH103" s="16">
        <f t="shared" si="7"/>
        <v>0</v>
      </c>
      <c r="AI103" s="16">
        <f t="shared" si="8"/>
        <v>0</v>
      </c>
      <c r="AJ103" s="16">
        <f t="shared" si="9"/>
        <v>0</v>
      </c>
      <c r="AK103" s="16">
        <f t="shared" si="10"/>
        <v>0</v>
      </c>
      <c r="AL103" s="16">
        <f t="shared" si="13"/>
        <v>0</v>
      </c>
      <c r="AM103" s="16">
        <f t="shared" si="14"/>
        <v>0</v>
      </c>
      <c r="AN103" s="16">
        <f>IF(LCOE!E$14&gt;0,G103,H103)/AG103</f>
        <v>0</v>
      </c>
    </row>
    <row r="104" spans="1:40">
      <c r="A104">
        <v>34</v>
      </c>
      <c r="C104" s="16">
        <f>LCOE!E130+IF(AND(LCOE!E$26&gt;0,A104&gt;=LCOE!E$26,A104&lt;=(LCOE!E$26+LCOE!E$27-1)),LCOE!E$42/LCOE!E$27,0)+IF(AND(D104=0,AE104&gt;=LCOE!E$16,COUNTIF(D79:D104,0)=LCOE!E$36),LCOE!E$35*LCOE!E$38,0)</f>
        <v>0</v>
      </c>
      <c r="D104" s="16">
        <f>IF(AE103&lt;LCOE!E$16,1,0)</f>
        <v>0</v>
      </c>
      <c r="E104" s="12">
        <f>LCOE!G130+IF(AND(A104&gt;=LCOE!E$26,A104&lt;=(LCOE!E$26+LCOE!E$27-1)),0,1)*IF(A104=LCOE!E$34,0,1)*D104</f>
        <v>0</v>
      </c>
      <c r="F104" s="12">
        <f>IF(F103&lt;LCOE!E$18,MIN(F103*(1+LCOE!E$19),LCOE!E$18),LCOE!E$18)+LCOE!J130</f>
        <v>0.9</v>
      </c>
      <c r="G104" s="16">
        <f>LCOE!K130+E104*F104*N104*(LCOE!E$14+LCOE!H130)*24*365*D104</f>
        <v>0</v>
      </c>
      <c r="H104" s="16">
        <f>LCOE!L130+F104*(LCOE!E$15+LCOE!I130)*E104*24*365*D104*N104</f>
        <v>0</v>
      </c>
      <c r="I104" s="16">
        <f>LCOE!M130+LCOE!E$20*IF(LCOE!E$14&gt;0,(LCOE!E$14+LCOE!H130),(LCOE!E$15+LCOE!I130))*K104*D104</f>
        <v>0</v>
      </c>
      <c r="J104" s="16">
        <f>LCOE!N130+LCOE!E$21*IF(LCOE!E$14&gt;0,G104,H104)*K104*D104</f>
        <v>0</v>
      </c>
      <c r="K104" s="15">
        <f>LCOE!O130+K103+K103*LCOE!E$22</f>
        <v>1</v>
      </c>
      <c r="L104" s="16">
        <f>LCOE!P130+LCOE!E$23*IF(LCOE!E$14&gt;0,G104,H104)*M104*D104</f>
        <v>0</v>
      </c>
      <c r="M104" s="15">
        <f>LCOE!Q130+M103+M103*LCOE!E$24</f>
        <v>1</v>
      </c>
      <c r="N104" s="15">
        <f>LCOE!R130+N103-N103*LCOE!E$25</f>
        <v>1</v>
      </c>
      <c r="O104" s="18">
        <f>LCOE!S130+LCOE!E$29</f>
        <v>313.75</v>
      </c>
      <c r="P104" s="12">
        <f>LCOE!T130+IF(A104&gt;=LCOE!E$30,100%,0%)</f>
        <v>1</v>
      </c>
      <c r="Q104" s="16">
        <f>LCOE!U130+O104/1000*IF(LCOE!E$14&gt;0,G104,H104)</f>
        <v>0</v>
      </c>
      <c r="R104" s="16">
        <f>LCOE!B130</f>
        <v>30</v>
      </c>
      <c r="S104" s="16">
        <f>LCOE!V130+Q104*P104*R104</f>
        <v>0</v>
      </c>
      <c r="T104" s="16">
        <f>LCOE!W130+LCOE!E$31</f>
        <v>0</v>
      </c>
      <c r="U104" s="16">
        <f>LCOE!X130+T104*IF(LCOE!E$14&gt;0,G104,H104)</f>
        <v>0</v>
      </c>
      <c r="V104" s="16">
        <f>LCOE!Y130+LCOE!E$32</f>
        <v>0</v>
      </c>
      <c r="W104" s="16">
        <f>LCOE!Z130+V104*IF(LCOE!E$14&gt;0,G104,H104)</f>
        <v>0</v>
      </c>
      <c r="X104" s="16">
        <f>LCOE!AA130+LCOE!E$34</f>
        <v>101</v>
      </c>
      <c r="Y104" s="16">
        <f t="shared" si="15"/>
        <v>0</v>
      </c>
      <c r="Z104" s="50">
        <f t="shared" si="18"/>
        <v>0</v>
      </c>
      <c r="AA104" s="50">
        <f t="shared" si="19"/>
        <v>0</v>
      </c>
      <c r="AB104" s="50">
        <f t="shared" si="20"/>
        <v>0</v>
      </c>
      <c r="AC104" s="50">
        <f t="shared" si="16"/>
        <v>0</v>
      </c>
      <c r="AD104" s="50">
        <f t="shared" si="11"/>
        <v>0</v>
      </c>
      <c r="AE104">
        <f t="shared" si="17"/>
        <v>30</v>
      </c>
      <c r="AF104" s="12">
        <f>LCOE!E130+LCOE!E$40</f>
        <v>0.03</v>
      </c>
      <c r="AG104">
        <f t="shared" si="12"/>
        <v>2.7319052955063321</v>
      </c>
      <c r="AH104" s="16">
        <f t="shared" si="7"/>
        <v>0</v>
      </c>
      <c r="AI104" s="16">
        <f t="shared" si="8"/>
        <v>0</v>
      </c>
      <c r="AJ104" s="16">
        <f t="shared" si="9"/>
        <v>0</v>
      </c>
      <c r="AK104" s="16">
        <f t="shared" si="10"/>
        <v>0</v>
      </c>
      <c r="AL104" s="16">
        <f t="shared" si="13"/>
        <v>0</v>
      </c>
      <c r="AM104" s="16">
        <f t="shared" si="14"/>
        <v>0</v>
      </c>
      <c r="AN104" s="16">
        <f>IF(LCOE!E$14&gt;0,G104,H104)/AG104</f>
        <v>0</v>
      </c>
    </row>
    <row r="105" spans="1:40">
      <c r="A105">
        <v>35</v>
      </c>
      <c r="C105" s="16">
        <f>LCOE!E131+IF(AND(LCOE!E$26&gt;0,A105&gt;=LCOE!E$26,A105&lt;=(LCOE!E$26+LCOE!E$27-1)),LCOE!E$42/LCOE!E$27,0)+IF(AND(D105=0,AE105&gt;=LCOE!E$16,COUNTIF(D80:D105,0)=LCOE!E$36),LCOE!E$35*LCOE!E$38,0)</f>
        <v>0</v>
      </c>
      <c r="D105" s="16">
        <f>IF(AE104&lt;LCOE!E$16,1,0)</f>
        <v>0</v>
      </c>
      <c r="E105" s="12">
        <f>LCOE!G131+IF(AND(A105&gt;=LCOE!E$26,A105&lt;=(LCOE!E$26+LCOE!E$27-1)),0,1)*IF(A105=LCOE!E$34,0,1)*D105</f>
        <v>0</v>
      </c>
      <c r="F105" s="12">
        <f>IF(F104&lt;LCOE!E$18,MIN(F104*(1+LCOE!E$19),LCOE!E$18),LCOE!E$18)+LCOE!J131</f>
        <v>0.9</v>
      </c>
      <c r="G105" s="16">
        <f>LCOE!K131+E105*F105*N105*(LCOE!E$14+LCOE!H131)*24*365*D105</f>
        <v>0</v>
      </c>
      <c r="H105" s="16">
        <f>LCOE!L131+F105*(LCOE!E$15+LCOE!I131)*E105*24*365*D105*N105</f>
        <v>0</v>
      </c>
      <c r="I105" s="16">
        <f>LCOE!M131+LCOE!E$20*IF(LCOE!E$14&gt;0,(LCOE!E$14+LCOE!H131),(LCOE!E$15+LCOE!I131))*K105*D105</f>
        <v>0</v>
      </c>
      <c r="J105" s="16">
        <f>LCOE!N131+LCOE!E$21*IF(LCOE!E$14&gt;0,G105,H105)*K105*D105</f>
        <v>0</v>
      </c>
      <c r="K105" s="15">
        <f>LCOE!O131+K104+K104*LCOE!E$22</f>
        <v>1</v>
      </c>
      <c r="L105" s="16">
        <f>LCOE!P131+LCOE!E$23*IF(LCOE!E$14&gt;0,G105,H105)*M105*D105</f>
        <v>0</v>
      </c>
      <c r="M105" s="15">
        <f>LCOE!Q131+M104+M104*LCOE!E$24</f>
        <v>1</v>
      </c>
      <c r="N105" s="15">
        <f>LCOE!R131+N104-N104*LCOE!E$25</f>
        <v>1</v>
      </c>
      <c r="O105" s="18">
        <f>LCOE!S131+LCOE!E$29</f>
        <v>313.75</v>
      </c>
      <c r="P105" s="12">
        <f>LCOE!T131+IF(A105&gt;=LCOE!E$30,100%,0%)</f>
        <v>1</v>
      </c>
      <c r="Q105" s="16">
        <f>LCOE!U131+O105/1000*IF(LCOE!E$14&gt;0,G105,H105)</f>
        <v>0</v>
      </c>
      <c r="R105" s="16">
        <f>LCOE!B131</f>
        <v>30</v>
      </c>
      <c r="S105" s="16">
        <f>LCOE!V131+Q105*P105*R105</f>
        <v>0</v>
      </c>
      <c r="T105" s="16">
        <f>LCOE!W131+LCOE!E$31</f>
        <v>0</v>
      </c>
      <c r="U105" s="16">
        <f>LCOE!X131+T105*IF(LCOE!E$14&gt;0,G105,H105)</f>
        <v>0</v>
      </c>
      <c r="V105" s="16">
        <f>LCOE!Y131+LCOE!E$32</f>
        <v>0</v>
      </c>
      <c r="W105" s="16">
        <f>LCOE!Z131+V105*IF(LCOE!E$14&gt;0,G105,H105)</f>
        <v>0</v>
      </c>
      <c r="X105" s="16">
        <f>LCOE!AA131+LCOE!E$34</f>
        <v>101</v>
      </c>
      <c r="Y105" s="16">
        <f t="shared" si="15"/>
        <v>0</v>
      </c>
      <c r="Z105" s="50">
        <f t="shared" si="18"/>
        <v>0</v>
      </c>
      <c r="AA105" s="50">
        <f t="shared" si="19"/>
        <v>0</v>
      </c>
      <c r="AB105" s="50">
        <f t="shared" si="20"/>
        <v>0</v>
      </c>
      <c r="AC105" s="50">
        <f t="shared" si="16"/>
        <v>0</v>
      </c>
      <c r="AD105" s="50">
        <f t="shared" si="11"/>
        <v>0</v>
      </c>
      <c r="AE105">
        <f t="shared" si="17"/>
        <v>30</v>
      </c>
      <c r="AF105" s="12">
        <f>LCOE!E131+LCOE!E$40</f>
        <v>0.03</v>
      </c>
      <c r="AG105">
        <f t="shared" si="12"/>
        <v>2.8138624543715225</v>
      </c>
      <c r="AH105" s="16">
        <f t="shared" si="7"/>
        <v>0</v>
      </c>
      <c r="AI105" s="16">
        <f t="shared" si="8"/>
        <v>0</v>
      </c>
      <c r="AJ105" s="16">
        <f t="shared" si="9"/>
        <v>0</v>
      </c>
      <c r="AK105" s="16">
        <f t="shared" si="10"/>
        <v>0</v>
      </c>
      <c r="AL105" s="16">
        <f t="shared" si="13"/>
        <v>0</v>
      </c>
      <c r="AM105" s="16">
        <f t="shared" si="14"/>
        <v>0</v>
      </c>
      <c r="AN105" s="16">
        <f>IF(LCOE!E$14&gt;0,G105,H105)/AG105</f>
        <v>0</v>
      </c>
    </row>
    <row r="106" spans="1:40">
      <c r="A106">
        <v>36</v>
      </c>
      <c r="C106" s="16">
        <f>LCOE!E132+IF(AND(LCOE!E$26&gt;0,A106&gt;=LCOE!E$26,A106&lt;=(LCOE!E$26+LCOE!E$27-1)),LCOE!E$42/LCOE!E$27,0)+IF(AND(D106=0,AE106&gt;=LCOE!E$16,COUNTIF(D81:D106,0)=LCOE!E$36),LCOE!E$35*LCOE!E$38,0)</f>
        <v>0</v>
      </c>
      <c r="D106" s="16">
        <f>IF(AE105&lt;LCOE!E$16,1,0)</f>
        <v>0</v>
      </c>
      <c r="E106" s="12">
        <f>LCOE!G132+IF(AND(A106&gt;=LCOE!E$26,A106&lt;=(LCOE!E$26+LCOE!E$27-1)),0,1)*IF(A106=LCOE!E$34,0,1)*D106</f>
        <v>0</v>
      </c>
      <c r="F106" s="12">
        <f>IF(F105&lt;LCOE!E$18,MIN(F105*(1+LCOE!E$19),LCOE!E$18),LCOE!E$18)+LCOE!J132</f>
        <v>0.9</v>
      </c>
      <c r="G106" s="16">
        <f>LCOE!K132+E106*F106*N106*(LCOE!E$14+LCOE!H132)*24*365*D106</f>
        <v>0</v>
      </c>
      <c r="H106" s="16">
        <f>LCOE!L132+F106*(LCOE!E$15+LCOE!I132)*E106*24*365*D106*N106</f>
        <v>0</v>
      </c>
      <c r="I106" s="16">
        <f>LCOE!M132+LCOE!E$20*IF(LCOE!E$14&gt;0,(LCOE!E$14+LCOE!H132),(LCOE!E$15+LCOE!I132))*K106*D106</f>
        <v>0</v>
      </c>
      <c r="J106" s="16">
        <f>LCOE!N132+LCOE!E$21*IF(LCOE!E$14&gt;0,G106,H106)*K106*D106</f>
        <v>0</v>
      </c>
      <c r="K106" s="15">
        <f>LCOE!O132+K105+K105*LCOE!E$22</f>
        <v>1</v>
      </c>
      <c r="L106" s="16">
        <f>LCOE!P132+LCOE!E$23*IF(LCOE!E$14&gt;0,G106,H106)*M106*D106</f>
        <v>0</v>
      </c>
      <c r="M106" s="15">
        <f>LCOE!Q132+M105+M105*LCOE!E$24</f>
        <v>1</v>
      </c>
      <c r="N106" s="15">
        <f>LCOE!R132+N105-N105*LCOE!E$25</f>
        <v>1</v>
      </c>
      <c r="O106" s="18">
        <f>LCOE!S132+LCOE!E$29</f>
        <v>313.75</v>
      </c>
      <c r="P106" s="12">
        <f>LCOE!T132+IF(A106&gt;=LCOE!E$30,100%,0%)</f>
        <v>1</v>
      </c>
      <c r="Q106" s="16">
        <f>LCOE!U132+O106/1000*IF(LCOE!E$14&gt;0,G106,H106)</f>
        <v>0</v>
      </c>
      <c r="R106" s="16">
        <f>LCOE!B132</f>
        <v>30</v>
      </c>
      <c r="S106" s="16">
        <f>LCOE!V132+Q106*P106*R106</f>
        <v>0</v>
      </c>
      <c r="T106" s="16">
        <f>LCOE!W132+LCOE!E$31</f>
        <v>0</v>
      </c>
      <c r="U106" s="16">
        <f>LCOE!X132+T106*IF(LCOE!E$14&gt;0,G106,H106)</f>
        <v>0</v>
      </c>
      <c r="V106" s="16">
        <f>LCOE!Y132+LCOE!E$32</f>
        <v>0</v>
      </c>
      <c r="W106" s="16">
        <f>LCOE!Z132+V106*IF(LCOE!E$14&gt;0,G106,H106)</f>
        <v>0</v>
      </c>
      <c r="X106" s="16">
        <f>LCOE!AA132+LCOE!E$34</f>
        <v>101</v>
      </c>
      <c r="Y106" s="16">
        <f t="shared" si="15"/>
        <v>0</v>
      </c>
      <c r="Z106" s="50">
        <f t="shared" si="18"/>
        <v>0</v>
      </c>
      <c r="AA106" s="50">
        <f t="shared" si="19"/>
        <v>0</v>
      </c>
      <c r="AB106" s="50">
        <f t="shared" si="20"/>
        <v>0</v>
      </c>
      <c r="AC106" s="50">
        <f t="shared" si="16"/>
        <v>0</v>
      </c>
      <c r="AD106" s="50">
        <f t="shared" si="11"/>
        <v>0</v>
      </c>
      <c r="AE106">
        <f t="shared" si="17"/>
        <v>30</v>
      </c>
      <c r="AF106" s="12">
        <f>LCOE!E132+LCOE!E$40</f>
        <v>0.03</v>
      </c>
      <c r="AG106">
        <f t="shared" si="12"/>
        <v>2.898278328002668</v>
      </c>
      <c r="AH106" s="16">
        <f t="shared" si="7"/>
        <v>0</v>
      </c>
      <c r="AI106" s="16">
        <f t="shared" si="8"/>
        <v>0</v>
      </c>
      <c r="AJ106" s="16">
        <f t="shared" si="9"/>
        <v>0</v>
      </c>
      <c r="AK106" s="16">
        <f t="shared" si="10"/>
        <v>0</v>
      </c>
      <c r="AL106" s="16">
        <f t="shared" si="13"/>
        <v>0</v>
      </c>
      <c r="AM106" s="16">
        <f t="shared" si="14"/>
        <v>0</v>
      </c>
      <c r="AN106" s="16">
        <f>IF(LCOE!E$14&gt;0,G106,H106)/AG106</f>
        <v>0</v>
      </c>
    </row>
    <row r="107" spans="1:40">
      <c r="A107">
        <v>37</v>
      </c>
      <c r="C107" s="16">
        <f>LCOE!E133+IF(AND(LCOE!E$26&gt;0,A107&gt;=LCOE!E$26,A107&lt;=(LCOE!E$26+LCOE!E$27-1)),LCOE!E$42/LCOE!E$27,0)+IF(AND(D107=0,AE107&gt;=LCOE!E$16,COUNTIF(D82:D107,0)=LCOE!E$36),LCOE!E$35*LCOE!E$38,0)</f>
        <v>0</v>
      </c>
      <c r="D107" s="16">
        <f>IF(AE106&lt;LCOE!E$16,1,0)</f>
        <v>0</v>
      </c>
      <c r="E107" s="12">
        <f>LCOE!G133+IF(AND(A107&gt;=LCOE!E$26,A107&lt;=(LCOE!E$26+LCOE!E$27-1)),0,1)*IF(A107=LCOE!E$34,0,1)*D107</f>
        <v>0</v>
      </c>
      <c r="F107" s="12">
        <f>IF(F106&lt;LCOE!E$18,MIN(F106*(1+LCOE!E$19),LCOE!E$18),LCOE!E$18)+LCOE!J133</f>
        <v>0.9</v>
      </c>
      <c r="G107" s="16">
        <f>LCOE!K133+E107*F107*N107*(LCOE!E$14+LCOE!H133)*24*365*D107</f>
        <v>0</v>
      </c>
      <c r="H107" s="16">
        <f>LCOE!L133+F107*(LCOE!E$15+LCOE!I133)*E107*24*365*D107*N107</f>
        <v>0</v>
      </c>
      <c r="I107" s="16">
        <f>LCOE!M133+LCOE!E$20*IF(LCOE!E$14&gt;0,(LCOE!E$14+LCOE!H133),(LCOE!E$15+LCOE!I133))*K107*D107</f>
        <v>0</v>
      </c>
      <c r="J107" s="16">
        <f>LCOE!N133+LCOE!E$21*IF(LCOE!E$14&gt;0,G107,H107)*K107*D107</f>
        <v>0</v>
      </c>
      <c r="K107" s="15">
        <f>LCOE!O133+K106+K106*LCOE!E$22</f>
        <v>1</v>
      </c>
      <c r="L107" s="16">
        <f>LCOE!P133+LCOE!E$23*IF(LCOE!E$14&gt;0,G107,H107)*M107*D107</f>
        <v>0</v>
      </c>
      <c r="M107" s="15">
        <f>LCOE!Q133+M106+M106*LCOE!E$24</f>
        <v>1</v>
      </c>
      <c r="N107" s="15">
        <f>LCOE!R133+N106-N106*LCOE!E$25</f>
        <v>1</v>
      </c>
      <c r="O107" s="18">
        <f>LCOE!S133+LCOE!E$29</f>
        <v>313.75</v>
      </c>
      <c r="P107" s="12">
        <f>LCOE!T133+IF(A107&gt;=LCOE!E$30,100%,0%)</f>
        <v>1</v>
      </c>
      <c r="Q107" s="16">
        <f>LCOE!U133+O107/1000*IF(LCOE!E$14&gt;0,G107,H107)</f>
        <v>0</v>
      </c>
      <c r="R107" s="16">
        <f>LCOE!B133</f>
        <v>30</v>
      </c>
      <c r="S107" s="16">
        <f>LCOE!V133+Q107*P107*R107</f>
        <v>0</v>
      </c>
      <c r="T107" s="16">
        <f>LCOE!W133+LCOE!E$31</f>
        <v>0</v>
      </c>
      <c r="U107" s="16">
        <f>LCOE!X133+T107*IF(LCOE!E$14&gt;0,G107,H107)</f>
        <v>0</v>
      </c>
      <c r="V107" s="16">
        <f>LCOE!Y133+LCOE!E$32</f>
        <v>0</v>
      </c>
      <c r="W107" s="16">
        <f>LCOE!Z133+V107*IF(LCOE!E$14&gt;0,G107,H107)</f>
        <v>0</v>
      </c>
      <c r="X107" s="16">
        <f>LCOE!AA133+LCOE!E$34</f>
        <v>101</v>
      </c>
      <c r="Y107" s="16">
        <f t="shared" si="15"/>
        <v>0</v>
      </c>
      <c r="Z107" s="50">
        <f t="shared" si="18"/>
        <v>0</v>
      </c>
      <c r="AA107" s="50">
        <f t="shared" si="19"/>
        <v>0</v>
      </c>
      <c r="AB107" s="50">
        <f t="shared" si="20"/>
        <v>0</v>
      </c>
      <c r="AC107" s="50">
        <f t="shared" si="16"/>
        <v>0</v>
      </c>
      <c r="AD107" s="50">
        <f t="shared" si="11"/>
        <v>0</v>
      </c>
      <c r="AE107">
        <f t="shared" si="17"/>
        <v>30</v>
      </c>
      <c r="AF107" s="12">
        <f>LCOE!E133+LCOE!E$40</f>
        <v>0.03</v>
      </c>
      <c r="AG107">
        <f t="shared" si="12"/>
        <v>2.9852266778427476</v>
      </c>
      <c r="AH107" s="16">
        <f t="shared" si="7"/>
        <v>0</v>
      </c>
      <c r="AI107" s="16">
        <f t="shared" si="8"/>
        <v>0</v>
      </c>
      <c r="AJ107" s="16">
        <f t="shared" si="9"/>
        <v>0</v>
      </c>
      <c r="AK107" s="16">
        <f t="shared" si="10"/>
        <v>0</v>
      </c>
      <c r="AL107" s="16">
        <f t="shared" si="13"/>
        <v>0</v>
      </c>
      <c r="AM107" s="16">
        <f t="shared" si="14"/>
        <v>0</v>
      </c>
      <c r="AN107" s="16">
        <f>IF(LCOE!E$14&gt;0,G107,H107)/AG107</f>
        <v>0</v>
      </c>
    </row>
    <row r="108" spans="1:40">
      <c r="A108">
        <v>38</v>
      </c>
      <c r="C108" s="16">
        <f>LCOE!E134+IF(AND(LCOE!E$26&gt;0,A108&gt;=LCOE!E$26,A108&lt;=(LCOE!E$26+LCOE!E$27-1)),LCOE!E$42/LCOE!E$27,0)+IF(AND(D108=0,AE108&gt;=LCOE!E$16,COUNTIF(D83:D108,0)=LCOE!E$36),LCOE!E$35*LCOE!E$38,0)</f>
        <v>0</v>
      </c>
      <c r="D108" s="16">
        <f>IF(AE107&lt;LCOE!E$16,1,0)</f>
        <v>0</v>
      </c>
      <c r="E108" s="12">
        <f>LCOE!G134+IF(AND(A108&gt;=LCOE!E$26,A108&lt;=(LCOE!E$26+LCOE!E$27-1)),0,1)*IF(A108=LCOE!E$34,0,1)*D108</f>
        <v>0</v>
      </c>
      <c r="F108" s="12">
        <f>IF(F107&lt;LCOE!E$18,MIN(F107*(1+LCOE!E$19),LCOE!E$18),LCOE!E$18)+LCOE!J134</f>
        <v>0.9</v>
      </c>
      <c r="G108" s="16">
        <f>LCOE!K134+E108*F108*N108*(LCOE!E$14+LCOE!H134)*24*365*D108</f>
        <v>0</v>
      </c>
      <c r="H108" s="16">
        <f>LCOE!L134+F108*(LCOE!E$15+LCOE!I134)*E108*24*365*D108*N108</f>
        <v>0</v>
      </c>
      <c r="I108" s="16">
        <f>LCOE!M134+LCOE!E$20*IF(LCOE!E$14&gt;0,(LCOE!E$14+LCOE!H134),(LCOE!E$15+LCOE!I134))*K108*D108</f>
        <v>0</v>
      </c>
      <c r="J108" s="16">
        <f>LCOE!N134+LCOE!E$21*IF(LCOE!E$14&gt;0,G108,H108)*K108*D108</f>
        <v>0</v>
      </c>
      <c r="K108" s="15">
        <f>LCOE!O134+K107+K107*LCOE!E$22</f>
        <v>1</v>
      </c>
      <c r="L108" s="16">
        <f>LCOE!P134+LCOE!E$23*IF(LCOE!E$14&gt;0,G108,H108)*M108*D108</f>
        <v>0</v>
      </c>
      <c r="M108" s="15">
        <f>LCOE!Q134+M107+M107*LCOE!E$24</f>
        <v>1</v>
      </c>
      <c r="N108" s="15">
        <f>LCOE!R134+N107-N107*LCOE!E$25</f>
        <v>1</v>
      </c>
      <c r="O108" s="18">
        <f>LCOE!S134+LCOE!E$29</f>
        <v>313.75</v>
      </c>
      <c r="P108" s="12">
        <f>LCOE!T134+IF(A108&gt;=LCOE!E$30,100%,0%)</f>
        <v>1</v>
      </c>
      <c r="Q108" s="16">
        <f>LCOE!U134+O108/1000*IF(LCOE!E$14&gt;0,G108,H108)</f>
        <v>0</v>
      </c>
      <c r="R108" s="16">
        <f>LCOE!B134</f>
        <v>30</v>
      </c>
      <c r="S108" s="16">
        <f>LCOE!V134+Q108*P108*R108</f>
        <v>0</v>
      </c>
      <c r="T108" s="16">
        <f>LCOE!W134+LCOE!E$31</f>
        <v>0</v>
      </c>
      <c r="U108" s="16">
        <f>LCOE!X134+T108*IF(LCOE!E$14&gt;0,G108,H108)</f>
        <v>0</v>
      </c>
      <c r="V108" s="16">
        <f>LCOE!Y134+LCOE!E$32</f>
        <v>0</v>
      </c>
      <c r="W108" s="16">
        <f>LCOE!Z134+V108*IF(LCOE!E$14&gt;0,G108,H108)</f>
        <v>0</v>
      </c>
      <c r="X108" s="16">
        <f>LCOE!AA134+LCOE!E$34</f>
        <v>101</v>
      </c>
      <c r="Y108" s="16">
        <f t="shared" si="15"/>
        <v>0</v>
      </c>
      <c r="Z108" s="50">
        <f t="shared" si="18"/>
        <v>0</v>
      </c>
      <c r="AA108" s="50">
        <f t="shared" si="19"/>
        <v>0</v>
      </c>
      <c r="AB108" s="50">
        <f t="shared" si="20"/>
        <v>0</v>
      </c>
      <c r="AC108" s="50">
        <f t="shared" si="16"/>
        <v>0</v>
      </c>
      <c r="AD108" s="50">
        <f t="shared" si="11"/>
        <v>0</v>
      </c>
      <c r="AE108">
        <f t="shared" si="17"/>
        <v>30</v>
      </c>
      <c r="AF108" s="12">
        <f>LCOE!E134+LCOE!E$40</f>
        <v>0.03</v>
      </c>
      <c r="AG108">
        <f t="shared" si="12"/>
        <v>3.0747834781780301</v>
      </c>
      <c r="AH108" s="16">
        <f t="shared" si="7"/>
        <v>0</v>
      </c>
      <c r="AI108" s="16">
        <f t="shared" si="8"/>
        <v>0</v>
      </c>
      <c r="AJ108" s="16">
        <f t="shared" si="9"/>
        <v>0</v>
      </c>
      <c r="AK108" s="16">
        <f t="shared" si="10"/>
        <v>0</v>
      </c>
      <c r="AL108" s="16">
        <f t="shared" si="13"/>
        <v>0</v>
      </c>
      <c r="AM108" s="16">
        <f t="shared" si="14"/>
        <v>0</v>
      </c>
      <c r="AN108" s="16">
        <f>IF(LCOE!E$14&gt;0,G108,H108)/AG108</f>
        <v>0</v>
      </c>
    </row>
    <row r="109" spans="1:40">
      <c r="A109">
        <v>39</v>
      </c>
      <c r="C109" s="16">
        <f>LCOE!E135+IF(AND(LCOE!E$26&gt;0,A109&gt;=LCOE!E$26,A109&lt;=(LCOE!E$26+LCOE!E$27-1)),LCOE!E$42/LCOE!E$27,0)+IF(AND(D109=0,AE109&gt;=LCOE!E$16,COUNTIF(D84:D109,0)=LCOE!E$36),LCOE!E$35*LCOE!E$38,0)</f>
        <v>0</v>
      </c>
      <c r="D109" s="16">
        <f>IF(AE108&lt;LCOE!E$16,1,0)</f>
        <v>0</v>
      </c>
      <c r="E109" s="12">
        <f>LCOE!G135+IF(AND(A109&gt;=LCOE!E$26,A109&lt;=(LCOE!E$26+LCOE!E$27-1)),0,1)*IF(A109=LCOE!E$34,0,1)*D109</f>
        <v>0</v>
      </c>
      <c r="F109" s="12">
        <f>IF(F108&lt;LCOE!E$18,MIN(F108*(1+LCOE!E$19),LCOE!E$18),LCOE!E$18)+LCOE!J135</f>
        <v>0.9</v>
      </c>
      <c r="G109" s="16">
        <f>LCOE!K135+E109*F109*N109*(LCOE!E$14+LCOE!H135)*24*365*D109</f>
        <v>0</v>
      </c>
      <c r="H109" s="16">
        <f>LCOE!L135+F109*(LCOE!E$15+LCOE!I135)*E109*24*365*D109*N109</f>
        <v>0</v>
      </c>
      <c r="I109" s="16">
        <f>LCOE!M135+LCOE!E$20*IF(LCOE!E$14&gt;0,(LCOE!E$14+LCOE!H135),(LCOE!E$15+LCOE!I135))*K109*D109</f>
        <v>0</v>
      </c>
      <c r="J109" s="16">
        <f>LCOE!N135+LCOE!E$21*IF(LCOE!E$14&gt;0,G109,H109)*K109*D109</f>
        <v>0</v>
      </c>
      <c r="K109" s="15">
        <f>LCOE!O135+K108+K108*LCOE!E$22</f>
        <v>1</v>
      </c>
      <c r="L109" s="16">
        <f>LCOE!P135+LCOE!E$23*IF(LCOE!E$14&gt;0,G109,H109)*M109*D109</f>
        <v>0</v>
      </c>
      <c r="M109" s="15">
        <f>LCOE!Q135+M108+M108*LCOE!E$24</f>
        <v>1</v>
      </c>
      <c r="N109" s="15">
        <f>LCOE!R135+N108-N108*LCOE!E$25</f>
        <v>1</v>
      </c>
      <c r="O109" s="18">
        <f>LCOE!S135+LCOE!E$29</f>
        <v>313.75</v>
      </c>
      <c r="P109" s="12">
        <f>LCOE!T135+IF(A109&gt;=LCOE!E$30,100%,0%)</f>
        <v>1</v>
      </c>
      <c r="Q109" s="16">
        <f>LCOE!U135+O109/1000*IF(LCOE!E$14&gt;0,G109,H109)</f>
        <v>0</v>
      </c>
      <c r="R109" s="16">
        <f>LCOE!B135</f>
        <v>30</v>
      </c>
      <c r="S109" s="16">
        <f>LCOE!V135+Q109*P109*R109</f>
        <v>0</v>
      </c>
      <c r="T109" s="16">
        <f>LCOE!W135+LCOE!E$31</f>
        <v>0</v>
      </c>
      <c r="U109" s="16">
        <f>LCOE!X135+T109*IF(LCOE!E$14&gt;0,G109,H109)</f>
        <v>0</v>
      </c>
      <c r="V109" s="16">
        <f>LCOE!Y135+LCOE!E$32</f>
        <v>0</v>
      </c>
      <c r="W109" s="16">
        <f>LCOE!Z135+V109*IF(LCOE!E$14&gt;0,G109,H109)</f>
        <v>0</v>
      </c>
      <c r="X109" s="16">
        <f>LCOE!AA135+LCOE!E$34</f>
        <v>101</v>
      </c>
      <c r="Y109" s="16">
        <f t="shared" si="15"/>
        <v>0</v>
      </c>
      <c r="Z109" s="50">
        <f t="shared" si="18"/>
        <v>0</v>
      </c>
      <c r="AA109" s="50">
        <f t="shared" si="19"/>
        <v>0</v>
      </c>
      <c r="AB109" s="50">
        <f t="shared" si="20"/>
        <v>0</v>
      </c>
      <c r="AC109" s="50">
        <f t="shared" si="16"/>
        <v>0</v>
      </c>
      <c r="AD109" s="50">
        <f t="shared" si="11"/>
        <v>0</v>
      </c>
      <c r="AE109">
        <f t="shared" si="17"/>
        <v>30</v>
      </c>
      <c r="AF109" s="12">
        <f>LCOE!E135+LCOE!E$40</f>
        <v>0.03</v>
      </c>
      <c r="AG109">
        <f t="shared" si="12"/>
        <v>3.1670269825233714</v>
      </c>
      <c r="AH109" s="16">
        <f t="shared" ref="AH109:AH170" si="21">Z109/AG109</f>
        <v>0</v>
      </c>
      <c r="AI109" s="16">
        <f t="shared" ref="AI109:AI170" si="22">AA109/AG109</f>
        <v>0</v>
      </c>
      <c r="AJ109" s="16">
        <f t="shared" ref="AJ109:AJ170" si="23">AB109/AG109</f>
        <v>0</v>
      </c>
      <c r="AK109" s="16">
        <f t="shared" ref="AK109:AK170" si="24">AC109/AG109</f>
        <v>0</v>
      </c>
      <c r="AL109" s="16">
        <f t="shared" si="13"/>
        <v>0</v>
      </c>
      <c r="AM109" s="16">
        <f t="shared" si="14"/>
        <v>0</v>
      </c>
      <c r="AN109" s="16">
        <f>IF(LCOE!E$14&gt;0,G109,H109)/AG109</f>
        <v>0</v>
      </c>
    </row>
    <row r="110" spans="1:40">
      <c r="A110">
        <v>40</v>
      </c>
      <c r="C110" s="16">
        <f>LCOE!E136+IF(AND(LCOE!E$26&gt;0,A110&gt;=LCOE!E$26,A110&lt;=(LCOE!E$26+LCOE!E$27-1)),LCOE!E$42/LCOE!E$27,0)+IF(AND(D110=0,AE110&gt;=LCOE!E$16,COUNTIF(D85:D110,0)=LCOE!E$36),LCOE!E$35*LCOE!E$38,0)</f>
        <v>0</v>
      </c>
      <c r="D110" s="16">
        <f>IF(AE109&lt;LCOE!E$16,1,0)</f>
        <v>0</v>
      </c>
      <c r="E110" s="12">
        <f>LCOE!G136+IF(AND(A110&gt;=LCOE!E$26,A110&lt;=(LCOE!E$26+LCOE!E$27-1)),0,1)*IF(A110=LCOE!E$34,0,1)*D110</f>
        <v>0</v>
      </c>
      <c r="F110" s="12">
        <f>IF(F109&lt;LCOE!E$18,MIN(F109*(1+LCOE!E$19),LCOE!E$18),LCOE!E$18)+LCOE!J136</f>
        <v>0.9</v>
      </c>
      <c r="G110" s="16">
        <f>LCOE!K136+E110*F110*N110*(LCOE!E$14+LCOE!H136)*24*365*D110</f>
        <v>0</v>
      </c>
      <c r="H110" s="16">
        <f>LCOE!L136+F110*(LCOE!E$15+LCOE!I136)*E110*24*365*D110*N110</f>
        <v>0</v>
      </c>
      <c r="I110" s="16">
        <f>LCOE!M136+LCOE!E$20*IF(LCOE!E$14&gt;0,(LCOE!E$14+LCOE!H136),(LCOE!E$15+LCOE!I136))*K110*D110</f>
        <v>0</v>
      </c>
      <c r="J110" s="16">
        <f>LCOE!N136+LCOE!E$21*IF(LCOE!E$14&gt;0,G110,H110)*K110*D110</f>
        <v>0</v>
      </c>
      <c r="K110" s="15">
        <f>LCOE!O136+K109+K109*LCOE!E$22</f>
        <v>1</v>
      </c>
      <c r="L110" s="16">
        <f>LCOE!P136+LCOE!E$23*IF(LCOE!E$14&gt;0,G110,H110)*M110*D110</f>
        <v>0</v>
      </c>
      <c r="M110" s="15">
        <f>LCOE!Q136+M109+M109*LCOE!E$24</f>
        <v>1</v>
      </c>
      <c r="N110" s="15">
        <f>LCOE!R136+N109-N109*LCOE!E$25</f>
        <v>1</v>
      </c>
      <c r="O110" s="18">
        <f>LCOE!S136+LCOE!E$29</f>
        <v>313.75</v>
      </c>
      <c r="P110" s="12">
        <f>LCOE!T136+IF(A110&gt;=LCOE!E$30,100%,0%)</f>
        <v>1</v>
      </c>
      <c r="Q110" s="16">
        <f>LCOE!U136+O110/1000*IF(LCOE!E$14&gt;0,G110,H110)</f>
        <v>0</v>
      </c>
      <c r="R110" s="16">
        <f>LCOE!B136</f>
        <v>30</v>
      </c>
      <c r="S110" s="16">
        <f>LCOE!V136+Q110*P110*R110</f>
        <v>0</v>
      </c>
      <c r="T110" s="16">
        <f>LCOE!W136+LCOE!E$31</f>
        <v>0</v>
      </c>
      <c r="U110" s="16">
        <f>LCOE!X136+T110*IF(LCOE!E$14&gt;0,G110,H110)</f>
        <v>0</v>
      </c>
      <c r="V110" s="16">
        <f>LCOE!Y136+LCOE!E$32</f>
        <v>0</v>
      </c>
      <c r="W110" s="16">
        <f>LCOE!Z136+V110*IF(LCOE!E$14&gt;0,G110,H110)</f>
        <v>0</v>
      </c>
      <c r="X110" s="16">
        <f>LCOE!AA136+LCOE!E$34</f>
        <v>101</v>
      </c>
      <c r="Y110" s="16">
        <f t="shared" si="15"/>
        <v>0</v>
      </c>
      <c r="Z110" s="50">
        <f t="shared" si="18"/>
        <v>0</v>
      </c>
      <c r="AA110" s="50">
        <f t="shared" si="19"/>
        <v>0</v>
      </c>
      <c r="AB110" s="50">
        <f t="shared" si="20"/>
        <v>0</v>
      </c>
      <c r="AC110" s="50">
        <f t="shared" si="16"/>
        <v>0</v>
      </c>
      <c r="AD110" s="50">
        <f t="shared" ref="AD110:AD170" si="25">S110</f>
        <v>0</v>
      </c>
      <c r="AE110">
        <f t="shared" si="17"/>
        <v>30</v>
      </c>
      <c r="AF110" s="12">
        <f>LCOE!E136+LCOE!E$40</f>
        <v>0.03</v>
      </c>
      <c r="AG110">
        <f t="shared" ref="AG110:AG170" si="26">(1+AF110)^A110</f>
        <v>3.262037791999072</v>
      </c>
      <c r="AH110" s="16">
        <f t="shared" si="21"/>
        <v>0</v>
      </c>
      <c r="AI110" s="16">
        <f t="shared" si="22"/>
        <v>0</v>
      </c>
      <c r="AJ110" s="16">
        <f t="shared" si="23"/>
        <v>0</v>
      </c>
      <c r="AK110" s="16">
        <f t="shared" si="24"/>
        <v>0</v>
      </c>
      <c r="AL110" s="16">
        <f t="shared" ref="AL110:AL170" si="27">AD110/AG110</f>
        <v>0</v>
      </c>
      <c r="AM110" s="16">
        <f t="shared" si="14"/>
        <v>0</v>
      </c>
      <c r="AN110" s="16">
        <f>IF(LCOE!E$14&gt;0,G110,H110)/AG110</f>
        <v>0</v>
      </c>
    </row>
    <row r="111" spans="1:40">
      <c r="A111">
        <v>41</v>
      </c>
      <c r="C111" s="16">
        <f>LCOE!E137+IF(AND(LCOE!E$26&gt;0,A111&gt;=LCOE!E$26,A111&lt;=(LCOE!E$26+LCOE!E$27-1)),LCOE!E$42/LCOE!E$27,0)+IF(AND(D111=0,AE111&gt;=LCOE!E$16,COUNTIF(D86:D111,0)=LCOE!E$36),LCOE!E$35*LCOE!E$38,0)</f>
        <v>0</v>
      </c>
      <c r="D111" s="16">
        <f>IF(AE110&lt;LCOE!E$16,1,0)</f>
        <v>0</v>
      </c>
      <c r="E111" s="12">
        <f>LCOE!G137+IF(AND(A111&gt;=LCOE!E$26,A111&lt;=(LCOE!E$26+LCOE!E$27-1)),0,1)*IF(A111=LCOE!E$34,0,1)*D111</f>
        <v>0</v>
      </c>
      <c r="F111" s="12">
        <f>IF(F110&lt;LCOE!E$18,MIN(F110*(1+LCOE!E$19),LCOE!E$18),LCOE!E$18)+LCOE!J137</f>
        <v>0.9</v>
      </c>
      <c r="G111" s="16">
        <f>LCOE!K137+E111*F111*N111*(LCOE!E$14+LCOE!H137)*24*365*D111</f>
        <v>0</v>
      </c>
      <c r="H111" s="16">
        <f>LCOE!L137+F111*(LCOE!E$15+LCOE!I137)*E111*24*365*D111*N111</f>
        <v>0</v>
      </c>
      <c r="I111" s="16">
        <f>LCOE!M137+LCOE!E$20*IF(LCOE!E$14&gt;0,(LCOE!E$14+LCOE!H137),(LCOE!E$15+LCOE!I137))*K111*D111</f>
        <v>0</v>
      </c>
      <c r="J111" s="16">
        <f>LCOE!N137+LCOE!E$21*IF(LCOE!E$14&gt;0,G111,H111)*K111*D111</f>
        <v>0</v>
      </c>
      <c r="K111" s="15">
        <f>LCOE!O137+K110+K110*LCOE!E$22</f>
        <v>1</v>
      </c>
      <c r="L111" s="16">
        <f>LCOE!P137+LCOE!E$23*IF(LCOE!E$14&gt;0,G111,H111)*M111*D111</f>
        <v>0</v>
      </c>
      <c r="M111" s="15">
        <f>LCOE!Q137+M110+M110*LCOE!E$24</f>
        <v>1</v>
      </c>
      <c r="N111" s="15">
        <f>LCOE!R137+N110-N110*LCOE!E$25</f>
        <v>1</v>
      </c>
      <c r="O111" s="18">
        <f>LCOE!S137+LCOE!E$29</f>
        <v>313.75</v>
      </c>
      <c r="P111" s="12">
        <f>LCOE!T137+IF(A111&gt;=LCOE!E$30,100%,0%)</f>
        <v>1</v>
      </c>
      <c r="Q111" s="16">
        <f>LCOE!U137+O111/1000*IF(LCOE!E$14&gt;0,G111,H111)</f>
        <v>0</v>
      </c>
      <c r="R111" s="16">
        <f>LCOE!B137</f>
        <v>30</v>
      </c>
      <c r="S111" s="16">
        <f>LCOE!V137+Q111*P111*R111</f>
        <v>0</v>
      </c>
      <c r="T111" s="16">
        <f>LCOE!W137+LCOE!E$31</f>
        <v>0</v>
      </c>
      <c r="U111" s="16">
        <f>LCOE!X137+T111*IF(LCOE!E$14&gt;0,G111,H111)</f>
        <v>0</v>
      </c>
      <c r="V111" s="16">
        <f>LCOE!Y137+LCOE!E$32</f>
        <v>0</v>
      </c>
      <c r="W111" s="16">
        <f>LCOE!Z137+V111*IF(LCOE!E$14&gt;0,G111,H111)</f>
        <v>0</v>
      </c>
      <c r="X111" s="16">
        <f>LCOE!AA137+LCOE!E$34</f>
        <v>101</v>
      </c>
      <c r="Y111" s="16">
        <f t="shared" si="15"/>
        <v>0</v>
      </c>
      <c r="Z111" s="50">
        <f t="shared" si="18"/>
        <v>0</v>
      </c>
      <c r="AA111" s="50">
        <f t="shared" si="19"/>
        <v>0</v>
      </c>
      <c r="AB111" s="50">
        <f t="shared" si="20"/>
        <v>0</v>
      </c>
      <c r="AC111" s="50">
        <f t="shared" si="16"/>
        <v>0</v>
      </c>
      <c r="AD111" s="50">
        <f t="shared" si="25"/>
        <v>0</v>
      </c>
      <c r="AE111">
        <f t="shared" si="17"/>
        <v>30</v>
      </c>
      <c r="AF111" s="12">
        <f>LCOE!E137+LCOE!E$40</f>
        <v>0.03</v>
      </c>
      <c r="AG111">
        <f t="shared" si="26"/>
        <v>3.3598989257590444</v>
      </c>
      <c r="AH111" s="16">
        <f t="shared" si="21"/>
        <v>0</v>
      </c>
      <c r="AI111" s="16">
        <f t="shared" si="22"/>
        <v>0</v>
      </c>
      <c r="AJ111" s="16">
        <f t="shared" si="23"/>
        <v>0</v>
      </c>
      <c r="AK111" s="16">
        <f t="shared" si="24"/>
        <v>0</v>
      </c>
      <c r="AL111" s="16">
        <f t="shared" si="27"/>
        <v>0</v>
      </c>
      <c r="AM111" s="16">
        <f t="shared" si="14"/>
        <v>0</v>
      </c>
      <c r="AN111" s="16">
        <f>IF(LCOE!E$14&gt;0,G111,H111)/AG111</f>
        <v>0</v>
      </c>
    </row>
    <row r="112" spans="1:40">
      <c r="A112">
        <v>42</v>
      </c>
      <c r="C112" s="16">
        <f>LCOE!E138+IF(AND(LCOE!E$26&gt;0,A112&gt;=LCOE!E$26,A112&lt;=(LCOE!E$26+LCOE!E$27-1)),LCOE!E$42/LCOE!E$27,0)+IF(AND(D112=0,AE112&gt;=LCOE!E$16,COUNTIF(D87:D112,0)=LCOE!E$36),LCOE!E$35*LCOE!E$38,0)</f>
        <v>0</v>
      </c>
      <c r="D112" s="16">
        <f>IF(AE111&lt;LCOE!E$16,1,0)</f>
        <v>0</v>
      </c>
      <c r="E112" s="12">
        <f>LCOE!G138+IF(AND(A112&gt;=LCOE!E$26,A112&lt;=(LCOE!E$26+LCOE!E$27-1)),0,1)*IF(A112=LCOE!E$34,0,1)*D112</f>
        <v>0</v>
      </c>
      <c r="F112" s="12">
        <f>IF(F111&lt;LCOE!E$18,MIN(F111*(1+LCOE!E$19),LCOE!E$18),LCOE!E$18)+LCOE!J138</f>
        <v>0.9</v>
      </c>
      <c r="G112" s="16">
        <f>LCOE!K138+E112*F112*N112*(LCOE!E$14+LCOE!H138)*24*365*D112</f>
        <v>0</v>
      </c>
      <c r="H112" s="16">
        <f>LCOE!L138+F112*(LCOE!E$15+LCOE!I138)*E112*24*365*D112*N112</f>
        <v>0</v>
      </c>
      <c r="I112" s="16">
        <f>LCOE!M138+LCOE!E$20*IF(LCOE!E$14&gt;0,(LCOE!E$14+LCOE!H138),(LCOE!E$15+LCOE!I138))*K112*D112</f>
        <v>0</v>
      </c>
      <c r="J112" s="16">
        <f>LCOE!N138+LCOE!E$21*IF(LCOE!E$14&gt;0,G112,H112)*K112*D112</f>
        <v>0</v>
      </c>
      <c r="K112" s="15">
        <f>LCOE!O138+K111+K111*LCOE!E$22</f>
        <v>1</v>
      </c>
      <c r="L112" s="16">
        <f>LCOE!P138+LCOE!E$23*IF(LCOE!E$14&gt;0,G112,H112)*M112*D112</f>
        <v>0</v>
      </c>
      <c r="M112" s="15">
        <f>LCOE!Q138+M111+M111*LCOE!E$24</f>
        <v>1</v>
      </c>
      <c r="N112" s="15">
        <f>LCOE!R138+N111-N111*LCOE!E$25</f>
        <v>1</v>
      </c>
      <c r="O112" s="18">
        <f>LCOE!S138+LCOE!E$29</f>
        <v>313.75</v>
      </c>
      <c r="P112" s="12">
        <f>LCOE!T138+IF(A112&gt;=LCOE!E$30,100%,0%)</f>
        <v>1</v>
      </c>
      <c r="Q112" s="16">
        <f>LCOE!U138+O112/1000*IF(LCOE!E$14&gt;0,G112,H112)</f>
        <v>0</v>
      </c>
      <c r="R112" s="16">
        <f>LCOE!B138</f>
        <v>30</v>
      </c>
      <c r="S112" s="16">
        <f>LCOE!V138+Q112*P112*R112</f>
        <v>0</v>
      </c>
      <c r="T112" s="16">
        <f>LCOE!W138+LCOE!E$31</f>
        <v>0</v>
      </c>
      <c r="U112" s="16">
        <f>LCOE!X138+T112*IF(LCOE!E$14&gt;0,G112,H112)</f>
        <v>0</v>
      </c>
      <c r="V112" s="16">
        <f>LCOE!Y138+LCOE!E$32</f>
        <v>0</v>
      </c>
      <c r="W112" s="16">
        <f>LCOE!Z138+V112*IF(LCOE!E$14&gt;0,G112,H112)</f>
        <v>0</v>
      </c>
      <c r="X112" s="16">
        <f>LCOE!AA138+LCOE!E$34</f>
        <v>101</v>
      </c>
      <c r="Y112" s="16">
        <f t="shared" si="15"/>
        <v>0</v>
      </c>
      <c r="Z112" s="50">
        <f t="shared" si="18"/>
        <v>0</v>
      </c>
      <c r="AA112" s="50">
        <f t="shared" si="19"/>
        <v>0</v>
      </c>
      <c r="AB112" s="50">
        <f t="shared" si="20"/>
        <v>0</v>
      </c>
      <c r="AC112" s="50">
        <f t="shared" si="16"/>
        <v>0</v>
      </c>
      <c r="AD112" s="50">
        <f t="shared" si="25"/>
        <v>0</v>
      </c>
      <c r="AE112">
        <f t="shared" si="17"/>
        <v>30</v>
      </c>
      <c r="AF112" s="12">
        <f>LCOE!E138+LCOE!E$40</f>
        <v>0.03</v>
      </c>
      <c r="AG112">
        <f t="shared" si="26"/>
        <v>3.4606958935318159</v>
      </c>
      <c r="AH112" s="16">
        <f t="shared" si="21"/>
        <v>0</v>
      </c>
      <c r="AI112" s="16">
        <f t="shared" si="22"/>
        <v>0</v>
      </c>
      <c r="AJ112" s="16">
        <f t="shared" si="23"/>
        <v>0</v>
      </c>
      <c r="AK112" s="16">
        <f t="shared" si="24"/>
        <v>0</v>
      </c>
      <c r="AL112" s="16">
        <f t="shared" si="27"/>
        <v>0</v>
      </c>
      <c r="AM112" s="16">
        <f t="shared" si="14"/>
        <v>0</v>
      </c>
      <c r="AN112" s="16">
        <f>IF(LCOE!E$14&gt;0,G112,H112)/AG112</f>
        <v>0</v>
      </c>
    </row>
    <row r="113" spans="1:40">
      <c r="A113">
        <v>43</v>
      </c>
      <c r="C113" s="16">
        <f>LCOE!E139+IF(AND(LCOE!E$26&gt;0,A113&gt;=LCOE!E$26,A113&lt;=(LCOE!E$26+LCOE!E$27-1)),LCOE!E$42/LCOE!E$27,0)+IF(AND(D113=0,AE113&gt;=LCOE!E$16,COUNTIF(D88:D113,0)=LCOE!E$36),LCOE!E$35*LCOE!E$38,0)</f>
        <v>0</v>
      </c>
      <c r="D113" s="16">
        <f>IF(AE112&lt;LCOE!E$16,1,0)</f>
        <v>0</v>
      </c>
      <c r="E113" s="12">
        <f>LCOE!G139+IF(AND(A113&gt;=LCOE!E$26,A113&lt;=(LCOE!E$26+LCOE!E$27-1)),0,1)*IF(A113=LCOE!E$34,0,1)*D113</f>
        <v>0</v>
      </c>
      <c r="F113" s="12">
        <f>IF(F112&lt;LCOE!E$18,MIN(F112*(1+LCOE!E$19),LCOE!E$18),LCOE!E$18)+LCOE!J139</f>
        <v>0.9</v>
      </c>
      <c r="G113" s="16">
        <f>LCOE!K139+E113*F113*N113*(LCOE!E$14+LCOE!H139)*24*365*D113</f>
        <v>0</v>
      </c>
      <c r="H113" s="16">
        <f>LCOE!L139+F113*(LCOE!E$15+LCOE!I139)*E113*24*365*D113*N113</f>
        <v>0</v>
      </c>
      <c r="I113" s="16">
        <f>LCOE!M139+LCOE!E$20*IF(LCOE!E$14&gt;0,(LCOE!E$14+LCOE!H139),(LCOE!E$15+LCOE!I139))*K113*D113</f>
        <v>0</v>
      </c>
      <c r="J113" s="16">
        <f>LCOE!N139+LCOE!E$21*IF(LCOE!E$14&gt;0,G113,H113)*K113*D113</f>
        <v>0</v>
      </c>
      <c r="K113" s="15">
        <f>LCOE!O139+K112+K112*LCOE!E$22</f>
        <v>1</v>
      </c>
      <c r="L113" s="16">
        <f>LCOE!P139+LCOE!E$23*IF(LCOE!E$14&gt;0,G113,H113)*M113*D113</f>
        <v>0</v>
      </c>
      <c r="M113" s="15">
        <f>LCOE!Q139+M112+M112*LCOE!E$24</f>
        <v>1</v>
      </c>
      <c r="N113" s="15">
        <f>LCOE!R139+N112-N112*LCOE!E$25</f>
        <v>1</v>
      </c>
      <c r="O113" s="18">
        <f>LCOE!S139+LCOE!E$29</f>
        <v>313.75</v>
      </c>
      <c r="P113" s="12">
        <f>LCOE!T139+IF(A113&gt;=LCOE!E$30,100%,0%)</f>
        <v>1</v>
      </c>
      <c r="Q113" s="16">
        <f>LCOE!U139+O113/1000*IF(LCOE!E$14&gt;0,G113,H113)</f>
        <v>0</v>
      </c>
      <c r="R113" s="16">
        <f>LCOE!B139</f>
        <v>30</v>
      </c>
      <c r="S113" s="16">
        <f>LCOE!V139+Q113*P113*R113</f>
        <v>0</v>
      </c>
      <c r="T113" s="16">
        <f>LCOE!W139+LCOE!E$31</f>
        <v>0</v>
      </c>
      <c r="U113" s="16">
        <f>LCOE!X139+T113*IF(LCOE!E$14&gt;0,G113,H113)</f>
        <v>0</v>
      </c>
      <c r="V113" s="16">
        <f>LCOE!Y139+LCOE!E$32</f>
        <v>0</v>
      </c>
      <c r="W113" s="16">
        <f>LCOE!Z139+V113*IF(LCOE!E$14&gt;0,G113,H113)</f>
        <v>0</v>
      </c>
      <c r="X113" s="16">
        <f>LCOE!AA139+LCOE!E$34</f>
        <v>101</v>
      </c>
      <c r="Y113" s="16">
        <f t="shared" si="15"/>
        <v>0</v>
      </c>
      <c r="Z113" s="50">
        <f t="shared" si="18"/>
        <v>0</v>
      </c>
      <c r="AA113" s="50">
        <f t="shared" si="19"/>
        <v>0</v>
      </c>
      <c r="AB113" s="50">
        <f t="shared" si="20"/>
        <v>0</v>
      </c>
      <c r="AC113" s="50">
        <f t="shared" si="16"/>
        <v>0</v>
      </c>
      <c r="AD113" s="50">
        <f t="shared" si="25"/>
        <v>0</v>
      </c>
      <c r="AE113">
        <f t="shared" si="17"/>
        <v>30</v>
      </c>
      <c r="AF113" s="12">
        <f>LCOE!E139+LCOE!E$40</f>
        <v>0.03</v>
      </c>
      <c r="AG113">
        <f t="shared" si="26"/>
        <v>3.5645167703377703</v>
      </c>
      <c r="AH113" s="16">
        <f t="shared" si="21"/>
        <v>0</v>
      </c>
      <c r="AI113" s="16">
        <f t="shared" si="22"/>
        <v>0</v>
      </c>
      <c r="AJ113" s="16">
        <f t="shared" si="23"/>
        <v>0</v>
      </c>
      <c r="AK113" s="16">
        <f t="shared" si="24"/>
        <v>0</v>
      </c>
      <c r="AL113" s="16">
        <f t="shared" si="27"/>
        <v>0</v>
      </c>
      <c r="AM113" s="16">
        <f t="shared" si="14"/>
        <v>0</v>
      </c>
      <c r="AN113" s="16">
        <f>IF(LCOE!E$14&gt;0,G113,H113)/AG113</f>
        <v>0</v>
      </c>
    </row>
    <row r="114" spans="1:40">
      <c r="A114">
        <v>44</v>
      </c>
      <c r="C114" s="16">
        <f>LCOE!E140+IF(AND(LCOE!E$26&gt;0,A114&gt;=LCOE!E$26,A114&lt;=(LCOE!E$26+LCOE!E$27-1)),LCOE!E$42/LCOE!E$27,0)+IF(AND(D114=0,AE114&gt;=LCOE!E$16,COUNTIF(D89:D114,0)=LCOE!E$36),LCOE!E$35*LCOE!E$38,0)</f>
        <v>0</v>
      </c>
      <c r="D114" s="16">
        <f>IF(AE113&lt;LCOE!E$16,1,0)</f>
        <v>0</v>
      </c>
      <c r="E114" s="12">
        <f>LCOE!G140+IF(AND(A114&gt;=LCOE!E$26,A114&lt;=(LCOE!E$26+LCOE!E$27-1)),0,1)*IF(A114=LCOE!E$34,0,1)*D114</f>
        <v>0</v>
      </c>
      <c r="F114" s="12">
        <f>IF(F113&lt;LCOE!E$18,MIN(F113*(1+LCOE!E$19),LCOE!E$18),LCOE!E$18)+LCOE!J140</f>
        <v>0.9</v>
      </c>
      <c r="G114" s="16">
        <f>LCOE!K140+E114*F114*N114*(LCOE!E$14+LCOE!H140)*24*365*D114</f>
        <v>0</v>
      </c>
      <c r="H114" s="16">
        <f>LCOE!L140+F114*(LCOE!E$15+LCOE!I140)*E114*24*365*D114*N114</f>
        <v>0</v>
      </c>
      <c r="I114" s="16">
        <f>LCOE!M140+LCOE!E$20*IF(LCOE!E$14&gt;0,(LCOE!E$14+LCOE!H140),(LCOE!E$15+LCOE!I140))*K114*D114</f>
        <v>0</v>
      </c>
      <c r="J114" s="16">
        <f>LCOE!N140+LCOE!E$21*IF(LCOE!E$14&gt;0,G114,H114)*K114*D114</f>
        <v>0</v>
      </c>
      <c r="K114" s="15">
        <f>LCOE!O140+K113+K113*LCOE!E$22</f>
        <v>1</v>
      </c>
      <c r="L114" s="16">
        <f>LCOE!P140+LCOE!E$23*IF(LCOE!E$14&gt;0,G114,H114)*M114*D114</f>
        <v>0</v>
      </c>
      <c r="M114" s="15">
        <f>LCOE!Q140+M113+M113*LCOE!E$24</f>
        <v>1</v>
      </c>
      <c r="N114" s="15">
        <f>LCOE!R140+N113-N113*LCOE!E$25</f>
        <v>1</v>
      </c>
      <c r="O114" s="18">
        <f>LCOE!S140+LCOE!E$29</f>
        <v>313.75</v>
      </c>
      <c r="P114" s="12">
        <f>LCOE!T140+IF(A114&gt;=LCOE!E$30,100%,0%)</f>
        <v>1</v>
      </c>
      <c r="Q114" s="16">
        <f>LCOE!U140+O114/1000*IF(LCOE!E$14&gt;0,G114,H114)</f>
        <v>0</v>
      </c>
      <c r="R114" s="16">
        <f>LCOE!B140</f>
        <v>30</v>
      </c>
      <c r="S114" s="16">
        <f>LCOE!V140+Q114*P114*R114</f>
        <v>0</v>
      </c>
      <c r="T114" s="16">
        <f>LCOE!W140+LCOE!E$31</f>
        <v>0</v>
      </c>
      <c r="U114" s="16">
        <f>LCOE!X140+T114*IF(LCOE!E$14&gt;0,G114,H114)</f>
        <v>0</v>
      </c>
      <c r="V114" s="16">
        <f>LCOE!Y140+LCOE!E$32</f>
        <v>0</v>
      </c>
      <c r="W114" s="16">
        <f>LCOE!Z140+V114*IF(LCOE!E$14&gt;0,G114,H114)</f>
        <v>0</v>
      </c>
      <c r="X114" s="16">
        <f>LCOE!AA140+LCOE!E$34</f>
        <v>101</v>
      </c>
      <c r="Y114" s="16">
        <f t="shared" si="15"/>
        <v>0</v>
      </c>
      <c r="Z114" s="50">
        <f t="shared" si="18"/>
        <v>0</v>
      </c>
      <c r="AA114" s="50">
        <f t="shared" si="19"/>
        <v>0</v>
      </c>
      <c r="AB114" s="50">
        <f t="shared" si="20"/>
        <v>0</v>
      </c>
      <c r="AC114" s="50">
        <f t="shared" si="16"/>
        <v>0</v>
      </c>
      <c r="AD114" s="50">
        <f t="shared" si="25"/>
        <v>0</v>
      </c>
      <c r="AE114">
        <f t="shared" si="17"/>
        <v>30</v>
      </c>
      <c r="AF114" s="12">
        <f>LCOE!E140+LCOE!E$40</f>
        <v>0.03</v>
      </c>
      <c r="AG114">
        <f t="shared" si="26"/>
        <v>3.6714522734479029</v>
      </c>
      <c r="AH114" s="16">
        <f t="shared" si="21"/>
        <v>0</v>
      </c>
      <c r="AI114" s="16">
        <f t="shared" si="22"/>
        <v>0</v>
      </c>
      <c r="AJ114" s="16">
        <f t="shared" si="23"/>
        <v>0</v>
      </c>
      <c r="AK114" s="16">
        <f t="shared" si="24"/>
        <v>0</v>
      </c>
      <c r="AL114" s="16">
        <f t="shared" si="27"/>
        <v>0</v>
      </c>
      <c r="AM114" s="16">
        <f t="shared" si="14"/>
        <v>0</v>
      </c>
      <c r="AN114" s="16">
        <f>IF(LCOE!E$14&gt;0,G114,H114)/AG114</f>
        <v>0</v>
      </c>
    </row>
    <row r="115" spans="1:40">
      <c r="A115">
        <v>45</v>
      </c>
      <c r="C115" s="16">
        <f>LCOE!E141+IF(AND(LCOE!E$26&gt;0,A115&gt;=LCOE!E$26,A115&lt;=(LCOE!E$26+LCOE!E$27-1)),LCOE!E$42/LCOE!E$27,0)+IF(AND(D115=0,AE115&gt;=LCOE!E$16,COUNTIF(D90:D115,0)=LCOE!E$36),LCOE!E$35*LCOE!E$38,0)</f>
        <v>0</v>
      </c>
      <c r="D115" s="16">
        <f>IF(AE114&lt;LCOE!E$16,1,0)</f>
        <v>0</v>
      </c>
      <c r="E115" s="12">
        <f>LCOE!G141+IF(AND(A115&gt;=LCOE!E$26,A115&lt;=(LCOE!E$26+LCOE!E$27-1)),0,1)*IF(A115=LCOE!E$34,0,1)*D115</f>
        <v>0</v>
      </c>
      <c r="F115" s="12">
        <f>IF(F114&lt;LCOE!E$18,MIN(F114*(1+LCOE!E$19),LCOE!E$18),LCOE!E$18)+LCOE!J141</f>
        <v>0.9</v>
      </c>
      <c r="G115" s="16">
        <f>LCOE!K141+E115*F115*N115*(LCOE!E$14+LCOE!H141)*24*365*D115</f>
        <v>0</v>
      </c>
      <c r="H115" s="16">
        <f>LCOE!L141+F115*(LCOE!E$15+LCOE!I141)*E115*24*365*D115*N115</f>
        <v>0</v>
      </c>
      <c r="I115" s="16">
        <f>LCOE!M141+LCOE!E$20*IF(LCOE!E$14&gt;0,(LCOE!E$14+LCOE!H141),(LCOE!E$15+LCOE!I141))*K115*D115</f>
        <v>0</v>
      </c>
      <c r="J115" s="16">
        <f>LCOE!N141+LCOE!E$21*IF(LCOE!E$14&gt;0,G115,H115)*K115*D115</f>
        <v>0</v>
      </c>
      <c r="K115" s="15">
        <f>LCOE!O141+K114+K114*LCOE!E$22</f>
        <v>1</v>
      </c>
      <c r="L115" s="16">
        <f>LCOE!P141+LCOE!E$23*IF(LCOE!E$14&gt;0,G115,H115)*M115*D115</f>
        <v>0</v>
      </c>
      <c r="M115" s="15">
        <f>LCOE!Q141+M114+M114*LCOE!E$24</f>
        <v>1</v>
      </c>
      <c r="N115" s="15">
        <f>LCOE!R141+N114-N114*LCOE!E$25</f>
        <v>1</v>
      </c>
      <c r="O115" s="18">
        <f>LCOE!S141+LCOE!E$29</f>
        <v>313.75</v>
      </c>
      <c r="P115" s="12">
        <f>LCOE!T141+IF(A115&gt;=LCOE!E$30,100%,0%)</f>
        <v>1</v>
      </c>
      <c r="Q115" s="16">
        <f>LCOE!U141+O115/1000*IF(LCOE!E$14&gt;0,G115,H115)</f>
        <v>0</v>
      </c>
      <c r="R115" s="16">
        <f>LCOE!B141</f>
        <v>30</v>
      </c>
      <c r="S115" s="16">
        <f>LCOE!V141+Q115*P115*R115</f>
        <v>0</v>
      </c>
      <c r="T115" s="16">
        <f>LCOE!W141+LCOE!E$31</f>
        <v>0</v>
      </c>
      <c r="U115" s="16">
        <f>LCOE!X141+T115*IF(LCOE!E$14&gt;0,G115,H115)</f>
        <v>0</v>
      </c>
      <c r="V115" s="16">
        <f>LCOE!Y141+LCOE!E$32</f>
        <v>0</v>
      </c>
      <c r="W115" s="16">
        <f>LCOE!Z141+V115*IF(LCOE!E$14&gt;0,G115,H115)</f>
        <v>0</v>
      </c>
      <c r="X115" s="16">
        <f>LCOE!AA141+LCOE!E$34</f>
        <v>101</v>
      </c>
      <c r="Y115" s="16">
        <f t="shared" si="15"/>
        <v>0</v>
      </c>
      <c r="Z115" s="50">
        <f t="shared" si="18"/>
        <v>0</v>
      </c>
      <c r="AA115" s="50">
        <f t="shared" si="19"/>
        <v>0</v>
      </c>
      <c r="AB115" s="50">
        <f t="shared" si="20"/>
        <v>0</v>
      </c>
      <c r="AC115" s="50">
        <f t="shared" si="16"/>
        <v>0</v>
      </c>
      <c r="AD115" s="50">
        <f t="shared" si="25"/>
        <v>0</v>
      </c>
      <c r="AE115">
        <f t="shared" si="17"/>
        <v>30</v>
      </c>
      <c r="AF115" s="12">
        <f>LCOE!E141+LCOE!E$40</f>
        <v>0.03</v>
      </c>
      <c r="AG115">
        <f t="shared" si="26"/>
        <v>3.78159584165134</v>
      </c>
      <c r="AH115" s="16">
        <f t="shared" si="21"/>
        <v>0</v>
      </c>
      <c r="AI115" s="16">
        <f t="shared" si="22"/>
        <v>0</v>
      </c>
      <c r="AJ115" s="16">
        <f t="shared" si="23"/>
        <v>0</v>
      </c>
      <c r="AK115" s="16">
        <f t="shared" si="24"/>
        <v>0</v>
      </c>
      <c r="AL115" s="16">
        <f t="shared" si="27"/>
        <v>0</v>
      </c>
      <c r="AM115" s="16">
        <f t="shared" si="14"/>
        <v>0</v>
      </c>
      <c r="AN115" s="16">
        <f>IF(LCOE!E$14&gt;0,G115,H115)/AG115</f>
        <v>0</v>
      </c>
    </row>
    <row r="116" spans="1:40">
      <c r="A116">
        <v>46</v>
      </c>
      <c r="C116" s="16">
        <f>LCOE!E142+IF(AND(LCOE!E$26&gt;0,A116&gt;=LCOE!E$26,A116&lt;=(LCOE!E$26+LCOE!E$27-1)),LCOE!E$42/LCOE!E$27,0)+IF(AND(D116=0,AE116&gt;=LCOE!E$16,COUNTIF(D91:D116,0)=LCOE!E$36),LCOE!E$35*LCOE!E$38,0)</f>
        <v>0</v>
      </c>
      <c r="D116" s="16">
        <f>IF(AE115&lt;LCOE!E$16,1,0)</f>
        <v>0</v>
      </c>
      <c r="E116" s="12">
        <f>LCOE!G142+IF(AND(A116&gt;=LCOE!E$26,A116&lt;=(LCOE!E$26+LCOE!E$27-1)),0,1)*IF(A116=LCOE!E$34,0,1)*D116</f>
        <v>0</v>
      </c>
      <c r="F116" s="12">
        <f>IF(F115&lt;LCOE!E$18,MIN(F115*(1+LCOE!E$19),LCOE!E$18),LCOE!E$18)+LCOE!J142</f>
        <v>0.9</v>
      </c>
      <c r="G116" s="16">
        <f>LCOE!K142+E116*F116*N116*(LCOE!E$14+LCOE!H142)*24*365*D116</f>
        <v>0</v>
      </c>
      <c r="H116" s="16">
        <f>LCOE!L142+F116*(LCOE!E$15+LCOE!I142)*E116*24*365*D116*N116</f>
        <v>0</v>
      </c>
      <c r="I116" s="16">
        <f>LCOE!M142+LCOE!E$20*IF(LCOE!E$14&gt;0,(LCOE!E$14+LCOE!H142),(LCOE!E$15+LCOE!I142))*K116*D116</f>
        <v>0</v>
      </c>
      <c r="J116" s="16">
        <f>LCOE!N142+LCOE!E$21*IF(LCOE!E$14&gt;0,G116,H116)*K116*D116</f>
        <v>0</v>
      </c>
      <c r="K116" s="15">
        <f>LCOE!O142+K115+K115*LCOE!E$22</f>
        <v>1</v>
      </c>
      <c r="L116" s="16">
        <f>LCOE!P142+LCOE!E$23*IF(LCOE!E$14&gt;0,G116,H116)*M116*D116</f>
        <v>0</v>
      </c>
      <c r="M116" s="15">
        <f>LCOE!Q142+M115+M115*LCOE!E$24</f>
        <v>1</v>
      </c>
      <c r="N116" s="15">
        <f>LCOE!R142+N115-N115*LCOE!E$25</f>
        <v>1</v>
      </c>
      <c r="O116" s="18">
        <f>LCOE!S142+LCOE!E$29</f>
        <v>313.75</v>
      </c>
      <c r="P116" s="12">
        <f>LCOE!T142+IF(A116&gt;=LCOE!E$30,100%,0%)</f>
        <v>1</v>
      </c>
      <c r="Q116" s="16">
        <f>LCOE!U142+O116/1000*IF(LCOE!E$14&gt;0,G116,H116)</f>
        <v>0</v>
      </c>
      <c r="R116" s="16">
        <f>LCOE!B142</f>
        <v>30</v>
      </c>
      <c r="S116" s="16">
        <f>LCOE!V142+Q116*P116*R116</f>
        <v>0</v>
      </c>
      <c r="T116" s="16">
        <f>LCOE!W142+LCOE!E$31</f>
        <v>0</v>
      </c>
      <c r="U116" s="16">
        <f>LCOE!X142+T116*IF(LCOE!E$14&gt;0,G116,H116)</f>
        <v>0</v>
      </c>
      <c r="V116" s="16">
        <f>LCOE!Y142+LCOE!E$32</f>
        <v>0</v>
      </c>
      <c r="W116" s="16">
        <f>LCOE!Z142+V116*IF(LCOE!E$14&gt;0,G116,H116)</f>
        <v>0</v>
      </c>
      <c r="X116" s="16">
        <f>LCOE!AA142+LCOE!E$34</f>
        <v>101</v>
      </c>
      <c r="Y116" s="16">
        <f t="shared" si="15"/>
        <v>0</v>
      </c>
      <c r="Z116" s="50">
        <f t="shared" si="18"/>
        <v>0</v>
      </c>
      <c r="AA116" s="50">
        <f t="shared" si="19"/>
        <v>0</v>
      </c>
      <c r="AB116" s="50">
        <f t="shared" si="20"/>
        <v>0</v>
      </c>
      <c r="AC116" s="50">
        <f t="shared" si="16"/>
        <v>0</v>
      </c>
      <c r="AD116" s="50">
        <f t="shared" si="25"/>
        <v>0</v>
      </c>
      <c r="AE116">
        <f t="shared" si="17"/>
        <v>30</v>
      </c>
      <c r="AF116" s="12">
        <f>LCOE!E142+LCOE!E$40</f>
        <v>0.03</v>
      </c>
      <c r="AG116">
        <f t="shared" si="26"/>
        <v>3.8950437169008802</v>
      </c>
      <c r="AH116" s="16">
        <f t="shared" si="21"/>
        <v>0</v>
      </c>
      <c r="AI116" s="16">
        <f t="shared" si="22"/>
        <v>0</v>
      </c>
      <c r="AJ116" s="16">
        <f t="shared" si="23"/>
        <v>0</v>
      </c>
      <c r="AK116" s="16">
        <f t="shared" si="24"/>
        <v>0</v>
      </c>
      <c r="AL116" s="16">
        <f t="shared" si="27"/>
        <v>0</v>
      </c>
      <c r="AM116" s="16">
        <f t="shared" si="14"/>
        <v>0</v>
      </c>
      <c r="AN116" s="16">
        <f>IF(LCOE!E$14&gt;0,G116,H116)/AG116</f>
        <v>0</v>
      </c>
    </row>
    <row r="117" spans="1:40">
      <c r="A117">
        <v>47</v>
      </c>
      <c r="C117" s="16">
        <f>LCOE!E143+IF(AND(LCOE!E$26&gt;0,A117&gt;=LCOE!E$26,A117&lt;=(LCOE!E$26+LCOE!E$27-1)),LCOE!E$42/LCOE!E$27,0)+IF(AND(D117=0,AE117&gt;=LCOE!E$16,COUNTIF(D92:D117,0)=LCOE!E$36),LCOE!E$35*LCOE!E$38,0)</f>
        <v>0</v>
      </c>
      <c r="D117" s="16">
        <f>IF(AE116&lt;LCOE!E$16,1,0)</f>
        <v>0</v>
      </c>
      <c r="E117" s="12">
        <f>LCOE!G143+IF(AND(A117&gt;=LCOE!E$26,A117&lt;=(LCOE!E$26+LCOE!E$27-1)),0,1)*IF(A117=LCOE!E$34,0,1)*D117</f>
        <v>0</v>
      </c>
      <c r="F117" s="12">
        <f>IF(F116&lt;LCOE!E$18,MIN(F116*(1+LCOE!E$19),LCOE!E$18),LCOE!E$18)+LCOE!J143</f>
        <v>0.9</v>
      </c>
      <c r="G117" s="16">
        <f>LCOE!K143+E117*F117*N117*(LCOE!E$14+LCOE!H143)*24*365*D117</f>
        <v>0</v>
      </c>
      <c r="H117" s="16">
        <f>LCOE!L143+F117*(LCOE!E$15+LCOE!I143)*E117*24*365*D117*N117</f>
        <v>0</v>
      </c>
      <c r="I117" s="16">
        <f>LCOE!M143+LCOE!E$20*IF(LCOE!E$14&gt;0,(LCOE!E$14+LCOE!H143),(LCOE!E$15+LCOE!I143))*K117*D117</f>
        <v>0</v>
      </c>
      <c r="J117" s="16">
        <f>LCOE!N143+LCOE!E$21*IF(LCOE!E$14&gt;0,G117,H117)*K117*D117</f>
        <v>0</v>
      </c>
      <c r="K117" s="15">
        <f>LCOE!O143+K116+K116*LCOE!E$22</f>
        <v>1</v>
      </c>
      <c r="L117" s="16">
        <f>LCOE!P143+LCOE!E$23*IF(LCOE!E$14&gt;0,G117,H117)*M117*D117</f>
        <v>0</v>
      </c>
      <c r="M117" s="15">
        <f>LCOE!Q143+M116+M116*LCOE!E$24</f>
        <v>1</v>
      </c>
      <c r="N117" s="15">
        <f>LCOE!R143+N116-N116*LCOE!E$25</f>
        <v>1</v>
      </c>
      <c r="O117" s="18">
        <f>LCOE!S143+LCOE!E$29</f>
        <v>313.75</v>
      </c>
      <c r="P117" s="12">
        <f>LCOE!T143+IF(A117&gt;=LCOE!E$30,100%,0%)</f>
        <v>1</v>
      </c>
      <c r="Q117" s="16">
        <f>LCOE!U143+O117/1000*IF(LCOE!E$14&gt;0,G117,H117)</f>
        <v>0</v>
      </c>
      <c r="R117" s="16">
        <f>LCOE!B143</f>
        <v>30</v>
      </c>
      <c r="S117" s="16">
        <f>LCOE!V143+Q117*P117*R117</f>
        <v>0</v>
      </c>
      <c r="T117" s="16">
        <f>LCOE!W143+LCOE!E$31</f>
        <v>0</v>
      </c>
      <c r="U117" s="16">
        <f>LCOE!X143+T117*IF(LCOE!E$14&gt;0,G117,H117)</f>
        <v>0</v>
      </c>
      <c r="V117" s="16">
        <f>LCOE!Y143+LCOE!E$32</f>
        <v>0</v>
      </c>
      <c r="W117" s="16">
        <f>LCOE!Z143+V117*IF(LCOE!E$14&gt;0,G117,H117)</f>
        <v>0</v>
      </c>
      <c r="X117" s="16">
        <f>LCOE!AA143+LCOE!E$34</f>
        <v>101</v>
      </c>
      <c r="Y117" s="16">
        <f t="shared" si="15"/>
        <v>0</v>
      </c>
      <c r="Z117" s="50">
        <f t="shared" si="18"/>
        <v>0</v>
      </c>
      <c r="AA117" s="50">
        <f t="shared" si="19"/>
        <v>0</v>
      </c>
      <c r="AB117" s="50">
        <f t="shared" si="20"/>
        <v>0</v>
      </c>
      <c r="AC117" s="50">
        <f t="shared" si="16"/>
        <v>0</v>
      </c>
      <c r="AD117" s="50">
        <f t="shared" si="25"/>
        <v>0</v>
      </c>
      <c r="AE117">
        <f t="shared" si="17"/>
        <v>30</v>
      </c>
      <c r="AF117" s="12">
        <f>LCOE!E143+LCOE!E$40</f>
        <v>0.03</v>
      </c>
      <c r="AG117">
        <f t="shared" si="26"/>
        <v>4.0118950284079071</v>
      </c>
      <c r="AH117" s="16">
        <f t="shared" si="21"/>
        <v>0</v>
      </c>
      <c r="AI117" s="16">
        <f t="shared" si="22"/>
        <v>0</v>
      </c>
      <c r="AJ117" s="16">
        <f t="shared" si="23"/>
        <v>0</v>
      </c>
      <c r="AK117" s="16">
        <f t="shared" si="24"/>
        <v>0</v>
      </c>
      <c r="AL117" s="16">
        <f t="shared" si="27"/>
        <v>0</v>
      </c>
      <c r="AM117" s="16">
        <f t="shared" si="14"/>
        <v>0</v>
      </c>
      <c r="AN117" s="16">
        <f>IF(LCOE!E$14&gt;0,G117,H117)/AG117</f>
        <v>0</v>
      </c>
    </row>
    <row r="118" spans="1:40">
      <c r="A118">
        <v>48</v>
      </c>
      <c r="C118" s="16">
        <f>LCOE!E144+IF(AND(LCOE!E$26&gt;0,A118&gt;=LCOE!E$26,A118&lt;=(LCOE!E$26+LCOE!E$27-1)),LCOE!E$42/LCOE!E$27,0)+IF(AND(D118=0,AE118&gt;=LCOE!E$16,COUNTIF(D93:D118,0)=LCOE!E$36),LCOE!E$35*LCOE!E$38,0)</f>
        <v>0</v>
      </c>
      <c r="D118" s="16">
        <f>IF(AE117&lt;LCOE!E$16,1,0)</f>
        <v>0</v>
      </c>
      <c r="E118" s="12">
        <f>LCOE!G144+IF(AND(A118&gt;=LCOE!E$26,A118&lt;=(LCOE!E$26+LCOE!E$27-1)),0,1)*IF(A118=LCOE!E$34,0,1)*D118</f>
        <v>0</v>
      </c>
      <c r="F118" s="12">
        <f>IF(F117&lt;LCOE!E$18,MIN(F117*(1+LCOE!E$19),LCOE!E$18),LCOE!E$18)+LCOE!J144</f>
        <v>0.9</v>
      </c>
      <c r="G118" s="16">
        <f>LCOE!K144+E118*F118*N118*(LCOE!E$14+LCOE!H144)*24*365*D118</f>
        <v>0</v>
      </c>
      <c r="H118" s="16">
        <f>LCOE!L144+F118*(LCOE!E$15+LCOE!I144)*E118*24*365*D118*N118</f>
        <v>0</v>
      </c>
      <c r="I118" s="16">
        <f>LCOE!M144+LCOE!E$20*IF(LCOE!E$14&gt;0,(LCOE!E$14+LCOE!H144),(LCOE!E$15+LCOE!I144))*K118*D118</f>
        <v>0</v>
      </c>
      <c r="J118" s="16">
        <f>LCOE!N144+LCOE!E$21*IF(LCOE!E$14&gt;0,G118,H118)*K118*D118</f>
        <v>0</v>
      </c>
      <c r="K118" s="15">
        <f>LCOE!O144+K117+K117*LCOE!E$22</f>
        <v>1</v>
      </c>
      <c r="L118" s="16">
        <f>LCOE!P144+LCOE!E$23*IF(LCOE!E$14&gt;0,G118,H118)*M118*D118</f>
        <v>0</v>
      </c>
      <c r="M118" s="15">
        <f>LCOE!Q144+M117+M117*LCOE!E$24</f>
        <v>1</v>
      </c>
      <c r="N118" s="15">
        <f>LCOE!R144+N117-N117*LCOE!E$25</f>
        <v>1</v>
      </c>
      <c r="O118" s="18">
        <f>LCOE!S144+LCOE!E$29</f>
        <v>313.75</v>
      </c>
      <c r="P118" s="12">
        <f>LCOE!T144+IF(A118&gt;=LCOE!E$30,100%,0%)</f>
        <v>1</v>
      </c>
      <c r="Q118" s="16">
        <f>LCOE!U144+O118/1000*IF(LCOE!E$14&gt;0,G118,H118)</f>
        <v>0</v>
      </c>
      <c r="R118" s="16">
        <f>LCOE!B144</f>
        <v>30</v>
      </c>
      <c r="S118" s="16">
        <f>LCOE!V144+Q118*P118*R118</f>
        <v>0</v>
      </c>
      <c r="T118" s="16">
        <f>LCOE!W144+LCOE!E$31</f>
        <v>0</v>
      </c>
      <c r="U118" s="16">
        <f>LCOE!X144+T118*IF(LCOE!E$14&gt;0,G118,H118)</f>
        <v>0</v>
      </c>
      <c r="V118" s="16">
        <f>LCOE!Y144+LCOE!E$32</f>
        <v>0</v>
      </c>
      <c r="W118" s="16">
        <f>LCOE!Z144+V118*IF(LCOE!E$14&gt;0,G118,H118)</f>
        <v>0</v>
      </c>
      <c r="X118" s="16">
        <f>LCOE!AA144+LCOE!E$34</f>
        <v>101</v>
      </c>
      <c r="Y118" s="16">
        <f t="shared" si="15"/>
        <v>0</v>
      </c>
      <c r="Z118" s="50">
        <f t="shared" si="18"/>
        <v>0</v>
      </c>
      <c r="AA118" s="50">
        <f t="shared" si="19"/>
        <v>0</v>
      </c>
      <c r="AB118" s="50">
        <f t="shared" si="20"/>
        <v>0</v>
      </c>
      <c r="AC118" s="50">
        <f t="shared" si="16"/>
        <v>0</v>
      </c>
      <c r="AD118" s="50">
        <f t="shared" si="25"/>
        <v>0</v>
      </c>
      <c r="AE118">
        <f t="shared" si="17"/>
        <v>30</v>
      </c>
      <c r="AF118" s="12">
        <f>LCOE!E144+LCOE!E$40</f>
        <v>0.03</v>
      </c>
      <c r="AG118">
        <f t="shared" si="26"/>
        <v>4.1322518792601439</v>
      </c>
      <c r="AH118" s="16">
        <f t="shared" si="21"/>
        <v>0</v>
      </c>
      <c r="AI118" s="16">
        <f t="shared" si="22"/>
        <v>0</v>
      </c>
      <c r="AJ118" s="16">
        <f t="shared" si="23"/>
        <v>0</v>
      </c>
      <c r="AK118" s="16">
        <f t="shared" si="24"/>
        <v>0</v>
      </c>
      <c r="AL118" s="16">
        <f t="shared" si="27"/>
        <v>0</v>
      </c>
      <c r="AM118" s="16">
        <f t="shared" si="14"/>
        <v>0</v>
      </c>
      <c r="AN118" s="16">
        <f>IF(LCOE!E$14&gt;0,G118,H118)/AG118</f>
        <v>0</v>
      </c>
    </row>
    <row r="119" spans="1:40">
      <c r="A119">
        <v>49</v>
      </c>
      <c r="C119" s="16">
        <f>LCOE!E145+IF(AND(LCOE!E$26&gt;0,A119&gt;=LCOE!E$26,A119&lt;=(LCOE!E$26+LCOE!E$27-1)),LCOE!E$42/LCOE!E$27,0)+IF(AND(D119=0,AE119&gt;=LCOE!E$16,COUNTIF(D94:D119,0)=LCOE!E$36),LCOE!E$35*LCOE!E$38,0)</f>
        <v>0</v>
      </c>
      <c r="D119" s="16">
        <f>IF(AE118&lt;LCOE!E$16,1,0)</f>
        <v>0</v>
      </c>
      <c r="E119" s="12">
        <f>LCOE!G145+IF(AND(A119&gt;=LCOE!E$26,A119&lt;=(LCOE!E$26+LCOE!E$27-1)),0,1)*IF(A119=LCOE!E$34,0,1)*D119</f>
        <v>0</v>
      </c>
      <c r="F119" s="12">
        <f>IF(F118&lt;LCOE!E$18,MIN(F118*(1+LCOE!E$19),LCOE!E$18),LCOE!E$18)+LCOE!J145</f>
        <v>0.9</v>
      </c>
      <c r="G119" s="16">
        <f>LCOE!K145+E119*F119*N119*(LCOE!E$14+LCOE!H145)*24*365*D119</f>
        <v>0</v>
      </c>
      <c r="H119" s="16">
        <f>LCOE!L145+F119*(LCOE!E$15+LCOE!I145)*E119*24*365*D119*N119</f>
        <v>0</v>
      </c>
      <c r="I119" s="16">
        <f>LCOE!M145+LCOE!E$20*IF(LCOE!E$14&gt;0,(LCOE!E$14+LCOE!H145),(LCOE!E$15+LCOE!I145))*K119*D119</f>
        <v>0</v>
      </c>
      <c r="J119" s="16">
        <f>LCOE!N145+LCOE!E$21*IF(LCOE!E$14&gt;0,G119,H119)*K119*D119</f>
        <v>0</v>
      </c>
      <c r="K119" s="15">
        <f>LCOE!O145+K118+K118*LCOE!E$22</f>
        <v>1</v>
      </c>
      <c r="L119" s="16">
        <f>LCOE!P145+LCOE!E$23*IF(LCOE!E$14&gt;0,G119,H119)*M119*D119</f>
        <v>0</v>
      </c>
      <c r="M119" s="15">
        <f>LCOE!Q145+M118+M118*LCOE!E$24</f>
        <v>1</v>
      </c>
      <c r="N119" s="15">
        <f>LCOE!R145+N118-N118*LCOE!E$25</f>
        <v>1</v>
      </c>
      <c r="O119" s="18">
        <f>LCOE!S145+LCOE!E$29</f>
        <v>313.75</v>
      </c>
      <c r="P119" s="12">
        <f>LCOE!T145+IF(A119&gt;=LCOE!E$30,100%,0%)</f>
        <v>1</v>
      </c>
      <c r="Q119" s="16">
        <f>LCOE!U145+O119/1000*IF(LCOE!E$14&gt;0,G119,H119)</f>
        <v>0</v>
      </c>
      <c r="R119" s="16">
        <f>LCOE!B145</f>
        <v>30</v>
      </c>
      <c r="S119" s="16">
        <f>LCOE!V145+Q119*P119*R119</f>
        <v>0</v>
      </c>
      <c r="T119" s="16">
        <f>LCOE!W145+LCOE!E$31</f>
        <v>0</v>
      </c>
      <c r="U119" s="16">
        <f>LCOE!X145+T119*IF(LCOE!E$14&gt;0,G119,H119)</f>
        <v>0</v>
      </c>
      <c r="V119" s="16">
        <f>LCOE!Y145+LCOE!E$32</f>
        <v>0</v>
      </c>
      <c r="W119" s="16">
        <f>LCOE!Z145+V119*IF(LCOE!E$14&gt;0,G119,H119)</f>
        <v>0</v>
      </c>
      <c r="X119" s="16">
        <f>LCOE!AA145+LCOE!E$34</f>
        <v>101</v>
      </c>
      <c r="Y119" s="16">
        <f t="shared" si="15"/>
        <v>0</v>
      </c>
      <c r="Z119" s="50">
        <f t="shared" si="18"/>
        <v>0</v>
      </c>
      <c r="AA119" s="50">
        <f t="shared" si="19"/>
        <v>0</v>
      </c>
      <c r="AB119" s="50">
        <f t="shared" si="20"/>
        <v>0</v>
      </c>
      <c r="AC119" s="50">
        <f t="shared" si="16"/>
        <v>0</v>
      </c>
      <c r="AD119" s="50">
        <f t="shared" si="25"/>
        <v>0</v>
      </c>
      <c r="AE119">
        <f t="shared" si="17"/>
        <v>30</v>
      </c>
      <c r="AF119" s="12">
        <f>LCOE!E145+LCOE!E$40</f>
        <v>0.03</v>
      </c>
      <c r="AG119">
        <f t="shared" si="26"/>
        <v>4.2562194356379477</v>
      </c>
      <c r="AH119" s="16">
        <f t="shared" si="21"/>
        <v>0</v>
      </c>
      <c r="AI119" s="16">
        <f t="shared" si="22"/>
        <v>0</v>
      </c>
      <c r="AJ119" s="16">
        <f t="shared" si="23"/>
        <v>0</v>
      </c>
      <c r="AK119" s="16">
        <f t="shared" si="24"/>
        <v>0</v>
      </c>
      <c r="AL119" s="16">
        <f t="shared" si="27"/>
        <v>0</v>
      </c>
      <c r="AM119" s="16">
        <f t="shared" si="14"/>
        <v>0</v>
      </c>
      <c r="AN119" s="16">
        <f>IF(LCOE!E$14&gt;0,G119,H119)/AG119</f>
        <v>0</v>
      </c>
    </row>
    <row r="120" spans="1:40">
      <c r="A120">
        <v>50</v>
      </c>
      <c r="C120" s="16">
        <f>LCOE!E146+IF(AND(LCOE!E$26&gt;0,A120&gt;=LCOE!E$26,A120&lt;=(LCOE!E$26+LCOE!E$27-1)),LCOE!E$42/LCOE!E$27,0)+IF(AND(D120=0,AE120&gt;=LCOE!E$16,COUNTIF(D95:D120,0)=LCOE!E$36),LCOE!E$35*LCOE!E$38,0)</f>
        <v>0</v>
      </c>
      <c r="D120" s="16">
        <f>IF(AE119&lt;LCOE!E$16,1,0)</f>
        <v>0</v>
      </c>
      <c r="E120" s="12">
        <f>LCOE!G146+IF(AND(A120&gt;=LCOE!E$26,A120&lt;=(LCOE!E$26+LCOE!E$27-1)),0,1)*IF(A120=LCOE!E$34,0,1)*D120</f>
        <v>0</v>
      </c>
      <c r="F120" s="12">
        <f>IF(F119&lt;LCOE!E$18,MIN(F119*(1+LCOE!E$19),LCOE!E$18),LCOE!E$18)+LCOE!J146</f>
        <v>0.9</v>
      </c>
      <c r="G120" s="16">
        <f>LCOE!K146+E120*F120*N120*(LCOE!E$14+LCOE!H146)*24*365*D120</f>
        <v>0</v>
      </c>
      <c r="H120" s="16">
        <f>LCOE!L146+F120*(LCOE!E$15+LCOE!I146)*E120*24*365*D120*N120</f>
        <v>0</v>
      </c>
      <c r="I120" s="16">
        <f>LCOE!M146+LCOE!E$20*IF(LCOE!E$14&gt;0,(LCOE!E$14+LCOE!H146),(LCOE!E$15+LCOE!I146))*K120*D120</f>
        <v>0</v>
      </c>
      <c r="J120" s="16">
        <f>LCOE!N146+LCOE!E$21*IF(LCOE!E$14&gt;0,G120,H120)*K120*D120</f>
        <v>0</v>
      </c>
      <c r="K120" s="15">
        <f>LCOE!O146+K119+K119*LCOE!E$22</f>
        <v>1</v>
      </c>
      <c r="L120" s="16">
        <f>LCOE!P146+LCOE!E$23*IF(LCOE!E$14&gt;0,G120,H120)*M120*D120</f>
        <v>0</v>
      </c>
      <c r="M120" s="15">
        <f>LCOE!Q146+M119+M119*LCOE!E$24</f>
        <v>1</v>
      </c>
      <c r="N120" s="15">
        <f>LCOE!R146+N119-N119*LCOE!E$25</f>
        <v>1</v>
      </c>
      <c r="O120" s="18">
        <f>LCOE!S146+LCOE!E$29</f>
        <v>313.75</v>
      </c>
      <c r="P120" s="12">
        <f>LCOE!T146+IF(A120&gt;=LCOE!E$30,100%,0%)</f>
        <v>1</v>
      </c>
      <c r="Q120" s="16">
        <f>LCOE!U146+O120/1000*IF(LCOE!E$14&gt;0,G120,H120)</f>
        <v>0</v>
      </c>
      <c r="R120" s="16">
        <f>LCOE!B146</f>
        <v>30</v>
      </c>
      <c r="S120" s="16">
        <f>LCOE!V146+Q120*P120*R120</f>
        <v>0</v>
      </c>
      <c r="T120" s="16">
        <f>LCOE!W146+LCOE!E$31</f>
        <v>0</v>
      </c>
      <c r="U120" s="16">
        <f>LCOE!X146+T120*IF(LCOE!E$14&gt;0,G120,H120)</f>
        <v>0</v>
      </c>
      <c r="V120" s="16">
        <f>LCOE!Y146+LCOE!E$32</f>
        <v>0</v>
      </c>
      <c r="W120" s="16">
        <f>LCOE!Z146+V120*IF(LCOE!E$14&gt;0,G120,H120)</f>
        <v>0</v>
      </c>
      <c r="X120" s="16">
        <f>LCOE!AA146+LCOE!E$34</f>
        <v>101</v>
      </c>
      <c r="Y120" s="16">
        <f t="shared" si="15"/>
        <v>0</v>
      </c>
      <c r="Z120" s="50">
        <f t="shared" si="18"/>
        <v>0</v>
      </c>
      <c r="AA120" s="50">
        <f t="shared" si="19"/>
        <v>0</v>
      </c>
      <c r="AB120" s="50">
        <f t="shared" si="20"/>
        <v>0</v>
      </c>
      <c r="AC120" s="50">
        <f t="shared" si="16"/>
        <v>0</v>
      </c>
      <c r="AD120" s="50">
        <f t="shared" si="25"/>
        <v>0</v>
      </c>
      <c r="AE120">
        <f t="shared" si="17"/>
        <v>30</v>
      </c>
      <c r="AF120" s="12">
        <f>LCOE!E146+LCOE!E$40</f>
        <v>0.03</v>
      </c>
      <c r="AG120">
        <f t="shared" si="26"/>
        <v>4.3839060187070862</v>
      </c>
      <c r="AH120" s="16">
        <f t="shared" si="21"/>
        <v>0</v>
      </c>
      <c r="AI120" s="16">
        <f t="shared" si="22"/>
        <v>0</v>
      </c>
      <c r="AJ120" s="16">
        <f t="shared" si="23"/>
        <v>0</v>
      </c>
      <c r="AK120" s="16">
        <f t="shared" si="24"/>
        <v>0</v>
      </c>
      <c r="AL120" s="16">
        <f t="shared" si="27"/>
        <v>0</v>
      </c>
      <c r="AM120" s="16">
        <f t="shared" si="14"/>
        <v>0</v>
      </c>
      <c r="AN120" s="16">
        <f>IF(LCOE!E$14&gt;0,G120,H120)/AG120</f>
        <v>0</v>
      </c>
    </row>
    <row r="121" spans="1:40">
      <c r="A121">
        <v>51</v>
      </c>
      <c r="C121" s="16">
        <f>LCOE!E147+IF(AND(LCOE!E$26&gt;0,A121&gt;=LCOE!E$26,A121&lt;=(LCOE!E$26+LCOE!E$27-1)),LCOE!E$42/LCOE!E$27,0)+IF(AND(D121=0,AE121&gt;=LCOE!E$16,COUNTIF(D96:D121,0)=LCOE!E$36),LCOE!E$35*LCOE!E$38,0)</f>
        <v>0</v>
      </c>
      <c r="D121" s="16">
        <f>IF(AE120&lt;LCOE!E$16,1,0)</f>
        <v>0</v>
      </c>
      <c r="E121" s="12">
        <f>LCOE!G147+IF(AND(A121&gt;=LCOE!E$26,A121&lt;=(LCOE!E$26+LCOE!E$27-1)),0,1)*IF(A121=LCOE!E$34,0,1)*D121</f>
        <v>0</v>
      </c>
      <c r="F121" s="12">
        <f>IF(F120&lt;LCOE!E$18,MIN(F120*(1+LCOE!E$19),LCOE!E$18),LCOE!E$18)+LCOE!J147</f>
        <v>0.9</v>
      </c>
      <c r="G121" s="16">
        <f>LCOE!K147+E121*F121*N121*(LCOE!E$14+LCOE!H147)*24*365*D121</f>
        <v>0</v>
      </c>
      <c r="H121" s="16">
        <f>LCOE!L147+F121*(LCOE!E$15+LCOE!I147)*E121*24*365*D121*N121</f>
        <v>0</v>
      </c>
      <c r="I121" s="16">
        <f>LCOE!M147+LCOE!E$20*IF(LCOE!E$14&gt;0,(LCOE!E$14+LCOE!H147),(LCOE!E$15+LCOE!I147))*K121*D121</f>
        <v>0</v>
      </c>
      <c r="J121" s="16">
        <f>LCOE!N147+LCOE!E$21*IF(LCOE!E$14&gt;0,G121,H121)*K121*D121</f>
        <v>0</v>
      </c>
      <c r="K121" s="15">
        <f>LCOE!O147+K120+K120*LCOE!E$22</f>
        <v>1</v>
      </c>
      <c r="L121" s="16">
        <f>LCOE!P147+LCOE!E$23*IF(LCOE!E$14&gt;0,G121,H121)*M121*D121</f>
        <v>0</v>
      </c>
      <c r="M121" s="15">
        <f>LCOE!Q147+M120+M120*LCOE!E$24</f>
        <v>1</v>
      </c>
      <c r="N121" s="15">
        <f>LCOE!R147+N120-N120*LCOE!E$25</f>
        <v>1</v>
      </c>
      <c r="O121" s="18">
        <f>LCOE!S147+LCOE!E$29</f>
        <v>313.75</v>
      </c>
      <c r="P121" s="12">
        <f>LCOE!T147+IF(A121&gt;=LCOE!E$30,100%,0%)</f>
        <v>1</v>
      </c>
      <c r="Q121" s="16">
        <f>LCOE!U147+O121/1000*IF(LCOE!E$14&gt;0,G121,H121)</f>
        <v>0</v>
      </c>
      <c r="R121" s="16">
        <f>LCOE!B147</f>
        <v>30</v>
      </c>
      <c r="S121" s="16">
        <f>LCOE!V147+Q121*P121*R121</f>
        <v>0</v>
      </c>
      <c r="T121" s="16">
        <f>LCOE!W147+LCOE!E$31</f>
        <v>0</v>
      </c>
      <c r="U121" s="16">
        <f>LCOE!X147+T121*IF(LCOE!E$14&gt;0,G121,H121)</f>
        <v>0</v>
      </c>
      <c r="V121" s="16">
        <f>LCOE!Y147+LCOE!E$32</f>
        <v>0</v>
      </c>
      <c r="W121" s="16">
        <f>LCOE!Z147+V121*IF(LCOE!E$14&gt;0,G121,H121)</f>
        <v>0</v>
      </c>
      <c r="X121" s="16">
        <f>LCOE!AA147+LCOE!E$34</f>
        <v>101</v>
      </c>
      <c r="Y121" s="16">
        <f t="shared" si="15"/>
        <v>0</v>
      </c>
      <c r="Z121" s="50">
        <f t="shared" si="18"/>
        <v>0</v>
      </c>
      <c r="AA121" s="50">
        <f t="shared" si="19"/>
        <v>0</v>
      </c>
      <c r="AB121" s="50">
        <f t="shared" si="20"/>
        <v>0</v>
      </c>
      <c r="AC121" s="50">
        <f t="shared" si="16"/>
        <v>0</v>
      </c>
      <c r="AD121" s="50">
        <f t="shared" si="25"/>
        <v>0</v>
      </c>
      <c r="AE121">
        <f t="shared" si="17"/>
        <v>30</v>
      </c>
      <c r="AF121" s="12">
        <f>LCOE!E147+LCOE!E$40</f>
        <v>0.03</v>
      </c>
      <c r="AG121">
        <f t="shared" si="26"/>
        <v>4.5154231992682989</v>
      </c>
      <c r="AH121" s="16">
        <f t="shared" si="21"/>
        <v>0</v>
      </c>
      <c r="AI121" s="16">
        <f t="shared" si="22"/>
        <v>0</v>
      </c>
      <c r="AJ121" s="16">
        <f t="shared" si="23"/>
        <v>0</v>
      </c>
      <c r="AK121" s="16">
        <f t="shared" si="24"/>
        <v>0</v>
      </c>
      <c r="AL121" s="16">
        <f t="shared" si="27"/>
        <v>0</v>
      </c>
      <c r="AM121" s="16">
        <f t="shared" si="14"/>
        <v>0</v>
      </c>
      <c r="AN121" s="16">
        <f>IF(LCOE!E$14&gt;0,G121,H121)/AG121</f>
        <v>0</v>
      </c>
    </row>
    <row r="122" spans="1:40">
      <c r="A122">
        <v>52</v>
      </c>
      <c r="C122" s="16">
        <f>LCOE!E148+IF(AND(LCOE!E$26&gt;0,A122&gt;=LCOE!E$26,A122&lt;=(LCOE!E$26+LCOE!E$27-1)),LCOE!E$42/LCOE!E$27,0)+IF(AND(D122=0,AE122&gt;=LCOE!E$16,COUNTIF(D97:D122,0)=LCOE!E$36),LCOE!E$35*LCOE!E$38,0)</f>
        <v>0</v>
      </c>
      <c r="D122" s="16">
        <f>IF(AE121&lt;LCOE!E$16,1,0)</f>
        <v>0</v>
      </c>
      <c r="E122" s="12">
        <f>LCOE!G148+IF(AND(A122&gt;=LCOE!E$26,A122&lt;=(LCOE!E$26+LCOE!E$27-1)),0,1)*IF(A122=LCOE!E$34,0,1)*D122</f>
        <v>0</v>
      </c>
      <c r="F122" s="12">
        <f>IF(F121&lt;LCOE!E$18,MIN(F121*(1+LCOE!E$19),LCOE!E$18),LCOE!E$18)+LCOE!J148</f>
        <v>0.9</v>
      </c>
      <c r="G122" s="16">
        <f>LCOE!K148+E122*F122*N122*(LCOE!E$14+LCOE!H148)*24*365*D122</f>
        <v>0</v>
      </c>
      <c r="H122" s="16">
        <f>LCOE!L148+F122*(LCOE!E$15+LCOE!I148)*E122*24*365*D122*N122</f>
        <v>0</v>
      </c>
      <c r="I122" s="16">
        <f>LCOE!M148+LCOE!E$20*IF(LCOE!E$14&gt;0,(LCOE!E$14+LCOE!H148),(LCOE!E$15+LCOE!I148))*K122*D122</f>
        <v>0</v>
      </c>
      <c r="J122" s="16">
        <f>LCOE!N148+LCOE!E$21*IF(LCOE!E$14&gt;0,G122,H122)*K122*D122</f>
        <v>0</v>
      </c>
      <c r="K122" s="15">
        <f>LCOE!O148+K121+K121*LCOE!E$22</f>
        <v>1</v>
      </c>
      <c r="L122" s="16">
        <f>LCOE!P148+LCOE!E$23*IF(LCOE!E$14&gt;0,G122,H122)*M122*D122</f>
        <v>0</v>
      </c>
      <c r="M122" s="15">
        <f>LCOE!Q148+M121+M121*LCOE!E$24</f>
        <v>1</v>
      </c>
      <c r="N122" s="15">
        <f>LCOE!R148+N121-N121*LCOE!E$25</f>
        <v>1</v>
      </c>
      <c r="O122" s="18">
        <f>LCOE!S148+LCOE!E$29</f>
        <v>313.75</v>
      </c>
      <c r="P122" s="12">
        <f>LCOE!T148+IF(A122&gt;=LCOE!E$30,100%,0%)</f>
        <v>1</v>
      </c>
      <c r="Q122" s="16">
        <f>LCOE!U148+O122/1000*IF(LCOE!E$14&gt;0,G122,H122)</f>
        <v>0</v>
      </c>
      <c r="R122" s="16">
        <f>LCOE!B148</f>
        <v>30</v>
      </c>
      <c r="S122" s="16">
        <f>LCOE!V148+Q122*P122*R122</f>
        <v>0</v>
      </c>
      <c r="T122" s="16">
        <f>LCOE!W148+LCOE!E$31</f>
        <v>0</v>
      </c>
      <c r="U122" s="16">
        <f>LCOE!X148+T122*IF(LCOE!E$14&gt;0,G122,H122)</f>
        <v>0</v>
      </c>
      <c r="V122" s="16">
        <f>LCOE!Y148+LCOE!E$32</f>
        <v>0</v>
      </c>
      <c r="W122" s="16">
        <f>LCOE!Z148+V122*IF(LCOE!E$14&gt;0,G122,H122)</f>
        <v>0</v>
      </c>
      <c r="X122" s="16">
        <f>LCOE!AA148+LCOE!E$34</f>
        <v>101</v>
      </c>
      <c r="Y122" s="16">
        <f t="shared" si="15"/>
        <v>0</v>
      </c>
      <c r="Z122" s="50">
        <f t="shared" si="18"/>
        <v>0</v>
      </c>
      <c r="AA122" s="50">
        <f t="shared" si="19"/>
        <v>0</v>
      </c>
      <c r="AB122" s="50">
        <f t="shared" si="20"/>
        <v>0</v>
      </c>
      <c r="AC122" s="50">
        <f t="shared" si="16"/>
        <v>0</v>
      </c>
      <c r="AD122" s="50">
        <f t="shared" si="25"/>
        <v>0</v>
      </c>
      <c r="AE122">
        <f t="shared" si="17"/>
        <v>30</v>
      </c>
      <c r="AF122" s="12">
        <f>LCOE!E148+LCOE!E$40</f>
        <v>0.03</v>
      </c>
      <c r="AG122">
        <f t="shared" si="26"/>
        <v>4.6508858952463479</v>
      </c>
      <c r="AH122" s="16">
        <f t="shared" si="21"/>
        <v>0</v>
      </c>
      <c r="AI122" s="16">
        <f t="shared" si="22"/>
        <v>0</v>
      </c>
      <c r="AJ122" s="16">
        <f t="shared" si="23"/>
        <v>0</v>
      </c>
      <c r="AK122" s="16">
        <f t="shared" si="24"/>
        <v>0</v>
      </c>
      <c r="AL122" s="16">
        <f t="shared" si="27"/>
        <v>0</v>
      </c>
      <c r="AM122" s="16">
        <f t="shared" si="14"/>
        <v>0</v>
      </c>
      <c r="AN122" s="16">
        <f>IF(LCOE!E$14&gt;0,G122,H122)/AG122</f>
        <v>0</v>
      </c>
    </row>
    <row r="123" spans="1:40">
      <c r="A123">
        <v>53</v>
      </c>
      <c r="C123" s="16">
        <f>LCOE!E149+IF(AND(LCOE!E$26&gt;0,A123&gt;=LCOE!E$26,A123&lt;=(LCOE!E$26+LCOE!E$27-1)),LCOE!E$42/LCOE!E$27,0)+IF(AND(D123=0,AE123&gt;=LCOE!E$16,COUNTIF(D98:D123,0)=LCOE!E$36),LCOE!E$35*LCOE!E$38,0)</f>
        <v>0</v>
      </c>
      <c r="D123" s="16">
        <f>IF(AE122&lt;LCOE!E$16,1,0)</f>
        <v>0</v>
      </c>
      <c r="E123" s="12">
        <f>LCOE!G149+IF(AND(A123&gt;=LCOE!E$26,A123&lt;=(LCOE!E$26+LCOE!E$27-1)),0,1)*IF(A123=LCOE!E$34,0,1)*D123</f>
        <v>0</v>
      </c>
      <c r="F123" s="12">
        <f>IF(F122&lt;LCOE!E$18,MIN(F122*(1+LCOE!E$19),LCOE!E$18),LCOE!E$18)+LCOE!J149</f>
        <v>0.9</v>
      </c>
      <c r="G123" s="16">
        <f>LCOE!K149+E123*F123*N123*(LCOE!E$14+LCOE!H149)*24*365*D123</f>
        <v>0</v>
      </c>
      <c r="H123" s="16">
        <f>LCOE!L149+F123*(LCOE!E$15+LCOE!I149)*E123*24*365*D123*N123</f>
        <v>0</v>
      </c>
      <c r="I123" s="16">
        <f>LCOE!M149+LCOE!E$20*IF(LCOE!E$14&gt;0,(LCOE!E$14+LCOE!H149),(LCOE!E$15+LCOE!I149))*K123*D123</f>
        <v>0</v>
      </c>
      <c r="J123" s="16">
        <f>LCOE!N149+LCOE!E$21*IF(LCOE!E$14&gt;0,G123,H123)*K123*D123</f>
        <v>0</v>
      </c>
      <c r="K123" s="15">
        <f>LCOE!O149+K122+K122*LCOE!E$22</f>
        <v>1</v>
      </c>
      <c r="L123" s="16">
        <f>LCOE!P149+LCOE!E$23*IF(LCOE!E$14&gt;0,G123,H123)*M123*D123</f>
        <v>0</v>
      </c>
      <c r="M123" s="15">
        <f>LCOE!Q149+M122+M122*LCOE!E$24</f>
        <v>1</v>
      </c>
      <c r="N123" s="15">
        <f>LCOE!R149+N122-N122*LCOE!E$25</f>
        <v>1</v>
      </c>
      <c r="O123" s="18">
        <f>LCOE!S149+LCOE!E$29</f>
        <v>313.75</v>
      </c>
      <c r="P123" s="12">
        <f>LCOE!T149+IF(A123&gt;=LCOE!E$30,100%,0%)</f>
        <v>1</v>
      </c>
      <c r="Q123" s="16">
        <f>LCOE!U149+O123/1000*IF(LCOE!E$14&gt;0,G123,H123)</f>
        <v>0</v>
      </c>
      <c r="R123" s="16">
        <f>LCOE!B149</f>
        <v>30</v>
      </c>
      <c r="S123" s="16">
        <f>LCOE!V149+Q123*P123*R123</f>
        <v>0</v>
      </c>
      <c r="T123" s="16">
        <f>LCOE!W149+LCOE!E$31</f>
        <v>0</v>
      </c>
      <c r="U123" s="16">
        <f>LCOE!X149+T123*IF(LCOE!E$14&gt;0,G123,H123)</f>
        <v>0</v>
      </c>
      <c r="V123" s="16">
        <f>LCOE!Y149+LCOE!E$32</f>
        <v>0</v>
      </c>
      <c r="W123" s="16">
        <f>LCOE!Z149+V123*IF(LCOE!E$14&gt;0,G123,H123)</f>
        <v>0</v>
      </c>
      <c r="X123" s="16">
        <f>LCOE!AA149+LCOE!E$34</f>
        <v>101</v>
      </c>
      <c r="Y123" s="16">
        <f t="shared" si="15"/>
        <v>0</v>
      </c>
      <c r="Z123" s="50">
        <f t="shared" si="18"/>
        <v>0</v>
      </c>
      <c r="AA123" s="50">
        <f t="shared" si="19"/>
        <v>0</v>
      </c>
      <c r="AB123" s="50">
        <f t="shared" si="20"/>
        <v>0</v>
      </c>
      <c r="AC123" s="50">
        <f t="shared" si="16"/>
        <v>0</v>
      </c>
      <c r="AD123" s="50">
        <f t="shared" si="25"/>
        <v>0</v>
      </c>
      <c r="AE123">
        <f t="shared" si="17"/>
        <v>30</v>
      </c>
      <c r="AF123" s="12">
        <f>LCOE!E149+LCOE!E$40</f>
        <v>0.03</v>
      </c>
      <c r="AG123">
        <f t="shared" si="26"/>
        <v>4.7904124721037373</v>
      </c>
      <c r="AH123" s="16">
        <f t="shared" si="21"/>
        <v>0</v>
      </c>
      <c r="AI123" s="16">
        <f t="shared" si="22"/>
        <v>0</v>
      </c>
      <c r="AJ123" s="16">
        <f t="shared" si="23"/>
        <v>0</v>
      </c>
      <c r="AK123" s="16">
        <f t="shared" si="24"/>
        <v>0</v>
      </c>
      <c r="AL123" s="16">
        <f t="shared" si="27"/>
        <v>0</v>
      </c>
      <c r="AM123" s="16">
        <f t="shared" si="14"/>
        <v>0</v>
      </c>
      <c r="AN123" s="16">
        <f>IF(LCOE!E$14&gt;0,G123,H123)/AG123</f>
        <v>0</v>
      </c>
    </row>
    <row r="124" spans="1:40">
      <c r="A124">
        <v>54</v>
      </c>
      <c r="C124" s="16">
        <f>LCOE!E150+IF(AND(LCOE!E$26&gt;0,A124&gt;=LCOE!E$26,A124&lt;=(LCOE!E$26+LCOE!E$27-1)),LCOE!E$42/LCOE!E$27,0)+IF(AND(D124=0,AE124&gt;=LCOE!E$16,COUNTIF(D99:D124,0)=LCOE!E$36),LCOE!E$35*LCOE!E$38,0)</f>
        <v>0</v>
      </c>
      <c r="D124" s="16">
        <f>IF(AE123&lt;LCOE!E$16,1,0)</f>
        <v>0</v>
      </c>
      <c r="E124" s="12">
        <f>LCOE!G150+IF(AND(A124&gt;=LCOE!E$26,A124&lt;=(LCOE!E$26+LCOE!E$27-1)),0,1)*IF(A124=LCOE!E$34,0,1)*D124</f>
        <v>0</v>
      </c>
      <c r="F124" s="12">
        <f>IF(F123&lt;LCOE!E$18,MIN(F123*(1+LCOE!E$19),LCOE!E$18),LCOE!E$18)+LCOE!J150</f>
        <v>0.9</v>
      </c>
      <c r="G124" s="16">
        <f>LCOE!K150+E124*F124*N124*(LCOE!E$14+LCOE!H150)*24*365*D124</f>
        <v>0</v>
      </c>
      <c r="H124" s="16">
        <f>LCOE!L150+F124*(LCOE!E$15+LCOE!I150)*E124*24*365*D124*N124</f>
        <v>0</v>
      </c>
      <c r="I124" s="16">
        <f>LCOE!M150+LCOE!E$20*IF(LCOE!E$14&gt;0,(LCOE!E$14+LCOE!H150),(LCOE!E$15+LCOE!I150))*K124*D124</f>
        <v>0</v>
      </c>
      <c r="J124" s="16">
        <f>LCOE!N150+LCOE!E$21*IF(LCOE!E$14&gt;0,G124,H124)*K124*D124</f>
        <v>0</v>
      </c>
      <c r="K124" s="15">
        <f>LCOE!O150+K123+K123*LCOE!E$22</f>
        <v>1</v>
      </c>
      <c r="L124" s="16">
        <f>LCOE!P150+LCOE!E$23*IF(LCOE!E$14&gt;0,G124,H124)*M124*D124</f>
        <v>0</v>
      </c>
      <c r="M124" s="15">
        <f>LCOE!Q150+M123+M123*LCOE!E$24</f>
        <v>1</v>
      </c>
      <c r="N124" s="15">
        <f>LCOE!R150+N123-N123*LCOE!E$25</f>
        <v>1</v>
      </c>
      <c r="O124" s="18">
        <f>LCOE!S150+LCOE!E$29</f>
        <v>313.75</v>
      </c>
      <c r="P124" s="12">
        <f>LCOE!T150+IF(A124&gt;=LCOE!E$30,100%,0%)</f>
        <v>1</v>
      </c>
      <c r="Q124" s="16">
        <f>LCOE!U150+O124/1000*IF(LCOE!E$14&gt;0,G124,H124)</f>
        <v>0</v>
      </c>
      <c r="R124" s="16">
        <f>LCOE!B150</f>
        <v>30</v>
      </c>
      <c r="S124" s="16">
        <f>LCOE!V150+Q124*P124*R124</f>
        <v>0</v>
      </c>
      <c r="T124" s="16">
        <f>LCOE!W150+LCOE!E$31</f>
        <v>0</v>
      </c>
      <c r="U124" s="16">
        <f>LCOE!X150+T124*IF(LCOE!E$14&gt;0,G124,H124)</f>
        <v>0</v>
      </c>
      <c r="V124" s="16">
        <f>LCOE!Y150+LCOE!E$32</f>
        <v>0</v>
      </c>
      <c r="W124" s="16">
        <f>LCOE!Z150+V124*IF(LCOE!E$14&gt;0,G124,H124)</f>
        <v>0</v>
      </c>
      <c r="X124" s="16">
        <f>LCOE!AA150+LCOE!E$34</f>
        <v>101</v>
      </c>
      <c r="Y124" s="16">
        <f t="shared" si="15"/>
        <v>0</v>
      </c>
      <c r="Z124" s="50">
        <f t="shared" si="18"/>
        <v>0</v>
      </c>
      <c r="AA124" s="50">
        <f t="shared" si="19"/>
        <v>0</v>
      </c>
      <c r="AB124" s="50">
        <f t="shared" si="20"/>
        <v>0</v>
      </c>
      <c r="AC124" s="50">
        <f t="shared" si="16"/>
        <v>0</v>
      </c>
      <c r="AD124" s="50">
        <f t="shared" si="25"/>
        <v>0</v>
      </c>
      <c r="AE124">
        <f t="shared" si="17"/>
        <v>30</v>
      </c>
      <c r="AF124" s="12">
        <f>LCOE!E150+LCOE!E$40</f>
        <v>0.03</v>
      </c>
      <c r="AG124">
        <f t="shared" si="26"/>
        <v>4.9341248462668501</v>
      </c>
      <c r="AH124" s="16">
        <f t="shared" si="21"/>
        <v>0</v>
      </c>
      <c r="AI124" s="16">
        <f t="shared" si="22"/>
        <v>0</v>
      </c>
      <c r="AJ124" s="16">
        <f t="shared" si="23"/>
        <v>0</v>
      </c>
      <c r="AK124" s="16">
        <f t="shared" si="24"/>
        <v>0</v>
      </c>
      <c r="AL124" s="16">
        <f t="shared" si="27"/>
        <v>0</v>
      </c>
      <c r="AM124" s="16">
        <f t="shared" si="14"/>
        <v>0</v>
      </c>
      <c r="AN124" s="16">
        <f>IF(LCOE!E$14&gt;0,G124,H124)/AG124</f>
        <v>0</v>
      </c>
    </row>
    <row r="125" spans="1:40">
      <c r="A125">
        <v>55</v>
      </c>
      <c r="C125" s="16">
        <f>LCOE!E151+IF(AND(LCOE!E$26&gt;0,A125&gt;=LCOE!E$26,A125&lt;=(LCOE!E$26+LCOE!E$27-1)),LCOE!E$42/LCOE!E$27,0)+IF(AND(D125=0,AE125&gt;=LCOE!E$16,COUNTIF(D100:D125,0)=LCOE!E$36),LCOE!E$35*LCOE!E$38,0)</f>
        <v>0</v>
      </c>
      <c r="D125" s="16">
        <f>IF(AE124&lt;LCOE!E$16,1,0)</f>
        <v>0</v>
      </c>
      <c r="E125" s="12">
        <f>LCOE!G151+IF(AND(A125&gt;=LCOE!E$26,A125&lt;=(LCOE!E$26+LCOE!E$27-1)),0,1)*IF(A125=LCOE!E$34,0,1)*D125</f>
        <v>0</v>
      </c>
      <c r="F125" s="12">
        <f>IF(F124&lt;LCOE!E$18,MIN(F124*(1+LCOE!E$19),LCOE!E$18),LCOE!E$18)+LCOE!J151</f>
        <v>0.9</v>
      </c>
      <c r="G125" s="16">
        <f>LCOE!K151+E125*F125*N125*(LCOE!E$14+LCOE!H151)*24*365*D125</f>
        <v>0</v>
      </c>
      <c r="H125" s="16">
        <f>LCOE!L151+F125*(LCOE!E$15+LCOE!I151)*E125*24*365*D125*N125</f>
        <v>0</v>
      </c>
      <c r="I125" s="16">
        <f>LCOE!M151+LCOE!E$20*IF(LCOE!E$14&gt;0,(LCOE!E$14+LCOE!H151),(LCOE!E$15+LCOE!I151))*K125*D125</f>
        <v>0</v>
      </c>
      <c r="J125" s="16">
        <f>LCOE!N151+LCOE!E$21*IF(LCOE!E$14&gt;0,G125,H125)*K125*D125</f>
        <v>0</v>
      </c>
      <c r="K125" s="15">
        <f>LCOE!O151+K124+K124*LCOE!E$22</f>
        <v>1</v>
      </c>
      <c r="L125" s="16">
        <f>LCOE!P151+LCOE!E$23*IF(LCOE!E$14&gt;0,G125,H125)*M125*D125</f>
        <v>0</v>
      </c>
      <c r="M125" s="15">
        <f>LCOE!Q151+M124+M124*LCOE!E$24</f>
        <v>1</v>
      </c>
      <c r="N125" s="15">
        <f>LCOE!R151+N124-N124*LCOE!E$25</f>
        <v>1</v>
      </c>
      <c r="O125" s="18">
        <f>LCOE!S151+LCOE!E$29</f>
        <v>313.75</v>
      </c>
      <c r="P125" s="12">
        <f>LCOE!T151+IF(A125&gt;=LCOE!E$30,100%,0%)</f>
        <v>1</v>
      </c>
      <c r="Q125" s="16">
        <f>LCOE!U151+O125/1000*IF(LCOE!E$14&gt;0,G125,H125)</f>
        <v>0</v>
      </c>
      <c r="R125" s="16">
        <f>LCOE!B151</f>
        <v>30</v>
      </c>
      <c r="S125" s="16">
        <f>LCOE!V151+Q125*P125*R125</f>
        <v>0</v>
      </c>
      <c r="T125" s="16">
        <f>LCOE!W151+LCOE!E$31</f>
        <v>0</v>
      </c>
      <c r="U125" s="16">
        <f>LCOE!X151+T125*IF(LCOE!E$14&gt;0,G125,H125)</f>
        <v>0</v>
      </c>
      <c r="V125" s="16">
        <f>LCOE!Y151+LCOE!E$32</f>
        <v>0</v>
      </c>
      <c r="W125" s="16">
        <f>LCOE!Z151+V125*IF(LCOE!E$14&gt;0,G125,H125)</f>
        <v>0</v>
      </c>
      <c r="X125" s="16">
        <f>LCOE!AA151+LCOE!E$34</f>
        <v>101</v>
      </c>
      <c r="Y125" s="16">
        <f t="shared" si="15"/>
        <v>0</v>
      </c>
      <c r="Z125" s="50">
        <f t="shared" si="18"/>
        <v>0</v>
      </c>
      <c r="AA125" s="50">
        <f t="shared" si="19"/>
        <v>0</v>
      </c>
      <c r="AB125" s="50">
        <f t="shared" si="20"/>
        <v>0</v>
      </c>
      <c r="AC125" s="50">
        <f t="shared" si="16"/>
        <v>0</v>
      </c>
      <c r="AD125" s="50">
        <f t="shared" si="25"/>
        <v>0</v>
      </c>
      <c r="AE125">
        <f t="shared" si="17"/>
        <v>30</v>
      </c>
      <c r="AF125" s="12">
        <f>LCOE!E151+LCOE!E$40</f>
        <v>0.03</v>
      </c>
      <c r="AG125">
        <f t="shared" si="26"/>
        <v>5.0821485916548559</v>
      </c>
      <c r="AH125" s="16">
        <f t="shared" si="21"/>
        <v>0</v>
      </c>
      <c r="AI125" s="16">
        <f t="shared" si="22"/>
        <v>0</v>
      </c>
      <c r="AJ125" s="16">
        <f t="shared" si="23"/>
        <v>0</v>
      </c>
      <c r="AK125" s="16">
        <f t="shared" si="24"/>
        <v>0</v>
      </c>
      <c r="AL125" s="16">
        <f t="shared" si="27"/>
        <v>0</v>
      </c>
      <c r="AM125" s="16">
        <f t="shared" si="14"/>
        <v>0</v>
      </c>
      <c r="AN125" s="16">
        <f>IF(LCOE!E$14&gt;0,G125,H125)/AG125</f>
        <v>0</v>
      </c>
    </row>
    <row r="126" spans="1:40">
      <c r="A126">
        <v>56</v>
      </c>
      <c r="C126" s="16">
        <f>LCOE!E152+IF(AND(LCOE!E$26&gt;0,A126&gt;=LCOE!E$26,A126&lt;=(LCOE!E$26+LCOE!E$27-1)),LCOE!E$42/LCOE!E$27,0)+IF(AND(D126=0,AE126&gt;=LCOE!E$16,COUNTIF(D101:D126,0)=LCOE!E$36),LCOE!E$35*LCOE!E$38,0)</f>
        <v>0</v>
      </c>
      <c r="D126" s="16">
        <f>IF(AE125&lt;LCOE!E$16,1,0)</f>
        <v>0</v>
      </c>
      <c r="E126" s="12">
        <f>LCOE!G152+IF(AND(A126&gt;=LCOE!E$26,A126&lt;=(LCOE!E$26+LCOE!E$27-1)),0,1)*IF(A126=LCOE!E$34,0,1)*D126</f>
        <v>0</v>
      </c>
      <c r="F126" s="12">
        <f>IF(F125&lt;LCOE!E$18,MIN(F125*(1+LCOE!E$19),LCOE!E$18),LCOE!E$18)+LCOE!J152</f>
        <v>0.9</v>
      </c>
      <c r="G126" s="16">
        <f>LCOE!K152+E126*F126*N126*(LCOE!E$14+LCOE!H152)*24*365*D126</f>
        <v>0</v>
      </c>
      <c r="H126" s="16">
        <f>LCOE!L152+F126*(LCOE!E$15+LCOE!I152)*E126*24*365*D126*N126</f>
        <v>0</v>
      </c>
      <c r="I126" s="16">
        <f>LCOE!M152+LCOE!E$20*IF(LCOE!E$14&gt;0,(LCOE!E$14+LCOE!H152),(LCOE!E$15+LCOE!I152))*K126*D126</f>
        <v>0</v>
      </c>
      <c r="J126" s="16">
        <f>LCOE!N152+LCOE!E$21*IF(LCOE!E$14&gt;0,G126,H126)*K126*D126</f>
        <v>0</v>
      </c>
      <c r="K126" s="15">
        <f>LCOE!O152+K125+K125*LCOE!E$22</f>
        <v>1</v>
      </c>
      <c r="L126" s="16">
        <f>LCOE!P152+LCOE!E$23*IF(LCOE!E$14&gt;0,G126,H126)*M126*D126</f>
        <v>0</v>
      </c>
      <c r="M126" s="15">
        <f>LCOE!Q152+M125+M125*LCOE!E$24</f>
        <v>1</v>
      </c>
      <c r="N126" s="15">
        <f>LCOE!R152+N125-N125*LCOE!E$25</f>
        <v>1</v>
      </c>
      <c r="O126" s="18">
        <f>LCOE!S152+LCOE!E$29</f>
        <v>313.75</v>
      </c>
      <c r="P126" s="12">
        <f>LCOE!T152+IF(A126&gt;=LCOE!E$30,100%,0%)</f>
        <v>1</v>
      </c>
      <c r="Q126" s="16">
        <f>LCOE!U152+O126/1000*IF(LCOE!E$14&gt;0,G126,H126)</f>
        <v>0</v>
      </c>
      <c r="R126" s="16">
        <f>LCOE!B152</f>
        <v>30</v>
      </c>
      <c r="S126" s="16">
        <f>LCOE!V152+Q126*P126*R126</f>
        <v>0</v>
      </c>
      <c r="T126" s="16">
        <f>LCOE!W152+LCOE!E$31</f>
        <v>0</v>
      </c>
      <c r="U126" s="16">
        <f>LCOE!X152+T126*IF(LCOE!E$14&gt;0,G126,H126)</f>
        <v>0</v>
      </c>
      <c r="V126" s="16">
        <f>LCOE!Y152+LCOE!E$32</f>
        <v>0</v>
      </c>
      <c r="W126" s="16">
        <f>LCOE!Z152+V126*IF(LCOE!E$14&gt;0,G126,H126)</f>
        <v>0</v>
      </c>
      <c r="X126" s="16">
        <f>LCOE!AA152+LCOE!E$34</f>
        <v>101</v>
      </c>
      <c r="Y126" s="16">
        <f t="shared" si="15"/>
        <v>0</v>
      </c>
      <c r="Z126" s="50">
        <f t="shared" si="18"/>
        <v>0</v>
      </c>
      <c r="AA126" s="50">
        <f t="shared" si="19"/>
        <v>0</v>
      </c>
      <c r="AB126" s="50">
        <f t="shared" si="20"/>
        <v>0</v>
      </c>
      <c r="AC126" s="50">
        <f t="shared" si="16"/>
        <v>0</v>
      </c>
      <c r="AD126" s="50">
        <f t="shared" si="25"/>
        <v>0</v>
      </c>
      <c r="AE126">
        <f t="shared" si="17"/>
        <v>30</v>
      </c>
      <c r="AF126" s="12">
        <f>LCOE!E152+LCOE!E$40</f>
        <v>0.03</v>
      </c>
      <c r="AG126">
        <f t="shared" si="26"/>
        <v>5.2346130494045005</v>
      </c>
      <c r="AH126" s="16">
        <f t="shared" si="21"/>
        <v>0</v>
      </c>
      <c r="AI126" s="16">
        <f t="shared" si="22"/>
        <v>0</v>
      </c>
      <c r="AJ126" s="16">
        <f t="shared" si="23"/>
        <v>0</v>
      </c>
      <c r="AK126" s="16">
        <f t="shared" si="24"/>
        <v>0</v>
      </c>
      <c r="AL126" s="16">
        <f t="shared" si="27"/>
        <v>0</v>
      </c>
      <c r="AM126" s="16">
        <f t="shared" si="14"/>
        <v>0</v>
      </c>
      <c r="AN126" s="16">
        <f>IF(LCOE!E$14&gt;0,G126,H126)/AG126</f>
        <v>0</v>
      </c>
    </row>
    <row r="127" spans="1:40">
      <c r="A127">
        <v>57</v>
      </c>
      <c r="C127" s="16">
        <f>LCOE!E153+IF(AND(LCOE!E$26&gt;0,A127&gt;=LCOE!E$26,A127&lt;=(LCOE!E$26+LCOE!E$27-1)),LCOE!E$42/LCOE!E$27,0)+IF(AND(D127=0,AE127&gt;=LCOE!E$16,COUNTIF(D102:D127,0)=LCOE!E$36),LCOE!E$35*LCOE!E$38,0)</f>
        <v>0</v>
      </c>
      <c r="D127" s="16">
        <f>IF(AE126&lt;LCOE!E$16,1,0)</f>
        <v>0</v>
      </c>
      <c r="E127" s="12">
        <f>LCOE!G153+IF(AND(A127&gt;=LCOE!E$26,A127&lt;=(LCOE!E$26+LCOE!E$27-1)),0,1)*IF(A127=LCOE!E$34,0,1)*D127</f>
        <v>0</v>
      </c>
      <c r="F127" s="12">
        <f>IF(F126&lt;LCOE!E$18,MIN(F126*(1+LCOE!E$19),LCOE!E$18),LCOE!E$18)+LCOE!J153</f>
        <v>0.9</v>
      </c>
      <c r="G127" s="16">
        <f>LCOE!K153+E127*F127*N127*(LCOE!E$14+LCOE!H153)*24*365*D127</f>
        <v>0</v>
      </c>
      <c r="H127" s="16">
        <f>LCOE!L153+F127*(LCOE!E$15+LCOE!I153)*E127*24*365*D127*N127</f>
        <v>0</v>
      </c>
      <c r="I127" s="16">
        <f>LCOE!M153+LCOE!E$20*IF(LCOE!E$14&gt;0,(LCOE!E$14+LCOE!H153),(LCOE!E$15+LCOE!I153))*K127*D127</f>
        <v>0</v>
      </c>
      <c r="J127" s="16">
        <f>LCOE!N153+LCOE!E$21*IF(LCOE!E$14&gt;0,G127,H127)*K127*D127</f>
        <v>0</v>
      </c>
      <c r="K127" s="15">
        <f>LCOE!O153+K126+K126*LCOE!E$22</f>
        <v>1</v>
      </c>
      <c r="L127" s="16">
        <f>LCOE!P153+LCOE!E$23*IF(LCOE!E$14&gt;0,G127,H127)*M127*D127</f>
        <v>0</v>
      </c>
      <c r="M127" s="15">
        <f>LCOE!Q153+M126+M126*LCOE!E$24</f>
        <v>1</v>
      </c>
      <c r="N127" s="15">
        <f>LCOE!R153+N126-N126*LCOE!E$25</f>
        <v>1</v>
      </c>
      <c r="O127" s="18">
        <f>LCOE!S153+LCOE!E$29</f>
        <v>313.75</v>
      </c>
      <c r="P127" s="12">
        <f>LCOE!T153+IF(A127&gt;=LCOE!E$30,100%,0%)</f>
        <v>1</v>
      </c>
      <c r="Q127" s="16">
        <f>LCOE!U153+O127/1000*IF(LCOE!E$14&gt;0,G127,H127)</f>
        <v>0</v>
      </c>
      <c r="R127" s="16">
        <f>LCOE!B153</f>
        <v>30</v>
      </c>
      <c r="S127" s="16">
        <f>LCOE!V153+Q127*P127*R127</f>
        <v>0</v>
      </c>
      <c r="T127" s="16">
        <f>LCOE!W153+LCOE!E$31</f>
        <v>0</v>
      </c>
      <c r="U127" s="16">
        <f>LCOE!X153+T127*IF(LCOE!E$14&gt;0,G127,H127)</f>
        <v>0</v>
      </c>
      <c r="V127" s="16">
        <f>LCOE!Y153+LCOE!E$32</f>
        <v>0</v>
      </c>
      <c r="W127" s="16">
        <f>LCOE!Z153+V127*IF(LCOE!E$14&gt;0,G127,H127)</f>
        <v>0</v>
      </c>
      <c r="X127" s="16">
        <f>LCOE!AA153+LCOE!E$34</f>
        <v>101</v>
      </c>
      <c r="Y127" s="16">
        <f t="shared" si="15"/>
        <v>0</v>
      </c>
      <c r="Z127" s="50">
        <f t="shared" si="18"/>
        <v>0</v>
      </c>
      <c r="AA127" s="50">
        <f t="shared" si="19"/>
        <v>0</v>
      </c>
      <c r="AB127" s="50">
        <f t="shared" si="20"/>
        <v>0</v>
      </c>
      <c r="AC127" s="50">
        <f t="shared" si="16"/>
        <v>0</v>
      </c>
      <c r="AD127" s="50">
        <f t="shared" si="25"/>
        <v>0</v>
      </c>
      <c r="AE127">
        <f t="shared" si="17"/>
        <v>30</v>
      </c>
      <c r="AF127" s="12">
        <f>LCOE!E153+LCOE!E$40</f>
        <v>0.03</v>
      </c>
      <c r="AG127">
        <f t="shared" si="26"/>
        <v>5.3916514408866361</v>
      </c>
      <c r="AH127" s="16">
        <f t="shared" si="21"/>
        <v>0</v>
      </c>
      <c r="AI127" s="16">
        <f t="shared" si="22"/>
        <v>0</v>
      </c>
      <c r="AJ127" s="16">
        <f t="shared" si="23"/>
        <v>0</v>
      </c>
      <c r="AK127" s="16">
        <f t="shared" si="24"/>
        <v>0</v>
      </c>
      <c r="AL127" s="16">
        <f t="shared" si="27"/>
        <v>0</v>
      </c>
      <c r="AM127" s="16">
        <f t="shared" si="14"/>
        <v>0</v>
      </c>
      <c r="AN127" s="16">
        <f>IF(LCOE!E$14&gt;0,G127,H127)/AG127</f>
        <v>0</v>
      </c>
    </row>
    <row r="128" spans="1:40">
      <c r="A128">
        <v>58</v>
      </c>
      <c r="C128" s="16">
        <f>LCOE!E154+IF(AND(LCOE!E$26&gt;0,A128&gt;=LCOE!E$26,A128&lt;=(LCOE!E$26+LCOE!E$27-1)),LCOE!E$42/LCOE!E$27,0)+IF(AND(D128=0,AE128&gt;=LCOE!E$16,COUNTIF(D103:D128,0)=LCOE!E$36),LCOE!E$35*LCOE!E$38,0)</f>
        <v>0</v>
      </c>
      <c r="D128" s="16">
        <f>IF(AE127&lt;LCOE!E$16,1,0)</f>
        <v>0</v>
      </c>
      <c r="E128" s="12">
        <f>LCOE!G154+IF(AND(A128&gt;=LCOE!E$26,A128&lt;=(LCOE!E$26+LCOE!E$27-1)),0,1)*IF(A128=LCOE!E$34,0,1)*D128</f>
        <v>0</v>
      </c>
      <c r="F128" s="12">
        <f>IF(F127&lt;LCOE!E$18,MIN(F127*(1+LCOE!E$19),LCOE!E$18),LCOE!E$18)+LCOE!J154</f>
        <v>0.9</v>
      </c>
      <c r="G128" s="16">
        <f>LCOE!K154+E128*F128*N128*(LCOE!E$14+LCOE!H154)*24*365*D128</f>
        <v>0</v>
      </c>
      <c r="H128" s="16">
        <f>LCOE!L154+F128*(LCOE!E$15+LCOE!I154)*E128*24*365*D128*N128</f>
        <v>0</v>
      </c>
      <c r="I128" s="16">
        <f>LCOE!M154+LCOE!E$20*IF(LCOE!E$14&gt;0,(LCOE!E$14+LCOE!H154),(LCOE!E$15+LCOE!I154))*K128*D128</f>
        <v>0</v>
      </c>
      <c r="J128" s="16">
        <f>LCOE!N154+LCOE!E$21*IF(LCOE!E$14&gt;0,G128,H128)*K128*D128</f>
        <v>0</v>
      </c>
      <c r="K128" s="15">
        <f>LCOE!O154+K127+K127*LCOE!E$22</f>
        <v>1</v>
      </c>
      <c r="L128" s="16">
        <f>LCOE!P154+LCOE!E$23*IF(LCOE!E$14&gt;0,G128,H128)*M128*D128</f>
        <v>0</v>
      </c>
      <c r="M128" s="15">
        <f>LCOE!Q154+M127+M127*LCOE!E$24</f>
        <v>1</v>
      </c>
      <c r="N128" s="15">
        <f>LCOE!R154+N127-N127*LCOE!E$25</f>
        <v>1</v>
      </c>
      <c r="O128" s="18">
        <f>LCOE!S154+LCOE!E$29</f>
        <v>313.75</v>
      </c>
      <c r="P128" s="12">
        <f>LCOE!T154+IF(A128&gt;=LCOE!E$30,100%,0%)</f>
        <v>1</v>
      </c>
      <c r="Q128" s="16">
        <f>LCOE!U154+O128/1000*IF(LCOE!E$14&gt;0,G128,H128)</f>
        <v>0</v>
      </c>
      <c r="R128" s="16">
        <f>LCOE!B154</f>
        <v>30</v>
      </c>
      <c r="S128" s="16">
        <f>LCOE!V154+Q128*P128*R128</f>
        <v>0</v>
      </c>
      <c r="T128" s="16">
        <f>LCOE!W154+LCOE!E$31</f>
        <v>0</v>
      </c>
      <c r="U128" s="16">
        <f>LCOE!X154+T128*IF(LCOE!E$14&gt;0,G128,H128)</f>
        <v>0</v>
      </c>
      <c r="V128" s="16">
        <f>LCOE!Y154+LCOE!E$32</f>
        <v>0</v>
      </c>
      <c r="W128" s="16">
        <f>LCOE!Z154+V128*IF(LCOE!E$14&gt;0,G128,H128)</f>
        <v>0</v>
      </c>
      <c r="X128" s="16">
        <f>LCOE!AA154+LCOE!E$34</f>
        <v>101</v>
      </c>
      <c r="Y128" s="16">
        <f t="shared" si="15"/>
        <v>0</v>
      </c>
      <c r="Z128" s="50">
        <f t="shared" si="18"/>
        <v>0</v>
      </c>
      <c r="AA128" s="50">
        <f t="shared" si="19"/>
        <v>0</v>
      </c>
      <c r="AB128" s="50">
        <f t="shared" si="20"/>
        <v>0</v>
      </c>
      <c r="AC128" s="50">
        <f t="shared" si="16"/>
        <v>0</v>
      </c>
      <c r="AD128" s="50">
        <f t="shared" si="25"/>
        <v>0</v>
      </c>
      <c r="AE128">
        <f t="shared" si="17"/>
        <v>30</v>
      </c>
      <c r="AF128" s="12">
        <f>LCOE!E154+LCOE!E$40</f>
        <v>0.03</v>
      </c>
      <c r="AG128">
        <f t="shared" si="26"/>
        <v>5.5534009841132352</v>
      </c>
      <c r="AH128" s="16">
        <f t="shared" si="21"/>
        <v>0</v>
      </c>
      <c r="AI128" s="16">
        <f t="shared" si="22"/>
        <v>0</v>
      </c>
      <c r="AJ128" s="16">
        <f t="shared" si="23"/>
        <v>0</v>
      </c>
      <c r="AK128" s="16">
        <f t="shared" si="24"/>
        <v>0</v>
      </c>
      <c r="AL128" s="16">
        <f t="shared" si="27"/>
        <v>0</v>
      </c>
      <c r="AM128" s="16">
        <f t="shared" si="14"/>
        <v>0</v>
      </c>
      <c r="AN128" s="16">
        <f>IF(LCOE!E$14&gt;0,G128,H128)/AG128</f>
        <v>0</v>
      </c>
    </row>
    <row r="129" spans="1:40">
      <c r="A129">
        <v>59</v>
      </c>
      <c r="C129" s="16">
        <f>LCOE!E155+IF(AND(LCOE!E$26&gt;0,A129&gt;=LCOE!E$26,A129&lt;=(LCOE!E$26+LCOE!E$27-1)),LCOE!E$42/LCOE!E$27,0)+IF(AND(D129=0,AE129&gt;=LCOE!E$16,COUNTIF(D104:D129,0)=LCOE!E$36),LCOE!E$35*LCOE!E$38,0)</f>
        <v>0</v>
      </c>
      <c r="D129" s="16">
        <f>IF(AE128&lt;LCOE!E$16,1,0)</f>
        <v>0</v>
      </c>
      <c r="E129" s="12">
        <f>LCOE!G155+IF(AND(A129&gt;=LCOE!E$26,A129&lt;=(LCOE!E$26+LCOE!E$27-1)),0,1)*IF(A129=LCOE!E$34,0,1)*D129</f>
        <v>0</v>
      </c>
      <c r="F129" s="12">
        <f>IF(F128&lt;LCOE!E$18,MIN(F128*(1+LCOE!E$19),LCOE!E$18),LCOE!E$18)+LCOE!J155</f>
        <v>0.9</v>
      </c>
      <c r="G129" s="16">
        <f>LCOE!K155+E129*F129*N129*(LCOE!E$14+LCOE!H155)*24*365*D129</f>
        <v>0</v>
      </c>
      <c r="H129" s="16">
        <f>LCOE!L155+F129*(LCOE!E$15+LCOE!I155)*E129*24*365*D129*N129</f>
        <v>0</v>
      </c>
      <c r="I129" s="16">
        <f>LCOE!M155+LCOE!E$20*IF(LCOE!E$14&gt;0,(LCOE!E$14+LCOE!H155),(LCOE!E$15+LCOE!I155))*K129*D129</f>
        <v>0</v>
      </c>
      <c r="J129" s="16">
        <f>LCOE!N155+LCOE!E$21*IF(LCOE!E$14&gt;0,G129,H129)*K129*D129</f>
        <v>0</v>
      </c>
      <c r="K129" s="15">
        <f>LCOE!O155+K128+K128*LCOE!E$22</f>
        <v>1</v>
      </c>
      <c r="L129" s="16">
        <f>LCOE!P155+LCOE!E$23*IF(LCOE!E$14&gt;0,G129,H129)*M129*D129</f>
        <v>0</v>
      </c>
      <c r="M129" s="15">
        <f>LCOE!Q155+M128+M128*LCOE!E$24</f>
        <v>1</v>
      </c>
      <c r="N129" s="15">
        <f>LCOE!R155+N128-N128*LCOE!E$25</f>
        <v>1</v>
      </c>
      <c r="O129" s="18">
        <f>LCOE!S155+LCOE!E$29</f>
        <v>313.75</v>
      </c>
      <c r="P129" s="12">
        <f>LCOE!T155+IF(A129&gt;=LCOE!E$30,100%,0%)</f>
        <v>1</v>
      </c>
      <c r="Q129" s="16">
        <f>LCOE!U155+O129/1000*IF(LCOE!E$14&gt;0,G129,H129)</f>
        <v>0</v>
      </c>
      <c r="R129" s="16">
        <f>LCOE!B155</f>
        <v>30</v>
      </c>
      <c r="S129" s="16">
        <f>LCOE!V155+Q129*P129*R129</f>
        <v>0</v>
      </c>
      <c r="T129" s="16">
        <f>LCOE!W155+LCOE!E$31</f>
        <v>0</v>
      </c>
      <c r="U129" s="16">
        <f>LCOE!X155+T129*IF(LCOE!E$14&gt;0,G129,H129)</f>
        <v>0</v>
      </c>
      <c r="V129" s="16">
        <f>LCOE!Y155+LCOE!E$32</f>
        <v>0</v>
      </c>
      <c r="W129" s="16">
        <f>LCOE!Z155+V129*IF(LCOE!E$14&gt;0,G129,H129)</f>
        <v>0</v>
      </c>
      <c r="X129" s="16">
        <f>LCOE!AA155+LCOE!E$34</f>
        <v>101</v>
      </c>
      <c r="Y129" s="16">
        <f t="shared" si="15"/>
        <v>0</v>
      </c>
      <c r="Z129" s="50">
        <f t="shared" si="18"/>
        <v>0</v>
      </c>
      <c r="AA129" s="50">
        <f t="shared" si="19"/>
        <v>0</v>
      </c>
      <c r="AB129" s="50">
        <f t="shared" si="20"/>
        <v>0</v>
      </c>
      <c r="AC129" s="50">
        <f t="shared" si="16"/>
        <v>0</v>
      </c>
      <c r="AD129" s="50">
        <f t="shared" si="25"/>
        <v>0</v>
      </c>
      <c r="AE129">
        <f t="shared" si="17"/>
        <v>30</v>
      </c>
      <c r="AF129" s="12">
        <f>LCOE!E155+LCOE!E$40</f>
        <v>0.03</v>
      </c>
      <c r="AG129">
        <f t="shared" si="26"/>
        <v>5.7200030136366324</v>
      </c>
      <c r="AH129" s="16">
        <f t="shared" si="21"/>
        <v>0</v>
      </c>
      <c r="AI129" s="16">
        <f t="shared" si="22"/>
        <v>0</v>
      </c>
      <c r="AJ129" s="16">
        <f t="shared" si="23"/>
        <v>0</v>
      </c>
      <c r="AK129" s="16">
        <f t="shared" si="24"/>
        <v>0</v>
      </c>
      <c r="AL129" s="16">
        <f t="shared" si="27"/>
        <v>0</v>
      </c>
      <c r="AM129" s="16">
        <f t="shared" si="14"/>
        <v>0</v>
      </c>
      <c r="AN129" s="16">
        <f>IF(LCOE!E$14&gt;0,G129,H129)/AG129</f>
        <v>0</v>
      </c>
    </row>
    <row r="130" spans="1:40">
      <c r="A130">
        <v>60</v>
      </c>
      <c r="C130" s="16">
        <f>LCOE!E156+IF(AND(LCOE!E$26&gt;0,A130&gt;=LCOE!E$26,A130&lt;=(LCOE!E$26+LCOE!E$27-1)),LCOE!E$42/LCOE!E$27,0)+IF(AND(D130=0,AE130&gt;=LCOE!E$16,COUNTIF(D105:D130,0)=LCOE!E$36),LCOE!E$35*LCOE!E$38,0)</f>
        <v>0</v>
      </c>
      <c r="D130" s="16">
        <f>IF(AE129&lt;LCOE!E$16,1,0)</f>
        <v>0</v>
      </c>
      <c r="E130" s="12">
        <f>LCOE!G156+IF(AND(A130&gt;=LCOE!E$26,A130&lt;=(LCOE!E$26+LCOE!E$27-1)),0,1)*IF(A130=LCOE!E$34,0,1)*D130</f>
        <v>0</v>
      </c>
      <c r="F130" s="12">
        <f>IF(F129&lt;LCOE!E$18,MIN(F129*(1+LCOE!E$19),LCOE!E$18),LCOE!E$18)+LCOE!J156</f>
        <v>0.9</v>
      </c>
      <c r="G130" s="16">
        <f>LCOE!K156+E130*F130*N130*(LCOE!E$14+LCOE!H156)*24*365*D130</f>
        <v>0</v>
      </c>
      <c r="H130" s="16">
        <f>LCOE!L156+F130*(LCOE!E$15+LCOE!I156)*E130*24*365*D130*N130</f>
        <v>0</v>
      </c>
      <c r="I130" s="16">
        <f>LCOE!M156+LCOE!E$20*IF(LCOE!E$14&gt;0,(LCOE!E$14+LCOE!H156),(LCOE!E$15+LCOE!I156))*K130*D130</f>
        <v>0</v>
      </c>
      <c r="J130" s="16">
        <f>LCOE!N156+LCOE!E$21*IF(LCOE!E$14&gt;0,G130,H130)*K130*D130</f>
        <v>0</v>
      </c>
      <c r="K130" s="15">
        <f>LCOE!O156+K129+K129*LCOE!E$22</f>
        <v>1</v>
      </c>
      <c r="L130" s="16">
        <f>LCOE!P156+LCOE!E$23*IF(LCOE!E$14&gt;0,G130,H130)*M130*D130</f>
        <v>0</v>
      </c>
      <c r="M130" s="15">
        <f>LCOE!Q156+M129+M129*LCOE!E$24</f>
        <v>1</v>
      </c>
      <c r="N130" s="15">
        <f>LCOE!R156+N129-N129*LCOE!E$25</f>
        <v>1</v>
      </c>
      <c r="O130" s="18">
        <f>LCOE!S156+LCOE!E$29</f>
        <v>313.75</v>
      </c>
      <c r="P130" s="12">
        <f>LCOE!T156+IF(A130&gt;=LCOE!E$30,100%,0%)</f>
        <v>1</v>
      </c>
      <c r="Q130" s="16">
        <f>LCOE!U156+O130/1000*IF(LCOE!E$14&gt;0,G130,H130)</f>
        <v>0</v>
      </c>
      <c r="R130" s="16">
        <f>LCOE!B156</f>
        <v>30</v>
      </c>
      <c r="S130" s="16">
        <f>LCOE!V156+Q130*P130*R130</f>
        <v>0</v>
      </c>
      <c r="T130" s="16">
        <f>LCOE!W156+LCOE!E$31</f>
        <v>0</v>
      </c>
      <c r="U130" s="16">
        <f>LCOE!X156+T130*IF(LCOE!E$14&gt;0,G130,H130)</f>
        <v>0</v>
      </c>
      <c r="V130" s="16">
        <f>LCOE!Y156+LCOE!E$32</f>
        <v>0</v>
      </c>
      <c r="W130" s="16">
        <f>LCOE!Z156+V130*IF(LCOE!E$14&gt;0,G130,H130)</f>
        <v>0</v>
      </c>
      <c r="X130" s="16">
        <f>LCOE!AA156+LCOE!E$34</f>
        <v>101</v>
      </c>
      <c r="Y130" s="16">
        <f t="shared" si="15"/>
        <v>0</v>
      </c>
      <c r="Z130" s="50">
        <f t="shared" si="18"/>
        <v>0</v>
      </c>
      <c r="AA130" s="50">
        <f t="shared" si="19"/>
        <v>0</v>
      </c>
      <c r="AB130" s="50">
        <f t="shared" si="20"/>
        <v>0</v>
      </c>
      <c r="AC130" s="50">
        <f t="shared" si="16"/>
        <v>0</v>
      </c>
      <c r="AD130" s="50">
        <f t="shared" si="25"/>
        <v>0</v>
      </c>
      <c r="AE130">
        <f t="shared" si="17"/>
        <v>30</v>
      </c>
      <c r="AF130" s="12">
        <f>LCOE!E156+LCOE!E$40</f>
        <v>0.03</v>
      </c>
      <c r="AG130">
        <f t="shared" si="26"/>
        <v>5.8916031040457311</v>
      </c>
      <c r="AH130" s="16">
        <f t="shared" si="21"/>
        <v>0</v>
      </c>
      <c r="AI130" s="16">
        <f t="shared" si="22"/>
        <v>0</v>
      </c>
      <c r="AJ130" s="16">
        <f t="shared" si="23"/>
        <v>0</v>
      </c>
      <c r="AK130" s="16">
        <f t="shared" si="24"/>
        <v>0</v>
      </c>
      <c r="AL130" s="16">
        <f t="shared" si="27"/>
        <v>0</v>
      </c>
      <c r="AM130" s="16">
        <f t="shared" si="14"/>
        <v>0</v>
      </c>
      <c r="AN130" s="16">
        <f>IF(LCOE!E$14&gt;0,G130,H130)/AG130</f>
        <v>0</v>
      </c>
    </row>
    <row r="131" spans="1:40">
      <c r="A131">
        <v>61</v>
      </c>
      <c r="C131" s="16">
        <f>LCOE!E157+IF(AND(LCOE!E$26&gt;0,A131&gt;=LCOE!E$26,A131&lt;=(LCOE!E$26+LCOE!E$27-1)),LCOE!E$42/LCOE!E$27,0)+IF(AND(D131=0,AE131&gt;=LCOE!E$16,COUNTIF(D106:D131,0)=LCOE!E$36),LCOE!E$35*LCOE!E$38,0)</f>
        <v>0</v>
      </c>
      <c r="D131" s="16">
        <f>IF(AE130&lt;LCOE!E$16,1,0)</f>
        <v>0</v>
      </c>
      <c r="E131" s="12">
        <f>LCOE!G157+IF(AND(A131&gt;=LCOE!E$26,A131&lt;=(LCOE!E$26+LCOE!E$27-1)),0,1)*IF(A131=LCOE!E$34,0,1)*D131</f>
        <v>0</v>
      </c>
      <c r="F131" s="12">
        <f>IF(F130&lt;LCOE!E$18,MIN(F130*(1+LCOE!E$19),LCOE!E$18),LCOE!E$18)+LCOE!J157</f>
        <v>0.9</v>
      </c>
      <c r="G131" s="16">
        <f>LCOE!K157+E131*F131*N131*(LCOE!E$14+LCOE!H157)*24*365*D131</f>
        <v>0</v>
      </c>
      <c r="H131" s="16">
        <f>LCOE!L157+F131*(LCOE!E$15+LCOE!I157)*E131*24*365*D131*N131</f>
        <v>0</v>
      </c>
      <c r="I131" s="16">
        <f>LCOE!M157+LCOE!E$20*IF(LCOE!E$14&gt;0,(LCOE!E$14+LCOE!H157),(LCOE!E$15+LCOE!I157))*K131*D131</f>
        <v>0</v>
      </c>
      <c r="J131" s="16">
        <f>LCOE!N157+LCOE!E$21*IF(LCOE!E$14&gt;0,G131,H131)*K131*D131</f>
        <v>0</v>
      </c>
      <c r="K131" s="15">
        <f>LCOE!O157+K130+K130*LCOE!E$22</f>
        <v>1</v>
      </c>
      <c r="L131" s="16">
        <f>LCOE!P157+LCOE!E$23*IF(LCOE!E$14&gt;0,G131,H131)*M131*D131</f>
        <v>0</v>
      </c>
      <c r="M131" s="15">
        <f>LCOE!Q157+M130+M130*LCOE!E$24</f>
        <v>1</v>
      </c>
      <c r="N131" s="15">
        <f>LCOE!R157+N130-N130*LCOE!E$25</f>
        <v>1</v>
      </c>
      <c r="O131" s="18">
        <f>LCOE!S157+LCOE!E$29</f>
        <v>313.75</v>
      </c>
      <c r="P131" s="12">
        <f>LCOE!T157+IF(A131&gt;=LCOE!E$30,100%,0%)</f>
        <v>1</v>
      </c>
      <c r="Q131" s="16">
        <f>LCOE!U157+O131/1000*IF(LCOE!E$14&gt;0,G131,H131)</f>
        <v>0</v>
      </c>
      <c r="R131" s="16">
        <f>LCOE!B157</f>
        <v>30</v>
      </c>
      <c r="S131" s="16">
        <f>LCOE!V157+Q131*P131*R131</f>
        <v>0</v>
      </c>
      <c r="T131" s="16">
        <f>LCOE!W157+LCOE!E$31</f>
        <v>0</v>
      </c>
      <c r="U131" s="16">
        <f>LCOE!X157+T131*IF(LCOE!E$14&gt;0,G131,H131)</f>
        <v>0</v>
      </c>
      <c r="V131" s="16">
        <f>LCOE!Y157+LCOE!E$32</f>
        <v>0</v>
      </c>
      <c r="W131" s="16">
        <f>LCOE!Z157+V131*IF(LCOE!E$14&gt;0,G131,H131)</f>
        <v>0</v>
      </c>
      <c r="X131" s="16">
        <f>LCOE!AA157+LCOE!E$34</f>
        <v>101</v>
      </c>
      <c r="Y131" s="16">
        <f t="shared" si="15"/>
        <v>0</v>
      </c>
      <c r="Z131" s="50">
        <f t="shared" si="18"/>
        <v>0</v>
      </c>
      <c r="AA131" s="50">
        <f t="shared" si="19"/>
        <v>0</v>
      </c>
      <c r="AB131" s="50">
        <f t="shared" si="20"/>
        <v>0</v>
      </c>
      <c r="AC131" s="50">
        <f t="shared" si="16"/>
        <v>0</v>
      </c>
      <c r="AD131" s="50">
        <f t="shared" si="25"/>
        <v>0</v>
      </c>
      <c r="AE131">
        <f t="shared" si="17"/>
        <v>30</v>
      </c>
      <c r="AF131" s="12">
        <f>LCOE!E157+LCOE!E$40</f>
        <v>0.03</v>
      </c>
      <c r="AG131">
        <f t="shared" si="26"/>
        <v>6.068351197167102</v>
      </c>
      <c r="AH131" s="16">
        <f t="shared" si="21"/>
        <v>0</v>
      </c>
      <c r="AI131" s="16">
        <f t="shared" si="22"/>
        <v>0</v>
      </c>
      <c r="AJ131" s="16">
        <f t="shared" si="23"/>
        <v>0</v>
      </c>
      <c r="AK131" s="16">
        <f t="shared" si="24"/>
        <v>0</v>
      </c>
      <c r="AL131" s="16">
        <f t="shared" si="27"/>
        <v>0</v>
      </c>
      <c r="AM131" s="16">
        <f t="shared" si="14"/>
        <v>0</v>
      </c>
      <c r="AN131" s="16">
        <f>IF(LCOE!E$14&gt;0,G131,H131)/AG131</f>
        <v>0</v>
      </c>
    </row>
    <row r="132" spans="1:40">
      <c r="A132">
        <v>62</v>
      </c>
      <c r="C132" s="16">
        <f>LCOE!E158+IF(AND(LCOE!E$26&gt;0,A132&gt;=LCOE!E$26,A132&lt;=(LCOE!E$26+LCOE!E$27-1)),LCOE!E$42/LCOE!E$27,0)+IF(AND(D132=0,AE132&gt;=LCOE!E$16,COUNTIF(D107:D132,0)=LCOE!E$36),LCOE!E$35*LCOE!E$38,0)</f>
        <v>0</v>
      </c>
      <c r="D132" s="16">
        <f>IF(AE131&lt;LCOE!E$16,1,0)</f>
        <v>0</v>
      </c>
      <c r="E132" s="12">
        <f>LCOE!G158+IF(AND(A132&gt;=LCOE!E$26,A132&lt;=(LCOE!E$26+LCOE!E$27-1)),0,1)*IF(A132=LCOE!E$34,0,1)*D132</f>
        <v>0</v>
      </c>
      <c r="F132" s="12">
        <f>IF(F131&lt;LCOE!E$18,MIN(F131*(1+LCOE!E$19),LCOE!E$18),LCOE!E$18)+LCOE!J158</f>
        <v>0.9</v>
      </c>
      <c r="G132" s="16">
        <f>LCOE!K158+E132*F132*N132*(LCOE!E$14+LCOE!H158)*24*365*D132</f>
        <v>0</v>
      </c>
      <c r="H132" s="16">
        <f>LCOE!L158+F132*(LCOE!E$15+LCOE!I158)*E132*24*365*D132*N132</f>
        <v>0</v>
      </c>
      <c r="I132" s="16">
        <f>LCOE!M158+LCOE!E$20*IF(LCOE!E$14&gt;0,(LCOE!E$14+LCOE!H158),(LCOE!E$15+LCOE!I158))*K132*D132</f>
        <v>0</v>
      </c>
      <c r="J132" s="16">
        <f>LCOE!N158+LCOE!E$21*IF(LCOE!E$14&gt;0,G132,H132)*K132*D132</f>
        <v>0</v>
      </c>
      <c r="K132" s="15">
        <f>LCOE!O158+K131+K131*LCOE!E$22</f>
        <v>1</v>
      </c>
      <c r="L132" s="16">
        <f>LCOE!P158+LCOE!E$23*IF(LCOE!E$14&gt;0,G132,H132)*M132*D132</f>
        <v>0</v>
      </c>
      <c r="M132" s="15">
        <f>LCOE!Q158+M131+M131*LCOE!E$24</f>
        <v>1</v>
      </c>
      <c r="N132" s="15">
        <f>LCOE!R158+N131-N131*LCOE!E$25</f>
        <v>1</v>
      </c>
      <c r="O132" s="18">
        <f>LCOE!S158+LCOE!E$29</f>
        <v>313.75</v>
      </c>
      <c r="P132" s="12">
        <f>LCOE!T158+IF(A132&gt;=LCOE!E$30,100%,0%)</f>
        <v>1</v>
      </c>
      <c r="Q132" s="16">
        <f>LCOE!U158+O132/1000*IF(LCOE!E$14&gt;0,G132,H132)</f>
        <v>0</v>
      </c>
      <c r="R132" s="16">
        <f>LCOE!B158</f>
        <v>30</v>
      </c>
      <c r="S132" s="16">
        <f>LCOE!V158+Q132*P132*R132</f>
        <v>0</v>
      </c>
      <c r="T132" s="16">
        <f>LCOE!W158+LCOE!E$31</f>
        <v>0</v>
      </c>
      <c r="U132" s="16">
        <f>LCOE!X158+T132*IF(LCOE!E$14&gt;0,G132,H132)</f>
        <v>0</v>
      </c>
      <c r="V132" s="16">
        <f>LCOE!Y158+LCOE!E$32</f>
        <v>0</v>
      </c>
      <c r="W132" s="16">
        <f>LCOE!Z158+V132*IF(LCOE!E$14&gt;0,G132,H132)</f>
        <v>0</v>
      </c>
      <c r="X132" s="16">
        <f>LCOE!AA158+LCOE!E$34</f>
        <v>101</v>
      </c>
      <c r="Y132" s="16">
        <f t="shared" si="15"/>
        <v>0</v>
      </c>
      <c r="Z132" s="50">
        <f t="shared" si="18"/>
        <v>0</v>
      </c>
      <c r="AA132" s="50">
        <f t="shared" si="19"/>
        <v>0</v>
      </c>
      <c r="AB132" s="50">
        <f t="shared" si="20"/>
        <v>0</v>
      </c>
      <c r="AC132" s="50">
        <f t="shared" si="16"/>
        <v>0</v>
      </c>
      <c r="AD132" s="50">
        <f t="shared" si="25"/>
        <v>0</v>
      </c>
      <c r="AE132">
        <f t="shared" si="17"/>
        <v>30</v>
      </c>
      <c r="AF132" s="12">
        <f>LCOE!E158+LCOE!E$40</f>
        <v>0.03</v>
      </c>
      <c r="AG132">
        <f t="shared" si="26"/>
        <v>6.2504017330821151</v>
      </c>
      <c r="AH132" s="16">
        <f t="shared" si="21"/>
        <v>0</v>
      </c>
      <c r="AI132" s="16">
        <f t="shared" si="22"/>
        <v>0</v>
      </c>
      <c r="AJ132" s="16">
        <f t="shared" si="23"/>
        <v>0</v>
      </c>
      <c r="AK132" s="16">
        <f t="shared" si="24"/>
        <v>0</v>
      </c>
      <c r="AL132" s="16">
        <f t="shared" si="27"/>
        <v>0</v>
      </c>
      <c r="AM132" s="16">
        <f t="shared" si="14"/>
        <v>0</v>
      </c>
      <c r="AN132" s="16">
        <f>IF(LCOE!E$14&gt;0,G132,H132)/AG132</f>
        <v>0</v>
      </c>
    </row>
    <row r="133" spans="1:40">
      <c r="A133">
        <v>63</v>
      </c>
      <c r="C133" s="16">
        <f>LCOE!E159+IF(AND(LCOE!E$26&gt;0,A133&gt;=LCOE!E$26,A133&lt;=(LCOE!E$26+LCOE!E$27-1)),LCOE!E$42/LCOE!E$27,0)+IF(AND(D133=0,AE133&gt;=LCOE!E$16,COUNTIF(D108:D133,0)=LCOE!E$36),LCOE!E$35*LCOE!E$38,0)</f>
        <v>0</v>
      </c>
      <c r="D133" s="16">
        <f>IF(AE132&lt;LCOE!E$16,1,0)</f>
        <v>0</v>
      </c>
      <c r="E133" s="12">
        <f>LCOE!G159+IF(AND(A133&gt;=LCOE!E$26,A133&lt;=(LCOE!E$26+LCOE!E$27-1)),0,1)*IF(A133=LCOE!E$34,0,1)*D133</f>
        <v>0</v>
      </c>
      <c r="F133" s="12">
        <f>IF(F132&lt;LCOE!E$18,MIN(F132*(1+LCOE!E$19),LCOE!E$18),LCOE!E$18)+LCOE!J159</f>
        <v>0.9</v>
      </c>
      <c r="G133" s="16">
        <f>LCOE!K159+E133*F133*N133*(LCOE!E$14+LCOE!H159)*24*365*D133</f>
        <v>0</v>
      </c>
      <c r="H133" s="16">
        <f>LCOE!L159+F133*(LCOE!E$15+LCOE!I159)*E133*24*365*D133*N133</f>
        <v>0</v>
      </c>
      <c r="I133" s="16">
        <f>LCOE!M159+LCOE!E$20*IF(LCOE!E$14&gt;0,(LCOE!E$14+LCOE!H159),(LCOE!E$15+LCOE!I159))*K133*D133</f>
        <v>0</v>
      </c>
      <c r="J133" s="16">
        <f>LCOE!N159+LCOE!E$21*IF(LCOE!E$14&gt;0,G133,H133)*K133*D133</f>
        <v>0</v>
      </c>
      <c r="K133" s="15">
        <f>LCOE!O159+K132+K132*LCOE!E$22</f>
        <v>1</v>
      </c>
      <c r="L133" s="16">
        <f>LCOE!P159+LCOE!E$23*IF(LCOE!E$14&gt;0,G133,H133)*M133*D133</f>
        <v>0</v>
      </c>
      <c r="M133" s="15">
        <f>LCOE!Q159+M132+M132*LCOE!E$24</f>
        <v>1</v>
      </c>
      <c r="N133" s="15">
        <f>LCOE!R159+N132-N132*LCOE!E$25</f>
        <v>1</v>
      </c>
      <c r="O133" s="18">
        <f>LCOE!S159+LCOE!E$29</f>
        <v>313.75</v>
      </c>
      <c r="P133" s="12">
        <f>LCOE!T159+IF(A133&gt;=LCOE!E$30,100%,0%)</f>
        <v>1</v>
      </c>
      <c r="Q133" s="16">
        <f>LCOE!U159+O133/1000*IF(LCOE!E$14&gt;0,G133,H133)</f>
        <v>0</v>
      </c>
      <c r="R133" s="16">
        <f>LCOE!B159</f>
        <v>30</v>
      </c>
      <c r="S133" s="16">
        <f>LCOE!V159+Q133*P133*R133</f>
        <v>0</v>
      </c>
      <c r="T133" s="16">
        <f>LCOE!W159+LCOE!E$31</f>
        <v>0</v>
      </c>
      <c r="U133" s="16">
        <f>LCOE!X159+T133*IF(LCOE!E$14&gt;0,G133,H133)</f>
        <v>0</v>
      </c>
      <c r="V133" s="16">
        <f>LCOE!Y159+LCOE!E$32</f>
        <v>0</v>
      </c>
      <c r="W133" s="16">
        <f>LCOE!Z159+V133*IF(LCOE!E$14&gt;0,G133,H133)</f>
        <v>0</v>
      </c>
      <c r="X133" s="16">
        <f>LCOE!AA159+LCOE!E$34</f>
        <v>101</v>
      </c>
      <c r="Y133" s="16">
        <f t="shared" si="15"/>
        <v>0</v>
      </c>
      <c r="Z133" s="50">
        <f t="shared" si="18"/>
        <v>0</v>
      </c>
      <c r="AA133" s="50">
        <f t="shared" si="19"/>
        <v>0</v>
      </c>
      <c r="AB133" s="50">
        <f t="shared" si="20"/>
        <v>0</v>
      </c>
      <c r="AC133" s="50">
        <f t="shared" si="16"/>
        <v>0</v>
      </c>
      <c r="AD133" s="50">
        <f t="shared" si="25"/>
        <v>0</v>
      </c>
      <c r="AE133">
        <f t="shared" si="17"/>
        <v>30</v>
      </c>
      <c r="AF133" s="12">
        <f>LCOE!E159+LCOE!E$40</f>
        <v>0.03</v>
      </c>
      <c r="AG133">
        <f t="shared" si="26"/>
        <v>6.4379137850745796</v>
      </c>
      <c r="AH133" s="16">
        <f t="shared" si="21"/>
        <v>0</v>
      </c>
      <c r="AI133" s="16">
        <f t="shared" si="22"/>
        <v>0</v>
      </c>
      <c r="AJ133" s="16">
        <f t="shared" si="23"/>
        <v>0</v>
      </c>
      <c r="AK133" s="16">
        <f t="shared" si="24"/>
        <v>0</v>
      </c>
      <c r="AL133" s="16">
        <f t="shared" si="27"/>
        <v>0</v>
      </c>
      <c r="AM133" s="16">
        <f t="shared" si="14"/>
        <v>0</v>
      </c>
      <c r="AN133" s="16">
        <f>IF(LCOE!E$14&gt;0,G133,H133)/AG133</f>
        <v>0</v>
      </c>
    </row>
    <row r="134" spans="1:40">
      <c r="A134">
        <v>64</v>
      </c>
      <c r="C134" s="16">
        <f>LCOE!E160+IF(AND(LCOE!E$26&gt;0,A134&gt;=LCOE!E$26,A134&lt;=(LCOE!E$26+LCOE!E$27-1)),LCOE!E$42/LCOE!E$27,0)+IF(AND(D134=0,AE134&gt;=LCOE!E$16,COUNTIF(D109:D134,0)=LCOE!E$36),LCOE!E$35*LCOE!E$38,0)</f>
        <v>0</v>
      </c>
      <c r="D134" s="16">
        <f>IF(AE133&lt;LCOE!E$16,1,0)</f>
        <v>0</v>
      </c>
      <c r="E134" s="12">
        <f>LCOE!G160+IF(AND(A134&gt;=LCOE!E$26,A134&lt;=(LCOE!E$26+LCOE!E$27-1)),0,1)*IF(A134=LCOE!E$34,0,1)*D134</f>
        <v>0</v>
      </c>
      <c r="F134" s="12">
        <f>IF(F133&lt;LCOE!E$18,MIN(F133*(1+LCOE!E$19),LCOE!E$18),LCOE!E$18)+LCOE!J160</f>
        <v>0.9</v>
      </c>
      <c r="G134" s="16">
        <f>LCOE!K160+E134*F134*N134*(LCOE!E$14+LCOE!H160)*24*365*D134</f>
        <v>0</v>
      </c>
      <c r="H134" s="16">
        <f>LCOE!L160+F134*(LCOE!E$15+LCOE!I160)*E134*24*365*D134*N134</f>
        <v>0</v>
      </c>
      <c r="I134" s="16">
        <f>LCOE!M160+LCOE!E$20*IF(LCOE!E$14&gt;0,(LCOE!E$14+LCOE!H160),(LCOE!E$15+LCOE!I160))*K134*D134</f>
        <v>0</v>
      </c>
      <c r="J134" s="16">
        <f>LCOE!N160+LCOE!E$21*IF(LCOE!E$14&gt;0,G134,H134)*K134*D134</f>
        <v>0</v>
      </c>
      <c r="K134" s="15">
        <f>LCOE!O160+K133+K133*LCOE!E$22</f>
        <v>1</v>
      </c>
      <c r="L134" s="16">
        <f>LCOE!P160+LCOE!E$23*IF(LCOE!E$14&gt;0,G134,H134)*M134*D134</f>
        <v>0</v>
      </c>
      <c r="M134" s="15">
        <f>LCOE!Q160+M133+M133*LCOE!E$24</f>
        <v>1</v>
      </c>
      <c r="N134" s="15">
        <f>LCOE!R160+N133-N133*LCOE!E$25</f>
        <v>1</v>
      </c>
      <c r="O134" s="18">
        <f>LCOE!S160+LCOE!E$29</f>
        <v>313.75</v>
      </c>
      <c r="P134" s="12">
        <f>LCOE!T160+IF(A134&gt;=LCOE!E$30,100%,0%)</f>
        <v>1</v>
      </c>
      <c r="Q134" s="16">
        <f>LCOE!U160+O134/1000*IF(LCOE!E$14&gt;0,G134,H134)</f>
        <v>0</v>
      </c>
      <c r="R134" s="16">
        <f>LCOE!B160</f>
        <v>30</v>
      </c>
      <c r="S134" s="16">
        <f>LCOE!V160+Q134*P134*R134</f>
        <v>0</v>
      </c>
      <c r="T134" s="16">
        <f>LCOE!W160+LCOE!E$31</f>
        <v>0</v>
      </c>
      <c r="U134" s="16">
        <f>LCOE!X160+T134*IF(LCOE!E$14&gt;0,G134,H134)</f>
        <v>0</v>
      </c>
      <c r="V134" s="16">
        <f>LCOE!Y160+LCOE!E$32</f>
        <v>0</v>
      </c>
      <c r="W134" s="16">
        <f>LCOE!Z160+V134*IF(LCOE!E$14&gt;0,G134,H134)</f>
        <v>0</v>
      </c>
      <c r="X134" s="16">
        <f>LCOE!AA160+LCOE!E$34</f>
        <v>101</v>
      </c>
      <c r="Y134" s="16">
        <f t="shared" si="15"/>
        <v>0</v>
      </c>
      <c r="Z134" s="50">
        <f t="shared" si="18"/>
        <v>0</v>
      </c>
      <c r="AA134" s="50">
        <f t="shared" si="19"/>
        <v>0</v>
      </c>
      <c r="AB134" s="50">
        <f t="shared" si="20"/>
        <v>0</v>
      </c>
      <c r="AC134" s="50">
        <f t="shared" si="16"/>
        <v>0</v>
      </c>
      <c r="AD134" s="50">
        <f t="shared" si="25"/>
        <v>0</v>
      </c>
      <c r="AE134">
        <f t="shared" si="17"/>
        <v>30</v>
      </c>
      <c r="AF134" s="12">
        <f>LCOE!E160+LCOE!E$40</f>
        <v>0.03</v>
      </c>
      <c r="AG134">
        <f t="shared" si="26"/>
        <v>6.6310511986268157</v>
      </c>
      <c r="AH134" s="16">
        <f t="shared" si="21"/>
        <v>0</v>
      </c>
      <c r="AI134" s="16">
        <f t="shared" si="22"/>
        <v>0</v>
      </c>
      <c r="AJ134" s="16">
        <f t="shared" si="23"/>
        <v>0</v>
      </c>
      <c r="AK134" s="16">
        <f t="shared" si="24"/>
        <v>0</v>
      </c>
      <c r="AL134" s="16">
        <f t="shared" si="27"/>
        <v>0</v>
      </c>
      <c r="AM134" s="16">
        <f t="shared" ref="AM134:AM170" si="28">(-1)*Y134/AG134</f>
        <v>0</v>
      </c>
      <c r="AN134" s="16">
        <f>IF(LCOE!E$14&gt;0,G134,H134)/AG134</f>
        <v>0</v>
      </c>
    </row>
    <row r="135" spans="1:40">
      <c r="A135">
        <v>65</v>
      </c>
      <c r="C135" s="16">
        <f>LCOE!E161+IF(AND(LCOE!E$26&gt;0,A135&gt;=LCOE!E$26,A135&lt;=(LCOE!E$26+LCOE!E$27-1)),LCOE!E$42/LCOE!E$27,0)+IF(AND(D135=0,AE135&gt;=LCOE!E$16,COUNTIF(D110:D135,0)=LCOE!E$36),LCOE!E$35*LCOE!E$38,0)</f>
        <v>0</v>
      </c>
      <c r="D135" s="16">
        <f>IF(AE134&lt;LCOE!E$16,1,0)</f>
        <v>0</v>
      </c>
      <c r="E135" s="12">
        <f>LCOE!G161+IF(AND(A135&gt;=LCOE!E$26,A135&lt;=(LCOE!E$26+LCOE!E$27-1)),0,1)*IF(A135=LCOE!E$34,0,1)*D135</f>
        <v>0</v>
      </c>
      <c r="F135" s="12">
        <f>IF(F134&lt;LCOE!E$18,MIN(F134*(1+LCOE!E$19),LCOE!E$18),LCOE!E$18)+LCOE!J161</f>
        <v>0.9</v>
      </c>
      <c r="G135" s="16">
        <f>LCOE!K161+E135*F135*N135*(LCOE!E$14+LCOE!H161)*24*365*D135</f>
        <v>0</v>
      </c>
      <c r="H135" s="16">
        <f>LCOE!L161+F135*(LCOE!E$15+LCOE!I161)*E135*24*365*D135*N135</f>
        <v>0</v>
      </c>
      <c r="I135" s="16">
        <f>LCOE!M161+LCOE!E$20*IF(LCOE!E$14&gt;0,(LCOE!E$14+LCOE!H161),(LCOE!E$15+LCOE!I161))*K135*D135</f>
        <v>0</v>
      </c>
      <c r="J135" s="16">
        <f>LCOE!N161+LCOE!E$21*IF(LCOE!E$14&gt;0,G135,H135)*K135*D135</f>
        <v>0</v>
      </c>
      <c r="K135" s="15">
        <f>LCOE!O161+K134+K134*LCOE!E$22</f>
        <v>1</v>
      </c>
      <c r="L135" s="16">
        <f>LCOE!P161+LCOE!E$23*IF(LCOE!E$14&gt;0,G135,H135)*M135*D135</f>
        <v>0</v>
      </c>
      <c r="M135" s="15">
        <f>LCOE!Q161+M134+M134*LCOE!E$24</f>
        <v>1</v>
      </c>
      <c r="N135" s="15">
        <f>LCOE!R161+N134-N134*LCOE!E$25</f>
        <v>1</v>
      </c>
      <c r="O135" s="18">
        <f>LCOE!S161+LCOE!E$29</f>
        <v>313.75</v>
      </c>
      <c r="P135" s="12">
        <f>LCOE!T161+IF(A135&gt;=LCOE!E$30,100%,0%)</f>
        <v>1</v>
      </c>
      <c r="Q135" s="16">
        <f>LCOE!U161+O135/1000*IF(LCOE!E$14&gt;0,G135,H135)</f>
        <v>0</v>
      </c>
      <c r="R135" s="16">
        <f>LCOE!B161</f>
        <v>30</v>
      </c>
      <c r="S135" s="16">
        <f>LCOE!V161+Q135*P135*R135</f>
        <v>0</v>
      </c>
      <c r="T135" s="16">
        <f>LCOE!W161+LCOE!E$31</f>
        <v>0</v>
      </c>
      <c r="U135" s="16">
        <f>LCOE!X161+T135*IF(LCOE!E$14&gt;0,G135,H135)</f>
        <v>0</v>
      </c>
      <c r="V135" s="16">
        <f>LCOE!Y161+LCOE!E$32</f>
        <v>0</v>
      </c>
      <c r="W135" s="16">
        <f>LCOE!Z161+V135*IF(LCOE!E$14&gt;0,G135,H135)</f>
        <v>0</v>
      </c>
      <c r="X135" s="16">
        <f>LCOE!AA161+LCOE!E$34</f>
        <v>101</v>
      </c>
      <c r="Y135" s="16">
        <f t="shared" ref="Y135:Y170" si="29">X135*H135</f>
        <v>0</v>
      </c>
      <c r="Z135" s="50">
        <f t="shared" si="18"/>
        <v>0</v>
      </c>
      <c r="AA135" s="50">
        <f t="shared" si="19"/>
        <v>0</v>
      </c>
      <c r="AB135" s="50">
        <f t="shared" si="20"/>
        <v>0</v>
      </c>
      <c r="AC135" s="50">
        <f t="shared" ref="AC135:AC170" si="30">U135+W135</f>
        <v>0</v>
      </c>
      <c r="AD135" s="50">
        <f t="shared" si="25"/>
        <v>0</v>
      </c>
      <c r="AE135">
        <f t="shared" ref="AE135:AE170" si="31">AE134+1*E135</f>
        <v>30</v>
      </c>
      <c r="AF135" s="12">
        <f>LCOE!E161+LCOE!E$40</f>
        <v>0.03</v>
      </c>
      <c r="AG135">
        <f t="shared" si="26"/>
        <v>6.8299827345856201</v>
      </c>
      <c r="AH135" s="16">
        <f t="shared" si="21"/>
        <v>0</v>
      </c>
      <c r="AI135" s="16">
        <f t="shared" si="22"/>
        <v>0</v>
      </c>
      <c r="AJ135" s="16">
        <f t="shared" si="23"/>
        <v>0</v>
      </c>
      <c r="AK135" s="16">
        <f t="shared" si="24"/>
        <v>0</v>
      </c>
      <c r="AL135" s="16">
        <f t="shared" si="27"/>
        <v>0</v>
      </c>
      <c r="AM135" s="16">
        <f t="shared" si="28"/>
        <v>0</v>
      </c>
      <c r="AN135" s="16">
        <f>IF(LCOE!E$14&gt;0,G135,H135)/AG135</f>
        <v>0</v>
      </c>
    </row>
    <row r="136" spans="1:40">
      <c r="A136">
        <v>66</v>
      </c>
      <c r="C136" s="16">
        <f>LCOE!E162+IF(AND(LCOE!E$26&gt;0,A136&gt;=LCOE!E$26,A136&lt;=(LCOE!E$26+LCOE!E$27-1)),LCOE!E$42/LCOE!E$27,0)+IF(AND(D136=0,AE136&gt;=LCOE!E$16,COUNTIF(D111:D136,0)=LCOE!E$36),LCOE!E$35*LCOE!E$38,0)</f>
        <v>0</v>
      </c>
      <c r="D136" s="16">
        <f>IF(AE135&lt;LCOE!E$16,1,0)</f>
        <v>0</v>
      </c>
      <c r="E136" s="12">
        <f>LCOE!G162+IF(AND(A136&gt;=LCOE!E$26,A136&lt;=(LCOE!E$26+LCOE!E$27-1)),0,1)*IF(A136=LCOE!E$34,0,1)*D136</f>
        <v>0</v>
      </c>
      <c r="F136" s="12">
        <f>IF(F135&lt;LCOE!E$18,MIN(F135*(1+LCOE!E$19),LCOE!E$18),LCOE!E$18)+LCOE!J162</f>
        <v>0.9</v>
      </c>
      <c r="G136" s="16">
        <f>LCOE!K162+E136*F136*N136*(LCOE!E$14+LCOE!H162)*24*365*D136</f>
        <v>0</v>
      </c>
      <c r="H136" s="16">
        <f>LCOE!L162+F136*(LCOE!E$15+LCOE!I162)*E136*24*365*D136*N136</f>
        <v>0</v>
      </c>
      <c r="I136" s="16">
        <f>LCOE!M162+LCOE!E$20*IF(LCOE!E$14&gt;0,(LCOE!E$14+LCOE!H162),(LCOE!E$15+LCOE!I162))*K136*D136</f>
        <v>0</v>
      </c>
      <c r="J136" s="16">
        <f>LCOE!N162+LCOE!E$21*IF(LCOE!E$14&gt;0,G136,H136)*K136*D136</f>
        <v>0</v>
      </c>
      <c r="K136" s="15">
        <f>LCOE!O162+K135+K135*LCOE!E$22</f>
        <v>1</v>
      </c>
      <c r="L136" s="16">
        <f>LCOE!P162+LCOE!E$23*IF(LCOE!E$14&gt;0,G136,H136)*M136*D136</f>
        <v>0</v>
      </c>
      <c r="M136" s="15">
        <f>LCOE!Q162+M135+M135*LCOE!E$24</f>
        <v>1</v>
      </c>
      <c r="N136" s="15">
        <f>LCOE!R162+N135-N135*LCOE!E$25</f>
        <v>1</v>
      </c>
      <c r="O136" s="18">
        <f>LCOE!S162+LCOE!E$29</f>
        <v>313.75</v>
      </c>
      <c r="P136" s="12">
        <f>LCOE!T162+IF(A136&gt;=LCOE!E$30,100%,0%)</f>
        <v>1</v>
      </c>
      <c r="Q136" s="16">
        <f>LCOE!U162+O136/1000*IF(LCOE!E$14&gt;0,G136,H136)</f>
        <v>0</v>
      </c>
      <c r="R136" s="16">
        <f>LCOE!B162</f>
        <v>30</v>
      </c>
      <c r="S136" s="16">
        <f>LCOE!V162+Q136*P136*R136</f>
        <v>0</v>
      </c>
      <c r="T136" s="16">
        <f>LCOE!W162+LCOE!E$31</f>
        <v>0</v>
      </c>
      <c r="U136" s="16">
        <f>LCOE!X162+T136*IF(LCOE!E$14&gt;0,G136,H136)</f>
        <v>0</v>
      </c>
      <c r="V136" s="16">
        <f>LCOE!Y162+LCOE!E$32</f>
        <v>0</v>
      </c>
      <c r="W136" s="16">
        <f>LCOE!Z162+V136*IF(LCOE!E$14&gt;0,G136,H136)</f>
        <v>0</v>
      </c>
      <c r="X136" s="16">
        <f>LCOE!AA162+LCOE!E$34</f>
        <v>101</v>
      </c>
      <c r="Y136" s="16">
        <f t="shared" si="29"/>
        <v>0</v>
      </c>
      <c r="Z136" s="50">
        <f t="shared" ref="Z136:Z170" si="32">SUM(B136:C136)</f>
        <v>0</v>
      </c>
      <c r="AA136" s="50">
        <f t="shared" ref="AA136:AA170" si="33">SUM(I136:J136)</f>
        <v>0</v>
      </c>
      <c r="AB136" s="50">
        <f t="shared" ref="AB136:AB170" si="34">L136</f>
        <v>0</v>
      </c>
      <c r="AC136" s="50">
        <f t="shared" si="30"/>
        <v>0</v>
      </c>
      <c r="AD136" s="50">
        <f t="shared" si="25"/>
        <v>0</v>
      </c>
      <c r="AE136">
        <f t="shared" si="31"/>
        <v>30</v>
      </c>
      <c r="AF136" s="12">
        <f>LCOE!E162+LCOE!E$40</f>
        <v>0.03</v>
      </c>
      <c r="AG136">
        <f t="shared" si="26"/>
        <v>7.0348822166231884</v>
      </c>
      <c r="AH136" s="16">
        <f t="shared" si="21"/>
        <v>0</v>
      </c>
      <c r="AI136" s="16">
        <f t="shared" si="22"/>
        <v>0</v>
      </c>
      <c r="AJ136" s="16">
        <f t="shared" si="23"/>
        <v>0</v>
      </c>
      <c r="AK136" s="16">
        <f t="shared" si="24"/>
        <v>0</v>
      </c>
      <c r="AL136" s="16">
        <f t="shared" si="27"/>
        <v>0</v>
      </c>
      <c r="AM136" s="16">
        <f t="shared" si="28"/>
        <v>0</v>
      </c>
      <c r="AN136" s="16">
        <f>IF(LCOE!E$14&gt;0,G136,H136)/AG136</f>
        <v>0</v>
      </c>
    </row>
    <row r="137" spans="1:40">
      <c r="A137">
        <v>67</v>
      </c>
      <c r="C137" s="16">
        <f>LCOE!E163+IF(AND(LCOE!E$26&gt;0,A137&gt;=LCOE!E$26,A137&lt;=(LCOE!E$26+LCOE!E$27-1)),LCOE!E$42/LCOE!E$27,0)+IF(AND(D137=0,AE137&gt;=LCOE!E$16,COUNTIF(D112:D137,0)=LCOE!E$36),LCOE!E$35*LCOE!E$38,0)</f>
        <v>0</v>
      </c>
      <c r="D137" s="16">
        <f>IF(AE136&lt;LCOE!E$16,1,0)</f>
        <v>0</v>
      </c>
      <c r="E137" s="12">
        <f>LCOE!G163+IF(AND(A137&gt;=LCOE!E$26,A137&lt;=(LCOE!E$26+LCOE!E$27-1)),0,1)*IF(A137=LCOE!E$34,0,1)*D137</f>
        <v>0</v>
      </c>
      <c r="F137" s="12">
        <f>IF(F136&lt;LCOE!E$18,MIN(F136*(1+LCOE!E$19),LCOE!E$18),LCOE!E$18)+LCOE!J163</f>
        <v>0.9</v>
      </c>
      <c r="G137" s="16">
        <f>LCOE!K163+E137*F137*N137*(LCOE!E$14+LCOE!H163)*24*365*D137</f>
        <v>0</v>
      </c>
      <c r="H137" s="16">
        <f>LCOE!L163+F137*(LCOE!E$15+LCOE!I163)*E137*24*365*D137*N137</f>
        <v>0</v>
      </c>
      <c r="I137" s="16">
        <f>LCOE!M163+LCOE!E$20*IF(LCOE!E$14&gt;0,(LCOE!E$14+LCOE!H163),(LCOE!E$15+LCOE!I163))*K137*D137</f>
        <v>0</v>
      </c>
      <c r="J137" s="16">
        <f>LCOE!N163+LCOE!E$21*IF(LCOE!E$14&gt;0,G137,H137)*K137*D137</f>
        <v>0</v>
      </c>
      <c r="K137" s="15">
        <f>LCOE!O163+K136+K136*LCOE!E$22</f>
        <v>1</v>
      </c>
      <c r="L137" s="16">
        <f>LCOE!P163+LCOE!E$23*IF(LCOE!E$14&gt;0,G137,H137)*M137*D137</f>
        <v>0</v>
      </c>
      <c r="M137" s="15">
        <f>LCOE!Q163+M136+M136*LCOE!E$24</f>
        <v>1</v>
      </c>
      <c r="N137" s="15">
        <f>LCOE!R163+N136-N136*LCOE!E$25</f>
        <v>1</v>
      </c>
      <c r="O137" s="18">
        <f>LCOE!S163+LCOE!E$29</f>
        <v>313.75</v>
      </c>
      <c r="P137" s="12">
        <f>LCOE!T163+IF(A137&gt;=LCOE!E$30,100%,0%)</f>
        <v>1</v>
      </c>
      <c r="Q137" s="16">
        <f>LCOE!U163+O137/1000*IF(LCOE!E$14&gt;0,G137,H137)</f>
        <v>0</v>
      </c>
      <c r="R137" s="16">
        <f>LCOE!B163</f>
        <v>30</v>
      </c>
      <c r="S137" s="16">
        <f>LCOE!V163+Q137*P137*R137</f>
        <v>0</v>
      </c>
      <c r="T137" s="16">
        <f>LCOE!W163+LCOE!E$31</f>
        <v>0</v>
      </c>
      <c r="U137" s="16">
        <f>LCOE!X163+T137*IF(LCOE!E$14&gt;0,G137,H137)</f>
        <v>0</v>
      </c>
      <c r="V137" s="16">
        <f>LCOE!Y163+LCOE!E$32</f>
        <v>0</v>
      </c>
      <c r="W137" s="16">
        <f>LCOE!Z163+V137*IF(LCOE!E$14&gt;0,G137,H137)</f>
        <v>0</v>
      </c>
      <c r="X137" s="16">
        <f>LCOE!AA163+LCOE!E$34</f>
        <v>101</v>
      </c>
      <c r="Y137" s="16">
        <f t="shared" si="29"/>
        <v>0</v>
      </c>
      <c r="Z137" s="50">
        <f t="shared" si="32"/>
        <v>0</v>
      </c>
      <c r="AA137" s="50">
        <f t="shared" si="33"/>
        <v>0</v>
      </c>
      <c r="AB137" s="50">
        <f t="shared" si="34"/>
        <v>0</v>
      </c>
      <c r="AC137" s="50">
        <f t="shared" si="30"/>
        <v>0</v>
      </c>
      <c r="AD137" s="50">
        <f t="shared" si="25"/>
        <v>0</v>
      </c>
      <c r="AE137">
        <f t="shared" si="31"/>
        <v>30</v>
      </c>
      <c r="AF137" s="12">
        <f>LCOE!E163+LCOE!E$40</f>
        <v>0.03</v>
      </c>
      <c r="AG137">
        <f t="shared" si="26"/>
        <v>7.2459286831218845</v>
      </c>
      <c r="AH137" s="16">
        <f t="shared" si="21"/>
        <v>0</v>
      </c>
      <c r="AI137" s="16">
        <f t="shared" si="22"/>
        <v>0</v>
      </c>
      <c r="AJ137" s="16">
        <f t="shared" si="23"/>
        <v>0</v>
      </c>
      <c r="AK137" s="16">
        <f t="shared" si="24"/>
        <v>0</v>
      </c>
      <c r="AL137" s="16">
        <f t="shared" si="27"/>
        <v>0</v>
      </c>
      <c r="AM137" s="16">
        <f t="shared" si="28"/>
        <v>0</v>
      </c>
      <c r="AN137" s="16">
        <f>IF(LCOE!E$14&gt;0,G137,H137)/AG137</f>
        <v>0</v>
      </c>
    </row>
    <row r="138" spans="1:40">
      <c r="A138">
        <v>68</v>
      </c>
      <c r="C138" s="16">
        <f>LCOE!E164+IF(AND(LCOE!E$26&gt;0,A138&gt;=LCOE!E$26,A138&lt;=(LCOE!E$26+LCOE!E$27-1)),LCOE!E$42/LCOE!E$27,0)+IF(AND(D138=0,AE138&gt;=LCOE!E$16,COUNTIF(D113:D138,0)=LCOE!E$36),LCOE!E$35*LCOE!E$38,0)</f>
        <v>0</v>
      </c>
      <c r="D138" s="16">
        <f>IF(AE137&lt;LCOE!E$16,1,0)</f>
        <v>0</v>
      </c>
      <c r="E138" s="12">
        <f>LCOE!G164+IF(AND(A138&gt;=LCOE!E$26,A138&lt;=(LCOE!E$26+LCOE!E$27-1)),0,1)*IF(A138=LCOE!E$34,0,1)*D138</f>
        <v>0</v>
      </c>
      <c r="F138" s="12">
        <f>IF(F137&lt;LCOE!E$18,MIN(F137*(1+LCOE!E$19),LCOE!E$18),LCOE!E$18)+LCOE!J164</f>
        <v>0.9</v>
      </c>
      <c r="G138" s="16">
        <f>LCOE!K164+E138*F138*N138*(LCOE!E$14+LCOE!H164)*24*365*D138</f>
        <v>0</v>
      </c>
      <c r="H138" s="16">
        <f>LCOE!L164+F138*(LCOE!E$15+LCOE!I164)*E138*24*365*D138*N138</f>
        <v>0</v>
      </c>
      <c r="I138" s="16">
        <f>LCOE!M164+LCOE!E$20*IF(LCOE!E$14&gt;0,(LCOE!E$14+LCOE!H164),(LCOE!E$15+LCOE!I164))*K138*D138</f>
        <v>0</v>
      </c>
      <c r="J138" s="16">
        <f>LCOE!N164+LCOE!E$21*IF(LCOE!E$14&gt;0,G138,H138)*K138*D138</f>
        <v>0</v>
      </c>
      <c r="K138" s="15">
        <f>LCOE!O164+K137+K137*LCOE!E$22</f>
        <v>1</v>
      </c>
      <c r="L138" s="16">
        <f>LCOE!P164+LCOE!E$23*IF(LCOE!E$14&gt;0,G138,H138)*M138*D138</f>
        <v>0</v>
      </c>
      <c r="M138" s="15">
        <f>LCOE!Q164+M137+M137*LCOE!E$24</f>
        <v>1</v>
      </c>
      <c r="N138" s="15">
        <f>LCOE!R164+N137-N137*LCOE!E$25</f>
        <v>1</v>
      </c>
      <c r="O138" s="18">
        <f>LCOE!S164+LCOE!E$29</f>
        <v>313.75</v>
      </c>
      <c r="P138" s="12">
        <f>LCOE!T164+IF(A138&gt;=LCOE!E$30,100%,0%)</f>
        <v>1</v>
      </c>
      <c r="Q138" s="16">
        <f>LCOE!U164+O138/1000*IF(LCOE!E$14&gt;0,G138,H138)</f>
        <v>0</v>
      </c>
      <c r="R138" s="16">
        <f>LCOE!B164</f>
        <v>30</v>
      </c>
      <c r="S138" s="16">
        <f>LCOE!V164+Q138*P138*R138</f>
        <v>0</v>
      </c>
      <c r="T138" s="16">
        <f>LCOE!W164+LCOE!E$31</f>
        <v>0</v>
      </c>
      <c r="U138" s="16">
        <f>LCOE!X164+T138*IF(LCOE!E$14&gt;0,G138,H138)</f>
        <v>0</v>
      </c>
      <c r="V138" s="16">
        <f>LCOE!Y164+LCOE!E$32</f>
        <v>0</v>
      </c>
      <c r="W138" s="16">
        <f>LCOE!Z164+V138*IF(LCOE!E$14&gt;0,G138,H138)</f>
        <v>0</v>
      </c>
      <c r="X138" s="16">
        <f>LCOE!AA164+LCOE!E$34</f>
        <v>101</v>
      </c>
      <c r="Y138" s="16">
        <f t="shared" si="29"/>
        <v>0</v>
      </c>
      <c r="Z138" s="50">
        <f t="shared" si="32"/>
        <v>0</v>
      </c>
      <c r="AA138" s="50">
        <f t="shared" si="33"/>
        <v>0</v>
      </c>
      <c r="AB138" s="50">
        <f t="shared" si="34"/>
        <v>0</v>
      </c>
      <c r="AC138" s="50">
        <f t="shared" si="30"/>
        <v>0</v>
      </c>
      <c r="AD138" s="50">
        <f t="shared" si="25"/>
        <v>0</v>
      </c>
      <c r="AE138">
        <f t="shared" si="31"/>
        <v>30</v>
      </c>
      <c r="AF138" s="12">
        <f>LCOE!E164+LCOE!E$40</f>
        <v>0.03</v>
      </c>
      <c r="AG138">
        <f t="shared" si="26"/>
        <v>7.4633065436155404</v>
      </c>
      <c r="AH138" s="16">
        <f t="shared" si="21"/>
        <v>0</v>
      </c>
      <c r="AI138" s="16">
        <f t="shared" si="22"/>
        <v>0</v>
      </c>
      <c r="AJ138" s="16">
        <f t="shared" si="23"/>
        <v>0</v>
      </c>
      <c r="AK138" s="16">
        <f t="shared" si="24"/>
        <v>0</v>
      </c>
      <c r="AL138" s="16">
        <f t="shared" si="27"/>
        <v>0</v>
      </c>
      <c r="AM138" s="16">
        <f t="shared" si="28"/>
        <v>0</v>
      </c>
      <c r="AN138" s="16">
        <f>IF(LCOE!E$14&gt;0,G138,H138)/AG138</f>
        <v>0</v>
      </c>
    </row>
    <row r="139" spans="1:40">
      <c r="A139">
        <v>69</v>
      </c>
      <c r="C139" s="16">
        <f>LCOE!E165+IF(AND(LCOE!E$26&gt;0,A139&gt;=LCOE!E$26,A139&lt;=(LCOE!E$26+LCOE!E$27-1)),LCOE!E$42/LCOE!E$27,0)+IF(AND(D139=0,AE139&gt;=LCOE!E$16,COUNTIF(D114:D139,0)=LCOE!E$36),LCOE!E$35*LCOE!E$38,0)</f>
        <v>0</v>
      </c>
      <c r="D139" s="16">
        <f>IF(AE138&lt;LCOE!E$16,1,0)</f>
        <v>0</v>
      </c>
      <c r="E139" s="12">
        <f>LCOE!G165+IF(AND(A139&gt;=LCOE!E$26,A139&lt;=(LCOE!E$26+LCOE!E$27-1)),0,1)*IF(A139=LCOE!E$34,0,1)*D139</f>
        <v>0</v>
      </c>
      <c r="F139" s="12">
        <f>IF(F138&lt;LCOE!E$18,MIN(F138*(1+LCOE!E$19),LCOE!E$18),LCOE!E$18)+LCOE!J165</f>
        <v>0.9</v>
      </c>
      <c r="G139" s="16">
        <f>LCOE!K165+E139*F139*N139*(LCOE!E$14+LCOE!H165)*24*365*D139</f>
        <v>0</v>
      </c>
      <c r="H139" s="16">
        <f>LCOE!L165+F139*(LCOE!E$15+LCOE!I165)*E139*24*365*D139*N139</f>
        <v>0</v>
      </c>
      <c r="I139" s="16">
        <f>LCOE!M165+LCOE!E$20*IF(LCOE!E$14&gt;0,(LCOE!E$14+LCOE!H165),(LCOE!E$15+LCOE!I165))*K139*D139</f>
        <v>0</v>
      </c>
      <c r="J139" s="16">
        <f>LCOE!N165+LCOE!E$21*IF(LCOE!E$14&gt;0,G139,H139)*K139*D139</f>
        <v>0</v>
      </c>
      <c r="K139" s="15">
        <f>LCOE!O165+K138+K138*LCOE!E$22</f>
        <v>1</v>
      </c>
      <c r="L139" s="16">
        <f>LCOE!P165+LCOE!E$23*IF(LCOE!E$14&gt;0,G139,H139)*M139*D139</f>
        <v>0</v>
      </c>
      <c r="M139" s="15">
        <f>LCOE!Q165+M138+M138*LCOE!E$24</f>
        <v>1</v>
      </c>
      <c r="N139" s="15">
        <f>LCOE!R165+N138-N138*LCOE!E$25</f>
        <v>1</v>
      </c>
      <c r="O139" s="18">
        <f>LCOE!S165+LCOE!E$29</f>
        <v>313.75</v>
      </c>
      <c r="P139" s="12">
        <f>LCOE!T165+IF(A139&gt;=LCOE!E$30,100%,0%)</f>
        <v>1</v>
      </c>
      <c r="Q139" s="16">
        <f>LCOE!U165+O139/1000*IF(LCOE!E$14&gt;0,G139,H139)</f>
        <v>0</v>
      </c>
      <c r="R139" s="16">
        <f>LCOE!B165</f>
        <v>30</v>
      </c>
      <c r="S139" s="16">
        <f>LCOE!V165+Q139*P139*R139</f>
        <v>0</v>
      </c>
      <c r="T139" s="16">
        <f>LCOE!W165+LCOE!E$31</f>
        <v>0</v>
      </c>
      <c r="U139" s="16">
        <f>LCOE!X165+T139*IF(LCOE!E$14&gt;0,G139,H139)</f>
        <v>0</v>
      </c>
      <c r="V139" s="16">
        <f>LCOE!Y165+LCOE!E$32</f>
        <v>0</v>
      </c>
      <c r="W139" s="16">
        <f>LCOE!Z165+V139*IF(LCOE!E$14&gt;0,G139,H139)</f>
        <v>0</v>
      </c>
      <c r="X139" s="16">
        <f>LCOE!AA165+LCOE!E$34</f>
        <v>101</v>
      </c>
      <c r="Y139" s="16">
        <f t="shared" si="29"/>
        <v>0</v>
      </c>
      <c r="Z139" s="50">
        <f t="shared" si="32"/>
        <v>0</v>
      </c>
      <c r="AA139" s="50">
        <f t="shared" si="33"/>
        <v>0</v>
      </c>
      <c r="AB139" s="50">
        <f t="shared" si="34"/>
        <v>0</v>
      </c>
      <c r="AC139" s="50">
        <f t="shared" si="30"/>
        <v>0</v>
      </c>
      <c r="AD139" s="50">
        <f t="shared" si="25"/>
        <v>0</v>
      </c>
      <c r="AE139">
        <f t="shared" si="31"/>
        <v>30</v>
      </c>
      <c r="AF139" s="12">
        <f>LCOE!E165+LCOE!E$40</f>
        <v>0.03</v>
      </c>
      <c r="AG139">
        <f t="shared" si="26"/>
        <v>7.6872057399240061</v>
      </c>
      <c r="AH139" s="16">
        <f t="shared" si="21"/>
        <v>0</v>
      </c>
      <c r="AI139" s="16">
        <f t="shared" si="22"/>
        <v>0</v>
      </c>
      <c r="AJ139" s="16">
        <f t="shared" si="23"/>
        <v>0</v>
      </c>
      <c r="AK139" s="16">
        <f t="shared" si="24"/>
        <v>0</v>
      </c>
      <c r="AL139" s="16">
        <f t="shared" si="27"/>
        <v>0</v>
      </c>
      <c r="AM139" s="16">
        <f t="shared" si="28"/>
        <v>0</v>
      </c>
      <c r="AN139" s="16">
        <f>IF(LCOE!E$14&gt;0,G139,H139)/AG139</f>
        <v>0</v>
      </c>
    </row>
    <row r="140" spans="1:40">
      <c r="A140">
        <v>70</v>
      </c>
      <c r="C140" s="16">
        <f>LCOE!E166+IF(AND(LCOE!E$26&gt;0,A140&gt;=LCOE!E$26,A140&lt;=(LCOE!E$26+LCOE!E$27-1)),LCOE!E$42/LCOE!E$27,0)+IF(AND(D140=0,AE140&gt;=LCOE!E$16,COUNTIF(D115:D140,0)=LCOE!E$36),LCOE!E$35*LCOE!E$38,0)</f>
        <v>0</v>
      </c>
      <c r="D140" s="16">
        <f>IF(AE139&lt;LCOE!E$16,1,0)</f>
        <v>0</v>
      </c>
      <c r="E140" s="12">
        <f>LCOE!G166+IF(AND(A140&gt;=LCOE!E$26,A140&lt;=(LCOE!E$26+LCOE!E$27-1)),0,1)*IF(A140=LCOE!E$34,0,1)*D140</f>
        <v>0</v>
      </c>
      <c r="F140" s="12">
        <f>IF(F139&lt;LCOE!E$18,MIN(F139*(1+LCOE!E$19),LCOE!E$18),LCOE!E$18)+LCOE!J166</f>
        <v>0.9</v>
      </c>
      <c r="G140" s="16">
        <f>LCOE!K166+E140*F140*N140*(LCOE!E$14+LCOE!H166)*24*365*D140</f>
        <v>0</v>
      </c>
      <c r="H140" s="16">
        <f>LCOE!L166+F140*(LCOE!E$15+LCOE!I166)*E140*24*365*D140*N140</f>
        <v>0</v>
      </c>
      <c r="I140" s="16">
        <f>LCOE!M166+LCOE!E$20*IF(LCOE!E$14&gt;0,(LCOE!E$14+LCOE!H166),(LCOE!E$15+LCOE!I166))*K140*D140</f>
        <v>0</v>
      </c>
      <c r="J140" s="16">
        <f>LCOE!N166+LCOE!E$21*IF(LCOE!E$14&gt;0,G140,H140)*K140*D140</f>
        <v>0</v>
      </c>
      <c r="K140" s="15">
        <f>LCOE!O166+K139+K139*LCOE!E$22</f>
        <v>1</v>
      </c>
      <c r="L140" s="16">
        <f>LCOE!P166+LCOE!E$23*IF(LCOE!E$14&gt;0,G140,H140)*M140*D140</f>
        <v>0</v>
      </c>
      <c r="M140" s="15">
        <f>LCOE!Q166+M139+M139*LCOE!E$24</f>
        <v>1</v>
      </c>
      <c r="N140" s="15">
        <f>LCOE!R166+N139-N139*LCOE!E$25</f>
        <v>1</v>
      </c>
      <c r="O140" s="18">
        <f>LCOE!S166+LCOE!E$29</f>
        <v>313.75</v>
      </c>
      <c r="P140" s="12">
        <f>LCOE!T166+IF(A140&gt;=LCOE!E$30,100%,0%)</f>
        <v>1</v>
      </c>
      <c r="Q140" s="16">
        <f>LCOE!U166+O140/1000*IF(LCOE!E$14&gt;0,G140,H140)</f>
        <v>0</v>
      </c>
      <c r="R140" s="16">
        <f>LCOE!B166</f>
        <v>30</v>
      </c>
      <c r="S140" s="16">
        <f>LCOE!V166+Q140*P140*R140</f>
        <v>0</v>
      </c>
      <c r="T140" s="16">
        <f>LCOE!W166+LCOE!E$31</f>
        <v>0</v>
      </c>
      <c r="U140" s="16">
        <f>LCOE!X166+T140*IF(LCOE!E$14&gt;0,G140,H140)</f>
        <v>0</v>
      </c>
      <c r="V140" s="16">
        <f>LCOE!Y166+LCOE!E$32</f>
        <v>0</v>
      </c>
      <c r="W140" s="16">
        <f>LCOE!Z166+V140*IF(LCOE!E$14&gt;0,G140,H140)</f>
        <v>0</v>
      </c>
      <c r="X140" s="16">
        <f>LCOE!AA166+LCOE!E$34</f>
        <v>101</v>
      </c>
      <c r="Y140" s="16">
        <f t="shared" si="29"/>
        <v>0</v>
      </c>
      <c r="Z140" s="50">
        <f t="shared" si="32"/>
        <v>0</v>
      </c>
      <c r="AA140" s="50">
        <f t="shared" si="33"/>
        <v>0</v>
      </c>
      <c r="AB140" s="50">
        <f t="shared" si="34"/>
        <v>0</v>
      </c>
      <c r="AC140" s="50">
        <f t="shared" si="30"/>
        <v>0</v>
      </c>
      <c r="AD140" s="50">
        <f t="shared" si="25"/>
        <v>0</v>
      </c>
      <c r="AE140">
        <f t="shared" si="31"/>
        <v>30</v>
      </c>
      <c r="AF140" s="12">
        <f>LCOE!E166+LCOE!E$40</f>
        <v>0.03</v>
      </c>
      <c r="AG140">
        <f t="shared" si="26"/>
        <v>7.9178219121217266</v>
      </c>
      <c r="AH140" s="16">
        <f t="shared" si="21"/>
        <v>0</v>
      </c>
      <c r="AI140" s="16">
        <f t="shared" si="22"/>
        <v>0</v>
      </c>
      <c r="AJ140" s="16">
        <f t="shared" si="23"/>
        <v>0</v>
      </c>
      <c r="AK140" s="16">
        <f t="shared" si="24"/>
        <v>0</v>
      </c>
      <c r="AL140" s="16">
        <f t="shared" si="27"/>
        <v>0</v>
      </c>
      <c r="AM140" s="16">
        <f t="shared" si="28"/>
        <v>0</v>
      </c>
      <c r="AN140" s="16">
        <f>IF(LCOE!E$14&gt;0,G140,H140)/AG140</f>
        <v>0</v>
      </c>
    </row>
    <row r="141" spans="1:40">
      <c r="A141">
        <v>71</v>
      </c>
      <c r="C141" s="16">
        <f>LCOE!E167+IF(AND(LCOE!E$26&gt;0,A141&gt;=LCOE!E$26,A141&lt;=(LCOE!E$26+LCOE!E$27-1)),LCOE!E$42/LCOE!E$27,0)+IF(AND(D141=0,AE141&gt;=LCOE!E$16,COUNTIF(D116:D141,0)=LCOE!E$36),LCOE!E$35*LCOE!E$38,0)</f>
        <v>0</v>
      </c>
      <c r="D141" s="16">
        <f>IF(AE140&lt;LCOE!E$16,1,0)</f>
        <v>0</v>
      </c>
      <c r="E141" s="12">
        <f>LCOE!G167+IF(AND(A141&gt;=LCOE!E$26,A141&lt;=(LCOE!E$26+LCOE!E$27-1)),0,1)*IF(A141=LCOE!E$34,0,1)*D141</f>
        <v>0</v>
      </c>
      <c r="F141" s="12">
        <f>IF(F140&lt;LCOE!E$18,MIN(F140*(1+LCOE!E$19),LCOE!E$18),LCOE!E$18)+LCOE!J167</f>
        <v>0.9</v>
      </c>
      <c r="G141" s="16">
        <f>LCOE!K167+E141*F141*N141*(LCOE!E$14+LCOE!H167)*24*365*D141</f>
        <v>0</v>
      </c>
      <c r="H141" s="16">
        <f>LCOE!L167+F141*(LCOE!E$15+LCOE!I167)*E141*24*365*D141*N141</f>
        <v>0</v>
      </c>
      <c r="I141" s="16">
        <f>LCOE!M167+LCOE!E$20*IF(LCOE!E$14&gt;0,(LCOE!E$14+LCOE!H167),(LCOE!E$15+LCOE!I167))*K141*D141</f>
        <v>0</v>
      </c>
      <c r="J141" s="16">
        <f>LCOE!N167+LCOE!E$21*IF(LCOE!E$14&gt;0,G141,H141)*K141*D141</f>
        <v>0</v>
      </c>
      <c r="K141" s="15">
        <f>LCOE!O167+K140+K140*LCOE!E$22</f>
        <v>1</v>
      </c>
      <c r="L141" s="16">
        <f>LCOE!P167+LCOE!E$23*IF(LCOE!E$14&gt;0,G141,H141)*M141*D141</f>
        <v>0</v>
      </c>
      <c r="M141" s="15">
        <f>LCOE!Q167+M140+M140*LCOE!E$24</f>
        <v>1</v>
      </c>
      <c r="N141" s="15">
        <f>LCOE!R167+N140-N140*LCOE!E$25</f>
        <v>1</v>
      </c>
      <c r="O141" s="18">
        <f>LCOE!S167+LCOE!E$29</f>
        <v>313.75</v>
      </c>
      <c r="P141" s="12">
        <f>LCOE!T167+IF(A141&gt;=LCOE!E$30,100%,0%)</f>
        <v>1</v>
      </c>
      <c r="Q141" s="16">
        <f>LCOE!U167+O141/1000*IF(LCOE!E$14&gt;0,G141,H141)</f>
        <v>0</v>
      </c>
      <c r="R141" s="16">
        <f>LCOE!B167</f>
        <v>30</v>
      </c>
      <c r="S141" s="16">
        <f>LCOE!V167+Q141*P141*R141</f>
        <v>0</v>
      </c>
      <c r="T141" s="16">
        <f>LCOE!W167+LCOE!E$31</f>
        <v>0</v>
      </c>
      <c r="U141" s="16">
        <f>LCOE!X167+T141*IF(LCOE!E$14&gt;0,G141,H141)</f>
        <v>0</v>
      </c>
      <c r="V141" s="16">
        <f>LCOE!Y167+LCOE!E$32</f>
        <v>0</v>
      </c>
      <c r="W141" s="16">
        <f>LCOE!Z167+V141*IF(LCOE!E$14&gt;0,G141,H141)</f>
        <v>0</v>
      </c>
      <c r="X141" s="16">
        <f>LCOE!AA167+LCOE!E$34</f>
        <v>101</v>
      </c>
      <c r="Y141" s="16">
        <f t="shared" si="29"/>
        <v>0</v>
      </c>
      <c r="Z141" s="50">
        <f t="shared" si="32"/>
        <v>0</v>
      </c>
      <c r="AA141" s="50">
        <f t="shared" si="33"/>
        <v>0</v>
      </c>
      <c r="AB141" s="50">
        <f t="shared" si="34"/>
        <v>0</v>
      </c>
      <c r="AC141" s="50">
        <f t="shared" si="30"/>
        <v>0</v>
      </c>
      <c r="AD141" s="50">
        <f t="shared" si="25"/>
        <v>0</v>
      </c>
      <c r="AE141">
        <f t="shared" si="31"/>
        <v>30</v>
      </c>
      <c r="AF141" s="12">
        <f>LCOE!E167+LCOE!E$40</f>
        <v>0.03</v>
      </c>
      <c r="AG141">
        <f t="shared" si="26"/>
        <v>8.1553565694853791</v>
      </c>
      <c r="AH141" s="16">
        <f t="shared" si="21"/>
        <v>0</v>
      </c>
      <c r="AI141" s="16">
        <f t="shared" si="22"/>
        <v>0</v>
      </c>
      <c r="AJ141" s="16">
        <f t="shared" si="23"/>
        <v>0</v>
      </c>
      <c r="AK141" s="16">
        <f t="shared" si="24"/>
        <v>0</v>
      </c>
      <c r="AL141" s="16">
        <f t="shared" si="27"/>
        <v>0</v>
      </c>
      <c r="AM141" s="16">
        <f t="shared" si="28"/>
        <v>0</v>
      </c>
      <c r="AN141" s="16">
        <f>IF(LCOE!E$14&gt;0,G141,H141)/AG141</f>
        <v>0</v>
      </c>
    </row>
    <row r="142" spans="1:40">
      <c r="A142">
        <v>72</v>
      </c>
      <c r="C142" s="16">
        <f>LCOE!E168+IF(AND(LCOE!E$26&gt;0,A142&gt;=LCOE!E$26,A142&lt;=(LCOE!E$26+LCOE!E$27-1)),LCOE!E$42/LCOE!E$27,0)+IF(AND(D142=0,AE142&gt;=LCOE!E$16,COUNTIF(D117:D142,0)=LCOE!E$36),LCOE!E$35*LCOE!E$38,0)</f>
        <v>0</v>
      </c>
      <c r="D142" s="16">
        <f>IF(AE141&lt;LCOE!E$16,1,0)</f>
        <v>0</v>
      </c>
      <c r="E142" s="12">
        <f>LCOE!G168+IF(AND(A142&gt;=LCOE!E$26,A142&lt;=(LCOE!E$26+LCOE!E$27-1)),0,1)*IF(A142=LCOE!E$34,0,1)*D142</f>
        <v>0</v>
      </c>
      <c r="F142" s="12">
        <f>IF(F141&lt;LCOE!E$18,MIN(F141*(1+LCOE!E$19),LCOE!E$18),LCOE!E$18)+LCOE!J168</f>
        <v>0.9</v>
      </c>
      <c r="G142" s="16">
        <f>LCOE!K168+E142*F142*N142*(LCOE!E$14+LCOE!H168)*24*365*D142</f>
        <v>0</v>
      </c>
      <c r="H142" s="16">
        <f>LCOE!L168+F142*(LCOE!E$15+LCOE!I168)*E142*24*365*D142*N142</f>
        <v>0</v>
      </c>
      <c r="I142" s="16">
        <f>LCOE!M168+LCOE!E$20*IF(LCOE!E$14&gt;0,(LCOE!E$14+LCOE!H168),(LCOE!E$15+LCOE!I168))*K142*D142</f>
        <v>0</v>
      </c>
      <c r="J142" s="16">
        <f>LCOE!N168+LCOE!E$21*IF(LCOE!E$14&gt;0,G142,H142)*K142*D142</f>
        <v>0</v>
      </c>
      <c r="K142" s="15">
        <f>LCOE!O168+K141+K141*LCOE!E$22</f>
        <v>1</v>
      </c>
      <c r="L142" s="16">
        <f>LCOE!P168+LCOE!E$23*IF(LCOE!E$14&gt;0,G142,H142)*M142*D142</f>
        <v>0</v>
      </c>
      <c r="M142" s="15">
        <f>LCOE!Q168+M141+M141*LCOE!E$24</f>
        <v>1</v>
      </c>
      <c r="N142" s="15">
        <f>LCOE!R168+N141-N141*LCOE!E$25</f>
        <v>1</v>
      </c>
      <c r="O142" s="18">
        <f>LCOE!S168+LCOE!E$29</f>
        <v>313.75</v>
      </c>
      <c r="P142" s="12">
        <f>LCOE!T168+IF(A142&gt;=LCOE!E$30,100%,0%)</f>
        <v>1</v>
      </c>
      <c r="Q142" s="16">
        <f>LCOE!U168+O142/1000*IF(LCOE!E$14&gt;0,G142,H142)</f>
        <v>0</v>
      </c>
      <c r="R142" s="16">
        <f>LCOE!B168</f>
        <v>30</v>
      </c>
      <c r="S142" s="16">
        <f>LCOE!V168+Q142*P142*R142</f>
        <v>0</v>
      </c>
      <c r="T142" s="16">
        <f>LCOE!W168+LCOE!E$31</f>
        <v>0</v>
      </c>
      <c r="U142" s="16">
        <f>LCOE!X168+T142*IF(LCOE!E$14&gt;0,G142,H142)</f>
        <v>0</v>
      </c>
      <c r="V142" s="16">
        <f>LCOE!Y168+LCOE!E$32</f>
        <v>0</v>
      </c>
      <c r="W142" s="16">
        <f>LCOE!Z168+V142*IF(LCOE!E$14&gt;0,G142,H142)</f>
        <v>0</v>
      </c>
      <c r="X142" s="16">
        <f>LCOE!AA168+LCOE!E$34</f>
        <v>101</v>
      </c>
      <c r="Y142" s="16">
        <f t="shared" si="29"/>
        <v>0</v>
      </c>
      <c r="Z142" s="50">
        <f t="shared" si="32"/>
        <v>0</v>
      </c>
      <c r="AA142" s="50">
        <f t="shared" si="33"/>
        <v>0</v>
      </c>
      <c r="AB142" s="50">
        <f t="shared" si="34"/>
        <v>0</v>
      </c>
      <c r="AC142" s="50">
        <f t="shared" si="30"/>
        <v>0</v>
      </c>
      <c r="AD142" s="50">
        <f t="shared" si="25"/>
        <v>0</v>
      </c>
      <c r="AE142">
        <f t="shared" si="31"/>
        <v>30</v>
      </c>
      <c r="AF142" s="12">
        <f>LCOE!E168+LCOE!E$40</f>
        <v>0.03</v>
      </c>
      <c r="AG142">
        <f t="shared" si="26"/>
        <v>8.4000172665699395</v>
      </c>
      <c r="AH142" s="16">
        <f t="shared" si="21"/>
        <v>0</v>
      </c>
      <c r="AI142" s="16">
        <f t="shared" si="22"/>
        <v>0</v>
      </c>
      <c r="AJ142" s="16">
        <f t="shared" si="23"/>
        <v>0</v>
      </c>
      <c r="AK142" s="16">
        <f t="shared" si="24"/>
        <v>0</v>
      </c>
      <c r="AL142" s="16">
        <f t="shared" si="27"/>
        <v>0</v>
      </c>
      <c r="AM142" s="16">
        <f t="shared" si="28"/>
        <v>0</v>
      </c>
      <c r="AN142" s="16">
        <f>IF(LCOE!E$14&gt;0,G142,H142)/AG142</f>
        <v>0</v>
      </c>
    </row>
    <row r="143" spans="1:40">
      <c r="A143">
        <v>73</v>
      </c>
      <c r="C143" s="16">
        <f>LCOE!E169+IF(AND(LCOE!E$26&gt;0,A143&gt;=LCOE!E$26,A143&lt;=(LCOE!E$26+LCOE!E$27-1)),LCOE!E$42/LCOE!E$27,0)+IF(AND(D143=0,AE143&gt;=LCOE!E$16,COUNTIF(D118:D143,0)=LCOE!E$36),LCOE!E$35*LCOE!E$38,0)</f>
        <v>0</v>
      </c>
      <c r="D143" s="16">
        <f>IF(AE142&lt;LCOE!E$16,1,0)</f>
        <v>0</v>
      </c>
      <c r="E143" s="12">
        <f>LCOE!G169+IF(AND(A143&gt;=LCOE!E$26,A143&lt;=(LCOE!E$26+LCOE!E$27-1)),0,1)*IF(A143=LCOE!E$34,0,1)*D143</f>
        <v>0</v>
      </c>
      <c r="F143" s="12">
        <f>IF(F142&lt;LCOE!E$18,MIN(F142*(1+LCOE!E$19),LCOE!E$18),LCOE!E$18)+LCOE!J169</f>
        <v>0.9</v>
      </c>
      <c r="G143" s="16">
        <f>LCOE!K169+E143*F143*N143*(LCOE!E$14+LCOE!H169)*24*365*D143</f>
        <v>0</v>
      </c>
      <c r="H143" s="16">
        <f>LCOE!L169+F143*(LCOE!E$15+LCOE!I169)*E143*24*365*D143*N143</f>
        <v>0</v>
      </c>
      <c r="I143" s="16">
        <f>LCOE!M169+LCOE!E$20*IF(LCOE!E$14&gt;0,(LCOE!E$14+LCOE!H169),(LCOE!E$15+LCOE!I169))*K143*D143</f>
        <v>0</v>
      </c>
      <c r="J143" s="16">
        <f>LCOE!N169+LCOE!E$21*IF(LCOE!E$14&gt;0,G143,H143)*K143*D143</f>
        <v>0</v>
      </c>
      <c r="K143" s="15">
        <f>LCOE!O169+K142+K142*LCOE!E$22</f>
        <v>1</v>
      </c>
      <c r="L143" s="16">
        <f>LCOE!P169+LCOE!E$23*IF(LCOE!E$14&gt;0,G143,H143)*M143*D143</f>
        <v>0</v>
      </c>
      <c r="M143" s="15">
        <f>LCOE!Q169+M142+M142*LCOE!E$24</f>
        <v>1</v>
      </c>
      <c r="N143" s="15">
        <f>LCOE!R169+N142-N142*LCOE!E$25</f>
        <v>1</v>
      </c>
      <c r="O143" s="18">
        <f>LCOE!S169+LCOE!E$29</f>
        <v>313.75</v>
      </c>
      <c r="P143" s="12">
        <f>LCOE!T169+IF(A143&gt;=LCOE!E$30,100%,0%)</f>
        <v>1</v>
      </c>
      <c r="Q143" s="16">
        <f>LCOE!U169+O143/1000*IF(LCOE!E$14&gt;0,G143,H143)</f>
        <v>0</v>
      </c>
      <c r="R143" s="16">
        <f>LCOE!B169</f>
        <v>30</v>
      </c>
      <c r="S143" s="16">
        <f>LCOE!V169+Q143*P143*R143</f>
        <v>0</v>
      </c>
      <c r="T143" s="16">
        <f>LCOE!W169+LCOE!E$31</f>
        <v>0</v>
      </c>
      <c r="U143" s="16">
        <f>LCOE!X169+T143*IF(LCOE!E$14&gt;0,G143,H143)</f>
        <v>0</v>
      </c>
      <c r="V143" s="16">
        <f>LCOE!Y169+LCOE!E$32</f>
        <v>0</v>
      </c>
      <c r="W143" s="16">
        <f>LCOE!Z169+V143*IF(LCOE!E$14&gt;0,G143,H143)</f>
        <v>0</v>
      </c>
      <c r="X143" s="16">
        <f>LCOE!AA169+LCOE!E$34</f>
        <v>101</v>
      </c>
      <c r="Y143" s="16">
        <f t="shared" si="29"/>
        <v>0</v>
      </c>
      <c r="Z143" s="50">
        <f t="shared" si="32"/>
        <v>0</v>
      </c>
      <c r="AA143" s="50">
        <f t="shared" si="33"/>
        <v>0</v>
      </c>
      <c r="AB143" s="50">
        <f t="shared" si="34"/>
        <v>0</v>
      </c>
      <c r="AC143" s="50">
        <f t="shared" si="30"/>
        <v>0</v>
      </c>
      <c r="AD143" s="50">
        <f t="shared" si="25"/>
        <v>0</v>
      </c>
      <c r="AE143">
        <f t="shared" si="31"/>
        <v>30</v>
      </c>
      <c r="AF143" s="12">
        <f>LCOE!E169+LCOE!E$40</f>
        <v>0.03</v>
      </c>
      <c r="AG143">
        <f t="shared" si="26"/>
        <v>8.6520177845670379</v>
      </c>
      <c r="AH143" s="16">
        <f t="shared" si="21"/>
        <v>0</v>
      </c>
      <c r="AI143" s="16">
        <f t="shared" si="22"/>
        <v>0</v>
      </c>
      <c r="AJ143" s="16">
        <f t="shared" si="23"/>
        <v>0</v>
      </c>
      <c r="AK143" s="16">
        <f t="shared" si="24"/>
        <v>0</v>
      </c>
      <c r="AL143" s="16">
        <f t="shared" si="27"/>
        <v>0</v>
      </c>
      <c r="AM143" s="16">
        <f t="shared" si="28"/>
        <v>0</v>
      </c>
      <c r="AN143" s="16">
        <f>IF(LCOE!E$14&gt;0,G143,H143)/AG143</f>
        <v>0</v>
      </c>
    </row>
    <row r="144" spans="1:40">
      <c r="A144">
        <v>74</v>
      </c>
      <c r="C144" s="16">
        <f>LCOE!E170+IF(AND(LCOE!E$26&gt;0,A144&gt;=LCOE!E$26,A144&lt;=(LCOE!E$26+LCOE!E$27-1)),LCOE!E$42/LCOE!E$27,0)+IF(AND(D144=0,AE144&gt;=LCOE!E$16,COUNTIF(D119:D144,0)=LCOE!E$36),LCOE!E$35*LCOE!E$38,0)</f>
        <v>0</v>
      </c>
      <c r="D144" s="16">
        <f>IF(AE143&lt;LCOE!E$16,1,0)</f>
        <v>0</v>
      </c>
      <c r="E144" s="12">
        <f>LCOE!G170+IF(AND(A144&gt;=LCOE!E$26,A144&lt;=(LCOE!E$26+LCOE!E$27-1)),0,1)*IF(A144=LCOE!E$34,0,1)*D144</f>
        <v>0</v>
      </c>
      <c r="F144" s="12">
        <f>IF(F143&lt;LCOE!E$18,MIN(F143*(1+LCOE!E$19),LCOE!E$18),LCOE!E$18)+LCOE!J170</f>
        <v>0.9</v>
      </c>
      <c r="G144" s="16">
        <f>LCOE!K170+E144*F144*N144*(LCOE!E$14+LCOE!H170)*24*365*D144</f>
        <v>0</v>
      </c>
      <c r="H144" s="16">
        <f>LCOE!L170+F144*(LCOE!E$15+LCOE!I170)*E144*24*365*D144*N144</f>
        <v>0</v>
      </c>
      <c r="I144" s="16">
        <f>LCOE!M170+LCOE!E$20*IF(LCOE!E$14&gt;0,(LCOE!E$14+LCOE!H170),(LCOE!E$15+LCOE!I170))*K144*D144</f>
        <v>0</v>
      </c>
      <c r="J144" s="16">
        <f>LCOE!N170+LCOE!E$21*IF(LCOE!E$14&gt;0,G144,H144)*K144*D144</f>
        <v>0</v>
      </c>
      <c r="K144" s="15">
        <f>LCOE!O170+K143+K143*LCOE!E$22</f>
        <v>1</v>
      </c>
      <c r="L144" s="16">
        <f>LCOE!P170+LCOE!E$23*IF(LCOE!E$14&gt;0,G144,H144)*M144*D144</f>
        <v>0</v>
      </c>
      <c r="M144" s="15">
        <f>LCOE!Q170+M143+M143*LCOE!E$24</f>
        <v>1</v>
      </c>
      <c r="N144" s="15">
        <f>LCOE!R170+N143-N143*LCOE!E$25</f>
        <v>1</v>
      </c>
      <c r="O144" s="18">
        <f>LCOE!S170+LCOE!E$29</f>
        <v>313.75</v>
      </c>
      <c r="P144" s="12">
        <f>LCOE!T170+IF(A144&gt;=LCOE!E$30,100%,0%)</f>
        <v>1</v>
      </c>
      <c r="Q144" s="16">
        <f>LCOE!U170+O144/1000*IF(LCOE!E$14&gt;0,G144,H144)</f>
        <v>0</v>
      </c>
      <c r="R144" s="16">
        <f>LCOE!B170</f>
        <v>30</v>
      </c>
      <c r="S144" s="16">
        <f>LCOE!V170+Q144*P144*R144</f>
        <v>0</v>
      </c>
      <c r="T144" s="16">
        <f>LCOE!W170+LCOE!E$31</f>
        <v>0</v>
      </c>
      <c r="U144" s="16">
        <f>LCOE!X170+T144*IF(LCOE!E$14&gt;0,G144,H144)</f>
        <v>0</v>
      </c>
      <c r="V144" s="16">
        <f>LCOE!Y170+LCOE!E$32</f>
        <v>0</v>
      </c>
      <c r="W144" s="16">
        <f>LCOE!Z170+V144*IF(LCOE!E$14&gt;0,G144,H144)</f>
        <v>0</v>
      </c>
      <c r="X144" s="16">
        <f>LCOE!AA170+LCOE!E$34</f>
        <v>101</v>
      </c>
      <c r="Y144" s="16">
        <f t="shared" si="29"/>
        <v>0</v>
      </c>
      <c r="Z144" s="50">
        <f t="shared" si="32"/>
        <v>0</v>
      </c>
      <c r="AA144" s="50">
        <f t="shared" si="33"/>
        <v>0</v>
      </c>
      <c r="AB144" s="50">
        <f t="shared" si="34"/>
        <v>0</v>
      </c>
      <c r="AC144" s="50">
        <f t="shared" si="30"/>
        <v>0</v>
      </c>
      <c r="AD144" s="50">
        <f t="shared" si="25"/>
        <v>0</v>
      </c>
      <c r="AE144">
        <f t="shared" si="31"/>
        <v>30</v>
      </c>
      <c r="AF144" s="12">
        <f>LCOE!E170+LCOE!E$40</f>
        <v>0.03</v>
      </c>
      <c r="AG144">
        <f t="shared" si="26"/>
        <v>8.9115783181040484</v>
      </c>
      <c r="AH144" s="16">
        <f t="shared" si="21"/>
        <v>0</v>
      </c>
      <c r="AI144" s="16">
        <f t="shared" si="22"/>
        <v>0</v>
      </c>
      <c r="AJ144" s="16">
        <f t="shared" si="23"/>
        <v>0</v>
      </c>
      <c r="AK144" s="16">
        <f t="shared" si="24"/>
        <v>0</v>
      </c>
      <c r="AL144" s="16">
        <f t="shared" si="27"/>
        <v>0</v>
      </c>
      <c r="AM144" s="16">
        <f t="shared" si="28"/>
        <v>0</v>
      </c>
      <c r="AN144" s="16">
        <f>IF(LCOE!E$14&gt;0,G144,H144)/AG144</f>
        <v>0</v>
      </c>
    </row>
    <row r="145" spans="1:40">
      <c r="A145">
        <v>75</v>
      </c>
      <c r="C145" s="16">
        <f>LCOE!E171+IF(AND(LCOE!E$26&gt;0,A145&gt;=LCOE!E$26,A145&lt;=(LCOE!E$26+LCOE!E$27-1)),LCOE!E$42/LCOE!E$27,0)+IF(AND(D145=0,AE145&gt;=LCOE!E$16,COUNTIF(D120:D145,0)=LCOE!E$36),LCOE!E$35*LCOE!E$38,0)</f>
        <v>0</v>
      </c>
      <c r="D145" s="16">
        <f>IF(AE144&lt;LCOE!E$16,1,0)</f>
        <v>0</v>
      </c>
      <c r="E145" s="12">
        <f>LCOE!G171+IF(AND(A145&gt;=LCOE!E$26,A145&lt;=(LCOE!E$26+LCOE!E$27-1)),0,1)*IF(A145=LCOE!E$34,0,1)*D145</f>
        <v>0</v>
      </c>
      <c r="F145" s="12">
        <f>IF(F144&lt;LCOE!E$18,MIN(F144*(1+LCOE!E$19),LCOE!E$18),LCOE!E$18)+LCOE!J171</f>
        <v>0.9</v>
      </c>
      <c r="G145" s="16">
        <f>LCOE!K171+E145*F145*N145*(LCOE!E$14+LCOE!H171)*24*365*D145</f>
        <v>0</v>
      </c>
      <c r="H145" s="16">
        <f>LCOE!L171+F145*(LCOE!E$15+LCOE!I171)*E145*24*365*D145*N145</f>
        <v>0</v>
      </c>
      <c r="I145" s="16">
        <f>LCOE!M171+LCOE!E$20*IF(LCOE!E$14&gt;0,(LCOE!E$14+LCOE!H171),(LCOE!E$15+LCOE!I171))*K145*D145</f>
        <v>0</v>
      </c>
      <c r="J145" s="16">
        <f>LCOE!N171+LCOE!E$21*IF(LCOE!E$14&gt;0,G145,H145)*K145*D145</f>
        <v>0</v>
      </c>
      <c r="K145" s="15">
        <f>LCOE!O171+K144+K144*LCOE!E$22</f>
        <v>1</v>
      </c>
      <c r="L145" s="16">
        <f>LCOE!P171+LCOE!E$23*IF(LCOE!E$14&gt;0,G145,H145)*M145*D145</f>
        <v>0</v>
      </c>
      <c r="M145" s="15">
        <f>LCOE!Q171+M144+M144*LCOE!E$24</f>
        <v>1</v>
      </c>
      <c r="N145" s="15">
        <f>LCOE!R171+N144-N144*LCOE!E$25</f>
        <v>1</v>
      </c>
      <c r="O145" s="18">
        <f>LCOE!S171+LCOE!E$29</f>
        <v>313.75</v>
      </c>
      <c r="P145" s="12">
        <f>LCOE!T171+IF(A145&gt;=LCOE!E$30,100%,0%)</f>
        <v>1</v>
      </c>
      <c r="Q145" s="16">
        <f>LCOE!U171+O145/1000*IF(LCOE!E$14&gt;0,G145,H145)</f>
        <v>0</v>
      </c>
      <c r="R145" s="16">
        <f>LCOE!B171</f>
        <v>30</v>
      </c>
      <c r="S145" s="16">
        <f>LCOE!V171+Q145*P145*R145</f>
        <v>0</v>
      </c>
      <c r="T145" s="16">
        <f>LCOE!W171+LCOE!E$31</f>
        <v>0</v>
      </c>
      <c r="U145" s="16">
        <f>LCOE!X171+T145*IF(LCOE!E$14&gt;0,G145,H145)</f>
        <v>0</v>
      </c>
      <c r="V145" s="16">
        <f>LCOE!Y171+LCOE!E$32</f>
        <v>0</v>
      </c>
      <c r="W145" s="16">
        <f>LCOE!Z171+V145*IF(LCOE!E$14&gt;0,G145,H145)</f>
        <v>0</v>
      </c>
      <c r="X145" s="16">
        <f>LCOE!AA171+LCOE!E$34</f>
        <v>101</v>
      </c>
      <c r="Y145" s="16">
        <f t="shared" si="29"/>
        <v>0</v>
      </c>
      <c r="Z145" s="50">
        <f t="shared" si="32"/>
        <v>0</v>
      </c>
      <c r="AA145" s="50">
        <f t="shared" si="33"/>
        <v>0</v>
      </c>
      <c r="AB145" s="50">
        <f t="shared" si="34"/>
        <v>0</v>
      </c>
      <c r="AC145" s="50">
        <f t="shared" si="30"/>
        <v>0</v>
      </c>
      <c r="AD145" s="50">
        <f t="shared" si="25"/>
        <v>0</v>
      </c>
      <c r="AE145">
        <f t="shared" si="31"/>
        <v>30</v>
      </c>
      <c r="AF145" s="12">
        <f>LCOE!E171+LCOE!E$40</f>
        <v>0.03</v>
      </c>
      <c r="AG145">
        <f t="shared" si="26"/>
        <v>9.1789256676471709</v>
      </c>
      <c r="AH145" s="16">
        <f t="shared" si="21"/>
        <v>0</v>
      </c>
      <c r="AI145" s="16">
        <f t="shared" si="22"/>
        <v>0</v>
      </c>
      <c r="AJ145" s="16">
        <f t="shared" si="23"/>
        <v>0</v>
      </c>
      <c r="AK145" s="16">
        <f t="shared" si="24"/>
        <v>0</v>
      </c>
      <c r="AL145" s="16">
        <f t="shared" si="27"/>
        <v>0</v>
      </c>
      <c r="AM145" s="16">
        <f t="shared" si="28"/>
        <v>0</v>
      </c>
      <c r="AN145" s="16">
        <f>IF(LCOE!E$14&gt;0,G145,H145)/AG145</f>
        <v>0</v>
      </c>
    </row>
    <row r="146" spans="1:40">
      <c r="A146">
        <v>76</v>
      </c>
      <c r="C146" s="16">
        <f>LCOE!E172+IF(AND(LCOE!E$26&gt;0,A146&gt;=LCOE!E$26,A146&lt;=(LCOE!E$26+LCOE!E$27-1)),LCOE!E$42/LCOE!E$27,0)+IF(AND(D146=0,AE146&gt;=LCOE!E$16,COUNTIF(D121:D146,0)=LCOE!E$36),LCOE!E$35*LCOE!E$38,0)</f>
        <v>0</v>
      </c>
      <c r="D146" s="16">
        <f>IF(AE145&lt;LCOE!E$16,1,0)</f>
        <v>0</v>
      </c>
      <c r="E146" s="12">
        <f>LCOE!G172+IF(AND(A146&gt;=LCOE!E$26,A146&lt;=(LCOE!E$26+LCOE!E$27-1)),0,1)*IF(A146=LCOE!E$34,0,1)*D146</f>
        <v>0</v>
      </c>
      <c r="F146" s="12">
        <f>IF(F145&lt;LCOE!E$18,MIN(F145*(1+LCOE!E$19),LCOE!E$18),LCOE!E$18)+LCOE!J172</f>
        <v>0.9</v>
      </c>
      <c r="G146" s="16">
        <f>LCOE!K172+E146*F146*N146*(LCOE!E$14+LCOE!H172)*24*365*D146</f>
        <v>0</v>
      </c>
      <c r="H146" s="16">
        <f>LCOE!L172+F146*(LCOE!E$15+LCOE!I172)*E146*24*365*D146*N146</f>
        <v>0</v>
      </c>
      <c r="I146" s="16">
        <f>LCOE!M172+LCOE!E$20*IF(LCOE!E$14&gt;0,(LCOE!E$14+LCOE!H172),(LCOE!E$15+LCOE!I172))*K146*D146</f>
        <v>0</v>
      </c>
      <c r="J146" s="16">
        <f>LCOE!N172+LCOE!E$21*IF(LCOE!E$14&gt;0,G146,H146)*K146*D146</f>
        <v>0</v>
      </c>
      <c r="K146" s="15">
        <f>LCOE!O172+K145+K145*LCOE!E$22</f>
        <v>1</v>
      </c>
      <c r="L146" s="16">
        <f>LCOE!P172+LCOE!E$23*IF(LCOE!E$14&gt;0,G146,H146)*M146*D146</f>
        <v>0</v>
      </c>
      <c r="M146" s="15">
        <f>LCOE!Q172+M145+M145*LCOE!E$24</f>
        <v>1</v>
      </c>
      <c r="N146" s="15">
        <f>LCOE!R172+N145-N145*LCOE!E$25</f>
        <v>1</v>
      </c>
      <c r="O146" s="18">
        <f>LCOE!S172+LCOE!E$29</f>
        <v>313.75</v>
      </c>
      <c r="P146" s="12">
        <f>LCOE!T172+IF(A146&gt;=LCOE!E$30,100%,0%)</f>
        <v>1</v>
      </c>
      <c r="Q146" s="16">
        <f>LCOE!U172+O146/1000*IF(LCOE!E$14&gt;0,G146,H146)</f>
        <v>0</v>
      </c>
      <c r="R146" s="16">
        <f>LCOE!B172</f>
        <v>30</v>
      </c>
      <c r="S146" s="16">
        <f>LCOE!V172+Q146*P146*R146</f>
        <v>0</v>
      </c>
      <c r="T146" s="16">
        <f>LCOE!W172+LCOE!E$31</f>
        <v>0</v>
      </c>
      <c r="U146" s="16">
        <f>LCOE!X172+T146*IF(LCOE!E$14&gt;0,G146,H146)</f>
        <v>0</v>
      </c>
      <c r="V146" s="16">
        <f>LCOE!Y172+LCOE!E$32</f>
        <v>0</v>
      </c>
      <c r="W146" s="16">
        <f>LCOE!Z172+V146*IF(LCOE!E$14&gt;0,G146,H146)</f>
        <v>0</v>
      </c>
      <c r="X146" s="16">
        <f>LCOE!AA172+LCOE!E$34</f>
        <v>101</v>
      </c>
      <c r="Y146" s="16">
        <f t="shared" si="29"/>
        <v>0</v>
      </c>
      <c r="Z146" s="50">
        <f t="shared" si="32"/>
        <v>0</v>
      </c>
      <c r="AA146" s="50">
        <f t="shared" si="33"/>
        <v>0</v>
      </c>
      <c r="AB146" s="50">
        <f t="shared" si="34"/>
        <v>0</v>
      </c>
      <c r="AC146" s="50">
        <f t="shared" si="30"/>
        <v>0</v>
      </c>
      <c r="AD146" s="50">
        <f t="shared" si="25"/>
        <v>0</v>
      </c>
      <c r="AE146">
        <f t="shared" si="31"/>
        <v>30</v>
      </c>
      <c r="AF146" s="12">
        <f>LCOE!E172+LCOE!E$40</f>
        <v>0.03</v>
      </c>
      <c r="AG146">
        <f t="shared" si="26"/>
        <v>9.4542934376765846</v>
      </c>
      <c r="AH146" s="16">
        <f t="shared" si="21"/>
        <v>0</v>
      </c>
      <c r="AI146" s="16">
        <f t="shared" si="22"/>
        <v>0</v>
      </c>
      <c r="AJ146" s="16">
        <f t="shared" si="23"/>
        <v>0</v>
      </c>
      <c r="AK146" s="16">
        <f t="shared" si="24"/>
        <v>0</v>
      </c>
      <c r="AL146" s="16">
        <f t="shared" si="27"/>
        <v>0</v>
      </c>
      <c r="AM146" s="16">
        <f t="shared" si="28"/>
        <v>0</v>
      </c>
      <c r="AN146" s="16">
        <f>IF(LCOE!E$14&gt;0,G146,H146)/AG146</f>
        <v>0</v>
      </c>
    </row>
    <row r="147" spans="1:40">
      <c r="A147">
        <v>77</v>
      </c>
      <c r="C147" s="16">
        <f>LCOE!E173+IF(AND(LCOE!E$26&gt;0,A147&gt;=LCOE!E$26,A147&lt;=(LCOE!E$26+LCOE!E$27-1)),LCOE!E$42/LCOE!E$27,0)+IF(AND(D147=0,AE147&gt;=LCOE!E$16,COUNTIF(D122:D147,0)=LCOE!E$36),LCOE!E$35*LCOE!E$38,0)</f>
        <v>0</v>
      </c>
      <c r="D147" s="16">
        <f>IF(AE146&lt;LCOE!E$16,1,0)</f>
        <v>0</v>
      </c>
      <c r="E147" s="12">
        <f>LCOE!G173+IF(AND(A147&gt;=LCOE!E$26,A147&lt;=(LCOE!E$26+LCOE!E$27-1)),0,1)*IF(A147=LCOE!E$34,0,1)*D147</f>
        <v>0</v>
      </c>
      <c r="F147" s="12">
        <f>IF(F146&lt;LCOE!E$18,MIN(F146*(1+LCOE!E$19),LCOE!E$18),LCOE!E$18)+LCOE!J173</f>
        <v>0.9</v>
      </c>
      <c r="G147" s="16">
        <f>LCOE!K173+E147*F147*N147*(LCOE!E$14+LCOE!H173)*24*365*D147</f>
        <v>0</v>
      </c>
      <c r="H147" s="16">
        <f>LCOE!L173+F147*(LCOE!E$15+LCOE!I173)*E147*24*365*D147*N147</f>
        <v>0</v>
      </c>
      <c r="I147" s="16">
        <f>LCOE!M173+LCOE!E$20*IF(LCOE!E$14&gt;0,(LCOE!E$14+LCOE!H173),(LCOE!E$15+LCOE!I173))*K147*D147</f>
        <v>0</v>
      </c>
      <c r="J147" s="16">
        <f>LCOE!N173+LCOE!E$21*IF(LCOE!E$14&gt;0,G147,H147)*K147*D147</f>
        <v>0</v>
      </c>
      <c r="K147" s="15">
        <f>LCOE!O173+K146+K146*LCOE!E$22</f>
        <v>1</v>
      </c>
      <c r="L147" s="16">
        <f>LCOE!P173+LCOE!E$23*IF(LCOE!E$14&gt;0,G147,H147)*M147*D147</f>
        <v>0</v>
      </c>
      <c r="M147" s="15">
        <f>LCOE!Q173+M146+M146*LCOE!E$24</f>
        <v>1</v>
      </c>
      <c r="N147" s="15">
        <f>LCOE!R173+N146-N146*LCOE!E$25</f>
        <v>1</v>
      </c>
      <c r="O147" s="18">
        <f>LCOE!S173+LCOE!E$29</f>
        <v>313.75</v>
      </c>
      <c r="P147" s="12">
        <f>LCOE!T173+IF(A147&gt;=LCOE!E$30,100%,0%)</f>
        <v>1</v>
      </c>
      <c r="Q147" s="16">
        <f>LCOE!U173+O147/1000*IF(LCOE!E$14&gt;0,G147,H147)</f>
        <v>0</v>
      </c>
      <c r="R147" s="16">
        <f>LCOE!B173</f>
        <v>30</v>
      </c>
      <c r="S147" s="16">
        <f>LCOE!V173+Q147*P147*R147</f>
        <v>0</v>
      </c>
      <c r="T147" s="16">
        <f>LCOE!W173+LCOE!E$31</f>
        <v>0</v>
      </c>
      <c r="U147" s="16">
        <f>LCOE!X173+T147*IF(LCOE!E$14&gt;0,G147,H147)</f>
        <v>0</v>
      </c>
      <c r="V147" s="16">
        <f>LCOE!Y173+LCOE!E$32</f>
        <v>0</v>
      </c>
      <c r="W147" s="16">
        <f>LCOE!Z173+V147*IF(LCOE!E$14&gt;0,G147,H147)</f>
        <v>0</v>
      </c>
      <c r="X147" s="16">
        <f>LCOE!AA173+LCOE!E$34</f>
        <v>101</v>
      </c>
      <c r="Y147" s="16">
        <f t="shared" si="29"/>
        <v>0</v>
      </c>
      <c r="Z147" s="50">
        <f t="shared" si="32"/>
        <v>0</v>
      </c>
      <c r="AA147" s="50">
        <f t="shared" si="33"/>
        <v>0</v>
      </c>
      <c r="AB147" s="50">
        <f t="shared" si="34"/>
        <v>0</v>
      </c>
      <c r="AC147" s="50">
        <f t="shared" si="30"/>
        <v>0</v>
      </c>
      <c r="AD147" s="50">
        <f t="shared" si="25"/>
        <v>0</v>
      </c>
      <c r="AE147">
        <f t="shared" si="31"/>
        <v>30</v>
      </c>
      <c r="AF147" s="12">
        <f>LCOE!E173+LCOE!E$40</f>
        <v>0.03</v>
      </c>
      <c r="AG147">
        <f t="shared" si="26"/>
        <v>9.7379222408068813</v>
      </c>
      <c r="AH147" s="16">
        <f t="shared" si="21"/>
        <v>0</v>
      </c>
      <c r="AI147" s="16">
        <f t="shared" si="22"/>
        <v>0</v>
      </c>
      <c r="AJ147" s="16">
        <f t="shared" si="23"/>
        <v>0</v>
      </c>
      <c r="AK147" s="16">
        <f t="shared" si="24"/>
        <v>0</v>
      </c>
      <c r="AL147" s="16">
        <f t="shared" si="27"/>
        <v>0</v>
      </c>
      <c r="AM147" s="16">
        <f t="shared" si="28"/>
        <v>0</v>
      </c>
      <c r="AN147" s="16">
        <f>IF(LCOE!E$14&gt;0,G147,H147)/AG147</f>
        <v>0</v>
      </c>
    </row>
    <row r="148" spans="1:40">
      <c r="A148">
        <v>78</v>
      </c>
      <c r="C148" s="16">
        <f>LCOE!E174+IF(AND(LCOE!E$26&gt;0,A148&gt;=LCOE!E$26,A148&lt;=(LCOE!E$26+LCOE!E$27-1)),LCOE!E$42/LCOE!E$27,0)+IF(AND(D148=0,AE148&gt;=LCOE!E$16,COUNTIF(D123:D148,0)=LCOE!E$36),LCOE!E$35*LCOE!E$38,0)</f>
        <v>0</v>
      </c>
      <c r="D148" s="16">
        <f>IF(AE147&lt;LCOE!E$16,1,0)</f>
        <v>0</v>
      </c>
      <c r="E148" s="12">
        <f>LCOE!G174+IF(AND(A148&gt;=LCOE!E$26,A148&lt;=(LCOE!E$26+LCOE!E$27-1)),0,1)*IF(A148=LCOE!E$34,0,1)*D148</f>
        <v>0</v>
      </c>
      <c r="F148" s="12">
        <f>IF(F147&lt;LCOE!E$18,MIN(F147*(1+LCOE!E$19),LCOE!E$18),LCOE!E$18)+LCOE!J174</f>
        <v>0.9</v>
      </c>
      <c r="G148" s="16">
        <f>LCOE!K174+E148*F148*N148*(LCOE!E$14+LCOE!H174)*24*365*D148</f>
        <v>0</v>
      </c>
      <c r="H148" s="16">
        <f>LCOE!L174+F148*(LCOE!E$15+LCOE!I174)*E148*24*365*D148*N148</f>
        <v>0</v>
      </c>
      <c r="I148" s="16">
        <f>LCOE!M174+LCOE!E$20*IF(LCOE!E$14&gt;0,(LCOE!E$14+LCOE!H174),(LCOE!E$15+LCOE!I174))*K148*D148</f>
        <v>0</v>
      </c>
      <c r="J148" s="16">
        <f>LCOE!N174+LCOE!E$21*IF(LCOE!E$14&gt;0,G148,H148)*K148*D148</f>
        <v>0</v>
      </c>
      <c r="K148" s="15">
        <f>LCOE!O174+K147+K147*LCOE!E$22</f>
        <v>1</v>
      </c>
      <c r="L148" s="16">
        <f>LCOE!P174+LCOE!E$23*IF(LCOE!E$14&gt;0,G148,H148)*M148*D148</f>
        <v>0</v>
      </c>
      <c r="M148" s="15">
        <f>LCOE!Q174+M147+M147*LCOE!E$24</f>
        <v>1</v>
      </c>
      <c r="N148" s="15">
        <f>LCOE!R174+N147-N147*LCOE!E$25</f>
        <v>1</v>
      </c>
      <c r="O148" s="18">
        <f>LCOE!S174+LCOE!E$29</f>
        <v>313.75</v>
      </c>
      <c r="P148" s="12">
        <f>LCOE!T174+IF(A148&gt;=LCOE!E$30,100%,0%)</f>
        <v>1</v>
      </c>
      <c r="Q148" s="16">
        <f>LCOE!U174+O148/1000*IF(LCOE!E$14&gt;0,G148,H148)</f>
        <v>0</v>
      </c>
      <c r="R148" s="16">
        <f>LCOE!B174</f>
        <v>30</v>
      </c>
      <c r="S148" s="16">
        <f>LCOE!V174+Q148*P148*R148</f>
        <v>0</v>
      </c>
      <c r="T148" s="16">
        <f>LCOE!W174+LCOE!E$31</f>
        <v>0</v>
      </c>
      <c r="U148" s="16">
        <f>LCOE!X174+T148*IF(LCOE!E$14&gt;0,G148,H148)</f>
        <v>0</v>
      </c>
      <c r="V148" s="16">
        <f>LCOE!Y174+LCOE!E$32</f>
        <v>0</v>
      </c>
      <c r="W148" s="16">
        <f>LCOE!Z174+V148*IF(LCOE!E$14&gt;0,G148,H148)</f>
        <v>0</v>
      </c>
      <c r="X148" s="16">
        <f>LCOE!AA174+LCOE!E$34</f>
        <v>101</v>
      </c>
      <c r="Y148" s="16">
        <f t="shared" si="29"/>
        <v>0</v>
      </c>
      <c r="Z148" s="50">
        <f t="shared" si="32"/>
        <v>0</v>
      </c>
      <c r="AA148" s="50">
        <f t="shared" si="33"/>
        <v>0</v>
      </c>
      <c r="AB148" s="50">
        <f t="shared" si="34"/>
        <v>0</v>
      </c>
      <c r="AC148" s="50">
        <f t="shared" si="30"/>
        <v>0</v>
      </c>
      <c r="AD148" s="50">
        <f t="shared" si="25"/>
        <v>0</v>
      </c>
      <c r="AE148">
        <f t="shared" si="31"/>
        <v>30</v>
      </c>
      <c r="AF148" s="12">
        <f>LCOE!E174+LCOE!E$40</f>
        <v>0.03</v>
      </c>
      <c r="AG148">
        <f t="shared" si="26"/>
        <v>10.03005990803109</v>
      </c>
      <c r="AH148" s="16">
        <f t="shared" si="21"/>
        <v>0</v>
      </c>
      <c r="AI148" s="16">
        <f t="shared" si="22"/>
        <v>0</v>
      </c>
      <c r="AJ148" s="16">
        <f t="shared" si="23"/>
        <v>0</v>
      </c>
      <c r="AK148" s="16">
        <f t="shared" si="24"/>
        <v>0</v>
      </c>
      <c r="AL148" s="16">
        <f t="shared" si="27"/>
        <v>0</v>
      </c>
      <c r="AM148" s="16">
        <f t="shared" si="28"/>
        <v>0</v>
      </c>
      <c r="AN148" s="16">
        <f>IF(LCOE!E$14&gt;0,G148,H148)/AG148</f>
        <v>0</v>
      </c>
    </row>
    <row r="149" spans="1:40">
      <c r="A149">
        <v>79</v>
      </c>
      <c r="C149" s="16">
        <f>LCOE!E175+IF(AND(LCOE!E$26&gt;0,A149&gt;=LCOE!E$26,A149&lt;=(LCOE!E$26+LCOE!E$27-1)),LCOE!E$42/LCOE!E$27,0)+IF(AND(D149=0,AE149&gt;=LCOE!E$16,COUNTIF(D124:D149,0)=LCOE!E$36),LCOE!E$35*LCOE!E$38,0)</f>
        <v>0</v>
      </c>
      <c r="D149" s="16">
        <f>IF(AE148&lt;LCOE!E$16,1,0)</f>
        <v>0</v>
      </c>
      <c r="E149" s="12">
        <f>LCOE!G175+IF(AND(A149&gt;=LCOE!E$26,A149&lt;=(LCOE!E$26+LCOE!E$27-1)),0,1)*IF(A149=LCOE!E$34,0,1)*D149</f>
        <v>0</v>
      </c>
      <c r="F149" s="12">
        <f>IF(F148&lt;LCOE!E$18,MIN(F148*(1+LCOE!E$19),LCOE!E$18),LCOE!E$18)+LCOE!J175</f>
        <v>0.9</v>
      </c>
      <c r="G149" s="16">
        <f>LCOE!K175+E149*F149*N149*(LCOE!E$14+LCOE!H175)*24*365*D149</f>
        <v>0</v>
      </c>
      <c r="H149" s="16">
        <f>LCOE!L175+F149*(LCOE!E$15+LCOE!I175)*E149*24*365*D149*N149</f>
        <v>0</v>
      </c>
      <c r="I149" s="16">
        <f>LCOE!M175+LCOE!E$20*IF(LCOE!E$14&gt;0,(LCOE!E$14+LCOE!H175),(LCOE!E$15+LCOE!I175))*K149*D149</f>
        <v>0</v>
      </c>
      <c r="J149" s="16">
        <f>LCOE!N175+LCOE!E$21*IF(LCOE!E$14&gt;0,G149,H149)*K149*D149</f>
        <v>0</v>
      </c>
      <c r="K149" s="15">
        <f>LCOE!O175+K148+K148*LCOE!E$22</f>
        <v>1</v>
      </c>
      <c r="L149" s="16">
        <f>LCOE!P175+LCOE!E$23*IF(LCOE!E$14&gt;0,G149,H149)*M149*D149</f>
        <v>0</v>
      </c>
      <c r="M149" s="15">
        <f>LCOE!Q175+M148+M148*LCOE!E$24</f>
        <v>1</v>
      </c>
      <c r="N149" s="15">
        <f>LCOE!R175+N148-N148*LCOE!E$25</f>
        <v>1</v>
      </c>
      <c r="O149" s="18">
        <f>LCOE!S175+LCOE!E$29</f>
        <v>313.75</v>
      </c>
      <c r="P149" s="12">
        <f>LCOE!T175+IF(A149&gt;=LCOE!E$30,100%,0%)</f>
        <v>1</v>
      </c>
      <c r="Q149" s="16">
        <f>LCOE!U175+O149/1000*IF(LCOE!E$14&gt;0,G149,H149)</f>
        <v>0</v>
      </c>
      <c r="R149" s="16">
        <f>LCOE!B175</f>
        <v>30</v>
      </c>
      <c r="S149" s="16">
        <f>LCOE!V175+Q149*P149*R149</f>
        <v>0</v>
      </c>
      <c r="T149" s="16">
        <f>LCOE!W175+LCOE!E$31</f>
        <v>0</v>
      </c>
      <c r="U149" s="16">
        <f>LCOE!X175+T149*IF(LCOE!E$14&gt;0,G149,H149)</f>
        <v>0</v>
      </c>
      <c r="V149" s="16">
        <f>LCOE!Y175+LCOE!E$32</f>
        <v>0</v>
      </c>
      <c r="W149" s="16">
        <f>LCOE!Z175+V149*IF(LCOE!E$14&gt;0,G149,H149)</f>
        <v>0</v>
      </c>
      <c r="X149" s="16">
        <f>LCOE!AA175+LCOE!E$34</f>
        <v>101</v>
      </c>
      <c r="Y149" s="16">
        <f t="shared" si="29"/>
        <v>0</v>
      </c>
      <c r="Z149" s="50">
        <f t="shared" si="32"/>
        <v>0</v>
      </c>
      <c r="AA149" s="50">
        <f t="shared" si="33"/>
        <v>0</v>
      </c>
      <c r="AB149" s="50">
        <f t="shared" si="34"/>
        <v>0</v>
      </c>
      <c r="AC149" s="50">
        <f t="shared" si="30"/>
        <v>0</v>
      </c>
      <c r="AD149" s="50">
        <f t="shared" si="25"/>
        <v>0</v>
      </c>
      <c r="AE149">
        <f t="shared" si="31"/>
        <v>30</v>
      </c>
      <c r="AF149" s="12">
        <f>LCOE!E175+LCOE!E$40</f>
        <v>0.03</v>
      </c>
      <c r="AG149">
        <f t="shared" si="26"/>
        <v>10.330961705272022</v>
      </c>
      <c r="AH149" s="16">
        <f t="shared" si="21"/>
        <v>0</v>
      </c>
      <c r="AI149" s="16">
        <f t="shared" si="22"/>
        <v>0</v>
      </c>
      <c r="AJ149" s="16">
        <f t="shared" si="23"/>
        <v>0</v>
      </c>
      <c r="AK149" s="16">
        <f t="shared" si="24"/>
        <v>0</v>
      </c>
      <c r="AL149" s="16">
        <f t="shared" si="27"/>
        <v>0</v>
      </c>
      <c r="AM149" s="16">
        <f t="shared" si="28"/>
        <v>0</v>
      </c>
      <c r="AN149" s="16">
        <f>IF(LCOE!E$14&gt;0,G149,H149)/AG149</f>
        <v>0</v>
      </c>
    </row>
    <row r="150" spans="1:40">
      <c r="A150">
        <v>80</v>
      </c>
      <c r="C150" s="16">
        <f>LCOE!E176+IF(AND(LCOE!E$26&gt;0,A150&gt;=LCOE!E$26,A150&lt;=(LCOE!E$26+LCOE!E$27-1)),LCOE!E$42/LCOE!E$27,0)+IF(AND(D150=0,AE150&gt;=LCOE!E$16,COUNTIF(D125:D150,0)=LCOE!E$36),LCOE!E$35*LCOE!E$38,0)</f>
        <v>0</v>
      </c>
      <c r="D150" s="16">
        <f>IF(AE149&lt;LCOE!E$16,1,0)</f>
        <v>0</v>
      </c>
      <c r="E150" s="12">
        <f>LCOE!G176+IF(AND(A150&gt;=LCOE!E$26,A150&lt;=(LCOE!E$26+LCOE!E$27-1)),0,1)*IF(A150=LCOE!E$34,0,1)*D150</f>
        <v>0</v>
      </c>
      <c r="F150" s="12">
        <f>IF(F149&lt;LCOE!E$18,MIN(F149*(1+LCOE!E$19),LCOE!E$18),LCOE!E$18)+LCOE!J176</f>
        <v>0.9</v>
      </c>
      <c r="G150" s="16">
        <f>LCOE!K176+E150*F150*N150*(LCOE!E$14+LCOE!H176)*24*365*D150</f>
        <v>0</v>
      </c>
      <c r="H150" s="16">
        <f>LCOE!L176+F150*(LCOE!E$15+LCOE!I176)*E150*24*365*D150*N150</f>
        <v>0</v>
      </c>
      <c r="I150" s="16">
        <f>LCOE!M176+LCOE!E$20*IF(LCOE!E$14&gt;0,(LCOE!E$14+LCOE!H176),(LCOE!E$15+LCOE!I176))*K150*D150</f>
        <v>0</v>
      </c>
      <c r="J150" s="16">
        <f>LCOE!N176+LCOE!E$21*IF(LCOE!E$14&gt;0,G150,H150)*K150*D150</f>
        <v>0</v>
      </c>
      <c r="K150" s="15">
        <f>LCOE!O176+K149+K149*LCOE!E$22</f>
        <v>1</v>
      </c>
      <c r="L150" s="16">
        <f>LCOE!P176+LCOE!E$23*IF(LCOE!E$14&gt;0,G150,H150)*M150*D150</f>
        <v>0</v>
      </c>
      <c r="M150" s="15">
        <f>LCOE!Q176+M149+M149*LCOE!E$24</f>
        <v>1</v>
      </c>
      <c r="N150" s="15">
        <f>LCOE!R176+N149-N149*LCOE!E$25</f>
        <v>1</v>
      </c>
      <c r="O150" s="18">
        <f>LCOE!S176+LCOE!E$29</f>
        <v>313.75</v>
      </c>
      <c r="P150" s="12">
        <f>LCOE!T176+IF(A150&gt;=LCOE!E$30,100%,0%)</f>
        <v>1</v>
      </c>
      <c r="Q150" s="16">
        <f>LCOE!U176+O150/1000*IF(LCOE!E$14&gt;0,G150,H150)</f>
        <v>0</v>
      </c>
      <c r="R150" s="16">
        <f>LCOE!B176</f>
        <v>30</v>
      </c>
      <c r="S150" s="16">
        <f>LCOE!V176+Q150*P150*R150</f>
        <v>0</v>
      </c>
      <c r="T150" s="16">
        <f>LCOE!W176+LCOE!E$31</f>
        <v>0</v>
      </c>
      <c r="U150" s="16">
        <f>LCOE!X176+T150*IF(LCOE!E$14&gt;0,G150,H150)</f>
        <v>0</v>
      </c>
      <c r="V150" s="16">
        <f>LCOE!Y176+LCOE!E$32</f>
        <v>0</v>
      </c>
      <c r="W150" s="16">
        <f>LCOE!Z176+V150*IF(LCOE!E$14&gt;0,G150,H150)</f>
        <v>0</v>
      </c>
      <c r="X150" s="16">
        <f>LCOE!AA176+LCOE!E$34</f>
        <v>101</v>
      </c>
      <c r="Y150" s="16">
        <f t="shared" si="29"/>
        <v>0</v>
      </c>
      <c r="Z150" s="50">
        <f t="shared" si="32"/>
        <v>0</v>
      </c>
      <c r="AA150" s="50">
        <f t="shared" si="33"/>
        <v>0</v>
      </c>
      <c r="AB150" s="50">
        <f t="shared" si="34"/>
        <v>0</v>
      </c>
      <c r="AC150" s="50">
        <f t="shared" si="30"/>
        <v>0</v>
      </c>
      <c r="AD150" s="50">
        <f t="shared" si="25"/>
        <v>0</v>
      </c>
      <c r="AE150">
        <f t="shared" si="31"/>
        <v>30</v>
      </c>
      <c r="AF150" s="12">
        <f>LCOE!E176+LCOE!E$40</f>
        <v>0.03</v>
      </c>
      <c r="AG150">
        <f t="shared" si="26"/>
        <v>10.640890556430181</v>
      </c>
      <c r="AH150" s="16">
        <f t="shared" si="21"/>
        <v>0</v>
      </c>
      <c r="AI150" s="16">
        <f t="shared" si="22"/>
        <v>0</v>
      </c>
      <c r="AJ150" s="16">
        <f t="shared" si="23"/>
        <v>0</v>
      </c>
      <c r="AK150" s="16">
        <f t="shared" si="24"/>
        <v>0</v>
      </c>
      <c r="AL150" s="16">
        <f t="shared" si="27"/>
        <v>0</v>
      </c>
      <c r="AM150" s="16">
        <f t="shared" si="28"/>
        <v>0</v>
      </c>
      <c r="AN150" s="16">
        <f>IF(LCOE!E$14&gt;0,G150,H150)/AG150</f>
        <v>0</v>
      </c>
    </row>
    <row r="151" spans="1:40">
      <c r="A151">
        <v>81</v>
      </c>
      <c r="C151" s="16">
        <f>LCOE!E177+IF(AND(LCOE!E$26&gt;0,A151&gt;=LCOE!E$26,A151&lt;=(LCOE!E$26+LCOE!E$27-1)),LCOE!E$42/LCOE!E$27,0)+IF(AND(D151=0,AE151&gt;=LCOE!E$16,COUNTIF(D126:D151,0)=LCOE!E$36),LCOE!E$35*LCOE!E$38,0)</f>
        <v>0</v>
      </c>
      <c r="D151" s="16">
        <f>IF(AE150&lt;LCOE!E$16,1,0)</f>
        <v>0</v>
      </c>
      <c r="E151" s="12">
        <f>LCOE!G177+IF(AND(A151&gt;=LCOE!E$26,A151&lt;=(LCOE!E$26+LCOE!E$27-1)),0,1)*IF(A151=LCOE!E$34,0,1)*D151</f>
        <v>0</v>
      </c>
      <c r="F151" s="12">
        <f>IF(F150&lt;LCOE!E$18,MIN(F150*(1+LCOE!E$19),LCOE!E$18),LCOE!E$18)+LCOE!J177</f>
        <v>0.9</v>
      </c>
      <c r="G151" s="16">
        <f>LCOE!K177+E151*F151*N151*(LCOE!E$14+LCOE!H177)*24*365*D151</f>
        <v>0</v>
      </c>
      <c r="H151" s="16">
        <f>LCOE!L177+F151*(LCOE!E$15+LCOE!I177)*E151*24*365*D151*N151</f>
        <v>0</v>
      </c>
      <c r="I151" s="16">
        <f>LCOE!M177+LCOE!E$20*IF(LCOE!E$14&gt;0,(LCOE!E$14+LCOE!H177),(LCOE!E$15+LCOE!I177))*K151*D151</f>
        <v>0</v>
      </c>
      <c r="J151" s="16">
        <f>LCOE!N177+LCOE!E$21*IF(LCOE!E$14&gt;0,G151,H151)*K151*D151</f>
        <v>0</v>
      </c>
      <c r="K151" s="15">
        <f>LCOE!O177+K150+K150*LCOE!E$22</f>
        <v>1</v>
      </c>
      <c r="L151" s="16">
        <f>LCOE!P177+LCOE!E$23*IF(LCOE!E$14&gt;0,G151,H151)*M151*D151</f>
        <v>0</v>
      </c>
      <c r="M151" s="15">
        <f>LCOE!Q177+M150+M150*LCOE!E$24</f>
        <v>1</v>
      </c>
      <c r="N151" s="15">
        <f>LCOE!R177+N150-N150*LCOE!E$25</f>
        <v>1</v>
      </c>
      <c r="O151" s="18">
        <f>LCOE!S177+LCOE!E$29</f>
        <v>313.75</v>
      </c>
      <c r="P151" s="12">
        <f>LCOE!T177+IF(A151&gt;=LCOE!E$30,100%,0%)</f>
        <v>1</v>
      </c>
      <c r="Q151" s="16">
        <f>LCOE!U177+O151/1000*IF(LCOE!E$14&gt;0,G151,H151)</f>
        <v>0</v>
      </c>
      <c r="R151" s="16">
        <f>LCOE!B177</f>
        <v>30</v>
      </c>
      <c r="S151" s="16">
        <f>LCOE!V177+Q151*P151*R151</f>
        <v>0</v>
      </c>
      <c r="T151" s="16">
        <f>LCOE!W177+LCOE!E$31</f>
        <v>0</v>
      </c>
      <c r="U151" s="16">
        <f>LCOE!X177+T151*IF(LCOE!E$14&gt;0,G151,H151)</f>
        <v>0</v>
      </c>
      <c r="V151" s="16">
        <f>LCOE!Y177+LCOE!E$32</f>
        <v>0</v>
      </c>
      <c r="W151" s="16">
        <f>LCOE!Z177+V151*IF(LCOE!E$14&gt;0,G151,H151)</f>
        <v>0</v>
      </c>
      <c r="X151" s="16">
        <f>LCOE!AA177+LCOE!E$34</f>
        <v>101</v>
      </c>
      <c r="Y151" s="16">
        <f t="shared" si="29"/>
        <v>0</v>
      </c>
      <c r="Z151" s="50">
        <f t="shared" si="32"/>
        <v>0</v>
      </c>
      <c r="AA151" s="50">
        <f t="shared" si="33"/>
        <v>0</v>
      </c>
      <c r="AB151" s="50">
        <f t="shared" si="34"/>
        <v>0</v>
      </c>
      <c r="AC151" s="50">
        <f t="shared" si="30"/>
        <v>0</v>
      </c>
      <c r="AD151" s="50">
        <f t="shared" si="25"/>
        <v>0</v>
      </c>
      <c r="AE151">
        <f t="shared" si="31"/>
        <v>30</v>
      </c>
      <c r="AF151" s="12">
        <f>LCOE!E177+LCOE!E$40</f>
        <v>0.03</v>
      </c>
      <c r="AG151">
        <f t="shared" si="26"/>
        <v>10.960117273123087</v>
      </c>
      <c r="AH151" s="16">
        <f t="shared" si="21"/>
        <v>0</v>
      </c>
      <c r="AI151" s="16">
        <f t="shared" si="22"/>
        <v>0</v>
      </c>
      <c r="AJ151" s="16">
        <f t="shared" si="23"/>
        <v>0</v>
      </c>
      <c r="AK151" s="16">
        <f t="shared" si="24"/>
        <v>0</v>
      </c>
      <c r="AL151" s="16">
        <f t="shared" si="27"/>
        <v>0</v>
      </c>
      <c r="AM151" s="16">
        <f t="shared" si="28"/>
        <v>0</v>
      </c>
      <c r="AN151" s="16">
        <f>IF(LCOE!E$14&gt;0,G151,H151)/AG151</f>
        <v>0</v>
      </c>
    </row>
    <row r="152" spans="1:40">
      <c r="A152">
        <v>82</v>
      </c>
      <c r="C152" s="16">
        <f>LCOE!E178+IF(AND(LCOE!E$26&gt;0,A152&gt;=LCOE!E$26,A152&lt;=(LCOE!E$26+LCOE!E$27-1)),LCOE!E$42/LCOE!E$27,0)+IF(AND(D152=0,AE152&gt;=LCOE!E$16,COUNTIF(D127:D152,0)=LCOE!E$36),LCOE!E$35*LCOE!E$38,0)</f>
        <v>0</v>
      </c>
      <c r="D152" s="16">
        <f>IF(AE151&lt;LCOE!E$16,1,0)</f>
        <v>0</v>
      </c>
      <c r="E152" s="12">
        <f>LCOE!G178+IF(AND(A152&gt;=LCOE!E$26,A152&lt;=(LCOE!E$26+LCOE!E$27-1)),0,1)*IF(A152=LCOE!E$34,0,1)*D152</f>
        <v>0</v>
      </c>
      <c r="F152" s="12">
        <f>IF(F151&lt;LCOE!E$18,MIN(F151*(1+LCOE!E$19),LCOE!E$18),LCOE!E$18)+LCOE!J178</f>
        <v>0.9</v>
      </c>
      <c r="G152" s="16">
        <f>LCOE!K178+E152*F152*N152*(LCOE!E$14+LCOE!H178)*24*365*D152</f>
        <v>0</v>
      </c>
      <c r="H152" s="16">
        <f>LCOE!L178+F152*(LCOE!E$15+LCOE!I178)*E152*24*365*D152*N152</f>
        <v>0</v>
      </c>
      <c r="I152" s="16">
        <f>LCOE!M178+LCOE!E$20*IF(LCOE!E$14&gt;0,(LCOE!E$14+LCOE!H178),(LCOE!E$15+LCOE!I178))*K152*D152</f>
        <v>0</v>
      </c>
      <c r="J152" s="16">
        <f>LCOE!N178+LCOE!E$21*IF(LCOE!E$14&gt;0,G152,H152)*K152*D152</f>
        <v>0</v>
      </c>
      <c r="K152" s="15">
        <f>LCOE!O178+K151+K151*LCOE!E$22</f>
        <v>1</v>
      </c>
      <c r="L152" s="16">
        <f>LCOE!P178+LCOE!E$23*IF(LCOE!E$14&gt;0,G152,H152)*M152*D152</f>
        <v>0</v>
      </c>
      <c r="M152" s="15">
        <f>LCOE!Q178+M151+M151*LCOE!E$24</f>
        <v>1</v>
      </c>
      <c r="N152" s="15">
        <f>LCOE!R178+N151-N151*LCOE!E$25</f>
        <v>1</v>
      </c>
      <c r="O152" s="18">
        <f>LCOE!S178+LCOE!E$29</f>
        <v>313.75</v>
      </c>
      <c r="P152" s="12">
        <f>LCOE!T178+IF(A152&gt;=LCOE!E$30,100%,0%)</f>
        <v>1</v>
      </c>
      <c r="Q152" s="16">
        <f>LCOE!U178+O152/1000*IF(LCOE!E$14&gt;0,G152,H152)</f>
        <v>0</v>
      </c>
      <c r="R152" s="16">
        <f>LCOE!B178</f>
        <v>30</v>
      </c>
      <c r="S152" s="16">
        <f>LCOE!V178+Q152*P152*R152</f>
        <v>0</v>
      </c>
      <c r="T152" s="16">
        <f>LCOE!W178+LCOE!E$31</f>
        <v>0</v>
      </c>
      <c r="U152" s="16">
        <f>LCOE!X178+T152*IF(LCOE!E$14&gt;0,G152,H152)</f>
        <v>0</v>
      </c>
      <c r="V152" s="16">
        <f>LCOE!Y178+LCOE!E$32</f>
        <v>0</v>
      </c>
      <c r="W152" s="16">
        <f>LCOE!Z178+V152*IF(LCOE!E$14&gt;0,G152,H152)</f>
        <v>0</v>
      </c>
      <c r="X152" s="16">
        <f>LCOE!AA178+LCOE!E$34</f>
        <v>101</v>
      </c>
      <c r="Y152" s="16">
        <f t="shared" si="29"/>
        <v>0</v>
      </c>
      <c r="Z152" s="50">
        <f t="shared" si="32"/>
        <v>0</v>
      </c>
      <c r="AA152" s="50">
        <f t="shared" si="33"/>
        <v>0</v>
      </c>
      <c r="AB152" s="50">
        <f t="shared" si="34"/>
        <v>0</v>
      </c>
      <c r="AC152" s="50">
        <f t="shared" si="30"/>
        <v>0</v>
      </c>
      <c r="AD152" s="50">
        <f t="shared" si="25"/>
        <v>0</v>
      </c>
      <c r="AE152">
        <f t="shared" si="31"/>
        <v>30</v>
      </c>
      <c r="AF152" s="12">
        <f>LCOE!E178+LCOE!E$40</f>
        <v>0.03</v>
      </c>
      <c r="AG152">
        <f t="shared" si="26"/>
        <v>11.28892079131678</v>
      </c>
      <c r="AH152" s="16">
        <f t="shared" si="21"/>
        <v>0</v>
      </c>
      <c r="AI152" s="16">
        <f t="shared" si="22"/>
        <v>0</v>
      </c>
      <c r="AJ152" s="16">
        <f t="shared" si="23"/>
        <v>0</v>
      </c>
      <c r="AK152" s="16">
        <f t="shared" si="24"/>
        <v>0</v>
      </c>
      <c r="AL152" s="16">
        <f t="shared" si="27"/>
        <v>0</v>
      </c>
      <c r="AM152" s="16">
        <f t="shared" si="28"/>
        <v>0</v>
      </c>
      <c r="AN152" s="16">
        <f>IF(LCOE!E$14&gt;0,G152,H152)/AG152</f>
        <v>0</v>
      </c>
    </row>
    <row r="153" spans="1:40">
      <c r="A153">
        <v>83</v>
      </c>
      <c r="C153" s="16">
        <f>LCOE!E179+IF(AND(LCOE!E$26&gt;0,A153&gt;=LCOE!E$26,A153&lt;=(LCOE!E$26+LCOE!E$27-1)),LCOE!E$42/LCOE!E$27,0)+IF(AND(D153=0,AE153&gt;=LCOE!E$16,COUNTIF(D128:D153,0)=LCOE!E$36),LCOE!E$35*LCOE!E$38,0)</f>
        <v>0</v>
      </c>
      <c r="D153" s="16">
        <f>IF(AE152&lt;LCOE!E$16,1,0)</f>
        <v>0</v>
      </c>
      <c r="E153" s="12">
        <f>LCOE!G179+IF(AND(A153&gt;=LCOE!E$26,A153&lt;=(LCOE!E$26+LCOE!E$27-1)),0,1)*IF(A153=LCOE!E$34,0,1)*D153</f>
        <v>0</v>
      </c>
      <c r="F153" s="12">
        <f>IF(F152&lt;LCOE!E$18,MIN(F152*(1+LCOE!E$19),LCOE!E$18),LCOE!E$18)+LCOE!J179</f>
        <v>0.9</v>
      </c>
      <c r="G153" s="16">
        <f>LCOE!K179+E153*F153*N153*(LCOE!E$14+LCOE!H179)*24*365*D153</f>
        <v>0</v>
      </c>
      <c r="H153" s="16">
        <f>LCOE!L179+F153*(LCOE!E$15+LCOE!I179)*E153*24*365*D153*N153</f>
        <v>0</v>
      </c>
      <c r="I153" s="16">
        <f>LCOE!M179+LCOE!E$20*IF(LCOE!E$14&gt;0,(LCOE!E$14+LCOE!H179),(LCOE!E$15+LCOE!I179))*K153*D153</f>
        <v>0</v>
      </c>
      <c r="J153" s="16">
        <f>LCOE!N179+LCOE!E$21*IF(LCOE!E$14&gt;0,G153,H153)*K153*D153</f>
        <v>0</v>
      </c>
      <c r="K153" s="15">
        <f>LCOE!O179+K152+K152*LCOE!E$22</f>
        <v>1</v>
      </c>
      <c r="L153" s="16">
        <f>LCOE!P179+LCOE!E$23*IF(LCOE!E$14&gt;0,G153,H153)*M153*D153</f>
        <v>0</v>
      </c>
      <c r="M153" s="15">
        <f>LCOE!Q179+M152+M152*LCOE!E$24</f>
        <v>1</v>
      </c>
      <c r="N153" s="15">
        <f>LCOE!R179+N152-N152*LCOE!E$25</f>
        <v>1</v>
      </c>
      <c r="O153" s="18">
        <f>LCOE!S179+LCOE!E$29</f>
        <v>313.75</v>
      </c>
      <c r="P153" s="12">
        <f>LCOE!T179+IF(A153&gt;=LCOE!E$30,100%,0%)</f>
        <v>1</v>
      </c>
      <c r="Q153" s="16">
        <f>LCOE!U179+O153/1000*IF(LCOE!E$14&gt;0,G153,H153)</f>
        <v>0</v>
      </c>
      <c r="R153" s="16">
        <f>LCOE!B179</f>
        <v>30</v>
      </c>
      <c r="S153" s="16">
        <f>LCOE!V179+Q153*P153*R153</f>
        <v>0</v>
      </c>
      <c r="T153" s="16">
        <f>LCOE!W179+LCOE!E$31</f>
        <v>0</v>
      </c>
      <c r="U153" s="16">
        <f>LCOE!X179+T153*IF(LCOE!E$14&gt;0,G153,H153)</f>
        <v>0</v>
      </c>
      <c r="V153" s="16">
        <f>LCOE!Y179+LCOE!E$32</f>
        <v>0</v>
      </c>
      <c r="W153" s="16">
        <f>LCOE!Z179+V153*IF(LCOE!E$14&gt;0,G153,H153)</f>
        <v>0</v>
      </c>
      <c r="X153" s="16">
        <f>LCOE!AA179+LCOE!E$34</f>
        <v>101</v>
      </c>
      <c r="Y153" s="16">
        <f t="shared" si="29"/>
        <v>0</v>
      </c>
      <c r="Z153" s="50">
        <f t="shared" si="32"/>
        <v>0</v>
      </c>
      <c r="AA153" s="50">
        <f t="shared" si="33"/>
        <v>0</v>
      </c>
      <c r="AB153" s="50">
        <f t="shared" si="34"/>
        <v>0</v>
      </c>
      <c r="AC153" s="50">
        <f t="shared" si="30"/>
        <v>0</v>
      </c>
      <c r="AD153" s="50">
        <f t="shared" si="25"/>
        <v>0</v>
      </c>
      <c r="AE153">
        <f t="shared" si="31"/>
        <v>30</v>
      </c>
      <c r="AF153" s="12">
        <f>LCOE!E179+LCOE!E$40</f>
        <v>0.03</v>
      </c>
      <c r="AG153">
        <f t="shared" si="26"/>
        <v>11.627588415056282</v>
      </c>
      <c r="AH153" s="16">
        <f t="shared" si="21"/>
        <v>0</v>
      </c>
      <c r="AI153" s="16">
        <f t="shared" si="22"/>
        <v>0</v>
      </c>
      <c r="AJ153" s="16">
        <f t="shared" si="23"/>
        <v>0</v>
      </c>
      <c r="AK153" s="16">
        <f t="shared" si="24"/>
        <v>0</v>
      </c>
      <c r="AL153" s="16">
        <f t="shared" si="27"/>
        <v>0</v>
      </c>
      <c r="AM153" s="16">
        <f t="shared" si="28"/>
        <v>0</v>
      </c>
      <c r="AN153" s="16">
        <f>IF(LCOE!E$14&gt;0,G153,H153)/AG153</f>
        <v>0</v>
      </c>
    </row>
    <row r="154" spans="1:40">
      <c r="A154">
        <v>84</v>
      </c>
      <c r="C154" s="16">
        <f>LCOE!E180+IF(AND(LCOE!E$26&gt;0,A154&gt;=LCOE!E$26,A154&lt;=(LCOE!E$26+LCOE!E$27-1)),LCOE!E$42/LCOE!E$27,0)+IF(AND(D154=0,AE154&gt;=LCOE!E$16,COUNTIF(D129:D154,0)=LCOE!E$36),LCOE!E$35*LCOE!E$38,0)</f>
        <v>0</v>
      </c>
      <c r="D154" s="16">
        <f>IF(AE153&lt;LCOE!E$16,1,0)</f>
        <v>0</v>
      </c>
      <c r="E154" s="12">
        <f>LCOE!G180+IF(AND(A154&gt;=LCOE!E$26,A154&lt;=(LCOE!E$26+LCOE!E$27-1)),0,1)*IF(A154=LCOE!E$34,0,1)*D154</f>
        <v>0</v>
      </c>
      <c r="F154" s="12">
        <f>IF(F153&lt;LCOE!E$18,MIN(F153*(1+LCOE!E$19),LCOE!E$18),LCOE!E$18)+LCOE!J180</f>
        <v>0.9</v>
      </c>
      <c r="G154" s="16">
        <f>LCOE!K180+E154*F154*N154*(LCOE!E$14+LCOE!H180)*24*365*D154</f>
        <v>0</v>
      </c>
      <c r="H154" s="16">
        <f>LCOE!L180+F154*(LCOE!E$15+LCOE!I180)*E154*24*365*D154*N154</f>
        <v>0</v>
      </c>
      <c r="I154" s="16">
        <f>LCOE!M180+LCOE!E$20*IF(LCOE!E$14&gt;0,(LCOE!E$14+LCOE!H180),(LCOE!E$15+LCOE!I180))*K154*D154</f>
        <v>0</v>
      </c>
      <c r="J154" s="16">
        <f>LCOE!N180+LCOE!E$21*IF(LCOE!E$14&gt;0,G154,H154)*K154*D154</f>
        <v>0</v>
      </c>
      <c r="K154" s="15">
        <f>LCOE!O180+K153+K153*LCOE!E$22</f>
        <v>1</v>
      </c>
      <c r="L154" s="16">
        <f>LCOE!P180+LCOE!E$23*IF(LCOE!E$14&gt;0,G154,H154)*M154*D154</f>
        <v>0</v>
      </c>
      <c r="M154" s="15">
        <f>LCOE!Q180+M153+M153*LCOE!E$24</f>
        <v>1</v>
      </c>
      <c r="N154" s="15">
        <f>LCOE!R180+N153-N153*LCOE!E$25</f>
        <v>1</v>
      </c>
      <c r="O154" s="18">
        <f>LCOE!S180+LCOE!E$29</f>
        <v>313.75</v>
      </c>
      <c r="P154" s="12">
        <f>LCOE!T180+IF(A154&gt;=LCOE!E$30,100%,0%)</f>
        <v>1</v>
      </c>
      <c r="Q154" s="16">
        <f>LCOE!U180+O154/1000*IF(LCOE!E$14&gt;0,G154,H154)</f>
        <v>0</v>
      </c>
      <c r="R154" s="16">
        <f>LCOE!B180</f>
        <v>30</v>
      </c>
      <c r="S154" s="16">
        <f>LCOE!V180+Q154*P154*R154</f>
        <v>0</v>
      </c>
      <c r="T154" s="16">
        <f>LCOE!W180+LCOE!E$31</f>
        <v>0</v>
      </c>
      <c r="U154" s="16">
        <f>LCOE!X180+T154*IF(LCOE!E$14&gt;0,G154,H154)</f>
        <v>0</v>
      </c>
      <c r="V154" s="16">
        <f>LCOE!Y180+LCOE!E$32</f>
        <v>0</v>
      </c>
      <c r="W154" s="16">
        <f>LCOE!Z180+V154*IF(LCOE!E$14&gt;0,G154,H154)</f>
        <v>0</v>
      </c>
      <c r="X154" s="16">
        <f>LCOE!AA180+LCOE!E$34</f>
        <v>101</v>
      </c>
      <c r="Y154" s="16">
        <f t="shared" si="29"/>
        <v>0</v>
      </c>
      <c r="Z154" s="50">
        <f t="shared" si="32"/>
        <v>0</v>
      </c>
      <c r="AA154" s="50">
        <f t="shared" si="33"/>
        <v>0</v>
      </c>
      <c r="AB154" s="50">
        <f t="shared" si="34"/>
        <v>0</v>
      </c>
      <c r="AC154" s="50">
        <f t="shared" si="30"/>
        <v>0</v>
      </c>
      <c r="AD154" s="50">
        <f t="shared" si="25"/>
        <v>0</v>
      </c>
      <c r="AE154">
        <f t="shared" si="31"/>
        <v>30</v>
      </c>
      <c r="AF154" s="12">
        <f>LCOE!E180+LCOE!E$40</f>
        <v>0.03</v>
      </c>
      <c r="AG154">
        <f t="shared" si="26"/>
        <v>11.976416067507971</v>
      </c>
      <c r="AH154" s="16">
        <f t="shared" si="21"/>
        <v>0</v>
      </c>
      <c r="AI154" s="16">
        <f t="shared" si="22"/>
        <v>0</v>
      </c>
      <c r="AJ154" s="16">
        <f t="shared" si="23"/>
        <v>0</v>
      </c>
      <c r="AK154" s="16">
        <f t="shared" si="24"/>
        <v>0</v>
      </c>
      <c r="AL154" s="16">
        <f t="shared" si="27"/>
        <v>0</v>
      </c>
      <c r="AM154" s="16">
        <f t="shared" si="28"/>
        <v>0</v>
      </c>
      <c r="AN154" s="16">
        <f>IF(LCOE!E$14&gt;0,G154,H154)/AG154</f>
        <v>0</v>
      </c>
    </row>
    <row r="155" spans="1:40">
      <c r="A155">
        <v>85</v>
      </c>
      <c r="C155" s="16">
        <f>LCOE!E181+IF(AND(LCOE!E$26&gt;0,A155&gt;=LCOE!E$26,A155&lt;=(LCOE!E$26+LCOE!E$27-1)),LCOE!E$42/LCOE!E$27,0)+IF(AND(D155=0,AE155&gt;=LCOE!E$16,COUNTIF(D130:D155,0)=LCOE!E$36),LCOE!E$35*LCOE!E$38,0)</f>
        <v>0</v>
      </c>
      <c r="D155" s="16">
        <f>IF(AE154&lt;LCOE!E$16,1,0)</f>
        <v>0</v>
      </c>
      <c r="E155" s="12">
        <f>LCOE!G181+IF(AND(A155&gt;=LCOE!E$26,A155&lt;=(LCOE!E$26+LCOE!E$27-1)),0,1)*IF(A155=LCOE!E$34,0,1)*D155</f>
        <v>0</v>
      </c>
      <c r="F155" s="12">
        <f>IF(F154&lt;LCOE!E$18,MIN(F154*(1+LCOE!E$19),LCOE!E$18),LCOE!E$18)+LCOE!J181</f>
        <v>0.9</v>
      </c>
      <c r="G155" s="16">
        <f>LCOE!K181+E155*F155*N155*(LCOE!E$14+LCOE!H181)*24*365*D155</f>
        <v>0</v>
      </c>
      <c r="H155" s="16">
        <f>LCOE!L181+F155*(LCOE!E$15+LCOE!I181)*E155*24*365*D155*N155</f>
        <v>0</v>
      </c>
      <c r="I155" s="16">
        <f>LCOE!M181+LCOE!E$20*IF(LCOE!E$14&gt;0,(LCOE!E$14+LCOE!H181),(LCOE!E$15+LCOE!I181))*K155*D155</f>
        <v>0</v>
      </c>
      <c r="J155" s="16">
        <f>LCOE!N181+LCOE!E$21*IF(LCOE!E$14&gt;0,G155,H155)*K155*D155</f>
        <v>0</v>
      </c>
      <c r="K155" s="15">
        <f>LCOE!O181+K154+K154*LCOE!E$22</f>
        <v>1</v>
      </c>
      <c r="L155" s="16">
        <f>LCOE!P181+LCOE!E$23*IF(LCOE!E$14&gt;0,G155,H155)*M155*D155</f>
        <v>0</v>
      </c>
      <c r="M155" s="15">
        <f>LCOE!Q181+M154+M154*LCOE!E$24</f>
        <v>1</v>
      </c>
      <c r="N155" s="15">
        <f>LCOE!R181+N154-N154*LCOE!E$25</f>
        <v>1</v>
      </c>
      <c r="O155" s="18">
        <f>LCOE!S181+LCOE!E$29</f>
        <v>313.75</v>
      </c>
      <c r="P155" s="12">
        <f>LCOE!T181+IF(A155&gt;=LCOE!E$30,100%,0%)</f>
        <v>1</v>
      </c>
      <c r="Q155" s="16">
        <f>LCOE!U181+O155/1000*IF(LCOE!E$14&gt;0,G155,H155)</f>
        <v>0</v>
      </c>
      <c r="R155" s="16">
        <f>LCOE!B181</f>
        <v>30</v>
      </c>
      <c r="S155" s="16">
        <f>LCOE!V181+Q155*P155*R155</f>
        <v>0</v>
      </c>
      <c r="T155" s="16">
        <f>LCOE!W181+LCOE!E$31</f>
        <v>0</v>
      </c>
      <c r="U155" s="16">
        <f>LCOE!X181+T155*IF(LCOE!E$14&gt;0,G155,H155)</f>
        <v>0</v>
      </c>
      <c r="V155" s="16">
        <f>LCOE!Y181+LCOE!E$32</f>
        <v>0</v>
      </c>
      <c r="W155" s="16">
        <f>LCOE!Z181+V155*IF(LCOE!E$14&gt;0,G155,H155)</f>
        <v>0</v>
      </c>
      <c r="X155" s="16">
        <f>LCOE!AA181+LCOE!E$34</f>
        <v>101</v>
      </c>
      <c r="Y155" s="16">
        <f t="shared" si="29"/>
        <v>0</v>
      </c>
      <c r="Z155" s="50">
        <f t="shared" si="32"/>
        <v>0</v>
      </c>
      <c r="AA155" s="50">
        <f t="shared" si="33"/>
        <v>0</v>
      </c>
      <c r="AB155" s="50">
        <f t="shared" si="34"/>
        <v>0</v>
      </c>
      <c r="AC155" s="50">
        <f t="shared" si="30"/>
        <v>0</v>
      </c>
      <c r="AD155" s="50">
        <f t="shared" si="25"/>
        <v>0</v>
      </c>
      <c r="AE155">
        <f t="shared" si="31"/>
        <v>30</v>
      </c>
      <c r="AF155" s="12">
        <f>LCOE!E181+LCOE!E$40</f>
        <v>0.03</v>
      </c>
      <c r="AG155">
        <f t="shared" si="26"/>
        <v>12.335708549533209</v>
      </c>
      <c r="AH155" s="16">
        <f t="shared" si="21"/>
        <v>0</v>
      </c>
      <c r="AI155" s="16">
        <f t="shared" si="22"/>
        <v>0</v>
      </c>
      <c r="AJ155" s="16">
        <f t="shared" si="23"/>
        <v>0</v>
      </c>
      <c r="AK155" s="16">
        <f t="shared" si="24"/>
        <v>0</v>
      </c>
      <c r="AL155" s="16">
        <f t="shared" si="27"/>
        <v>0</v>
      </c>
      <c r="AM155" s="16">
        <f t="shared" si="28"/>
        <v>0</v>
      </c>
      <c r="AN155" s="16">
        <f>IF(LCOE!E$14&gt;0,G155,H155)/AG155</f>
        <v>0</v>
      </c>
    </row>
    <row r="156" spans="1:40">
      <c r="A156">
        <v>86</v>
      </c>
      <c r="C156" s="16">
        <f>LCOE!E182+IF(AND(LCOE!E$26&gt;0,A156&gt;=LCOE!E$26,A156&lt;=(LCOE!E$26+LCOE!E$27-1)),LCOE!E$42/LCOE!E$27,0)+IF(AND(D156=0,AE156&gt;=LCOE!E$16,COUNTIF(D131:D156,0)=LCOE!E$36),LCOE!E$35*LCOE!E$38,0)</f>
        <v>0</v>
      </c>
      <c r="D156" s="16">
        <f>IF(AE155&lt;LCOE!E$16,1,0)</f>
        <v>0</v>
      </c>
      <c r="E156" s="12">
        <f>LCOE!G182+IF(AND(A156&gt;=LCOE!E$26,A156&lt;=(LCOE!E$26+LCOE!E$27-1)),0,1)*IF(A156=LCOE!E$34,0,1)*D156</f>
        <v>0</v>
      </c>
      <c r="F156" s="12">
        <f>IF(F155&lt;LCOE!E$18,MIN(F155*(1+LCOE!E$19),LCOE!E$18),LCOE!E$18)+LCOE!J182</f>
        <v>0.9</v>
      </c>
      <c r="G156" s="16">
        <f>LCOE!K182+E156*F156*N156*(LCOE!E$14+LCOE!H182)*24*365*D156</f>
        <v>0</v>
      </c>
      <c r="H156" s="16">
        <f>LCOE!L182+F156*(LCOE!E$15+LCOE!I182)*E156*24*365*D156*N156</f>
        <v>0</v>
      </c>
      <c r="I156" s="16">
        <f>LCOE!M182+LCOE!E$20*IF(LCOE!E$14&gt;0,(LCOE!E$14+LCOE!H182),(LCOE!E$15+LCOE!I182))*K156*D156</f>
        <v>0</v>
      </c>
      <c r="J156" s="16">
        <f>LCOE!N182+LCOE!E$21*IF(LCOE!E$14&gt;0,G156,H156)*K156*D156</f>
        <v>0</v>
      </c>
      <c r="K156" s="15">
        <f>LCOE!O182+K155+K155*LCOE!E$22</f>
        <v>1</v>
      </c>
      <c r="L156" s="16">
        <f>LCOE!P182+LCOE!E$23*IF(LCOE!E$14&gt;0,G156,H156)*M156*D156</f>
        <v>0</v>
      </c>
      <c r="M156" s="15">
        <f>LCOE!Q182+M155+M155*LCOE!E$24</f>
        <v>1</v>
      </c>
      <c r="N156" s="15">
        <f>LCOE!R182+N155-N155*LCOE!E$25</f>
        <v>1</v>
      </c>
      <c r="O156" s="18">
        <f>LCOE!S182+LCOE!E$29</f>
        <v>313.75</v>
      </c>
      <c r="P156" s="12">
        <f>LCOE!T182+IF(A156&gt;=LCOE!E$30,100%,0%)</f>
        <v>1</v>
      </c>
      <c r="Q156" s="16">
        <f>LCOE!U182+O156/1000*IF(LCOE!E$14&gt;0,G156,H156)</f>
        <v>0</v>
      </c>
      <c r="R156" s="16">
        <f>LCOE!B182</f>
        <v>30</v>
      </c>
      <c r="S156" s="16">
        <f>LCOE!V182+Q156*P156*R156</f>
        <v>0</v>
      </c>
      <c r="T156" s="16">
        <f>LCOE!W182+LCOE!E$31</f>
        <v>0</v>
      </c>
      <c r="U156" s="16">
        <f>LCOE!X182+T156*IF(LCOE!E$14&gt;0,G156,H156)</f>
        <v>0</v>
      </c>
      <c r="V156" s="16">
        <f>LCOE!Y182+LCOE!E$32</f>
        <v>0</v>
      </c>
      <c r="W156" s="16">
        <f>LCOE!Z182+V156*IF(LCOE!E$14&gt;0,G156,H156)</f>
        <v>0</v>
      </c>
      <c r="X156" s="16">
        <f>LCOE!AA182+LCOE!E$34</f>
        <v>101</v>
      </c>
      <c r="Y156" s="16">
        <f t="shared" si="29"/>
        <v>0</v>
      </c>
      <c r="Z156" s="50">
        <f t="shared" si="32"/>
        <v>0</v>
      </c>
      <c r="AA156" s="50">
        <f t="shared" si="33"/>
        <v>0</v>
      </c>
      <c r="AB156" s="50">
        <f t="shared" si="34"/>
        <v>0</v>
      </c>
      <c r="AC156" s="50">
        <f t="shared" si="30"/>
        <v>0</v>
      </c>
      <c r="AD156" s="50">
        <f t="shared" si="25"/>
        <v>0</v>
      </c>
      <c r="AE156">
        <f t="shared" si="31"/>
        <v>30</v>
      </c>
      <c r="AF156" s="12">
        <f>LCOE!E182+LCOE!E$40</f>
        <v>0.03</v>
      </c>
      <c r="AG156">
        <f t="shared" si="26"/>
        <v>12.705779806019205</v>
      </c>
      <c r="AH156" s="16">
        <f t="shared" si="21"/>
        <v>0</v>
      </c>
      <c r="AI156" s="16">
        <f t="shared" si="22"/>
        <v>0</v>
      </c>
      <c r="AJ156" s="16">
        <f t="shared" si="23"/>
        <v>0</v>
      </c>
      <c r="AK156" s="16">
        <f t="shared" si="24"/>
        <v>0</v>
      </c>
      <c r="AL156" s="16">
        <f t="shared" si="27"/>
        <v>0</v>
      </c>
      <c r="AM156" s="16">
        <f t="shared" si="28"/>
        <v>0</v>
      </c>
      <c r="AN156" s="16">
        <f>IF(LCOE!E$14&gt;0,G156,H156)/AG156</f>
        <v>0</v>
      </c>
    </row>
    <row r="157" spans="1:40">
      <c r="A157">
        <v>87</v>
      </c>
      <c r="C157" s="16">
        <f>LCOE!E183+IF(AND(LCOE!E$26&gt;0,A157&gt;=LCOE!E$26,A157&lt;=(LCOE!E$26+LCOE!E$27-1)),LCOE!E$42/LCOE!E$27,0)+IF(AND(D157=0,AE157&gt;=LCOE!E$16,COUNTIF(D132:D157,0)=LCOE!E$36),LCOE!E$35*LCOE!E$38,0)</f>
        <v>0</v>
      </c>
      <c r="D157" s="16">
        <f>IF(AE156&lt;LCOE!E$16,1,0)</f>
        <v>0</v>
      </c>
      <c r="E157" s="12">
        <f>LCOE!G183+IF(AND(A157&gt;=LCOE!E$26,A157&lt;=(LCOE!E$26+LCOE!E$27-1)),0,1)*IF(A157=LCOE!E$34,0,1)*D157</f>
        <v>0</v>
      </c>
      <c r="F157" s="12">
        <f>IF(F156&lt;LCOE!E$18,MIN(F156*(1+LCOE!E$19),LCOE!E$18),LCOE!E$18)+LCOE!J183</f>
        <v>0.9</v>
      </c>
      <c r="G157" s="16">
        <f>LCOE!K183+E157*F157*N157*(LCOE!E$14+LCOE!H183)*24*365*D157</f>
        <v>0</v>
      </c>
      <c r="H157" s="16">
        <f>LCOE!L183+F157*(LCOE!E$15+LCOE!I183)*E157*24*365*D157*N157</f>
        <v>0</v>
      </c>
      <c r="I157" s="16">
        <f>LCOE!M183+LCOE!E$20*IF(LCOE!E$14&gt;0,(LCOE!E$14+LCOE!H183),(LCOE!E$15+LCOE!I183))*K157*D157</f>
        <v>0</v>
      </c>
      <c r="J157" s="16">
        <f>LCOE!N183+LCOE!E$21*IF(LCOE!E$14&gt;0,G157,H157)*K157*D157</f>
        <v>0</v>
      </c>
      <c r="K157" s="15">
        <f>LCOE!O183+K156+K156*LCOE!E$22</f>
        <v>1</v>
      </c>
      <c r="L157" s="16">
        <f>LCOE!P183+LCOE!E$23*IF(LCOE!E$14&gt;0,G157,H157)*M157*D157</f>
        <v>0</v>
      </c>
      <c r="M157" s="15">
        <f>LCOE!Q183+M156+M156*LCOE!E$24</f>
        <v>1</v>
      </c>
      <c r="N157" s="15">
        <f>LCOE!R183+N156-N156*LCOE!E$25</f>
        <v>1</v>
      </c>
      <c r="O157" s="18">
        <f>LCOE!S183+LCOE!E$29</f>
        <v>313.75</v>
      </c>
      <c r="P157" s="12">
        <f>LCOE!T183+IF(A157&gt;=LCOE!E$30,100%,0%)</f>
        <v>1</v>
      </c>
      <c r="Q157" s="16">
        <f>LCOE!U183+O157/1000*IF(LCOE!E$14&gt;0,G157,H157)</f>
        <v>0</v>
      </c>
      <c r="R157" s="16">
        <f>LCOE!B183</f>
        <v>30</v>
      </c>
      <c r="S157" s="16">
        <f>LCOE!V183+Q157*P157*R157</f>
        <v>0</v>
      </c>
      <c r="T157" s="16">
        <f>LCOE!W183+LCOE!E$31</f>
        <v>0</v>
      </c>
      <c r="U157" s="16">
        <f>LCOE!X183+T157*IF(LCOE!E$14&gt;0,G157,H157)</f>
        <v>0</v>
      </c>
      <c r="V157" s="16">
        <f>LCOE!Y183+LCOE!E$32</f>
        <v>0</v>
      </c>
      <c r="W157" s="16">
        <f>LCOE!Z183+V157*IF(LCOE!E$14&gt;0,G157,H157)</f>
        <v>0</v>
      </c>
      <c r="X157" s="16">
        <f>LCOE!AA183+LCOE!E$34</f>
        <v>101</v>
      </c>
      <c r="Y157" s="16">
        <f t="shared" si="29"/>
        <v>0</v>
      </c>
      <c r="Z157" s="50">
        <f t="shared" si="32"/>
        <v>0</v>
      </c>
      <c r="AA157" s="50">
        <f t="shared" si="33"/>
        <v>0</v>
      </c>
      <c r="AB157" s="50">
        <f t="shared" si="34"/>
        <v>0</v>
      </c>
      <c r="AC157" s="50">
        <f t="shared" si="30"/>
        <v>0</v>
      </c>
      <c r="AD157" s="50">
        <f t="shared" si="25"/>
        <v>0</v>
      </c>
      <c r="AE157">
        <f t="shared" si="31"/>
        <v>30</v>
      </c>
      <c r="AF157" s="12">
        <f>LCOE!E183+LCOE!E$40</f>
        <v>0.03</v>
      </c>
      <c r="AG157">
        <f t="shared" si="26"/>
        <v>13.086953200199783</v>
      </c>
      <c r="AH157" s="16">
        <f t="shared" si="21"/>
        <v>0</v>
      </c>
      <c r="AI157" s="16">
        <f t="shared" si="22"/>
        <v>0</v>
      </c>
      <c r="AJ157" s="16">
        <f t="shared" si="23"/>
        <v>0</v>
      </c>
      <c r="AK157" s="16">
        <f t="shared" si="24"/>
        <v>0</v>
      </c>
      <c r="AL157" s="16">
        <f t="shared" si="27"/>
        <v>0</v>
      </c>
      <c r="AM157" s="16">
        <f t="shared" si="28"/>
        <v>0</v>
      </c>
      <c r="AN157" s="16">
        <f>IF(LCOE!E$14&gt;0,G157,H157)/AG157</f>
        <v>0</v>
      </c>
    </row>
    <row r="158" spans="1:40">
      <c r="A158">
        <v>88</v>
      </c>
      <c r="C158" s="16">
        <f>LCOE!E184+IF(AND(LCOE!E$26&gt;0,A158&gt;=LCOE!E$26,A158&lt;=(LCOE!E$26+LCOE!E$27-1)),LCOE!E$42/LCOE!E$27,0)+IF(AND(D158=0,AE158&gt;=LCOE!E$16,COUNTIF(D133:D158,0)=LCOE!E$36),LCOE!E$35*LCOE!E$38,0)</f>
        <v>0</v>
      </c>
      <c r="D158" s="16">
        <f>IF(AE157&lt;LCOE!E$16,1,0)</f>
        <v>0</v>
      </c>
      <c r="E158" s="12">
        <f>LCOE!G184+IF(AND(A158&gt;=LCOE!E$26,A158&lt;=(LCOE!E$26+LCOE!E$27-1)),0,1)*IF(A158=LCOE!E$34,0,1)*D158</f>
        <v>0</v>
      </c>
      <c r="F158" s="12">
        <f>IF(F157&lt;LCOE!E$18,MIN(F157*(1+LCOE!E$19),LCOE!E$18),LCOE!E$18)+LCOE!J184</f>
        <v>0.9</v>
      </c>
      <c r="G158" s="16">
        <f>LCOE!K184+E158*F158*N158*(LCOE!E$14+LCOE!H184)*24*365*D158</f>
        <v>0</v>
      </c>
      <c r="H158" s="16">
        <f>LCOE!L184+F158*(LCOE!E$15+LCOE!I184)*E158*24*365*D158*N158</f>
        <v>0</v>
      </c>
      <c r="I158" s="16">
        <f>LCOE!M184+LCOE!E$20*IF(LCOE!E$14&gt;0,(LCOE!E$14+LCOE!H184),(LCOE!E$15+LCOE!I184))*K158*D158</f>
        <v>0</v>
      </c>
      <c r="J158" s="16">
        <f>LCOE!N184+LCOE!E$21*IF(LCOE!E$14&gt;0,G158,H158)*K158*D158</f>
        <v>0</v>
      </c>
      <c r="K158" s="15">
        <f>LCOE!O184+K157+K157*LCOE!E$22</f>
        <v>1</v>
      </c>
      <c r="L158" s="16">
        <f>LCOE!P184+LCOE!E$23*IF(LCOE!E$14&gt;0,G158,H158)*M158*D158</f>
        <v>0</v>
      </c>
      <c r="M158" s="15">
        <f>LCOE!Q184+M157+M157*LCOE!E$24</f>
        <v>1</v>
      </c>
      <c r="N158" s="15">
        <f>LCOE!R184+N157-N157*LCOE!E$25</f>
        <v>1</v>
      </c>
      <c r="O158" s="18">
        <f>LCOE!S184+LCOE!E$29</f>
        <v>313.75</v>
      </c>
      <c r="P158" s="12">
        <f>LCOE!T184+IF(A158&gt;=LCOE!E$30,100%,0%)</f>
        <v>1</v>
      </c>
      <c r="Q158" s="16">
        <f>LCOE!U184+O158/1000*IF(LCOE!E$14&gt;0,G158,H158)</f>
        <v>0</v>
      </c>
      <c r="R158" s="16">
        <f>LCOE!B184</f>
        <v>30</v>
      </c>
      <c r="S158" s="16">
        <f>LCOE!V184+Q158*P158*R158</f>
        <v>0</v>
      </c>
      <c r="T158" s="16">
        <f>LCOE!W184+LCOE!E$31</f>
        <v>0</v>
      </c>
      <c r="U158" s="16">
        <f>LCOE!X184+T158*IF(LCOE!E$14&gt;0,G158,H158)</f>
        <v>0</v>
      </c>
      <c r="V158" s="16">
        <f>LCOE!Y184+LCOE!E$32</f>
        <v>0</v>
      </c>
      <c r="W158" s="16">
        <f>LCOE!Z184+V158*IF(LCOE!E$14&gt;0,G158,H158)</f>
        <v>0</v>
      </c>
      <c r="X158" s="16">
        <f>LCOE!AA184+LCOE!E$34</f>
        <v>101</v>
      </c>
      <c r="Y158" s="16">
        <f t="shared" si="29"/>
        <v>0</v>
      </c>
      <c r="Z158" s="50">
        <f t="shared" si="32"/>
        <v>0</v>
      </c>
      <c r="AA158" s="50">
        <f t="shared" si="33"/>
        <v>0</v>
      </c>
      <c r="AB158" s="50">
        <f t="shared" si="34"/>
        <v>0</v>
      </c>
      <c r="AC158" s="50">
        <f t="shared" si="30"/>
        <v>0</v>
      </c>
      <c r="AD158" s="50">
        <f t="shared" si="25"/>
        <v>0</v>
      </c>
      <c r="AE158">
        <f t="shared" si="31"/>
        <v>30</v>
      </c>
      <c r="AF158" s="12">
        <f>LCOE!E184+LCOE!E$40</f>
        <v>0.03</v>
      </c>
      <c r="AG158">
        <f t="shared" si="26"/>
        <v>13.479561796205774</v>
      </c>
      <c r="AH158" s="16">
        <f t="shared" si="21"/>
        <v>0</v>
      </c>
      <c r="AI158" s="16">
        <f t="shared" si="22"/>
        <v>0</v>
      </c>
      <c r="AJ158" s="16">
        <f t="shared" si="23"/>
        <v>0</v>
      </c>
      <c r="AK158" s="16">
        <f t="shared" si="24"/>
        <v>0</v>
      </c>
      <c r="AL158" s="16">
        <f t="shared" si="27"/>
        <v>0</v>
      </c>
      <c r="AM158" s="16">
        <f t="shared" si="28"/>
        <v>0</v>
      </c>
      <c r="AN158" s="16">
        <f>IF(LCOE!E$14&gt;0,G158,H158)/AG158</f>
        <v>0</v>
      </c>
    </row>
    <row r="159" spans="1:40">
      <c r="A159">
        <v>89</v>
      </c>
      <c r="C159" s="16">
        <f>LCOE!E185+IF(AND(LCOE!E$26&gt;0,A159&gt;=LCOE!E$26,A159&lt;=(LCOE!E$26+LCOE!E$27-1)),LCOE!E$42/LCOE!E$27,0)+IF(AND(D159=0,AE159&gt;=LCOE!E$16,COUNTIF(D134:D159,0)=LCOE!E$36),LCOE!E$35*LCOE!E$38,0)</f>
        <v>0</v>
      </c>
      <c r="D159" s="16">
        <f>IF(AE158&lt;LCOE!E$16,1,0)</f>
        <v>0</v>
      </c>
      <c r="E159" s="12">
        <f>LCOE!G185+IF(AND(A159&gt;=LCOE!E$26,A159&lt;=(LCOE!E$26+LCOE!E$27-1)),0,1)*IF(A159=LCOE!E$34,0,1)*D159</f>
        <v>0</v>
      </c>
      <c r="F159" s="12">
        <f>IF(F158&lt;LCOE!E$18,MIN(F158*(1+LCOE!E$19),LCOE!E$18),LCOE!E$18)+LCOE!J185</f>
        <v>0.9</v>
      </c>
      <c r="G159" s="16">
        <f>LCOE!K185+E159*F159*N159*(LCOE!E$14+LCOE!H185)*24*365*D159</f>
        <v>0</v>
      </c>
      <c r="H159" s="16">
        <f>LCOE!L185+F159*(LCOE!E$15+LCOE!I185)*E159*24*365*D159*N159</f>
        <v>0</v>
      </c>
      <c r="I159" s="16">
        <f>LCOE!M185+LCOE!E$20*IF(LCOE!E$14&gt;0,(LCOE!E$14+LCOE!H185),(LCOE!E$15+LCOE!I185))*K159*D159</f>
        <v>0</v>
      </c>
      <c r="J159" s="16">
        <f>LCOE!N185+LCOE!E$21*IF(LCOE!E$14&gt;0,G159,H159)*K159*D159</f>
        <v>0</v>
      </c>
      <c r="K159" s="15">
        <f>LCOE!O185+K158+K158*LCOE!E$22</f>
        <v>1</v>
      </c>
      <c r="L159" s="16">
        <f>LCOE!P185+LCOE!E$23*IF(LCOE!E$14&gt;0,G159,H159)*M159*D159</f>
        <v>0</v>
      </c>
      <c r="M159" s="15">
        <f>LCOE!Q185+M158+M158*LCOE!E$24</f>
        <v>1</v>
      </c>
      <c r="N159" s="15">
        <f>LCOE!R185+N158-N158*LCOE!E$25</f>
        <v>1</v>
      </c>
      <c r="O159" s="18">
        <f>LCOE!S185+LCOE!E$29</f>
        <v>313.75</v>
      </c>
      <c r="P159" s="12">
        <f>LCOE!T185+IF(A159&gt;=LCOE!E$30,100%,0%)</f>
        <v>1</v>
      </c>
      <c r="Q159" s="16">
        <f>LCOE!U185+O159/1000*IF(LCOE!E$14&gt;0,G159,H159)</f>
        <v>0</v>
      </c>
      <c r="R159" s="16">
        <f>LCOE!B185</f>
        <v>30</v>
      </c>
      <c r="S159" s="16">
        <f>LCOE!V185+Q159*P159*R159</f>
        <v>0</v>
      </c>
      <c r="T159" s="16">
        <f>LCOE!W185+LCOE!E$31</f>
        <v>0</v>
      </c>
      <c r="U159" s="16">
        <f>LCOE!X185+T159*IF(LCOE!E$14&gt;0,G159,H159)</f>
        <v>0</v>
      </c>
      <c r="V159" s="16">
        <f>LCOE!Y185+LCOE!E$32</f>
        <v>0</v>
      </c>
      <c r="W159" s="16">
        <f>LCOE!Z185+V159*IF(LCOE!E$14&gt;0,G159,H159)</f>
        <v>0</v>
      </c>
      <c r="X159" s="16">
        <f>LCOE!AA185+LCOE!E$34</f>
        <v>101</v>
      </c>
      <c r="Y159" s="16">
        <f t="shared" si="29"/>
        <v>0</v>
      </c>
      <c r="Z159" s="50">
        <f t="shared" si="32"/>
        <v>0</v>
      </c>
      <c r="AA159" s="50">
        <f t="shared" si="33"/>
        <v>0</v>
      </c>
      <c r="AB159" s="50">
        <f t="shared" si="34"/>
        <v>0</v>
      </c>
      <c r="AC159" s="50">
        <f t="shared" si="30"/>
        <v>0</v>
      </c>
      <c r="AD159" s="50">
        <f t="shared" si="25"/>
        <v>0</v>
      </c>
      <c r="AE159">
        <f t="shared" si="31"/>
        <v>30</v>
      </c>
      <c r="AF159" s="12">
        <f>LCOE!E185+LCOE!E$40</f>
        <v>0.03</v>
      </c>
      <c r="AG159">
        <f t="shared" si="26"/>
        <v>13.883948650091947</v>
      </c>
      <c r="AH159" s="16">
        <f t="shared" si="21"/>
        <v>0</v>
      </c>
      <c r="AI159" s="16">
        <f t="shared" si="22"/>
        <v>0</v>
      </c>
      <c r="AJ159" s="16">
        <f t="shared" si="23"/>
        <v>0</v>
      </c>
      <c r="AK159" s="16">
        <f t="shared" si="24"/>
        <v>0</v>
      </c>
      <c r="AL159" s="16">
        <f t="shared" si="27"/>
        <v>0</v>
      </c>
      <c r="AM159" s="16">
        <f t="shared" si="28"/>
        <v>0</v>
      </c>
      <c r="AN159" s="16">
        <f>IF(LCOE!E$14&gt;0,G159,H159)/AG159</f>
        <v>0</v>
      </c>
    </row>
    <row r="160" spans="1:40">
      <c r="A160">
        <v>90</v>
      </c>
      <c r="C160" s="16">
        <f>LCOE!E186+IF(AND(LCOE!E$26&gt;0,A160&gt;=LCOE!E$26,A160&lt;=(LCOE!E$26+LCOE!E$27-1)),LCOE!E$42/LCOE!E$27,0)+IF(AND(D160=0,AE160&gt;=LCOE!E$16,COUNTIF(D135:D160,0)=LCOE!E$36),LCOE!E$35*LCOE!E$38,0)</f>
        <v>0</v>
      </c>
      <c r="D160" s="16">
        <f>IF(AE159&lt;LCOE!E$16,1,0)</f>
        <v>0</v>
      </c>
      <c r="E160" s="12">
        <f>LCOE!G186+IF(AND(A160&gt;=LCOE!E$26,A160&lt;=(LCOE!E$26+LCOE!E$27-1)),0,1)*IF(A160=LCOE!E$34,0,1)*D160</f>
        <v>0</v>
      </c>
      <c r="F160" s="12">
        <f>IF(F159&lt;LCOE!E$18,MIN(F159*(1+LCOE!E$19),LCOE!E$18),LCOE!E$18)+LCOE!J186</f>
        <v>0.9</v>
      </c>
      <c r="G160" s="16">
        <f>LCOE!K186+E160*F160*N160*(LCOE!E$14+LCOE!H186)*24*365*D160</f>
        <v>0</v>
      </c>
      <c r="H160" s="16">
        <f>LCOE!L186+F160*(LCOE!E$15+LCOE!I186)*E160*24*365*D160*N160</f>
        <v>0</v>
      </c>
      <c r="I160" s="16">
        <f>LCOE!M186+LCOE!E$20*IF(LCOE!E$14&gt;0,(LCOE!E$14+LCOE!H186),(LCOE!E$15+LCOE!I186))*K160*D160</f>
        <v>0</v>
      </c>
      <c r="J160" s="16">
        <f>LCOE!N186+LCOE!E$21*IF(LCOE!E$14&gt;0,G160,H160)*K160*D160</f>
        <v>0</v>
      </c>
      <c r="K160" s="15">
        <f>LCOE!O186+K159+K159*LCOE!E$22</f>
        <v>1</v>
      </c>
      <c r="L160" s="16">
        <f>LCOE!P186+LCOE!E$23*IF(LCOE!E$14&gt;0,G160,H160)*M160*D160</f>
        <v>0</v>
      </c>
      <c r="M160" s="15">
        <f>LCOE!Q186+M159+M159*LCOE!E$24</f>
        <v>1</v>
      </c>
      <c r="N160" s="15">
        <f>LCOE!R186+N159-N159*LCOE!E$25</f>
        <v>1</v>
      </c>
      <c r="O160" s="18">
        <f>LCOE!S186+LCOE!E$29</f>
        <v>313.75</v>
      </c>
      <c r="P160" s="12">
        <f>LCOE!T186+IF(A160&gt;=LCOE!E$30,100%,0%)</f>
        <v>1</v>
      </c>
      <c r="Q160" s="16">
        <f>LCOE!U186+O160/1000*IF(LCOE!E$14&gt;0,G160,H160)</f>
        <v>0</v>
      </c>
      <c r="R160" s="16">
        <f>LCOE!B186</f>
        <v>30</v>
      </c>
      <c r="S160" s="16">
        <f>LCOE!V186+Q160*P160*R160</f>
        <v>0</v>
      </c>
      <c r="T160" s="16">
        <f>LCOE!W186+LCOE!E$31</f>
        <v>0</v>
      </c>
      <c r="U160" s="16">
        <f>LCOE!X186+T160*IF(LCOE!E$14&gt;0,G160,H160)</f>
        <v>0</v>
      </c>
      <c r="V160" s="16">
        <f>LCOE!Y186+LCOE!E$32</f>
        <v>0</v>
      </c>
      <c r="W160" s="16">
        <f>LCOE!Z186+V160*IF(LCOE!E$14&gt;0,G160,H160)</f>
        <v>0</v>
      </c>
      <c r="X160" s="16">
        <f>LCOE!AA186+LCOE!E$34</f>
        <v>101</v>
      </c>
      <c r="Y160" s="16">
        <f t="shared" si="29"/>
        <v>0</v>
      </c>
      <c r="Z160" s="50">
        <f t="shared" si="32"/>
        <v>0</v>
      </c>
      <c r="AA160" s="50">
        <f t="shared" si="33"/>
        <v>0</v>
      </c>
      <c r="AB160" s="50">
        <f t="shared" si="34"/>
        <v>0</v>
      </c>
      <c r="AC160" s="50">
        <f t="shared" si="30"/>
        <v>0</v>
      </c>
      <c r="AD160" s="50">
        <f t="shared" si="25"/>
        <v>0</v>
      </c>
      <c r="AE160">
        <f t="shared" si="31"/>
        <v>30</v>
      </c>
      <c r="AF160" s="12">
        <f>LCOE!E186+LCOE!E$40</f>
        <v>0.03</v>
      </c>
      <c r="AG160">
        <f t="shared" si="26"/>
        <v>14.300467109594708</v>
      </c>
      <c r="AH160" s="16">
        <f t="shared" si="21"/>
        <v>0</v>
      </c>
      <c r="AI160" s="16">
        <f t="shared" si="22"/>
        <v>0</v>
      </c>
      <c r="AJ160" s="16">
        <f t="shared" si="23"/>
        <v>0</v>
      </c>
      <c r="AK160" s="16">
        <f t="shared" si="24"/>
        <v>0</v>
      </c>
      <c r="AL160" s="16">
        <f t="shared" si="27"/>
        <v>0</v>
      </c>
      <c r="AM160" s="16">
        <f t="shared" si="28"/>
        <v>0</v>
      </c>
      <c r="AN160" s="16">
        <f>IF(LCOE!E$14&gt;0,G160,H160)/AG160</f>
        <v>0</v>
      </c>
    </row>
    <row r="161" spans="1:40">
      <c r="A161">
        <v>91</v>
      </c>
      <c r="C161" s="16">
        <f>LCOE!E187+IF(AND(LCOE!E$26&gt;0,A161&gt;=LCOE!E$26,A161&lt;=(LCOE!E$26+LCOE!E$27-1)),LCOE!E$42/LCOE!E$27,0)+IF(AND(D161=0,AE161&gt;=LCOE!E$16,COUNTIF(D136:D161,0)=LCOE!E$36),LCOE!E$35*LCOE!E$38,0)</f>
        <v>0</v>
      </c>
      <c r="D161" s="16">
        <f>IF(AE160&lt;LCOE!E$16,1,0)</f>
        <v>0</v>
      </c>
      <c r="E161" s="12">
        <f>LCOE!G187+IF(AND(A161&gt;=LCOE!E$26,A161&lt;=(LCOE!E$26+LCOE!E$27-1)),0,1)*IF(A161=LCOE!E$34,0,1)*D161</f>
        <v>0</v>
      </c>
      <c r="F161" s="12">
        <f>IF(F160&lt;LCOE!E$18,MIN(F160*(1+LCOE!E$19),LCOE!E$18),LCOE!E$18)+LCOE!J187</f>
        <v>0.9</v>
      </c>
      <c r="G161" s="16">
        <f>LCOE!K187+E161*F161*N161*(LCOE!E$14+LCOE!H187)*24*365*D161</f>
        <v>0</v>
      </c>
      <c r="H161" s="16">
        <f>LCOE!L187+F161*(LCOE!E$15+LCOE!I187)*E161*24*365*D161*N161</f>
        <v>0</v>
      </c>
      <c r="I161" s="16">
        <f>LCOE!M187+LCOE!E$20*IF(LCOE!E$14&gt;0,(LCOE!E$14+LCOE!H187),(LCOE!E$15+LCOE!I187))*K161*D161</f>
        <v>0</v>
      </c>
      <c r="J161" s="16">
        <f>LCOE!N187+LCOE!E$21*IF(LCOE!E$14&gt;0,G161,H161)*K161*D161</f>
        <v>0</v>
      </c>
      <c r="K161" s="15">
        <f>LCOE!O187+K160+K160*LCOE!E$22</f>
        <v>1</v>
      </c>
      <c r="L161" s="16">
        <f>LCOE!P187+LCOE!E$23*IF(LCOE!E$14&gt;0,G161,H161)*M161*D161</f>
        <v>0</v>
      </c>
      <c r="M161" s="15">
        <f>LCOE!Q187+M160+M160*LCOE!E$24</f>
        <v>1</v>
      </c>
      <c r="N161" s="15">
        <f>LCOE!R187+N160-N160*LCOE!E$25</f>
        <v>1</v>
      </c>
      <c r="O161" s="18">
        <f>LCOE!S187+LCOE!E$29</f>
        <v>313.75</v>
      </c>
      <c r="P161" s="12">
        <f>LCOE!T187+IF(A161&gt;=LCOE!E$30,100%,0%)</f>
        <v>1</v>
      </c>
      <c r="Q161" s="16">
        <f>LCOE!U187+O161/1000*IF(LCOE!E$14&gt;0,G161,H161)</f>
        <v>0</v>
      </c>
      <c r="R161" s="16">
        <f>LCOE!B187</f>
        <v>30</v>
      </c>
      <c r="S161" s="16">
        <f>LCOE!V187+Q161*P161*R161</f>
        <v>0</v>
      </c>
      <c r="T161" s="16">
        <f>LCOE!W187+LCOE!E$31</f>
        <v>0</v>
      </c>
      <c r="U161" s="16">
        <f>LCOE!X187+T161*IF(LCOE!E$14&gt;0,G161,H161)</f>
        <v>0</v>
      </c>
      <c r="V161" s="16">
        <f>LCOE!Y187+LCOE!E$32</f>
        <v>0</v>
      </c>
      <c r="W161" s="16">
        <f>LCOE!Z187+V161*IF(LCOE!E$14&gt;0,G161,H161)</f>
        <v>0</v>
      </c>
      <c r="X161" s="16">
        <f>LCOE!AA187+LCOE!E$34</f>
        <v>101</v>
      </c>
      <c r="Y161" s="16">
        <f t="shared" si="29"/>
        <v>0</v>
      </c>
      <c r="Z161" s="50">
        <f t="shared" si="32"/>
        <v>0</v>
      </c>
      <c r="AA161" s="50">
        <f t="shared" si="33"/>
        <v>0</v>
      </c>
      <c r="AB161" s="50">
        <f t="shared" si="34"/>
        <v>0</v>
      </c>
      <c r="AC161" s="50">
        <f t="shared" si="30"/>
        <v>0</v>
      </c>
      <c r="AD161" s="50">
        <f t="shared" si="25"/>
        <v>0</v>
      </c>
      <c r="AE161">
        <f t="shared" si="31"/>
        <v>30</v>
      </c>
      <c r="AF161" s="12">
        <f>LCOE!E187+LCOE!E$40</f>
        <v>0.03</v>
      </c>
      <c r="AG161">
        <f t="shared" si="26"/>
        <v>14.729481122882547</v>
      </c>
      <c r="AH161" s="16">
        <f t="shared" si="21"/>
        <v>0</v>
      </c>
      <c r="AI161" s="16">
        <f t="shared" si="22"/>
        <v>0</v>
      </c>
      <c r="AJ161" s="16">
        <f t="shared" si="23"/>
        <v>0</v>
      </c>
      <c r="AK161" s="16">
        <f t="shared" si="24"/>
        <v>0</v>
      </c>
      <c r="AL161" s="16">
        <f t="shared" si="27"/>
        <v>0</v>
      </c>
      <c r="AM161" s="16">
        <f t="shared" si="28"/>
        <v>0</v>
      </c>
      <c r="AN161" s="16">
        <f>IF(LCOE!E$14&gt;0,G161,H161)/AG161</f>
        <v>0</v>
      </c>
    </row>
    <row r="162" spans="1:40">
      <c r="A162">
        <v>92</v>
      </c>
      <c r="C162" s="16">
        <f>LCOE!E188+IF(AND(LCOE!E$26&gt;0,A162&gt;=LCOE!E$26,A162&lt;=(LCOE!E$26+LCOE!E$27-1)),LCOE!E$42/LCOE!E$27,0)+IF(AND(D162=0,AE162&gt;=LCOE!E$16,COUNTIF(D137:D162,0)=LCOE!E$36),LCOE!E$35*LCOE!E$38,0)</f>
        <v>0</v>
      </c>
      <c r="D162" s="16">
        <f>IF(AE161&lt;LCOE!E$16,1,0)</f>
        <v>0</v>
      </c>
      <c r="E162" s="12">
        <f>LCOE!G188+IF(AND(A162&gt;=LCOE!E$26,A162&lt;=(LCOE!E$26+LCOE!E$27-1)),0,1)*IF(A162=LCOE!E$34,0,1)*D162</f>
        <v>0</v>
      </c>
      <c r="F162" s="12">
        <f>IF(F161&lt;LCOE!E$18,MIN(F161*(1+LCOE!E$19),LCOE!E$18),LCOE!E$18)+LCOE!J188</f>
        <v>0.9</v>
      </c>
      <c r="G162" s="16">
        <f>LCOE!K188+E162*F162*N162*(LCOE!E$14+LCOE!H188)*24*365*D162</f>
        <v>0</v>
      </c>
      <c r="H162" s="16">
        <f>LCOE!L188+F162*(LCOE!E$15+LCOE!I188)*E162*24*365*D162*N162</f>
        <v>0</v>
      </c>
      <c r="I162" s="16">
        <f>LCOE!M188+LCOE!E$20*IF(LCOE!E$14&gt;0,(LCOE!E$14+LCOE!H188),(LCOE!E$15+LCOE!I188))*K162*D162</f>
        <v>0</v>
      </c>
      <c r="J162" s="16">
        <f>LCOE!N188+LCOE!E$21*IF(LCOE!E$14&gt;0,G162,H162)*K162*D162</f>
        <v>0</v>
      </c>
      <c r="K162" s="15">
        <f>LCOE!O188+K161+K161*LCOE!E$22</f>
        <v>1</v>
      </c>
      <c r="L162" s="16">
        <f>LCOE!P188+LCOE!E$23*IF(LCOE!E$14&gt;0,G162,H162)*M162*D162</f>
        <v>0</v>
      </c>
      <c r="M162" s="15">
        <f>LCOE!Q188+M161+M161*LCOE!E$24</f>
        <v>1</v>
      </c>
      <c r="N162" s="15">
        <f>LCOE!R188+N161-N161*LCOE!E$25</f>
        <v>1</v>
      </c>
      <c r="O162" s="18">
        <f>LCOE!S188+LCOE!E$29</f>
        <v>313.75</v>
      </c>
      <c r="P162" s="12">
        <f>LCOE!T188+IF(A162&gt;=LCOE!E$30,100%,0%)</f>
        <v>1</v>
      </c>
      <c r="Q162" s="16">
        <f>LCOE!U188+O162/1000*IF(LCOE!E$14&gt;0,G162,H162)</f>
        <v>0</v>
      </c>
      <c r="R162" s="16">
        <f>LCOE!B188</f>
        <v>30</v>
      </c>
      <c r="S162" s="16">
        <f>LCOE!V188+Q162*P162*R162</f>
        <v>0</v>
      </c>
      <c r="T162" s="16">
        <f>LCOE!W188+LCOE!E$31</f>
        <v>0</v>
      </c>
      <c r="U162" s="16">
        <f>LCOE!X188+T162*IF(LCOE!E$14&gt;0,G162,H162)</f>
        <v>0</v>
      </c>
      <c r="V162" s="16">
        <f>LCOE!Y188+LCOE!E$32</f>
        <v>0</v>
      </c>
      <c r="W162" s="16">
        <f>LCOE!Z188+V162*IF(LCOE!E$14&gt;0,G162,H162)</f>
        <v>0</v>
      </c>
      <c r="X162" s="16">
        <f>LCOE!AA188+LCOE!E$34</f>
        <v>101</v>
      </c>
      <c r="Y162" s="16">
        <f t="shared" si="29"/>
        <v>0</v>
      </c>
      <c r="Z162" s="50">
        <f t="shared" si="32"/>
        <v>0</v>
      </c>
      <c r="AA162" s="50">
        <f t="shared" si="33"/>
        <v>0</v>
      </c>
      <c r="AB162" s="50">
        <f t="shared" si="34"/>
        <v>0</v>
      </c>
      <c r="AC162" s="50">
        <f t="shared" si="30"/>
        <v>0</v>
      </c>
      <c r="AD162" s="50">
        <f t="shared" si="25"/>
        <v>0</v>
      </c>
      <c r="AE162">
        <f t="shared" si="31"/>
        <v>30</v>
      </c>
      <c r="AF162" s="12">
        <f>LCOE!E188+LCOE!E$40</f>
        <v>0.03</v>
      </c>
      <c r="AG162">
        <f t="shared" si="26"/>
        <v>15.171365556569024</v>
      </c>
      <c r="AH162" s="16">
        <f t="shared" si="21"/>
        <v>0</v>
      </c>
      <c r="AI162" s="16">
        <f t="shared" si="22"/>
        <v>0</v>
      </c>
      <c r="AJ162" s="16">
        <f t="shared" si="23"/>
        <v>0</v>
      </c>
      <c r="AK162" s="16">
        <f t="shared" si="24"/>
        <v>0</v>
      </c>
      <c r="AL162" s="16">
        <f t="shared" si="27"/>
        <v>0</v>
      </c>
      <c r="AM162" s="16">
        <f t="shared" si="28"/>
        <v>0</v>
      </c>
      <c r="AN162" s="16">
        <f>IF(LCOE!E$14&gt;0,G162,H162)/AG162</f>
        <v>0</v>
      </c>
    </row>
    <row r="163" spans="1:40">
      <c r="A163">
        <v>93</v>
      </c>
      <c r="C163" s="16">
        <f>LCOE!E189+IF(AND(LCOE!E$26&gt;0,A163&gt;=LCOE!E$26,A163&lt;=(LCOE!E$26+LCOE!E$27-1)),LCOE!E$42/LCOE!E$27,0)+IF(AND(D163=0,AE163&gt;=LCOE!E$16,COUNTIF(D138:D163,0)=LCOE!E$36),LCOE!E$35*LCOE!E$38,0)</f>
        <v>0</v>
      </c>
      <c r="D163" s="16">
        <f>IF(AE162&lt;LCOE!E$16,1,0)</f>
        <v>0</v>
      </c>
      <c r="E163" s="12">
        <f>LCOE!G189+IF(AND(A163&gt;=LCOE!E$26,A163&lt;=(LCOE!E$26+LCOE!E$27-1)),0,1)*IF(A163=LCOE!E$34,0,1)*D163</f>
        <v>0</v>
      </c>
      <c r="F163" s="12">
        <f>IF(F162&lt;LCOE!E$18,MIN(F162*(1+LCOE!E$19),LCOE!E$18),LCOE!E$18)+LCOE!J189</f>
        <v>0.9</v>
      </c>
      <c r="G163" s="16">
        <f>LCOE!K189+E163*F163*N163*(LCOE!E$14+LCOE!H189)*24*365*D163</f>
        <v>0</v>
      </c>
      <c r="H163" s="16">
        <f>LCOE!L189+F163*(LCOE!E$15+LCOE!I189)*E163*24*365*D163*N163</f>
        <v>0</v>
      </c>
      <c r="I163" s="16">
        <f>LCOE!M189+LCOE!E$20*IF(LCOE!E$14&gt;0,(LCOE!E$14+LCOE!H189),(LCOE!E$15+LCOE!I189))*K163*D163</f>
        <v>0</v>
      </c>
      <c r="J163" s="16">
        <f>LCOE!N189+LCOE!E$21*IF(LCOE!E$14&gt;0,G163,H163)*K163*D163</f>
        <v>0</v>
      </c>
      <c r="K163" s="15">
        <f>LCOE!O189+K162+K162*LCOE!E$22</f>
        <v>1</v>
      </c>
      <c r="L163" s="16">
        <f>LCOE!P189+LCOE!E$23*IF(LCOE!E$14&gt;0,G163,H163)*M163*D163</f>
        <v>0</v>
      </c>
      <c r="M163" s="15">
        <f>LCOE!Q189+M162+M162*LCOE!E$24</f>
        <v>1</v>
      </c>
      <c r="N163" s="15">
        <f>LCOE!R189+N162-N162*LCOE!E$25</f>
        <v>1</v>
      </c>
      <c r="O163" s="18">
        <f>LCOE!S189+LCOE!E$29</f>
        <v>313.75</v>
      </c>
      <c r="P163" s="12">
        <f>LCOE!T189+IF(A163&gt;=LCOE!E$30,100%,0%)</f>
        <v>1</v>
      </c>
      <c r="Q163" s="16">
        <f>LCOE!U189+O163/1000*IF(LCOE!E$14&gt;0,G163,H163)</f>
        <v>0</v>
      </c>
      <c r="R163" s="16">
        <f>LCOE!B189</f>
        <v>30</v>
      </c>
      <c r="S163" s="16">
        <f>LCOE!V189+Q163*P163*R163</f>
        <v>0</v>
      </c>
      <c r="T163" s="16">
        <f>LCOE!W189+LCOE!E$31</f>
        <v>0</v>
      </c>
      <c r="U163" s="16">
        <f>LCOE!X189+T163*IF(LCOE!E$14&gt;0,G163,H163)</f>
        <v>0</v>
      </c>
      <c r="V163" s="16">
        <f>LCOE!Y189+LCOE!E$32</f>
        <v>0</v>
      </c>
      <c r="W163" s="16">
        <f>LCOE!Z189+V163*IF(LCOE!E$14&gt;0,G163,H163)</f>
        <v>0</v>
      </c>
      <c r="X163" s="16">
        <f>LCOE!AA189+LCOE!E$34</f>
        <v>101</v>
      </c>
      <c r="Y163" s="16">
        <f t="shared" si="29"/>
        <v>0</v>
      </c>
      <c r="Z163" s="50">
        <f t="shared" si="32"/>
        <v>0</v>
      </c>
      <c r="AA163" s="50">
        <f t="shared" si="33"/>
        <v>0</v>
      </c>
      <c r="AB163" s="50">
        <f t="shared" si="34"/>
        <v>0</v>
      </c>
      <c r="AC163" s="50">
        <f t="shared" si="30"/>
        <v>0</v>
      </c>
      <c r="AD163" s="50">
        <f t="shared" si="25"/>
        <v>0</v>
      </c>
      <c r="AE163">
        <f t="shared" si="31"/>
        <v>30</v>
      </c>
      <c r="AF163" s="12">
        <f>LCOE!E189+LCOE!E$40</f>
        <v>0.03</v>
      </c>
      <c r="AG163">
        <f t="shared" si="26"/>
        <v>15.626506523266093</v>
      </c>
      <c r="AH163" s="16">
        <f t="shared" si="21"/>
        <v>0</v>
      </c>
      <c r="AI163" s="16">
        <f t="shared" si="22"/>
        <v>0</v>
      </c>
      <c r="AJ163" s="16">
        <f t="shared" si="23"/>
        <v>0</v>
      </c>
      <c r="AK163" s="16">
        <f t="shared" si="24"/>
        <v>0</v>
      </c>
      <c r="AL163" s="16">
        <f t="shared" si="27"/>
        <v>0</v>
      </c>
      <c r="AM163" s="16">
        <f t="shared" si="28"/>
        <v>0</v>
      </c>
      <c r="AN163" s="16">
        <f>IF(LCOE!E$14&gt;0,G163,H163)/AG163</f>
        <v>0</v>
      </c>
    </row>
    <row r="164" spans="1:40">
      <c r="A164">
        <v>94</v>
      </c>
      <c r="C164" s="16">
        <f>LCOE!E190+IF(AND(LCOE!E$26&gt;0,A164&gt;=LCOE!E$26,A164&lt;=(LCOE!E$26+LCOE!E$27-1)),LCOE!E$42/LCOE!E$27,0)+IF(AND(D164=0,AE164&gt;=LCOE!E$16,COUNTIF(D139:D164,0)=LCOE!E$36),LCOE!E$35*LCOE!E$38,0)</f>
        <v>0</v>
      </c>
      <c r="D164" s="16">
        <f>IF(AE163&lt;LCOE!E$16,1,0)</f>
        <v>0</v>
      </c>
      <c r="E164" s="12">
        <f>LCOE!G190+IF(AND(A164&gt;=LCOE!E$26,A164&lt;=(LCOE!E$26+LCOE!E$27-1)),0,1)*IF(A164=LCOE!E$34,0,1)*D164</f>
        <v>0</v>
      </c>
      <c r="F164" s="12">
        <f>IF(F163&lt;LCOE!E$18,MIN(F163*(1+LCOE!E$19),LCOE!E$18),LCOE!E$18)+LCOE!J190</f>
        <v>0.9</v>
      </c>
      <c r="G164" s="16">
        <f>LCOE!K190+E164*F164*N164*(LCOE!E$14+LCOE!H190)*24*365*D164</f>
        <v>0</v>
      </c>
      <c r="H164" s="16">
        <f>LCOE!L190+F164*(LCOE!E$15+LCOE!I190)*E164*24*365*D164*N164</f>
        <v>0</v>
      </c>
      <c r="I164" s="16">
        <f>LCOE!M190+LCOE!E$20*IF(LCOE!E$14&gt;0,(LCOE!E$14+LCOE!H190),(LCOE!E$15+LCOE!I190))*K164*D164</f>
        <v>0</v>
      </c>
      <c r="J164" s="16">
        <f>LCOE!N190+LCOE!E$21*IF(LCOE!E$14&gt;0,G164,H164)*K164*D164</f>
        <v>0</v>
      </c>
      <c r="K164" s="15">
        <f>LCOE!O190+K163+K163*LCOE!E$22</f>
        <v>1</v>
      </c>
      <c r="L164" s="16">
        <f>LCOE!P190+LCOE!E$23*IF(LCOE!E$14&gt;0,G164,H164)*M164*D164</f>
        <v>0</v>
      </c>
      <c r="M164" s="15">
        <f>LCOE!Q190+M163+M163*LCOE!E$24</f>
        <v>1</v>
      </c>
      <c r="N164" s="15">
        <f>LCOE!R190+N163-N163*LCOE!E$25</f>
        <v>1</v>
      </c>
      <c r="O164" s="18">
        <f>LCOE!S190+LCOE!E$29</f>
        <v>313.75</v>
      </c>
      <c r="P164" s="12">
        <f>LCOE!T190+IF(A164&gt;=LCOE!E$30,100%,0%)</f>
        <v>1</v>
      </c>
      <c r="Q164" s="16">
        <f>LCOE!U190+O164/1000*IF(LCOE!E$14&gt;0,G164,H164)</f>
        <v>0</v>
      </c>
      <c r="R164" s="16">
        <f>LCOE!B190</f>
        <v>30</v>
      </c>
      <c r="S164" s="16">
        <f>LCOE!V190+Q164*P164*R164</f>
        <v>0</v>
      </c>
      <c r="T164" s="16">
        <f>LCOE!W190+LCOE!E$31</f>
        <v>0</v>
      </c>
      <c r="U164" s="16">
        <f>LCOE!X190+T164*IF(LCOE!E$14&gt;0,G164,H164)</f>
        <v>0</v>
      </c>
      <c r="V164" s="16">
        <f>LCOE!Y190+LCOE!E$32</f>
        <v>0</v>
      </c>
      <c r="W164" s="16">
        <f>LCOE!Z190+V164*IF(LCOE!E$14&gt;0,G164,H164)</f>
        <v>0</v>
      </c>
      <c r="X164" s="16">
        <f>LCOE!AA190+LCOE!E$34</f>
        <v>101</v>
      </c>
      <c r="Y164" s="16">
        <f t="shared" si="29"/>
        <v>0</v>
      </c>
      <c r="Z164" s="50">
        <f t="shared" si="32"/>
        <v>0</v>
      </c>
      <c r="AA164" s="50">
        <f t="shared" si="33"/>
        <v>0</v>
      </c>
      <c r="AB164" s="50">
        <f t="shared" si="34"/>
        <v>0</v>
      </c>
      <c r="AC164" s="50">
        <f t="shared" si="30"/>
        <v>0</v>
      </c>
      <c r="AD164" s="50">
        <f t="shared" si="25"/>
        <v>0</v>
      </c>
      <c r="AE164">
        <f t="shared" si="31"/>
        <v>30</v>
      </c>
      <c r="AF164" s="12">
        <f>LCOE!E190+LCOE!E$40</f>
        <v>0.03</v>
      </c>
      <c r="AG164">
        <f t="shared" si="26"/>
        <v>16.095301718964077</v>
      </c>
      <c r="AH164" s="16">
        <f t="shared" si="21"/>
        <v>0</v>
      </c>
      <c r="AI164" s="16">
        <f t="shared" si="22"/>
        <v>0</v>
      </c>
      <c r="AJ164" s="16">
        <f t="shared" si="23"/>
        <v>0</v>
      </c>
      <c r="AK164" s="16">
        <f t="shared" si="24"/>
        <v>0</v>
      </c>
      <c r="AL164" s="16">
        <f t="shared" si="27"/>
        <v>0</v>
      </c>
      <c r="AM164" s="16">
        <f t="shared" si="28"/>
        <v>0</v>
      </c>
      <c r="AN164" s="16">
        <f>IF(LCOE!E$14&gt;0,G164,H164)/AG164</f>
        <v>0</v>
      </c>
    </row>
    <row r="165" spans="1:40">
      <c r="A165">
        <v>95</v>
      </c>
      <c r="C165" s="16">
        <f>LCOE!E191+IF(AND(LCOE!E$26&gt;0,A165&gt;=LCOE!E$26,A165&lt;=(LCOE!E$26+LCOE!E$27-1)),LCOE!E$42/LCOE!E$27,0)+IF(AND(D165=0,AE165&gt;=LCOE!E$16,COUNTIF(D140:D165,0)=LCOE!E$36),LCOE!E$35*LCOE!E$38,0)</f>
        <v>0</v>
      </c>
      <c r="D165" s="16">
        <f>IF(AE164&lt;LCOE!E$16,1,0)</f>
        <v>0</v>
      </c>
      <c r="E165" s="12">
        <f>LCOE!G191+IF(AND(A165&gt;=LCOE!E$26,A165&lt;=(LCOE!E$26+LCOE!E$27-1)),0,1)*IF(A165=LCOE!E$34,0,1)*D165</f>
        <v>0</v>
      </c>
      <c r="F165" s="12">
        <f>IF(F164&lt;LCOE!E$18,MIN(F164*(1+LCOE!E$19),LCOE!E$18),LCOE!E$18)+LCOE!J191</f>
        <v>0.9</v>
      </c>
      <c r="G165" s="16">
        <f>LCOE!K191+E165*F165*N165*(LCOE!E$14+LCOE!H191)*24*365*D165</f>
        <v>0</v>
      </c>
      <c r="H165" s="16">
        <f>LCOE!L191+F165*(LCOE!E$15+LCOE!I191)*E165*24*365*D165*N165</f>
        <v>0</v>
      </c>
      <c r="I165" s="16">
        <f>LCOE!M191+LCOE!E$20*IF(LCOE!E$14&gt;0,(LCOE!E$14+LCOE!H191),(LCOE!E$15+LCOE!I191))*K165*D165</f>
        <v>0</v>
      </c>
      <c r="J165" s="16">
        <f>LCOE!N191+LCOE!E$21*IF(LCOE!E$14&gt;0,G165,H165)*K165*D165</f>
        <v>0</v>
      </c>
      <c r="K165" s="15">
        <f>LCOE!O191+K164+K164*LCOE!E$22</f>
        <v>1</v>
      </c>
      <c r="L165" s="16">
        <f>LCOE!P191+LCOE!E$23*IF(LCOE!E$14&gt;0,G165,H165)*M165*D165</f>
        <v>0</v>
      </c>
      <c r="M165" s="15">
        <f>LCOE!Q191+M164+M164*LCOE!E$24</f>
        <v>1</v>
      </c>
      <c r="N165" s="15">
        <f>LCOE!R191+N164-N164*LCOE!E$25</f>
        <v>1</v>
      </c>
      <c r="O165" s="18">
        <f>LCOE!S191+LCOE!E$29</f>
        <v>313.75</v>
      </c>
      <c r="P165" s="12">
        <f>LCOE!T191+IF(A165&gt;=LCOE!E$30,100%,0%)</f>
        <v>1</v>
      </c>
      <c r="Q165" s="16">
        <f>LCOE!U191+O165/1000*IF(LCOE!E$14&gt;0,G165,H165)</f>
        <v>0</v>
      </c>
      <c r="R165" s="16">
        <f>LCOE!B191</f>
        <v>30</v>
      </c>
      <c r="S165" s="16">
        <f>LCOE!V191+Q165*P165*R165</f>
        <v>0</v>
      </c>
      <c r="T165" s="16">
        <f>LCOE!W191+LCOE!E$31</f>
        <v>0</v>
      </c>
      <c r="U165" s="16">
        <f>LCOE!X191+T165*IF(LCOE!E$14&gt;0,G165,H165)</f>
        <v>0</v>
      </c>
      <c r="V165" s="16">
        <f>LCOE!Y191+LCOE!E$32</f>
        <v>0</v>
      </c>
      <c r="W165" s="16">
        <f>LCOE!Z191+V165*IF(LCOE!E$14&gt;0,G165,H165)</f>
        <v>0</v>
      </c>
      <c r="X165" s="16">
        <f>LCOE!AA191+LCOE!E$34</f>
        <v>101</v>
      </c>
      <c r="Y165" s="16">
        <f t="shared" si="29"/>
        <v>0</v>
      </c>
      <c r="Z165" s="50">
        <f t="shared" si="32"/>
        <v>0</v>
      </c>
      <c r="AA165" s="50">
        <f t="shared" si="33"/>
        <v>0</v>
      </c>
      <c r="AB165" s="50">
        <f t="shared" si="34"/>
        <v>0</v>
      </c>
      <c r="AC165" s="50">
        <f t="shared" si="30"/>
        <v>0</v>
      </c>
      <c r="AD165" s="50">
        <f t="shared" si="25"/>
        <v>0</v>
      </c>
      <c r="AE165">
        <f t="shared" si="31"/>
        <v>30</v>
      </c>
      <c r="AF165" s="12">
        <f>LCOE!E191+LCOE!E$40</f>
        <v>0.03</v>
      </c>
      <c r="AG165">
        <f t="shared" si="26"/>
        <v>16.578160770533</v>
      </c>
      <c r="AH165" s="16">
        <f t="shared" si="21"/>
        <v>0</v>
      </c>
      <c r="AI165" s="16">
        <f t="shared" si="22"/>
        <v>0</v>
      </c>
      <c r="AJ165" s="16">
        <f t="shared" si="23"/>
        <v>0</v>
      </c>
      <c r="AK165" s="16">
        <f t="shared" si="24"/>
        <v>0</v>
      </c>
      <c r="AL165" s="16">
        <f t="shared" si="27"/>
        <v>0</v>
      </c>
      <c r="AM165" s="16">
        <f t="shared" si="28"/>
        <v>0</v>
      </c>
      <c r="AN165" s="16">
        <f>IF(LCOE!E$14&gt;0,G165,H165)/AG165</f>
        <v>0</v>
      </c>
    </row>
    <row r="166" spans="1:40">
      <c r="A166">
        <v>96</v>
      </c>
      <c r="C166" s="16">
        <f>LCOE!E192+IF(AND(LCOE!E$26&gt;0,A166&gt;=LCOE!E$26,A166&lt;=(LCOE!E$26+LCOE!E$27-1)),LCOE!E$42/LCOE!E$27,0)+IF(AND(D166=0,AE166&gt;=LCOE!E$16,COUNTIF(D141:D166,0)=LCOE!E$36),LCOE!E$35*LCOE!E$38,0)</f>
        <v>0</v>
      </c>
      <c r="D166" s="16">
        <f>IF(AE165&lt;LCOE!E$16,1,0)</f>
        <v>0</v>
      </c>
      <c r="E166" s="12">
        <f>LCOE!G192+IF(AND(A166&gt;=LCOE!E$26,A166&lt;=(LCOE!E$26+LCOE!E$27-1)),0,1)*IF(A166=LCOE!E$34,0,1)*D166</f>
        <v>0</v>
      </c>
      <c r="F166" s="12">
        <f>IF(F165&lt;LCOE!E$18,MIN(F165*(1+LCOE!E$19),LCOE!E$18),LCOE!E$18)+LCOE!J192</f>
        <v>0.9</v>
      </c>
      <c r="G166" s="16">
        <f>LCOE!K192+E166*F166*N166*(LCOE!E$14+LCOE!H192)*24*365*D166</f>
        <v>0</v>
      </c>
      <c r="H166" s="16">
        <f>LCOE!L192+F166*(LCOE!E$15+LCOE!I192)*E166*24*365*D166*N166</f>
        <v>0</v>
      </c>
      <c r="I166" s="16">
        <f>LCOE!M192+LCOE!E$20*IF(LCOE!E$14&gt;0,(LCOE!E$14+LCOE!H192),(LCOE!E$15+LCOE!I192))*K166*D166</f>
        <v>0</v>
      </c>
      <c r="J166" s="16">
        <f>LCOE!N192+LCOE!E$21*IF(LCOE!E$14&gt;0,G166,H166)*K166*D166</f>
        <v>0</v>
      </c>
      <c r="K166" s="15">
        <f>LCOE!O192+K165+K165*LCOE!E$22</f>
        <v>1</v>
      </c>
      <c r="L166" s="16">
        <f>LCOE!P192+LCOE!E$23*IF(LCOE!E$14&gt;0,G166,H166)*M166*D166</f>
        <v>0</v>
      </c>
      <c r="M166" s="15">
        <f>LCOE!Q192+M165+M165*LCOE!E$24</f>
        <v>1</v>
      </c>
      <c r="N166" s="15">
        <f>LCOE!R192+N165-N165*LCOE!E$25</f>
        <v>1</v>
      </c>
      <c r="O166" s="18">
        <f>LCOE!S192+LCOE!E$29</f>
        <v>313.75</v>
      </c>
      <c r="P166" s="12">
        <f>LCOE!T192+IF(A166&gt;=LCOE!E$30,100%,0%)</f>
        <v>1</v>
      </c>
      <c r="Q166" s="16">
        <f>LCOE!U192+O166/1000*IF(LCOE!E$14&gt;0,G166,H166)</f>
        <v>0</v>
      </c>
      <c r="R166" s="16">
        <f>LCOE!B192</f>
        <v>30</v>
      </c>
      <c r="S166" s="16">
        <f>LCOE!V192+Q166*P166*R166</f>
        <v>0</v>
      </c>
      <c r="T166" s="16">
        <f>LCOE!W192+LCOE!E$31</f>
        <v>0</v>
      </c>
      <c r="U166" s="16">
        <f>LCOE!X192+T166*IF(LCOE!E$14&gt;0,G166,H166)</f>
        <v>0</v>
      </c>
      <c r="V166" s="16">
        <f>LCOE!Y192+LCOE!E$32</f>
        <v>0</v>
      </c>
      <c r="W166" s="16">
        <f>LCOE!Z192+V166*IF(LCOE!E$14&gt;0,G166,H166)</f>
        <v>0</v>
      </c>
      <c r="X166" s="16">
        <f>LCOE!AA192+LCOE!E$34</f>
        <v>101</v>
      </c>
      <c r="Y166" s="16">
        <f t="shared" si="29"/>
        <v>0</v>
      </c>
      <c r="Z166" s="50">
        <f t="shared" si="32"/>
        <v>0</v>
      </c>
      <c r="AA166" s="50">
        <f t="shared" si="33"/>
        <v>0</v>
      </c>
      <c r="AB166" s="50">
        <f t="shared" si="34"/>
        <v>0</v>
      </c>
      <c r="AC166" s="50">
        <f t="shared" si="30"/>
        <v>0</v>
      </c>
      <c r="AD166" s="50">
        <f t="shared" si="25"/>
        <v>0</v>
      </c>
      <c r="AE166">
        <f t="shared" si="31"/>
        <v>30</v>
      </c>
      <c r="AF166" s="12">
        <f>LCOE!E192+LCOE!E$40</f>
        <v>0.03</v>
      </c>
      <c r="AG166">
        <f t="shared" si="26"/>
        <v>17.075505593648987</v>
      </c>
      <c r="AH166" s="16">
        <f t="shared" si="21"/>
        <v>0</v>
      </c>
      <c r="AI166" s="16">
        <f t="shared" si="22"/>
        <v>0</v>
      </c>
      <c r="AJ166" s="16">
        <f t="shared" si="23"/>
        <v>0</v>
      </c>
      <c r="AK166" s="16">
        <f t="shared" si="24"/>
        <v>0</v>
      </c>
      <c r="AL166" s="16">
        <f t="shared" si="27"/>
        <v>0</v>
      </c>
      <c r="AM166" s="16">
        <f t="shared" si="28"/>
        <v>0</v>
      </c>
      <c r="AN166" s="16">
        <f>IF(LCOE!E$14&gt;0,G166,H166)/AG166</f>
        <v>0</v>
      </c>
    </row>
    <row r="167" spans="1:40">
      <c r="A167">
        <v>97</v>
      </c>
      <c r="C167" s="16">
        <f>LCOE!E193+IF(AND(LCOE!E$26&gt;0,A167&gt;=LCOE!E$26,A167&lt;=(LCOE!E$26+LCOE!E$27-1)),LCOE!E$42/LCOE!E$27,0)+IF(AND(D167=0,AE167&gt;=LCOE!E$16,COUNTIF(D142:D167,0)=LCOE!E$36),LCOE!E$35*LCOE!E$38,0)</f>
        <v>0</v>
      </c>
      <c r="D167" s="16">
        <f>IF(AE166&lt;LCOE!E$16,1,0)</f>
        <v>0</v>
      </c>
      <c r="E167" s="12">
        <f>LCOE!G193+IF(AND(A167&gt;=LCOE!E$26,A167&lt;=(LCOE!E$26+LCOE!E$27-1)),0,1)*IF(A167=LCOE!E$34,0,1)*D167</f>
        <v>0</v>
      </c>
      <c r="F167" s="12">
        <f>IF(F166&lt;LCOE!E$18,MIN(F166*(1+LCOE!E$19),LCOE!E$18),LCOE!E$18)+LCOE!J193</f>
        <v>0.9</v>
      </c>
      <c r="G167" s="16">
        <f>LCOE!K193+E167*F167*N167*(LCOE!E$14+LCOE!H193)*24*365*D167</f>
        <v>0</v>
      </c>
      <c r="H167" s="16">
        <f>LCOE!L193+F167*(LCOE!E$15+LCOE!I193)*E167*24*365*D167*N167</f>
        <v>0</v>
      </c>
      <c r="I167" s="16">
        <f>LCOE!M193+LCOE!E$20*IF(LCOE!E$14&gt;0,(LCOE!E$14+LCOE!H193),(LCOE!E$15+LCOE!I193))*K167*D167</f>
        <v>0</v>
      </c>
      <c r="J167" s="16">
        <f>LCOE!N193+LCOE!E$21*IF(LCOE!E$14&gt;0,G167,H167)*K167*D167</f>
        <v>0</v>
      </c>
      <c r="K167" s="15">
        <f>LCOE!O193+K166+K166*LCOE!E$22</f>
        <v>1</v>
      </c>
      <c r="L167" s="16">
        <f>LCOE!P193+LCOE!E$23*IF(LCOE!E$14&gt;0,G167,H167)*M167*D167</f>
        <v>0</v>
      </c>
      <c r="M167" s="15">
        <f>LCOE!Q193+M166+M166*LCOE!E$24</f>
        <v>1</v>
      </c>
      <c r="N167" s="15">
        <f>LCOE!R193+N166-N166*LCOE!E$25</f>
        <v>1</v>
      </c>
      <c r="O167" s="18">
        <f>LCOE!S193+LCOE!E$29</f>
        <v>313.75</v>
      </c>
      <c r="P167" s="12">
        <f>LCOE!T193+IF(A167&gt;=LCOE!E$30,100%,0%)</f>
        <v>1</v>
      </c>
      <c r="Q167" s="16">
        <f>LCOE!U193+O167/1000*IF(LCOE!E$14&gt;0,G167,H167)</f>
        <v>0</v>
      </c>
      <c r="R167" s="16">
        <f>LCOE!B193</f>
        <v>30</v>
      </c>
      <c r="S167" s="16">
        <f>LCOE!V193+Q167*P167*R167</f>
        <v>0</v>
      </c>
      <c r="T167" s="16">
        <f>LCOE!W193+LCOE!E$31</f>
        <v>0</v>
      </c>
      <c r="U167" s="16">
        <f>LCOE!X193+T167*IF(LCOE!E$14&gt;0,G167,H167)</f>
        <v>0</v>
      </c>
      <c r="V167" s="16">
        <f>LCOE!Y193+LCOE!E$32</f>
        <v>0</v>
      </c>
      <c r="W167" s="16">
        <f>LCOE!Z193+V167*IF(LCOE!E$14&gt;0,G167,H167)</f>
        <v>0</v>
      </c>
      <c r="X167" s="16">
        <f>LCOE!AA193+LCOE!E$34</f>
        <v>101</v>
      </c>
      <c r="Y167" s="16">
        <f t="shared" si="29"/>
        <v>0</v>
      </c>
      <c r="Z167" s="50">
        <f t="shared" si="32"/>
        <v>0</v>
      </c>
      <c r="AA167" s="50">
        <f t="shared" si="33"/>
        <v>0</v>
      </c>
      <c r="AB167" s="50">
        <f t="shared" si="34"/>
        <v>0</v>
      </c>
      <c r="AC167" s="50">
        <f t="shared" si="30"/>
        <v>0</v>
      </c>
      <c r="AD167" s="50">
        <f t="shared" si="25"/>
        <v>0</v>
      </c>
      <c r="AE167">
        <f t="shared" si="31"/>
        <v>30</v>
      </c>
      <c r="AF167" s="12">
        <f>LCOE!E193+LCOE!E$40</f>
        <v>0.03</v>
      </c>
      <c r="AG167">
        <f t="shared" si="26"/>
        <v>17.587770761458458</v>
      </c>
      <c r="AH167" s="16">
        <f t="shared" si="21"/>
        <v>0</v>
      </c>
      <c r="AI167" s="16">
        <f t="shared" si="22"/>
        <v>0</v>
      </c>
      <c r="AJ167" s="16">
        <f t="shared" si="23"/>
        <v>0</v>
      </c>
      <c r="AK167" s="16">
        <f t="shared" si="24"/>
        <v>0</v>
      </c>
      <c r="AL167" s="16">
        <f t="shared" si="27"/>
        <v>0</v>
      </c>
      <c r="AM167" s="16">
        <f t="shared" si="28"/>
        <v>0</v>
      </c>
      <c r="AN167" s="16">
        <f>IF(LCOE!E$14&gt;0,G167,H167)/AG167</f>
        <v>0</v>
      </c>
    </row>
    <row r="168" spans="1:40">
      <c r="A168">
        <v>98</v>
      </c>
      <c r="C168" s="16">
        <f>LCOE!E194+IF(AND(LCOE!E$26&gt;0,A168&gt;=LCOE!E$26,A168&lt;=(LCOE!E$26+LCOE!E$27-1)),LCOE!E$42/LCOE!E$27,0)+IF(AND(D168=0,AE168&gt;=LCOE!E$16,COUNTIF(D143:D168,0)=LCOE!E$36),LCOE!E$35*LCOE!E$38,0)</f>
        <v>0</v>
      </c>
      <c r="D168" s="16">
        <f>IF(AE167&lt;LCOE!E$16,1,0)</f>
        <v>0</v>
      </c>
      <c r="E168" s="12">
        <f>LCOE!G194+IF(AND(A168&gt;=LCOE!E$26,A168&lt;=(LCOE!E$26+LCOE!E$27-1)),0,1)*IF(A168=LCOE!E$34,0,1)*D168</f>
        <v>0</v>
      </c>
      <c r="F168" s="12">
        <f>IF(F167&lt;LCOE!E$18,MIN(F167*(1+LCOE!E$19),LCOE!E$18),LCOE!E$18)+LCOE!J194</f>
        <v>0.9</v>
      </c>
      <c r="G168" s="16">
        <f>LCOE!K194+E168*F168*N168*(LCOE!E$14+LCOE!H194)*24*365*D168</f>
        <v>0</v>
      </c>
      <c r="H168" s="16">
        <f>LCOE!L194+F168*(LCOE!E$15+LCOE!I194)*E168*24*365*D168*N168</f>
        <v>0</v>
      </c>
      <c r="I168" s="16">
        <f>LCOE!M194+LCOE!E$20*IF(LCOE!E$14&gt;0,(LCOE!E$14+LCOE!H194),(LCOE!E$15+LCOE!I194))*K168*D168</f>
        <v>0</v>
      </c>
      <c r="J168" s="16">
        <f>LCOE!N194+LCOE!E$21*IF(LCOE!E$14&gt;0,G168,H168)*K168*D168</f>
        <v>0</v>
      </c>
      <c r="K168" s="15">
        <f>LCOE!O194+K167+K167*LCOE!E$22</f>
        <v>1</v>
      </c>
      <c r="L168" s="16">
        <f>LCOE!P194+LCOE!E$23*IF(LCOE!E$14&gt;0,G168,H168)*M168*D168</f>
        <v>0</v>
      </c>
      <c r="M168" s="15">
        <f>LCOE!Q194+M167+M167*LCOE!E$24</f>
        <v>1</v>
      </c>
      <c r="N168" s="15">
        <f>LCOE!R194+N167-N167*LCOE!E$25</f>
        <v>1</v>
      </c>
      <c r="O168" s="18">
        <f>LCOE!S194+LCOE!E$29</f>
        <v>313.75</v>
      </c>
      <c r="P168" s="12">
        <f>LCOE!T194+IF(A168&gt;=LCOE!E$30,100%,0%)</f>
        <v>1</v>
      </c>
      <c r="Q168" s="16">
        <f>LCOE!U194+O168/1000*IF(LCOE!E$14&gt;0,G168,H168)</f>
        <v>0</v>
      </c>
      <c r="R168" s="16">
        <f>LCOE!B194</f>
        <v>30</v>
      </c>
      <c r="S168" s="16">
        <f>LCOE!V194+Q168*P168*R168</f>
        <v>0</v>
      </c>
      <c r="T168" s="16">
        <f>LCOE!W194+LCOE!E$31</f>
        <v>0</v>
      </c>
      <c r="U168" s="16">
        <f>LCOE!X194+T168*IF(LCOE!E$14&gt;0,G168,H168)</f>
        <v>0</v>
      </c>
      <c r="V168" s="16">
        <f>LCOE!Y194+LCOE!E$32</f>
        <v>0</v>
      </c>
      <c r="W168" s="16">
        <f>LCOE!Z194+V168*IF(LCOE!E$14&gt;0,G168,H168)</f>
        <v>0</v>
      </c>
      <c r="X168" s="16">
        <f>LCOE!AA194+LCOE!E$34</f>
        <v>101</v>
      </c>
      <c r="Y168" s="16">
        <f t="shared" si="29"/>
        <v>0</v>
      </c>
      <c r="Z168" s="50">
        <f t="shared" si="32"/>
        <v>0</v>
      </c>
      <c r="AA168" s="50">
        <f t="shared" si="33"/>
        <v>0</v>
      </c>
      <c r="AB168" s="50">
        <f t="shared" si="34"/>
        <v>0</v>
      </c>
      <c r="AC168" s="50">
        <f t="shared" si="30"/>
        <v>0</v>
      </c>
      <c r="AD168" s="50">
        <f t="shared" si="25"/>
        <v>0</v>
      </c>
      <c r="AE168">
        <f t="shared" si="31"/>
        <v>30</v>
      </c>
      <c r="AF168" s="12">
        <f>LCOE!E194+LCOE!E$40</f>
        <v>0.03</v>
      </c>
      <c r="AG168">
        <f t="shared" si="26"/>
        <v>18.115403884302207</v>
      </c>
      <c r="AH168" s="16">
        <f t="shared" si="21"/>
        <v>0</v>
      </c>
      <c r="AI168" s="16">
        <f t="shared" si="22"/>
        <v>0</v>
      </c>
      <c r="AJ168" s="16">
        <f t="shared" si="23"/>
        <v>0</v>
      </c>
      <c r="AK168" s="16">
        <f t="shared" si="24"/>
        <v>0</v>
      </c>
      <c r="AL168" s="16">
        <f t="shared" si="27"/>
        <v>0</v>
      </c>
      <c r="AM168" s="16">
        <f t="shared" si="28"/>
        <v>0</v>
      </c>
      <c r="AN168" s="16">
        <f>IF(LCOE!E$14&gt;0,G168,H168)/AG168</f>
        <v>0</v>
      </c>
    </row>
    <row r="169" spans="1:40">
      <c r="A169">
        <v>99</v>
      </c>
      <c r="C169" s="16">
        <f>LCOE!E195+IF(AND(LCOE!E$26&gt;0,A169&gt;=LCOE!E$26,A169&lt;=(LCOE!E$26+LCOE!E$27-1)),LCOE!E$42/LCOE!E$27,0)+IF(AND(D169=0,AE169&gt;=LCOE!E$16,COUNTIF(D144:D169,0)=LCOE!E$36),LCOE!E$35*LCOE!E$38,0)</f>
        <v>0</v>
      </c>
      <c r="D169" s="16">
        <f>IF(AE168&lt;LCOE!E$16,1,0)</f>
        <v>0</v>
      </c>
      <c r="E169" s="12">
        <f>LCOE!G195+IF(AND(A169&gt;=LCOE!E$26,A169&lt;=(LCOE!E$26+LCOE!E$27-1)),0,1)*IF(A169=LCOE!E$34,0,1)*D169</f>
        <v>0</v>
      </c>
      <c r="F169" s="12">
        <f>IF(F168&lt;LCOE!E$18,MIN(F168*(1+LCOE!E$19),LCOE!E$18),LCOE!E$18)+LCOE!J195</f>
        <v>0.9</v>
      </c>
      <c r="G169" s="16">
        <f>LCOE!K195+E169*F169*N169*(LCOE!E$14+LCOE!H195)*24*365*D169</f>
        <v>0</v>
      </c>
      <c r="H169" s="16">
        <f>LCOE!L195+F169*(LCOE!E$15+LCOE!I195)*E169*24*365*D169*N169</f>
        <v>0</v>
      </c>
      <c r="I169" s="16">
        <f>LCOE!M195+LCOE!E$20*IF(LCOE!E$14&gt;0,(LCOE!E$14+LCOE!H195),(LCOE!E$15+LCOE!I195))*K169*D169</f>
        <v>0</v>
      </c>
      <c r="J169" s="16">
        <f>LCOE!N195+LCOE!E$21*IF(LCOE!E$14&gt;0,G169,H169)*K169*D169</f>
        <v>0</v>
      </c>
      <c r="K169" s="15">
        <f>LCOE!O195+K168+K168*LCOE!E$22</f>
        <v>1</v>
      </c>
      <c r="L169" s="16">
        <f>LCOE!P195+LCOE!E$23*IF(LCOE!E$14&gt;0,G169,H169)*M169*D169</f>
        <v>0</v>
      </c>
      <c r="M169" s="15">
        <f>LCOE!Q195+M168+M168*LCOE!E$24</f>
        <v>1</v>
      </c>
      <c r="N169" s="15">
        <f>LCOE!R195+N168-N168*LCOE!E$25</f>
        <v>1</v>
      </c>
      <c r="O169" s="18">
        <f>LCOE!S195+LCOE!E$29</f>
        <v>313.75</v>
      </c>
      <c r="P169" s="12">
        <f>LCOE!T195+IF(A169&gt;=LCOE!E$30,100%,0%)</f>
        <v>1</v>
      </c>
      <c r="Q169" s="16">
        <f>LCOE!U195+O169/1000*IF(LCOE!E$14&gt;0,G169,H169)</f>
        <v>0</v>
      </c>
      <c r="R169" s="16">
        <f>LCOE!B195</f>
        <v>30</v>
      </c>
      <c r="S169" s="16">
        <f>LCOE!V195+Q169*P169*R169</f>
        <v>0</v>
      </c>
      <c r="T169" s="16">
        <f>LCOE!W195+LCOE!E$31</f>
        <v>0</v>
      </c>
      <c r="U169" s="16">
        <f>LCOE!X195+T169*IF(LCOE!E$14&gt;0,G169,H169)</f>
        <v>0</v>
      </c>
      <c r="V169" s="16">
        <f>LCOE!Y195+LCOE!E$32</f>
        <v>0</v>
      </c>
      <c r="W169" s="16">
        <f>LCOE!Z195+V169*IF(LCOE!E$14&gt;0,G169,H169)</f>
        <v>0</v>
      </c>
      <c r="X169" s="16">
        <f>LCOE!AA195+LCOE!E$34</f>
        <v>101</v>
      </c>
      <c r="Y169" s="16">
        <f t="shared" si="29"/>
        <v>0</v>
      </c>
      <c r="Z169" s="50">
        <f t="shared" si="32"/>
        <v>0</v>
      </c>
      <c r="AA169" s="50">
        <f t="shared" si="33"/>
        <v>0</v>
      </c>
      <c r="AB169" s="50">
        <f t="shared" si="34"/>
        <v>0</v>
      </c>
      <c r="AC169" s="50">
        <f t="shared" si="30"/>
        <v>0</v>
      </c>
      <c r="AD169" s="50">
        <f t="shared" si="25"/>
        <v>0</v>
      </c>
      <c r="AE169">
        <f t="shared" si="31"/>
        <v>30</v>
      </c>
      <c r="AF169" s="12">
        <f>LCOE!E195+LCOE!E$40</f>
        <v>0.03</v>
      </c>
      <c r="AG169">
        <f t="shared" si="26"/>
        <v>18.658866000831278</v>
      </c>
      <c r="AH169" s="16">
        <f t="shared" si="21"/>
        <v>0</v>
      </c>
      <c r="AI169" s="16">
        <f t="shared" si="22"/>
        <v>0</v>
      </c>
      <c r="AJ169" s="16">
        <f t="shared" si="23"/>
        <v>0</v>
      </c>
      <c r="AK169" s="16">
        <f t="shared" si="24"/>
        <v>0</v>
      </c>
      <c r="AL169" s="16">
        <f t="shared" si="27"/>
        <v>0</v>
      </c>
      <c r="AM169" s="16">
        <f t="shared" si="28"/>
        <v>0</v>
      </c>
      <c r="AN169" s="16">
        <f>IF(LCOE!E$14&gt;0,G169,H169)/AG169</f>
        <v>0</v>
      </c>
    </row>
    <row r="170" spans="1:40">
      <c r="A170">
        <v>100</v>
      </c>
      <c r="C170" s="16">
        <f>LCOE!E196+IF(AND(LCOE!E$26&gt;0,A170&gt;=LCOE!E$26,A170&lt;=(LCOE!E$26+LCOE!E$27-1)),LCOE!E$42/LCOE!E$27,0)+IF(AND(D170=0,AE170&gt;=LCOE!E$16,COUNTIF(D145:D170,0)=LCOE!E$36),LCOE!E$35*LCOE!E$38,0)</f>
        <v>0</v>
      </c>
      <c r="D170" s="16">
        <f>IF(AE169&lt;LCOE!E$16,1,0)</f>
        <v>0</v>
      </c>
      <c r="E170" s="12">
        <f>LCOE!G196+IF(AND(A170&gt;=LCOE!E$26,A170&lt;=(LCOE!E$26+LCOE!E$27-1)),0,1)*IF(A170=LCOE!E$34,0,1)*D170</f>
        <v>0</v>
      </c>
      <c r="F170" s="12">
        <f>IF(F169&lt;LCOE!E$18,MIN(F169*(1+LCOE!E$19),LCOE!E$18),LCOE!E$18)+LCOE!J196</f>
        <v>0.9</v>
      </c>
      <c r="G170" s="16">
        <f>LCOE!K196+E170*F170*N170*(LCOE!E$14+LCOE!H196)*24*365*D170</f>
        <v>0</v>
      </c>
      <c r="H170" s="16">
        <f>LCOE!L196+F170*(LCOE!E$15+LCOE!I196)*E170*24*365*D170*N170</f>
        <v>0</v>
      </c>
      <c r="I170" s="16">
        <f>LCOE!M196+LCOE!E$20*IF(LCOE!E$14&gt;0,(LCOE!E$14+LCOE!H196),(LCOE!E$15+LCOE!I196))*K170*D170</f>
        <v>0</v>
      </c>
      <c r="J170" s="16">
        <f>LCOE!N196+LCOE!E$21*IF(LCOE!E$14&gt;0,G170,H170)*K170*D170</f>
        <v>0</v>
      </c>
      <c r="K170" s="15">
        <f>LCOE!O196+K169+K169*LCOE!E$22</f>
        <v>1</v>
      </c>
      <c r="L170" s="16">
        <f>LCOE!P196+LCOE!E$23*IF(LCOE!E$14&gt;0,G170,H170)*M170*D170</f>
        <v>0</v>
      </c>
      <c r="M170" s="15">
        <f>LCOE!Q196+M169+M169*LCOE!E$24</f>
        <v>1</v>
      </c>
      <c r="N170" s="15">
        <f>LCOE!R196+N169-N169*LCOE!E$25</f>
        <v>1</v>
      </c>
      <c r="O170" s="18">
        <f>LCOE!S196+LCOE!E$29</f>
        <v>313.75</v>
      </c>
      <c r="P170" s="12">
        <f>LCOE!T196+IF(A170&gt;=LCOE!E$30,100%,0%)</f>
        <v>1</v>
      </c>
      <c r="Q170" s="16">
        <f>LCOE!U196+O170/1000*IF(LCOE!E$14&gt;0,G170,H170)</f>
        <v>0</v>
      </c>
      <c r="R170" s="16">
        <f>LCOE!B196</f>
        <v>30</v>
      </c>
      <c r="S170" s="16">
        <f>LCOE!V196+Q170*P170*R170</f>
        <v>0</v>
      </c>
      <c r="T170" s="16">
        <f>LCOE!W196+LCOE!E$31</f>
        <v>0</v>
      </c>
      <c r="U170" s="16">
        <f>LCOE!X196+T170*IF(LCOE!E$14&gt;0,G170,H170)</f>
        <v>0</v>
      </c>
      <c r="V170" s="16">
        <f>LCOE!Y196+LCOE!E$32</f>
        <v>0</v>
      </c>
      <c r="W170" s="16">
        <f>LCOE!Z196+V170*IF(LCOE!E$14&gt;0,G170,H170)</f>
        <v>0</v>
      </c>
      <c r="X170" s="16">
        <f>LCOE!AA196+LCOE!E$34</f>
        <v>101</v>
      </c>
      <c r="Y170" s="16">
        <f t="shared" si="29"/>
        <v>0</v>
      </c>
      <c r="Z170" s="50">
        <f t="shared" si="32"/>
        <v>0</v>
      </c>
      <c r="AA170" s="50">
        <f t="shared" si="33"/>
        <v>0</v>
      </c>
      <c r="AB170" s="50">
        <f t="shared" si="34"/>
        <v>0</v>
      </c>
      <c r="AC170" s="50">
        <f t="shared" si="30"/>
        <v>0</v>
      </c>
      <c r="AD170" s="50">
        <f t="shared" si="25"/>
        <v>0</v>
      </c>
      <c r="AE170">
        <f t="shared" si="31"/>
        <v>30</v>
      </c>
      <c r="AF170" s="12">
        <f>LCOE!E196+LCOE!E$40</f>
        <v>0.03</v>
      </c>
      <c r="AG170">
        <f t="shared" si="26"/>
        <v>19.218631980856216</v>
      </c>
      <c r="AH170" s="16">
        <f t="shared" si="21"/>
        <v>0</v>
      </c>
      <c r="AI170" s="16">
        <f t="shared" si="22"/>
        <v>0</v>
      </c>
      <c r="AJ170" s="16">
        <f t="shared" si="23"/>
        <v>0</v>
      </c>
      <c r="AK170" s="16">
        <f t="shared" si="24"/>
        <v>0</v>
      </c>
      <c r="AL170" s="16">
        <f t="shared" si="27"/>
        <v>0</v>
      </c>
      <c r="AM170" s="16">
        <f t="shared" si="28"/>
        <v>0</v>
      </c>
      <c r="AN170" s="16">
        <f>IF(LCOE!E$14&gt;0,G170,H170)/AG170</f>
        <v>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0800-F426-014B-8A9E-E7794014C1EF}">
  <dimension ref="A2:AN170"/>
  <sheetViews>
    <sheetView topLeftCell="A42" workbookViewId="0">
      <pane xSplit="1760" ySplit="5160" topLeftCell="A55" activePane="bottomRight"/>
      <selection pane="bottomRight" activeCell="C70" sqref="C70"/>
      <selection pane="bottomLeft" activeCell="A41" sqref="A41:D41"/>
      <selection pane="topRight" activeCell="B21" sqref="B21"/>
    </sheetView>
    <sheetView workbookViewId="1"/>
  </sheetViews>
  <sheetFormatPr defaultColWidth="11" defaultRowHeight="15.95"/>
  <cols>
    <col min="2" max="2" width="40.875" bestFit="1" customWidth="1"/>
    <col min="3" max="3" width="14.625" bestFit="1" customWidth="1"/>
    <col min="4" max="5" width="14.625" customWidth="1"/>
    <col min="6" max="6" width="18.125" customWidth="1"/>
    <col min="7" max="8" width="15.625" customWidth="1"/>
    <col min="9" max="9" width="11.125" bestFit="1" customWidth="1"/>
    <col min="10" max="10" width="11.625" bestFit="1" customWidth="1"/>
    <col min="11" max="11" width="12.625" bestFit="1" customWidth="1"/>
    <col min="12" max="12" width="11.125" bestFit="1" customWidth="1"/>
    <col min="17" max="17" width="13.625" bestFit="1" customWidth="1"/>
    <col min="18" max="18" width="13.625" customWidth="1"/>
    <col min="19" max="20" width="12.125" customWidth="1"/>
    <col min="26" max="26" width="12.875" bestFit="1" customWidth="1"/>
    <col min="27" max="28" width="11.125" bestFit="1" customWidth="1"/>
    <col min="29" max="30" width="11" bestFit="1" customWidth="1"/>
    <col min="34" max="34" width="17.625" customWidth="1"/>
    <col min="35" max="37" width="11.625" bestFit="1" customWidth="1"/>
    <col min="38" max="38" width="11.625" customWidth="1"/>
  </cols>
  <sheetData>
    <row r="2" spans="2:10" ht="21">
      <c r="B2" s="26" t="s">
        <v>221</v>
      </c>
      <c r="C2" s="26" t="str">
        <f>LCOE!F3</f>
        <v>LCOE 3</v>
      </c>
      <c r="D2" s="26"/>
      <c r="E2" s="26"/>
      <c r="F2" s="26" t="s">
        <v>222</v>
      </c>
      <c r="G2" t="str">
        <f>C4</f>
        <v>USD</v>
      </c>
      <c r="I2" t="str">
        <f>C6</f>
        <v>USD</v>
      </c>
    </row>
    <row r="3" spans="2:10">
      <c r="B3" t="str">
        <f>LCOE!C5</f>
        <v>Name</v>
      </c>
      <c r="C3" t="str">
        <f>LCOE!F5</f>
        <v>CCGT in Belgium (2020)</v>
      </c>
      <c r="F3" s="24" t="str">
        <f>LCOE!C46</f>
        <v>LCOE (LCOHeat for pure heat plants)</v>
      </c>
      <c r="G3" s="25">
        <f>SUM(AH45:AM170)/SUM(AN45:AN170)</f>
        <v>66.035232384376613</v>
      </c>
      <c r="H3" s="24" t="str">
        <f t="shared" ref="H3:H9" si="0">_xlfn.CONCAT(C$4,"/MWh")</f>
        <v>USD/MWh</v>
      </c>
      <c r="I3" s="25">
        <f>G3*C$7</f>
        <v>66.035232384376613</v>
      </c>
      <c r="J3" t="str">
        <f t="shared" ref="J3:J9" si="1">_xlfn.CONCAT(C$6,"/MWh")</f>
        <v>USD/MWh</v>
      </c>
    </row>
    <row r="4" spans="2:10">
      <c r="B4" t="str">
        <f>LCOE!C6</f>
        <v>Currency used for LCOE calculations</v>
      </c>
      <c r="C4" t="str">
        <f>LCOE!F6</f>
        <v>USD</v>
      </c>
      <c r="F4" s="24" t="str">
        <f>LCOE!C47</f>
        <v>Of which: Capital costs</v>
      </c>
      <c r="G4" s="22">
        <f>SUM(AH45:AH170)/SUM(AN45:AN170)</f>
        <v>8.6657769002083462</v>
      </c>
      <c r="H4" t="str">
        <f t="shared" si="0"/>
        <v>USD/MWh</v>
      </c>
      <c r="I4" s="25">
        <f t="shared" ref="I4:I9" si="2">G4*C$7</f>
        <v>8.6657769002083462</v>
      </c>
      <c r="J4" t="str">
        <f t="shared" si="1"/>
        <v>USD/MWh</v>
      </c>
    </row>
    <row r="5" spans="2:10">
      <c r="B5" t="str">
        <f>LCOE!C7</f>
        <v>Price reference year</v>
      </c>
      <c r="C5">
        <f>LCOE!F7</f>
        <v>0</v>
      </c>
      <c r="F5" s="24" t="str">
        <f>LCOE!C48</f>
        <v>O&amp;M</v>
      </c>
      <c r="G5" s="23">
        <f>SUM(AI45:AI170)/SUM(AN45:AN170)</f>
        <v>5.2969554841682376</v>
      </c>
      <c r="H5" t="str">
        <f t="shared" si="0"/>
        <v>USD/MWh</v>
      </c>
      <c r="I5" s="25">
        <f t="shared" si="2"/>
        <v>5.2969554841682376</v>
      </c>
      <c r="J5" t="str">
        <f t="shared" si="1"/>
        <v>USD/MWh</v>
      </c>
    </row>
    <row r="6" spans="2:10">
      <c r="B6" t="str">
        <f>LCOE!C8</f>
        <v>Currency used</v>
      </c>
      <c r="C6" t="str">
        <f>LCOE!F8</f>
        <v>USD</v>
      </c>
      <c r="F6" s="24" t="str">
        <f>LCOE!C49</f>
        <v>Fuel</v>
      </c>
      <c r="G6" s="23">
        <f>SUM(AJ45:AJ170)/SUM(AN45:AN170)</f>
        <v>42.660000000000018</v>
      </c>
      <c r="H6" t="str">
        <f t="shared" si="0"/>
        <v>USD/MWh</v>
      </c>
      <c r="I6" s="25">
        <f t="shared" si="2"/>
        <v>42.660000000000018</v>
      </c>
      <c r="J6" t="str">
        <f t="shared" si="1"/>
        <v>USD/MWh</v>
      </c>
    </row>
    <row r="7" spans="2:10">
      <c r="B7" t="str">
        <f>LCOE!C9</f>
        <v>Conversion rate at reference year</v>
      </c>
      <c r="C7">
        <f>LCOE!F9</f>
        <v>1</v>
      </c>
      <c r="F7" s="24" t="str">
        <f>LCOE!C50</f>
        <v>Taxes and fees</v>
      </c>
      <c r="G7" s="23">
        <f>SUM(AK45:AK170)/SUM(AN45:AN170)</f>
        <v>0</v>
      </c>
      <c r="H7" t="str">
        <f t="shared" si="0"/>
        <v>USD/MWh</v>
      </c>
      <c r="I7" s="25">
        <f t="shared" si="2"/>
        <v>0</v>
      </c>
      <c r="J7" t="str">
        <f t="shared" si="1"/>
        <v>USD/MWh</v>
      </c>
    </row>
    <row r="8" spans="2:10">
      <c r="B8" t="str">
        <f>LCOE!C10</f>
        <v>Debt %</v>
      </c>
      <c r="C8">
        <f>LCOE!F10</f>
        <v>0.9</v>
      </c>
      <c r="F8" s="24" t="str">
        <f>LCOE!C51</f>
        <v>Emission costs</v>
      </c>
      <c r="G8" s="23">
        <f>SUM(AL45:AL170)/SUM(AN45:AN170)</f>
        <v>9.4125000000000032</v>
      </c>
      <c r="H8" t="str">
        <f t="shared" si="0"/>
        <v>USD/MWh</v>
      </c>
      <c r="I8" s="25">
        <f t="shared" si="2"/>
        <v>9.4125000000000032</v>
      </c>
      <c r="J8" t="str">
        <f t="shared" si="1"/>
        <v>USD/MWh</v>
      </c>
    </row>
    <row r="9" spans="2:10">
      <c r="B9" t="str">
        <f>LCOE!C11</f>
        <v>Cost of debt (private discount rate)</v>
      </c>
      <c r="C9" s="3">
        <f>LCOE!F11</f>
        <v>0.05</v>
      </c>
      <c r="F9" s="24" t="str">
        <f>LCOE!C52</f>
        <v>Heat credit (for CHP plants)</v>
      </c>
      <c r="G9" s="18">
        <f>IF(C15&gt;0,SUM(AM45:AM170)/SUM(AN45:AN170),0)</f>
        <v>0</v>
      </c>
      <c r="H9" t="str">
        <f t="shared" si="0"/>
        <v>USD/MWh</v>
      </c>
      <c r="I9" s="25">
        <f t="shared" si="2"/>
        <v>0</v>
      </c>
      <c r="J9" t="str">
        <f t="shared" si="1"/>
        <v>USD/MWh</v>
      </c>
    </row>
    <row r="10" spans="2:10">
      <c r="B10" t="str">
        <f>LCOE!C12</f>
        <v>Cost of equity (discount rate)</v>
      </c>
      <c r="C10" s="3">
        <f>LCOE!F12</f>
        <v>0.05</v>
      </c>
      <c r="F10" s="24" t="str">
        <f>LCOE!C53</f>
        <v>WACC average over lifetime</v>
      </c>
      <c r="G10" s="12">
        <f>AVERAGE(AF70:AF170)</f>
        <v>4.9999999999999899E-2</v>
      </c>
      <c r="I10" s="14">
        <f>G10</f>
        <v>4.9999999999999899E-2</v>
      </c>
    </row>
    <row r="11" spans="2:10">
      <c r="B11" t="str">
        <f>LCOE!C13</f>
        <v>Construction cost per kW</v>
      </c>
      <c r="C11">
        <f>LCOE!F13</f>
        <v>1009</v>
      </c>
      <c r="F11" s="24" t="str">
        <f>LCOE!C54</f>
        <v>Plant type</v>
      </c>
      <c r="G11" t="str">
        <f>IF(AND(LCOE!F$14&gt;0,LCOE!F$15=0),"Electric only",IF(AND(LCOE!F$14&gt;0,LCOE!F$15&gt;0),"CHP",IF(AND(LCOE!F$14=0,LCOE!F$15&gt;0),"Heat only","Error: no generation")))</f>
        <v>Electric only</v>
      </c>
      <c r="I11" s="18" t="str">
        <f>G11</f>
        <v>Electric only</v>
      </c>
    </row>
    <row r="12" spans="2:10">
      <c r="B12" t="str">
        <f>LCOE!C14</f>
        <v>Maximum electric power, in MW_e</v>
      </c>
      <c r="C12">
        <f>LCOE!F14</f>
        <v>500</v>
      </c>
    </row>
    <row r="13" spans="2:10">
      <c r="B13" t="str">
        <f>LCOE!C15</f>
        <v>Maximum heat power, in MW_h</v>
      </c>
      <c r="C13">
        <f>LCOE!F15</f>
        <v>0</v>
      </c>
    </row>
    <row r="14" spans="2:10">
      <c r="B14" t="str">
        <f>LCOE!C16</f>
        <v>Plant lifetime</v>
      </c>
      <c r="C14">
        <f>LCOE!F16</f>
        <v>30</v>
      </c>
    </row>
    <row r="15" spans="2:10">
      <c r="B15" t="str">
        <f>LCOE!C17</f>
        <v>Construction period, years</v>
      </c>
      <c r="C15">
        <f>LCOE!F17</f>
        <v>3</v>
      </c>
    </row>
    <row r="16" spans="2:10">
      <c r="B16" t="str">
        <f>LCOE!C18</f>
        <v>Capacity factor (settled down)</v>
      </c>
      <c r="C16" s="14">
        <f>LCOE!F18</f>
        <v>0.9</v>
      </c>
    </row>
    <row r="17" spans="2:3">
      <c r="B17" t="str">
        <f>LCOE!C19</f>
        <v>Capacity factor ramp-up on startup, per year</v>
      </c>
      <c r="C17" s="14">
        <f>LCOE!F19</f>
        <v>0.6</v>
      </c>
    </row>
    <row r="18" spans="2:3">
      <c r="B18" t="str">
        <f>LCOE!C20</f>
        <v>Fixed OPEX/MW capacity at project start</v>
      </c>
      <c r="C18" s="18">
        <f>LCOE!F20</f>
        <v>40000</v>
      </c>
    </row>
    <row r="19" spans="2:3">
      <c r="B19" t="str">
        <f>LCOE!C21</f>
        <v>Variable OPEX/MWh produced at project start</v>
      </c>
      <c r="C19" s="18">
        <f>LCOE!F21</f>
        <v>0</v>
      </c>
    </row>
    <row r="20" spans="2:3">
      <c r="B20" t="str">
        <f>LCOE!C22</f>
        <v>OPEX escalator</v>
      </c>
      <c r="C20" s="14">
        <f>LCOE!F22</f>
        <v>0</v>
      </c>
    </row>
    <row r="21" spans="2:3">
      <c r="B21" t="str">
        <f>LCOE!C23</f>
        <v>FUELEX/MWh produced at project start</v>
      </c>
      <c r="C21">
        <f>LCOE!F23</f>
        <v>42.66</v>
      </c>
    </row>
    <row r="22" spans="2:3">
      <c r="B22" t="str">
        <f>LCOE!C24</f>
        <v>FUELEX escalator</v>
      </c>
      <c r="C22" s="14">
        <f>LCOE!F24</f>
        <v>0</v>
      </c>
    </row>
    <row r="23" spans="2:3">
      <c r="B23" t="str">
        <f>LCOE!C25</f>
        <v>Efficiency loss/year</v>
      </c>
      <c r="C23" s="14">
        <f>LCOE!F25</f>
        <v>0</v>
      </c>
    </row>
    <row r="24" spans="2:3">
      <c r="B24" t="str">
        <f>LCOE!C26</f>
        <v>Refurbishment year</v>
      </c>
      <c r="C24">
        <f>LCOE!F26</f>
        <v>101</v>
      </c>
    </row>
    <row r="25" spans="2:3">
      <c r="B25" t="str">
        <f>LCOE!C27</f>
        <v>Refurbishment time required, years</v>
      </c>
      <c r="C25">
        <f>LCOE!F27</f>
        <v>1</v>
      </c>
    </row>
    <row r="26" spans="2:3">
      <c r="B26" t="str">
        <f>LCOE!C28</f>
        <v>Refurbishment cost, per kW</v>
      </c>
      <c r="C26">
        <f>LCOE!F28</f>
        <v>0</v>
      </c>
    </row>
    <row r="27" spans="2:3">
      <c r="B27" t="str">
        <f>LCOE!C29</f>
        <v>Emission factor, gCO2e/kWh</v>
      </c>
      <c r="C27">
        <f>LCOE!F29</f>
        <v>313.75</v>
      </c>
    </row>
    <row r="28" spans="2:3">
      <c r="B28" t="str">
        <f>LCOE!C30</f>
        <v>Emissions taxed starting from year</v>
      </c>
      <c r="C28">
        <f>LCOE!F30</f>
        <v>0</v>
      </c>
    </row>
    <row r="29" spans="2:3">
      <c r="B29" t="str">
        <f>LCOE!C31</f>
        <v>Taxes, per MWh produced</v>
      </c>
      <c r="C29">
        <f>LCOE!F31</f>
        <v>0</v>
      </c>
    </row>
    <row r="30" spans="2:3">
      <c r="B30" t="str">
        <f>LCOE!C32</f>
        <v>Waste fee, per MWh produced</v>
      </c>
      <c r="C30">
        <f>LCOE!F32</f>
        <v>0</v>
      </c>
    </row>
    <row r="31" spans="2:3">
      <c r="B31" t="str">
        <f>LCOE!C33</f>
        <v>Heat credit, per MWh produced</v>
      </c>
      <c r="C31">
        <f>LCOE!F33</f>
        <v>30</v>
      </c>
    </row>
    <row r="32" spans="2:3">
      <c r="B32" t="str">
        <f>LCOE!C34</f>
        <v>Outage at year</v>
      </c>
      <c r="C32">
        <f>LCOE!F34</f>
        <v>101</v>
      </c>
    </row>
    <row r="33" spans="1:40">
      <c r="B33" t="str">
        <f>LCOE!C35</f>
        <v>Decommissioning costs, % of initial capital cost</v>
      </c>
      <c r="C33" s="14">
        <f>LCOE!F35</f>
        <v>0.05</v>
      </c>
    </row>
    <row r="34" spans="1:40">
      <c r="B34" t="str">
        <f>LCOE!C36</f>
        <v>Decommissioning delay, years</v>
      </c>
      <c r="C34">
        <f>LCOE!F36</f>
        <v>1</v>
      </c>
    </row>
    <row r="35" spans="1:40">
      <c r="B35" t="str">
        <f>LCOE!C37</f>
        <v>Results reference year/LC start year</v>
      </c>
      <c r="C35">
        <f>LCOE!F37</f>
        <v>2020</v>
      </c>
    </row>
    <row r="36" spans="1:40">
      <c r="B36" t="str">
        <f>LCOE!C38</f>
        <v>Total cost</v>
      </c>
      <c r="C36" s="16">
        <f>LCOE!F38</f>
        <v>504500000</v>
      </c>
    </row>
    <row r="37" spans="1:40">
      <c r="B37" t="str">
        <f>LCOE!C39</f>
        <v>Equity share</v>
      </c>
      <c r="C37">
        <f>LCOE!F39</f>
        <v>9.9999999999999978E-2</v>
      </c>
    </row>
    <row r="38" spans="1:40">
      <c r="B38" t="str">
        <f>LCOE!C40</f>
        <v>WACC (average discount rate)</v>
      </c>
      <c r="C38" s="3">
        <f>LCOE!F40</f>
        <v>0.05</v>
      </c>
    </row>
    <row r="39" spans="1:40">
      <c r="B39" t="str">
        <f>LCOE!C41</f>
        <v>Interest during construction (IDC)</v>
      </c>
      <c r="C39" s="14">
        <f>LCOE!F41</f>
        <v>0.05</v>
      </c>
    </row>
    <row r="40" spans="1:40">
      <c r="B40" t="str">
        <f>LCOE!C42</f>
        <v>Total overnight cost of refurbishment</v>
      </c>
      <c r="C40" s="16">
        <f>LCOE!F42</f>
        <v>0</v>
      </c>
    </row>
    <row r="41" spans="1:40">
      <c r="B41" t="str">
        <f>LCOE!C43</f>
        <v>Overrides</v>
      </c>
      <c r="C41">
        <f>LCOE!F43</f>
        <v>0</v>
      </c>
    </row>
    <row r="43" spans="1:40">
      <c r="Z43" s="48" t="s">
        <v>223</v>
      </c>
      <c r="AA43" s="48"/>
      <c r="AB43" s="48"/>
      <c r="AC43" s="48"/>
      <c r="AD43" s="48"/>
    </row>
    <row r="44" spans="1:40" ht="183.95">
      <c r="A44" t="s">
        <v>224</v>
      </c>
      <c r="B44" s="17" t="s">
        <v>161</v>
      </c>
      <c r="C44" s="43" t="s">
        <v>225</v>
      </c>
      <c r="D44" s="17" t="s">
        <v>226</v>
      </c>
      <c r="E44" s="17" t="s">
        <v>164</v>
      </c>
      <c r="F44" s="17" t="s">
        <v>167</v>
      </c>
      <c r="G44" s="17" t="s">
        <v>168</v>
      </c>
      <c r="H44" s="17" t="s">
        <v>169</v>
      </c>
      <c r="I44" s="17" t="s">
        <v>170</v>
      </c>
      <c r="J44" s="17" t="s">
        <v>171</v>
      </c>
      <c r="K44" s="17" t="s">
        <v>227</v>
      </c>
      <c r="L44" s="17" t="s">
        <v>173</v>
      </c>
      <c r="M44" s="17" t="s">
        <v>228</v>
      </c>
      <c r="N44" s="17" t="s">
        <v>229</v>
      </c>
      <c r="O44" s="17" t="s">
        <v>230</v>
      </c>
      <c r="P44" s="17" t="s">
        <v>177</v>
      </c>
      <c r="Q44" s="17" t="s">
        <v>231</v>
      </c>
      <c r="R44" s="17" t="s">
        <v>232</v>
      </c>
      <c r="S44" s="17" t="s">
        <v>233</v>
      </c>
      <c r="T44" s="17" t="s">
        <v>180</v>
      </c>
      <c r="U44" s="17" t="s">
        <v>181</v>
      </c>
      <c r="V44" s="17" t="s">
        <v>182</v>
      </c>
      <c r="W44" s="17" t="s">
        <v>183</v>
      </c>
      <c r="X44" s="17" t="s">
        <v>234</v>
      </c>
      <c r="Y44" s="17" t="s">
        <v>185</v>
      </c>
      <c r="Z44" s="49" t="s">
        <v>235</v>
      </c>
      <c r="AA44" s="49" t="s">
        <v>236</v>
      </c>
      <c r="AB44" s="49" t="s">
        <v>237</v>
      </c>
      <c r="AC44" s="49" t="s">
        <v>238</v>
      </c>
      <c r="AD44" s="49" t="s">
        <v>239</v>
      </c>
      <c r="AE44" s="17" t="s">
        <v>240</v>
      </c>
      <c r="AF44" s="17" t="s">
        <v>241</v>
      </c>
      <c r="AG44" s="17" t="s">
        <v>242</v>
      </c>
      <c r="AH44" s="17" t="s">
        <v>243</v>
      </c>
      <c r="AI44" s="17" t="s">
        <v>244</v>
      </c>
      <c r="AJ44" s="17" t="s">
        <v>245</v>
      </c>
      <c r="AK44" s="17" t="s">
        <v>246</v>
      </c>
      <c r="AL44" s="17" t="s">
        <v>247</v>
      </c>
      <c r="AM44" s="17" t="s">
        <v>248</v>
      </c>
      <c r="AN44" s="17" t="s">
        <v>249</v>
      </c>
    </row>
    <row r="45" spans="1:40">
      <c r="A45">
        <v>-25</v>
      </c>
      <c r="B45" s="16">
        <f>LCOE!C71+IF(A45&gt;=((LCOE!F$17*-1)+1),LCOE!F$38/LCOE!F$17,0)</f>
        <v>0</v>
      </c>
      <c r="C45" s="16"/>
      <c r="D45" s="16"/>
      <c r="E45" s="18"/>
      <c r="Z45" s="50">
        <f t="shared" ref="Z45:Z69" si="3">SUM(B45:C45)</f>
        <v>0</v>
      </c>
      <c r="AA45" s="50">
        <f t="shared" ref="AA45:AA69" si="4">SUM(I45:J45)</f>
        <v>0</v>
      </c>
      <c r="AB45" s="50">
        <f t="shared" ref="AB45:AB69" si="5">L45</f>
        <v>0</v>
      </c>
      <c r="AC45" s="50">
        <f t="shared" ref="AC45:AC69" si="6">SUM(S45:W45)</f>
        <v>0</v>
      </c>
      <c r="AD45" s="50">
        <f>S45</f>
        <v>0</v>
      </c>
      <c r="AE45">
        <v>-25</v>
      </c>
      <c r="AF45" s="12">
        <f>LCOE!E71+LCOE!F$40</f>
        <v>0.05</v>
      </c>
      <c r="AG45">
        <f>(1+AF45)^A45</f>
        <v>0.29530277169776209</v>
      </c>
      <c r="AH45" s="16">
        <f t="shared" ref="AH45:AH108" si="7">Z45/AG45</f>
        <v>0</v>
      </c>
      <c r="AI45" s="16">
        <f t="shared" ref="AI45:AI108" si="8">AA45/AG45</f>
        <v>0</v>
      </c>
      <c r="AJ45" s="16">
        <f t="shared" ref="AJ45:AJ108" si="9">AB45/AG45</f>
        <v>0</v>
      </c>
      <c r="AK45" s="16">
        <f t="shared" ref="AK45:AK108" si="10">AC45/AG45</f>
        <v>0</v>
      </c>
      <c r="AL45" s="16">
        <f>AD45/AG45</f>
        <v>0</v>
      </c>
      <c r="AM45" s="16"/>
    </row>
    <row r="46" spans="1:40">
      <c r="A46">
        <v>-24</v>
      </c>
      <c r="B46" s="16">
        <f>LCOE!C72+IF(A46&gt;=((LCOE!F$17*-1)+1),LCOE!F$38/LCOE!F$17,0)</f>
        <v>0</v>
      </c>
      <c r="C46" s="16"/>
      <c r="D46" s="16"/>
      <c r="E46" s="18"/>
      <c r="Z46" s="50">
        <f t="shared" si="3"/>
        <v>0</v>
      </c>
      <c r="AA46" s="50">
        <f t="shared" si="4"/>
        <v>0</v>
      </c>
      <c r="AB46" s="50">
        <f t="shared" si="5"/>
        <v>0</v>
      </c>
      <c r="AC46" s="50">
        <f t="shared" si="6"/>
        <v>0</v>
      </c>
      <c r="AD46" s="50">
        <f t="shared" ref="AD46:AD109" si="11">S46</f>
        <v>0</v>
      </c>
      <c r="AE46">
        <v>-24</v>
      </c>
      <c r="AF46" s="12">
        <f>LCOE!E72+LCOE!F$40</f>
        <v>0.05</v>
      </c>
      <c r="AG46">
        <f t="shared" ref="AG46:AG109" si="12">(1+AF46)^A46</f>
        <v>0.31006791028265024</v>
      </c>
      <c r="AH46" s="16">
        <f t="shared" si="7"/>
        <v>0</v>
      </c>
      <c r="AI46" s="16">
        <f t="shared" si="8"/>
        <v>0</v>
      </c>
      <c r="AJ46" s="16">
        <f t="shared" si="9"/>
        <v>0</v>
      </c>
      <c r="AK46" s="16">
        <f t="shared" si="10"/>
        <v>0</v>
      </c>
      <c r="AL46" s="16">
        <f t="shared" ref="AL46:AL109" si="13">AD46/AG46</f>
        <v>0</v>
      </c>
      <c r="AM46" s="16"/>
    </row>
    <row r="47" spans="1:40">
      <c r="A47">
        <v>-23</v>
      </c>
      <c r="B47" s="16">
        <f>LCOE!C73+IF(A47&gt;=((LCOE!F$17*-1)+1),LCOE!F$38/LCOE!F$17,0)</f>
        <v>0</v>
      </c>
      <c r="C47" s="16"/>
      <c r="D47" s="16"/>
      <c r="E47" s="18"/>
      <c r="Z47" s="50">
        <f t="shared" si="3"/>
        <v>0</v>
      </c>
      <c r="AA47" s="50">
        <f t="shared" si="4"/>
        <v>0</v>
      </c>
      <c r="AB47" s="50">
        <f t="shared" si="5"/>
        <v>0</v>
      </c>
      <c r="AC47" s="50">
        <f t="shared" si="6"/>
        <v>0</v>
      </c>
      <c r="AD47" s="50">
        <f t="shared" si="11"/>
        <v>0</v>
      </c>
      <c r="AE47">
        <v>-23</v>
      </c>
      <c r="AF47" s="12">
        <f>LCOE!E73+LCOE!F$40</f>
        <v>0.05</v>
      </c>
      <c r="AG47">
        <f t="shared" si="12"/>
        <v>0.32557130579678267</v>
      </c>
      <c r="AH47" s="16">
        <f t="shared" si="7"/>
        <v>0</v>
      </c>
      <c r="AI47" s="16">
        <f t="shared" si="8"/>
        <v>0</v>
      </c>
      <c r="AJ47" s="16">
        <f t="shared" si="9"/>
        <v>0</v>
      </c>
      <c r="AK47" s="16">
        <f t="shared" si="10"/>
        <v>0</v>
      </c>
      <c r="AL47" s="16">
        <f t="shared" si="13"/>
        <v>0</v>
      </c>
      <c r="AM47" s="16"/>
    </row>
    <row r="48" spans="1:40">
      <c r="A48">
        <v>-22</v>
      </c>
      <c r="B48" s="16">
        <f>LCOE!C74+IF(A48&gt;=((LCOE!F$17*-1)+1),LCOE!F$38/LCOE!F$17,0)</f>
        <v>0</v>
      </c>
      <c r="C48" s="16"/>
      <c r="D48" s="16"/>
      <c r="E48" s="18"/>
      <c r="Z48" s="50">
        <f t="shared" si="3"/>
        <v>0</v>
      </c>
      <c r="AA48" s="50">
        <f t="shared" si="4"/>
        <v>0</v>
      </c>
      <c r="AB48" s="50">
        <f t="shared" si="5"/>
        <v>0</v>
      </c>
      <c r="AC48" s="50">
        <f t="shared" si="6"/>
        <v>0</v>
      </c>
      <c r="AD48" s="50">
        <f t="shared" si="11"/>
        <v>0</v>
      </c>
      <c r="AE48">
        <v>-22</v>
      </c>
      <c r="AF48" s="12">
        <f>LCOE!E74+LCOE!F$40</f>
        <v>0.05</v>
      </c>
      <c r="AG48">
        <f t="shared" si="12"/>
        <v>0.3418498710866219</v>
      </c>
      <c r="AH48" s="16">
        <f t="shared" si="7"/>
        <v>0</v>
      </c>
      <c r="AI48" s="16">
        <f t="shared" si="8"/>
        <v>0</v>
      </c>
      <c r="AJ48" s="16">
        <f t="shared" si="9"/>
        <v>0</v>
      </c>
      <c r="AK48" s="16">
        <f t="shared" si="10"/>
        <v>0</v>
      </c>
      <c r="AL48" s="16">
        <f t="shared" si="13"/>
        <v>0</v>
      </c>
      <c r="AM48" s="16"/>
    </row>
    <row r="49" spans="1:39">
      <c r="A49">
        <v>-21</v>
      </c>
      <c r="B49" s="16">
        <f>LCOE!C75+IF(A49&gt;=((LCOE!F$17*-1)+1),LCOE!F$38/LCOE!F$17,0)</f>
        <v>0</v>
      </c>
      <c r="C49" s="16"/>
      <c r="D49" s="16"/>
      <c r="E49" s="18"/>
      <c r="Z49" s="50">
        <f t="shared" si="3"/>
        <v>0</v>
      </c>
      <c r="AA49" s="50">
        <f t="shared" si="4"/>
        <v>0</v>
      </c>
      <c r="AB49" s="50">
        <f t="shared" si="5"/>
        <v>0</v>
      </c>
      <c r="AC49" s="50">
        <f t="shared" si="6"/>
        <v>0</v>
      </c>
      <c r="AD49" s="50">
        <f t="shared" si="11"/>
        <v>0</v>
      </c>
      <c r="AE49">
        <v>-21</v>
      </c>
      <c r="AF49" s="12">
        <f>LCOE!E75+LCOE!F$40</f>
        <v>0.05</v>
      </c>
      <c r="AG49">
        <f t="shared" si="12"/>
        <v>0.35894236464095297</v>
      </c>
      <c r="AH49" s="16">
        <f t="shared" si="7"/>
        <v>0</v>
      </c>
      <c r="AI49" s="16">
        <f t="shared" si="8"/>
        <v>0</v>
      </c>
      <c r="AJ49" s="16">
        <f t="shared" si="9"/>
        <v>0</v>
      </c>
      <c r="AK49" s="16">
        <f t="shared" si="10"/>
        <v>0</v>
      </c>
      <c r="AL49" s="16">
        <f t="shared" si="13"/>
        <v>0</v>
      </c>
      <c r="AM49" s="16"/>
    </row>
    <row r="50" spans="1:39">
      <c r="A50">
        <v>-20</v>
      </c>
      <c r="B50" s="16">
        <f>LCOE!C76+IF(A50&gt;=((LCOE!F$17*-1)+1),LCOE!F$38/LCOE!F$17,0)</f>
        <v>0</v>
      </c>
      <c r="C50" s="16"/>
      <c r="D50" s="16"/>
      <c r="E50" s="18"/>
      <c r="Z50" s="50">
        <f t="shared" si="3"/>
        <v>0</v>
      </c>
      <c r="AA50" s="50">
        <f t="shared" si="4"/>
        <v>0</v>
      </c>
      <c r="AB50" s="50">
        <f t="shared" si="5"/>
        <v>0</v>
      </c>
      <c r="AC50" s="50">
        <f t="shared" si="6"/>
        <v>0</v>
      </c>
      <c r="AD50" s="50">
        <f t="shared" si="11"/>
        <v>0</v>
      </c>
      <c r="AE50">
        <v>-20</v>
      </c>
      <c r="AF50" s="12">
        <f>LCOE!E76+LCOE!F$40</f>
        <v>0.05</v>
      </c>
      <c r="AG50">
        <f t="shared" si="12"/>
        <v>0.37688948287300061</v>
      </c>
      <c r="AH50" s="16">
        <f t="shared" si="7"/>
        <v>0</v>
      </c>
      <c r="AI50" s="16">
        <f t="shared" si="8"/>
        <v>0</v>
      </c>
      <c r="AJ50" s="16">
        <f t="shared" si="9"/>
        <v>0</v>
      </c>
      <c r="AK50" s="16">
        <f t="shared" si="10"/>
        <v>0</v>
      </c>
      <c r="AL50" s="16">
        <f t="shared" si="13"/>
        <v>0</v>
      </c>
      <c r="AM50" s="16"/>
    </row>
    <row r="51" spans="1:39">
      <c r="A51">
        <v>-19</v>
      </c>
      <c r="B51" s="16">
        <f>LCOE!C77+IF(A51&gt;=((LCOE!F$17*-1)+1),LCOE!F$38/LCOE!F$17,0)</f>
        <v>0</v>
      </c>
      <c r="C51" s="16"/>
      <c r="D51" s="16"/>
      <c r="E51" s="18"/>
      <c r="Z51" s="50">
        <f t="shared" si="3"/>
        <v>0</v>
      </c>
      <c r="AA51" s="50">
        <f t="shared" si="4"/>
        <v>0</v>
      </c>
      <c r="AB51" s="50">
        <f t="shared" si="5"/>
        <v>0</v>
      </c>
      <c r="AC51" s="50">
        <f t="shared" si="6"/>
        <v>0</v>
      </c>
      <c r="AD51" s="50">
        <f t="shared" si="11"/>
        <v>0</v>
      </c>
      <c r="AE51">
        <v>-19</v>
      </c>
      <c r="AF51" s="12">
        <f>LCOE!E77+LCOE!F$40</f>
        <v>0.05</v>
      </c>
      <c r="AG51">
        <f t="shared" si="12"/>
        <v>0.39573395701665059</v>
      </c>
      <c r="AH51" s="16">
        <f t="shared" si="7"/>
        <v>0</v>
      </c>
      <c r="AI51" s="16">
        <f t="shared" si="8"/>
        <v>0</v>
      </c>
      <c r="AJ51" s="16">
        <f t="shared" si="9"/>
        <v>0</v>
      </c>
      <c r="AK51" s="16">
        <f t="shared" si="10"/>
        <v>0</v>
      </c>
      <c r="AL51" s="16">
        <f t="shared" si="13"/>
        <v>0</v>
      </c>
      <c r="AM51" s="16"/>
    </row>
    <row r="52" spans="1:39">
      <c r="A52">
        <v>-18</v>
      </c>
      <c r="B52" s="16">
        <f>LCOE!C78+IF(A52&gt;=((LCOE!F$17*-1)+1),LCOE!F$38/LCOE!F$17,0)</f>
        <v>0</v>
      </c>
      <c r="C52" s="16"/>
      <c r="D52" s="16"/>
      <c r="E52" s="18"/>
      <c r="Z52" s="50">
        <f t="shared" si="3"/>
        <v>0</v>
      </c>
      <c r="AA52" s="50">
        <f t="shared" si="4"/>
        <v>0</v>
      </c>
      <c r="AB52" s="50">
        <f t="shared" si="5"/>
        <v>0</v>
      </c>
      <c r="AC52" s="50">
        <f t="shared" si="6"/>
        <v>0</v>
      </c>
      <c r="AD52" s="50">
        <f t="shared" si="11"/>
        <v>0</v>
      </c>
      <c r="AE52">
        <v>-18</v>
      </c>
      <c r="AF52" s="12">
        <f>LCOE!E78+LCOE!F$40</f>
        <v>0.05</v>
      </c>
      <c r="AG52">
        <f t="shared" si="12"/>
        <v>0.41552065486748313</v>
      </c>
      <c r="AH52" s="16">
        <f t="shared" si="7"/>
        <v>0</v>
      </c>
      <c r="AI52" s="16">
        <f t="shared" si="8"/>
        <v>0</v>
      </c>
      <c r="AJ52" s="16">
        <f t="shared" si="9"/>
        <v>0</v>
      </c>
      <c r="AK52" s="16">
        <f t="shared" si="10"/>
        <v>0</v>
      </c>
      <c r="AL52" s="16">
        <f t="shared" si="13"/>
        <v>0</v>
      </c>
      <c r="AM52" s="16"/>
    </row>
    <row r="53" spans="1:39">
      <c r="A53">
        <v>-17</v>
      </c>
      <c r="B53" s="16">
        <f>LCOE!C79+IF(A53&gt;=((LCOE!F$17*-1)+1),LCOE!F$38/LCOE!F$17,0)</f>
        <v>0</v>
      </c>
      <c r="C53" s="16"/>
      <c r="D53" s="16"/>
      <c r="E53" s="18"/>
      <c r="Z53" s="50">
        <f t="shared" si="3"/>
        <v>0</v>
      </c>
      <c r="AA53" s="50">
        <f t="shared" si="4"/>
        <v>0</v>
      </c>
      <c r="AB53" s="50">
        <f t="shared" si="5"/>
        <v>0</v>
      </c>
      <c r="AC53" s="50">
        <f t="shared" si="6"/>
        <v>0</v>
      </c>
      <c r="AD53" s="50">
        <f t="shared" si="11"/>
        <v>0</v>
      </c>
      <c r="AE53">
        <v>-17</v>
      </c>
      <c r="AF53" s="12">
        <f>LCOE!E79+LCOE!F$40</f>
        <v>0.05</v>
      </c>
      <c r="AG53">
        <f t="shared" si="12"/>
        <v>0.43629668761085727</v>
      </c>
      <c r="AH53" s="16">
        <f t="shared" si="7"/>
        <v>0</v>
      </c>
      <c r="AI53" s="16">
        <f t="shared" si="8"/>
        <v>0</v>
      </c>
      <c r="AJ53" s="16">
        <f t="shared" si="9"/>
        <v>0</v>
      </c>
      <c r="AK53" s="16">
        <f t="shared" si="10"/>
        <v>0</v>
      </c>
      <c r="AL53" s="16">
        <f t="shared" si="13"/>
        <v>0</v>
      </c>
      <c r="AM53" s="16"/>
    </row>
    <row r="54" spans="1:39">
      <c r="A54">
        <v>-16</v>
      </c>
      <c r="B54" s="16">
        <f>LCOE!C80+IF(A54&gt;=((LCOE!F$17*-1)+1),LCOE!F$38/LCOE!F$17,0)</f>
        <v>0</v>
      </c>
      <c r="C54" s="16"/>
      <c r="D54" s="16"/>
      <c r="E54" s="18"/>
      <c r="Z54" s="50">
        <f t="shared" si="3"/>
        <v>0</v>
      </c>
      <c r="AA54" s="50">
        <f t="shared" si="4"/>
        <v>0</v>
      </c>
      <c r="AB54" s="50">
        <f t="shared" si="5"/>
        <v>0</v>
      </c>
      <c r="AC54" s="50">
        <f t="shared" si="6"/>
        <v>0</v>
      </c>
      <c r="AD54" s="50">
        <f t="shared" si="11"/>
        <v>0</v>
      </c>
      <c r="AE54">
        <v>-16</v>
      </c>
      <c r="AF54" s="12">
        <f>LCOE!E80+LCOE!F$40</f>
        <v>0.05</v>
      </c>
      <c r="AG54">
        <f t="shared" si="12"/>
        <v>0.45811152199140021</v>
      </c>
      <c r="AH54" s="16">
        <f t="shared" si="7"/>
        <v>0</v>
      </c>
      <c r="AI54" s="16">
        <f t="shared" si="8"/>
        <v>0</v>
      </c>
      <c r="AJ54" s="16">
        <f t="shared" si="9"/>
        <v>0</v>
      </c>
      <c r="AK54" s="16">
        <f t="shared" si="10"/>
        <v>0</v>
      </c>
      <c r="AL54" s="16">
        <f t="shared" si="13"/>
        <v>0</v>
      </c>
      <c r="AM54" s="16"/>
    </row>
    <row r="55" spans="1:39">
      <c r="A55">
        <v>-15</v>
      </c>
      <c r="B55" s="16">
        <f>LCOE!C81+IF(A55&gt;=((LCOE!F$17*-1)+1),LCOE!F$38/LCOE!F$17,0)</f>
        <v>0</v>
      </c>
      <c r="C55" s="16"/>
      <c r="D55" s="16"/>
      <c r="E55" s="18"/>
      <c r="Z55" s="50">
        <f t="shared" si="3"/>
        <v>0</v>
      </c>
      <c r="AA55" s="50">
        <f t="shared" si="4"/>
        <v>0</v>
      </c>
      <c r="AB55" s="50">
        <f t="shared" si="5"/>
        <v>0</v>
      </c>
      <c r="AC55" s="50">
        <f t="shared" si="6"/>
        <v>0</v>
      </c>
      <c r="AD55" s="50">
        <f t="shared" si="11"/>
        <v>0</v>
      </c>
      <c r="AE55">
        <v>-15</v>
      </c>
      <c r="AF55" s="12">
        <f>LCOE!E81+LCOE!F$40</f>
        <v>0.05</v>
      </c>
      <c r="AG55">
        <f t="shared" si="12"/>
        <v>0.48101709809097021</v>
      </c>
      <c r="AH55" s="16">
        <f t="shared" si="7"/>
        <v>0</v>
      </c>
      <c r="AI55" s="16">
        <f t="shared" si="8"/>
        <v>0</v>
      </c>
      <c r="AJ55" s="16">
        <f t="shared" si="9"/>
        <v>0</v>
      </c>
      <c r="AK55" s="16">
        <f t="shared" si="10"/>
        <v>0</v>
      </c>
      <c r="AL55" s="16">
        <f t="shared" si="13"/>
        <v>0</v>
      </c>
      <c r="AM55" s="16"/>
    </row>
    <row r="56" spans="1:39">
      <c r="A56">
        <v>-14</v>
      </c>
      <c r="B56" s="16">
        <f>LCOE!C82+IF(A56&gt;=((LCOE!F$17*-1)+1),LCOE!F$38/LCOE!F$17,0)</f>
        <v>0</v>
      </c>
      <c r="C56" s="16"/>
      <c r="D56" s="16"/>
      <c r="E56" s="18"/>
      <c r="Z56" s="50">
        <f t="shared" si="3"/>
        <v>0</v>
      </c>
      <c r="AA56" s="50">
        <f t="shared" si="4"/>
        <v>0</v>
      </c>
      <c r="AB56" s="50">
        <f t="shared" si="5"/>
        <v>0</v>
      </c>
      <c r="AC56" s="50">
        <f t="shared" si="6"/>
        <v>0</v>
      </c>
      <c r="AD56" s="50">
        <f t="shared" si="11"/>
        <v>0</v>
      </c>
      <c r="AE56">
        <v>-14</v>
      </c>
      <c r="AF56" s="12">
        <f>LCOE!E82+LCOE!F$40</f>
        <v>0.05</v>
      </c>
      <c r="AG56">
        <f t="shared" si="12"/>
        <v>0.50506795299551888</v>
      </c>
      <c r="AH56" s="16">
        <f t="shared" si="7"/>
        <v>0</v>
      </c>
      <c r="AI56" s="16">
        <f t="shared" si="8"/>
        <v>0</v>
      </c>
      <c r="AJ56" s="16">
        <f t="shared" si="9"/>
        <v>0</v>
      </c>
      <c r="AK56" s="16">
        <f t="shared" si="10"/>
        <v>0</v>
      </c>
      <c r="AL56" s="16">
        <f t="shared" si="13"/>
        <v>0</v>
      </c>
      <c r="AM56" s="16"/>
    </row>
    <row r="57" spans="1:39">
      <c r="A57">
        <v>-13</v>
      </c>
      <c r="B57" s="16">
        <f>LCOE!C83+IF(A57&gt;=((LCOE!F$17*-1)+1),LCOE!F$38/LCOE!F$17,0)</f>
        <v>0</v>
      </c>
      <c r="C57" s="16"/>
      <c r="D57" s="16"/>
      <c r="E57" s="18"/>
      <c r="Z57" s="50">
        <f t="shared" si="3"/>
        <v>0</v>
      </c>
      <c r="AA57" s="50">
        <f t="shared" si="4"/>
        <v>0</v>
      </c>
      <c r="AB57" s="50">
        <f t="shared" si="5"/>
        <v>0</v>
      </c>
      <c r="AC57" s="50">
        <f t="shared" si="6"/>
        <v>0</v>
      </c>
      <c r="AD57" s="50">
        <f t="shared" si="11"/>
        <v>0</v>
      </c>
      <c r="AE57">
        <v>-13</v>
      </c>
      <c r="AF57" s="12">
        <f>LCOE!E83+LCOE!F$40</f>
        <v>0.05</v>
      </c>
      <c r="AG57">
        <f t="shared" si="12"/>
        <v>0.53032135064529462</v>
      </c>
      <c r="AH57" s="16">
        <f t="shared" si="7"/>
        <v>0</v>
      </c>
      <c r="AI57" s="16">
        <f t="shared" si="8"/>
        <v>0</v>
      </c>
      <c r="AJ57" s="16">
        <f t="shared" si="9"/>
        <v>0</v>
      </c>
      <c r="AK57" s="16">
        <f t="shared" si="10"/>
        <v>0</v>
      </c>
      <c r="AL57" s="16">
        <f t="shared" si="13"/>
        <v>0</v>
      </c>
      <c r="AM57" s="16"/>
    </row>
    <row r="58" spans="1:39">
      <c r="A58">
        <v>-12</v>
      </c>
      <c r="B58" s="16">
        <f>LCOE!C84+IF(A58&gt;=((LCOE!F$17*-1)+1),LCOE!F$38/LCOE!F$17,0)</f>
        <v>0</v>
      </c>
      <c r="C58" s="16"/>
      <c r="D58" s="16"/>
      <c r="E58" s="18"/>
      <c r="Z58" s="50">
        <f t="shared" si="3"/>
        <v>0</v>
      </c>
      <c r="AA58" s="50">
        <f t="shared" si="4"/>
        <v>0</v>
      </c>
      <c r="AB58" s="50">
        <f t="shared" si="5"/>
        <v>0</v>
      </c>
      <c r="AC58" s="50">
        <f t="shared" si="6"/>
        <v>0</v>
      </c>
      <c r="AD58" s="50">
        <f t="shared" si="11"/>
        <v>0</v>
      </c>
      <c r="AE58">
        <v>-12</v>
      </c>
      <c r="AF58" s="12">
        <f>LCOE!E84+LCOE!F$40</f>
        <v>0.05</v>
      </c>
      <c r="AG58">
        <f t="shared" si="12"/>
        <v>0.5568374181775595</v>
      </c>
      <c r="AH58" s="16">
        <f t="shared" si="7"/>
        <v>0</v>
      </c>
      <c r="AI58" s="16">
        <f t="shared" si="8"/>
        <v>0</v>
      </c>
      <c r="AJ58" s="16">
        <f t="shared" si="9"/>
        <v>0</v>
      </c>
      <c r="AK58" s="16">
        <f t="shared" si="10"/>
        <v>0</v>
      </c>
      <c r="AL58" s="16">
        <f t="shared" si="13"/>
        <v>0</v>
      </c>
      <c r="AM58" s="16"/>
    </row>
    <row r="59" spans="1:39">
      <c r="A59">
        <v>-11</v>
      </c>
      <c r="B59" s="16">
        <f>LCOE!C85+IF(A59&gt;=((LCOE!F$17*-1)+1),LCOE!F$38/LCOE!F$17,0)</f>
        <v>0</v>
      </c>
      <c r="C59" s="16"/>
      <c r="D59" s="16"/>
      <c r="E59" s="18"/>
      <c r="Z59" s="50">
        <f t="shared" si="3"/>
        <v>0</v>
      </c>
      <c r="AA59" s="50">
        <f t="shared" si="4"/>
        <v>0</v>
      </c>
      <c r="AB59" s="50">
        <f t="shared" si="5"/>
        <v>0</v>
      </c>
      <c r="AC59" s="50">
        <f t="shared" si="6"/>
        <v>0</v>
      </c>
      <c r="AD59" s="50">
        <f t="shared" si="11"/>
        <v>0</v>
      </c>
      <c r="AE59">
        <v>-11</v>
      </c>
      <c r="AF59" s="12">
        <f>LCOE!E85+LCOE!F$40</f>
        <v>0.05</v>
      </c>
      <c r="AG59">
        <f t="shared" si="12"/>
        <v>0.5846792890864374</v>
      </c>
      <c r="AH59" s="16">
        <f t="shared" si="7"/>
        <v>0</v>
      </c>
      <c r="AI59" s="16">
        <f t="shared" si="8"/>
        <v>0</v>
      </c>
      <c r="AJ59" s="16">
        <f t="shared" si="9"/>
        <v>0</v>
      </c>
      <c r="AK59" s="16">
        <f t="shared" si="10"/>
        <v>0</v>
      </c>
      <c r="AL59" s="16">
        <f t="shared" si="13"/>
        <v>0</v>
      </c>
      <c r="AM59" s="16"/>
    </row>
    <row r="60" spans="1:39">
      <c r="A60">
        <v>-10</v>
      </c>
      <c r="B60" s="16">
        <f>LCOE!C86+IF(A60&gt;=((LCOE!F$17*-1)+1),LCOE!F$38/LCOE!F$17,0)</f>
        <v>0</v>
      </c>
      <c r="C60" s="16"/>
      <c r="D60" s="16"/>
      <c r="E60" s="18"/>
      <c r="Z60" s="50">
        <f t="shared" si="3"/>
        <v>0</v>
      </c>
      <c r="AA60" s="50">
        <f t="shared" si="4"/>
        <v>0</v>
      </c>
      <c r="AB60" s="50">
        <f t="shared" si="5"/>
        <v>0</v>
      </c>
      <c r="AC60" s="50">
        <f t="shared" si="6"/>
        <v>0</v>
      </c>
      <c r="AD60" s="50">
        <f t="shared" si="11"/>
        <v>0</v>
      </c>
      <c r="AE60">
        <v>-10</v>
      </c>
      <c r="AF60" s="12">
        <f>LCOE!E86+LCOE!F$40</f>
        <v>0.05</v>
      </c>
      <c r="AG60">
        <f t="shared" si="12"/>
        <v>0.61391325354075932</v>
      </c>
      <c r="AH60" s="16">
        <f t="shared" si="7"/>
        <v>0</v>
      </c>
      <c r="AI60" s="16">
        <f t="shared" si="8"/>
        <v>0</v>
      </c>
      <c r="AJ60" s="16">
        <f t="shared" si="9"/>
        <v>0</v>
      </c>
      <c r="AK60" s="16">
        <f t="shared" si="10"/>
        <v>0</v>
      </c>
      <c r="AL60" s="16">
        <f t="shared" si="13"/>
        <v>0</v>
      </c>
      <c r="AM60" s="16"/>
    </row>
    <row r="61" spans="1:39">
      <c r="A61">
        <v>-9</v>
      </c>
      <c r="B61" s="16">
        <f>LCOE!C87+IF(A61&gt;=((LCOE!F$17*-1)+1),LCOE!F$38/LCOE!F$17,0)</f>
        <v>0</v>
      </c>
      <c r="C61" s="16"/>
      <c r="D61" s="16"/>
      <c r="E61" s="18"/>
      <c r="Z61" s="50">
        <f t="shared" si="3"/>
        <v>0</v>
      </c>
      <c r="AA61" s="50">
        <f t="shared" si="4"/>
        <v>0</v>
      </c>
      <c r="AB61" s="50">
        <f t="shared" si="5"/>
        <v>0</v>
      </c>
      <c r="AC61" s="50">
        <f t="shared" si="6"/>
        <v>0</v>
      </c>
      <c r="AD61" s="50">
        <f t="shared" si="11"/>
        <v>0</v>
      </c>
      <c r="AE61">
        <v>-9</v>
      </c>
      <c r="AF61" s="12">
        <f>LCOE!E87+LCOE!F$40</f>
        <v>0.05</v>
      </c>
      <c r="AG61">
        <f t="shared" si="12"/>
        <v>0.64460891621779726</v>
      </c>
      <c r="AH61" s="16">
        <f t="shared" si="7"/>
        <v>0</v>
      </c>
      <c r="AI61" s="16">
        <f t="shared" si="8"/>
        <v>0</v>
      </c>
      <c r="AJ61" s="16">
        <f t="shared" si="9"/>
        <v>0</v>
      </c>
      <c r="AK61" s="16">
        <f t="shared" si="10"/>
        <v>0</v>
      </c>
      <c r="AL61" s="16">
        <f t="shared" si="13"/>
        <v>0</v>
      </c>
      <c r="AM61" s="16"/>
    </row>
    <row r="62" spans="1:39">
      <c r="A62">
        <v>-8</v>
      </c>
      <c r="B62" s="16">
        <f>LCOE!C88+IF(A62&gt;=((LCOE!F$17*-1)+1),LCOE!F$38/LCOE!F$17,0)</f>
        <v>0</v>
      </c>
      <c r="C62" s="16"/>
      <c r="D62" s="16"/>
      <c r="E62" s="18"/>
      <c r="Z62" s="50">
        <f t="shared" si="3"/>
        <v>0</v>
      </c>
      <c r="AA62" s="50">
        <f t="shared" si="4"/>
        <v>0</v>
      </c>
      <c r="AB62" s="50">
        <f t="shared" si="5"/>
        <v>0</v>
      </c>
      <c r="AC62" s="50">
        <f t="shared" si="6"/>
        <v>0</v>
      </c>
      <c r="AD62" s="50">
        <f t="shared" si="11"/>
        <v>0</v>
      </c>
      <c r="AE62">
        <v>-8</v>
      </c>
      <c r="AF62" s="12">
        <f>LCOE!E88+LCOE!F$40</f>
        <v>0.05</v>
      </c>
      <c r="AG62">
        <f t="shared" si="12"/>
        <v>0.67683936202868722</v>
      </c>
      <c r="AH62" s="16">
        <f t="shared" si="7"/>
        <v>0</v>
      </c>
      <c r="AI62" s="16">
        <f t="shared" si="8"/>
        <v>0</v>
      </c>
      <c r="AJ62" s="16">
        <f t="shared" si="9"/>
        <v>0</v>
      </c>
      <c r="AK62" s="16">
        <f t="shared" si="10"/>
        <v>0</v>
      </c>
      <c r="AL62" s="16">
        <f t="shared" si="13"/>
        <v>0</v>
      </c>
      <c r="AM62" s="16"/>
    </row>
    <row r="63" spans="1:39">
      <c r="A63">
        <v>-7</v>
      </c>
      <c r="B63" s="16">
        <f>LCOE!C89+IF(A63&gt;=((LCOE!F$17*-1)+1),LCOE!F$38/LCOE!F$17,0)</f>
        <v>0</v>
      </c>
      <c r="C63" s="16"/>
      <c r="D63" s="16"/>
      <c r="E63" s="18"/>
      <c r="Z63" s="50">
        <f t="shared" si="3"/>
        <v>0</v>
      </c>
      <c r="AA63" s="50">
        <f t="shared" si="4"/>
        <v>0</v>
      </c>
      <c r="AB63" s="50">
        <f t="shared" si="5"/>
        <v>0</v>
      </c>
      <c r="AC63" s="50">
        <f t="shared" si="6"/>
        <v>0</v>
      </c>
      <c r="AD63" s="50">
        <f t="shared" si="11"/>
        <v>0</v>
      </c>
      <c r="AE63">
        <v>-7</v>
      </c>
      <c r="AF63" s="12">
        <f>LCOE!E89+LCOE!F$40</f>
        <v>0.05</v>
      </c>
      <c r="AG63">
        <f t="shared" si="12"/>
        <v>0.71068133013012147</v>
      </c>
      <c r="AH63" s="16">
        <f t="shared" si="7"/>
        <v>0</v>
      </c>
      <c r="AI63" s="16">
        <f t="shared" si="8"/>
        <v>0</v>
      </c>
      <c r="AJ63" s="16">
        <f t="shared" si="9"/>
        <v>0</v>
      </c>
      <c r="AK63" s="16">
        <f t="shared" si="10"/>
        <v>0</v>
      </c>
      <c r="AL63" s="16">
        <f t="shared" si="13"/>
        <v>0</v>
      </c>
      <c r="AM63" s="16"/>
    </row>
    <row r="64" spans="1:39">
      <c r="A64">
        <v>-6</v>
      </c>
      <c r="B64" s="16">
        <f>LCOE!C90+IF(A64&gt;=((LCOE!F$17*-1)+1),LCOE!F$38/LCOE!F$17,0)</f>
        <v>0</v>
      </c>
      <c r="C64" s="16"/>
      <c r="D64" s="16"/>
      <c r="E64" s="18"/>
      <c r="Z64" s="50">
        <f t="shared" si="3"/>
        <v>0</v>
      </c>
      <c r="AA64" s="50">
        <f t="shared" si="4"/>
        <v>0</v>
      </c>
      <c r="AB64" s="50">
        <f t="shared" si="5"/>
        <v>0</v>
      </c>
      <c r="AC64" s="50">
        <f t="shared" si="6"/>
        <v>0</v>
      </c>
      <c r="AD64" s="50">
        <f t="shared" si="11"/>
        <v>0</v>
      </c>
      <c r="AE64">
        <v>-6</v>
      </c>
      <c r="AF64" s="12">
        <f>LCOE!E90+LCOE!F$40</f>
        <v>0.05</v>
      </c>
      <c r="AG64">
        <f t="shared" si="12"/>
        <v>0.74621539663662761</v>
      </c>
      <c r="AH64" s="16">
        <f t="shared" si="7"/>
        <v>0</v>
      </c>
      <c r="AI64" s="16">
        <f t="shared" si="8"/>
        <v>0</v>
      </c>
      <c r="AJ64" s="16">
        <f t="shared" si="9"/>
        <v>0</v>
      </c>
      <c r="AK64" s="16">
        <f t="shared" si="10"/>
        <v>0</v>
      </c>
      <c r="AL64" s="16">
        <f t="shared" si="13"/>
        <v>0</v>
      </c>
      <c r="AM64" s="16"/>
    </row>
    <row r="65" spans="1:40">
      <c r="A65">
        <v>-5</v>
      </c>
      <c r="B65" s="16">
        <f>LCOE!C91+IF(A65&gt;=((LCOE!F$17*-1)+1),LCOE!F$38/LCOE!F$17,0)</f>
        <v>0</v>
      </c>
      <c r="C65" s="16"/>
      <c r="D65" s="16"/>
      <c r="E65" s="18"/>
      <c r="Z65" s="50">
        <f t="shared" si="3"/>
        <v>0</v>
      </c>
      <c r="AA65" s="50">
        <f t="shared" si="4"/>
        <v>0</v>
      </c>
      <c r="AB65" s="50">
        <f t="shared" si="5"/>
        <v>0</v>
      </c>
      <c r="AC65" s="50">
        <f t="shared" si="6"/>
        <v>0</v>
      </c>
      <c r="AD65" s="50">
        <f t="shared" si="11"/>
        <v>0</v>
      </c>
      <c r="AE65">
        <v>-5</v>
      </c>
      <c r="AF65" s="12">
        <f>LCOE!E91+LCOE!F$40</f>
        <v>0.05</v>
      </c>
      <c r="AG65">
        <f t="shared" si="12"/>
        <v>0.78352616646845896</v>
      </c>
      <c r="AH65" s="16">
        <f t="shared" si="7"/>
        <v>0</v>
      </c>
      <c r="AI65" s="16">
        <f t="shared" si="8"/>
        <v>0</v>
      </c>
      <c r="AJ65" s="16">
        <f t="shared" si="9"/>
        <v>0</v>
      </c>
      <c r="AK65" s="16">
        <f t="shared" si="10"/>
        <v>0</v>
      </c>
      <c r="AL65" s="16">
        <f t="shared" si="13"/>
        <v>0</v>
      </c>
      <c r="AM65" s="16"/>
    </row>
    <row r="66" spans="1:40">
      <c r="A66">
        <v>-4</v>
      </c>
      <c r="B66" s="16">
        <f>LCOE!C92+IF(A66&gt;=((LCOE!F$17*-1)+1),LCOE!F$38/LCOE!F$17,0)</f>
        <v>0</v>
      </c>
      <c r="C66" s="16"/>
      <c r="D66" s="16"/>
      <c r="E66" s="18"/>
      <c r="Z66" s="50">
        <f t="shared" si="3"/>
        <v>0</v>
      </c>
      <c r="AA66" s="50">
        <f t="shared" si="4"/>
        <v>0</v>
      </c>
      <c r="AB66" s="50">
        <f t="shared" si="5"/>
        <v>0</v>
      </c>
      <c r="AC66" s="50">
        <f t="shared" si="6"/>
        <v>0</v>
      </c>
      <c r="AD66" s="50">
        <f t="shared" si="11"/>
        <v>0</v>
      </c>
      <c r="AE66">
        <v>-4</v>
      </c>
      <c r="AF66" s="12">
        <f>LCOE!E92+LCOE!F$40</f>
        <v>0.05</v>
      </c>
      <c r="AG66">
        <f t="shared" si="12"/>
        <v>0.82270247479188197</v>
      </c>
      <c r="AH66" s="16">
        <f t="shared" si="7"/>
        <v>0</v>
      </c>
      <c r="AI66" s="16">
        <f t="shared" si="8"/>
        <v>0</v>
      </c>
      <c r="AJ66" s="16">
        <f t="shared" si="9"/>
        <v>0</v>
      </c>
      <c r="AK66" s="16">
        <f t="shared" si="10"/>
        <v>0</v>
      </c>
      <c r="AL66" s="16">
        <f t="shared" si="13"/>
        <v>0</v>
      </c>
      <c r="AM66" s="16"/>
    </row>
    <row r="67" spans="1:40">
      <c r="A67">
        <v>-3</v>
      </c>
      <c r="B67" s="16">
        <f>LCOE!C93+IF(A67&gt;=((LCOE!F$17*-1)+1),LCOE!F$38/LCOE!F$17,0)</f>
        <v>0</v>
      </c>
      <c r="C67" s="16"/>
      <c r="D67" s="16"/>
      <c r="E67" s="18"/>
      <c r="Z67" s="50">
        <f t="shared" si="3"/>
        <v>0</v>
      </c>
      <c r="AA67" s="50">
        <f t="shared" si="4"/>
        <v>0</v>
      </c>
      <c r="AB67" s="50">
        <f t="shared" si="5"/>
        <v>0</v>
      </c>
      <c r="AC67" s="50">
        <f t="shared" si="6"/>
        <v>0</v>
      </c>
      <c r="AD67" s="50">
        <f t="shared" si="11"/>
        <v>0</v>
      </c>
      <c r="AE67">
        <v>-3</v>
      </c>
      <c r="AF67" s="12">
        <f>LCOE!E93+LCOE!F$40</f>
        <v>0.05</v>
      </c>
      <c r="AG67">
        <f t="shared" si="12"/>
        <v>0.86383759853147601</v>
      </c>
      <c r="AH67" s="16">
        <f t="shared" si="7"/>
        <v>0</v>
      </c>
      <c r="AI67" s="16">
        <f t="shared" si="8"/>
        <v>0</v>
      </c>
      <c r="AJ67" s="16">
        <f t="shared" si="9"/>
        <v>0</v>
      </c>
      <c r="AK67" s="16">
        <f t="shared" si="10"/>
        <v>0</v>
      </c>
      <c r="AL67" s="16">
        <f t="shared" si="13"/>
        <v>0</v>
      </c>
      <c r="AM67" s="16"/>
    </row>
    <row r="68" spans="1:40">
      <c r="A68">
        <v>-2</v>
      </c>
      <c r="B68" s="16">
        <f>LCOE!C94+IF(A68&gt;=((LCOE!F$17*-1)+1),LCOE!F$38/LCOE!F$17,0)</f>
        <v>168166666.66666666</v>
      </c>
      <c r="C68" s="16"/>
      <c r="D68" s="16"/>
      <c r="E68" s="18"/>
      <c r="Z68" s="50">
        <f t="shared" si="3"/>
        <v>168166666.66666666</v>
      </c>
      <c r="AA68" s="50">
        <f t="shared" si="4"/>
        <v>0</v>
      </c>
      <c r="AB68" s="50">
        <f t="shared" si="5"/>
        <v>0</v>
      </c>
      <c r="AC68" s="50">
        <f t="shared" si="6"/>
        <v>0</v>
      </c>
      <c r="AD68" s="50">
        <f t="shared" si="11"/>
        <v>0</v>
      </c>
      <c r="AE68">
        <v>-2</v>
      </c>
      <c r="AF68" s="12">
        <f>LCOE!E94+LCOE!F$40</f>
        <v>0.05</v>
      </c>
      <c r="AG68">
        <f t="shared" si="12"/>
        <v>0.90702947845804982</v>
      </c>
      <c r="AH68" s="16">
        <f t="shared" si="7"/>
        <v>185403750</v>
      </c>
      <c r="AI68" s="16">
        <f t="shared" si="8"/>
        <v>0</v>
      </c>
      <c r="AJ68" s="16">
        <f t="shared" si="9"/>
        <v>0</v>
      </c>
      <c r="AK68" s="16">
        <f t="shared" si="10"/>
        <v>0</v>
      </c>
      <c r="AL68" s="16">
        <f t="shared" si="13"/>
        <v>0</v>
      </c>
      <c r="AM68" s="16"/>
    </row>
    <row r="69" spans="1:40">
      <c r="A69">
        <v>-1</v>
      </c>
      <c r="B69" s="16">
        <f>LCOE!C95+IF(A69&gt;=((LCOE!F$17*-1)+1),LCOE!F$38/LCOE!F$17,0)</f>
        <v>168166666.66666666</v>
      </c>
      <c r="C69" s="16"/>
      <c r="D69" s="16"/>
      <c r="E69" s="18"/>
      <c r="Z69" s="50">
        <f t="shared" si="3"/>
        <v>168166666.66666666</v>
      </c>
      <c r="AA69" s="50">
        <f t="shared" si="4"/>
        <v>0</v>
      </c>
      <c r="AB69" s="50">
        <f t="shared" si="5"/>
        <v>0</v>
      </c>
      <c r="AC69" s="50">
        <f t="shared" si="6"/>
        <v>0</v>
      </c>
      <c r="AD69" s="50">
        <f t="shared" si="11"/>
        <v>0</v>
      </c>
      <c r="AE69">
        <v>-1</v>
      </c>
      <c r="AF69" s="12">
        <f>LCOE!E95+LCOE!F$40</f>
        <v>0.05</v>
      </c>
      <c r="AG69">
        <f t="shared" si="12"/>
        <v>0.95238095238095233</v>
      </c>
      <c r="AH69" s="16">
        <f t="shared" si="7"/>
        <v>176575000</v>
      </c>
      <c r="AI69" s="16">
        <f t="shared" si="8"/>
        <v>0</v>
      </c>
      <c r="AJ69" s="16">
        <f t="shared" si="9"/>
        <v>0</v>
      </c>
      <c r="AK69" s="16">
        <f t="shared" si="10"/>
        <v>0</v>
      </c>
      <c r="AL69" s="16">
        <f t="shared" si="13"/>
        <v>0</v>
      </c>
      <c r="AM69" s="16"/>
    </row>
    <row r="70" spans="1:40">
      <c r="A70">
        <v>0</v>
      </c>
      <c r="B70" s="16">
        <f>LCOE!C96+IF(A70&gt;=((LCOE!F$17*-1)+1),LCOE!F$38/LCOE!F$17,0)</f>
        <v>168166666.66666666</v>
      </c>
      <c r="C70" s="16">
        <f>LCOE!F96+IF(AND(LCOE!F$26&gt;0,A70&gt;=LCOE!F$26,A70&lt;=(LCOE!F$26+LCOE!F$27-1)),LCOE!F$42/LCOE!F$27,0)+IF(AND(D70=0,AE70&gt;=LCOE!F$16,COUNTIF(D45:D70,0)=LCOE!F$36),LCOE!F$35*LCOE!F$38,0)</f>
        <v>0</v>
      </c>
      <c r="D70" s="16">
        <f>IF(AE69&lt;LCOE!F$16,1,0)</f>
        <v>1</v>
      </c>
      <c r="E70" s="12">
        <f>LCOE!G96+IF(AND(A70&gt;=LCOE!F$26,A70&lt;=(LCOE!F$26+LCOE!F$27-1)),0,1)*IF(A70=LCOE!F$34,0,1)*D70</f>
        <v>1</v>
      </c>
      <c r="F70" s="14">
        <f>LCOE!F$18*50%+LCOE!J96</f>
        <v>0.45</v>
      </c>
      <c r="G70" s="16">
        <f>LCOE!K96+E70*F70*N70*(LCOE!F$14+LCOE!H96)*24*365*D70</f>
        <v>1971000</v>
      </c>
      <c r="H70" s="16">
        <f>LCOE!L96+F70*(LCOE!F$15+LCOE!I96)*E70*24*365*D70*N70</f>
        <v>0</v>
      </c>
      <c r="I70" s="16">
        <f>LCOE!M96+LCOE!F$20*IF(LCOE!F$14&gt;0,(LCOE!F$14+LCOE!H96),(LCOE!F$15+LCOE!I96))*K70*D70</f>
        <v>20000000</v>
      </c>
      <c r="J70" s="16">
        <f>LCOE!N96+LCOE!F$21*IF(LCOE!F$14&gt;0,G70,H70)*K70*D70</f>
        <v>0</v>
      </c>
      <c r="K70" s="15">
        <f>LCOE!O96+100%</f>
        <v>1</v>
      </c>
      <c r="L70" s="16">
        <f>LCOE!P96+LCOE!F$23*IF(LCOE!F$14&gt;0,G70,H70)*M70*D70</f>
        <v>84082860</v>
      </c>
      <c r="M70" s="15">
        <f>LCOE!Q96+100%</f>
        <v>1</v>
      </c>
      <c r="N70" s="15">
        <f>LCOE!R96+100%</f>
        <v>1</v>
      </c>
      <c r="O70" s="18">
        <f>LCOE!S96+LCOE!F$29</f>
        <v>313.75</v>
      </c>
      <c r="P70" s="12">
        <f>LCOE!T96+IF(A70&gt;=LCOE!F$30,100%,0%)</f>
        <v>1</v>
      </c>
      <c r="Q70" s="16">
        <f>LCOE!U96+O70/1000*IF(LCOE!F$14&gt;0,G70,H70)</f>
        <v>618401.25</v>
      </c>
      <c r="R70" s="16">
        <f>LCOE!B96</f>
        <v>30</v>
      </c>
      <c r="S70" s="16">
        <f>LCOE!V96+Q70*P70*R70</f>
        <v>18552037.5</v>
      </c>
      <c r="T70" s="16">
        <f>LCOE!W96+LCOE!F$31</f>
        <v>0</v>
      </c>
      <c r="U70" s="16">
        <f>LCOE!X96+T70*IF(LCOE!F$14&gt;0,G70,H70)</f>
        <v>0</v>
      </c>
      <c r="V70" s="16">
        <f>LCOE!Y96+LCOE!F$32</f>
        <v>0</v>
      </c>
      <c r="W70" s="16">
        <f>LCOE!Z96+V70*IF(LCOE!F$14&gt;0,G70,H70)</f>
        <v>0</v>
      </c>
      <c r="X70" s="16">
        <f>LCOE!AA96+LCOE!F$34</f>
        <v>101</v>
      </c>
      <c r="Y70" s="16">
        <f>X70*H70</f>
        <v>0</v>
      </c>
      <c r="Z70" s="50">
        <f>SUM(B70:C70)</f>
        <v>168166666.66666666</v>
      </c>
      <c r="AA70" s="50">
        <f>SUM(I70:J70)</f>
        <v>20000000</v>
      </c>
      <c r="AB70" s="50">
        <f>L70</f>
        <v>84082860</v>
      </c>
      <c r="AC70" s="50">
        <f>U70+W70</f>
        <v>0</v>
      </c>
      <c r="AD70" s="50">
        <f t="shared" si="11"/>
        <v>18552037.5</v>
      </c>
      <c r="AE70">
        <v>0</v>
      </c>
      <c r="AF70" s="12">
        <f>LCOE!E96+LCOE!F$40</f>
        <v>0.05</v>
      </c>
      <c r="AG70">
        <f t="shared" si="12"/>
        <v>1</v>
      </c>
      <c r="AH70" s="16">
        <f t="shared" si="7"/>
        <v>168166666.66666666</v>
      </c>
      <c r="AI70" s="16">
        <f t="shared" si="8"/>
        <v>20000000</v>
      </c>
      <c r="AJ70" s="16">
        <f t="shared" si="9"/>
        <v>84082860</v>
      </c>
      <c r="AK70" s="16">
        <f t="shared" si="10"/>
        <v>0</v>
      </c>
      <c r="AL70" s="16">
        <f t="shared" si="13"/>
        <v>18552037.5</v>
      </c>
      <c r="AM70" s="16">
        <f t="shared" ref="AM70:AM133" si="14">(-1)*Y70/AG70</f>
        <v>0</v>
      </c>
      <c r="AN70" s="16">
        <f>IF(LCOE!F$14&gt;0,G70,H70)/AG70</f>
        <v>1971000</v>
      </c>
    </row>
    <row r="71" spans="1:40">
      <c r="A71">
        <v>1</v>
      </c>
      <c r="C71" s="16">
        <f>LCOE!F97+IF(AND(LCOE!F$26&gt;0,A71&gt;=LCOE!F$26,A71&lt;=(LCOE!F$26+LCOE!F$27-1)),LCOE!F$42/LCOE!F$27,0)+IF(AND(D71=0,AE71&gt;=LCOE!F$16,COUNTIF(D46:D71,0)=LCOE!F$36),LCOE!F$35*LCOE!F$38,0)</f>
        <v>0</v>
      </c>
      <c r="D71" s="16">
        <f>IF(AE70&lt;LCOE!F$16,1,0)</f>
        <v>1</v>
      </c>
      <c r="E71" s="12">
        <f>LCOE!G97+IF(AND(A71&gt;=LCOE!F$26,A71&lt;=(LCOE!F$26+LCOE!F$27-1)),0,1)*IF(A71=LCOE!F$34,0,1)*D71</f>
        <v>1</v>
      </c>
      <c r="F71" s="12">
        <f>IF(F70&lt;LCOE!F$18,MIN(F70*(1+LCOE!F$19),LCOE!F$18),LCOE!F$18)+LCOE!J97</f>
        <v>0.72000000000000008</v>
      </c>
      <c r="G71" s="16">
        <f>LCOE!K97+E71*F71*N71*(LCOE!F$14+LCOE!H97)*24*365*D71</f>
        <v>3153600.0000000005</v>
      </c>
      <c r="H71" s="16">
        <f>LCOE!L97+F71*(LCOE!F$15+LCOE!I97)*E71*24*365*D71*N71</f>
        <v>0</v>
      </c>
      <c r="I71" s="16">
        <f>LCOE!M97+LCOE!F$20*IF(LCOE!F$14&gt;0,(LCOE!F$14+LCOE!H97),(LCOE!F$15+LCOE!I97))*K71*D71</f>
        <v>20000000</v>
      </c>
      <c r="J71" s="16">
        <f>LCOE!N97+LCOE!F$21*IF(LCOE!F$14&gt;0,G71,H71)*K71*D71</f>
        <v>0</v>
      </c>
      <c r="K71" s="15">
        <f>LCOE!O97+K70+K70*LCOE!F$22</f>
        <v>1</v>
      </c>
      <c r="L71" s="16">
        <f>LCOE!P97+LCOE!F$23*IF(LCOE!F$14&gt;0,G71,H71)*M71*D71</f>
        <v>134532576</v>
      </c>
      <c r="M71" s="15">
        <f>LCOE!Q97+M70+M70*LCOE!F$24</f>
        <v>1</v>
      </c>
      <c r="N71" s="15">
        <f>LCOE!R97+N70-N70*LCOE!F$25</f>
        <v>1</v>
      </c>
      <c r="O71" s="18">
        <f>LCOE!S97+LCOE!F$29</f>
        <v>313.75</v>
      </c>
      <c r="P71" s="12">
        <f>LCOE!T97+IF(A71&gt;=LCOE!F$30,100%,0%)</f>
        <v>1</v>
      </c>
      <c r="Q71" s="16">
        <f>LCOE!U97+O71/1000*IF(LCOE!F$14&gt;0,G71,H71)</f>
        <v>989442.00000000012</v>
      </c>
      <c r="R71" s="16">
        <f>LCOE!B97</f>
        <v>30</v>
      </c>
      <c r="S71" s="16">
        <f>LCOE!V97+Q71*P71*R71</f>
        <v>29683260.000000004</v>
      </c>
      <c r="T71" s="16">
        <f>LCOE!W97+LCOE!F$31</f>
        <v>0</v>
      </c>
      <c r="U71" s="16">
        <f>LCOE!X97+T71*IF(LCOE!F$14&gt;0,G71,H71)</f>
        <v>0</v>
      </c>
      <c r="V71" s="16">
        <f>LCOE!Y97+LCOE!F$32</f>
        <v>0</v>
      </c>
      <c r="W71" s="16">
        <f>LCOE!Z97+V71*IF(LCOE!F$14&gt;0,G71,H71)</f>
        <v>0</v>
      </c>
      <c r="X71" s="16">
        <f>LCOE!AA97+LCOE!F$34</f>
        <v>101</v>
      </c>
      <c r="Y71" s="16">
        <f t="shared" ref="Y71:Y134" si="15">X71*H71</f>
        <v>0</v>
      </c>
      <c r="Z71" s="50">
        <f>SUM(B71:C71)</f>
        <v>0</v>
      </c>
      <c r="AA71" s="50">
        <f>SUM(I71:J71)</f>
        <v>20000000</v>
      </c>
      <c r="AB71" s="50">
        <f>L71</f>
        <v>134532576</v>
      </c>
      <c r="AC71" s="50">
        <f t="shared" ref="AC71:AC134" si="16">U71+W71</f>
        <v>0</v>
      </c>
      <c r="AD71" s="50">
        <f t="shared" si="11"/>
        <v>29683260.000000004</v>
      </c>
      <c r="AE71">
        <f t="shared" ref="AE71:AE134" si="17">AE70+1*E71</f>
        <v>1</v>
      </c>
      <c r="AF71" s="12">
        <f>LCOE!E97+LCOE!F$40</f>
        <v>0.05</v>
      </c>
      <c r="AG71">
        <f t="shared" si="12"/>
        <v>1.05</v>
      </c>
      <c r="AH71" s="16">
        <f t="shared" si="7"/>
        <v>0</v>
      </c>
      <c r="AI71" s="16">
        <f t="shared" si="8"/>
        <v>19047619.047619049</v>
      </c>
      <c r="AJ71" s="16">
        <f t="shared" si="9"/>
        <v>128126262.85714285</v>
      </c>
      <c r="AK71" s="16">
        <f t="shared" si="10"/>
        <v>0</v>
      </c>
      <c r="AL71" s="16">
        <f t="shared" si="13"/>
        <v>28269771.428571429</v>
      </c>
      <c r="AM71" s="16">
        <f t="shared" si="14"/>
        <v>0</v>
      </c>
      <c r="AN71" s="16">
        <f>IF(LCOE!F$14&gt;0,G71,H71)/AG71</f>
        <v>3003428.5714285718</v>
      </c>
    </row>
    <row r="72" spans="1:40">
      <c r="A72">
        <v>2</v>
      </c>
      <c r="C72" s="16">
        <f>LCOE!F98+IF(AND(LCOE!F$26&gt;0,A72&gt;=LCOE!F$26,A72&lt;=(LCOE!F$26+LCOE!F$27-1)),LCOE!F$42/LCOE!F$27,0)+IF(AND(D72=0,AE72&gt;=LCOE!F$16,COUNTIF(D47:D72,0)=LCOE!F$36),LCOE!F$35*LCOE!F$38,0)</f>
        <v>0</v>
      </c>
      <c r="D72" s="16">
        <f>IF(AE71&lt;LCOE!F$16,1,0)</f>
        <v>1</v>
      </c>
      <c r="E72" s="12">
        <f>LCOE!G98+IF(AND(A72&gt;=LCOE!F$26,A72&lt;=(LCOE!F$26+LCOE!F$27-1)),0,1)*IF(A72=LCOE!F$34,0,1)*D72</f>
        <v>1</v>
      </c>
      <c r="F72" s="12">
        <f>IF(F71&lt;LCOE!F$18,MIN(F71*(1+LCOE!F$19),LCOE!F$18),LCOE!F$18)+LCOE!J98</f>
        <v>0.9</v>
      </c>
      <c r="G72" s="16">
        <f>LCOE!K98+E72*F72*N72*(LCOE!F$14+LCOE!H98)*24*365*D72</f>
        <v>3942000</v>
      </c>
      <c r="H72" s="16">
        <f>LCOE!L98+F72*(LCOE!F$15+LCOE!I98)*E72*24*365*D72*N72</f>
        <v>0</v>
      </c>
      <c r="I72" s="16">
        <f>LCOE!M98+LCOE!F$20*IF(LCOE!F$14&gt;0,(LCOE!F$14+LCOE!H98),(LCOE!F$15+LCOE!I98))*K72*D72</f>
        <v>20000000</v>
      </c>
      <c r="J72" s="16">
        <f>LCOE!N98+LCOE!F$21*IF(LCOE!F$14&gt;0,G72,H72)*K72*D72</f>
        <v>0</v>
      </c>
      <c r="K72" s="15">
        <f>LCOE!O98+K71+K71*LCOE!F$22</f>
        <v>1</v>
      </c>
      <c r="L72" s="16">
        <f>LCOE!P98+LCOE!F$23*IF(LCOE!F$14&gt;0,G72,H72)*M72*D72</f>
        <v>168165720</v>
      </c>
      <c r="M72" s="15">
        <f>LCOE!Q98+M71+M71*LCOE!F$24</f>
        <v>1</v>
      </c>
      <c r="N72" s="15">
        <f>LCOE!R98+N71-N71*LCOE!F$25</f>
        <v>1</v>
      </c>
      <c r="O72" s="18">
        <f>LCOE!S98+LCOE!F$29</f>
        <v>313.75</v>
      </c>
      <c r="P72" s="12">
        <f>LCOE!T98+IF(A72&gt;=LCOE!F$30,100%,0%)</f>
        <v>1</v>
      </c>
      <c r="Q72" s="16">
        <f>LCOE!U98+O72/1000*IF(LCOE!F$14&gt;0,G72,H72)</f>
        <v>1236802.5</v>
      </c>
      <c r="R72" s="16">
        <f>LCOE!B98</f>
        <v>30</v>
      </c>
      <c r="S72" s="16">
        <f>LCOE!V98+Q72*P72*R72</f>
        <v>37104075</v>
      </c>
      <c r="T72" s="16">
        <f>LCOE!W98+LCOE!F$31</f>
        <v>0</v>
      </c>
      <c r="U72" s="16">
        <f>LCOE!X98+T72*IF(LCOE!F$14&gt;0,G72,H72)</f>
        <v>0</v>
      </c>
      <c r="V72" s="16">
        <f>LCOE!Y98+LCOE!F$32</f>
        <v>0</v>
      </c>
      <c r="W72" s="16">
        <f>LCOE!Z98+V72*IF(LCOE!F$14&gt;0,G72,H72)</f>
        <v>0</v>
      </c>
      <c r="X72" s="16">
        <f>LCOE!AA98+LCOE!F$34</f>
        <v>101</v>
      </c>
      <c r="Y72" s="16">
        <f t="shared" si="15"/>
        <v>0</v>
      </c>
      <c r="Z72" s="50">
        <f t="shared" ref="Z72:Z135" si="18">SUM(B72:C72)</f>
        <v>0</v>
      </c>
      <c r="AA72" s="50">
        <f t="shared" ref="AA72:AA135" si="19">SUM(I72:J72)</f>
        <v>20000000</v>
      </c>
      <c r="AB72" s="50">
        <f t="shared" ref="AB72:AB135" si="20">L72</f>
        <v>168165720</v>
      </c>
      <c r="AC72" s="50">
        <f t="shared" si="16"/>
        <v>0</v>
      </c>
      <c r="AD72" s="50">
        <f t="shared" si="11"/>
        <v>37104075</v>
      </c>
      <c r="AE72">
        <f t="shared" si="17"/>
        <v>2</v>
      </c>
      <c r="AF72" s="12">
        <f>LCOE!E98+LCOE!F$40</f>
        <v>0.05</v>
      </c>
      <c r="AG72">
        <f t="shared" si="12"/>
        <v>1.1025</v>
      </c>
      <c r="AH72" s="16">
        <f t="shared" si="7"/>
        <v>0</v>
      </c>
      <c r="AI72" s="16">
        <f t="shared" si="8"/>
        <v>18140589.569160998</v>
      </c>
      <c r="AJ72" s="16">
        <f t="shared" si="9"/>
        <v>152531265.30612245</v>
      </c>
      <c r="AK72" s="16">
        <f t="shared" si="10"/>
        <v>0</v>
      </c>
      <c r="AL72" s="16">
        <f t="shared" si="13"/>
        <v>33654489.795918368</v>
      </c>
      <c r="AM72" s="16">
        <f t="shared" si="14"/>
        <v>0</v>
      </c>
      <c r="AN72" s="16">
        <f>IF(LCOE!F$14&gt;0,G72,H72)/AG72</f>
        <v>3575510.2040816327</v>
      </c>
    </row>
    <row r="73" spans="1:40">
      <c r="A73">
        <v>3</v>
      </c>
      <c r="C73" s="16">
        <f>LCOE!F99+IF(AND(LCOE!F$26&gt;0,A73&gt;=LCOE!F$26,A73&lt;=(LCOE!F$26+LCOE!F$27-1)),LCOE!F$42/LCOE!F$27,0)+IF(AND(D73=0,AE73&gt;=LCOE!F$16,COUNTIF(D48:D73,0)=LCOE!F$36),LCOE!F$35*LCOE!F$38,0)</f>
        <v>0</v>
      </c>
      <c r="D73" s="16">
        <f>IF(AE72&lt;LCOE!F$16,1,0)</f>
        <v>1</v>
      </c>
      <c r="E73" s="12">
        <f>LCOE!G99+IF(AND(A73&gt;=LCOE!F$26,A73&lt;=(LCOE!F$26+LCOE!F$27-1)),0,1)*IF(A73=LCOE!F$34,0,1)*D73</f>
        <v>1</v>
      </c>
      <c r="F73" s="12">
        <f>IF(F72&lt;LCOE!F$18,MIN(F72*(1+LCOE!F$19),LCOE!F$18),LCOE!F$18)+LCOE!J99</f>
        <v>0.9</v>
      </c>
      <c r="G73" s="16">
        <f>LCOE!K99+E73*F73*N73*(LCOE!F$14+LCOE!H99)*24*365*D73</f>
        <v>3942000</v>
      </c>
      <c r="H73" s="16">
        <f>LCOE!L99+F73*(LCOE!F$15+LCOE!I99)*E73*24*365*D73*N73</f>
        <v>0</v>
      </c>
      <c r="I73" s="16">
        <f>LCOE!M99+LCOE!F$20*IF(LCOE!F$14&gt;0,(LCOE!F$14+LCOE!H99),(LCOE!F$15+LCOE!I99))*K73*D73</f>
        <v>20000000</v>
      </c>
      <c r="J73" s="16">
        <f>LCOE!N99+LCOE!F$21*IF(LCOE!F$14&gt;0,G73,H73)*K73*D73</f>
        <v>0</v>
      </c>
      <c r="K73" s="15">
        <f>LCOE!O99+K72+K72*LCOE!F$22</f>
        <v>1</v>
      </c>
      <c r="L73" s="16">
        <f>LCOE!P99+LCOE!F$23*IF(LCOE!F$14&gt;0,G73,H73)*M73*D73</f>
        <v>168165720</v>
      </c>
      <c r="M73" s="15">
        <f>LCOE!Q99+M72+M72*LCOE!F$24</f>
        <v>1</v>
      </c>
      <c r="N73" s="15">
        <f>LCOE!R99+N72-N72*LCOE!F$25</f>
        <v>1</v>
      </c>
      <c r="O73" s="18">
        <f>LCOE!S99+LCOE!F$29</f>
        <v>313.75</v>
      </c>
      <c r="P73" s="12">
        <f>LCOE!T99+IF(A73&gt;=LCOE!F$30,100%,0%)</f>
        <v>1</v>
      </c>
      <c r="Q73" s="16">
        <f>LCOE!U99+O73/1000*IF(LCOE!F$14&gt;0,G73,H73)</f>
        <v>1236802.5</v>
      </c>
      <c r="R73" s="16">
        <f>LCOE!B99</f>
        <v>30</v>
      </c>
      <c r="S73" s="16">
        <f>LCOE!V99+Q73*P73*R73</f>
        <v>37104075</v>
      </c>
      <c r="T73" s="16">
        <f>LCOE!W99+LCOE!F$31</f>
        <v>0</v>
      </c>
      <c r="U73" s="16">
        <f>LCOE!X99+T73*IF(LCOE!F$14&gt;0,G73,H73)</f>
        <v>0</v>
      </c>
      <c r="V73" s="16">
        <f>LCOE!Y99+LCOE!F$32</f>
        <v>0</v>
      </c>
      <c r="W73" s="16">
        <f>LCOE!Z99+V73*IF(LCOE!F$14&gt;0,G73,H73)</f>
        <v>0</v>
      </c>
      <c r="X73" s="16">
        <f>LCOE!AA99+LCOE!F$34</f>
        <v>101</v>
      </c>
      <c r="Y73" s="16">
        <f t="shared" si="15"/>
        <v>0</v>
      </c>
      <c r="Z73" s="50">
        <f t="shared" si="18"/>
        <v>0</v>
      </c>
      <c r="AA73" s="50">
        <f t="shared" si="19"/>
        <v>20000000</v>
      </c>
      <c r="AB73" s="50">
        <f t="shared" si="20"/>
        <v>168165720</v>
      </c>
      <c r="AC73" s="50">
        <f t="shared" si="16"/>
        <v>0</v>
      </c>
      <c r="AD73" s="50">
        <f t="shared" si="11"/>
        <v>37104075</v>
      </c>
      <c r="AE73">
        <f t="shared" si="17"/>
        <v>3</v>
      </c>
      <c r="AF73" s="12">
        <f>LCOE!E99+LCOE!F$40</f>
        <v>0.05</v>
      </c>
      <c r="AG73">
        <f t="shared" si="12"/>
        <v>1.1576250000000001</v>
      </c>
      <c r="AH73" s="16">
        <f t="shared" si="7"/>
        <v>0</v>
      </c>
      <c r="AI73" s="16">
        <f t="shared" si="8"/>
        <v>17276751.970629521</v>
      </c>
      <c r="AJ73" s="16">
        <f t="shared" si="9"/>
        <v>145267871.72011662</v>
      </c>
      <c r="AK73" s="16">
        <f t="shared" si="10"/>
        <v>0</v>
      </c>
      <c r="AL73" s="16">
        <f t="shared" si="13"/>
        <v>32051895.043731775</v>
      </c>
      <c r="AM73" s="16">
        <f t="shared" si="14"/>
        <v>0</v>
      </c>
      <c r="AN73" s="16">
        <f>IF(LCOE!F$14&gt;0,G73,H73)/AG73</f>
        <v>3405247.8134110784</v>
      </c>
    </row>
    <row r="74" spans="1:40">
      <c r="A74">
        <v>4</v>
      </c>
      <c r="C74" s="16">
        <f>LCOE!F100+IF(AND(LCOE!F$26&gt;0,A74&gt;=LCOE!F$26,A74&lt;=(LCOE!F$26+LCOE!F$27-1)),LCOE!F$42/LCOE!F$27,0)+IF(AND(D74=0,AE74&gt;=LCOE!F$16,COUNTIF(D49:D74,0)=LCOE!F$36),LCOE!F$35*LCOE!F$38,0)</f>
        <v>0</v>
      </c>
      <c r="D74" s="16">
        <f>IF(AE73&lt;LCOE!F$16,1,0)</f>
        <v>1</v>
      </c>
      <c r="E74" s="12">
        <f>LCOE!G100+IF(AND(A74&gt;=LCOE!F$26,A74&lt;=(LCOE!F$26+LCOE!F$27-1)),0,1)*IF(A74=LCOE!F$34,0,1)*D74</f>
        <v>1</v>
      </c>
      <c r="F74" s="12">
        <f>IF(F73&lt;LCOE!F$18,MIN(F73*(1+LCOE!F$19),LCOE!F$18),LCOE!F$18)+LCOE!J100</f>
        <v>0.9</v>
      </c>
      <c r="G74" s="16">
        <f>LCOE!K100+E74*F74*N74*(LCOE!F$14+LCOE!H100)*24*365*D74</f>
        <v>3942000</v>
      </c>
      <c r="H74" s="16">
        <f>LCOE!L100+F74*(LCOE!F$15+LCOE!I100)*E74*24*365*D74*N74</f>
        <v>0</v>
      </c>
      <c r="I74" s="16">
        <f>LCOE!M100+LCOE!F$20*IF(LCOE!F$14&gt;0,(LCOE!F$14+LCOE!H100),(LCOE!F$15+LCOE!I100))*K74*D74</f>
        <v>20000000</v>
      </c>
      <c r="J74" s="16">
        <f>LCOE!N100+LCOE!F$21*IF(LCOE!F$14&gt;0,G74,H74)*K74*D74</f>
        <v>0</v>
      </c>
      <c r="K74" s="15">
        <f>LCOE!O100+K73+K73*LCOE!F$22</f>
        <v>1</v>
      </c>
      <c r="L74" s="16">
        <f>LCOE!P100+LCOE!F$23*IF(LCOE!F$14&gt;0,G74,H74)*M74*D74</f>
        <v>168165720</v>
      </c>
      <c r="M74" s="15">
        <f>LCOE!Q100+M73+M73*LCOE!F$24</f>
        <v>1</v>
      </c>
      <c r="N74" s="15">
        <f>LCOE!R100+N73-N73*LCOE!F$25</f>
        <v>1</v>
      </c>
      <c r="O74" s="18">
        <f>LCOE!S100+LCOE!F$29</f>
        <v>313.75</v>
      </c>
      <c r="P74" s="12">
        <f>LCOE!T100+IF(A74&gt;=LCOE!F$30,100%,0%)</f>
        <v>1</v>
      </c>
      <c r="Q74" s="16">
        <f>LCOE!U100+O74/1000*IF(LCOE!F$14&gt;0,G74,H74)</f>
        <v>1236802.5</v>
      </c>
      <c r="R74" s="16">
        <f>LCOE!B100</f>
        <v>30</v>
      </c>
      <c r="S74" s="16">
        <f>LCOE!V100+Q74*P74*R74</f>
        <v>37104075</v>
      </c>
      <c r="T74" s="16">
        <f>LCOE!W100+LCOE!F$31</f>
        <v>0</v>
      </c>
      <c r="U74" s="16">
        <f>LCOE!X100+T74*IF(LCOE!F$14&gt;0,G74,H74)</f>
        <v>0</v>
      </c>
      <c r="V74" s="16">
        <f>LCOE!Y100+LCOE!F$32</f>
        <v>0</v>
      </c>
      <c r="W74" s="16">
        <f>LCOE!Z100+V74*IF(LCOE!F$14&gt;0,G74,H74)</f>
        <v>0</v>
      </c>
      <c r="X74" s="16">
        <f>LCOE!AA100+LCOE!F$34</f>
        <v>101</v>
      </c>
      <c r="Y74" s="16">
        <f t="shared" si="15"/>
        <v>0</v>
      </c>
      <c r="Z74" s="50">
        <f t="shared" si="18"/>
        <v>0</v>
      </c>
      <c r="AA74" s="50">
        <f t="shared" si="19"/>
        <v>20000000</v>
      </c>
      <c r="AB74" s="50">
        <f t="shared" si="20"/>
        <v>168165720</v>
      </c>
      <c r="AC74" s="50">
        <f t="shared" si="16"/>
        <v>0</v>
      </c>
      <c r="AD74" s="50">
        <f t="shared" si="11"/>
        <v>37104075</v>
      </c>
      <c r="AE74">
        <f t="shared" si="17"/>
        <v>4</v>
      </c>
      <c r="AF74" s="12">
        <f>LCOE!E100+LCOE!F$40</f>
        <v>0.05</v>
      </c>
      <c r="AG74">
        <f t="shared" si="12"/>
        <v>1.21550625</v>
      </c>
      <c r="AH74" s="16">
        <f t="shared" si="7"/>
        <v>0</v>
      </c>
      <c r="AI74" s="16">
        <f t="shared" si="8"/>
        <v>16454049.49583764</v>
      </c>
      <c r="AJ74" s="16">
        <f t="shared" si="9"/>
        <v>138350354.01915869</v>
      </c>
      <c r="AK74" s="16">
        <f t="shared" si="10"/>
        <v>0</v>
      </c>
      <c r="AL74" s="16">
        <f t="shared" si="13"/>
        <v>30525614.327363599</v>
      </c>
      <c r="AM74" s="16">
        <f t="shared" si="14"/>
        <v>0</v>
      </c>
      <c r="AN74" s="16">
        <f>IF(LCOE!F$14&gt;0,G74,H74)/AG74</f>
        <v>3243093.1556295985</v>
      </c>
    </row>
    <row r="75" spans="1:40">
      <c r="A75">
        <v>5</v>
      </c>
      <c r="C75" s="16">
        <f>LCOE!F101+IF(AND(LCOE!F$26&gt;0,A75&gt;=LCOE!F$26,A75&lt;=(LCOE!F$26+LCOE!F$27-1)),LCOE!F$42/LCOE!F$27,0)+IF(AND(D75=0,AE75&gt;=LCOE!F$16,COUNTIF(D50:D75,0)=LCOE!F$36),LCOE!F$35*LCOE!F$38,0)</f>
        <v>0</v>
      </c>
      <c r="D75" s="16">
        <f>IF(AE74&lt;LCOE!F$16,1,0)</f>
        <v>1</v>
      </c>
      <c r="E75" s="12">
        <f>LCOE!G101+IF(AND(A75&gt;=LCOE!F$26,A75&lt;=(LCOE!F$26+LCOE!F$27-1)),0,1)*IF(A75=LCOE!F$34,0,1)*D75</f>
        <v>1</v>
      </c>
      <c r="F75" s="12">
        <f>IF(F74&lt;LCOE!F$18,MIN(F74*(1+LCOE!F$19),LCOE!F$18),LCOE!F$18)+LCOE!J101</f>
        <v>0.9</v>
      </c>
      <c r="G75" s="16">
        <f>LCOE!K101+E75*F75*N75*(LCOE!F$14+LCOE!H101)*24*365*D75</f>
        <v>3942000</v>
      </c>
      <c r="H75" s="16">
        <f>LCOE!L101+F75*(LCOE!F$15+LCOE!I101)*E75*24*365*D75*N75</f>
        <v>0</v>
      </c>
      <c r="I75" s="16">
        <f>LCOE!M101+LCOE!F$20*IF(LCOE!F$14&gt;0,(LCOE!F$14+LCOE!H101),(LCOE!F$15+LCOE!I101))*K75*D75</f>
        <v>20000000</v>
      </c>
      <c r="J75" s="16">
        <f>LCOE!N101+LCOE!F$21*IF(LCOE!F$14&gt;0,G75,H75)*K75*D75</f>
        <v>0</v>
      </c>
      <c r="K75" s="15">
        <f>LCOE!O101+K74+K74*LCOE!F$22</f>
        <v>1</v>
      </c>
      <c r="L75" s="16">
        <f>LCOE!P101+LCOE!F$23*IF(LCOE!F$14&gt;0,G75,H75)*M75*D75</f>
        <v>168165720</v>
      </c>
      <c r="M75" s="15">
        <f>LCOE!Q101+M74+M74*LCOE!F$24</f>
        <v>1</v>
      </c>
      <c r="N75" s="15">
        <f>LCOE!R101+N74-N74*LCOE!F$25</f>
        <v>1</v>
      </c>
      <c r="O75" s="18">
        <f>LCOE!S101+LCOE!F$29</f>
        <v>313.75</v>
      </c>
      <c r="P75" s="12">
        <f>LCOE!T101+IF(A75&gt;=LCOE!F$30,100%,0%)</f>
        <v>1</v>
      </c>
      <c r="Q75" s="16">
        <f>LCOE!U101+O75/1000*IF(LCOE!F$14&gt;0,G75,H75)</f>
        <v>1236802.5</v>
      </c>
      <c r="R75" s="16">
        <f>LCOE!B101</f>
        <v>30</v>
      </c>
      <c r="S75" s="16">
        <f>LCOE!V101+Q75*P75*R75</f>
        <v>37104075</v>
      </c>
      <c r="T75" s="16">
        <f>LCOE!W101+LCOE!F$31</f>
        <v>0</v>
      </c>
      <c r="U75" s="16">
        <f>LCOE!X101+T75*IF(LCOE!F$14&gt;0,G75,H75)</f>
        <v>0</v>
      </c>
      <c r="V75" s="16">
        <f>LCOE!Y101+LCOE!F$32</f>
        <v>0</v>
      </c>
      <c r="W75" s="16">
        <f>LCOE!Z101+V75*IF(LCOE!F$14&gt;0,G75,H75)</f>
        <v>0</v>
      </c>
      <c r="X75" s="16">
        <f>LCOE!AA101+LCOE!F$34</f>
        <v>101</v>
      </c>
      <c r="Y75" s="16">
        <f t="shared" si="15"/>
        <v>0</v>
      </c>
      <c r="Z75" s="50">
        <f t="shared" si="18"/>
        <v>0</v>
      </c>
      <c r="AA75" s="50">
        <f t="shared" si="19"/>
        <v>20000000</v>
      </c>
      <c r="AB75" s="50">
        <f t="shared" si="20"/>
        <v>168165720</v>
      </c>
      <c r="AC75" s="50">
        <f t="shared" si="16"/>
        <v>0</v>
      </c>
      <c r="AD75" s="50">
        <f t="shared" si="11"/>
        <v>37104075</v>
      </c>
      <c r="AE75">
        <f t="shared" si="17"/>
        <v>5</v>
      </c>
      <c r="AF75" s="12">
        <f>LCOE!E101+LCOE!F$40</f>
        <v>0.05</v>
      </c>
      <c r="AG75">
        <f t="shared" si="12"/>
        <v>1.2762815625000001</v>
      </c>
      <c r="AH75" s="16">
        <f t="shared" si="7"/>
        <v>0</v>
      </c>
      <c r="AI75" s="16">
        <f t="shared" si="8"/>
        <v>15670523.32936918</v>
      </c>
      <c r="AJ75" s="16">
        <f t="shared" si="9"/>
        <v>131762241.92300826</v>
      </c>
      <c r="AK75" s="16">
        <f t="shared" si="10"/>
        <v>0</v>
      </c>
      <c r="AL75" s="16">
        <f t="shared" si="13"/>
        <v>29072013.645108186</v>
      </c>
      <c r="AM75" s="16">
        <f t="shared" si="14"/>
        <v>0</v>
      </c>
      <c r="AN75" s="16">
        <f>IF(LCOE!F$14&gt;0,G75,H75)/AG75</f>
        <v>3088660.1482186653</v>
      </c>
    </row>
    <row r="76" spans="1:40">
      <c r="A76">
        <v>6</v>
      </c>
      <c r="C76" s="16">
        <f>LCOE!F102+IF(AND(LCOE!F$26&gt;0,A76&gt;=LCOE!F$26,A76&lt;=(LCOE!F$26+LCOE!F$27-1)),LCOE!F$42/LCOE!F$27,0)+IF(AND(D76=0,AE76&gt;=LCOE!F$16,COUNTIF(D51:D76,0)=LCOE!F$36),LCOE!F$35*LCOE!F$38,0)</f>
        <v>0</v>
      </c>
      <c r="D76" s="16">
        <f>IF(AE75&lt;LCOE!F$16,1,0)</f>
        <v>1</v>
      </c>
      <c r="E76" s="12">
        <f>LCOE!G102+IF(AND(A76&gt;=LCOE!F$26,A76&lt;=(LCOE!F$26+LCOE!F$27-1)),0,1)*IF(A76=LCOE!F$34,0,1)*D76</f>
        <v>1</v>
      </c>
      <c r="F76" s="12">
        <f>IF(F75&lt;LCOE!F$18,MIN(F75*(1+LCOE!F$19),LCOE!F$18),LCOE!F$18)+LCOE!J102</f>
        <v>0.9</v>
      </c>
      <c r="G76" s="16">
        <f>LCOE!K102+E76*F76*N76*(LCOE!F$14+LCOE!H102)*24*365*D76</f>
        <v>3942000</v>
      </c>
      <c r="H76" s="16">
        <f>LCOE!L102+F76*(LCOE!F$15+LCOE!I102)*E76*24*365*D76*N76</f>
        <v>0</v>
      </c>
      <c r="I76" s="16">
        <f>LCOE!M102+LCOE!F$20*IF(LCOE!F$14&gt;0,(LCOE!F$14+LCOE!H102),(LCOE!F$15+LCOE!I102))*K76*D76</f>
        <v>20000000</v>
      </c>
      <c r="J76" s="16">
        <f>LCOE!N102+LCOE!F$21*IF(LCOE!F$14&gt;0,G76,H76)*K76*D76</f>
        <v>0</v>
      </c>
      <c r="K76" s="15">
        <f>LCOE!O102+K75+K75*LCOE!F$22</f>
        <v>1</v>
      </c>
      <c r="L76" s="16">
        <f>LCOE!P102+LCOE!F$23*IF(LCOE!F$14&gt;0,G76,H76)*M76*D76</f>
        <v>168165720</v>
      </c>
      <c r="M76" s="15">
        <f>LCOE!Q102+M75+M75*LCOE!F$24</f>
        <v>1</v>
      </c>
      <c r="N76" s="15">
        <f>LCOE!R102+N75-N75*LCOE!F$25</f>
        <v>1</v>
      </c>
      <c r="O76" s="18">
        <f>LCOE!S102+LCOE!F$29</f>
        <v>313.75</v>
      </c>
      <c r="P76" s="12">
        <f>LCOE!T102+IF(A76&gt;=LCOE!F$30,100%,0%)</f>
        <v>1</v>
      </c>
      <c r="Q76" s="16">
        <f>LCOE!U102+O76/1000*IF(LCOE!F$14&gt;0,G76,H76)</f>
        <v>1236802.5</v>
      </c>
      <c r="R76" s="16">
        <f>LCOE!B102</f>
        <v>30</v>
      </c>
      <c r="S76" s="16">
        <f>LCOE!V102+Q76*P76*R76</f>
        <v>37104075</v>
      </c>
      <c r="T76" s="16">
        <f>LCOE!W102+LCOE!F$31</f>
        <v>0</v>
      </c>
      <c r="U76" s="16">
        <f>LCOE!X102+T76*IF(LCOE!F$14&gt;0,G76,H76)</f>
        <v>0</v>
      </c>
      <c r="V76" s="16">
        <f>LCOE!Y102+LCOE!F$32</f>
        <v>0</v>
      </c>
      <c r="W76" s="16">
        <f>LCOE!Z102+V76*IF(LCOE!F$14&gt;0,G76,H76)</f>
        <v>0</v>
      </c>
      <c r="X76" s="16">
        <f>LCOE!AA102+LCOE!F$34</f>
        <v>101</v>
      </c>
      <c r="Y76" s="16">
        <f t="shared" si="15"/>
        <v>0</v>
      </c>
      <c r="Z76" s="50">
        <f t="shared" si="18"/>
        <v>0</v>
      </c>
      <c r="AA76" s="50">
        <f t="shared" si="19"/>
        <v>20000000</v>
      </c>
      <c r="AB76" s="50">
        <f t="shared" si="20"/>
        <v>168165720</v>
      </c>
      <c r="AC76" s="50">
        <f t="shared" si="16"/>
        <v>0</v>
      </c>
      <c r="AD76" s="50">
        <f t="shared" si="11"/>
        <v>37104075</v>
      </c>
      <c r="AE76">
        <f t="shared" si="17"/>
        <v>6</v>
      </c>
      <c r="AF76" s="12">
        <f>LCOE!E102+LCOE!F$40</f>
        <v>0.05</v>
      </c>
      <c r="AG76">
        <f t="shared" si="12"/>
        <v>1.340095640625</v>
      </c>
      <c r="AH76" s="16">
        <f t="shared" si="7"/>
        <v>0</v>
      </c>
      <c r="AI76" s="16">
        <f t="shared" si="8"/>
        <v>14924307.932732554</v>
      </c>
      <c r="AJ76" s="16">
        <f t="shared" si="9"/>
        <v>125487849.45048407</v>
      </c>
      <c r="AK76" s="16">
        <f t="shared" si="10"/>
        <v>0</v>
      </c>
      <c r="AL76" s="16">
        <f t="shared" si="13"/>
        <v>27687632.042960182</v>
      </c>
      <c r="AM76" s="16">
        <f t="shared" si="14"/>
        <v>0</v>
      </c>
      <c r="AN76" s="16">
        <f>IF(LCOE!F$14&gt;0,G76,H76)/AG76</f>
        <v>2941581.0935415863</v>
      </c>
    </row>
    <row r="77" spans="1:40">
      <c r="A77">
        <v>7</v>
      </c>
      <c r="C77" s="16">
        <f>LCOE!F103+IF(AND(LCOE!F$26&gt;0,A77&gt;=LCOE!F$26,A77&lt;=(LCOE!F$26+LCOE!F$27-1)),LCOE!F$42/LCOE!F$27,0)+IF(AND(D77=0,AE77&gt;=LCOE!F$16,COUNTIF(D52:D77,0)=LCOE!F$36),LCOE!F$35*LCOE!F$38,0)</f>
        <v>0</v>
      </c>
      <c r="D77" s="16">
        <f>IF(AE76&lt;LCOE!F$16,1,0)</f>
        <v>1</v>
      </c>
      <c r="E77" s="12">
        <f>LCOE!G103+IF(AND(A77&gt;=LCOE!F$26,A77&lt;=(LCOE!F$26+LCOE!F$27-1)),0,1)*IF(A77=LCOE!F$34,0,1)*D77</f>
        <v>1</v>
      </c>
      <c r="F77" s="12">
        <f>IF(F76&lt;LCOE!F$18,MIN(F76*(1+LCOE!F$19),LCOE!F$18),LCOE!F$18)+LCOE!J103</f>
        <v>0.9</v>
      </c>
      <c r="G77" s="16">
        <f>LCOE!K103+E77*F77*N77*(LCOE!F$14+LCOE!H103)*24*365*D77</f>
        <v>3942000</v>
      </c>
      <c r="H77" s="16">
        <f>LCOE!L103+F77*(LCOE!F$15+LCOE!I103)*E77*24*365*D77*N77</f>
        <v>0</v>
      </c>
      <c r="I77" s="16">
        <f>LCOE!M103+LCOE!F$20*IF(LCOE!F$14&gt;0,(LCOE!F$14+LCOE!H103),(LCOE!F$15+LCOE!I103))*K77*D77</f>
        <v>20000000</v>
      </c>
      <c r="J77" s="16">
        <f>LCOE!N103+LCOE!F$21*IF(LCOE!F$14&gt;0,G77,H77)*K77*D77</f>
        <v>0</v>
      </c>
      <c r="K77" s="15">
        <f>LCOE!O103+K76+K76*LCOE!F$22</f>
        <v>1</v>
      </c>
      <c r="L77" s="16">
        <f>LCOE!P103+LCOE!F$23*IF(LCOE!F$14&gt;0,G77,H77)*M77*D77</f>
        <v>168165720</v>
      </c>
      <c r="M77" s="15">
        <f>LCOE!Q103+M76+M76*LCOE!F$24</f>
        <v>1</v>
      </c>
      <c r="N77" s="15">
        <f>LCOE!R103+N76-N76*LCOE!F$25</f>
        <v>1</v>
      </c>
      <c r="O77" s="18">
        <f>LCOE!S103+LCOE!F$29</f>
        <v>313.75</v>
      </c>
      <c r="P77" s="12">
        <f>LCOE!T103+IF(A77&gt;=LCOE!F$30,100%,0%)</f>
        <v>1</v>
      </c>
      <c r="Q77" s="16">
        <f>LCOE!U103+O77/1000*IF(LCOE!F$14&gt;0,G77,H77)</f>
        <v>1236802.5</v>
      </c>
      <c r="R77" s="16">
        <f>LCOE!B103</f>
        <v>30</v>
      </c>
      <c r="S77" s="16">
        <f>LCOE!V103+Q77*P77*R77</f>
        <v>37104075</v>
      </c>
      <c r="T77" s="16">
        <f>LCOE!W103+LCOE!F$31</f>
        <v>0</v>
      </c>
      <c r="U77" s="16">
        <f>LCOE!X103+T77*IF(LCOE!F$14&gt;0,G77,H77)</f>
        <v>0</v>
      </c>
      <c r="V77" s="16">
        <f>LCOE!Y103+LCOE!F$32</f>
        <v>0</v>
      </c>
      <c r="W77" s="16">
        <f>LCOE!Z103+V77*IF(LCOE!F$14&gt;0,G77,H77)</f>
        <v>0</v>
      </c>
      <c r="X77" s="16">
        <f>LCOE!AA103+LCOE!F$34</f>
        <v>101</v>
      </c>
      <c r="Y77" s="16">
        <f t="shared" si="15"/>
        <v>0</v>
      </c>
      <c r="Z77" s="50">
        <f t="shared" si="18"/>
        <v>0</v>
      </c>
      <c r="AA77" s="50">
        <f t="shared" si="19"/>
        <v>20000000</v>
      </c>
      <c r="AB77" s="50">
        <f t="shared" si="20"/>
        <v>168165720</v>
      </c>
      <c r="AC77" s="50">
        <f t="shared" si="16"/>
        <v>0</v>
      </c>
      <c r="AD77" s="50">
        <f t="shared" si="11"/>
        <v>37104075</v>
      </c>
      <c r="AE77">
        <f t="shared" si="17"/>
        <v>7</v>
      </c>
      <c r="AF77" s="12">
        <f>LCOE!E103+LCOE!F$40</f>
        <v>0.05</v>
      </c>
      <c r="AG77">
        <f t="shared" si="12"/>
        <v>1.4071004226562502</v>
      </c>
      <c r="AH77" s="16">
        <f t="shared" si="7"/>
        <v>0</v>
      </c>
      <c r="AI77" s="16">
        <f t="shared" si="8"/>
        <v>14213626.60260243</v>
      </c>
      <c r="AJ77" s="16">
        <f t="shared" si="9"/>
        <v>119512237.57188956</v>
      </c>
      <c r="AK77" s="16">
        <f t="shared" si="10"/>
        <v>0</v>
      </c>
      <c r="AL77" s="16">
        <f t="shared" si="13"/>
        <v>26369173.374247786</v>
      </c>
      <c r="AM77" s="16">
        <f t="shared" si="14"/>
        <v>0</v>
      </c>
      <c r="AN77" s="16">
        <f>IF(LCOE!F$14&gt;0,G77,H77)/AG77</f>
        <v>2801505.8033729387</v>
      </c>
    </row>
    <row r="78" spans="1:40">
      <c r="A78">
        <v>8</v>
      </c>
      <c r="C78" s="16">
        <f>LCOE!F104+IF(AND(LCOE!F$26&gt;0,A78&gt;=LCOE!F$26,A78&lt;=(LCOE!F$26+LCOE!F$27-1)),LCOE!F$42/LCOE!F$27,0)+IF(AND(D78=0,AE78&gt;=LCOE!F$16,COUNTIF(D53:D78,0)=LCOE!F$36),LCOE!F$35*LCOE!F$38,0)</f>
        <v>0</v>
      </c>
      <c r="D78" s="16">
        <f>IF(AE77&lt;LCOE!F$16,1,0)</f>
        <v>1</v>
      </c>
      <c r="E78" s="12">
        <f>LCOE!G104+IF(AND(A78&gt;=LCOE!F$26,A78&lt;=(LCOE!F$26+LCOE!F$27-1)),0,1)*IF(A78=LCOE!F$34,0,1)*D78</f>
        <v>1</v>
      </c>
      <c r="F78" s="12">
        <f>IF(F77&lt;LCOE!F$18,MIN(F77*(1+LCOE!F$19),LCOE!F$18),LCOE!F$18)+LCOE!J104</f>
        <v>0.9</v>
      </c>
      <c r="G78" s="16">
        <f>LCOE!K104+E78*F78*N78*(LCOE!F$14+LCOE!H104)*24*365*D78</f>
        <v>3942000</v>
      </c>
      <c r="H78" s="16">
        <f>LCOE!L104+F78*(LCOE!F$15+LCOE!I104)*E78*24*365*D78*N78</f>
        <v>0</v>
      </c>
      <c r="I78" s="16">
        <f>LCOE!M104+LCOE!F$20*IF(LCOE!F$14&gt;0,(LCOE!F$14+LCOE!H104),(LCOE!F$15+LCOE!I104))*K78*D78</f>
        <v>20000000</v>
      </c>
      <c r="J78" s="16">
        <f>LCOE!N104+LCOE!F$21*IF(LCOE!F$14&gt;0,G78,H78)*K78*D78</f>
        <v>0</v>
      </c>
      <c r="K78" s="15">
        <f>LCOE!O104+K77+K77*LCOE!F$22</f>
        <v>1</v>
      </c>
      <c r="L78" s="16">
        <f>LCOE!P104+LCOE!F$23*IF(LCOE!F$14&gt;0,G78,H78)*M78*D78</f>
        <v>168165720</v>
      </c>
      <c r="M78" s="15">
        <f>LCOE!Q104+M77+M77*LCOE!F$24</f>
        <v>1</v>
      </c>
      <c r="N78" s="15">
        <f>LCOE!R104+N77-N77*LCOE!F$25</f>
        <v>1</v>
      </c>
      <c r="O78" s="18">
        <f>LCOE!S104+LCOE!F$29</f>
        <v>313.75</v>
      </c>
      <c r="P78" s="12">
        <f>LCOE!T104+IF(A78&gt;=LCOE!F$30,100%,0%)</f>
        <v>1</v>
      </c>
      <c r="Q78" s="16">
        <f>LCOE!U104+O78/1000*IF(LCOE!F$14&gt;0,G78,H78)</f>
        <v>1236802.5</v>
      </c>
      <c r="R78" s="16">
        <f>LCOE!B104</f>
        <v>30</v>
      </c>
      <c r="S78" s="16">
        <f>LCOE!V104+Q78*P78*R78</f>
        <v>37104075</v>
      </c>
      <c r="T78" s="16">
        <f>LCOE!W104+LCOE!F$31</f>
        <v>0</v>
      </c>
      <c r="U78" s="16">
        <f>LCOE!X104+T78*IF(LCOE!F$14&gt;0,G78,H78)</f>
        <v>0</v>
      </c>
      <c r="V78" s="16">
        <f>LCOE!Y104+LCOE!F$32</f>
        <v>0</v>
      </c>
      <c r="W78" s="16">
        <f>LCOE!Z104+V78*IF(LCOE!F$14&gt;0,G78,H78)</f>
        <v>0</v>
      </c>
      <c r="X78" s="16">
        <f>LCOE!AA104+LCOE!F$34</f>
        <v>101</v>
      </c>
      <c r="Y78" s="16">
        <f t="shared" si="15"/>
        <v>0</v>
      </c>
      <c r="Z78" s="50">
        <f t="shared" si="18"/>
        <v>0</v>
      </c>
      <c r="AA78" s="50">
        <f t="shared" si="19"/>
        <v>20000000</v>
      </c>
      <c r="AB78" s="50">
        <f t="shared" si="20"/>
        <v>168165720</v>
      </c>
      <c r="AC78" s="50">
        <f t="shared" si="16"/>
        <v>0</v>
      </c>
      <c r="AD78" s="50">
        <f t="shared" si="11"/>
        <v>37104075</v>
      </c>
      <c r="AE78">
        <f t="shared" si="17"/>
        <v>8</v>
      </c>
      <c r="AF78" s="12">
        <f>LCOE!E104+LCOE!F$40</f>
        <v>0.05</v>
      </c>
      <c r="AG78">
        <f t="shared" si="12"/>
        <v>1.4774554437890626</v>
      </c>
      <c r="AH78" s="16">
        <f t="shared" si="7"/>
        <v>0</v>
      </c>
      <c r="AI78" s="16">
        <f t="shared" si="8"/>
        <v>13536787.240573743</v>
      </c>
      <c r="AJ78" s="16">
        <f t="shared" si="9"/>
        <v>113821178.63989484</v>
      </c>
      <c r="AK78" s="16">
        <f t="shared" si="10"/>
        <v>0</v>
      </c>
      <c r="AL78" s="16">
        <f t="shared" si="13"/>
        <v>25113498.45166456</v>
      </c>
      <c r="AM78" s="16">
        <f t="shared" si="14"/>
        <v>0</v>
      </c>
      <c r="AN78" s="16">
        <f>IF(LCOE!F$14&gt;0,G78,H78)/AG78</f>
        <v>2668100.7651170851</v>
      </c>
    </row>
    <row r="79" spans="1:40">
      <c r="A79">
        <v>9</v>
      </c>
      <c r="C79" s="16">
        <f>LCOE!F105+IF(AND(LCOE!F$26&gt;0,A79&gt;=LCOE!F$26,A79&lt;=(LCOE!F$26+LCOE!F$27-1)),LCOE!F$42/LCOE!F$27,0)+IF(AND(D79=0,AE79&gt;=LCOE!F$16,COUNTIF(D54:D79,0)=LCOE!F$36),LCOE!F$35*LCOE!F$38,0)</f>
        <v>0</v>
      </c>
      <c r="D79" s="16">
        <f>IF(AE78&lt;LCOE!F$16,1,0)</f>
        <v>1</v>
      </c>
      <c r="E79" s="12">
        <f>LCOE!G105+IF(AND(A79&gt;=LCOE!F$26,A79&lt;=(LCOE!F$26+LCOE!F$27-1)),0,1)*IF(A79=LCOE!F$34,0,1)*D79</f>
        <v>1</v>
      </c>
      <c r="F79" s="12">
        <f>IF(F78&lt;LCOE!F$18,MIN(F78*(1+LCOE!F$19),LCOE!F$18),LCOE!F$18)+LCOE!J105</f>
        <v>0.9</v>
      </c>
      <c r="G79" s="16">
        <f>LCOE!K105+E79*F79*N79*(LCOE!F$14+LCOE!H105)*24*365*D79</f>
        <v>3942000</v>
      </c>
      <c r="H79" s="16">
        <f>LCOE!L105+F79*(LCOE!F$15+LCOE!I105)*E79*24*365*D79*N79</f>
        <v>0</v>
      </c>
      <c r="I79" s="16">
        <f>LCOE!M105+LCOE!F$20*IF(LCOE!F$14&gt;0,(LCOE!F$14+LCOE!H105),(LCOE!F$15+LCOE!I105))*K79*D79</f>
        <v>20000000</v>
      </c>
      <c r="J79" s="16">
        <f>LCOE!N105+LCOE!F$21*IF(LCOE!F$14&gt;0,G79,H79)*K79*D79</f>
        <v>0</v>
      </c>
      <c r="K79" s="15">
        <f>LCOE!O105+K78+K78*LCOE!F$22</f>
        <v>1</v>
      </c>
      <c r="L79" s="16">
        <f>LCOE!P105+LCOE!F$23*IF(LCOE!F$14&gt;0,G79,H79)*M79*D79</f>
        <v>168165720</v>
      </c>
      <c r="M79" s="15">
        <f>LCOE!Q105+M78+M78*LCOE!F$24</f>
        <v>1</v>
      </c>
      <c r="N79" s="15">
        <f>LCOE!R105+N78-N78*LCOE!F$25</f>
        <v>1</v>
      </c>
      <c r="O79" s="18">
        <f>LCOE!S105+LCOE!F$29</f>
        <v>313.75</v>
      </c>
      <c r="P79" s="12">
        <f>LCOE!T105+IF(A79&gt;=LCOE!F$30,100%,0%)</f>
        <v>1</v>
      </c>
      <c r="Q79" s="16">
        <f>LCOE!U105+O79/1000*IF(LCOE!F$14&gt;0,G79,H79)</f>
        <v>1236802.5</v>
      </c>
      <c r="R79" s="16">
        <f>LCOE!B105</f>
        <v>30</v>
      </c>
      <c r="S79" s="16">
        <f>LCOE!V105+Q79*P79*R79</f>
        <v>37104075</v>
      </c>
      <c r="T79" s="16">
        <f>LCOE!W105+LCOE!F$31</f>
        <v>0</v>
      </c>
      <c r="U79" s="16">
        <f>LCOE!X105+T79*IF(LCOE!F$14&gt;0,G79,H79)</f>
        <v>0</v>
      </c>
      <c r="V79" s="16">
        <f>LCOE!Y105+LCOE!F$32</f>
        <v>0</v>
      </c>
      <c r="W79" s="16">
        <f>LCOE!Z105+V79*IF(LCOE!F$14&gt;0,G79,H79)</f>
        <v>0</v>
      </c>
      <c r="X79" s="16">
        <f>LCOE!AA105+LCOE!F$34</f>
        <v>101</v>
      </c>
      <c r="Y79" s="16">
        <f t="shared" si="15"/>
        <v>0</v>
      </c>
      <c r="Z79" s="50">
        <f t="shared" si="18"/>
        <v>0</v>
      </c>
      <c r="AA79" s="50">
        <f t="shared" si="19"/>
        <v>20000000</v>
      </c>
      <c r="AB79" s="50">
        <f t="shared" si="20"/>
        <v>168165720</v>
      </c>
      <c r="AC79" s="50">
        <f t="shared" si="16"/>
        <v>0</v>
      </c>
      <c r="AD79" s="50">
        <f t="shared" si="11"/>
        <v>37104075</v>
      </c>
      <c r="AE79">
        <f t="shared" si="17"/>
        <v>9</v>
      </c>
      <c r="AF79" s="12">
        <f>LCOE!E105+LCOE!F$40</f>
        <v>0.05</v>
      </c>
      <c r="AG79">
        <f t="shared" si="12"/>
        <v>1.5513282159785158</v>
      </c>
      <c r="AH79" s="16">
        <f t="shared" si="7"/>
        <v>0</v>
      </c>
      <c r="AI79" s="16">
        <f t="shared" si="8"/>
        <v>12892178.324355945</v>
      </c>
      <c r="AJ79" s="16">
        <f t="shared" si="9"/>
        <v>108401122.51418556</v>
      </c>
      <c r="AK79" s="16">
        <f t="shared" si="10"/>
        <v>0</v>
      </c>
      <c r="AL79" s="16">
        <f t="shared" si="13"/>
        <v>23917617.573013868</v>
      </c>
      <c r="AM79" s="16">
        <f t="shared" si="14"/>
        <v>0</v>
      </c>
      <c r="AN79" s="16">
        <f>IF(LCOE!F$14&gt;0,G79,H79)/AG79</f>
        <v>2541048.347730557</v>
      </c>
    </row>
    <row r="80" spans="1:40">
      <c r="A80">
        <v>10</v>
      </c>
      <c r="C80" s="16">
        <f>LCOE!F106+IF(AND(LCOE!F$26&gt;0,A80&gt;=LCOE!F$26,A80&lt;=(LCOE!F$26+LCOE!F$27-1)),LCOE!F$42/LCOE!F$27,0)+IF(AND(D80=0,AE80&gt;=LCOE!F$16,COUNTIF(D55:D80,0)=LCOE!F$36),LCOE!F$35*LCOE!F$38,0)</f>
        <v>0</v>
      </c>
      <c r="D80" s="16">
        <f>IF(AE79&lt;LCOE!F$16,1,0)</f>
        <v>1</v>
      </c>
      <c r="E80" s="12">
        <f>LCOE!G106+IF(AND(A80&gt;=LCOE!F$26,A80&lt;=(LCOE!F$26+LCOE!F$27-1)),0,1)*IF(A80=LCOE!F$34,0,1)*D80</f>
        <v>1</v>
      </c>
      <c r="F80" s="12">
        <f>IF(F79&lt;LCOE!F$18,MIN(F79*(1+LCOE!F$19),LCOE!F$18),LCOE!F$18)+LCOE!J106</f>
        <v>0.9</v>
      </c>
      <c r="G80" s="16">
        <f>LCOE!K106+E80*F80*N80*(LCOE!F$14+LCOE!H106)*24*365*D80</f>
        <v>3942000</v>
      </c>
      <c r="H80" s="16">
        <f>LCOE!L106+F80*(LCOE!F$15+LCOE!I106)*E80*24*365*D80*N80</f>
        <v>0</v>
      </c>
      <c r="I80" s="16">
        <f>LCOE!M106+LCOE!F$20*IF(LCOE!F$14&gt;0,(LCOE!F$14+LCOE!H106),(LCOE!F$15+LCOE!I106))*K80*D80</f>
        <v>20000000</v>
      </c>
      <c r="J80" s="16">
        <f>LCOE!N106+LCOE!F$21*IF(LCOE!F$14&gt;0,G80,H80)*K80*D80</f>
        <v>0</v>
      </c>
      <c r="K80" s="15">
        <f>LCOE!O106+K79+K79*LCOE!F$22</f>
        <v>1</v>
      </c>
      <c r="L80" s="16">
        <f>LCOE!P106+LCOE!F$23*IF(LCOE!F$14&gt;0,G80,H80)*M80*D80</f>
        <v>168165720</v>
      </c>
      <c r="M80" s="15">
        <f>LCOE!Q106+M79+M79*LCOE!F$24</f>
        <v>1</v>
      </c>
      <c r="N80" s="15">
        <f>LCOE!R106+N79-N79*LCOE!F$25</f>
        <v>1</v>
      </c>
      <c r="O80" s="18">
        <f>LCOE!S106+LCOE!F$29</f>
        <v>313.75</v>
      </c>
      <c r="P80" s="12">
        <f>LCOE!T106+IF(A80&gt;=LCOE!F$30,100%,0%)</f>
        <v>1</v>
      </c>
      <c r="Q80" s="16">
        <f>LCOE!U106+O80/1000*IF(LCOE!F$14&gt;0,G80,H80)</f>
        <v>1236802.5</v>
      </c>
      <c r="R80" s="16">
        <f>LCOE!B106</f>
        <v>30</v>
      </c>
      <c r="S80" s="16">
        <f>LCOE!V106+Q80*P80*R80</f>
        <v>37104075</v>
      </c>
      <c r="T80" s="16">
        <f>LCOE!W106+LCOE!F$31</f>
        <v>0</v>
      </c>
      <c r="U80" s="16">
        <f>LCOE!X106+T80*IF(LCOE!F$14&gt;0,G80,H80)</f>
        <v>0</v>
      </c>
      <c r="V80" s="16">
        <f>LCOE!Y106+LCOE!F$32</f>
        <v>0</v>
      </c>
      <c r="W80" s="16">
        <f>LCOE!Z106+V80*IF(LCOE!F$14&gt;0,G80,H80)</f>
        <v>0</v>
      </c>
      <c r="X80" s="16">
        <f>LCOE!AA106+LCOE!F$34</f>
        <v>101</v>
      </c>
      <c r="Y80" s="16">
        <f t="shared" si="15"/>
        <v>0</v>
      </c>
      <c r="Z80" s="50">
        <f t="shared" si="18"/>
        <v>0</v>
      </c>
      <c r="AA80" s="50">
        <f t="shared" si="19"/>
        <v>20000000</v>
      </c>
      <c r="AB80" s="50">
        <f t="shared" si="20"/>
        <v>168165720</v>
      </c>
      <c r="AC80" s="50">
        <f t="shared" si="16"/>
        <v>0</v>
      </c>
      <c r="AD80" s="50">
        <f t="shared" si="11"/>
        <v>37104075</v>
      </c>
      <c r="AE80">
        <f t="shared" si="17"/>
        <v>10</v>
      </c>
      <c r="AF80" s="12">
        <f>LCOE!E106+LCOE!F$40</f>
        <v>0.05</v>
      </c>
      <c r="AG80">
        <f t="shared" si="12"/>
        <v>1.6288946267774416</v>
      </c>
      <c r="AH80" s="16">
        <f t="shared" si="7"/>
        <v>0</v>
      </c>
      <c r="AI80" s="16">
        <f t="shared" si="8"/>
        <v>12278265.070815187</v>
      </c>
      <c r="AJ80" s="16">
        <f t="shared" si="9"/>
        <v>103239164.29922433</v>
      </c>
      <c r="AK80" s="16">
        <f t="shared" si="10"/>
        <v>0</v>
      </c>
      <c r="AL80" s="16">
        <f t="shared" si="13"/>
        <v>22778683.40287035</v>
      </c>
      <c r="AM80" s="16">
        <f t="shared" si="14"/>
        <v>0</v>
      </c>
      <c r="AN80" s="16">
        <f>IF(LCOE!F$14&gt;0,G80,H80)/AG80</f>
        <v>2420046.0454576733</v>
      </c>
    </row>
    <row r="81" spans="1:40">
      <c r="A81">
        <v>11</v>
      </c>
      <c r="C81" s="16">
        <f>LCOE!F107+IF(AND(LCOE!F$26&gt;0,A81&gt;=LCOE!F$26,A81&lt;=(LCOE!F$26+LCOE!F$27-1)),LCOE!F$42/LCOE!F$27,0)+IF(AND(D81=0,AE81&gt;=LCOE!F$16,COUNTIF(D56:D81,0)=LCOE!F$36),LCOE!F$35*LCOE!F$38,0)</f>
        <v>0</v>
      </c>
      <c r="D81" s="16">
        <f>IF(AE80&lt;LCOE!F$16,1,0)</f>
        <v>1</v>
      </c>
      <c r="E81" s="12">
        <f>LCOE!G107+IF(AND(A81&gt;=LCOE!F$26,A81&lt;=(LCOE!F$26+LCOE!F$27-1)),0,1)*IF(A81=LCOE!F$34,0,1)*D81</f>
        <v>1</v>
      </c>
      <c r="F81" s="12">
        <f>IF(F80&lt;LCOE!F$18,MIN(F80*(1+LCOE!F$19),LCOE!F$18),LCOE!F$18)+LCOE!J107</f>
        <v>0.9</v>
      </c>
      <c r="G81" s="16">
        <f>LCOE!K107+E81*F81*N81*(LCOE!F$14+LCOE!H107)*24*365*D81</f>
        <v>3942000</v>
      </c>
      <c r="H81" s="16">
        <f>LCOE!L107+F81*(LCOE!F$15+LCOE!I107)*E81*24*365*D81*N81</f>
        <v>0</v>
      </c>
      <c r="I81" s="16">
        <f>LCOE!M107+LCOE!F$20*IF(LCOE!F$14&gt;0,(LCOE!F$14+LCOE!H107),(LCOE!F$15+LCOE!I107))*K81*D81</f>
        <v>20000000</v>
      </c>
      <c r="J81" s="16">
        <f>LCOE!N107+LCOE!F$21*IF(LCOE!F$14&gt;0,G81,H81)*K81*D81</f>
        <v>0</v>
      </c>
      <c r="K81" s="15">
        <f>LCOE!O107+K80+K80*LCOE!F$22</f>
        <v>1</v>
      </c>
      <c r="L81" s="16">
        <f>LCOE!P107+LCOE!F$23*IF(LCOE!F$14&gt;0,G81,H81)*M81*D81</f>
        <v>168165720</v>
      </c>
      <c r="M81" s="15">
        <f>LCOE!Q107+M80+M80*LCOE!F$24</f>
        <v>1</v>
      </c>
      <c r="N81" s="15">
        <f>LCOE!R107+N80-N80*LCOE!F$25</f>
        <v>1</v>
      </c>
      <c r="O81" s="18">
        <f>LCOE!S107+LCOE!F$29</f>
        <v>313.75</v>
      </c>
      <c r="P81" s="12">
        <f>LCOE!T107+IF(A81&gt;=LCOE!F$30,100%,0%)</f>
        <v>1</v>
      </c>
      <c r="Q81" s="16">
        <f>LCOE!U107+O81/1000*IF(LCOE!F$14&gt;0,G81,H81)</f>
        <v>1236802.5</v>
      </c>
      <c r="R81" s="16">
        <f>LCOE!B107</f>
        <v>30</v>
      </c>
      <c r="S81" s="16">
        <f>LCOE!V107+Q81*P81*R81</f>
        <v>37104075</v>
      </c>
      <c r="T81" s="16">
        <f>LCOE!W107+LCOE!F$31</f>
        <v>0</v>
      </c>
      <c r="U81" s="16">
        <f>LCOE!X107+T81*IF(LCOE!F$14&gt;0,G81,H81)</f>
        <v>0</v>
      </c>
      <c r="V81" s="16">
        <f>LCOE!Y107+LCOE!F$32</f>
        <v>0</v>
      </c>
      <c r="W81" s="16">
        <f>LCOE!Z107+V81*IF(LCOE!F$14&gt;0,G81,H81)</f>
        <v>0</v>
      </c>
      <c r="X81" s="16">
        <f>LCOE!AA107+LCOE!F$34</f>
        <v>101</v>
      </c>
      <c r="Y81" s="16">
        <f t="shared" si="15"/>
        <v>0</v>
      </c>
      <c r="Z81" s="50">
        <f t="shared" si="18"/>
        <v>0</v>
      </c>
      <c r="AA81" s="50">
        <f t="shared" si="19"/>
        <v>20000000</v>
      </c>
      <c r="AB81" s="50">
        <f t="shared" si="20"/>
        <v>168165720</v>
      </c>
      <c r="AC81" s="50">
        <f t="shared" si="16"/>
        <v>0</v>
      </c>
      <c r="AD81" s="50">
        <f t="shared" si="11"/>
        <v>37104075</v>
      </c>
      <c r="AE81">
        <f t="shared" si="17"/>
        <v>11</v>
      </c>
      <c r="AF81" s="12">
        <f>LCOE!E107+LCOE!F$40</f>
        <v>0.05</v>
      </c>
      <c r="AG81">
        <f t="shared" si="12"/>
        <v>1.7103393581163138</v>
      </c>
      <c r="AH81" s="16">
        <f t="shared" si="7"/>
        <v>0</v>
      </c>
      <c r="AI81" s="16">
        <f t="shared" si="8"/>
        <v>11693585.781728748</v>
      </c>
      <c r="AJ81" s="16">
        <f t="shared" si="9"/>
        <v>98323013.618308887</v>
      </c>
      <c r="AK81" s="16">
        <f t="shared" si="10"/>
        <v>0</v>
      </c>
      <c r="AL81" s="16">
        <f t="shared" si="13"/>
        <v>21693984.193209853</v>
      </c>
      <c r="AM81" s="16">
        <f t="shared" si="14"/>
        <v>0</v>
      </c>
      <c r="AN81" s="16">
        <f>IF(LCOE!F$14&gt;0,G81,H81)/AG81</f>
        <v>2304805.7575787362</v>
      </c>
    </row>
    <row r="82" spans="1:40">
      <c r="A82">
        <v>12</v>
      </c>
      <c r="C82" s="16">
        <f>LCOE!F108+IF(AND(LCOE!F$26&gt;0,A82&gt;=LCOE!F$26,A82&lt;=(LCOE!F$26+LCOE!F$27-1)),LCOE!F$42/LCOE!F$27,0)+IF(AND(D82=0,AE82&gt;=LCOE!F$16,COUNTIF(D57:D82,0)=LCOE!F$36),LCOE!F$35*LCOE!F$38,0)</f>
        <v>0</v>
      </c>
      <c r="D82" s="16">
        <f>IF(AE81&lt;LCOE!F$16,1,0)</f>
        <v>1</v>
      </c>
      <c r="E82" s="12">
        <f>LCOE!G108+IF(AND(A82&gt;=LCOE!F$26,A82&lt;=(LCOE!F$26+LCOE!F$27-1)),0,1)*IF(A82=LCOE!F$34,0,1)*D82</f>
        <v>1</v>
      </c>
      <c r="F82" s="12">
        <f>IF(F81&lt;LCOE!F$18,MIN(F81*(1+LCOE!F$19),LCOE!F$18),LCOE!F$18)+LCOE!J108</f>
        <v>0.9</v>
      </c>
      <c r="G82" s="16">
        <f>LCOE!K108+E82*F82*N82*(LCOE!F$14+LCOE!H108)*24*365*D82</f>
        <v>3942000</v>
      </c>
      <c r="H82" s="16">
        <f>LCOE!L108+F82*(LCOE!F$15+LCOE!I108)*E82*24*365*D82*N82</f>
        <v>0</v>
      </c>
      <c r="I82" s="16">
        <f>LCOE!M108+LCOE!F$20*IF(LCOE!F$14&gt;0,(LCOE!F$14+LCOE!H108),(LCOE!F$15+LCOE!I108))*K82*D82</f>
        <v>20000000</v>
      </c>
      <c r="J82" s="16">
        <f>LCOE!N108+LCOE!F$21*IF(LCOE!F$14&gt;0,G82,H82)*K82*D82</f>
        <v>0</v>
      </c>
      <c r="K82" s="15">
        <f>LCOE!O108+K81+K81*LCOE!F$22</f>
        <v>1</v>
      </c>
      <c r="L82" s="16">
        <f>LCOE!P108+LCOE!F$23*IF(LCOE!F$14&gt;0,G82,H82)*M82*D82</f>
        <v>168165720</v>
      </c>
      <c r="M82" s="15">
        <f>LCOE!Q108+M81+M81*LCOE!F$24</f>
        <v>1</v>
      </c>
      <c r="N82" s="15">
        <f>LCOE!R108+N81-N81*LCOE!F$25</f>
        <v>1</v>
      </c>
      <c r="O82" s="18">
        <f>LCOE!S108+LCOE!F$29</f>
        <v>313.75</v>
      </c>
      <c r="P82" s="12">
        <f>LCOE!T108+IF(A82&gt;=LCOE!F$30,100%,0%)</f>
        <v>1</v>
      </c>
      <c r="Q82" s="16">
        <f>LCOE!U108+O82/1000*IF(LCOE!F$14&gt;0,G82,H82)</f>
        <v>1236802.5</v>
      </c>
      <c r="R82" s="16">
        <f>LCOE!B108</f>
        <v>30</v>
      </c>
      <c r="S82" s="16">
        <f>LCOE!V108+Q82*P82*R82</f>
        <v>37104075</v>
      </c>
      <c r="T82" s="16">
        <f>LCOE!W108+LCOE!F$31</f>
        <v>0</v>
      </c>
      <c r="U82" s="16">
        <f>LCOE!X108+T82*IF(LCOE!F$14&gt;0,G82,H82)</f>
        <v>0</v>
      </c>
      <c r="V82" s="16">
        <f>LCOE!Y108+LCOE!F$32</f>
        <v>0</v>
      </c>
      <c r="W82" s="16">
        <f>LCOE!Z108+V82*IF(LCOE!F$14&gt;0,G82,H82)</f>
        <v>0</v>
      </c>
      <c r="X82" s="16">
        <f>LCOE!AA108+LCOE!F$34</f>
        <v>101</v>
      </c>
      <c r="Y82" s="16">
        <f t="shared" si="15"/>
        <v>0</v>
      </c>
      <c r="Z82" s="50">
        <f t="shared" si="18"/>
        <v>0</v>
      </c>
      <c r="AA82" s="50">
        <f t="shared" si="19"/>
        <v>20000000</v>
      </c>
      <c r="AB82" s="50">
        <f t="shared" si="20"/>
        <v>168165720</v>
      </c>
      <c r="AC82" s="50">
        <f t="shared" si="16"/>
        <v>0</v>
      </c>
      <c r="AD82" s="50">
        <f t="shared" si="11"/>
        <v>37104075</v>
      </c>
      <c r="AE82">
        <f t="shared" si="17"/>
        <v>12</v>
      </c>
      <c r="AF82" s="12">
        <f>LCOE!E108+LCOE!F$40</f>
        <v>0.05</v>
      </c>
      <c r="AG82">
        <f t="shared" si="12"/>
        <v>1.7958563260221292</v>
      </c>
      <c r="AH82" s="16">
        <f t="shared" si="7"/>
        <v>0</v>
      </c>
      <c r="AI82" s="16">
        <f t="shared" si="8"/>
        <v>11136748.36355119</v>
      </c>
      <c r="AJ82" s="16">
        <f t="shared" si="9"/>
        <v>93640965.350770384</v>
      </c>
      <c r="AK82" s="16">
        <f t="shared" si="10"/>
        <v>0</v>
      </c>
      <c r="AL82" s="16">
        <f t="shared" si="13"/>
        <v>20660937.32686653</v>
      </c>
      <c r="AM82" s="16">
        <f t="shared" si="14"/>
        <v>0</v>
      </c>
      <c r="AN82" s="16">
        <f>IF(LCOE!F$14&gt;0,G82,H82)/AG82</f>
        <v>2195053.1024559396</v>
      </c>
    </row>
    <row r="83" spans="1:40">
      <c r="A83">
        <v>13</v>
      </c>
      <c r="C83" s="16">
        <f>LCOE!F109+IF(AND(LCOE!F$26&gt;0,A83&gt;=LCOE!F$26,A83&lt;=(LCOE!F$26+LCOE!F$27-1)),LCOE!F$42/LCOE!F$27,0)+IF(AND(D83=0,AE83&gt;=LCOE!F$16,COUNTIF(D58:D83,0)=LCOE!F$36),LCOE!F$35*LCOE!F$38,0)</f>
        <v>0</v>
      </c>
      <c r="D83" s="16">
        <f>IF(AE82&lt;LCOE!F$16,1,0)</f>
        <v>1</v>
      </c>
      <c r="E83" s="12">
        <f>LCOE!G109+IF(AND(A83&gt;=LCOE!F$26,A83&lt;=(LCOE!F$26+LCOE!F$27-1)),0,1)*IF(A83=LCOE!F$34,0,1)*D83</f>
        <v>1</v>
      </c>
      <c r="F83" s="12">
        <f>IF(F82&lt;LCOE!F$18,MIN(F82*(1+LCOE!F$19),LCOE!F$18),LCOE!F$18)+LCOE!J109</f>
        <v>0.9</v>
      </c>
      <c r="G83" s="16">
        <f>LCOE!K109+E83*F83*N83*(LCOE!F$14+LCOE!H109)*24*365*D83</f>
        <v>3942000</v>
      </c>
      <c r="H83" s="16">
        <f>LCOE!L109+F83*(LCOE!F$15+LCOE!I109)*E83*24*365*D83*N83</f>
        <v>0</v>
      </c>
      <c r="I83" s="16">
        <f>LCOE!M109+LCOE!F$20*IF(LCOE!F$14&gt;0,(LCOE!F$14+LCOE!H109),(LCOE!F$15+LCOE!I109))*K83*D83</f>
        <v>20000000</v>
      </c>
      <c r="J83" s="16">
        <f>LCOE!N109+LCOE!F$21*IF(LCOE!F$14&gt;0,G83,H83)*K83*D83</f>
        <v>0</v>
      </c>
      <c r="K83" s="15">
        <f>LCOE!O109+K82+K82*LCOE!F$22</f>
        <v>1</v>
      </c>
      <c r="L83" s="16">
        <f>LCOE!P109+LCOE!F$23*IF(LCOE!F$14&gt;0,G83,H83)*M83*D83</f>
        <v>168165720</v>
      </c>
      <c r="M83" s="15">
        <f>LCOE!Q109+M82+M82*LCOE!F$24</f>
        <v>1</v>
      </c>
      <c r="N83" s="15">
        <f>LCOE!R109+N82-N82*LCOE!F$25</f>
        <v>1</v>
      </c>
      <c r="O83" s="18">
        <f>LCOE!S109+LCOE!F$29</f>
        <v>313.75</v>
      </c>
      <c r="P83" s="12">
        <f>LCOE!T109+IF(A83&gt;=LCOE!F$30,100%,0%)</f>
        <v>1</v>
      </c>
      <c r="Q83" s="16">
        <f>LCOE!U109+O83/1000*IF(LCOE!F$14&gt;0,G83,H83)</f>
        <v>1236802.5</v>
      </c>
      <c r="R83" s="16">
        <f>LCOE!B109</f>
        <v>30</v>
      </c>
      <c r="S83" s="16">
        <f>LCOE!V109+Q83*P83*R83</f>
        <v>37104075</v>
      </c>
      <c r="T83" s="16">
        <f>LCOE!W109+LCOE!F$31</f>
        <v>0</v>
      </c>
      <c r="U83" s="16">
        <f>LCOE!X109+T83*IF(LCOE!F$14&gt;0,G83,H83)</f>
        <v>0</v>
      </c>
      <c r="V83" s="16">
        <f>LCOE!Y109+LCOE!F$32</f>
        <v>0</v>
      </c>
      <c r="W83" s="16">
        <f>LCOE!Z109+V83*IF(LCOE!F$14&gt;0,G83,H83)</f>
        <v>0</v>
      </c>
      <c r="X83" s="16">
        <f>LCOE!AA109+LCOE!F$34</f>
        <v>101</v>
      </c>
      <c r="Y83" s="16">
        <f t="shared" si="15"/>
        <v>0</v>
      </c>
      <c r="Z83" s="50">
        <f t="shared" si="18"/>
        <v>0</v>
      </c>
      <c r="AA83" s="50">
        <f t="shared" si="19"/>
        <v>20000000</v>
      </c>
      <c r="AB83" s="50">
        <f t="shared" si="20"/>
        <v>168165720</v>
      </c>
      <c r="AC83" s="50">
        <f t="shared" si="16"/>
        <v>0</v>
      </c>
      <c r="AD83" s="50">
        <f t="shared" si="11"/>
        <v>37104075</v>
      </c>
      <c r="AE83">
        <f t="shared" si="17"/>
        <v>13</v>
      </c>
      <c r="AF83" s="12">
        <f>LCOE!E109+LCOE!F$40</f>
        <v>0.05</v>
      </c>
      <c r="AG83">
        <f t="shared" si="12"/>
        <v>1.885649142323236</v>
      </c>
      <c r="AH83" s="16">
        <f t="shared" si="7"/>
        <v>0</v>
      </c>
      <c r="AI83" s="16">
        <f t="shared" si="8"/>
        <v>10606427.012905894</v>
      </c>
      <c r="AJ83" s="16">
        <f t="shared" si="9"/>
        <v>89181871.76263845</v>
      </c>
      <c r="AK83" s="16">
        <f t="shared" si="10"/>
        <v>0</v>
      </c>
      <c r="AL83" s="16">
        <f t="shared" si="13"/>
        <v>19677083.168444313</v>
      </c>
      <c r="AM83" s="16">
        <f t="shared" si="14"/>
        <v>0</v>
      </c>
      <c r="AN83" s="16">
        <f>IF(LCOE!F$14&gt;0,G83,H83)/AG83</f>
        <v>2090526.7642437515</v>
      </c>
    </row>
    <row r="84" spans="1:40">
      <c r="A84">
        <v>14</v>
      </c>
      <c r="C84" s="16">
        <f>LCOE!F110+IF(AND(LCOE!F$26&gt;0,A84&gt;=LCOE!F$26,A84&lt;=(LCOE!F$26+LCOE!F$27-1)),LCOE!F$42/LCOE!F$27,0)+IF(AND(D84=0,AE84&gt;=LCOE!F$16,COUNTIF(D59:D84,0)=LCOE!F$36),LCOE!F$35*LCOE!F$38,0)</f>
        <v>0</v>
      </c>
      <c r="D84" s="16">
        <f>IF(AE83&lt;LCOE!F$16,1,0)</f>
        <v>1</v>
      </c>
      <c r="E84" s="12">
        <f>LCOE!G110+IF(AND(A84&gt;=LCOE!F$26,A84&lt;=(LCOE!F$26+LCOE!F$27-1)),0,1)*IF(A84=LCOE!F$34,0,1)*D84</f>
        <v>1</v>
      </c>
      <c r="F84" s="12">
        <f>IF(F83&lt;LCOE!F$18,MIN(F83*(1+LCOE!F$19),LCOE!F$18),LCOE!F$18)+LCOE!J110</f>
        <v>0.9</v>
      </c>
      <c r="G84" s="16">
        <f>LCOE!K110+E84*F84*N84*(LCOE!F$14+LCOE!H110)*24*365*D84</f>
        <v>3942000</v>
      </c>
      <c r="H84" s="16">
        <f>LCOE!L110+F84*(LCOE!F$15+LCOE!I110)*E84*24*365*D84*N84</f>
        <v>0</v>
      </c>
      <c r="I84" s="16">
        <f>LCOE!M110+LCOE!F$20*IF(LCOE!F$14&gt;0,(LCOE!F$14+LCOE!H110),(LCOE!F$15+LCOE!I110))*K84*D84</f>
        <v>20000000</v>
      </c>
      <c r="J84" s="16">
        <f>LCOE!N110+LCOE!F$21*IF(LCOE!F$14&gt;0,G84,H84)*K84*D84</f>
        <v>0</v>
      </c>
      <c r="K84" s="15">
        <f>LCOE!O110+K83+K83*LCOE!F$22</f>
        <v>1</v>
      </c>
      <c r="L84" s="16">
        <f>LCOE!P110+LCOE!F$23*IF(LCOE!F$14&gt;0,G84,H84)*M84*D84</f>
        <v>168165720</v>
      </c>
      <c r="M84" s="15">
        <f>LCOE!Q110+M83+M83*LCOE!F$24</f>
        <v>1</v>
      </c>
      <c r="N84" s="15">
        <f>LCOE!R110+N83-N83*LCOE!F$25</f>
        <v>1</v>
      </c>
      <c r="O84" s="18">
        <f>LCOE!S110+LCOE!F$29</f>
        <v>313.75</v>
      </c>
      <c r="P84" s="12">
        <f>LCOE!T110+IF(A84&gt;=LCOE!F$30,100%,0%)</f>
        <v>1</v>
      </c>
      <c r="Q84" s="16">
        <f>LCOE!U110+O84/1000*IF(LCOE!F$14&gt;0,G84,H84)</f>
        <v>1236802.5</v>
      </c>
      <c r="R84" s="16">
        <f>LCOE!B110</f>
        <v>30</v>
      </c>
      <c r="S84" s="16">
        <f>LCOE!V110+Q84*P84*R84</f>
        <v>37104075</v>
      </c>
      <c r="T84" s="16">
        <f>LCOE!W110+LCOE!F$31</f>
        <v>0</v>
      </c>
      <c r="U84" s="16">
        <f>LCOE!X110+T84*IF(LCOE!F$14&gt;0,G84,H84)</f>
        <v>0</v>
      </c>
      <c r="V84" s="16">
        <f>LCOE!Y110+LCOE!F$32</f>
        <v>0</v>
      </c>
      <c r="W84" s="16">
        <f>LCOE!Z110+V84*IF(LCOE!F$14&gt;0,G84,H84)</f>
        <v>0</v>
      </c>
      <c r="X84" s="16">
        <f>LCOE!AA110+LCOE!F$34</f>
        <v>101</v>
      </c>
      <c r="Y84" s="16">
        <f t="shared" si="15"/>
        <v>0</v>
      </c>
      <c r="Z84" s="50">
        <f t="shared" si="18"/>
        <v>0</v>
      </c>
      <c r="AA84" s="50">
        <f t="shared" si="19"/>
        <v>20000000</v>
      </c>
      <c r="AB84" s="50">
        <f t="shared" si="20"/>
        <v>168165720</v>
      </c>
      <c r="AC84" s="50">
        <f t="shared" si="16"/>
        <v>0</v>
      </c>
      <c r="AD84" s="50">
        <f t="shared" si="11"/>
        <v>37104075</v>
      </c>
      <c r="AE84">
        <f t="shared" si="17"/>
        <v>14</v>
      </c>
      <c r="AF84" s="12">
        <f>LCOE!E110+LCOE!F$40</f>
        <v>0.05</v>
      </c>
      <c r="AG84">
        <f t="shared" si="12"/>
        <v>1.9799315994393973</v>
      </c>
      <c r="AH84" s="16">
        <f t="shared" si="7"/>
        <v>0</v>
      </c>
      <c r="AI84" s="16">
        <f t="shared" si="8"/>
        <v>10101359.059910377</v>
      </c>
      <c r="AJ84" s="16">
        <f t="shared" si="9"/>
        <v>84935115.964417592</v>
      </c>
      <c r="AK84" s="16">
        <f t="shared" si="10"/>
        <v>0</v>
      </c>
      <c r="AL84" s="16">
        <f t="shared" si="13"/>
        <v>18740079.208042208</v>
      </c>
      <c r="AM84" s="16">
        <f t="shared" si="14"/>
        <v>0</v>
      </c>
      <c r="AN84" s="16">
        <f>IF(LCOE!F$14&gt;0,G84,H84)/AG84</f>
        <v>1990977.8707083354</v>
      </c>
    </row>
    <row r="85" spans="1:40">
      <c r="A85">
        <v>15</v>
      </c>
      <c r="C85" s="16">
        <f>LCOE!F111+IF(AND(LCOE!F$26&gt;0,A85&gt;=LCOE!F$26,A85&lt;=(LCOE!F$26+LCOE!F$27-1)),LCOE!F$42/LCOE!F$27,0)+IF(AND(D85=0,AE85&gt;=LCOE!F$16,COUNTIF(D60:D85,0)=LCOE!F$36),LCOE!F$35*LCOE!F$38,0)</f>
        <v>0</v>
      </c>
      <c r="D85" s="16">
        <f>IF(AE84&lt;LCOE!F$16,1,0)</f>
        <v>1</v>
      </c>
      <c r="E85" s="12">
        <f>LCOE!G111+IF(AND(A85&gt;=LCOE!F$26,A85&lt;=(LCOE!F$26+LCOE!F$27-1)),0,1)*IF(A85=LCOE!F$34,0,1)*D85</f>
        <v>1</v>
      </c>
      <c r="F85" s="12">
        <f>IF(F84&lt;LCOE!F$18,MIN(F84*(1+LCOE!F$19),LCOE!F$18),LCOE!F$18)+LCOE!J111</f>
        <v>0.9</v>
      </c>
      <c r="G85" s="16">
        <f>LCOE!K111+E85*F85*N85*(LCOE!F$14+LCOE!H111)*24*365*D85</f>
        <v>3942000</v>
      </c>
      <c r="H85" s="16">
        <f>LCOE!L111+F85*(LCOE!F$15+LCOE!I111)*E85*24*365*D85*N85</f>
        <v>0</v>
      </c>
      <c r="I85" s="16">
        <f>LCOE!M111+LCOE!F$20*IF(LCOE!F$14&gt;0,(LCOE!F$14+LCOE!H111),(LCOE!F$15+LCOE!I111))*K85*D85</f>
        <v>20000000</v>
      </c>
      <c r="J85" s="16">
        <f>LCOE!N111+LCOE!F$21*IF(LCOE!F$14&gt;0,G85,H85)*K85*D85</f>
        <v>0</v>
      </c>
      <c r="K85" s="15">
        <f>LCOE!O111+K84+K84*LCOE!F$22</f>
        <v>1</v>
      </c>
      <c r="L85" s="16">
        <f>LCOE!P111+LCOE!F$23*IF(LCOE!F$14&gt;0,G85,H85)*M85*D85</f>
        <v>168165720</v>
      </c>
      <c r="M85" s="15">
        <f>LCOE!Q111+M84+M84*LCOE!F$24</f>
        <v>1</v>
      </c>
      <c r="N85" s="15">
        <f>LCOE!R111+N84-N84*LCOE!F$25</f>
        <v>1</v>
      </c>
      <c r="O85" s="18">
        <f>LCOE!S111+LCOE!F$29</f>
        <v>313.75</v>
      </c>
      <c r="P85" s="12">
        <f>LCOE!T111+IF(A85&gt;=LCOE!F$30,100%,0%)</f>
        <v>1</v>
      </c>
      <c r="Q85" s="16">
        <f>LCOE!U111+O85/1000*IF(LCOE!F$14&gt;0,G85,H85)</f>
        <v>1236802.5</v>
      </c>
      <c r="R85" s="16">
        <f>LCOE!B111</f>
        <v>30</v>
      </c>
      <c r="S85" s="16">
        <f>LCOE!V111+Q85*P85*R85</f>
        <v>37104075</v>
      </c>
      <c r="T85" s="16">
        <f>LCOE!W111+LCOE!F$31</f>
        <v>0</v>
      </c>
      <c r="U85" s="16">
        <f>LCOE!X111+T85*IF(LCOE!F$14&gt;0,G85,H85)</f>
        <v>0</v>
      </c>
      <c r="V85" s="16">
        <f>LCOE!Y111+LCOE!F$32</f>
        <v>0</v>
      </c>
      <c r="W85" s="16">
        <f>LCOE!Z111+V85*IF(LCOE!F$14&gt;0,G85,H85)</f>
        <v>0</v>
      </c>
      <c r="X85" s="16">
        <f>LCOE!AA111+LCOE!F$34</f>
        <v>101</v>
      </c>
      <c r="Y85" s="16">
        <f t="shared" si="15"/>
        <v>0</v>
      </c>
      <c r="Z85" s="50">
        <f t="shared" si="18"/>
        <v>0</v>
      </c>
      <c r="AA85" s="50">
        <f t="shared" si="19"/>
        <v>20000000</v>
      </c>
      <c r="AB85" s="50">
        <f t="shared" si="20"/>
        <v>168165720</v>
      </c>
      <c r="AC85" s="50">
        <f t="shared" si="16"/>
        <v>0</v>
      </c>
      <c r="AD85" s="50">
        <f t="shared" si="11"/>
        <v>37104075</v>
      </c>
      <c r="AE85">
        <f t="shared" si="17"/>
        <v>15</v>
      </c>
      <c r="AF85" s="12">
        <f>LCOE!E111+LCOE!F$40</f>
        <v>0.05</v>
      </c>
      <c r="AG85">
        <f t="shared" si="12"/>
        <v>2.0789281794113679</v>
      </c>
      <c r="AH85" s="16">
        <f t="shared" si="7"/>
        <v>0</v>
      </c>
      <c r="AI85" s="16">
        <f t="shared" si="8"/>
        <v>9620341.9618194029</v>
      </c>
      <c r="AJ85" s="16">
        <f t="shared" si="9"/>
        <v>80890586.63277863</v>
      </c>
      <c r="AK85" s="16">
        <f t="shared" si="10"/>
        <v>0</v>
      </c>
      <c r="AL85" s="16">
        <f t="shared" si="13"/>
        <v>17847694.483849715</v>
      </c>
      <c r="AM85" s="16">
        <f t="shared" si="14"/>
        <v>0</v>
      </c>
      <c r="AN85" s="16">
        <f>IF(LCOE!F$14&gt;0,G85,H85)/AG85</f>
        <v>1896169.4006746046</v>
      </c>
    </row>
    <row r="86" spans="1:40">
      <c r="A86">
        <v>16</v>
      </c>
      <c r="C86" s="16">
        <f>LCOE!F112+IF(AND(LCOE!F$26&gt;0,A86&gt;=LCOE!F$26,A86&lt;=(LCOE!F$26+LCOE!F$27-1)),LCOE!F$42/LCOE!F$27,0)+IF(AND(D86=0,AE86&gt;=LCOE!F$16,COUNTIF(D61:D86,0)=LCOE!F$36),LCOE!F$35*LCOE!F$38,0)</f>
        <v>0</v>
      </c>
      <c r="D86" s="16">
        <f>IF(AE85&lt;LCOE!F$16,1,0)</f>
        <v>1</v>
      </c>
      <c r="E86" s="12">
        <f>LCOE!G112+IF(AND(A86&gt;=LCOE!F$26,A86&lt;=(LCOE!F$26+LCOE!F$27-1)),0,1)*IF(A86=LCOE!F$34,0,1)*D86</f>
        <v>1</v>
      </c>
      <c r="F86" s="12">
        <f>IF(F85&lt;LCOE!F$18,MIN(F85*(1+LCOE!F$19),LCOE!F$18),LCOE!F$18)+LCOE!J112</f>
        <v>0.9</v>
      </c>
      <c r="G86" s="16">
        <f>LCOE!K112+E86*F86*N86*(LCOE!F$14+LCOE!H112)*24*365*D86</f>
        <v>3942000</v>
      </c>
      <c r="H86" s="16">
        <f>LCOE!L112+F86*(LCOE!F$15+LCOE!I112)*E86*24*365*D86*N86</f>
        <v>0</v>
      </c>
      <c r="I86" s="16">
        <f>LCOE!M112+LCOE!F$20*IF(LCOE!F$14&gt;0,(LCOE!F$14+LCOE!H112),(LCOE!F$15+LCOE!I112))*K86*D86</f>
        <v>20000000</v>
      </c>
      <c r="J86" s="16">
        <f>LCOE!N112+LCOE!F$21*IF(LCOE!F$14&gt;0,G86,H86)*K86*D86</f>
        <v>0</v>
      </c>
      <c r="K86" s="15">
        <f>LCOE!O112+K85+K85*LCOE!F$22</f>
        <v>1</v>
      </c>
      <c r="L86" s="16">
        <f>LCOE!P112+LCOE!F$23*IF(LCOE!F$14&gt;0,G86,H86)*M86*D86</f>
        <v>168165720</v>
      </c>
      <c r="M86" s="15">
        <f>LCOE!Q112+M85+M85*LCOE!F$24</f>
        <v>1</v>
      </c>
      <c r="N86" s="15">
        <f>LCOE!R112+N85-N85*LCOE!F$25</f>
        <v>1</v>
      </c>
      <c r="O86" s="18">
        <f>LCOE!S112+LCOE!F$29</f>
        <v>313.75</v>
      </c>
      <c r="P86" s="12">
        <f>LCOE!T112+IF(A86&gt;=LCOE!F$30,100%,0%)</f>
        <v>1</v>
      </c>
      <c r="Q86" s="16">
        <f>LCOE!U112+O86/1000*IF(LCOE!F$14&gt;0,G86,H86)</f>
        <v>1236802.5</v>
      </c>
      <c r="R86" s="16">
        <f>LCOE!B112</f>
        <v>30</v>
      </c>
      <c r="S86" s="16">
        <f>LCOE!V112+Q86*P86*R86</f>
        <v>37104075</v>
      </c>
      <c r="T86" s="16">
        <f>LCOE!W112+LCOE!F$31</f>
        <v>0</v>
      </c>
      <c r="U86" s="16">
        <f>LCOE!X112+T86*IF(LCOE!F$14&gt;0,G86,H86)</f>
        <v>0</v>
      </c>
      <c r="V86" s="16">
        <f>LCOE!Y112+LCOE!F$32</f>
        <v>0</v>
      </c>
      <c r="W86" s="16">
        <f>LCOE!Z112+V86*IF(LCOE!F$14&gt;0,G86,H86)</f>
        <v>0</v>
      </c>
      <c r="X86" s="16">
        <f>LCOE!AA112+LCOE!F$34</f>
        <v>101</v>
      </c>
      <c r="Y86" s="16">
        <f t="shared" si="15"/>
        <v>0</v>
      </c>
      <c r="Z86" s="50">
        <f t="shared" si="18"/>
        <v>0</v>
      </c>
      <c r="AA86" s="50">
        <f t="shared" si="19"/>
        <v>20000000</v>
      </c>
      <c r="AB86" s="50">
        <f t="shared" si="20"/>
        <v>168165720</v>
      </c>
      <c r="AC86" s="50">
        <f t="shared" si="16"/>
        <v>0</v>
      </c>
      <c r="AD86" s="50">
        <f t="shared" si="11"/>
        <v>37104075</v>
      </c>
      <c r="AE86">
        <f t="shared" si="17"/>
        <v>16</v>
      </c>
      <c r="AF86" s="12">
        <f>LCOE!E112+LCOE!F$40</f>
        <v>0.05</v>
      </c>
      <c r="AG86">
        <f t="shared" si="12"/>
        <v>2.182874588381936</v>
      </c>
      <c r="AH86" s="16">
        <f t="shared" si="7"/>
        <v>0</v>
      </c>
      <c r="AI86" s="16">
        <f t="shared" si="8"/>
        <v>9162230.4398280047</v>
      </c>
      <c r="AJ86" s="16">
        <f t="shared" si="9"/>
        <v>77038653.935979649</v>
      </c>
      <c r="AK86" s="16">
        <f t="shared" si="10"/>
        <v>0</v>
      </c>
      <c r="AL86" s="16">
        <f t="shared" si="13"/>
        <v>16997804.270333063</v>
      </c>
      <c r="AM86" s="16">
        <f t="shared" si="14"/>
        <v>0</v>
      </c>
      <c r="AN86" s="16">
        <f>IF(LCOE!F$14&gt;0,G86,H86)/AG86</f>
        <v>1805875.6196900997</v>
      </c>
    </row>
    <row r="87" spans="1:40">
      <c r="A87">
        <v>17</v>
      </c>
      <c r="C87" s="16">
        <f>LCOE!F113+IF(AND(LCOE!F$26&gt;0,A87&gt;=LCOE!F$26,A87&lt;=(LCOE!F$26+LCOE!F$27-1)),LCOE!F$42/LCOE!F$27,0)+IF(AND(D87=0,AE87&gt;=LCOE!F$16,COUNTIF(D62:D87,0)=LCOE!F$36),LCOE!F$35*LCOE!F$38,0)</f>
        <v>0</v>
      </c>
      <c r="D87" s="16">
        <f>IF(AE86&lt;LCOE!F$16,1,0)</f>
        <v>1</v>
      </c>
      <c r="E87" s="12">
        <f>LCOE!G113+IF(AND(A87&gt;=LCOE!F$26,A87&lt;=(LCOE!F$26+LCOE!F$27-1)),0,1)*IF(A87=LCOE!F$34,0,1)*D87</f>
        <v>1</v>
      </c>
      <c r="F87" s="12">
        <f>IF(F86&lt;LCOE!F$18,MIN(F86*(1+LCOE!F$19),LCOE!F$18),LCOE!F$18)+LCOE!J113</f>
        <v>0.9</v>
      </c>
      <c r="G87" s="16">
        <f>LCOE!K113+E87*F87*N87*(LCOE!F$14+LCOE!H113)*24*365*D87</f>
        <v>3942000</v>
      </c>
      <c r="H87" s="16">
        <f>LCOE!L113+F87*(LCOE!F$15+LCOE!I113)*E87*24*365*D87*N87</f>
        <v>0</v>
      </c>
      <c r="I87" s="16">
        <f>LCOE!M113+LCOE!F$20*IF(LCOE!F$14&gt;0,(LCOE!F$14+LCOE!H113),(LCOE!F$15+LCOE!I113))*K87*D87</f>
        <v>20000000</v>
      </c>
      <c r="J87" s="16">
        <f>LCOE!N113+LCOE!F$21*IF(LCOE!F$14&gt;0,G87,H87)*K87*D87</f>
        <v>0</v>
      </c>
      <c r="K87" s="15">
        <f>LCOE!O113+K86+K86*LCOE!F$22</f>
        <v>1</v>
      </c>
      <c r="L87" s="16">
        <f>LCOE!P113+LCOE!F$23*IF(LCOE!F$14&gt;0,G87,H87)*M87*D87</f>
        <v>168165720</v>
      </c>
      <c r="M87" s="15">
        <f>LCOE!Q113+M86+M86*LCOE!F$24</f>
        <v>1</v>
      </c>
      <c r="N87" s="15">
        <f>LCOE!R113+N86-N86*LCOE!F$25</f>
        <v>1</v>
      </c>
      <c r="O87" s="18">
        <f>LCOE!S113+LCOE!F$29</f>
        <v>313.75</v>
      </c>
      <c r="P87" s="12">
        <f>LCOE!T113+IF(A87&gt;=LCOE!F$30,100%,0%)</f>
        <v>1</v>
      </c>
      <c r="Q87" s="16">
        <f>LCOE!U113+O87/1000*IF(LCOE!F$14&gt;0,G87,H87)</f>
        <v>1236802.5</v>
      </c>
      <c r="R87" s="16">
        <f>LCOE!B113</f>
        <v>30</v>
      </c>
      <c r="S87" s="16">
        <f>LCOE!V113+Q87*P87*R87</f>
        <v>37104075</v>
      </c>
      <c r="T87" s="16">
        <f>LCOE!W113+LCOE!F$31</f>
        <v>0</v>
      </c>
      <c r="U87" s="16">
        <f>LCOE!X113+T87*IF(LCOE!F$14&gt;0,G87,H87)</f>
        <v>0</v>
      </c>
      <c r="V87" s="16">
        <f>LCOE!Y113+LCOE!F$32</f>
        <v>0</v>
      </c>
      <c r="W87" s="16">
        <f>LCOE!Z113+V87*IF(LCOE!F$14&gt;0,G87,H87)</f>
        <v>0</v>
      </c>
      <c r="X87" s="16">
        <f>LCOE!AA113+LCOE!F$34</f>
        <v>101</v>
      </c>
      <c r="Y87" s="16">
        <f t="shared" si="15"/>
        <v>0</v>
      </c>
      <c r="Z87" s="50">
        <f t="shared" si="18"/>
        <v>0</v>
      </c>
      <c r="AA87" s="50">
        <f t="shared" si="19"/>
        <v>20000000</v>
      </c>
      <c r="AB87" s="50">
        <f t="shared" si="20"/>
        <v>168165720</v>
      </c>
      <c r="AC87" s="50">
        <f t="shared" si="16"/>
        <v>0</v>
      </c>
      <c r="AD87" s="50">
        <f t="shared" si="11"/>
        <v>37104075</v>
      </c>
      <c r="AE87">
        <f t="shared" si="17"/>
        <v>17</v>
      </c>
      <c r="AF87" s="12">
        <f>LCOE!E113+LCOE!F$40</f>
        <v>0.05</v>
      </c>
      <c r="AG87">
        <f t="shared" si="12"/>
        <v>2.2920183178010332</v>
      </c>
      <c r="AH87" s="16">
        <f t="shared" si="7"/>
        <v>0</v>
      </c>
      <c r="AI87" s="16">
        <f t="shared" si="8"/>
        <v>8725933.7522171456</v>
      </c>
      <c r="AJ87" s="16">
        <f t="shared" si="9"/>
        <v>73370146.60569489</v>
      </c>
      <c r="AK87" s="16">
        <f t="shared" si="10"/>
        <v>0</v>
      </c>
      <c r="AL87" s="16">
        <f t="shared" si="13"/>
        <v>16188385.019364821</v>
      </c>
      <c r="AM87" s="16">
        <f t="shared" si="14"/>
        <v>0</v>
      </c>
      <c r="AN87" s="16">
        <f>IF(LCOE!F$14&gt;0,G87,H87)/AG87</f>
        <v>1719881.5425619995</v>
      </c>
    </row>
    <row r="88" spans="1:40">
      <c r="A88">
        <v>18</v>
      </c>
      <c r="C88" s="16">
        <f>LCOE!F114+IF(AND(LCOE!F$26&gt;0,A88&gt;=LCOE!F$26,A88&lt;=(LCOE!F$26+LCOE!F$27-1)),LCOE!F$42/LCOE!F$27,0)+IF(AND(D88=0,AE88&gt;=LCOE!F$16,COUNTIF(D63:D88,0)=LCOE!F$36),LCOE!F$35*LCOE!F$38,0)</f>
        <v>0</v>
      </c>
      <c r="D88" s="16">
        <f>IF(AE87&lt;LCOE!F$16,1,0)</f>
        <v>1</v>
      </c>
      <c r="E88" s="12">
        <f>LCOE!G114+IF(AND(A88&gt;=LCOE!F$26,A88&lt;=(LCOE!F$26+LCOE!F$27-1)),0,1)*IF(A88=LCOE!F$34,0,1)*D88</f>
        <v>1</v>
      </c>
      <c r="F88" s="12">
        <f>IF(F87&lt;LCOE!F$18,MIN(F87*(1+LCOE!F$19),LCOE!F$18),LCOE!F$18)+LCOE!J114</f>
        <v>0.9</v>
      </c>
      <c r="G88" s="16">
        <f>LCOE!K114+E88*F88*N88*(LCOE!F$14+LCOE!H114)*24*365*D88</f>
        <v>3942000</v>
      </c>
      <c r="H88" s="16">
        <f>LCOE!L114+F88*(LCOE!F$15+LCOE!I114)*E88*24*365*D88*N88</f>
        <v>0</v>
      </c>
      <c r="I88" s="16">
        <f>LCOE!M114+LCOE!F$20*IF(LCOE!F$14&gt;0,(LCOE!F$14+LCOE!H114),(LCOE!F$15+LCOE!I114))*K88*D88</f>
        <v>20000000</v>
      </c>
      <c r="J88" s="16">
        <f>LCOE!N114+LCOE!F$21*IF(LCOE!F$14&gt;0,G88,H88)*K88*D88</f>
        <v>0</v>
      </c>
      <c r="K88" s="15">
        <f>LCOE!O114+K87+K87*LCOE!F$22</f>
        <v>1</v>
      </c>
      <c r="L88" s="16">
        <f>LCOE!P114+LCOE!F$23*IF(LCOE!F$14&gt;0,G88,H88)*M88*D88</f>
        <v>168165720</v>
      </c>
      <c r="M88" s="15">
        <f>LCOE!Q114+M87+M87*LCOE!F$24</f>
        <v>1</v>
      </c>
      <c r="N88" s="15">
        <f>LCOE!R114+N87-N87*LCOE!F$25</f>
        <v>1</v>
      </c>
      <c r="O88" s="18">
        <f>LCOE!S114+LCOE!F$29</f>
        <v>313.75</v>
      </c>
      <c r="P88" s="12">
        <f>LCOE!T114+IF(A88&gt;=LCOE!F$30,100%,0%)</f>
        <v>1</v>
      </c>
      <c r="Q88" s="16">
        <f>LCOE!U114+O88/1000*IF(LCOE!F$14&gt;0,G88,H88)</f>
        <v>1236802.5</v>
      </c>
      <c r="R88" s="16">
        <f>LCOE!B114</f>
        <v>30</v>
      </c>
      <c r="S88" s="16">
        <f>LCOE!V114+Q88*P88*R88</f>
        <v>37104075</v>
      </c>
      <c r="T88" s="16">
        <f>LCOE!W114+LCOE!F$31</f>
        <v>0</v>
      </c>
      <c r="U88" s="16">
        <f>LCOE!X114+T88*IF(LCOE!F$14&gt;0,G88,H88)</f>
        <v>0</v>
      </c>
      <c r="V88" s="16">
        <f>LCOE!Y114+LCOE!F$32</f>
        <v>0</v>
      </c>
      <c r="W88" s="16">
        <f>LCOE!Z114+V88*IF(LCOE!F$14&gt;0,G88,H88)</f>
        <v>0</v>
      </c>
      <c r="X88" s="16">
        <f>LCOE!AA114+LCOE!F$34</f>
        <v>101</v>
      </c>
      <c r="Y88" s="16">
        <f t="shared" si="15"/>
        <v>0</v>
      </c>
      <c r="Z88" s="50">
        <f t="shared" si="18"/>
        <v>0</v>
      </c>
      <c r="AA88" s="50">
        <f t="shared" si="19"/>
        <v>20000000</v>
      </c>
      <c r="AB88" s="50">
        <f t="shared" si="20"/>
        <v>168165720</v>
      </c>
      <c r="AC88" s="50">
        <f t="shared" si="16"/>
        <v>0</v>
      </c>
      <c r="AD88" s="50">
        <f t="shared" si="11"/>
        <v>37104075</v>
      </c>
      <c r="AE88">
        <f t="shared" si="17"/>
        <v>18</v>
      </c>
      <c r="AF88" s="12">
        <f>LCOE!E114+LCOE!F$40</f>
        <v>0.05</v>
      </c>
      <c r="AG88">
        <f t="shared" si="12"/>
        <v>2.4066192336910848</v>
      </c>
      <c r="AH88" s="16">
        <f t="shared" si="7"/>
        <v>0</v>
      </c>
      <c r="AI88" s="16">
        <f t="shared" si="8"/>
        <v>8310413.0973496633</v>
      </c>
      <c r="AJ88" s="16">
        <f t="shared" si="9"/>
        <v>69876330.100661814</v>
      </c>
      <c r="AK88" s="16">
        <f t="shared" si="10"/>
        <v>0</v>
      </c>
      <c r="AL88" s="16">
        <f t="shared" si="13"/>
        <v>15417509.542252209</v>
      </c>
      <c r="AM88" s="16">
        <f t="shared" si="14"/>
        <v>0</v>
      </c>
      <c r="AN88" s="16">
        <f>IF(LCOE!F$14&gt;0,G88,H88)/AG88</f>
        <v>1637982.4214876185</v>
      </c>
    </row>
    <row r="89" spans="1:40">
      <c r="A89">
        <v>19</v>
      </c>
      <c r="C89" s="16">
        <f>LCOE!F115+IF(AND(LCOE!F$26&gt;0,A89&gt;=LCOE!F$26,A89&lt;=(LCOE!F$26+LCOE!F$27-1)),LCOE!F$42/LCOE!F$27,0)+IF(AND(D89=0,AE89&gt;=LCOE!F$16,COUNTIF(D64:D89,0)=LCOE!F$36),LCOE!F$35*LCOE!F$38,0)</f>
        <v>0</v>
      </c>
      <c r="D89" s="16">
        <f>IF(AE88&lt;LCOE!F$16,1,0)</f>
        <v>1</v>
      </c>
      <c r="E89" s="12">
        <f>LCOE!G115+IF(AND(A89&gt;=LCOE!F$26,A89&lt;=(LCOE!F$26+LCOE!F$27-1)),0,1)*IF(A89=LCOE!F$34,0,1)*D89</f>
        <v>1</v>
      </c>
      <c r="F89" s="12">
        <f>IF(F88&lt;LCOE!F$18,MIN(F88*(1+LCOE!F$19),LCOE!F$18),LCOE!F$18)+LCOE!J115</f>
        <v>0.9</v>
      </c>
      <c r="G89" s="16">
        <f>LCOE!K115+E89*F89*N89*(LCOE!F$14+LCOE!H115)*24*365*D89</f>
        <v>3942000</v>
      </c>
      <c r="H89" s="16">
        <f>LCOE!L115+F89*(LCOE!F$15+LCOE!I115)*E89*24*365*D89*N89</f>
        <v>0</v>
      </c>
      <c r="I89" s="16">
        <f>LCOE!M115+LCOE!F$20*IF(LCOE!F$14&gt;0,(LCOE!F$14+LCOE!H115),(LCOE!F$15+LCOE!I115))*K89*D89</f>
        <v>20000000</v>
      </c>
      <c r="J89" s="16">
        <f>LCOE!N115+LCOE!F$21*IF(LCOE!F$14&gt;0,G89,H89)*K89*D89</f>
        <v>0</v>
      </c>
      <c r="K89" s="15">
        <f>LCOE!O115+K88+K88*LCOE!F$22</f>
        <v>1</v>
      </c>
      <c r="L89" s="16">
        <f>LCOE!P115+LCOE!F$23*IF(LCOE!F$14&gt;0,G89,H89)*M89*D89</f>
        <v>168165720</v>
      </c>
      <c r="M89" s="15">
        <f>LCOE!Q115+M88+M88*LCOE!F$24</f>
        <v>1</v>
      </c>
      <c r="N89" s="15">
        <f>LCOE!R115+N88-N88*LCOE!F$25</f>
        <v>1</v>
      </c>
      <c r="O89" s="18">
        <f>LCOE!S115+LCOE!F$29</f>
        <v>313.75</v>
      </c>
      <c r="P89" s="12">
        <f>LCOE!T115+IF(A89&gt;=LCOE!F$30,100%,0%)</f>
        <v>1</v>
      </c>
      <c r="Q89" s="16">
        <f>LCOE!U115+O89/1000*IF(LCOE!F$14&gt;0,G89,H89)</f>
        <v>1236802.5</v>
      </c>
      <c r="R89" s="16">
        <f>LCOE!B115</f>
        <v>30</v>
      </c>
      <c r="S89" s="16">
        <f>LCOE!V115+Q89*P89*R89</f>
        <v>37104075</v>
      </c>
      <c r="T89" s="16">
        <f>LCOE!W115+LCOE!F$31</f>
        <v>0</v>
      </c>
      <c r="U89" s="16">
        <f>LCOE!X115+T89*IF(LCOE!F$14&gt;0,G89,H89)</f>
        <v>0</v>
      </c>
      <c r="V89" s="16">
        <f>LCOE!Y115+LCOE!F$32</f>
        <v>0</v>
      </c>
      <c r="W89" s="16">
        <f>LCOE!Z115+V89*IF(LCOE!F$14&gt;0,G89,H89)</f>
        <v>0</v>
      </c>
      <c r="X89" s="16">
        <f>LCOE!AA115+LCOE!F$34</f>
        <v>101</v>
      </c>
      <c r="Y89" s="16">
        <f t="shared" si="15"/>
        <v>0</v>
      </c>
      <c r="Z89" s="50">
        <f t="shared" si="18"/>
        <v>0</v>
      </c>
      <c r="AA89" s="50">
        <f t="shared" si="19"/>
        <v>20000000</v>
      </c>
      <c r="AB89" s="50">
        <f t="shared" si="20"/>
        <v>168165720</v>
      </c>
      <c r="AC89" s="50">
        <f t="shared" si="16"/>
        <v>0</v>
      </c>
      <c r="AD89" s="50">
        <f t="shared" si="11"/>
        <v>37104075</v>
      </c>
      <c r="AE89">
        <f t="shared" si="17"/>
        <v>19</v>
      </c>
      <c r="AF89" s="12">
        <f>LCOE!E115+LCOE!F$40</f>
        <v>0.05</v>
      </c>
      <c r="AG89">
        <f t="shared" si="12"/>
        <v>2.526950195375639</v>
      </c>
      <c r="AH89" s="16">
        <f t="shared" si="7"/>
        <v>0</v>
      </c>
      <c r="AI89" s="16">
        <f t="shared" si="8"/>
        <v>7914679.1403330127</v>
      </c>
      <c r="AJ89" s="16">
        <f t="shared" si="9"/>
        <v>66548885.810154103</v>
      </c>
      <c r="AK89" s="16">
        <f t="shared" si="10"/>
        <v>0</v>
      </c>
      <c r="AL89" s="16">
        <f t="shared" si="13"/>
        <v>14683342.421192581</v>
      </c>
      <c r="AM89" s="16">
        <f t="shared" si="14"/>
        <v>0</v>
      </c>
      <c r="AN89" s="16">
        <f>IF(LCOE!F$14&gt;0,G89,H89)/AG89</f>
        <v>1559983.2585596368</v>
      </c>
    </row>
    <row r="90" spans="1:40">
      <c r="A90">
        <v>20</v>
      </c>
      <c r="C90" s="16">
        <f>LCOE!F116+IF(AND(LCOE!F$26&gt;0,A90&gt;=LCOE!F$26,A90&lt;=(LCOE!F$26+LCOE!F$27-1)),LCOE!F$42/LCOE!F$27,0)+IF(AND(D90=0,AE90&gt;=LCOE!F$16,COUNTIF(D65:D90,0)=LCOE!F$36),LCOE!F$35*LCOE!F$38,0)</f>
        <v>0</v>
      </c>
      <c r="D90" s="16">
        <f>IF(AE89&lt;LCOE!F$16,1,0)</f>
        <v>1</v>
      </c>
      <c r="E90" s="12">
        <f>LCOE!G116+IF(AND(A90&gt;=LCOE!F$26,A90&lt;=(LCOE!F$26+LCOE!F$27-1)),0,1)*IF(A90=LCOE!F$34,0,1)*D90</f>
        <v>1</v>
      </c>
      <c r="F90" s="12">
        <f>IF(F89&lt;LCOE!F$18,MIN(F89*(1+LCOE!F$19),LCOE!F$18),LCOE!F$18)+LCOE!J116</f>
        <v>0.9</v>
      </c>
      <c r="G90" s="16">
        <f>LCOE!K116+E90*F90*N90*(LCOE!F$14+LCOE!H116)*24*365*D90</f>
        <v>3942000</v>
      </c>
      <c r="H90" s="16">
        <f>LCOE!L116+F90*(LCOE!F$15+LCOE!I116)*E90*24*365*D90*N90</f>
        <v>0</v>
      </c>
      <c r="I90" s="16">
        <f>LCOE!M116+LCOE!F$20*IF(LCOE!F$14&gt;0,(LCOE!F$14+LCOE!H116),(LCOE!F$15+LCOE!I116))*K90*D90</f>
        <v>20000000</v>
      </c>
      <c r="J90" s="16">
        <f>LCOE!N116+LCOE!F$21*IF(LCOE!F$14&gt;0,G90,H90)*K90*D90</f>
        <v>0</v>
      </c>
      <c r="K90" s="15">
        <f>LCOE!O116+K89+K89*LCOE!F$22</f>
        <v>1</v>
      </c>
      <c r="L90" s="16">
        <f>LCOE!P116+LCOE!F$23*IF(LCOE!F$14&gt;0,G90,H90)*M90*D90</f>
        <v>168165720</v>
      </c>
      <c r="M90" s="15">
        <f>LCOE!Q116+M89+M89*LCOE!F$24</f>
        <v>1</v>
      </c>
      <c r="N90" s="15">
        <f>LCOE!R116+N89-N89*LCOE!F$25</f>
        <v>1</v>
      </c>
      <c r="O90" s="18">
        <f>LCOE!S116+LCOE!F$29</f>
        <v>313.75</v>
      </c>
      <c r="P90" s="12">
        <f>LCOE!T116+IF(A90&gt;=LCOE!F$30,100%,0%)</f>
        <v>1</v>
      </c>
      <c r="Q90" s="16">
        <f>LCOE!U116+O90/1000*IF(LCOE!F$14&gt;0,G90,H90)</f>
        <v>1236802.5</v>
      </c>
      <c r="R90" s="16">
        <f>LCOE!B116</f>
        <v>30</v>
      </c>
      <c r="S90" s="16">
        <f>LCOE!V116+Q90*P90*R90</f>
        <v>37104075</v>
      </c>
      <c r="T90" s="16">
        <f>LCOE!W116+LCOE!F$31</f>
        <v>0</v>
      </c>
      <c r="U90" s="16">
        <f>LCOE!X116+T90*IF(LCOE!F$14&gt;0,G90,H90)</f>
        <v>0</v>
      </c>
      <c r="V90" s="16">
        <f>LCOE!Y116+LCOE!F$32</f>
        <v>0</v>
      </c>
      <c r="W90" s="16">
        <f>LCOE!Z116+V90*IF(LCOE!F$14&gt;0,G90,H90)</f>
        <v>0</v>
      </c>
      <c r="X90" s="16">
        <f>LCOE!AA116+LCOE!F$34</f>
        <v>101</v>
      </c>
      <c r="Y90" s="16">
        <f t="shared" si="15"/>
        <v>0</v>
      </c>
      <c r="Z90" s="50">
        <f t="shared" si="18"/>
        <v>0</v>
      </c>
      <c r="AA90" s="50">
        <f t="shared" si="19"/>
        <v>20000000</v>
      </c>
      <c r="AB90" s="50">
        <f t="shared" si="20"/>
        <v>168165720</v>
      </c>
      <c r="AC90" s="50">
        <f t="shared" si="16"/>
        <v>0</v>
      </c>
      <c r="AD90" s="50">
        <f t="shared" si="11"/>
        <v>37104075</v>
      </c>
      <c r="AE90">
        <f t="shared" si="17"/>
        <v>20</v>
      </c>
      <c r="AF90" s="12">
        <f>LCOE!E116+LCOE!F$40</f>
        <v>0.05</v>
      </c>
      <c r="AG90">
        <f t="shared" si="12"/>
        <v>2.6532977051444209</v>
      </c>
      <c r="AH90" s="16">
        <f t="shared" si="7"/>
        <v>0</v>
      </c>
      <c r="AI90" s="16">
        <f t="shared" si="8"/>
        <v>7537789.6574600115</v>
      </c>
      <c r="AJ90" s="16">
        <f t="shared" si="9"/>
        <v>63379891.247765817</v>
      </c>
      <c r="AK90" s="16">
        <f t="shared" si="10"/>
        <v>0</v>
      </c>
      <c r="AL90" s="16">
        <f t="shared" si="13"/>
        <v>13984135.63923103</v>
      </c>
      <c r="AM90" s="16">
        <f t="shared" si="14"/>
        <v>0</v>
      </c>
      <c r="AN90" s="16">
        <f>IF(LCOE!F$14&gt;0,G90,H90)/AG90</f>
        <v>1485698.3414853683</v>
      </c>
    </row>
    <row r="91" spans="1:40">
      <c r="A91">
        <v>21</v>
      </c>
      <c r="C91" s="16">
        <f>LCOE!F117+IF(AND(LCOE!F$26&gt;0,A91&gt;=LCOE!F$26,A91&lt;=(LCOE!F$26+LCOE!F$27-1)),LCOE!F$42/LCOE!F$27,0)+IF(AND(D91=0,AE91&gt;=LCOE!F$16,COUNTIF(D66:D91,0)=LCOE!F$36),LCOE!F$35*LCOE!F$38,0)</f>
        <v>0</v>
      </c>
      <c r="D91" s="16">
        <f>IF(AE90&lt;LCOE!F$16,1,0)</f>
        <v>1</v>
      </c>
      <c r="E91" s="12">
        <f>LCOE!G117+IF(AND(A91&gt;=LCOE!F$26,A91&lt;=(LCOE!F$26+LCOE!F$27-1)),0,1)*IF(A91=LCOE!F$34,0,1)*D91</f>
        <v>1</v>
      </c>
      <c r="F91" s="12">
        <f>IF(F90&lt;LCOE!F$18,MIN(F90*(1+LCOE!F$19),LCOE!F$18),LCOE!F$18)+LCOE!J117</f>
        <v>0.9</v>
      </c>
      <c r="G91" s="16">
        <f>LCOE!K117+E91*F91*N91*(LCOE!F$14+LCOE!H117)*24*365*D91</f>
        <v>3942000</v>
      </c>
      <c r="H91" s="16">
        <f>LCOE!L117+F91*(LCOE!F$15+LCOE!I117)*E91*24*365*D91*N91</f>
        <v>0</v>
      </c>
      <c r="I91" s="16">
        <f>LCOE!M117+LCOE!F$20*IF(LCOE!F$14&gt;0,(LCOE!F$14+LCOE!H117),(LCOE!F$15+LCOE!I117))*K91*D91</f>
        <v>20000000</v>
      </c>
      <c r="J91" s="16">
        <f>LCOE!N117+LCOE!F$21*IF(LCOE!F$14&gt;0,G91,H91)*K91*D91</f>
        <v>0</v>
      </c>
      <c r="K91" s="15">
        <f>LCOE!O117+K90+K90*LCOE!F$22</f>
        <v>1</v>
      </c>
      <c r="L91" s="16">
        <f>LCOE!P117+LCOE!F$23*IF(LCOE!F$14&gt;0,G91,H91)*M91*D91</f>
        <v>168165720</v>
      </c>
      <c r="M91" s="15">
        <f>LCOE!Q117+M90+M90*LCOE!F$24</f>
        <v>1</v>
      </c>
      <c r="N91" s="15">
        <f>LCOE!R117+N90-N90*LCOE!F$25</f>
        <v>1</v>
      </c>
      <c r="O91" s="18">
        <f>LCOE!S117+LCOE!F$29</f>
        <v>313.75</v>
      </c>
      <c r="P91" s="12">
        <f>LCOE!T117+IF(A91&gt;=LCOE!F$30,100%,0%)</f>
        <v>1</v>
      </c>
      <c r="Q91" s="16">
        <f>LCOE!U117+O91/1000*IF(LCOE!F$14&gt;0,G91,H91)</f>
        <v>1236802.5</v>
      </c>
      <c r="R91" s="16">
        <f>LCOE!B117</f>
        <v>30</v>
      </c>
      <c r="S91" s="16">
        <f>LCOE!V117+Q91*P91*R91</f>
        <v>37104075</v>
      </c>
      <c r="T91" s="16">
        <f>LCOE!W117+LCOE!F$31</f>
        <v>0</v>
      </c>
      <c r="U91" s="16">
        <f>LCOE!X117+T91*IF(LCOE!F$14&gt;0,G91,H91)</f>
        <v>0</v>
      </c>
      <c r="V91" s="16">
        <f>LCOE!Y117+LCOE!F$32</f>
        <v>0</v>
      </c>
      <c r="W91" s="16">
        <f>LCOE!Z117+V91*IF(LCOE!F$14&gt;0,G91,H91)</f>
        <v>0</v>
      </c>
      <c r="X91" s="16">
        <f>LCOE!AA117+LCOE!F$34</f>
        <v>101</v>
      </c>
      <c r="Y91" s="16">
        <f t="shared" si="15"/>
        <v>0</v>
      </c>
      <c r="Z91" s="50">
        <f t="shared" si="18"/>
        <v>0</v>
      </c>
      <c r="AA91" s="50">
        <f t="shared" si="19"/>
        <v>20000000</v>
      </c>
      <c r="AB91" s="50">
        <f t="shared" si="20"/>
        <v>168165720</v>
      </c>
      <c r="AC91" s="50">
        <f t="shared" si="16"/>
        <v>0</v>
      </c>
      <c r="AD91" s="50">
        <f t="shared" si="11"/>
        <v>37104075</v>
      </c>
      <c r="AE91">
        <f t="shared" si="17"/>
        <v>21</v>
      </c>
      <c r="AF91" s="12">
        <f>LCOE!E117+LCOE!F$40</f>
        <v>0.05</v>
      </c>
      <c r="AG91">
        <f t="shared" si="12"/>
        <v>2.7859625904016418</v>
      </c>
      <c r="AH91" s="16">
        <f t="shared" si="7"/>
        <v>0</v>
      </c>
      <c r="AI91" s="16">
        <f t="shared" si="8"/>
        <v>7178847.2928190595</v>
      </c>
      <c r="AJ91" s="16">
        <f t="shared" si="9"/>
        <v>60361801.188348398</v>
      </c>
      <c r="AK91" s="16">
        <f t="shared" si="10"/>
        <v>0</v>
      </c>
      <c r="AL91" s="16">
        <f t="shared" si="13"/>
        <v>13318224.418315267</v>
      </c>
      <c r="AM91" s="16">
        <f t="shared" si="14"/>
        <v>0</v>
      </c>
      <c r="AN91" s="16">
        <f>IF(LCOE!F$14&gt;0,G91,H91)/AG91</f>
        <v>1414950.8014146367</v>
      </c>
    </row>
    <row r="92" spans="1:40">
      <c r="A92">
        <v>22</v>
      </c>
      <c r="C92" s="16">
        <f>LCOE!F118+IF(AND(LCOE!F$26&gt;0,A92&gt;=LCOE!F$26,A92&lt;=(LCOE!F$26+LCOE!F$27-1)),LCOE!F$42/LCOE!F$27,0)+IF(AND(D92=0,AE92&gt;=LCOE!F$16,COUNTIF(D67:D92,0)=LCOE!F$36),LCOE!F$35*LCOE!F$38,0)</f>
        <v>0</v>
      </c>
      <c r="D92" s="16">
        <f>IF(AE91&lt;LCOE!F$16,1,0)</f>
        <v>1</v>
      </c>
      <c r="E92" s="12">
        <f>LCOE!G118+IF(AND(A92&gt;=LCOE!F$26,A92&lt;=(LCOE!F$26+LCOE!F$27-1)),0,1)*IF(A92=LCOE!F$34,0,1)*D92</f>
        <v>1</v>
      </c>
      <c r="F92" s="12">
        <f>IF(F91&lt;LCOE!F$18,MIN(F91*(1+LCOE!F$19),LCOE!F$18),LCOE!F$18)+LCOE!J118</f>
        <v>0.9</v>
      </c>
      <c r="G92" s="16">
        <f>LCOE!K118+E92*F92*N92*(LCOE!F$14+LCOE!H118)*24*365*D92</f>
        <v>3942000</v>
      </c>
      <c r="H92" s="16">
        <f>LCOE!L118+F92*(LCOE!F$15+LCOE!I118)*E92*24*365*D92*N92</f>
        <v>0</v>
      </c>
      <c r="I92" s="16">
        <f>LCOE!M118+LCOE!F$20*IF(LCOE!F$14&gt;0,(LCOE!F$14+LCOE!H118),(LCOE!F$15+LCOE!I118))*K92*D92</f>
        <v>20000000</v>
      </c>
      <c r="J92" s="16">
        <f>LCOE!N118+LCOE!F$21*IF(LCOE!F$14&gt;0,G92,H92)*K92*D92</f>
        <v>0</v>
      </c>
      <c r="K92" s="15">
        <f>LCOE!O118+K91+K91*LCOE!F$22</f>
        <v>1</v>
      </c>
      <c r="L92" s="16">
        <f>LCOE!P118+LCOE!F$23*IF(LCOE!F$14&gt;0,G92,H92)*M92*D92</f>
        <v>168165720</v>
      </c>
      <c r="M92" s="15">
        <f>LCOE!Q118+M91+M91*LCOE!F$24</f>
        <v>1</v>
      </c>
      <c r="N92" s="15">
        <f>LCOE!R118+N91-N91*LCOE!F$25</f>
        <v>1</v>
      </c>
      <c r="O92" s="18">
        <f>LCOE!S118+LCOE!F$29</f>
        <v>313.75</v>
      </c>
      <c r="P92" s="12">
        <f>LCOE!T118+IF(A92&gt;=LCOE!F$30,100%,0%)</f>
        <v>1</v>
      </c>
      <c r="Q92" s="16">
        <f>LCOE!U118+O92/1000*IF(LCOE!F$14&gt;0,G92,H92)</f>
        <v>1236802.5</v>
      </c>
      <c r="R92" s="16">
        <f>LCOE!B118</f>
        <v>30</v>
      </c>
      <c r="S92" s="16">
        <f>LCOE!V118+Q92*P92*R92</f>
        <v>37104075</v>
      </c>
      <c r="T92" s="16">
        <f>LCOE!W118+LCOE!F$31</f>
        <v>0</v>
      </c>
      <c r="U92" s="16">
        <f>LCOE!X118+T92*IF(LCOE!F$14&gt;0,G92,H92)</f>
        <v>0</v>
      </c>
      <c r="V92" s="16">
        <f>LCOE!Y118+LCOE!F$32</f>
        <v>0</v>
      </c>
      <c r="W92" s="16">
        <f>LCOE!Z118+V92*IF(LCOE!F$14&gt;0,G92,H92)</f>
        <v>0</v>
      </c>
      <c r="X92" s="16">
        <f>LCOE!AA118+LCOE!F$34</f>
        <v>101</v>
      </c>
      <c r="Y92" s="16">
        <f t="shared" si="15"/>
        <v>0</v>
      </c>
      <c r="Z92" s="50">
        <f t="shared" si="18"/>
        <v>0</v>
      </c>
      <c r="AA92" s="50">
        <f t="shared" si="19"/>
        <v>20000000</v>
      </c>
      <c r="AB92" s="50">
        <f t="shared" si="20"/>
        <v>168165720</v>
      </c>
      <c r="AC92" s="50">
        <f t="shared" si="16"/>
        <v>0</v>
      </c>
      <c r="AD92" s="50">
        <f t="shared" si="11"/>
        <v>37104075</v>
      </c>
      <c r="AE92">
        <f t="shared" si="17"/>
        <v>22</v>
      </c>
      <c r="AF92" s="12">
        <f>LCOE!E118+LCOE!F$40</f>
        <v>0.05</v>
      </c>
      <c r="AG92">
        <f t="shared" si="12"/>
        <v>2.9252607199217238</v>
      </c>
      <c r="AH92" s="16">
        <f t="shared" si="7"/>
        <v>0</v>
      </c>
      <c r="AI92" s="16">
        <f t="shared" si="8"/>
        <v>6836997.4217324378</v>
      </c>
      <c r="AJ92" s="16">
        <f t="shared" si="9"/>
        <v>57487429.703188948</v>
      </c>
      <c r="AK92" s="16">
        <f t="shared" si="10"/>
        <v>0</v>
      </c>
      <c r="AL92" s="16">
        <f t="shared" si="13"/>
        <v>12684023.25553835</v>
      </c>
      <c r="AM92" s="16">
        <f t="shared" si="14"/>
        <v>0</v>
      </c>
      <c r="AN92" s="16">
        <f>IF(LCOE!F$14&gt;0,G92,H92)/AG92</f>
        <v>1347572.1918234634</v>
      </c>
    </row>
    <row r="93" spans="1:40">
      <c r="A93">
        <v>23</v>
      </c>
      <c r="C93" s="16">
        <f>LCOE!F119+IF(AND(LCOE!F$26&gt;0,A93&gt;=LCOE!F$26,A93&lt;=(LCOE!F$26+LCOE!F$27-1)),LCOE!F$42/LCOE!F$27,0)+IF(AND(D93=0,AE93&gt;=LCOE!F$16,COUNTIF(D68:D93,0)=LCOE!F$36),LCOE!F$35*LCOE!F$38,0)</f>
        <v>0</v>
      </c>
      <c r="D93" s="16">
        <f>IF(AE92&lt;LCOE!F$16,1,0)</f>
        <v>1</v>
      </c>
      <c r="E93" s="12">
        <f>LCOE!G119+IF(AND(A93&gt;=LCOE!F$26,A93&lt;=(LCOE!F$26+LCOE!F$27-1)),0,1)*IF(A93=LCOE!F$34,0,1)*D93</f>
        <v>1</v>
      </c>
      <c r="F93" s="12">
        <f>IF(F92&lt;LCOE!F$18,MIN(F92*(1+LCOE!F$19),LCOE!F$18),LCOE!F$18)+LCOE!J119</f>
        <v>0.9</v>
      </c>
      <c r="G93" s="16">
        <f>LCOE!K119+E93*F93*N93*(LCOE!F$14+LCOE!H119)*24*365*D93</f>
        <v>3942000</v>
      </c>
      <c r="H93" s="16">
        <f>LCOE!L119+F93*(LCOE!F$15+LCOE!I119)*E93*24*365*D93*N93</f>
        <v>0</v>
      </c>
      <c r="I93" s="16">
        <f>LCOE!M119+LCOE!F$20*IF(LCOE!F$14&gt;0,(LCOE!F$14+LCOE!H119),(LCOE!F$15+LCOE!I119))*K93*D93</f>
        <v>20000000</v>
      </c>
      <c r="J93" s="16">
        <f>LCOE!N119+LCOE!F$21*IF(LCOE!F$14&gt;0,G93,H93)*K93*D93</f>
        <v>0</v>
      </c>
      <c r="K93" s="15">
        <f>LCOE!O119+K92+K92*LCOE!F$22</f>
        <v>1</v>
      </c>
      <c r="L93" s="16">
        <f>LCOE!P119+LCOE!F$23*IF(LCOE!F$14&gt;0,G93,H93)*M93*D93</f>
        <v>168165720</v>
      </c>
      <c r="M93" s="15">
        <f>LCOE!Q119+M92+M92*LCOE!F$24</f>
        <v>1</v>
      </c>
      <c r="N93" s="15">
        <f>LCOE!R119+N92-N92*LCOE!F$25</f>
        <v>1</v>
      </c>
      <c r="O93" s="18">
        <f>LCOE!S119+LCOE!F$29</f>
        <v>313.75</v>
      </c>
      <c r="P93" s="12">
        <f>LCOE!T119+IF(A93&gt;=LCOE!F$30,100%,0%)</f>
        <v>1</v>
      </c>
      <c r="Q93" s="16">
        <f>LCOE!U119+O93/1000*IF(LCOE!F$14&gt;0,G93,H93)</f>
        <v>1236802.5</v>
      </c>
      <c r="R93" s="16">
        <f>LCOE!B119</f>
        <v>30</v>
      </c>
      <c r="S93" s="16">
        <f>LCOE!V119+Q93*P93*R93</f>
        <v>37104075</v>
      </c>
      <c r="T93" s="16">
        <f>LCOE!W119+LCOE!F$31</f>
        <v>0</v>
      </c>
      <c r="U93" s="16">
        <f>LCOE!X119+T93*IF(LCOE!F$14&gt;0,G93,H93)</f>
        <v>0</v>
      </c>
      <c r="V93" s="16">
        <f>LCOE!Y119+LCOE!F$32</f>
        <v>0</v>
      </c>
      <c r="W93" s="16">
        <f>LCOE!Z119+V93*IF(LCOE!F$14&gt;0,G93,H93)</f>
        <v>0</v>
      </c>
      <c r="X93" s="16">
        <f>LCOE!AA119+LCOE!F$34</f>
        <v>101</v>
      </c>
      <c r="Y93" s="16">
        <f t="shared" si="15"/>
        <v>0</v>
      </c>
      <c r="Z93" s="50">
        <f t="shared" si="18"/>
        <v>0</v>
      </c>
      <c r="AA93" s="50">
        <f t="shared" si="19"/>
        <v>20000000</v>
      </c>
      <c r="AB93" s="50">
        <f t="shared" si="20"/>
        <v>168165720</v>
      </c>
      <c r="AC93" s="50">
        <f t="shared" si="16"/>
        <v>0</v>
      </c>
      <c r="AD93" s="50">
        <f t="shared" si="11"/>
        <v>37104075</v>
      </c>
      <c r="AE93">
        <f t="shared" si="17"/>
        <v>23</v>
      </c>
      <c r="AF93" s="12">
        <f>LCOE!E119+LCOE!F$40</f>
        <v>0.05</v>
      </c>
      <c r="AG93">
        <f t="shared" si="12"/>
        <v>3.0715237559178106</v>
      </c>
      <c r="AH93" s="16">
        <f t="shared" si="7"/>
        <v>0</v>
      </c>
      <c r="AI93" s="16">
        <f t="shared" si="8"/>
        <v>6511426.1159356534</v>
      </c>
      <c r="AJ93" s="16">
        <f t="shared" si="9"/>
        <v>54749933.050656132</v>
      </c>
      <c r="AK93" s="16">
        <f t="shared" si="10"/>
        <v>0</v>
      </c>
      <c r="AL93" s="16">
        <f t="shared" si="13"/>
        <v>12080022.14813176</v>
      </c>
      <c r="AM93" s="16">
        <f t="shared" si="14"/>
        <v>0</v>
      </c>
      <c r="AN93" s="16">
        <f>IF(LCOE!F$14&gt;0,G93,H93)/AG93</f>
        <v>1283402.0874509173</v>
      </c>
    </row>
    <row r="94" spans="1:40">
      <c r="A94">
        <v>24</v>
      </c>
      <c r="C94" s="16">
        <f>LCOE!F120+IF(AND(LCOE!F$26&gt;0,A94&gt;=LCOE!F$26,A94&lt;=(LCOE!F$26+LCOE!F$27-1)),LCOE!F$42/LCOE!F$27,0)+IF(AND(D94=0,AE94&gt;=LCOE!F$16,COUNTIF(D69:D94,0)=LCOE!F$36),LCOE!F$35*LCOE!F$38,0)</f>
        <v>0</v>
      </c>
      <c r="D94" s="16">
        <f>IF(AE93&lt;LCOE!F$16,1,0)</f>
        <v>1</v>
      </c>
      <c r="E94" s="12">
        <f>LCOE!G120+IF(AND(A94&gt;=LCOE!F$26,A94&lt;=(LCOE!F$26+LCOE!F$27-1)),0,1)*IF(A94=LCOE!F$34,0,1)*D94</f>
        <v>1</v>
      </c>
      <c r="F94" s="12">
        <f>IF(F93&lt;LCOE!F$18,MIN(F93*(1+LCOE!F$19),LCOE!F$18),LCOE!F$18)+LCOE!J120</f>
        <v>0.9</v>
      </c>
      <c r="G94" s="16">
        <f>LCOE!K120+E94*F94*N94*(LCOE!F$14+LCOE!H120)*24*365*D94</f>
        <v>3942000</v>
      </c>
      <c r="H94" s="16">
        <f>LCOE!L120+F94*(LCOE!F$15+LCOE!I120)*E94*24*365*D94*N94</f>
        <v>0</v>
      </c>
      <c r="I94" s="16">
        <f>LCOE!M120+LCOE!F$20*IF(LCOE!F$14&gt;0,(LCOE!F$14+LCOE!H120),(LCOE!F$15+LCOE!I120))*K94*D94</f>
        <v>20000000</v>
      </c>
      <c r="J94" s="16">
        <f>LCOE!N120+LCOE!F$21*IF(LCOE!F$14&gt;0,G94,H94)*K94*D94</f>
        <v>0</v>
      </c>
      <c r="K94" s="15">
        <f>LCOE!O120+K93+K93*LCOE!F$22</f>
        <v>1</v>
      </c>
      <c r="L94" s="16">
        <f>LCOE!P120+LCOE!F$23*IF(LCOE!F$14&gt;0,G94,H94)*M94*D94</f>
        <v>168165720</v>
      </c>
      <c r="M94" s="15">
        <f>LCOE!Q120+M93+M93*LCOE!F$24</f>
        <v>1</v>
      </c>
      <c r="N94" s="15">
        <f>LCOE!R120+N93-N93*LCOE!F$25</f>
        <v>1</v>
      </c>
      <c r="O94" s="18">
        <f>LCOE!S120+LCOE!F$29</f>
        <v>313.75</v>
      </c>
      <c r="P94" s="12">
        <f>LCOE!T120+IF(A94&gt;=LCOE!F$30,100%,0%)</f>
        <v>1</v>
      </c>
      <c r="Q94" s="16">
        <f>LCOE!U120+O94/1000*IF(LCOE!F$14&gt;0,G94,H94)</f>
        <v>1236802.5</v>
      </c>
      <c r="R94" s="16">
        <f>LCOE!B120</f>
        <v>30</v>
      </c>
      <c r="S94" s="16">
        <f>LCOE!V120+Q94*P94*R94</f>
        <v>37104075</v>
      </c>
      <c r="T94" s="16">
        <f>LCOE!W120+LCOE!F$31</f>
        <v>0</v>
      </c>
      <c r="U94" s="16">
        <f>LCOE!X120+T94*IF(LCOE!F$14&gt;0,G94,H94)</f>
        <v>0</v>
      </c>
      <c r="V94" s="16">
        <f>LCOE!Y120+LCOE!F$32</f>
        <v>0</v>
      </c>
      <c r="W94" s="16">
        <f>LCOE!Z120+V94*IF(LCOE!F$14&gt;0,G94,H94)</f>
        <v>0</v>
      </c>
      <c r="X94" s="16">
        <f>LCOE!AA120+LCOE!F$34</f>
        <v>101</v>
      </c>
      <c r="Y94" s="16">
        <f t="shared" si="15"/>
        <v>0</v>
      </c>
      <c r="Z94" s="50">
        <f t="shared" si="18"/>
        <v>0</v>
      </c>
      <c r="AA94" s="50">
        <f t="shared" si="19"/>
        <v>20000000</v>
      </c>
      <c r="AB94" s="50">
        <f t="shared" si="20"/>
        <v>168165720</v>
      </c>
      <c r="AC94" s="50">
        <f t="shared" si="16"/>
        <v>0</v>
      </c>
      <c r="AD94" s="50">
        <f t="shared" si="11"/>
        <v>37104075</v>
      </c>
      <c r="AE94">
        <f t="shared" si="17"/>
        <v>24</v>
      </c>
      <c r="AF94" s="12">
        <f>LCOE!E120+LCOE!F$40</f>
        <v>0.05</v>
      </c>
      <c r="AG94">
        <f t="shared" si="12"/>
        <v>3.2250999437137007</v>
      </c>
      <c r="AH94" s="16">
        <f t="shared" si="7"/>
        <v>0</v>
      </c>
      <c r="AI94" s="16">
        <f t="shared" si="8"/>
        <v>6201358.2056530043</v>
      </c>
      <c r="AJ94" s="16">
        <f t="shared" si="9"/>
        <v>52142793.381577276</v>
      </c>
      <c r="AK94" s="16">
        <f t="shared" si="10"/>
        <v>0</v>
      </c>
      <c r="AL94" s="16">
        <f t="shared" si="13"/>
        <v>11504782.998220725</v>
      </c>
      <c r="AM94" s="16">
        <f t="shared" si="14"/>
        <v>0</v>
      </c>
      <c r="AN94" s="16">
        <f>IF(LCOE!F$14&gt;0,G94,H94)/AG94</f>
        <v>1222287.7023342072</v>
      </c>
    </row>
    <row r="95" spans="1:40">
      <c r="A95">
        <v>25</v>
      </c>
      <c r="C95" s="16">
        <f>LCOE!F121+IF(AND(LCOE!F$26&gt;0,A95&gt;=LCOE!F$26,A95&lt;=(LCOE!F$26+LCOE!F$27-1)),LCOE!F$42/LCOE!F$27,0)+IF(AND(D95=0,AE95&gt;=LCOE!F$16,COUNTIF(D70:D95,0)=LCOE!F$36),LCOE!F$35*LCOE!F$38,0)</f>
        <v>0</v>
      </c>
      <c r="D95" s="16">
        <f>IF(AE94&lt;LCOE!F$16,1,0)</f>
        <v>1</v>
      </c>
      <c r="E95" s="12">
        <f>LCOE!G121+IF(AND(A95&gt;=LCOE!F$26,A95&lt;=(LCOE!F$26+LCOE!F$27-1)),0,1)*IF(A95=LCOE!F$34,0,1)*D95</f>
        <v>1</v>
      </c>
      <c r="F95" s="12">
        <f>IF(F94&lt;LCOE!F$18,MIN(F94*(1+LCOE!F$19),LCOE!F$18),LCOE!F$18)+LCOE!J121</f>
        <v>0.9</v>
      </c>
      <c r="G95" s="16">
        <f>LCOE!K121+E95*F95*N95*(LCOE!F$14+LCOE!H121)*24*365*D95</f>
        <v>3942000</v>
      </c>
      <c r="H95" s="16">
        <f>LCOE!L121+F95*(LCOE!F$15+LCOE!I121)*E95*24*365*D95*N95</f>
        <v>0</v>
      </c>
      <c r="I95" s="16">
        <f>LCOE!M121+LCOE!F$20*IF(LCOE!F$14&gt;0,(LCOE!F$14+LCOE!H121),(LCOE!F$15+LCOE!I121))*K95*D95</f>
        <v>20000000</v>
      </c>
      <c r="J95" s="16">
        <f>LCOE!N121+LCOE!F$21*IF(LCOE!F$14&gt;0,G95,H95)*K95*D95</f>
        <v>0</v>
      </c>
      <c r="K95" s="15">
        <f>LCOE!O121+K94+K94*LCOE!F$22</f>
        <v>1</v>
      </c>
      <c r="L95" s="16">
        <f>LCOE!P121+LCOE!F$23*IF(LCOE!F$14&gt;0,G95,H95)*M95*D95</f>
        <v>168165720</v>
      </c>
      <c r="M95" s="15">
        <f>LCOE!Q121+M94+M94*LCOE!F$24</f>
        <v>1</v>
      </c>
      <c r="N95" s="15">
        <f>LCOE!R121+N94-N94*LCOE!F$25</f>
        <v>1</v>
      </c>
      <c r="O95" s="18">
        <f>LCOE!S121+LCOE!F$29</f>
        <v>313.75</v>
      </c>
      <c r="P95" s="12">
        <f>LCOE!T121+IF(A95&gt;=LCOE!F$30,100%,0%)</f>
        <v>1</v>
      </c>
      <c r="Q95" s="16">
        <f>LCOE!U121+O95/1000*IF(LCOE!F$14&gt;0,G95,H95)</f>
        <v>1236802.5</v>
      </c>
      <c r="R95" s="16">
        <f>LCOE!B121</f>
        <v>30</v>
      </c>
      <c r="S95" s="16">
        <f>LCOE!V121+Q95*P95*R95</f>
        <v>37104075</v>
      </c>
      <c r="T95" s="16">
        <f>LCOE!W121+LCOE!F$31</f>
        <v>0</v>
      </c>
      <c r="U95" s="16">
        <f>LCOE!X121+T95*IF(LCOE!F$14&gt;0,G95,H95)</f>
        <v>0</v>
      </c>
      <c r="V95" s="16">
        <f>LCOE!Y121+LCOE!F$32</f>
        <v>0</v>
      </c>
      <c r="W95" s="16">
        <f>LCOE!Z121+V95*IF(LCOE!F$14&gt;0,G95,H95)</f>
        <v>0</v>
      </c>
      <c r="X95" s="16">
        <f>LCOE!AA121+LCOE!F$34</f>
        <v>101</v>
      </c>
      <c r="Y95" s="16">
        <f t="shared" si="15"/>
        <v>0</v>
      </c>
      <c r="Z95" s="50">
        <f t="shared" si="18"/>
        <v>0</v>
      </c>
      <c r="AA95" s="50">
        <f t="shared" si="19"/>
        <v>20000000</v>
      </c>
      <c r="AB95" s="50">
        <f t="shared" si="20"/>
        <v>168165720</v>
      </c>
      <c r="AC95" s="50">
        <f t="shared" si="16"/>
        <v>0</v>
      </c>
      <c r="AD95" s="50">
        <f t="shared" si="11"/>
        <v>37104075</v>
      </c>
      <c r="AE95">
        <f t="shared" si="17"/>
        <v>25</v>
      </c>
      <c r="AF95" s="12">
        <f>LCOE!E121+LCOE!F$40</f>
        <v>0.05</v>
      </c>
      <c r="AG95">
        <f t="shared" si="12"/>
        <v>3.3863549408993858</v>
      </c>
      <c r="AH95" s="16">
        <f t="shared" si="7"/>
        <v>0</v>
      </c>
      <c r="AI95" s="16">
        <f t="shared" si="8"/>
        <v>5906055.4339552419</v>
      </c>
      <c r="AJ95" s="16">
        <f t="shared" si="9"/>
        <v>49659803.220549785</v>
      </c>
      <c r="AK95" s="16">
        <f t="shared" si="10"/>
        <v>0</v>
      </c>
      <c r="AL95" s="16">
        <f t="shared" si="13"/>
        <v>10956936.188781641</v>
      </c>
      <c r="AM95" s="16">
        <f t="shared" si="14"/>
        <v>0</v>
      </c>
      <c r="AN95" s="16">
        <f>IF(LCOE!F$14&gt;0,G95,H95)/AG95</f>
        <v>1164083.5260325782</v>
      </c>
    </row>
    <row r="96" spans="1:40">
      <c r="A96">
        <v>26</v>
      </c>
      <c r="C96" s="16">
        <f>LCOE!F122+IF(AND(LCOE!F$26&gt;0,A96&gt;=LCOE!F$26,A96&lt;=(LCOE!F$26+LCOE!F$27-1)),LCOE!F$42/LCOE!F$27,0)+IF(AND(D96=0,AE96&gt;=LCOE!F$16,COUNTIF(D71:D96,0)=LCOE!F$36),LCOE!F$35*LCOE!F$38,0)</f>
        <v>0</v>
      </c>
      <c r="D96" s="16">
        <f>IF(AE95&lt;LCOE!F$16,1,0)</f>
        <v>1</v>
      </c>
      <c r="E96" s="12">
        <f>LCOE!G122+IF(AND(A96&gt;=LCOE!F$26,A96&lt;=(LCOE!F$26+LCOE!F$27-1)),0,1)*IF(A96=LCOE!F$34,0,1)*D96</f>
        <v>1</v>
      </c>
      <c r="F96" s="12">
        <f>IF(F95&lt;LCOE!F$18,MIN(F95*(1+LCOE!F$19),LCOE!F$18),LCOE!F$18)+LCOE!J122</f>
        <v>0.9</v>
      </c>
      <c r="G96" s="16">
        <f>LCOE!K122+E96*F96*N96*(LCOE!F$14+LCOE!H122)*24*365*D96</f>
        <v>3942000</v>
      </c>
      <c r="H96" s="16">
        <f>LCOE!L122+F96*(LCOE!F$15+LCOE!I122)*E96*24*365*D96*N96</f>
        <v>0</v>
      </c>
      <c r="I96" s="16">
        <f>LCOE!M122+LCOE!F$20*IF(LCOE!F$14&gt;0,(LCOE!F$14+LCOE!H122),(LCOE!F$15+LCOE!I122))*K96*D96</f>
        <v>20000000</v>
      </c>
      <c r="J96" s="16">
        <f>LCOE!N122+LCOE!F$21*IF(LCOE!F$14&gt;0,G96,H96)*K96*D96</f>
        <v>0</v>
      </c>
      <c r="K96" s="15">
        <f>LCOE!O122+K95+K95*LCOE!F$22</f>
        <v>1</v>
      </c>
      <c r="L96" s="16">
        <f>LCOE!P122+LCOE!F$23*IF(LCOE!F$14&gt;0,G96,H96)*M96*D96</f>
        <v>168165720</v>
      </c>
      <c r="M96" s="15">
        <f>LCOE!Q122+M95+M95*LCOE!F$24</f>
        <v>1</v>
      </c>
      <c r="N96" s="15">
        <f>LCOE!R122+N95-N95*LCOE!F$25</f>
        <v>1</v>
      </c>
      <c r="O96" s="18">
        <f>LCOE!S122+LCOE!F$29</f>
        <v>313.75</v>
      </c>
      <c r="P96" s="12">
        <f>LCOE!T122+IF(A96&gt;=LCOE!F$30,100%,0%)</f>
        <v>1</v>
      </c>
      <c r="Q96" s="16">
        <f>LCOE!U122+O96/1000*IF(LCOE!F$14&gt;0,G96,H96)</f>
        <v>1236802.5</v>
      </c>
      <c r="R96" s="16">
        <f>LCOE!B122</f>
        <v>30</v>
      </c>
      <c r="S96" s="16">
        <f>LCOE!V122+Q96*P96*R96</f>
        <v>37104075</v>
      </c>
      <c r="T96" s="16">
        <f>LCOE!W122+LCOE!F$31</f>
        <v>0</v>
      </c>
      <c r="U96" s="16">
        <f>LCOE!X122+T96*IF(LCOE!F$14&gt;0,G96,H96)</f>
        <v>0</v>
      </c>
      <c r="V96" s="16">
        <f>LCOE!Y122+LCOE!F$32</f>
        <v>0</v>
      </c>
      <c r="W96" s="16">
        <f>LCOE!Z122+V96*IF(LCOE!F$14&gt;0,G96,H96)</f>
        <v>0</v>
      </c>
      <c r="X96" s="16">
        <f>LCOE!AA122+LCOE!F$34</f>
        <v>101</v>
      </c>
      <c r="Y96" s="16">
        <f t="shared" si="15"/>
        <v>0</v>
      </c>
      <c r="Z96" s="50">
        <f t="shared" si="18"/>
        <v>0</v>
      </c>
      <c r="AA96" s="50">
        <f t="shared" si="19"/>
        <v>20000000</v>
      </c>
      <c r="AB96" s="50">
        <f t="shared" si="20"/>
        <v>168165720</v>
      </c>
      <c r="AC96" s="50">
        <f t="shared" si="16"/>
        <v>0</v>
      </c>
      <c r="AD96" s="50">
        <f t="shared" si="11"/>
        <v>37104075</v>
      </c>
      <c r="AE96">
        <f t="shared" si="17"/>
        <v>26</v>
      </c>
      <c r="AF96" s="12">
        <f>LCOE!E122+LCOE!F$40</f>
        <v>0.05</v>
      </c>
      <c r="AG96">
        <f t="shared" si="12"/>
        <v>3.5556726879443552</v>
      </c>
      <c r="AH96" s="16">
        <f t="shared" si="7"/>
        <v>0</v>
      </c>
      <c r="AI96" s="16">
        <f t="shared" si="8"/>
        <v>5624814.6990049919</v>
      </c>
      <c r="AJ96" s="16">
        <f t="shared" si="9"/>
        <v>47295050.686237887</v>
      </c>
      <c r="AK96" s="16">
        <f t="shared" si="10"/>
        <v>0</v>
      </c>
      <c r="AL96" s="16">
        <f t="shared" si="13"/>
        <v>10435177.322649183</v>
      </c>
      <c r="AM96" s="16">
        <f t="shared" si="14"/>
        <v>0</v>
      </c>
      <c r="AN96" s="16">
        <f>IF(LCOE!F$14&gt;0,G96,H96)/AG96</f>
        <v>1108650.9771738839</v>
      </c>
    </row>
    <row r="97" spans="1:40">
      <c r="A97">
        <v>27</v>
      </c>
      <c r="C97" s="16">
        <f>LCOE!F123+IF(AND(LCOE!F$26&gt;0,A97&gt;=LCOE!F$26,A97&lt;=(LCOE!F$26+LCOE!F$27-1)),LCOE!F$42/LCOE!F$27,0)+IF(AND(D97=0,AE97&gt;=LCOE!F$16,COUNTIF(D72:D97,0)=LCOE!F$36),LCOE!F$35*LCOE!F$38,0)</f>
        <v>0</v>
      </c>
      <c r="D97" s="16">
        <f>IF(AE96&lt;LCOE!F$16,1,0)</f>
        <v>1</v>
      </c>
      <c r="E97" s="12">
        <f>LCOE!G123+IF(AND(A97&gt;=LCOE!F$26,A97&lt;=(LCOE!F$26+LCOE!F$27-1)),0,1)*IF(A97=LCOE!F$34,0,1)*D97</f>
        <v>1</v>
      </c>
      <c r="F97" s="12">
        <f>IF(F96&lt;LCOE!F$18,MIN(F96*(1+LCOE!F$19),LCOE!F$18),LCOE!F$18)+LCOE!J123</f>
        <v>0.9</v>
      </c>
      <c r="G97" s="16">
        <f>LCOE!K123+E97*F97*N97*(LCOE!F$14+LCOE!H123)*24*365*D97</f>
        <v>3942000</v>
      </c>
      <c r="H97" s="16">
        <f>LCOE!L123+F97*(LCOE!F$15+LCOE!I123)*E97*24*365*D97*N97</f>
        <v>0</v>
      </c>
      <c r="I97" s="16">
        <f>LCOE!M123+LCOE!F$20*IF(LCOE!F$14&gt;0,(LCOE!F$14+LCOE!H123),(LCOE!F$15+LCOE!I123))*K97*D97</f>
        <v>20000000</v>
      </c>
      <c r="J97" s="16">
        <f>LCOE!N123+LCOE!F$21*IF(LCOE!F$14&gt;0,G97,H97)*K97*D97</f>
        <v>0</v>
      </c>
      <c r="K97" s="15">
        <f>LCOE!O123+K96+K96*LCOE!F$22</f>
        <v>1</v>
      </c>
      <c r="L97" s="16">
        <f>LCOE!P123+LCOE!F$23*IF(LCOE!F$14&gt;0,G97,H97)*M97*D97</f>
        <v>168165720</v>
      </c>
      <c r="M97" s="15">
        <f>LCOE!Q123+M96+M96*LCOE!F$24</f>
        <v>1</v>
      </c>
      <c r="N97" s="15">
        <f>LCOE!R123+N96-N96*LCOE!F$25</f>
        <v>1</v>
      </c>
      <c r="O97" s="18">
        <f>LCOE!S123+LCOE!F$29</f>
        <v>313.75</v>
      </c>
      <c r="P97" s="12">
        <f>LCOE!T123+IF(A97&gt;=LCOE!F$30,100%,0%)</f>
        <v>1</v>
      </c>
      <c r="Q97" s="16">
        <f>LCOE!U123+O97/1000*IF(LCOE!F$14&gt;0,G97,H97)</f>
        <v>1236802.5</v>
      </c>
      <c r="R97" s="16">
        <f>LCOE!B123</f>
        <v>30</v>
      </c>
      <c r="S97" s="16">
        <f>LCOE!V123+Q97*P97*R97</f>
        <v>37104075</v>
      </c>
      <c r="T97" s="16">
        <f>LCOE!W123+LCOE!F$31</f>
        <v>0</v>
      </c>
      <c r="U97" s="16">
        <f>LCOE!X123+T97*IF(LCOE!F$14&gt;0,G97,H97)</f>
        <v>0</v>
      </c>
      <c r="V97" s="16">
        <f>LCOE!Y123+LCOE!F$32</f>
        <v>0</v>
      </c>
      <c r="W97" s="16">
        <f>LCOE!Z123+V97*IF(LCOE!F$14&gt;0,G97,H97)</f>
        <v>0</v>
      </c>
      <c r="X97" s="16">
        <f>LCOE!AA123+LCOE!F$34</f>
        <v>101</v>
      </c>
      <c r="Y97" s="16">
        <f t="shared" si="15"/>
        <v>0</v>
      </c>
      <c r="Z97" s="50">
        <f t="shared" si="18"/>
        <v>0</v>
      </c>
      <c r="AA97" s="50">
        <f t="shared" si="19"/>
        <v>20000000</v>
      </c>
      <c r="AB97" s="50">
        <f t="shared" si="20"/>
        <v>168165720</v>
      </c>
      <c r="AC97" s="50">
        <f t="shared" si="16"/>
        <v>0</v>
      </c>
      <c r="AD97" s="50">
        <f t="shared" si="11"/>
        <v>37104075</v>
      </c>
      <c r="AE97">
        <f t="shared" si="17"/>
        <v>27</v>
      </c>
      <c r="AF97" s="12">
        <f>LCOE!E123+LCOE!F$40</f>
        <v>0.05</v>
      </c>
      <c r="AG97">
        <f t="shared" si="12"/>
        <v>3.7334563223415733</v>
      </c>
      <c r="AH97" s="16">
        <f t="shared" si="7"/>
        <v>0</v>
      </c>
      <c r="AI97" s="16">
        <f t="shared" si="8"/>
        <v>5356966.3800047543</v>
      </c>
      <c r="AJ97" s="16">
        <f t="shared" si="9"/>
        <v>45042905.415464655</v>
      </c>
      <c r="AK97" s="16">
        <f t="shared" si="10"/>
        <v>0</v>
      </c>
      <c r="AL97" s="16">
        <f t="shared" si="13"/>
        <v>9938264.1168087441</v>
      </c>
      <c r="AM97" s="16">
        <f t="shared" si="14"/>
        <v>0</v>
      </c>
      <c r="AN97" s="16">
        <f>IF(LCOE!F$14&gt;0,G97,H97)/AG97</f>
        <v>1055858.0734989371</v>
      </c>
    </row>
    <row r="98" spans="1:40">
      <c r="A98">
        <v>28</v>
      </c>
      <c r="C98" s="16">
        <f>LCOE!F124+IF(AND(LCOE!F$26&gt;0,A98&gt;=LCOE!F$26,A98&lt;=(LCOE!F$26+LCOE!F$27-1)),LCOE!F$42/LCOE!F$27,0)+IF(AND(D98=0,AE98&gt;=LCOE!F$16,COUNTIF(D73:D98,0)=LCOE!F$36),LCOE!F$35*LCOE!F$38,0)</f>
        <v>0</v>
      </c>
      <c r="D98" s="16">
        <f>IF(AE97&lt;LCOE!F$16,1,0)</f>
        <v>1</v>
      </c>
      <c r="E98" s="12">
        <f>LCOE!G124+IF(AND(A98&gt;=LCOE!F$26,A98&lt;=(LCOE!F$26+LCOE!F$27-1)),0,1)*IF(A98=LCOE!F$34,0,1)*D98</f>
        <v>1</v>
      </c>
      <c r="F98" s="12">
        <f>IF(F97&lt;LCOE!F$18,MIN(F97*(1+LCOE!F$19),LCOE!F$18),LCOE!F$18)+LCOE!J124</f>
        <v>0.9</v>
      </c>
      <c r="G98" s="16">
        <f>LCOE!K124+E98*F98*N98*(LCOE!F$14+LCOE!H124)*24*365*D98</f>
        <v>3942000</v>
      </c>
      <c r="H98" s="16">
        <f>LCOE!L124+F98*(LCOE!F$15+LCOE!I124)*E98*24*365*D98*N98</f>
        <v>0</v>
      </c>
      <c r="I98" s="16">
        <f>LCOE!M124+LCOE!F$20*IF(LCOE!F$14&gt;0,(LCOE!F$14+LCOE!H124),(LCOE!F$15+LCOE!I124))*K98*D98</f>
        <v>20000000</v>
      </c>
      <c r="J98" s="16">
        <f>LCOE!N124+LCOE!F$21*IF(LCOE!F$14&gt;0,G98,H98)*K98*D98</f>
        <v>0</v>
      </c>
      <c r="K98" s="15">
        <f>LCOE!O124+K97+K97*LCOE!F$22</f>
        <v>1</v>
      </c>
      <c r="L98" s="16">
        <f>LCOE!P124+LCOE!F$23*IF(LCOE!F$14&gt;0,G98,H98)*M98*D98</f>
        <v>168165720</v>
      </c>
      <c r="M98" s="15">
        <f>LCOE!Q124+M97+M97*LCOE!F$24</f>
        <v>1</v>
      </c>
      <c r="N98" s="15">
        <f>LCOE!R124+N97-N97*LCOE!F$25</f>
        <v>1</v>
      </c>
      <c r="O98" s="18">
        <f>LCOE!S124+LCOE!F$29</f>
        <v>313.75</v>
      </c>
      <c r="P98" s="12">
        <f>LCOE!T124+IF(A98&gt;=LCOE!F$30,100%,0%)</f>
        <v>1</v>
      </c>
      <c r="Q98" s="16">
        <f>LCOE!U124+O98/1000*IF(LCOE!F$14&gt;0,G98,H98)</f>
        <v>1236802.5</v>
      </c>
      <c r="R98" s="16">
        <f>LCOE!B124</f>
        <v>30</v>
      </c>
      <c r="S98" s="16">
        <f>LCOE!V124+Q98*P98*R98</f>
        <v>37104075</v>
      </c>
      <c r="T98" s="16">
        <f>LCOE!W124+LCOE!F$31</f>
        <v>0</v>
      </c>
      <c r="U98" s="16">
        <f>LCOE!X124+T98*IF(LCOE!F$14&gt;0,G98,H98)</f>
        <v>0</v>
      </c>
      <c r="V98" s="16">
        <f>LCOE!Y124+LCOE!F$32</f>
        <v>0</v>
      </c>
      <c r="W98" s="16">
        <f>LCOE!Z124+V98*IF(LCOE!F$14&gt;0,G98,H98)</f>
        <v>0</v>
      </c>
      <c r="X98" s="16">
        <f>LCOE!AA124+LCOE!F$34</f>
        <v>101</v>
      </c>
      <c r="Y98" s="16">
        <f t="shared" si="15"/>
        <v>0</v>
      </c>
      <c r="Z98" s="50">
        <f t="shared" si="18"/>
        <v>0</v>
      </c>
      <c r="AA98" s="50">
        <f t="shared" si="19"/>
        <v>20000000</v>
      </c>
      <c r="AB98" s="50">
        <f t="shared" si="20"/>
        <v>168165720</v>
      </c>
      <c r="AC98" s="50">
        <f t="shared" si="16"/>
        <v>0</v>
      </c>
      <c r="AD98" s="50">
        <f t="shared" si="11"/>
        <v>37104075</v>
      </c>
      <c r="AE98">
        <f t="shared" si="17"/>
        <v>28</v>
      </c>
      <c r="AF98" s="12">
        <f>LCOE!E124+LCOE!F$40</f>
        <v>0.05</v>
      </c>
      <c r="AG98">
        <f t="shared" si="12"/>
        <v>3.9201291384586514</v>
      </c>
      <c r="AH98" s="16">
        <f t="shared" si="7"/>
        <v>0</v>
      </c>
      <c r="AI98" s="16">
        <f t="shared" si="8"/>
        <v>5101872.7428616714</v>
      </c>
      <c r="AJ98" s="16">
        <f t="shared" si="9"/>
        <v>42898005.15758539</v>
      </c>
      <c r="AK98" s="16">
        <f t="shared" si="10"/>
        <v>0</v>
      </c>
      <c r="AL98" s="16">
        <f t="shared" si="13"/>
        <v>9465013.4445797578</v>
      </c>
      <c r="AM98" s="16">
        <f t="shared" si="14"/>
        <v>0</v>
      </c>
      <c r="AN98" s="16">
        <f>IF(LCOE!F$14&gt;0,G98,H98)/AG98</f>
        <v>1005579.1176180354</v>
      </c>
    </row>
    <row r="99" spans="1:40">
      <c r="A99">
        <v>29</v>
      </c>
      <c r="C99" s="16">
        <f>LCOE!F125+IF(AND(LCOE!F$26&gt;0,A99&gt;=LCOE!F$26,A99&lt;=(LCOE!F$26+LCOE!F$27-1)),LCOE!F$42/LCOE!F$27,0)+IF(AND(D99=0,AE99&gt;=LCOE!F$16,COUNTIF(D74:D99,0)=LCOE!F$36),LCOE!F$35*LCOE!F$38,0)</f>
        <v>0</v>
      </c>
      <c r="D99" s="16">
        <f>IF(AE98&lt;LCOE!F$16,1,0)</f>
        <v>1</v>
      </c>
      <c r="E99" s="12">
        <f>LCOE!G125+IF(AND(A99&gt;=LCOE!F$26,A99&lt;=(LCOE!F$26+LCOE!F$27-1)),0,1)*IF(A99=LCOE!F$34,0,1)*D99</f>
        <v>1</v>
      </c>
      <c r="F99" s="12">
        <f>IF(F98&lt;LCOE!F$18,MIN(F98*(1+LCOE!F$19),LCOE!F$18),LCOE!F$18)+LCOE!J125</f>
        <v>0.9</v>
      </c>
      <c r="G99" s="16">
        <f>LCOE!K125+E99*F99*N99*(LCOE!F$14+LCOE!H125)*24*365*D99</f>
        <v>3942000</v>
      </c>
      <c r="H99" s="16">
        <f>LCOE!L125+F99*(LCOE!F$15+LCOE!I125)*E99*24*365*D99*N99</f>
        <v>0</v>
      </c>
      <c r="I99" s="16">
        <f>LCOE!M125+LCOE!F$20*IF(LCOE!F$14&gt;0,(LCOE!F$14+LCOE!H125),(LCOE!F$15+LCOE!I125))*K99*D99</f>
        <v>20000000</v>
      </c>
      <c r="J99" s="16">
        <f>LCOE!N125+LCOE!F$21*IF(LCOE!F$14&gt;0,G99,H99)*K99*D99</f>
        <v>0</v>
      </c>
      <c r="K99" s="15">
        <f>LCOE!O125+K98+K98*LCOE!F$22</f>
        <v>1</v>
      </c>
      <c r="L99" s="16">
        <f>LCOE!P125+LCOE!F$23*IF(LCOE!F$14&gt;0,G99,H99)*M99*D99</f>
        <v>168165720</v>
      </c>
      <c r="M99" s="15">
        <f>LCOE!Q125+M98+M98*LCOE!F$24</f>
        <v>1</v>
      </c>
      <c r="N99" s="15">
        <f>LCOE!R125+N98-N98*LCOE!F$25</f>
        <v>1</v>
      </c>
      <c r="O99" s="18">
        <f>LCOE!S125+LCOE!F$29</f>
        <v>313.75</v>
      </c>
      <c r="P99" s="12">
        <f>LCOE!T125+IF(A99&gt;=LCOE!F$30,100%,0%)</f>
        <v>1</v>
      </c>
      <c r="Q99" s="16">
        <f>LCOE!U125+O99/1000*IF(LCOE!F$14&gt;0,G99,H99)</f>
        <v>1236802.5</v>
      </c>
      <c r="R99" s="16">
        <f>LCOE!B125</f>
        <v>30</v>
      </c>
      <c r="S99" s="16">
        <f>LCOE!V125+Q99*P99*R99</f>
        <v>37104075</v>
      </c>
      <c r="T99" s="16">
        <f>LCOE!W125+LCOE!F$31</f>
        <v>0</v>
      </c>
      <c r="U99" s="16">
        <f>LCOE!X125+T99*IF(LCOE!F$14&gt;0,G99,H99)</f>
        <v>0</v>
      </c>
      <c r="V99" s="16">
        <f>LCOE!Y125+LCOE!F$32</f>
        <v>0</v>
      </c>
      <c r="W99" s="16">
        <f>LCOE!Z125+V99*IF(LCOE!F$14&gt;0,G99,H99)</f>
        <v>0</v>
      </c>
      <c r="X99" s="16">
        <f>LCOE!AA125+LCOE!F$34</f>
        <v>101</v>
      </c>
      <c r="Y99" s="16">
        <f t="shared" si="15"/>
        <v>0</v>
      </c>
      <c r="Z99" s="50">
        <f t="shared" si="18"/>
        <v>0</v>
      </c>
      <c r="AA99" s="50">
        <f t="shared" si="19"/>
        <v>20000000</v>
      </c>
      <c r="AB99" s="50">
        <f t="shared" si="20"/>
        <v>168165720</v>
      </c>
      <c r="AC99" s="50">
        <f t="shared" si="16"/>
        <v>0</v>
      </c>
      <c r="AD99" s="50">
        <f t="shared" si="11"/>
        <v>37104075</v>
      </c>
      <c r="AE99">
        <f t="shared" si="17"/>
        <v>29</v>
      </c>
      <c r="AF99" s="12">
        <f>LCOE!E125+LCOE!F$40</f>
        <v>0.05</v>
      </c>
      <c r="AG99">
        <f t="shared" si="12"/>
        <v>4.1161355953815848</v>
      </c>
      <c r="AH99" s="16">
        <f t="shared" si="7"/>
        <v>0</v>
      </c>
      <c r="AI99" s="16">
        <f t="shared" si="8"/>
        <v>4858926.4217730192</v>
      </c>
      <c r="AJ99" s="16">
        <f t="shared" si="9"/>
        <v>40855243.007224172</v>
      </c>
      <c r="AK99" s="16">
        <f t="shared" si="10"/>
        <v>0</v>
      </c>
      <c r="AL99" s="16">
        <f t="shared" si="13"/>
        <v>9014298.5186473876</v>
      </c>
      <c r="AM99" s="16">
        <f t="shared" si="14"/>
        <v>0</v>
      </c>
      <c r="AN99" s="16">
        <f>IF(LCOE!F$14&gt;0,G99,H99)/AG99</f>
        <v>957694.39773146214</v>
      </c>
    </row>
    <row r="100" spans="1:40">
      <c r="A100">
        <v>30</v>
      </c>
      <c r="C100" s="16">
        <f>LCOE!F126+IF(AND(LCOE!F$26&gt;0,A100&gt;=LCOE!F$26,A100&lt;=(LCOE!F$26+LCOE!F$27-1)),LCOE!F$42/LCOE!F$27,0)+IF(AND(D100=0,AE100&gt;=LCOE!F$16,COUNTIF(D75:D100,0)=LCOE!F$36),LCOE!F$35*LCOE!F$38,0)</f>
        <v>0</v>
      </c>
      <c r="D100" s="16">
        <f>IF(AE99&lt;LCOE!F$16,1,0)</f>
        <v>1</v>
      </c>
      <c r="E100" s="12">
        <f>LCOE!G126+IF(AND(A100&gt;=LCOE!F$26,A100&lt;=(LCOE!F$26+LCOE!F$27-1)),0,1)*IF(A100=LCOE!F$34,0,1)*D100</f>
        <v>1</v>
      </c>
      <c r="F100" s="12">
        <f>IF(F99&lt;LCOE!F$18,MIN(F99*(1+LCOE!F$19),LCOE!F$18),LCOE!F$18)+LCOE!J126</f>
        <v>0.9</v>
      </c>
      <c r="G100" s="16">
        <f>LCOE!K126+E100*F100*N100*(LCOE!F$14+LCOE!H126)*24*365*D100</f>
        <v>3942000</v>
      </c>
      <c r="H100" s="16">
        <f>LCOE!L126+F100*(LCOE!F$15+LCOE!I126)*E100*24*365*D100*N100</f>
        <v>0</v>
      </c>
      <c r="I100" s="16">
        <f>LCOE!M126+LCOE!F$20*IF(LCOE!F$14&gt;0,(LCOE!F$14+LCOE!H126),(LCOE!F$15+LCOE!I126))*K100*D100</f>
        <v>20000000</v>
      </c>
      <c r="J100" s="16">
        <f>LCOE!N126+LCOE!F$21*IF(LCOE!F$14&gt;0,G100,H100)*K100*D100</f>
        <v>0</v>
      </c>
      <c r="K100" s="15">
        <f>LCOE!O126+K99+K99*LCOE!F$22</f>
        <v>1</v>
      </c>
      <c r="L100" s="16">
        <f>LCOE!P126+LCOE!F$23*IF(LCOE!F$14&gt;0,G100,H100)*M100*D100</f>
        <v>168165720</v>
      </c>
      <c r="M100" s="15">
        <f>LCOE!Q126+M99+M99*LCOE!F$24</f>
        <v>1</v>
      </c>
      <c r="N100" s="15">
        <f>LCOE!R126+N99-N99*LCOE!F$25</f>
        <v>1</v>
      </c>
      <c r="O100" s="18">
        <f>LCOE!S126+LCOE!F$29</f>
        <v>313.75</v>
      </c>
      <c r="P100" s="12">
        <f>LCOE!T126+IF(A100&gt;=LCOE!F$30,100%,0%)</f>
        <v>1</v>
      </c>
      <c r="Q100" s="16">
        <f>LCOE!U126+O100/1000*IF(LCOE!F$14&gt;0,G100,H100)</f>
        <v>1236802.5</v>
      </c>
      <c r="R100" s="16">
        <f>LCOE!B126</f>
        <v>30</v>
      </c>
      <c r="S100" s="16">
        <f>LCOE!V126+Q100*P100*R100</f>
        <v>37104075</v>
      </c>
      <c r="T100" s="16">
        <f>LCOE!W126+LCOE!F$31</f>
        <v>0</v>
      </c>
      <c r="U100" s="16">
        <f>LCOE!X126+T100*IF(LCOE!F$14&gt;0,G100,H100)</f>
        <v>0</v>
      </c>
      <c r="V100" s="16">
        <f>LCOE!Y126+LCOE!F$32</f>
        <v>0</v>
      </c>
      <c r="W100" s="16">
        <f>LCOE!Z126+V100*IF(LCOE!F$14&gt;0,G100,H100)</f>
        <v>0</v>
      </c>
      <c r="X100" s="16">
        <f>LCOE!AA126+LCOE!F$34</f>
        <v>101</v>
      </c>
      <c r="Y100" s="16">
        <f t="shared" si="15"/>
        <v>0</v>
      </c>
      <c r="Z100" s="50">
        <f t="shared" si="18"/>
        <v>0</v>
      </c>
      <c r="AA100" s="50">
        <f t="shared" si="19"/>
        <v>20000000</v>
      </c>
      <c r="AB100" s="50">
        <f t="shared" si="20"/>
        <v>168165720</v>
      </c>
      <c r="AC100" s="50">
        <f t="shared" si="16"/>
        <v>0</v>
      </c>
      <c r="AD100" s="50">
        <f t="shared" si="11"/>
        <v>37104075</v>
      </c>
      <c r="AE100">
        <f t="shared" si="17"/>
        <v>30</v>
      </c>
      <c r="AF100" s="12">
        <f>LCOE!E126+LCOE!F$40</f>
        <v>0.05</v>
      </c>
      <c r="AG100">
        <f t="shared" si="12"/>
        <v>4.3219423751506625</v>
      </c>
      <c r="AH100" s="16">
        <f t="shared" si="7"/>
        <v>0</v>
      </c>
      <c r="AI100" s="16">
        <f t="shared" si="8"/>
        <v>4627548.9731171625</v>
      </c>
      <c r="AJ100" s="16">
        <f t="shared" si="9"/>
        <v>38909755.244975418</v>
      </c>
      <c r="AK100" s="16">
        <f t="shared" si="10"/>
        <v>0</v>
      </c>
      <c r="AL100" s="16">
        <f t="shared" si="13"/>
        <v>8585046.2082356103</v>
      </c>
      <c r="AM100" s="16">
        <f t="shared" si="14"/>
        <v>0</v>
      </c>
      <c r="AN100" s="16">
        <f>IF(LCOE!F$14&gt;0,G100,H100)/AG100</f>
        <v>912089.90260139282</v>
      </c>
    </row>
    <row r="101" spans="1:40">
      <c r="A101">
        <v>31</v>
      </c>
      <c r="C101" s="16">
        <f>LCOE!F127+IF(AND(LCOE!F$26&gt;0,A101&gt;=LCOE!F$26,A101&lt;=(LCOE!F$26+LCOE!F$27-1)),LCOE!F$42/LCOE!F$27,0)+IF(AND(D101=0,AE101&gt;=LCOE!F$16,COUNTIF(D76:D101,0)=LCOE!F$36),LCOE!F$35*LCOE!F$38,0)</f>
        <v>25225000</v>
      </c>
      <c r="D101" s="16">
        <f>IF(AE100&lt;LCOE!F$16,1,0)</f>
        <v>0</v>
      </c>
      <c r="E101" s="12">
        <f>LCOE!G127+IF(AND(A101&gt;=LCOE!F$26,A101&lt;=(LCOE!F$26+LCOE!F$27-1)),0,1)*IF(A101=LCOE!F$34,0,1)*D101</f>
        <v>0</v>
      </c>
      <c r="F101" s="12">
        <f>IF(F100&lt;LCOE!F$18,MIN(F100*(1+LCOE!F$19),LCOE!F$18),LCOE!F$18)+LCOE!J127</f>
        <v>0.9</v>
      </c>
      <c r="G101" s="16">
        <f>LCOE!K127+E101*F101*N101*(LCOE!F$14+LCOE!H127)*24*365*D101</f>
        <v>0</v>
      </c>
      <c r="H101" s="16">
        <f>LCOE!L127+F101*(LCOE!F$15+LCOE!I127)*E101*24*365*D101*N101</f>
        <v>0</v>
      </c>
      <c r="I101" s="16">
        <f>LCOE!M127+LCOE!F$20*IF(LCOE!F$14&gt;0,(LCOE!F$14+LCOE!H127),(LCOE!F$15+LCOE!I127))*K101*D101</f>
        <v>0</v>
      </c>
      <c r="J101" s="16">
        <f>LCOE!N127+LCOE!F$21*IF(LCOE!F$14&gt;0,G101,H101)*K101*D101</f>
        <v>0</v>
      </c>
      <c r="K101" s="15">
        <f>LCOE!O127+K100+K100*LCOE!F$22</f>
        <v>1</v>
      </c>
      <c r="L101" s="16">
        <f>LCOE!P127+LCOE!F$23*IF(LCOE!F$14&gt;0,G101,H101)*M101*D101</f>
        <v>0</v>
      </c>
      <c r="M101" s="15">
        <f>LCOE!Q127+M100+M100*LCOE!F$24</f>
        <v>1</v>
      </c>
      <c r="N101" s="15">
        <f>LCOE!R127+N100-N100*LCOE!F$25</f>
        <v>1</v>
      </c>
      <c r="O101" s="18">
        <f>LCOE!S127+LCOE!F$29</f>
        <v>313.75</v>
      </c>
      <c r="P101" s="12">
        <f>LCOE!T127+IF(A101&gt;=LCOE!F$30,100%,0%)</f>
        <v>1</v>
      </c>
      <c r="Q101" s="16">
        <f>LCOE!U127+O101/1000*IF(LCOE!F$14&gt;0,G101,H101)</f>
        <v>0</v>
      </c>
      <c r="R101" s="16">
        <f>LCOE!B127</f>
        <v>30</v>
      </c>
      <c r="S101" s="16">
        <f>LCOE!V127+Q101*P101*R101</f>
        <v>0</v>
      </c>
      <c r="T101" s="16">
        <f>LCOE!W127+LCOE!F$31</f>
        <v>0</v>
      </c>
      <c r="U101" s="16">
        <f>LCOE!X127+T101*IF(LCOE!F$14&gt;0,G101,H101)</f>
        <v>0</v>
      </c>
      <c r="V101" s="16">
        <f>LCOE!Y127+LCOE!F$32</f>
        <v>0</v>
      </c>
      <c r="W101" s="16">
        <f>LCOE!Z127+V101*IF(LCOE!F$14&gt;0,G101,H101)</f>
        <v>0</v>
      </c>
      <c r="X101" s="16">
        <f>LCOE!AA127+LCOE!F$34</f>
        <v>101</v>
      </c>
      <c r="Y101" s="16">
        <f t="shared" si="15"/>
        <v>0</v>
      </c>
      <c r="Z101" s="50">
        <f t="shared" si="18"/>
        <v>25225000</v>
      </c>
      <c r="AA101" s="50">
        <f t="shared" si="19"/>
        <v>0</v>
      </c>
      <c r="AB101" s="50">
        <f t="shared" si="20"/>
        <v>0</v>
      </c>
      <c r="AC101" s="50">
        <f t="shared" si="16"/>
        <v>0</v>
      </c>
      <c r="AD101" s="50">
        <f t="shared" si="11"/>
        <v>0</v>
      </c>
      <c r="AE101">
        <f t="shared" si="17"/>
        <v>30</v>
      </c>
      <c r="AF101" s="12">
        <f>LCOE!E127+LCOE!F$40</f>
        <v>0.05</v>
      </c>
      <c r="AG101">
        <f t="shared" si="12"/>
        <v>4.5380394939081974</v>
      </c>
      <c r="AH101" s="16">
        <f t="shared" si="7"/>
        <v>5558567.754613352</v>
      </c>
      <c r="AI101" s="16">
        <f t="shared" si="8"/>
        <v>0</v>
      </c>
      <c r="AJ101" s="16">
        <f t="shared" si="9"/>
        <v>0</v>
      </c>
      <c r="AK101" s="16">
        <f t="shared" si="10"/>
        <v>0</v>
      </c>
      <c r="AL101" s="16">
        <f t="shared" si="13"/>
        <v>0</v>
      </c>
      <c r="AM101" s="16">
        <f t="shared" si="14"/>
        <v>0</v>
      </c>
      <c r="AN101" s="16">
        <f>IF(LCOE!F$14&gt;0,G101,H101)/AG101</f>
        <v>0</v>
      </c>
    </row>
    <row r="102" spans="1:40">
      <c r="A102">
        <v>32</v>
      </c>
      <c r="C102" s="16">
        <f>LCOE!F128+IF(AND(LCOE!F$26&gt;0,A102&gt;=LCOE!F$26,A102&lt;=(LCOE!F$26+LCOE!F$27-1)),LCOE!F$42/LCOE!F$27,0)+IF(AND(D102=0,AE102&gt;=LCOE!F$16,COUNTIF(D77:D102,0)=LCOE!F$36),LCOE!F$35*LCOE!F$38,0)</f>
        <v>0</v>
      </c>
      <c r="D102" s="16">
        <f>IF(AE101&lt;LCOE!F$16,1,0)</f>
        <v>0</v>
      </c>
      <c r="E102" s="12">
        <f>LCOE!G128+IF(AND(A102&gt;=LCOE!F$26,A102&lt;=(LCOE!F$26+LCOE!F$27-1)),0,1)*IF(A102=LCOE!F$34,0,1)*D102</f>
        <v>0</v>
      </c>
      <c r="F102" s="12">
        <f>IF(F101&lt;LCOE!F$18,MIN(F101*(1+LCOE!F$19),LCOE!F$18),LCOE!F$18)+LCOE!J128</f>
        <v>0.9</v>
      </c>
      <c r="G102" s="16">
        <f>LCOE!K128+E102*F102*N102*(LCOE!F$14+LCOE!H128)*24*365*D102</f>
        <v>0</v>
      </c>
      <c r="H102" s="16">
        <f>LCOE!L128+F102*(LCOE!F$15+LCOE!I128)*E102*24*365*D102*N102</f>
        <v>0</v>
      </c>
      <c r="I102" s="16">
        <f>LCOE!M128+LCOE!F$20*IF(LCOE!F$14&gt;0,(LCOE!F$14+LCOE!H128),(LCOE!F$15+LCOE!I128))*K102*D102</f>
        <v>0</v>
      </c>
      <c r="J102" s="16">
        <f>LCOE!N128+LCOE!F$21*IF(LCOE!F$14&gt;0,G102,H102)*K102*D102</f>
        <v>0</v>
      </c>
      <c r="K102" s="15">
        <f>LCOE!O128+K101+K101*LCOE!F$22</f>
        <v>1</v>
      </c>
      <c r="L102" s="16">
        <f>LCOE!P128+LCOE!F$23*IF(LCOE!F$14&gt;0,G102,H102)*M102*D102</f>
        <v>0</v>
      </c>
      <c r="M102" s="15">
        <f>LCOE!Q128+M101+M101*LCOE!F$24</f>
        <v>1</v>
      </c>
      <c r="N102" s="15">
        <f>LCOE!R128+N101-N101*LCOE!F$25</f>
        <v>1</v>
      </c>
      <c r="O102" s="18">
        <f>LCOE!S128+LCOE!F$29</f>
        <v>313.75</v>
      </c>
      <c r="P102" s="12">
        <f>LCOE!T128+IF(A102&gt;=LCOE!F$30,100%,0%)</f>
        <v>1</v>
      </c>
      <c r="Q102" s="16">
        <f>LCOE!U128+O102/1000*IF(LCOE!F$14&gt;0,G102,H102)</f>
        <v>0</v>
      </c>
      <c r="R102" s="16">
        <f>LCOE!B128</f>
        <v>30</v>
      </c>
      <c r="S102" s="16">
        <f>LCOE!V128+Q102*P102*R102</f>
        <v>0</v>
      </c>
      <c r="T102" s="16">
        <f>LCOE!W128+LCOE!F$31</f>
        <v>0</v>
      </c>
      <c r="U102" s="16">
        <f>LCOE!X128+T102*IF(LCOE!F$14&gt;0,G102,H102)</f>
        <v>0</v>
      </c>
      <c r="V102" s="16">
        <f>LCOE!Y128+LCOE!F$32</f>
        <v>0</v>
      </c>
      <c r="W102" s="16">
        <f>LCOE!Z128+V102*IF(LCOE!F$14&gt;0,G102,H102)</f>
        <v>0</v>
      </c>
      <c r="X102" s="16">
        <f>LCOE!AA128+LCOE!F$34</f>
        <v>101</v>
      </c>
      <c r="Y102" s="16">
        <f t="shared" si="15"/>
        <v>0</v>
      </c>
      <c r="Z102" s="50">
        <f t="shared" si="18"/>
        <v>0</v>
      </c>
      <c r="AA102" s="50">
        <f t="shared" si="19"/>
        <v>0</v>
      </c>
      <c r="AB102" s="50">
        <f t="shared" si="20"/>
        <v>0</v>
      </c>
      <c r="AC102" s="50">
        <f t="shared" si="16"/>
        <v>0</v>
      </c>
      <c r="AD102" s="50">
        <f t="shared" si="11"/>
        <v>0</v>
      </c>
      <c r="AE102">
        <f t="shared" si="17"/>
        <v>30</v>
      </c>
      <c r="AF102" s="12">
        <f>LCOE!E128+LCOE!F$40</f>
        <v>0.05</v>
      </c>
      <c r="AG102">
        <f t="shared" si="12"/>
        <v>4.7649414686036069</v>
      </c>
      <c r="AH102" s="16">
        <f t="shared" si="7"/>
        <v>0</v>
      </c>
      <c r="AI102" s="16">
        <f t="shared" si="8"/>
        <v>0</v>
      </c>
      <c r="AJ102" s="16">
        <f t="shared" si="9"/>
        <v>0</v>
      </c>
      <c r="AK102" s="16">
        <f t="shared" si="10"/>
        <v>0</v>
      </c>
      <c r="AL102" s="16">
        <f t="shared" si="13"/>
        <v>0</v>
      </c>
      <c r="AM102" s="16">
        <f t="shared" si="14"/>
        <v>0</v>
      </c>
      <c r="AN102" s="16">
        <f>IF(LCOE!F$14&gt;0,G102,H102)/AG102</f>
        <v>0</v>
      </c>
    </row>
    <row r="103" spans="1:40">
      <c r="A103">
        <v>33</v>
      </c>
      <c r="C103" s="16">
        <f>LCOE!F129+IF(AND(LCOE!F$26&gt;0,A103&gt;=LCOE!F$26,A103&lt;=(LCOE!F$26+LCOE!F$27-1)),LCOE!F$42/LCOE!F$27,0)+IF(AND(D103=0,AE103&gt;=LCOE!F$16,COUNTIF(D78:D103,0)=LCOE!F$36),LCOE!F$35*LCOE!F$38,0)</f>
        <v>0</v>
      </c>
      <c r="D103" s="16">
        <f>IF(AE102&lt;LCOE!F$16,1,0)</f>
        <v>0</v>
      </c>
      <c r="E103" s="12">
        <f>LCOE!G129+IF(AND(A103&gt;=LCOE!F$26,A103&lt;=(LCOE!F$26+LCOE!F$27-1)),0,1)*IF(A103=LCOE!F$34,0,1)*D103</f>
        <v>0</v>
      </c>
      <c r="F103" s="12">
        <f>IF(F102&lt;LCOE!F$18,MIN(F102*(1+LCOE!F$19),LCOE!F$18),LCOE!F$18)+LCOE!J129</f>
        <v>0.9</v>
      </c>
      <c r="G103" s="16">
        <f>LCOE!K129+E103*F103*N103*(LCOE!F$14+LCOE!H129)*24*365*D103</f>
        <v>0</v>
      </c>
      <c r="H103" s="16">
        <f>LCOE!L129+F103*(LCOE!F$15+LCOE!I129)*E103*24*365*D103*N103</f>
        <v>0</v>
      </c>
      <c r="I103" s="16">
        <f>LCOE!M129+LCOE!F$20*IF(LCOE!F$14&gt;0,(LCOE!F$14+LCOE!H129),(LCOE!F$15+LCOE!I129))*K103*D103</f>
        <v>0</v>
      </c>
      <c r="J103" s="16">
        <f>LCOE!N129+LCOE!F$21*IF(LCOE!F$14&gt;0,G103,H103)*K103*D103</f>
        <v>0</v>
      </c>
      <c r="K103" s="15">
        <f>LCOE!O129+K102+K102*LCOE!F$22</f>
        <v>1</v>
      </c>
      <c r="L103" s="16">
        <f>LCOE!P129+LCOE!F$23*IF(LCOE!F$14&gt;0,G103,H103)*M103*D103</f>
        <v>0</v>
      </c>
      <c r="M103" s="15">
        <f>LCOE!Q129+M102+M102*LCOE!F$24</f>
        <v>1</v>
      </c>
      <c r="N103" s="15">
        <f>LCOE!R129+N102-N102*LCOE!F$25</f>
        <v>1</v>
      </c>
      <c r="O103" s="18">
        <f>LCOE!S129+LCOE!F$29</f>
        <v>313.75</v>
      </c>
      <c r="P103" s="12">
        <f>LCOE!T129+IF(A103&gt;=LCOE!F$30,100%,0%)</f>
        <v>1</v>
      </c>
      <c r="Q103" s="16">
        <f>LCOE!U129+O103/1000*IF(LCOE!F$14&gt;0,G103,H103)</f>
        <v>0</v>
      </c>
      <c r="R103" s="16">
        <f>LCOE!B129</f>
        <v>30</v>
      </c>
      <c r="S103" s="16">
        <f>LCOE!V129+Q103*P103*R103</f>
        <v>0</v>
      </c>
      <c r="T103" s="16">
        <f>LCOE!W129+LCOE!F$31</f>
        <v>0</v>
      </c>
      <c r="U103" s="16">
        <f>LCOE!X129+T103*IF(LCOE!F$14&gt;0,G103,H103)</f>
        <v>0</v>
      </c>
      <c r="V103" s="16">
        <f>LCOE!Y129+LCOE!F$32</f>
        <v>0</v>
      </c>
      <c r="W103" s="16">
        <f>LCOE!Z129+V103*IF(LCOE!F$14&gt;0,G103,H103)</f>
        <v>0</v>
      </c>
      <c r="X103" s="16">
        <f>LCOE!AA129+LCOE!F$34</f>
        <v>101</v>
      </c>
      <c r="Y103" s="16">
        <f t="shared" si="15"/>
        <v>0</v>
      </c>
      <c r="Z103" s="50">
        <f t="shared" si="18"/>
        <v>0</v>
      </c>
      <c r="AA103" s="50">
        <f t="shared" si="19"/>
        <v>0</v>
      </c>
      <c r="AB103" s="50">
        <f t="shared" si="20"/>
        <v>0</v>
      </c>
      <c r="AC103" s="50">
        <f t="shared" si="16"/>
        <v>0</v>
      </c>
      <c r="AD103" s="50">
        <f t="shared" si="11"/>
        <v>0</v>
      </c>
      <c r="AE103">
        <f t="shared" si="17"/>
        <v>30</v>
      </c>
      <c r="AF103" s="12">
        <f>LCOE!E129+LCOE!F$40</f>
        <v>0.05</v>
      </c>
      <c r="AG103">
        <f t="shared" si="12"/>
        <v>5.0031885420337874</v>
      </c>
      <c r="AH103" s="16">
        <f t="shared" si="7"/>
        <v>0</v>
      </c>
      <c r="AI103" s="16">
        <f t="shared" si="8"/>
        <v>0</v>
      </c>
      <c r="AJ103" s="16">
        <f t="shared" si="9"/>
        <v>0</v>
      </c>
      <c r="AK103" s="16">
        <f t="shared" si="10"/>
        <v>0</v>
      </c>
      <c r="AL103" s="16">
        <f t="shared" si="13"/>
        <v>0</v>
      </c>
      <c r="AM103" s="16">
        <f t="shared" si="14"/>
        <v>0</v>
      </c>
      <c r="AN103" s="16">
        <f>IF(LCOE!F$14&gt;0,G103,H103)/AG103</f>
        <v>0</v>
      </c>
    </row>
    <row r="104" spans="1:40">
      <c r="A104">
        <v>34</v>
      </c>
      <c r="C104" s="16">
        <f>LCOE!F130+IF(AND(LCOE!F$26&gt;0,A104&gt;=LCOE!F$26,A104&lt;=(LCOE!F$26+LCOE!F$27-1)),LCOE!F$42/LCOE!F$27,0)+IF(AND(D104=0,AE104&gt;=LCOE!F$16,COUNTIF(D79:D104,0)=LCOE!F$36),LCOE!F$35*LCOE!F$38,0)</f>
        <v>0</v>
      </c>
      <c r="D104" s="16">
        <f>IF(AE103&lt;LCOE!F$16,1,0)</f>
        <v>0</v>
      </c>
      <c r="E104" s="12">
        <f>LCOE!G130+IF(AND(A104&gt;=LCOE!F$26,A104&lt;=(LCOE!F$26+LCOE!F$27-1)),0,1)*IF(A104=LCOE!F$34,0,1)*D104</f>
        <v>0</v>
      </c>
      <c r="F104" s="12">
        <f>IF(F103&lt;LCOE!F$18,MIN(F103*(1+LCOE!F$19),LCOE!F$18),LCOE!F$18)+LCOE!J130</f>
        <v>0.9</v>
      </c>
      <c r="G104" s="16">
        <f>LCOE!K130+E104*F104*N104*(LCOE!F$14+LCOE!H130)*24*365*D104</f>
        <v>0</v>
      </c>
      <c r="H104" s="16">
        <f>LCOE!L130+F104*(LCOE!F$15+LCOE!I130)*E104*24*365*D104*N104</f>
        <v>0</v>
      </c>
      <c r="I104" s="16">
        <f>LCOE!M130+LCOE!F$20*IF(LCOE!F$14&gt;0,(LCOE!F$14+LCOE!H130),(LCOE!F$15+LCOE!I130))*K104*D104</f>
        <v>0</v>
      </c>
      <c r="J104" s="16">
        <f>LCOE!N130+LCOE!F$21*IF(LCOE!F$14&gt;0,G104,H104)*K104*D104</f>
        <v>0</v>
      </c>
      <c r="K104" s="15">
        <f>LCOE!O130+K103+K103*LCOE!F$22</f>
        <v>1</v>
      </c>
      <c r="L104" s="16">
        <f>LCOE!P130+LCOE!F$23*IF(LCOE!F$14&gt;0,G104,H104)*M104*D104</f>
        <v>0</v>
      </c>
      <c r="M104" s="15">
        <f>LCOE!Q130+M103+M103*LCOE!F$24</f>
        <v>1</v>
      </c>
      <c r="N104" s="15">
        <f>LCOE!R130+N103-N103*LCOE!F$25</f>
        <v>1</v>
      </c>
      <c r="O104" s="18">
        <f>LCOE!S130+LCOE!F$29</f>
        <v>313.75</v>
      </c>
      <c r="P104" s="12">
        <f>LCOE!T130+IF(A104&gt;=LCOE!F$30,100%,0%)</f>
        <v>1</v>
      </c>
      <c r="Q104" s="16">
        <f>LCOE!U130+O104/1000*IF(LCOE!F$14&gt;0,G104,H104)</f>
        <v>0</v>
      </c>
      <c r="R104" s="16">
        <f>LCOE!B130</f>
        <v>30</v>
      </c>
      <c r="S104" s="16">
        <f>LCOE!V130+Q104*P104*R104</f>
        <v>0</v>
      </c>
      <c r="T104" s="16">
        <f>LCOE!W130+LCOE!F$31</f>
        <v>0</v>
      </c>
      <c r="U104" s="16">
        <f>LCOE!X130+T104*IF(LCOE!F$14&gt;0,G104,H104)</f>
        <v>0</v>
      </c>
      <c r="V104" s="16">
        <f>LCOE!Y130+LCOE!F$32</f>
        <v>0</v>
      </c>
      <c r="W104" s="16">
        <f>LCOE!Z130+V104*IF(LCOE!F$14&gt;0,G104,H104)</f>
        <v>0</v>
      </c>
      <c r="X104" s="16">
        <f>LCOE!AA130+LCOE!F$34</f>
        <v>101</v>
      </c>
      <c r="Y104" s="16">
        <f t="shared" si="15"/>
        <v>0</v>
      </c>
      <c r="Z104" s="50">
        <f t="shared" si="18"/>
        <v>0</v>
      </c>
      <c r="AA104" s="50">
        <f t="shared" si="19"/>
        <v>0</v>
      </c>
      <c r="AB104" s="50">
        <f t="shared" si="20"/>
        <v>0</v>
      </c>
      <c r="AC104" s="50">
        <f t="shared" si="16"/>
        <v>0</v>
      </c>
      <c r="AD104" s="50">
        <f t="shared" si="11"/>
        <v>0</v>
      </c>
      <c r="AE104">
        <f t="shared" si="17"/>
        <v>30</v>
      </c>
      <c r="AF104" s="12">
        <f>LCOE!E130+LCOE!F$40</f>
        <v>0.05</v>
      </c>
      <c r="AG104">
        <f t="shared" si="12"/>
        <v>5.2533479691354765</v>
      </c>
      <c r="AH104" s="16">
        <f t="shared" si="7"/>
        <v>0</v>
      </c>
      <c r="AI104" s="16">
        <f t="shared" si="8"/>
        <v>0</v>
      </c>
      <c r="AJ104" s="16">
        <f t="shared" si="9"/>
        <v>0</v>
      </c>
      <c r="AK104" s="16">
        <f t="shared" si="10"/>
        <v>0</v>
      </c>
      <c r="AL104" s="16">
        <f t="shared" si="13"/>
        <v>0</v>
      </c>
      <c r="AM104" s="16">
        <f t="shared" si="14"/>
        <v>0</v>
      </c>
      <c r="AN104" s="16">
        <f>IF(LCOE!F$14&gt;0,G104,H104)/AG104</f>
        <v>0</v>
      </c>
    </row>
    <row r="105" spans="1:40">
      <c r="A105">
        <v>35</v>
      </c>
      <c r="C105" s="16">
        <f>LCOE!F131+IF(AND(LCOE!F$26&gt;0,A105&gt;=LCOE!F$26,A105&lt;=(LCOE!F$26+LCOE!F$27-1)),LCOE!F$42/LCOE!F$27,0)+IF(AND(D105=0,AE105&gt;=LCOE!F$16,COUNTIF(D80:D105,0)=LCOE!F$36),LCOE!F$35*LCOE!F$38,0)</f>
        <v>0</v>
      </c>
      <c r="D105" s="16">
        <f>IF(AE104&lt;LCOE!F$16,1,0)</f>
        <v>0</v>
      </c>
      <c r="E105" s="12">
        <f>LCOE!G131+IF(AND(A105&gt;=LCOE!F$26,A105&lt;=(LCOE!F$26+LCOE!F$27-1)),0,1)*IF(A105=LCOE!F$34,0,1)*D105</f>
        <v>0</v>
      </c>
      <c r="F105" s="12">
        <f>IF(F104&lt;LCOE!F$18,MIN(F104*(1+LCOE!F$19),LCOE!F$18),LCOE!F$18)+LCOE!J131</f>
        <v>0.9</v>
      </c>
      <c r="G105" s="16">
        <f>LCOE!K131+E105*F105*N105*(LCOE!F$14+LCOE!H131)*24*365*D105</f>
        <v>0</v>
      </c>
      <c r="H105" s="16">
        <f>LCOE!L131+F105*(LCOE!F$15+LCOE!I131)*E105*24*365*D105*N105</f>
        <v>0</v>
      </c>
      <c r="I105" s="16">
        <f>LCOE!M131+LCOE!F$20*IF(LCOE!F$14&gt;0,(LCOE!F$14+LCOE!H131),(LCOE!F$15+LCOE!I131))*K105*D105</f>
        <v>0</v>
      </c>
      <c r="J105" s="16">
        <f>LCOE!N131+LCOE!F$21*IF(LCOE!F$14&gt;0,G105,H105)*K105*D105</f>
        <v>0</v>
      </c>
      <c r="K105" s="15">
        <f>LCOE!O131+K104+K104*LCOE!F$22</f>
        <v>1</v>
      </c>
      <c r="L105" s="16">
        <f>LCOE!P131+LCOE!F$23*IF(LCOE!F$14&gt;0,G105,H105)*M105*D105</f>
        <v>0</v>
      </c>
      <c r="M105" s="15">
        <f>LCOE!Q131+M104+M104*LCOE!F$24</f>
        <v>1</v>
      </c>
      <c r="N105" s="15">
        <f>LCOE!R131+N104-N104*LCOE!F$25</f>
        <v>1</v>
      </c>
      <c r="O105" s="18">
        <f>LCOE!S131+LCOE!F$29</f>
        <v>313.75</v>
      </c>
      <c r="P105" s="12">
        <f>LCOE!T131+IF(A105&gt;=LCOE!F$30,100%,0%)</f>
        <v>1</v>
      </c>
      <c r="Q105" s="16">
        <f>LCOE!U131+O105/1000*IF(LCOE!F$14&gt;0,G105,H105)</f>
        <v>0</v>
      </c>
      <c r="R105" s="16">
        <f>LCOE!B131</f>
        <v>30</v>
      </c>
      <c r="S105" s="16">
        <f>LCOE!V131+Q105*P105*R105</f>
        <v>0</v>
      </c>
      <c r="T105" s="16">
        <f>LCOE!W131+LCOE!F$31</f>
        <v>0</v>
      </c>
      <c r="U105" s="16">
        <f>LCOE!X131+T105*IF(LCOE!F$14&gt;0,G105,H105)</f>
        <v>0</v>
      </c>
      <c r="V105" s="16">
        <f>LCOE!Y131+LCOE!F$32</f>
        <v>0</v>
      </c>
      <c r="W105" s="16">
        <f>LCOE!Z131+V105*IF(LCOE!F$14&gt;0,G105,H105)</f>
        <v>0</v>
      </c>
      <c r="X105" s="16">
        <f>LCOE!AA131+LCOE!F$34</f>
        <v>101</v>
      </c>
      <c r="Y105" s="16">
        <f t="shared" si="15"/>
        <v>0</v>
      </c>
      <c r="Z105" s="50">
        <f t="shared" si="18"/>
        <v>0</v>
      </c>
      <c r="AA105" s="50">
        <f t="shared" si="19"/>
        <v>0</v>
      </c>
      <c r="AB105" s="50">
        <f t="shared" si="20"/>
        <v>0</v>
      </c>
      <c r="AC105" s="50">
        <f t="shared" si="16"/>
        <v>0</v>
      </c>
      <c r="AD105" s="50">
        <f t="shared" si="11"/>
        <v>0</v>
      </c>
      <c r="AE105">
        <f t="shared" si="17"/>
        <v>30</v>
      </c>
      <c r="AF105" s="12">
        <f>LCOE!E131+LCOE!F$40</f>
        <v>0.05</v>
      </c>
      <c r="AG105">
        <f t="shared" si="12"/>
        <v>5.5160153675922512</v>
      </c>
      <c r="AH105" s="16">
        <f t="shared" si="7"/>
        <v>0</v>
      </c>
      <c r="AI105" s="16">
        <f t="shared" si="8"/>
        <v>0</v>
      </c>
      <c r="AJ105" s="16">
        <f t="shared" si="9"/>
        <v>0</v>
      </c>
      <c r="AK105" s="16">
        <f t="shared" si="10"/>
        <v>0</v>
      </c>
      <c r="AL105" s="16">
        <f t="shared" si="13"/>
        <v>0</v>
      </c>
      <c r="AM105" s="16">
        <f t="shared" si="14"/>
        <v>0</v>
      </c>
      <c r="AN105" s="16">
        <f>IF(LCOE!F$14&gt;0,G105,H105)/AG105</f>
        <v>0</v>
      </c>
    </row>
    <row r="106" spans="1:40">
      <c r="A106">
        <v>36</v>
      </c>
      <c r="C106" s="16">
        <f>LCOE!F132+IF(AND(LCOE!F$26&gt;0,A106&gt;=LCOE!F$26,A106&lt;=(LCOE!F$26+LCOE!F$27-1)),LCOE!F$42/LCOE!F$27,0)+IF(AND(D106=0,AE106&gt;=LCOE!F$16,COUNTIF(D81:D106,0)=LCOE!F$36),LCOE!F$35*LCOE!F$38,0)</f>
        <v>0</v>
      </c>
      <c r="D106" s="16">
        <f>IF(AE105&lt;LCOE!F$16,1,0)</f>
        <v>0</v>
      </c>
      <c r="E106" s="12">
        <f>LCOE!G132+IF(AND(A106&gt;=LCOE!F$26,A106&lt;=(LCOE!F$26+LCOE!F$27-1)),0,1)*IF(A106=LCOE!F$34,0,1)*D106</f>
        <v>0</v>
      </c>
      <c r="F106" s="12">
        <f>IF(F105&lt;LCOE!F$18,MIN(F105*(1+LCOE!F$19),LCOE!F$18),LCOE!F$18)+LCOE!J132</f>
        <v>0.9</v>
      </c>
      <c r="G106" s="16">
        <f>LCOE!K132+E106*F106*N106*(LCOE!F$14+LCOE!H132)*24*365*D106</f>
        <v>0</v>
      </c>
      <c r="H106" s="16">
        <f>LCOE!L132+F106*(LCOE!F$15+LCOE!I132)*E106*24*365*D106*N106</f>
        <v>0</v>
      </c>
      <c r="I106" s="16">
        <f>LCOE!M132+LCOE!F$20*IF(LCOE!F$14&gt;0,(LCOE!F$14+LCOE!H132),(LCOE!F$15+LCOE!I132))*K106*D106</f>
        <v>0</v>
      </c>
      <c r="J106" s="16">
        <f>LCOE!N132+LCOE!F$21*IF(LCOE!F$14&gt;0,G106,H106)*K106*D106</f>
        <v>0</v>
      </c>
      <c r="K106" s="15">
        <f>LCOE!O132+K105+K105*LCOE!F$22</f>
        <v>1</v>
      </c>
      <c r="L106" s="16">
        <f>LCOE!P132+LCOE!F$23*IF(LCOE!F$14&gt;0,G106,H106)*M106*D106</f>
        <v>0</v>
      </c>
      <c r="M106" s="15">
        <f>LCOE!Q132+M105+M105*LCOE!F$24</f>
        <v>1</v>
      </c>
      <c r="N106" s="15">
        <f>LCOE!R132+N105-N105*LCOE!F$25</f>
        <v>1</v>
      </c>
      <c r="O106" s="18">
        <f>LCOE!S132+LCOE!F$29</f>
        <v>313.75</v>
      </c>
      <c r="P106" s="12">
        <f>LCOE!T132+IF(A106&gt;=LCOE!F$30,100%,0%)</f>
        <v>1</v>
      </c>
      <c r="Q106" s="16">
        <f>LCOE!U132+O106/1000*IF(LCOE!F$14&gt;0,G106,H106)</f>
        <v>0</v>
      </c>
      <c r="R106" s="16">
        <f>LCOE!B132</f>
        <v>30</v>
      </c>
      <c r="S106" s="16">
        <f>LCOE!V132+Q106*P106*R106</f>
        <v>0</v>
      </c>
      <c r="T106" s="16">
        <f>LCOE!W132+LCOE!F$31</f>
        <v>0</v>
      </c>
      <c r="U106" s="16">
        <f>LCOE!X132+T106*IF(LCOE!F$14&gt;0,G106,H106)</f>
        <v>0</v>
      </c>
      <c r="V106" s="16">
        <f>LCOE!Y132+LCOE!F$32</f>
        <v>0</v>
      </c>
      <c r="W106" s="16">
        <f>LCOE!Z132+V106*IF(LCOE!F$14&gt;0,G106,H106)</f>
        <v>0</v>
      </c>
      <c r="X106" s="16">
        <f>LCOE!AA132+LCOE!F$34</f>
        <v>101</v>
      </c>
      <c r="Y106" s="16">
        <f t="shared" si="15"/>
        <v>0</v>
      </c>
      <c r="Z106" s="50">
        <f t="shared" si="18"/>
        <v>0</v>
      </c>
      <c r="AA106" s="50">
        <f t="shared" si="19"/>
        <v>0</v>
      </c>
      <c r="AB106" s="50">
        <f t="shared" si="20"/>
        <v>0</v>
      </c>
      <c r="AC106" s="50">
        <f t="shared" si="16"/>
        <v>0</v>
      </c>
      <c r="AD106" s="50">
        <f t="shared" si="11"/>
        <v>0</v>
      </c>
      <c r="AE106">
        <f t="shared" si="17"/>
        <v>30</v>
      </c>
      <c r="AF106" s="12">
        <f>LCOE!E132+LCOE!F$40</f>
        <v>0.05</v>
      </c>
      <c r="AG106">
        <f t="shared" si="12"/>
        <v>5.791816135971863</v>
      </c>
      <c r="AH106" s="16">
        <f t="shared" si="7"/>
        <v>0</v>
      </c>
      <c r="AI106" s="16">
        <f t="shared" si="8"/>
        <v>0</v>
      </c>
      <c r="AJ106" s="16">
        <f t="shared" si="9"/>
        <v>0</v>
      </c>
      <c r="AK106" s="16">
        <f t="shared" si="10"/>
        <v>0</v>
      </c>
      <c r="AL106" s="16">
        <f t="shared" si="13"/>
        <v>0</v>
      </c>
      <c r="AM106" s="16">
        <f t="shared" si="14"/>
        <v>0</v>
      </c>
      <c r="AN106" s="16">
        <f>IF(LCOE!F$14&gt;0,G106,H106)/AG106</f>
        <v>0</v>
      </c>
    </row>
    <row r="107" spans="1:40">
      <c r="A107">
        <v>37</v>
      </c>
      <c r="C107" s="16">
        <f>LCOE!F133+IF(AND(LCOE!F$26&gt;0,A107&gt;=LCOE!F$26,A107&lt;=(LCOE!F$26+LCOE!F$27-1)),LCOE!F$42/LCOE!F$27,0)+IF(AND(D107=0,AE107&gt;=LCOE!F$16,COUNTIF(D82:D107,0)=LCOE!F$36),LCOE!F$35*LCOE!F$38,0)</f>
        <v>0</v>
      </c>
      <c r="D107" s="16">
        <f>IF(AE106&lt;LCOE!F$16,1,0)</f>
        <v>0</v>
      </c>
      <c r="E107" s="12">
        <f>LCOE!G133+IF(AND(A107&gt;=LCOE!F$26,A107&lt;=(LCOE!F$26+LCOE!F$27-1)),0,1)*IF(A107=LCOE!F$34,0,1)*D107</f>
        <v>0</v>
      </c>
      <c r="F107" s="12">
        <f>IF(F106&lt;LCOE!F$18,MIN(F106*(1+LCOE!F$19),LCOE!F$18),LCOE!F$18)+LCOE!J133</f>
        <v>0.9</v>
      </c>
      <c r="G107" s="16">
        <f>LCOE!K133+E107*F107*N107*(LCOE!F$14+LCOE!H133)*24*365*D107</f>
        <v>0</v>
      </c>
      <c r="H107" s="16">
        <f>LCOE!L133+F107*(LCOE!F$15+LCOE!I133)*E107*24*365*D107*N107</f>
        <v>0</v>
      </c>
      <c r="I107" s="16">
        <f>LCOE!M133+LCOE!F$20*IF(LCOE!F$14&gt;0,(LCOE!F$14+LCOE!H133),(LCOE!F$15+LCOE!I133))*K107*D107</f>
        <v>0</v>
      </c>
      <c r="J107" s="16">
        <f>LCOE!N133+LCOE!F$21*IF(LCOE!F$14&gt;0,G107,H107)*K107*D107</f>
        <v>0</v>
      </c>
      <c r="K107" s="15">
        <f>LCOE!O133+K106+K106*LCOE!F$22</f>
        <v>1</v>
      </c>
      <c r="L107" s="16">
        <f>LCOE!P133+LCOE!F$23*IF(LCOE!F$14&gt;0,G107,H107)*M107*D107</f>
        <v>0</v>
      </c>
      <c r="M107" s="15">
        <f>LCOE!Q133+M106+M106*LCOE!F$24</f>
        <v>1</v>
      </c>
      <c r="N107" s="15">
        <f>LCOE!R133+N106-N106*LCOE!F$25</f>
        <v>1</v>
      </c>
      <c r="O107" s="18">
        <f>LCOE!S133+LCOE!F$29</f>
        <v>313.75</v>
      </c>
      <c r="P107" s="12">
        <f>LCOE!T133+IF(A107&gt;=LCOE!F$30,100%,0%)</f>
        <v>1</v>
      </c>
      <c r="Q107" s="16">
        <f>LCOE!U133+O107/1000*IF(LCOE!F$14&gt;0,G107,H107)</f>
        <v>0</v>
      </c>
      <c r="R107" s="16">
        <f>LCOE!B133</f>
        <v>30</v>
      </c>
      <c r="S107" s="16">
        <f>LCOE!V133+Q107*P107*R107</f>
        <v>0</v>
      </c>
      <c r="T107" s="16">
        <f>LCOE!W133+LCOE!F$31</f>
        <v>0</v>
      </c>
      <c r="U107" s="16">
        <f>LCOE!X133+T107*IF(LCOE!F$14&gt;0,G107,H107)</f>
        <v>0</v>
      </c>
      <c r="V107" s="16">
        <f>LCOE!Y133+LCOE!F$32</f>
        <v>0</v>
      </c>
      <c r="W107" s="16">
        <f>LCOE!Z133+V107*IF(LCOE!F$14&gt;0,G107,H107)</f>
        <v>0</v>
      </c>
      <c r="X107" s="16">
        <f>LCOE!AA133+LCOE!F$34</f>
        <v>101</v>
      </c>
      <c r="Y107" s="16">
        <f t="shared" si="15"/>
        <v>0</v>
      </c>
      <c r="Z107" s="50">
        <f t="shared" si="18"/>
        <v>0</v>
      </c>
      <c r="AA107" s="50">
        <f t="shared" si="19"/>
        <v>0</v>
      </c>
      <c r="AB107" s="50">
        <f t="shared" si="20"/>
        <v>0</v>
      </c>
      <c r="AC107" s="50">
        <f t="shared" si="16"/>
        <v>0</v>
      </c>
      <c r="AD107" s="50">
        <f t="shared" si="11"/>
        <v>0</v>
      </c>
      <c r="AE107">
        <f t="shared" si="17"/>
        <v>30</v>
      </c>
      <c r="AF107" s="12">
        <f>LCOE!E133+LCOE!F$40</f>
        <v>0.05</v>
      </c>
      <c r="AG107">
        <f t="shared" si="12"/>
        <v>6.0814069427704567</v>
      </c>
      <c r="AH107" s="16">
        <f t="shared" si="7"/>
        <v>0</v>
      </c>
      <c r="AI107" s="16">
        <f t="shared" si="8"/>
        <v>0</v>
      </c>
      <c r="AJ107" s="16">
        <f t="shared" si="9"/>
        <v>0</v>
      </c>
      <c r="AK107" s="16">
        <f t="shared" si="10"/>
        <v>0</v>
      </c>
      <c r="AL107" s="16">
        <f t="shared" si="13"/>
        <v>0</v>
      </c>
      <c r="AM107" s="16">
        <f t="shared" si="14"/>
        <v>0</v>
      </c>
      <c r="AN107" s="16">
        <f>IF(LCOE!F$14&gt;0,G107,H107)/AG107</f>
        <v>0</v>
      </c>
    </row>
    <row r="108" spans="1:40">
      <c r="A108">
        <v>38</v>
      </c>
      <c r="C108" s="16">
        <f>LCOE!F134+IF(AND(LCOE!F$26&gt;0,A108&gt;=LCOE!F$26,A108&lt;=(LCOE!F$26+LCOE!F$27-1)),LCOE!F$42/LCOE!F$27,0)+IF(AND(D108=0,AE108&gt;=LCOE!F$16,COUNTIF(D83:D108,0)=LCOE!F$36),LCOE!F$35*LCOE!F$38,0)</f>
        <v>0</v>
      </c>
      <c r="D108" s="16">
        <f>IF(AE107&lt;LCOE!F$16,1,0)</f>
        <v>0</v>
      </c>
      <c r="E108" s="12">
        <f>LCOE!G134+IF(AND(A108&gt;=LCOE!F$26,A108&lt;=(LCOE!F$26+LCOE!F$27-1)),0,1)*IF(A108=LCOE!F$34,0,1)*D108</f>
        <v>0</v>
      </c>
      <c r="F108" s="12">
        <f>IF(F107&lt;LCOE!F$18,MIN(F107*(1+LCOE!F$19),LCOE!F$18),LCOE!F$18)+LCOE!J134</f>
        <v>0.9</v>
      </c>
      <c r="G108" s="16">
        <f>LCOE!K134+E108*F108*N108*(LCOE!F$14+LCOE!H134)*24*365*D108</f>
        <v>0</v>
      </c>
      <c r="H108" s="16">
        <f>LCOE!L134+F108*(LCOE!F$15+LCOE!I134)*E108*24*365*D108*N108</f>
        <v>0</v>
      </c>
      <c r="I108" s="16">
        <f>LCOE!M134+LCOE!F$20*IF(LCOE!F$14&gt;0,(LCOE!F$14+LCOE!H134),(LCOE!F$15+LCOE!I134))*K108*D108</f>
        <v>0</v>
      </c>
      <c r="J108" s="16">
        <f>LCOE!N134+LCOE!F$21*IF(LCOE!F$14&gt;0,G108,H108)*K108*D108</f>
        <v>0</v>
      </c>
      <c r="K108" s="15">
        <f>LCOE!O134+K107+K107*LCOE!F$22</f>
        <v>1</v>
      </c>
      <c r="L108" s="16">
        <f>LCOE!P134+LCOE!F$23*IF(LCOE!F$14&gt;0,G108,H108)*M108*D108</f>
        <v>0</v>
      </c>
      <c r="M108" s="15">
        <f>LCOE!Q134+M107+M107*LCOE!F$24</f>
        <v>1</v>
      </c>
      <c r="N108" s="15">
        <f>LCOE!R134+N107-N107*LCOE!F$25</f>
        <v>1</v>
      </c>
      <c r="O108" s="18">
        <f>LCOE!S134+LCOE!F$29</f>
        <v>313.75</v>
      </c>
      <c r="P108" s="12">
        <f>LCOE!T134+IF(A108&gt;=LCOE!F$30,100%,0%)</f>
        <v>1</v>
      </c>
      <c r="Q108" s="16">
        <f>LCOE!U134+O108/1000*IF(LCOE!F$14&gt;0,G108,H108)</f>
        <v>0</v>
      </c>
      <c r="R108" s="16">
        <f>LCOE!B134</f>
        <v>30</v>
      </c>
      <c r="S108" s="16">
        <f>LCOE!V134+Q108*P108*R108</f>
        <v>0</v>
      </c>
      <c r="T108" s="16">
        <f>LCOE!W134+LCOE!F$31</f>
        <v>0</v>
      </c>
      <c r="U108" s="16">
        <f>LCOE!X134+T108*IF(LCOE!F$14&gt;0,G108,H108)</f>
        <v>0</v>
      </c>
      <c r="V108" s="16">
        <f>LCOE!Y134+LCOE!F$32</f>
        <v>0</v>
      </c>
      <c r="W108" s="16">
        <f>LCOE!Z134+V108*IF(LCOE!F$14&gt;0,G108,H108)</f>
        <v>0</v>
      </c>
      <c r="X108" s="16">
        <f>LCOE!AA134+LCOE!F$34</f>
        <v>101</v>
      </c>
      <c r="Y108" s="16">
        <f t="shared" si="15"/>
        <v>0</v>
      </c>
      <c r="Z108" s="50">
        <f t="shared" si="18"/>
        <v>0</v>
      </c>
      <c r="AA108" s="50">
        <f t="shared" si="19"/>
        <v>0</v>
      </c>
      <c r="AB108" s="50">
        <f t="shared" si="20"/>
        <v>0</v>
      </c>
      <c r="AC108" s="50">
        <f t="shared" si="16"/>
        <v>0</v>
      </c>
      <c r="AD108" s="50">
        <f t="shared" si="11"/>
        <v>0</v>
      </c>
      <c r="AE108">
        <f t="shared" si="17"/>
        <v>30</v>
      </c>
      <c r="AF108" s="12">
        <f>LCOE!E134+LCOE!F$40</f>
        <v>0.05</v>
      </c>
      <c r="AG108">
        <f t="shared" si="12"/>
        <v>6.3854772899089784</v>
      </c>
      <c r="AH108" s="16">
        <f t="shared" si="7"/>
        <v>0</v>
      </c>
      <c r="AI108" s="16">
        <f t="shared" si="8"/>
        <v>0</v>
      </c>
      <c r="AJ108" s="16">
        <f t="shared" si="9"/>
        <v>0</v>
      </c>
      <c r="AK108" s="16">
        <f t="shared" si="10"/>
        <v>0</v>
      </c>
      <c r="AL108" s="16">
        <f t="shared" si="13"/>
        <v>0</v>
      </c>
      <c r="AM108" s="16">
        <f t="shared" si="14"/>
        <v>0</v>
      </c>
      <c r="AN108" s="16">
        <f>IF(LCOE!F$14&gt;0,G108,H108)/AG108</f>
        <v>0</v>
      </c>
    </row>
    <row r="109" spans="1:40">
      <c r="A109">
        <v>39</v>
      </c>
      <c r="C109" s="16">
        <f>LCOE!F135+IF(AND(LCOE!F$26&gt;0,A109&gt;=LCOE!F$26,A109&lt;=(LCOE!F$26+LCOE!F$27-1)),LCOE!F$42/LCOE!F$27,0)+IF(AND(D109=0,AE109&gt;=LCOE!F$16,COUNTIF(D84:D109,0)=LCOE!F$36),LCOE!F$35*LCOE!F$38,0)</f>
        <v>0</v>
      </c>
      <c r="D109" s="16">
        <f>IF(AE108&lt;LCOE!F$16,1,0)</f>
        <v>0</v>
      </c>
      <c r="E109" s="12">
        <f>LCOE!G135+IF(AND(A109&gt;=LCOE!F$26,A109&lt;=(LCOE!F$26+LCOE!F$27-1)),0,1)*IF(A109=LCOE!F$34,0,1)*D109</f>
        <v>0</v>
      </c>
      <c r="F109" s="12">
        <f>IF(F108&lt;LCOE!F$18,MIN(F108*(1+LCOE!F$19),LCOE!F$18),LCOE!F$18)+LCOE!J135</f>
        <v>0.9</v>
      </c>
      <c r="G109" s="16">
        <f>LCOE!K135+E109*F109*N109*(LCOE!F$14+LCOE!H135)*24*365*D109</f>
        <v>0</v>
      </c>
      <c r="H109" s="16">
        <f>LCOE!L135+F109*(LCOE!F$15+LCOE!I135)*E109*24*365*D109*N109</f>
        <v>0</v>
      </c>
      <c r="I109" s="16">
        <f>LCOE!M135+LCOE!F$20*IF(LCOE!F$14&gt;0,(LCOE!F$14+LCOE!H135),(LCOE!F$15+LCOE!I135))*K109*D109</f>
        <v>0</v>
      </c>
      <c r="J109" s="16">
        <f>LCOE!N135+LCOE!F$21*IF(LCOE!F$14&gt;0,G109,H109)*K109*D109</f>
        <v>0</v>
      </c>
      <c r="K109" s="15">
        <f>LCOE!O135+K108+K108*LCOE!F$22</f>
        <v>1</v>
      </c>
      <c r="L109" s="16">
        <f>LCOE!P135+LCOE!F$23*IF(LCOE!F$14&gt;0,G109,H109)*M109*D109</f>
        <v>0</v>
      </c>
      <c r="M109" s="15">
        <f>LCOE!Q135+M108+M108*LCOE!F$24</f>
        <v>1</v>
      </c>
      <c r="N109" s="15">
        <f>LCOE!R135+N108-N108*LCOE!F$25</f>
        <v>1</v>
      </c>
      <c r="O109" s="18">
        <f>LCOE!S135+LCOE!F$29</f>
        <v>313.75</v>
      </c>
      <c r="P109" s="12">
        <f>LCOE!T135+IF(A109&gt;=LCOE!F$30,100%,0%)</f>
        <v>1</v>
      </c>
      <c r="Q109" s="16">
        <f>LCOE!U135+O109/1000*IF(LCOE!F$14&gt;0,G109,H109)</f>
        <v>0</v>
      </c>
      <c r="R109" s="16">
        <f>LCOE!B135</f>
        <v>30</v>
      </c>
      <c r="S109" s="16">
        <f>LCOE!V135+Q109*P109*R109</f>
        <v>0</v>
      </c>
      <c r="T109" s="16">
        <f>LCOE!W135+LCOE!F$31</f>
        <v>0</v>
      </c>
      <c r="U109" s="16">
        <f>LCOE!X135+T109*IF(LCOE!F$14&gt;0,G109,H109)</f>
        <v>0</v>
      </c>
      <c r="V109" s="16">
        <f>LCOE!Y135+LCOE!F$32</f>
        <v>0</v>
      </c>
      <c r="W109" s="16">
        <f>LCOE!Z135+V109*IF(LCOE!F$14&gt;0,G109,H109)</f>
        <v>0</v>
      </c>
      <c r="X109" s="16">
        <f>LCOE!AA135+LCOE!F$34</f>
        <v>101</v>
      </c>
      <c r="Y109" s="16">
        <f t="shared" si="15"/>
        <v>0</v>
      </c>
      <c r="Z109" s="50">
        <f t="shared" si="18"/>
        <v>0</v>
      </c>
      <c r="AA109" s="50">
        <f t="shared" si="19"/>
        <v>0</v>
      </c>
      <c r="AB109" s="50">
        <f t="shared" si="20"/>
        <v>0</v>
      </c>
      <c r="AC109" s="50">
        <f t="shared" si="16"/>
        <v>0</v>
      </c>
      <c r="AD109" s="50">
        <f t="shared" si="11"/>
        <v>0</v>
      </c>
      <c r="AE109">
        <f t="shared" si="17"/>
        <v>30</v>
      </c>
      <c r="AF109" s="12">
        <f>LCOE!E135+LCOE!F$40</f>
        <v>0.05</v>
      </c>
      <c r="AG109">
        <f t="shared" si="12"/>
        <v>6.7047511544044287</v>
      </c>
      <c r="AH109" s="16">
        <f t="shared" ref="AH109:AH170" si="21">Z109/AG109</f>
        <v>0</v>
      </c>
      <c r="AI109" s="16">
        <f t="shared" ref="AI109:AI170" si="22">AA109/AG109</f>
        <v>0</v>
      </c>
      <c r="AJ109" s="16">
        <f t="shared" ref="AJ109:AJ170" si="23">AB109/AG109</f>
        <v>0</v>
      </c>
      <c r="AK109" s="16">
        <f t="shared" ref="AK109:AK170" si="24">AC109/AG109</f>
        <v>0</v>
      </c>
      <c r="AL109" s="16">
        <f t="shared" si="13"/>
        <v>0</v>
      </c>
      <c r="AM109" s="16">
        <f t="shared" si="14"/>
        <v>0</v>
      </c>
      <c r="AN109" s="16">
        <f>IF(LCOE!F$14&gt;0,G109,H109)/AG109</f>
        <v>0</v>
      </c>
    </row>
    <row r="110" spans="1:40">
      <c r="A110">
        <v>40</v>
      </c>
      <c r="C110" s="16">
        <f>LCOE!F136+IF(AND(LCOE!F$26&gt;0,A110&gt;=LCOE!F$26,A110&lt;=(LCOE!F$26+LCOE!F$27-1)),LCOE!F$42/LCOE!F$27,0)+IF(AND(D110=0,AE110&gt;=LCOE!F$16,COUNTIF(D85:D110,0)=LCOE!F$36),LCOE!F$35*LCOE!F$38,0)</f>
        <v>0</v>
      </c>
      <c r="D110" s="16">
        <f>IF(AE109&lt;LCOE!F$16,1,0)</f>
        <v>0</v>
      </c>
      <c r="E110" s="12">
        <f>LCOE!G136+IF(AND(A110&gt;=LCOE!F$26,A110&lt;=(LCOE!F$26+LCOE!F$27-1)),0,1)*IF(A110=LCOE!F$34,0,1)*D110</f>
        <v>0</v>
      </c>
      <c r="F110" s="12">
        <f>IF(F109&lt;LCOE!F$18,MIN(F109*(1+LCOE!F$19),LCOE!F$18),LCOE!F$18)+LCOE!J136</f>
        <v>0.9</v>
      </c>
      <c r="G110" s="16">
        <f>LCOE!K136+E110*F110*N110*(LCOE!F$14+LCOE!H136)*24*365*D110</f>
        <v>0</v>
      </c>
      <c r="H110" s="16">
        <f>LCOE!L136+F110*(LCOE!F$15+LCOE!I136)*E110*24*365*D110*N110</f>
        <v>0</v>
      </c>
      <c r="I110" s="16">
        <f>LCOE!M136+LCOE!F$20*IF(LCOE!F$14&gt;0,(LCOE!F$14+LCOE!H136),(LCOE!F$15+LCOE!I136))*K110*D110</f>
        <v>0</v>
      </c>
      <c r="J110" s="16">
        <f>LCOE!N136+LCOE!F$21*IF(LCOE!F$14&gt;0,G110,H110)*K110*D110</f>
        <v>0</v>
      </c>
      <c r="K110" s="15">
        <f>LCOE!O136+K109+K109*LCOE!F$22</f>
        <v>1</v>
      </c>
      <c r="L110" s="16">
        <f>LCOE!P136+LCOE!F$23*IF(LCOE!F$14&gt;0,G110,H110)*M110*D110</f>
        <v>0</v>
      </c>
      <c r="M110" s="15">
        <f>LCOE!Q136+M109+M109*LCOE!F$24</f>
        <v>1</v>
      </c>
      <c r="N110" s="15">
        <f>LCOE!R136+N109-N109*LCOE!F$25</f>
        <v>1</v>
      </c>
      <c r="O110" s="18">
        <f>LCOE!S136+LCOE!F$29</f>
        <v>313.75</v>
      </c>
      <c r="P110" s="12">
        <f>LCOE!T136+IF(A110&gt;=LCOE!F$30,100%,0%)</f>
        <v>1</v>
      </c>
      <c r="Q110" s="16">
        <f>LCOE!U136+O110/1000*IF(LCOE!F$14&gt;0,G110,H110)</f>
        <v>0</v>
      </c>
      <c r="R110" s="16">
        <f>LCOE!B136</f>
        <v>30</v>
      </c>
      <c r="S110" s="16">
        <f>LCOE!V136+Q110*P110*R110</f>
        <v>0</v>
      </c>
      <c r="T110" s="16">
        <f>LCOE!W136+LCOE!F$31</f>
        <v>0</v>
      </c>
      <c r="U110" s="16">
        <f>LCOE!X136+T110*IF(LCOE!F$14&gt;0,G110,H110)</f>
        <v>0</v>
      </c>
      <c r="V110" s="16">
        <f>LCOE!Y136+LCOE!F$32</f>
        <v>0</v>
      </c>
      <c r="W110" s="16">
        <f>LCOE!Z136+V110*IF(LCOE!F$14&gt;0,G110,H110)</f>
        <v>0</v>
      </c>
      <c r="X110" s="16">
        <f>LCOE!AA136+LCOE!F$34</f>
        <v>101</v>
      </c>
      <c r="Y110" s="16">
        <f t="shared" si="15"/>
        <v>0</v>
      </c>
      <c r="Z110" s="50">
        <f t="shared" si="18"/>
        <v>0</v>
      </c>
      <c r="AA110" s="50">
        <f t="shared" si="19"/>
        <v>0</v>
      </c>
      <c r="AB110" s="50">
        <f t="shared" si="20"/>
        <v>0</v>
      </c>
      <c r="AC110" s="50">
        <f t="shared" si="16"/>
        <v>0</v>
      </c>
      <c r="AD110" s="50">
        <f t="shared" ref="AD110:AD170" si="25">S110</f>
        <v>0</v>
      </c>
      <c r="AE110">
        <f t="shared" si="17"/>
        <v>30</v>
      </c>
      <c r="AF110" s="12">
        <f>LCOE!E136+LCOE!F$40</f>
        <v>0.05</v>
      </c>
      <c r="AG110">
        <f t="shared" ref="AG110:AG170" si="26">(1+AF110)^A110</f>
        <v>7.0399887121246492</v>
      </c>
      <c r="AH110" s="16">
        <f t="shared" si="21"/>
        <v>0</v>
      </c>
      <c r="AI110" s="16">
        <f t="shared" si="22"/>
        <v>0</v>
      </c>
      <c r="AJ110" s="16">
        <f t="shared" si="23"/>
        <v>0</v>
      </c>
      <c r="AK110" s="16">
        <f t="shared" si="24"/>
        <v>0</v>
      </c>
      <c r="AL110" s="16">
        <f t="shared" ref="AL110:AL170" si="27">AD110/AG110</f>
        <v>0</v>
      </c>
      <c r="AM110" s="16">
        <f t="shared" si="14"/>
        <v>0</v>
      </c>
      <c r="AN110" s="16">
        <f>IF(LCOE!F$14&gt;0,G110,H110)/AG110</f>
        <v>0</v>
      </c>
    </row>
    <row r="111" spans="1:40">
      <c r="A111">
        <v>41</v>
      </c>
      <c r="C111" s="16">
        <f>LCOE!F137+IF(AND(LCOE!F$26&gt;0,A111&gt;=LCOE!F$26,A111&lt;=(LCOE!F$26+LCOE!F$27-1)),LCOE!F$42/LCOE!F$27,0)+IF(AND(D111=0,AE111&gt;=LCOE!F$16,COUNTIF(D86:D111,0)=LCOE!F$36),LCOE!F$35*LCOE!F$38,0)</f>
        <v>0</v>
      </c>
      <c r="D111" s="16">
        <f>IF(AE110&lt;LCOE!F$16,1,0)</f>
        <v>0</v>
      </c>
      <c r="E111" s="12">
        <f>LCOE!G137+IF(AND(A111&gt;=LCOE!F$26,A111&lt;=(LCOE!F$26+LCOE!F$27-1)),0,1)*IF(A111=LCOE!F$34,0,1)*D111</f>
        <v>0</v>
      </c>
      <c r="F111" s="12">
        <f>IF(F110&lt;LCOE!F$18,MIN(F110*(1+LCOE!F$19),LCOE!F$18),LCOE!F$18)+LCOE!J137</f>
        <v>0.9</v>
      </c>
      <c r="G111" s="16">
        <f>LCOE!K137+E111*F111*N111*(LCOE!F$14+LCOE!H137)*24*365*D111</f>
        <v>0</v>
      </c>
      <c r="H111" s="16">
        <f>LCOE!L137+F111*(LCOE!F$15+LCOE!I137)*E111*24*365*D111*N111</f>
        <v>0</v>
      </c>
      <c r="I111" s="16">
        <f>LCOE!M137+LCOE!F$20*IF(LCOE!F$14&gt;0,(LCOE!F$14+LCOE!H137),(LCOE!F$15+LCOE!I137))*K111*D111</f>
        <v>0</v>
      </c>
      <c r="J111" s="16">
        <f>LCOE!N137+LCOE!F$21*IF(LCOE!F$14&gt;0,G111,H111)*K111*D111</f>
        <v>0</v>
      </c>
      <c r="K111" s="15">
        <f>LCOE!O137+K110+K110*LCOE!F$22</f>
        <v>1</v>
      </c>
      <c r="L111" s="16">
        <f>LCOE!P137+LCOE!F$23*IF(LCOE!F$14&gt;0,G111,H111)*M111*D111</f>
        <v>0</v>
      </c>
      <c r="M111" s="15">
        <f>LCOE!Q137+M110+M110*LCOE!F$24</f>
        <v>1</v>
      </c>
      <c r="N111" s="15">
        <f>LCOE!R137+N110-N110*LCOE!F$25</f>
        <v>1</v>
      </c>
      <c r="O111" s="18">
        <f>LCOE!S137+LCOE!F$29</f>
        <v>313.75</v>
      </c>
      <c r="P111" s="12">
        <f>LCOE!T137+IF(A111&gt;=LCOE!F$30,100%,0%)</f>
        <v>1</v>
      </c>
      <c r="Q111" s="16">
        <f>LCOE!U137+O111/1000*IF(LCOE!F$14&gt;0,G111,H111)</f>
        <v>0</v>
      </c>
      <c r="R111" s="16">
        <f>LCOE!B137</f>
        <v>30</v>
      </c>
      <c r="S111" s="16">
        <f>LCOE!V137+Q111*P111*R111</f>
        <v>0</v>
      </c>
      <c r="T111" s="16">
        <f>LCOE!W137+LCOE!F$31</f>
        <v>0</v>
      </c>
      <c r="U111" s="16">
        <f>LCOE!X137+T111*IF(LCOE!F$14&gt;0,G111,H111)</f>
        <v>0</v>
      </c>
      <c r="V111" s="16">
        <f>LCOE!Y137+LCOE!F$32</f>
        <v>0</v>
      </c>
      <c r="W111" s="16">
        <f>LCOE!Z137+V111*IF(LCOE!F$14&gt;0,G111,H111)</f>
        <v>0</v>
      </c>
      <c r="X111" s="16">
        <f>LCOE!AA137+LCOE!F$34</f>
        <v>101</v>
      </c>
      <c r="Y111" s="16">
        <f t="shared" si="15"/>
        <v>0</v>
      </c>
      <c r="Z111" s="50">
        <f t="shared" si="18"/>
        <v>0</v>
      </c>
      <c r="AA111" s="50">
        <f t="shared" si="19"/>
        <v>0</v>
      </c>
      <c r="AB111" s="50">
        <f t="shared" si="20"/>
        <v>0</v>
      </c>
      <c r="AC111" s="50">
        <f t="shared" si="16"/>
        <v>0</v>
      </c>
      <c r="AD111" s="50">
        <f t="shared" si="25"/>
        <v>0</v>
      </c>
      <c r="AE111">
        <f t="shared" si="17"/>
        <v>30</v>
      </c>
      <c r="AF111" s="12">
        <f>LCOE!E137+LCOE!F$40</f>
        <v>0.05</v>
      </c>
      <c r="AG111">
        <f t="shared" si="26"/>
        <v>7.3919881477308822</v>
      </c>
      <c r="AH111" s="16">
        <f t="shared" si="21"/>
        <v>0</v>
      </c>
      <c r="AI111" s="16">
        <f t="shared" si="22"/>
        <v>0</v>
      </c>
      <c r="AJ111" s="16">
        <f t="shared" si="23"/>
        <v>0</v>
      </c>
      <c r="AK111" s="16">
        <f t="shared" si="24"/>
        <v>0</v>
      </c>
      <c r="AL111" s="16">
        <f t="shared" si="27"/>
        <v>0</v>
      </c>
      <c r="AM111" s="16">
        <f t="shared" si="14"/>
        <v>0</v>
      </c>
      <c r="AN111" s="16">
        <f>IF(LCOE!F$14&gt;0,G111,H111)/AG111</f>
        <v>0</v>
      </c>
    </row>
    <row r="112" spans="1:40">
      <c r="A112">
        <v>42</v>
      </c>
      <c r="C112" s="16">
        <f>LCOE!F138+IF(AND(LCOE!F$26&gt;0,A112&gt;=LCOE!F$26,A112&lt;=(LCOE!F$26+LCOE!F$27-1)),LCOE!F$42/LCOE!F$27,0)+IF(AND(D112=0,AE112&gt;=LCOE!F$16,COUNTIF(D87:D112,0)=LCOE!F$36),LCOE!F$35*LCOE!F$38,0)</f>
        <v>0</v>
      </c>
      <c r="D112" s="16">
        <f>IF(AE111&lt;LCOE!F$16,1,0)</f>
        <v>0</v>
      </c>
      <c r="E112" s="12">
        <f>LCOE!G138+IF(AND(A112&gt;=LCOE!F$26,A112&lt;=(LCOE!F$26+LCOE!F$27-1)),0,1)*IF(A112=LCOE!F$34,0,1)*D112</f>
        <v>0</v>
      </c>
      <c r="F112" s="12">
        <f>IF(F111&lt;LCOE!F$18,MIN(F111*(1+LCOE!F$19),LCOE!F$18),LCOE!F$18)+LCOE!J138</f>
        <v>0.9</v>
      </c>
      <c r="G112" s="16">
        <f>LCOE!K138+E112*F112*N112*(LCOE!F$14+LCOE!H138)*24*365*D112</f>
        <v>0</v>
      </c>
      <c r="H112" s="16">
        <f>LCOE!L138+F112*(LCOE!F$15+LCOE!I138)*E112*24*365*D112*N112</f>
        <v>0</v>
      </c>
      <c r="I112" s="16">
        <f>LCOE!M138+LCOE!F$20*IF(LCOE!F$14&gt;0,(LCOE!F$14+LCOE!H138),(LCOE!F$15+LCOE!I138))*K112*D112</f>
        <v>0</v>
      </c>
      <c r="J112" s="16">
        <f>LCOE!N138+LCOE!F$21*IF(LCOE!F$14&gt;0,G112,H112)*K112*D112</f>
        <v>0</v>
      </c>
      <c r="K112" s="15">
        <f>LCOE!O138+K111+K111*LCOE!F$22</f>
        <v>1</v>
      </c>
      <c r="L112" s="16">
        <f>LCOE!P138+LCOE!F$23*IF(LCOE!F$14&gt;0,G112,H112)*M112*D112</f>
        <v>0</v>
      </c>
      <c r="M112" s="15">
        <f>LCOE!Q138+M111+M111*LCOE!F$24</f>
        <v>1</v>
      </c>
      <c r="N112" s="15">
        <f>LCOE!R138+N111-N111*LCOE!F$25</f>
        <v>1</v>
      </c>
      <c r="O112" s="18">
        <f>LCOE!S138+LCOE!F$29</f>
        <v>313.75</v>
      </c>
      <c r="P112" s="12">
        <f>LCOE!T138+IF(A112&gt;=LCOE!F$30,100%,0%)</f>
        <v>1</v>
      </c>
      <c r="Q112" s="16">
        <f>LCOE!U138+O112/1000*IF(LCOE!F$14&gt;0,G112,H112)</f>
        <v>0</v>
      </c>
      <c r="R112" s="16">
        <f>LCOE!B138</f>
        <v>30</v>
      </c>
      <c r="S112" s="16">
        <f>LCOE!V138+Q112*P112*R112</f>
        <v>0</v>
      </c>
      <c r="T112" s="16">
        <f>LCOE!W138+LCOE!F$31</f>
        <v>0</v>
      </c>
      <c r="U112" s="16">
        <f>LCOE!X138+T112*IF(LCOE!F$14&gt;0,G112,H112)</f>
        <v>0</v>
      </c>
      <c r="V112" s="16">
        <f>LCOE!Y138+LCOE!F$32</f>
        <v>0</v>
      </c>
      <c r="W112" s="16">
        <f>LCOE!Z138+V112*IF(LCOE!F$14&gt;0,G112,H112)</f>
        <v>0</v>
      </c>
      <c r="X112" s="16">
        <f>LCOE!AA138+LCOE!F$34</f>
        <v>101</v>
      </c>
      <c r="Y112" s="16">
        <f t="shared" si="15"/>
        <v>0</v>
      </c>
      <c r="Z112" s="50">
        <f t="shared" si="18"/>
        <v>0</v>
      </c>
      <c r="AA112" s="50">
        <f t="shared" si="19"/>
        <v>0</v>
      </c>
      <c r="AB112" s="50">
        <f t="shared" si="20"/>
        <v>0</v>
      </c>
      <c r="AC112" s="50">
        <f t="shared" si="16"/>
        <v>0</v>
      </c>
      <c r="AD112" s="50">
        <f t="shared" si="25"/>
        <v>0</v>
      </c>
      <c r="AE112">
        <f t="shared" si="17"/>
        <v>30</v>
      </c>
      <c r="AF112" s="12">
        <f>LCOE!E138+LCOE!F$40</f>
        <v>0.05</v>
      </c>
      <c r="AG112">
        <f t="shared" si="26"/>
        <v>7.7615875551174263</v>
      </c>
      <c r="AH112" s="16">
        <f t="shared" si="21"/>
        <v>0</v>
      </c>
      <c r="AI112" s="16">
        <f t="shared" si="22"/>
        <v>0</v>
      </c>
      <c r="AJ112" s="16">
        <f t="shared" si="23"/>
        <v>0</v>
      </c>
      <c r="AK112" s="16">
        <f t="shared" si="24"/>
        <v>0</v>
      </c>
      <c r="AL112" s="16">
        <f t="shared" si="27"/>
        <v>0</v>
      </c>
      <c r="AM112" s="16">
        <f t="shared" si="14"/>
        <v>0</v>
      </c>
      <c r="AN112" s="16">
        <f>IF(LCOE!F$14&gt;0,G112,H112)/AG112</f>
        <v>0</v>
      </c>
    </row>
    <row r="113" spans="1:40">
      <c r="A113">
        <v>43</v>
      </c>
      <c r="C113" s="16">
        <f>LCOE!F139+IF(AND(LCOE!F$26&gt;0,A113&gt;=LCOE!F$26,A113&lt;=(LCOE!F$26+LCOE!F$27-1)),LCOE!F$42/LCOE!F$27,0)+IF(AND(D113=0,AE113&gt;=LCOE!F$16,COUNTIF(D88:D113,0)=LCOE!F$36),LCOE!F$35*LCOE!F$38,0)</f>
        <v>0</v>
      </c>
      <c r="D113" s="16">
        <f>IF(AE112&lt;LCOE!F$16,1,0)</f>
        <v>0</v>
      </c>
      <c r="E113" s="12">
        <f>LCOE!G139+IF(AND(A113&gt;=LCOE!F$26,A113&lt;=(LCOE!F$26+LCOE!F$27-1)),0,1)*IF(A113=LCOE!F$34,0,1)*D113</f>
        <v>0</v>
      </c>
      <c r="F113" s="12">
        <f>IF(F112&lt;LCOE!F$18,MIN(F112*(1+LCOE!F$19),LCOE!F$18),LCOE!F$18)+LCOE!J139</f>
        <v>0.9</v>
      </c>
      <c r="G113" s="16">
        <f>LCOE!K139+E113*F113*N113*(LCOE!F$14+LCOE!H139)*24*365*D113</f>
        <v>0</v>
      </c>
      <c r="H113" s="16">
        <f>LCOE!L139+F113*(LCOE!F$15+LCOE!I139)*E113*24*365*D113*N113</f>
        <v>0</v>
      </c>
      <c r="I113" s="16">
        <f>LCOE!M139+LCOE!F$20*IF(LCOE!F$14&gt;0,(LCOE!F$14+LCOE!H139),(LCOE!F$15+LCOE!I139))*K113*D113</f>
        <v>0</v>
      </c>
      <c r="J113" s="16">
        <f>LCOE!N139+LCOE!F$21*IF(LCOE!F$14&gt;0,G113,H113)*K113*D113</f>
        <v>0</v>
      </c>
      <c r="K113" s="15">
        <f>LCOE!O139+K112+K112*LCOE!F$22</f>
        <v>1</v>
      </c>
      <c r="L113" s="16">
        <f>LCOE!P139+LCOE!F$23*IF(LCOE!F$14&gt;0,G113,H113)*M113*D113</f>
        <v>0</v>
      </c>
      <c r="M113" s="15">
        <f>LCOE!Q139+M112+M112*LCOE!F$24</f>
        <v>1</v>
      </c>
      <c r="N113" s="15">
        <f>LCOE!R139+N112-N112*LCOE!F$25</f>
        <v>1</v>
      </c>
      <c r="O113" s="18">
        <f>LCOE!S139+LCOE!F$29</f>
        <v>313.75</v>
      </c>
      <c r="P113" s="12">
        <f>LCOE!T139+IF(A113&gt;=LCOE!F$30,100%,0%)</f>
        <v>1</v>
      </c>
      <c r="Q113" s="16">
        <f>LCOE!U139+O113/1000*IF(LCOE!F$14&gt;0,G113,H113)</f>
        <v>0</v>
      </c>
      <c r="R113" s="16">
        <f>LCOE!B139</f>
        <v>30</v>
      </c>
      <c r="S113" s="16">
        <f>LCOE!V139+Q113*P113*R113</f>
        <v>0</v>
      </c>
      <c r="T113" s="16">
        <f>LCOE!W139+LCOE!F$31</f>
        <v>0</v>
      </c>
      <c r="U113" s="16">
        <f>LCOE!X139+T113*IF(LCOE!F$14&gt;0,G113,H113)</f>
        <v>0</v>
      </c>
      <c r="V113" s="16">
        <f>LCOE!Y139+LCOE!F$32</f>
        <v>0</v>
      </c>
      <c r="W113" s="16">
        <f>LCOE!Z139+V113*IF(LCOE!F$14&gt;0,G113,H113)</f>
        <v>0</v>
      </c>
      <c r="X113" s="16">
        <f>LCOE!AA139+LCOE!F$34</f>
        <v>101</v>
      </c>
      <c r="Y113" s="16">
        <f t="shared" si="15"/>
        <v>0</v>
      </c>
      <c r="Z113" s="50">
        <f t="shared" si="18"/>
        <v>0</v>
      </c>
      <c r="AA113" s="50">
        <f t="shared" si="19"/>
        <v>0</v>
      </c>
      <c r="AB113" s="50">
        <f t="shared" si="20"/>
        <v>0</v>
      </c>
      <c r="AC113" s="50">
        <f t="shared" si="16"/>
        <v>0</v>
      </c>
      <c r="AD113" s="50">
        <f t="shared" si="25"/>
        <v>0</v>
      </c>
      <c r="AE113">
        <f t="shared" si="17"/>
        <v>30</v>
      </c>
      <c r="AF113" s="12">
        <f>LCOE!E139+LCOE!F$40</f>
        <v>0.05</v>
      </c>
      <c r="AG113">
        <f t="shared" si="26"/>
        <v>8.1496669328732985</v>
      </c>
      <c r="AH113" s="16">
        <f t="shared" si="21"/>
        <v>0</v>
      </c>
      <c r="AI113" s="16">
        <f t="shared" si="22"/>
        <v>0</v>
      </c>
      <c r="AJ113" s="16">
        <f t="shared" si="23"/>
        <v>0</v>
      </c>
      <c r="AK113" s="16">
        <f t="shared" si="24"/>
        <v>0</v>
      </c>
      <c r="AL113" s="16">
        <f t="shared" si="27"/>
        <v>0</v>
      </c>
      <c r="AM113" s="16">
        <f t="shared" si="14"/>
        <v>0</v>
      </c>
      <c r="AN113" s="16">
        <f>IF(LCOE!F$14&gt;0,G113,H113)/AG113</f>
        <v>0</v>
      </c>
    </row>
    <row r="114" spans="1:40">
      <c r="A114">
        <v>44</v>
      </c>
      <c r="C114" s="16">
        <f>LCOE!F140+IF(AND(LCOE!F$26&gt;0,A114&gt;=LCOE!F$26,A114&lt;=(LCOE!F$26+LCOE!F$27-1)),LCOE!F$42/LCOE!F$27,0)+IF(AND(D114=0,AE114&gt;=LCOE!F$16,COUNTIF(D89:D114,0)=LCOE!F$36),LCOE!F$35*LCOE!F$38,0)</f>
        <v>0</v>
      </c>
      <c r="D114" s="16">
        <f>IF(AE113&lt;LCOE!F$16,1,0)</f>
        <v>0</v>
      </c>
      <c r="E114" s="12">
        <f>LCOE!G140+IF(AND(A114&gt;=LCOE!F$26,A114&lt;=(LCOE!F$26+LCOE!F$27-1)),0,1)*IF(A114=LCOE!F$34,0,1)*D114</f>
        <v>0</v>
      </c>
      <c r="F114" s="12">
        <f>IF(F113&lt;LCOE!F$18,MIN(F113*(1+LCOE!F$19),LCOE!F$18),LCOE!F$18)+LCOE!J140</f>
        <v>0.9</v>
      </c>
      <c r="G114" s="16">
        <f>LCOE!K140+E114*F114*N114*(LCOE!F$14+LCOE!H140)*24*365*D114</f>
        <v>0</v>
      </c>
      <c r="H114" s="16">
        <f>LCOE!L140+F114*(LCOE!F$15+LCOE!I140)*E114*24*365*D114*N114</f>
        <v>0</v>
      </c>
      <c r="I114" s="16">
        <f>LCOE!M140+LCOE!F$20*IF(LCOE!F$14&gt;0,(LCOE!F$14+LCOE!H140),(LCOE!F$15+LCOE!I140))*K114*D114</f>
        <v>0</v>
      </c>
      <c r="J114" s="16">
        <f>LCOE!N140+LCOE!F$21*IF(LCOE!F$14&gt;0,G114,H114)*K114*D114</f>
        <v>0</v>
      </c>
      <c r="K114" s="15">
        <f>LCOE!O140+K113+K113*LCOE!F$22</f>
        <v>1</v>
      </c>
      <c r="L114" s="16">
        <f>LCOE!P140+LCOE!F$23*IF(LCOE!F$14&gt;0,G114,H114)*M114*D114</f>
        <v>0</v>
      </c>
      <c r="M114" s="15">
        <f>LCOE!Q140+M113+M113*LCOE!F$24</f>
        <v>1</v>
      </c>
      <c r="N114" s="15">
        <f>LCOE!R140+N113-N113*LCOE!F$25</f>
        <v>1</v>
      </c>
      <c r="O114" s="18">
        <f>LCOE!S140+LCOE!F$29</f>
        <v>313.75</v>
      </c>
      <c r="P114" s="12">
        <f>LCOE!T140+IF(A114&gt;=LCOE!F$30,100%,0%)</f>
        <v>1</v>
      </c>
      <c r="Q114" s="16">
        <f>LCOE!U140+O114/1000*IF(LCOE!F$14&gt;0,G114,H114)</f>
        <v>0</v>
      </c>
      <c r="R114" s="16">
        <f>LCOE!B140</f>
        <v>30</v>
      </c>
      <c r="S114" s="16">
        <f>LCOE!V140+Q114*P114*R114</f>
        <v>0</v>
      </c>
      <c r="T114" s="16">
        <f>LCOE!W140+LCOE!F$31</f>
        <v>0</v>
      </c>
      <c r="U114" s="16">
        <f>LCOE!X140+T114*IF(LCOE!F$14&gt;0,G114,H114)</f>
        <v>0</v>
      </c>
      <c r="V114" s="16">
        <f>LCOE!Y140+LCOE!F$32</f>
        <v>0</v>
      </c>
      <c r="W114" s="16">
        <f>LCOE!Z140+V114*IF(LCOE!F$14&gt;0,G114,H114)</f>
        <v>0</v>
      </c>
      <c r="X114" s="16">
        <f>LCOE!AA140+LCOE!F$34</f>
        <v>101</v>
      </c>
      <c r="Y114" s="16">
        <f t="shared" si="15"/>
        <v>0</v>
      </c>
      <c r="Z114" s="50">
        <f t="shared" si="18"/>
        <v>0</v>
      </c>
      <c r="AA114" s="50">
        <f t="shared" si="19"/>
        <v>0</v>
      </c>
      <c r="AB114" s="50">
        <f t="shared" si="20"/>
        <v>0</v>
      </c>
      <c r="AC114" s="50">
        <f t="shared" si="16"/>
        <v>0</v>
      </c>
      <c r="AD114" s="50">
        <f t="shared" si="25"/>
        <v>0</v>
      </c>
      <c r="AE114">
        <f t="shared" si="17"/>
        <v>30</v>
      </c>
      <c r="AF114" s="12">
        <f>LCOE!E140+LCOE!F$40</f>
        <v>0.05</v>
      </c>
      <c r="AG114">
        <f t="shared" si="26"/>
        <v>8.5571502795169625</v>
      </c>
      <c r="AH114" s="16">
        <f t="shared" si="21"/>
        <v>0</v>
      </c>
      <c r="AI114" s="16">
        <f t="shared" si="22"/>
        <v>0</v>
      </c>
      <c r="AJ114" s="16">
        <f t="shared" si="23"/>
        <v>0</v>
      </c>
      <c r="AK114" s="16">
        <f t="shared" si="24"/>
        <v>0</v>
      </c>
      <c r="AL114" s="16">
        <f t="shared" si="27"/>
        <v>0</v>
      </c>
      <c r="AM114" s="16">
        <f t="shared" si="14"/>
        <v>0</v>
      </c>
      <c r="AN114" s="16">
        <f>IF(LCOE!F$14&gt;0,G114,H114)/AG114</f>
        <v>0</v>
      </c>
    </row>
    <row r="115" spans="1:40">
      <c r="A115">
        <v>45</v>
      </c>
      <c r="C115" s="16">
        <f>LCOE!F141+IF(AND(LCOE!F$26&gt;0,A115&gt;=LCOE!F$26,A115&lt;=(LCOE!F$26+LCOE!F$27-1)),LCOE!F$42/LCOE!F$27,0)+IF(AND(D115=0,AE115&gt;=LCOE!F$16,COUNTIF(D90:D115,0)=LCOE!F$36),LCOE!F$35*LCOE!F$38,0)</f>
        <v>0</v>
      </c>
      <c r="D115" s="16">
        <f>IF(AE114&lt;LCOE!F$16,1,0)</f>
        <v>0</v>
      </c>
      <c r="E115" s="12">
        <f>LCOE!G141+IF(AND(A115&gt;=LCOE!F$26,A115&lt;=(LCOE!F$26+LCOE!F$27-1)),0,1)*IF(A115=LCOE!F$34,0,1)*D115</f>
        <v>0</v>
      </c>
      <c r="F115" s="12">
        <f>IF(F114&lt;LCOE!F$18,MIN(F114*(1+LCOE!F$19),LCOE!F$18),LCOE!F$18)+LCOE!J141</f>
        <v>0.9</v>
      </c>
      <c r="G115" s="16">
        <f>LCOE!K141+E115*F115*N115*(LCOE!F$14+LCOE!H141)*24*365*D115</f>
        <v>0</v>
      </c>
      <c r="H115" s="16">
        <f>LCOE!L141+F115*(LCOE!F$15+LCOE!I141)*E115*24*365*D115*N115</f>
        <v>0</v>
      </c>
      <c r="I115" s="16">
        <f>LCOE!M141+LCOE!F$20*IF(LCOE!F$14&gt;0,(LCOE!F$14+LCOE!H141),(LCOE!F$15+LCOE!I141))*K115*D115</f>
        <v>0</v>
      </c>
      <c r="J115" s="16">
        <f>LCOE!N141+LCOE!F$21*IF(LCOE!F$14&gt;0,G115,H115)*K115*D115</f>
        <v>0</v>
      </c>
      <c r="K115" s="15">
        <f>LCOE!O141+K114+K114*LCOE!F$22</f>
        <v>1</v>
      </c>
      <c r="L115" s="16">
        <f>LCOE!P141+LCOE!F$23*IF(LCOE!F$14&gt;0,G115,H115)*M115*D115</f>
        <v>0</v>
      </c>
      <c r="M115" s="15">
        <f>LCOE!Q141+M114+M114*LCOE!F$24</f>
        <v>1</v>
      </c>
      <c r="N115" s="15">
        <f>LCOE!R141+N114-N114*LCOE!F$25</f>
        <v>1</v>
      </c>
      <c r="O115" s="18">
        <f>LCOE!S141+LCOE!F$29</f>
        <v>313.75</v>
      </c>
      <c r="P115" s="12">
        <f>LCOE!T141+IF(A115&gt;=LCOE!F$30,100%,0%)</f>
        <v>1</v>
      </c>
      <c r="Q115" s="16">
        <f>LCOE!U141+O115/1000*IF(LCOE!F$14&gt;0,G115,H115)</f>
        <v>0</v>
      </c>
      <c r="R115" s="16">
        <f>LCOE!B141</f>
        <v>30</v>
      </c>
      <c r="S115" s="16">
        <f>LCOE!V141+Q115*P115*R115</f>
        <v>0</v>
      </c>
      <c r="T115" s="16">
        <f>LCOE!W141+LCOE!F$31</f>
        <v>0</v>
      </c>
      <c r="U115" s="16">
        <f>LCOE!X141+T115*IF(LCOE!F$14&gt;0,G115,H115)</f>
        <v>0</v>
      </c>
      <c r="V115" s="16">
        <f>LCOE!Y141+LCOE!F$32</f>
        <v>0</v>
      </c>
      <c r="W115" s="16">
        <f>LCOE!Z141+V115*IF(LCOE!F$14&gt;0,G115,H115)</f>
        <v>0</v>
      </c>
      <c r="X115" s="16">
        <f>LCOE!AA141+LCOE!F$34</f>
        <v>101</v>
      </c>
      <c r="Y115" s="16">
        <f t="shared" si="15"/>
        <v>0</v>
      </c>
      <c r="Z115" s="50">
        <f t="shared" si="18"/>
        <v>0</v>
      </c>
      <c r="AA115" s="50">
        <f t="shared" si="19"/>
        <v>0</v>
      </c>
      <c r="AB115" s="50">
        <f t="shared" si="20"/>
        <v>0</v>
      </c>
      <c r="AC115" s="50">
        <f t="shared" si="16"/>
        <v>0</v>
      </c>
      <c r="AD115" s="50">
        <f t="shared" si="25"/>
        <v>0</v>
      </c>
      <c r="AE115">
        <f t="shared" si="17"/>
        <v>30</v>
      </c>
      <c r="AF115" s="12">
        <f>LCOE!E141+LCOE!F$40</f>
        <v>0.05</v>
      </c>
      <c r="AG115">
        <f t="shared" si="26"/>
        <v>8.9850077934928123</v>
      </c>
      <c r="AH115" s="16">
        <f t="shared" si="21"/>
        <v>0</v>
      </c>
      <c r="AI115" s="16">
        <f t="shared" si="22"/>
        <v>0</v>
      </c>
      <c r="AJ115" s="16">
        <f t="shared" si="23"/>
        <v>0</v>
      </c>
      <c r="AK115" s="16">
        <f t="shared" si="24"/>
        <v>0</v>
      </c>
      <c r="AL115" s="16">
        <f t="shared" si="27"/>
        <v>0</v>
      </c>
      <c r="AM115" s="16">
        <f t="shared" si="14"/>
        <v>0</v>
      </c>
      <c r="AN115" s="16">
        <f>IF(LCOE!F$14&gt;0,G115,H115)/AG115</f>
        <v>0</v>
      </c>
    </row>
    <row r="116" spans="1:40">
      <c r="A116">
        <v>46</v>
      </c>
      <c r="C116" s="16">
        <f>LCOE!F142+IF(AND(LCOE!F$26&gt;0,A116&gt;=LCOE!F$26,A116&lt;=(LCOE!F$26+LCOE!F$27-1)),LCOE!F$42/LCOE!F$27,0)+IF(AND(D116=0,AE116&gt;=LCOE!F$16,COUNTIF(D91:D116,0)=LCOE!F$36),LCOE!F$35*LCOE!F$38,0)</f>
        <v>0</v>
      </c>
      <c r="D116" s="16">
        <f>IF(AE115&lt;LCOE!F$16,1,0)</f>
        <v>0</v>
      </c>
      <c r="E116" s="12">
        <f>LCOE!G142+IF(AND(A116&gt;=LCOE!F$26,A116&lt;=(LCOE!F$26+LCOE!F$27-1)),0,1)*IF(A116=LCOE!F$34,0,1)*D116</f>
        <v>0</v>
      </c>
      <c r="F116" s="12">
        <f>IF(F115&lt;LCOE!F$18,MIN(F115*(1+LCOE!F$19),LCOE!F$18),LCOE!F$18)+LCOE!J142</f>
        <v>0.9</v>
      </c>
      <c r="G116" s="16">
        <f>LCOE!K142+E116*F116*N116*(LCOE!F$14+LCOE!H142)*24*365*D116</f>
        <v>0</v>
      </c>
      <c r="H116" s="16">
        <f>LCOE!L142+F116*(LCOE!F$15+LCOE!I142)*E116*24*365*D116*N116</f>
        <v>0</v>
      </c>
      <c r="I116" s="16">
        <f>LCOE!M142+LCOE!F$20*IF(LCOE!F$14&gt;0,(LCOE!F$14+LCOE!H142),(LCOE!F$15+LCOE!I142))*K116*D116</f>
        <v>0</v>
      </c>
      <c r="J116" s="16">
        <f>LCOE!N142+LCOE!F$21*IF(LCOE!F$14&gt;0,G116,H116)*K116*D116</f>
        <v>0</v>
      </c>
      <c r="K116" s="15">
        <f>LCOE!O142+K115+K115*LCOE!F$22</f>
        <v>1</v>
      </c>
      <c r="L116" s="16">
        <f>LCOE!P142+LCOE!F$23*IF(LCOE!F$14&gt;0,G116,H116)*M116*D116</f>
        <v>0</v>
      </c>
      <c r="M116" s="15">
        <f>LCOE!Q142+M115+M115*LCOE!F$24</f>
        <v>1</v>
      </c>
      <c r="N116" s="15">
        <f>LCOE!R142+N115-N115*LCOE!F$25</f>
        <v>1</v>
      </c>
      <c r="O116" s="18">
        <f>LCOE!S142+LCOE!F$29</f>
        <v>313.75</v>
      </c>
      <c r="P116" s="12">
        <f>LCOE!T142+IF(A116&gt;=LCOE!F$30,100%,0%)</f>
        <v>1</v>
      </c>
      <c r="Q116" s="16">
        <f>LCOE!U142+O116/1000*IF(LCOE!F$14&gt;0,G116,H116)</f>
        <v>0</v>
      </c>
      <c r="R116" s="16">
        <f>LCOE!B142</f>
        <v>30</v>
      </c>
      <c r="S116" s="16">
        <f>LCOE!V142+Q116*P116*R116</f>
        <v>0</v>
      </c>
      <c r="T116" s="16">
        <f>LCOE!W142+LCOE!F$31</f>
        <v>0</v>
      </c>
      <c r="U116" s="16">
        <f>LCOE!X142+T116*IF(LCOE!F$14&gt;0,G116,H116)</f>
        <v>0</v>
      </c>
      <c r="V116" s="16">
        <f>LCOE!Y142+LCOE!F$32</f>
        <v>0</v>
      </c>
      <c r="W116" s="16">
        <f>LCOE!Z142+V116*IF(LCOE!F$14&gt;0,G116,H116)</f>
        <v>0</v>
      </c>
      <c r="X116" s="16">
        <f>LCOE!AA142+LCOE!F$34</f>
        <v>101</v>
      </c>
      <c r="Y116" s="16">
        <f t="shared" si="15"/>
        <v>0</v>
      </c>
      <c r="Z116" s="50">
        <f t="shared" si="18"/>
        <v>0</v>
      </c>
      <c r="AA116" s="50">
        <f t="shared" si="19"/>
        <v>0</v>
      </c>
      <c r="AB116" s="50">
        <f t="shared" si="20"/>
        <v>0</v>
      </c>
      <c r="AC116" s="50">
        <f t="shared" si="16"/>
        <v>0</v>
      </c>
      <c r="AD116" s="50">
        <f t="shared" si="25"/>
        <v>0</v>
      </c>
      <c r="AE116">
        <f t="shared" si="17"/>
        <v>30</v>
      </c>
      <c r="AF116" s="12">
        <f>LCOE!E142+LCOE!F$40</f>
        <v>0.05</v>
      </c>
      <c r="AG116">
        <f t="shared" si="26"/>
        <v>9.4342581831674508</v>
      </c>
      <c r="AH116" s="16">
        <f t="shared" si="21"/>
        <v>0</v>
      </c>
      <c r="AI116" s="16">
        <f t="shared" si="22"/>
        <v>0</v>
      </c>
      <c r="AJ116" s="16">
        <f t="shared" si="23"/>
        <v>0</v>
      </c>
      <c r="AK116" s="16">
        <f t="shared" si="24"/>
        <v>0</v>
      </c>
      <c r="AL116" s="16">
        <f t="shared" si="27"/>
        <v>0</v>
      </c>
      <c r="AM116" s="16">
        <f t="shared" si="14"/>
        <v>0</v>
      </c>
      <c r="AN116" s="16">
        <f>IF(LCOE!F$14&gt;0,G116,H116)/AG116</f>
        <v>0</v>
      </c>
    </row>
    <row r="117" spans="1:40">
      <c r="A117">
        <v>47</v>
      </c>
      <c r="C117" s="16">
        <f>LCOE!F143+IF(AND(LCOE!F$26&gt;0,A117&gt;=LCOE!F$26,A117&lt;=(LCOE!F$26+LCOE!F$27-1)),LCOE!F$42/LCOE!F$27,0)+IF(AND(D117=0,AE117&gt;=LCOE!F$16,COUNTIF(D92:D117,0)=LCOE!F$36),LCOE!F$35*LCOE!F$38,0)</f>
        <v>0</v>
      </c>
      <c r="D117" s="16">
        <f>IF(AE116&lt;LCOE!F$16,1,0)</f>
        <v>0</v>
      </c>
      <c r="E117" s="12">
        <f>LCOE!G143+IF(AND(A117&gt;=LCOE!F$26,A117&lt;=(LCOE!F$26+LCOE!F$27-1)),0,1)*IF(A117=LCOE!F$34,0,1)*D117</f>
        <v>0</v>
      </c>
      <c r="F117" s="12">
        <f>IF(F116&lt;LCOE!F$18,MIN(F116*(1+LCOE!F$19),LCOE!F$18),LCOE!F$18)+LCOE!J143</f>
        <v>0.9</v>
      </c>
      <c r="G117" s="16">
        <f>LCOE!K143+E117*F117*N117*(LCOE!F$14+LCOE!H143)*24*365*D117</f>
        <v>0</v>
      </c>
      <c r="H117" s="16">
        <f>LCOE!L143+F117*(LCOE!F$15+LCOE!I143)*E117*24*365*D117*N117</f>
        <v>0</v>
      </c>
      <c r="I117" s="16">
        <f>LCOE!M143+LCOE!F$20*IF(LCOE!F$14&gt;0,(LCOE!F$14+LCOE!H143),(LCOE!F$15+LCOE!I143))*K117*D117</f>
        <v>0</v>
      </c>
      <c r="J117" s="16">
        <f>LCOE!N143+LCOE!F$21*IF(LCOE!F$14&gt;0,G117,H117)*K117*D117</f>
        <v>0</v>
      </c>
      <c r="K117" s="15">
        <f>LCOE!O143+K116+K116*LCOE!F$22</f>
        <v>1</v>
      </c>
      <c r="L117" s="16">
        <f>LCOE!P143+LCOE!F$23*IF(LCOE!F$14&gt;0,G117,H117)*M117*D117</f>
        <v>0</v>
      </c>
      <c r="M117" s="15">
        <f>LCOE!Q143+M116+M116*LCOE!F$24</f>
        <v>1</v>
      </c>
      <c r="N117" s="15">
        <f>LCOE!R143+N116-N116*LCOE!F$25</f>
        <v>1</v>
      </c>
      <c r="O117" s="18">
        <f>LCOE!S143+LCOE!F$29</f>
        <v>313.75</v>
      </c>
      <c r="P117" s="12">
        <f>LCOE!T143+IF(A117&gt;=LCOE!F$30,100%,0%)</f>
        <v>1</v>
      </c>
      <c r="Q117" s="16">
        <f>LCOE!U143+O117/1000*IF(LCOE!F$14&gt;0,G117,H117)</f>
        <v>0</v>
      </c>
      <c r="R117" s="16">
        <f>LCOE!B143</f>
        <v>30</v>
      </c>
      <c r="S117" s="16">
        <f>LCOE!V143+Q117*P117*R117</f>
        <v>0</v>
      </c>
      <c r="T117" s="16">
        <f>LCOE!W143+LCOE!F$31</f>
        <v>0</v>
      </c>
      <c r="U117" s="16">
        <f>LCOE!X143+T117*IF(LCOE!F$14&gt;0,G117,H117)</f>
        <v>0</v>
      </c>
      <c r="V117" s="16">
        <f>LCOE!Y143+LCOE!F$32</f>
        <v>0</v>
      </c>
      <c r="W117" s="16">
        <f>LCOE!Z143+V117*IF(LCOE!F$14&gt;0,G117,H117)</f>
        <v>0</v>
      </c>
      <c r="X117" s="16">
        <f>LCOE!AA143+LCOE!F$34</f>
        <v>101</v>
      </c>
      <c r="Y117" s="16">
        <f t="shared" si="15"/>
        <v>0</v>
      </c>
      <c r="Z117" s="50">
        <f t="shared" si="18"/>
        <v>0</v>
      </c>
      <c r="AA117" s="50">
        <f t="shared" si="19"/>
        <v>0</v>
      </c>
      <c r="AB117" s="50">
        <f t="shared" si="20"/>
        <v>0</v>
      </c>
      <c r="AC117" s="50">
        <f t="shared" si="16"/>
        <v>0</v>
      </c>
      <c r="AD117" s="50">
        <f t="shared" si="25"/>
        <v>0</v>
      </c>
      <c r="AE117">
        <f t="shared" si="17"/>
        <v>30</v>
      </c>
      <c r="AF117" s="12">
        <f>LCOE!E143+LCOE!F$40</f>
        <v>0.05</v>
      </c>
      <c r="AG117">
        <f t="shared" si="26"/>
        <v>9.9059710923258262</v>
      </c>
      <c r="AH117" s="16">
        <f t="shared" si="21"/>
        <v>0</v>
      </c>
      <c r="AI117" s="16">
        <f t="shared" si="22"/>
        <v>0</v>
      </c>
      <c r="AJ117" s="16">
        <f t="shared" si="23"/>
        <v>0</v>
      </c>
      <c r="AK117" s="16">
        <f t="shared" si="24"/>
        <v>0</v>
      </c>
      <c r="AL117" s="16">
        <f t="shared" si="27"/>
        <v>0</v>
      </c>
      <c r="AM117" s="16">
        <f t="shared" si="14"/>
        <v>0</v>
      </c>
      <c r="AN117" s="16">
        <f>IF(LCOE!F$14&gt;0,G117,H117)/AG117</f>
        <v>0</v>
      </c>
    </row>
    <row r="118" spans="1:40">
      <c r="A118">
        <v>48</v>
      </c>
      <c r="C118" s="16">
        <f>LCOE!F144+IF(AND(LCOE!F$26&gt;0,A118&gt;=LCOE!F$26,A118&lt;=(LCOE!F$26+LCOE!F$27-1)),LCOE!F$42/LCOE!F$27,0)+IF(AND(D118=0,AE118&gt;=LCOE!F$16,COUNTIF(D93:D118,0)=LCOE!F$36),LCOE!F$35*LCOE!F$38,0)</f>
        <v>0</v>
      </c>
      <c r="D118" s="16">
        <f>IF(AE117&lt;LCOE!F$16,1,0)</f>
        <v>0</v>
      </c>
      <c r="E118" s="12">
        <f>LCOE!G144+IF(AND(A118&gt;=LCOE!F$26,A118&lt;=(LCOE!F$26+LCOE!F$27-1)),0,1)*IF(A118=LCOE!F$34,0,1)*D118</f>
        <v>0</v>
      </c>
      <c r="F118" s="12">
        <f>IF(F117&lt;LCOE!F$18,MIN(F117*(1+LCOE!F$19),LCOE!F$18),LCOE!F$18)+LCOE!J144</f>
        <v>0.9</v>
      </c>
      <c r="G118" s="16">
        <f>LCOE!K144+E118*F118*N118*(LCOE!F$14+LCOE!H144)*24*365*D118</f>
        <v>0</v>
      </c>
      <c r="H118" s="16">
        <f>LCOE!L144+F118*(LCOE!F$15+LCOE!I144)*E118*24*365*D118*N118</f>
        <v>0</v>
      </c>
      <c r="I118" s="16">
        <f>LCOE!M144+LCOE!F$20*IF(LCOE!F$14&gt;0,(LCOE!F$14+LCOE!H144),(LCOE!F$15+LCOE!I144))*K118*D118</f>
        <v>0</v>
      </c>
      <c r="J118" s="16">
        <f>LCOE!N144+LCOE!F$21*IF(LCOE!F$14&gt;0,G118,H118)*K118*D118</f>
        <v>0</v>
      </c>
      <c r="K118" s="15">
        <f>LCOE!O144+K117+K117*LCOE!F$22</f>
        <v>1</v>
      </c>
      <c r="L118" s="16">
        <f>LCOE!P144+LCOE!F$23*IF(LCOE!F$14&gt;0,G118,H118)*M118*D118</f>
        <v>0</v>
      </c>
      <c r="M118" s="15">
        <f>LCOE!Q144+M117+M117*LCOE!F$24</f>
        <v>1</v>
      </c>
      <c r="N118" s="15">
        <f>LCOE!R144+N117-N117*LCOE!F$25</f>
        <v>1</v>
      </c>
      <c r="O118" s="18">
        <f>LCOE!S144+LCOE!F$29</f>
        <v>313.75</v>
      </c>
      <c r="P118" s="12">
        <f>LCOE!T144+IF(A118&gt;=LCOE!F$30,100%,0%)</f>
        <v>1</v>
      </c>
      <c r="Q118" s="16">
        <f>LCOE!U144+O118/1000*IF(LCOE!F$14&gt;0,G118,H118)</f>
        <v>0</v>
      </c>
      <c r="R118" s="16">
        <f>LCOE!B144</f>
        <v>30</v>
      </c>
      <c r="S118" s="16">
        <f>LCOE!V144+Q118*P118*R118</f>
        <v>0</v>
      </c>
      <c r="T118" s="16">
        <f>LCOE!W144+LCOE!F$31</f>
        <v>0</v>
      </c>
      <c r="U118" s="16">
        <f>LCOE!X144+T118*IF(LCOE!F$14&gt;0,G118,H118)</f>
        <v>0</v>
      </c>
      <c r="V118" s="16">
        <f>LCOE!Y144+LCOE!F$32</f>
        <v>0</v>
      </c>
      <c r="W118" s="16">
        <f>LCOE!Z144+V118*IF(LCOE!F$14&gt;0,G118,H118)</f>
        <v>0</v>
      </c>
      <c r="X118" s="16">
        <f>LCOE!AA144+LCOE!F$34</f>
        <v>101</v>
      </c>
      <c r="Y118" s="16">
        <f t="shared" si="15"/>
        <v>0</v>
      </c>
      <c r="Z118" s="50">
        <f t="shared" si="18"/>
        <v>0</v>
      </c>
      <c r="AA118" s="50">
        <f t="shared" si="19"/>
        <v>0</v>
      </c>
      <c r="AB118" s="50">
        <f t="shared" si="20"/>
        <v>0</v>
      </c>
      <c r="AC118" s="50">
        <f t="shared" si="16"/>
        <v>0</v>
      </c>
      <c r="AD118" s="50">
        <f t="shared" si="25"/>
        <v>0</v>
      </c>
      <c r="AE118">
        <f t="shared" si="17"/>
        <v>30</v>
      </c>
      <c r="AF118" s="12">
        <f>LCOE!E144+LCOE!F$40</f>
        <v>0.05</v>
      </c>
      <c r="AG118">
        <f t="shared" si="26"/>
        <v>10.401269646942117</v>
      </c>
      <c r="AH118" s="16">
        <f t="shared" si="21"/>
        <v>0</v>
      </c>
      <c r="AI118" s="16">
        <f t="shared" si="22"/>
        <v>0</v>
      </c>
      <c r="AJ118" s="16">
        <f t="shared" si="23"/>
        <v>0</v>
      </c>
      <c r="AK118" s="16">
        <f t="shared" si="24"/>
        <v>0</v>
      </c>
      <c r="AL118" s="16">
        <f t="shared" si="27"/>
        <v>0</v>
      </c>
      <c r="AM118" s="16">
        <f t="shared" si="14"/>
        <v>0</v>
      </c>
      <c r="AN118" s="16">
        <f>IF(LCOE!F$14&gt;0,G118,H118)/AG118</f>
        <v>0</v>
      </c>
    </row>
    <row r="119" spans="1:40">
      <c r="A119">
        <v>49</v>
      </c>
      <c r="C119" s="16">
        <f>LCOE!F145+IF(AND(LCOE!F$26&gt;0,A119&gt;=LCOE!F$26,A119&lt;=(LCOE!F$26+LCOE!F$27-1)),LCOE!F$42/LCOE!F$27,0)+IF(AND(D119=0,AE119&gt;=LCOE!F$16,COUNTIF(D94:D119,0)=LCOE!F$36),LCOE!F$35*LCOE!F$38,0)</f>
        <v>0</v>
      </c>
      <c r="D119" s="16">
        <f>IF(AE118&lt;LCOE!F$16,1,0)</f>
        <v>0</v>
      </c>
      <c r="E119" s="12">
        <f>LCOE!G145+IF(AND(A119&gt;=LCOE!F$26,A119&lt;=(LCOE!F$26+LCOE!F$27-1)),0,1)*IF(A119=LCOE!F$34,0,1)*D119</f>
        <v>0</v>
      </c>
      <c r="F119" s="12">
        <f>IF(F118&lt;LCOE!F$18,MIN(F118*(1+LCOE!F$19),LCOE!F$18),LCOE!F$18)+LCOE!J145</f>
        <v>0.9</v>
      </c>
      <c r="G119" s="16">
        <f>LCOE!K145+E119*F119*N119*(LCOE!F$14+LCOE!H145)*24*365*D119</f>
        <v>0</v>
      </c>
      <c r="H119" s="16">
        <f>LCOE!L145+F119*(LCOE!F$15+LCOE!I145)*E119*24*365*D119*N119</f>
        <v>0</v>
      </c>
      <c r="I119" s="16">
        <f>LCOE!M145+LCOE!F$20*IF(LCOE!F$14&gt;0,(LCOE!F$14+LCOE!H145),(LCOE!F$15+LCOE!I145))*K119*D119</f>
        <v>0</v>
      </c>
      <c r="J119" s="16">
        <f>LCOE!N145+LCOE!F$21*IF(LCOE!F$14&gt;0,G119,H119)*K119*D119</f>
        <v>0</v>
      </c>
      <c r="K119" s="15">
        <f>LCOE!O145+K118+K118*LCOE!F$22</f>
        <v>1</v>
      </c>
      <c r="L119" s="16">
        <f>LCOE!P145+LCOE!F$23*IF(LCOE!F$14&gt;0,G119,H119)*M119*D119</f>
        <v>0</v>
      </c>
      <c r="M119" s="15">
        <f>LCOE!Q145+M118+M118*LCOE!F$24</f>
        <v>1</v>
      </c>
      <c r="N119" s="15">
        <f>LCOE!R145+N118-N118*LCOE!F$25</f>
        <v>1</v>
      </c>
      <c r="O119" s="18">
        <f>LCOE!S145+LCOE!F$29</f>
        <v>313.75</v>
      </c>
      <c r="P119" s="12">
        <f>LCOE!T145+IF(A119&gt;=LCOE!F$30,100%,0%)</f>
        <v>1</v>
      </c>
      <c r="Q119" s="16">
        <f>LCOE!U145+O119/1000*IF(LCOE!F$14&gt;0,G119,H119)</f>
        <v>0</v>
      </c>
      <c r="R119" s="16">
        <f>LCOE!B145</f>
        <v>30</v>
      </c>
      <c r="S119" s="16">
        <f>LCOE!V145+Q119*P119*R119</f>
        <v>0</v>
      </c>
      <c r="T119" s="16">
        <f>LCOE!W145+LCOE!F$31</f>
        <v>0</v>
      </c>
      <c r="U119" s="16">
        <f>LCOE!X145+T119*IF(LCOE!F$14&gt;0,G119,H119)</f>
        <v>0</v>
      </c>
      <c r="V119" s="16">
        <f>LCOE!Y145+LCOE!F$32</f>
        <v>0</v>
      </c>
      <c r="W119" s="16">
        <f>LCOE!Z145+V119*IF(LCOE!F$14&gt;0,G119,H119)</f>
        <v>0</v>
      </c>
      <c r="X119" s="16">
        <f>LCOE!AA145+LCOE!F$34</f>
        <v>101</v>
      </c>
      <c r="Y119" s="16">
        <f t="shared" si="15"/>
        <v>0</v>
      </c>
      <c r="Z119" s="50">
        <f t="shared" si="18"/>
        <v>0</v>
      </c>
      <c r="AA119" s="50">
        <f t="shared" si="19"/>
        <v>0</v>
      </c>
      <c r="AB119" s="50">
        <f t="shared" si="20"/>
        <v>0</v>
      </c>
      <c r="AC119" s="50">
        <f t="shared" si="16"/>
        <v>0</v>
      </c>
      <c r="AD119" s="50">
        <f t="shared" si="25"/>
        <v>0</v>
      </c>
      <c r="AE119">
        <f t="shared" si="17"/>
        <v>30</v>
      </c>
      <c r="AF119" s="12">
        <f>LCOE!E145+LCOE!F$40</f>
        <v>0.05</v>
      </c>
      <c r="AG119">
        <f t="shared" si="26"/>
        <v>10.921333129289224</v>
      </c>
      <c r="AH119" s="16">
        <f t="shared" si="21"/>
        <v>0</v>
      </c>
      <c r="AI119" s="16">
        <f t="shared" si="22"/>
        <v>0</v>
      </c>
      <c r="AJ119" s="16">
        <f t="shared" si="23"/>
        <v>0</v>
      </c>
      <c r="AK119" s="16">
        <f t="shared" si="24"/>
        <v>0</v>
      </c>
      <c r="AL119" s="16">
        <f t="shared" si="27"/>
        <v>0</v>
      </c>
      <c r="AM119" s="16">
        <f t="shared" si="14"/>
        <v>0</v>
      </c>
      <c r="AN119" s="16">
        <f>IF(LCOE!F$14&gt;0,G119,H119)/AG119</f>
        <v>0</v>
      </c>
    </row>
    <row r="120" spans="1:40">
      <c r="A120">
        <v>50</v>
      </c>
      <c r="C120" s="16">
        <f>LCOE!F146+IF(AND(LCOE!F$26&gt;0,A120&gt;=LCOE!F$26,A120&lt;=(LCOE!F$26+LCOE!F$27-1)),LCOE!F$42/LCOE!F$27,0)+IF(AND(D120=0,AE120&gt;=LCOE!F$16,COUNTIF(D95:D120,0)=LCOE!F$36),LCOE!F$35*LCOE!F$38,0)</f>
        <v>0</v>
      </c>
      <c r="D120" s="16">
        <f>IF(AE119&lt;LCOE!F$16,1,0)</f>
        <v>0</v>
      </c>
      <c r="E120" s="12">
        <f>LCOE!G146+IF(AND(A120&gt;=LCOE!F$26,A120&lt;=(LCOE!F$26+LCOE!F$27-1)),0,1)*IF(A120=LCOE!F$34,0,1)*D120</f>
        <v>0</v>
      </c>
      <c r="F120" s="12">
        <f>IF(F119&lt;LCOE!F$18,MIN(F119*(1+LCOE!F$19),LCOE!F$18),LCOE!F$18)+LCOE!J146</f>
        <v>0.9</v>
      </c>
      <c r="G120" s="16">
        <f>LCOE!K146+E120*F120*N120*(LCOE!F$14+LCOE!H146)*24*365*D120</f>
        <v>0</v>
      </c>
      <c r="H120" s="16">
        <f>LCOE!L146+F120*(LCOE!F$15+LCOE!I146)*E120*24*365*D120*N120</f>
        <v>0</v>
      </c>
      <c r="I120" s="16">
        <f>LCOE!M146+LCOE!F$20*IF(LCOE!F$14&gt;0,(LCOE!F$14+LCOE!H146),(LCOE!F$15+LCOE!I146))*K120*D120</f>
        <v>0</v>
      </c>
      <c r="J120" s="16">
        <f>LCOE!N146+LCOE!F$21*IF(LCOE!F$14&gt;0,G120,H120)*K120*D120</f>
        <v>0</v>
      </c>
      <c r="K120" s="15">
        <f>LCOE!O146+K119+K119*LCOE!F$22</f>
        <v>1</v>
      </c>
      <c r="L120" s="16">
        <f>LCOE!P146+LCOE!F$23*IF(LCOE!F$14&gt;0,G120,H120)*M120*D120</f>
        <v>0</v>
      </c>
      <c r="M120" s="15">
        <f>LCOE!Q146+M119+M119*LCOE!F$24</f>
        <v>1</v>
      </c>
      <c r="N120" s="15">
        <f>LCOE!R146+N119-N119*LCOE!F$25</f>
        <v>1</v>
      </c>
      <c r="O120" s="18">
        <f>LCOE!S146+LCOE!F$29</f>
        <v>313.75</v>
      </c>
      <c r="P120" s="12">
        <f>LCOE!T146+IF(A120&gt;=LCOE!F$30,100%,0%)</f>
        <v>1</v>
      </c>
      <c r="Q120" s="16">
        <f>LCOE!U146+O120/1000*IF(LCOE!F$14&gt;0,G120,H120)</f>
        <v>0</v>
      </c>
      <c r="R120" s="16">
        <f>LCOE!B146</f>
        <v>30</v>
      </c>
      <c r="S120" s="16">
        <f>LCOE!V146+Q120*P120*R120</f>
        <v>0</v>
      </c>
      <c r="T120" s="16">
        <f>LCOE!W146+LCOE!F$31</f>
        <v>0</v>
      </c>
      <c r="U120" s="16">
        <f>LCOE!X146+T120*IF(LCOE!F$14&gt;0,G120,H120)</f>
        <v>0</v>
      </c>
      <c r="V120" s="16">
        <f>LCOE!Y146+LCOE!F$32</f>
        <v>0</v>
      </c>
      <c r="W120" s="16">
        <f>LCOE!Z146+V120*IF(LCOE!F$14&gt;0,G120,H120)</f>
        <v>0</v>
      </c>
      <c r="X120" s="16">
        <f>LCOE!AA146+LCOE!F$34</f>
        <v>101</v>
      </c>
      <c r="Y120" s="16">
        <f t="shared" si="15"/>
        <v>0</v>
      </c>
      <c r="Z120" s="50">
        <f t="shared" si="18"/>
        <v>0</v>
      </c>
      <c r="AA120" s="50">
        <f t="shared" si="19"/>
        <v>0</v>
      </c>
      <c r="AB120" s="50">
        <f t="shared" si="20"/>
        <v>0</v>
      </c>
      <c r="AC120" s="50">
        <f t="shared" si="16"/>
        <v>0</v>
      </c>
      <c r="AD120" s="50">
        <f t="shared" si="25"/>
        <v>0</v>
      </c>
      <c r="AE120">
        <f t="shared" si="17"/>
        <v>30</v>
      </c>
      <c r="AF120" s="12">
        <f>LCOE!E146+LCOE!F$40</f>
        <v>0.05</v>
      </c>
      <c r="AG120">
        <f t="shared" si="26"/>
        <v>11.467399785753685</v>
      </c>
      <c r="AH120" s="16">
        <f t="shared" si="21"/>
        <v>0</v>
      </c>
      <c r="AI120" s="16">
        <f t="shared" si="22"/>
        <v>0</v>
      </c>
      <c r="AJ120" s="16">
        <f t="shared" si="23"/>
        <v>0</v>
      </c>
      <c r="AK120" s="16">
        <f t="shared" si="24"/>
        <v>0</v>
      </c>
      <c r="AL120" s="16">
        <f t="shared" si="27"/>
        <v>0</v>
      </c>
      <c r="AM120" s="16">
        <f t="shared" si="14"/>
        <v>0</v>
      </c>
      <c r="AN120" s="16">
        <f>IF(LCOE!F$14&gt;0,G120,H120)/AG120</f>
        <v>0</v>
      </c>
    </row>
    <row r="121" spans="1:40">
      <c r="A121">
        <v>51</v>
      </c>
      <c r="C121" s="16">
        <f>LCOE!F147+IF(AND(LCOE!F$26&gt;0,A121&gt;=LCOE!F$26,A121&lt;=(LCOE!F$26+LCOE!F$27-1)),LCOE!F$42/LCOE!F$27,0)+IF(AND(D121=0,AE121&gt;=LCOE!F$16,COUNTIF(D96:D121,0)=LCOE!F$36),LCOE!F$35*LCOE!F$38,0)</f>
        <v>0</v>
      </c>
      <c r="D121" s="16">
        <f>IF(AE120&lt;LCOE!F$16,1,0)</f>
        <v>0</v>
      </c>
      <c r="E121" s="12">
        <f>LCOE!G147+IF(AND(A121&gt;=LCOE!F$26,A121&lt;=(LCOE!F$26+LCOE!F$27-1)),0,1)*IF(A121=LCOE!F$34,0,1)*D121</f>
        <v>0</v>
      </c>
      <c r="F121" s="12">
        <f>IF(F120&lt;LCOE!F$18,MIN(F120*(1+LCOE!F$19),LCOE!F$18),LCOE!F$18)+LCOE!J147</f>
        <v>0.9</v>
      </c>
      <c r="G121" s="16">
        <f>LCOE!K147+E121*F121*N121*(LCOE!F$14+LCOE!H147)*24*365*D121</f>
        <v>0</v>
      </c>
      <c r="H121" s="16">
        <f>LCOE!L147+F121*(LCOE!F$15+LCOE!I147)*E121*24*365*D121*N121</f>
        <v>0</v>
      </c>
      <c r="I121" s="16">
        <f>LCOE!M147+LCOE!F$20*IF(LCOE!F$14&gt;0,(LCOE!F$14+LCOE!H147),(LCOE!F$15+LCOE!I147))*K121*D121</f>
        <v>0</v>
      </c>
      <c r="J121" s="16">
        <f>LCOE!N147+LCOE!F$21*IF(LCOE!F$14&gt;0,G121,H121)*K121*D121</f>
        <v>0</v>
      </c>
      <c r="K121" s="15">
        <f>LCOE!O147+K120+K120*LCOE!F$22</f>
        <v>1</v>
      </c>
      <c r="L121" s="16">
        <f>LCOE!P147+LCOE!F$23*IF(LCOE!F$14&gt;0,G121,H121)*M121*D121</f>
        <v>0</v>
      </c>
      <c r="M121" s="15">
        <f>LCOE!Q147+M120+M120*LCOE!F$24</f>
        <v>1</v>
      </c>
      <c r="N121" s="15">
        <f>LCOE!R147+N120-N120*LCOE!F$25</f>
        <v>1</v>
      </c>
      <c r="O121" s="18">
        <f>LCOE!S147+LCOE!F$29</f>
        <v>313.75</v>
      </c>
      <c r="P121" s="12">
        <f>LCOE!T147+IF(A121&gt;=LCOE!F$30,100%,0%)</f>
        <v>1</v>
      </c>
      <c r="Q121" s="16">
        <f>LCOE!U147+O121/1000*IF(LCOE!F$14&gt;0,G121,H121)</f>
        <v>0</v>
      </c>
      <c r="R121" s="16">
        <f>LCOE!B147</f>
        <v>30</v>
      </c>
      <c r="S121" s="16">
        <f>LCOE!V147+Q121*P121*R121</f>
        <v>0</v>
      </c>
      <c r="T121" s="16">
        <f>LCOE!W147+LCOE!F$31</f>
        <v>0</v>
      </c>
      <c r="U121" s="16">
        <f>LCOE!X147+T121*IF(LCOE!F$14&gt;0,G121,H121)</f>
        <v>0</v>
      </c>
      <c r="V121" s="16">
        <f>LCOE!Y147+LCOE!F$32</f>
        <v>0</v>
      </c>
      <c r="W121" s="16">
        <f>LCOE!Z147+V121*IF(LCOE!F$14&gt;0,G121,H121)</f>
        <v>0</v>
      </c>
      <c r="X121" s="16">
        <f>LCOE!AA147+LCOE!F$34</f>
        <v>101</v>
      </c>
      <c r="Y121" s="16">
        <f t="shared" si="15"/>
        <v>0</v>
      </c>
      <c r="Z121" s="50">
        <f t="shared" si="18"/>
        <v>0</v>
      </c>
      <c r="AA121" s="50">
        <f t="shared" si="19"/>
        <v>0</v>
      </c>
      <c r="AB121" s="50">
        <f t="shared" si="20"/>
        <v>0</v>
      </c>
      <c r="AC121" s="50">
        <f t="shared" si="16"/>
        <v>0</v>
      </c>
      <c r="AD121" s="50">
        <f t="shared" si="25"/>
        <v>0</v>
      </c>
      <c r="AE121">
        <f t="shared" si="17"/>
        <v>30</v>
      </c>
      <c r="AF121" s="12">
        <f>LCOE!E147+LCOE!F$40</f>
        <v>0.05</v>
      </c>
      <c r="AG121">
        <f t="shared" si="26"/>
        <v>12.040769775041369</v>
      </c>
      <c r="AH121" s="16">
        <f t="shared" si="21"/>
        <v>0</v>
      </c>
      <c r="AI121" s="16">
        <f t="shared" si="22"/>
        <v>0</v>
      </c>
      <c r="AJ121" s="16">
        <f t="shared" si="23"/>
        <v>0</v>
      </c>
      <c r="AK121" s="16">
        <f t="shared" si="24"/>
        <v>0</v>
      </c>
      <c r="AL121" s="16">
        <f t="shared" si="27"/>
        <v>0</v>
      </c>
      <c r="AM121" s="16">
        <f t="shared" si="14"/>
        <v>0</v>
      </c>
      <c r="AN121" s="16">
        <f>IF(LCOE!F$14&gt;0,G121,H121)/AG121</f>
        <v>0</v>
      </c>
    </row>
    <row r="122" spans="1:40">
      <c r="A122">
        <v>52</v>
      </c>
      <c r="C122" s="16">
        <f>LCOE!F148+IF(AND(LCOE!F$26&gt;0,A122&gt;=LCOE!F$26,A122&lt;=(LCOE!F$26+LCOE!F$27-1)),LCOE!F$42/LCOE!F$27,0)+IF(AND(D122=0,AE122&gt;=LCOE!F$16,COUNTIF(D97:D122,0)=LCOE!F$36),LCOE!F$35*LCOE!F$38,0)</f>
        <v>0</v>
      </c>
      <c r="D122" s="16">
        <f>IF(AE121&lt;LCOE!F$16,1,0)</f>
        <v>0</v>
      </c>
      <c r="E122" s="12">
        <f>LCOE!G148+IF(AND(A122&gt;=LCOE!F$26,A122&lt;=(LCOE!F$26+LCOE!F$27-1)),0,1)*IF(A122=LCOE!F$34,0,1)*D122</f>
        <v>0</v>
      </c>
      <c r="F122" s="12">
        <f>IF(F121&lt;LCOE!F$18,MIN(F121*(1+LCOE!F$19),LCOE!F$18),LCOE!F$18)+LCOE!J148</f>
        <v>0.9</v>
      </c>
      <c r="G122" s="16">
        <f>LCOE!K148+E122*F122*N122*(LCOE!F$14+LCOE!H148)*24*365*D122</f>
        <v>0</v>
      </c>
      <c r="H122" s="16">
        <f>LCOE!L148+F122*(LCOE!F$15+LCOE!I148)*E122*24*365*D122*N122</f>
        <v>0</v>
      </c>
      <c r="I122" s="16">
        <f>LCOE!M148+LCOE!F$20*IF(LCOE!F$14&gt;0,(LCOE!F$14+LCOE!H148),(LCOE!F$15+LCOE!I148))*K122*D122</f>
        <v>0</v>
      </c>
      <c r="J122" s="16">
        <f>LCOE!N148+LCOE!F$21*IF(LCOE!F$14&gt;0,G122,H122)*K122*D122</f>
        <v>0</v>
      </c>
      <c r="K122" s="15">
        <f>LCOE!O148+K121+K121*LCOE!F$22</f>
        <v>1</v>
      </c>
      <c r="L122" s="16">
        <f>LCOE!P148+LCOE!F$23*IF(LCOE!F$14&gt;0,G122,H122)*M122*D122</f>
        <v>0</v>
      </c>
      <c r="M122" s="15">
        <f>LCOE!Q148+M121+M121*LCOE!F$24</f>
        <v>1</v>
      </c>
      <c r="N122" s="15">
        <f>LCOE!R148+N121-N121*LCOE!F$25</f>
        <v>1</v>
      </c>
      <c r="O122" s="18">
        <f>LCOE!S148+LCOE!F$29</f>
        <v>313.75</v>
      </c>
      <c r="P122" s="12">
        <f>LCOE!T148+IF(A122&gt;=LCOE!F$30,100%,0%)</f>
        <v>1</v>
      </c>
      <c r="Q122" s="16">
        <f>LCOE!U148+O122/1000*IF(LCOE!F$14&gt;0,G122,H122)</f>
        <v>0</v>
      </c>
      <c r="R122" s="16">
        <f>LCOE!B148</f>
        <v>30</v>
      </c>
      <c r="S122" s="16">
        <f>LCOE!V148+Q122*P122*R122</f>
        <v>0</v>
      </c>
      <c r="T122" s="16">
        <f>LCOE!W148+LCOE!F$31</f>
        <v>0</v>
      </c>
      <c r="U122" s="16">
        <f>LCOE!X148+T122*IF(LCOE!F$14&gt;0,G122,H122)</f>
        <v>0</v>
      </c>
      <c r="V122" s="16">
        <f>LCOE!Y148+LCOE!F$32</f>
        <v>0</v>
      </c>
      <c r="W122" s="16">
        <f>LCOE!Z148+V122*IF(LCOE!F$14&gt;0,G122,H122)</f>
        <v>0</v>
      </c>
      <c r="X122" s="16">
        <f>LCOE!AA148+LCOE!F$34</f>
        <v>101</v>
      </c>
      <c r="Y122" s="16">
        <f t="shared" si="15"/>
        <v>0</v>
      </c>
      <c r="Z122" s="50">
        <f t="shared" si="18"/>
        <v>0</v>
      </c>
      <c r="AA122" s="50">
        <f t="shared" si="19"/>
        <v>0</v>
      </c>
      <c r="AB122" s="50">
        <f t="shared" si="20"/>
        <v>0</v>
      </c>
      <c r="AC122" s="50">
        <f t="shared" si="16"/>
        <v>0</v>
      </c>
      <c r="AD122" s="50">
        <f t="shared" si="25"/>
        <v>0</v>
      </c>
      <c r="AE122">
        <f t="shared" si="17"/>
        <v>30</v>
      </c>
      <c r="AF122" s="12">
        <f>LCOE!E148+LCOE!F$40</f>
        <v>0.05</v>
      </c>
      <c r="AG122">
        <f t="shared" si="26"/>
        <v>12.642808263793437</v>
      </c>
      <c r="AH122" s="16">
        <f t="shared" si="21"/>
        <v>0</v>
      </c>
      <c r="AI122" s="16">
        <f t="shared" si="22"/>
        <v>0</v>
      </c>
      <c r="AJ122" s="16">
        <f t="shared" si="23"/>
        <v>0</v>
      </c>
      <c r="AK122" s="16">
        <f t="shared" si="24"/>
        <v>0</v>
      </c>
      <c r="AL122" s="16">
        <f t="shared" si="27"/>
        <v>0</v>
      </c>
      <c r="AM122" s="16">
        <f t="shared" si="14"/>
        <v>0</v>
      </c>
      <c r="AN122" s="16">
        <f>IF(LCOE!F$14&gt;0,G122,H122)/AG122</f>
        <v>0</v>
      </c>
    </row>
    <row r="123" spans="1:40">
      <c r="A123">
        <v>53</v>
      </c>
      <c r="C123" s="16">
        <f>LCOE!F149+IF(AND(LCOE!F$26&gt;0,A123&gt;=LCOE!F$26,A123&lt;=(LCOE!F$26+LCOE!F$27-1)),LCOE!F$42/LCOE!F$27,0)+IF(AND(D123=0,AE123&gt;=LCOE!F$16,COUNTIF(D98:D123,0)=LCOE!F$36),LCOE!F$35*LCOE!F$38,0)</f>
        <v>0</v>
      </c>
      <c r="D123" s="16">
        <f>IF(AE122&lt;LCOE!F$16,1,0)</f>
        <v>0</v>
      </c>
      <c r="E123" s="12">
        <f>LCOE!G149+IF(AND(A123&gt;=LCOE!F$26,A123&lt;=(LCOE!F$26+LCOE!F$27-1)),0,1)*IF(A123=LCOE!F$34,0,1)*D123</f>
        <v>0</v>
      </c>
      <c r="F123" s="12">
        <f>IF(F122&lt;LCOE!F$18,MIN(F122*(1+LCOE!F$19),LCOE!F$18),LCOE!F$18)+LCOE!J149</f>
        <v>0.9</v>
      </c>
      <c r="G123" s="16">
        <f>LCOE!K149+E123*F123*N123*(LCOE!F$14+LCOE!H149)*24*365*D123</f>
        <v>0</v>
      </c>
      <c r="H123" s="16">
        <f>LCOE!L149+F123*(LCOE!F$15+LCOE!I149)*E123*24*365*D123*N123</f>
        <v>0</v>
      </c>
      <c r="I123" s="16">
        <f>LCOE!M149+LCOE!F$20*IF(LCOE!F$14&gt;0,(LCOE!F$14+LCOE!H149),(LCOE!F$15+LCOE!I149))*K123*D123</f>
        <v>0</v>
      </c>
      <c r="J123" s="16">
        <f>LCOE!N149+LCOE!F$21*IF(LCOE!F$14&gt;0,G123,H123)*K123*D123</f>
        <v>0</v>
      </c>
      <c r="K123" s="15">
        <f>LCOE!O149+K122+K122*LCOE!F$22</f>
        <v>1</v>
      </c>
      <c r="L123" s="16">
        <f>LCOE!P149+LCOE!F$23*IF(LCOE!F$14&gt;0,G123,H123)*M123*D123</f>
        <v>0</v>
      </c>
      <c r="M123" s="15">
        <f>LCOE!Q149+M122+M122*LCOE!F$24</f>
        <v>1</v>
      </c>
      <c r="N123" s="15">
        <f>LCOE!R149+N122-N122*LCOE!F$25</f>
        <v>1</v>
      </c>
      <c r="O123" s="18">
        <f>LCOE!S149+LCOE!F$29</f>
        <v>313.75</v>
      </c>
      <c r="P123" s="12">
        <f>LCOE!T149+IF(A123&gt;=LCOE!F$30,100%,0%)</f>
        <v>1</v>
      </c>
      <c r="Q123" s="16">
        <f>LCOE!U149+O123/1000*IF(LCOE!F$14&gt;0,G123,H123)</f>
        <v>0</v>
      </c>
      <c r="R123" s="16">
        <f>LCOE!B149</f>
        <v>30</v>
      </c>
      <c r="S123" s="16">
        <f>LCOE!V149+Q123*P123*R123</f>
        <v>0</v>
      </c>
      <c r="T123" s="16">
        <f>LCOE!W149+LCOE!F$31</f>
        <v>0</v>
      </c>
      <c r="U123" s="16">
        <f>LCOE!X149+T123*IF(LCOE!F$14&gt;0,G123,H123)</f>
        <v>0</v>
      </c>
      <c r="V123" s="16">
        <f>LCOE!Y149+LCOE!F$32</f>
        <v>0</v>
      </c>
      <c r="W123" s="16">
        <f>LCOE!Z149+V123*IF(LCOE!F$14&gt;0,G123,H123)</f>
        <v>0</v>
      </c>
      <c r="X123" s="16">
        <f>LCOE!AA149+LCOE!F$34</f>
        <v>101</v>
      </c>
      <c r="Y123" s="16">
        <f t="shared" si="15"/>
        <v>0</v>
      </c>
      <c r="Z123" s="50">
        <f t="shared" si="18"/>
        <v>0</v>
      </c>
      <c r="AA123" s="50">
        <f t="shared" si="19"/>
        <v>0</v>
      </c>
      <c r="AB123" s="50">
        <f t="shared" si="20"/>
        <v>0</v>
      </c>
      <c r="AC123" s="50">
        <f t="shared" si="16"/>
        <v>0</v>
      </c>
      <c r="AD123" s="50">
        <f t="shared" si="25"/>
        <v>0</v>
      </c>
      <c r="AE123">
        <f t="shared" si="17"/>
        <v>30</v>
      </c>
      <c r="AF123" s="12">
        <f>LCOE!E149+LCOE!F$40</f>
        <v>0.05</v>
      </c>
      <c r="AG123">
        <f t="shared" si="26"/>
        <v>13.274948676983108</v>
      </c>
      <c r="AH123" s="16">
        <f t="shared" si="21"/>
        <v>0</v>
      </c>
      <c r="AI123" s="16">
        <f t="shared" si="22"/>
        <v>0</v>
      </c>
      <c r="AJ123" s="16">
        <f t="shared" si="23"/>
        <v>0</v>
      </c>
      <c r="AK123" s="16">
        <f t="shared" si="24"/>
        <v>0</v>
      </c>
      <c r="AL123" s="16">
        <f t="shared" si="27"/>
        <v>0</v>
      </c>
      <c r="AM123" s="16">
        <f t="shared" si="14"/>
        <v>0</v>
      </c>
      <c r="AN123" s="16">
        <f>IF(LCOE!F$14&gt;0,G123,H123)/AG123</f>
        <v>0</v>
      </c>
    </row>
    <row r="124" spans="1:40">
      <c r="A124">
        <v>54</v>
      </c>
      <c r="C124" s="16">
        <f>LCOE!F150+IF(AND(LCOE!F$26&gt;0,A124&gt;=LCOE!F$26,A124&lt;=(LCOE!F$26+LCOE!F$27-1)),LCOE!F$42/LCOE!F$27,0)+IF(AND(D124=0,AE124&gt;=LCOE!F$16,COUNTIF(D99:D124,0)=LCOE!F$36),LCOE!F$35*LCOE!F$38,0)</f>
        <v>0</v>
      </c>
      <c r="D124" s="16">
        <f>IF(AE123&lt;LCOE!F$16,1,0)</f>
        <v>0</v>
      </c>
      <c r="E124" s="12">
        <f>LCOE!G150+IF(AND(A124&gt;=LCOE!F$26,A124&lt;=(LCOE!F$26+LCOE!F$27-1)),0,1)*IF(A124=LCOE!F$34,0,1)*D124</f>
        <v>0</v>
      </c>
      <c r="F124" s="12">
        <f>IF(F123&lt;LCOE!F$18,MIN(F123*(1+LCOE!F$19),LCOE!F$18),LCOE!F$18)+LCOE!J150</f>
        <v>0.9</v>
      </c>
      <c r="G124" s="16">
        <f>LCOE!K150+E124*F124*N124*(LCOE!F$14+LCOE!H150)*24*365*D124</f>
        <v>0</v>
      </c>
      <c r="H124" s="16">
        <f>LCOE!L150+F124*(LCOE!F$15+LCOE!I150)*E124*24*365*D124*N124</f>
        <v>0</v>
      </c>
      <c r="I124" s="16">
        <f>LCOE!M150+LCOE!F$20*IF(LCOE!F$14&gt;0,(LCOE!F$14+LCOE!H150),(LCOE!F$15+LCOE!I150))*K124*D124</f>
        <v>0</v>
      </c>
      <c r="J124" s="16">
        <f>LCOE!N150+LCOE!F$21*IF(LCOE!F$14&gt;0,G124,H124)*K124*D124</f>
        <v>0</v>
      </c>
      <c r="K124" s="15">
        <f>LCOE!O150+K123+K123*LCOE!F$22</f>
        <v>1</v>
      </c>
      <c r="L124" s="16">
        <f>LCOE!P150+LCOE!F$23*IF(LCOE!F$14&gt;0,G124,H124)*M124*D124</f>
        <v>0</v>
      </c>
      <c r="M124" s="15">
        <f>LCOE!Q150+M123+M123*LCOE!F$24</f>
        <v>1</v>
      </c>
      <c r="N124" s="15">
        <f>LCOE!R150+N123-N123*LCOE!F$25</f>
        <v>1</v>
      </c>
      <c r="O124" s="18">
        <f>LCOE!S150+LCOE!F$29</f>
        <v>313.75</v>
      </c>
      <c r="P124" s="12">
        <f>LCOE!T150+IF(A124&gt;=LCOE!F$30,100%,0%)</f>
        <v>1</v>
      </c>
      <c r="Q124" s="16">
        <f>LCOE!U150+O124/1000*IF(LCOE!F$14&gt;0,G124,H124)</f>
        <v>0</v>
      </c>
      <c r="R124" s="16">
        <f>LCOE!B150</f>
        <v>30</v>
      </c>
      <c r="S124" s="16">
        <f>LCOE!V150+Q124*P124*R124</f>
        <v>0</v>
      </c>
      <c r="T124" s="16">
        <f>LCOE!W150+LCOE!F$31</f>
        <v>0</v>
      </c>
      <c r="U124" s="16">
        <f>LCOE!X150+T124*IF(LCOE!F$14&gt;0,G124,H124)</f>
        <v>0</v>
      </c>
      <c r="V124" s="16">
        <f>LCOE!Y150+LCOE!F$32</f>
        <v>0</v>
      </c>
      <c r="W124" s="16">
        <f>LCOE!Z150+V124*IF(LCOE!F$14&gt;0,G124,H124)</f>
        <v>0</v>
      </c>
      <c r="X124" s="16">
        <f>LCOE!AA150+LCOE!F$34</f>
        <v>101</v>
      </c>
      <c r="Y124" s="16">
        <f t="shared" si="15"/>
        <v>0</v>
      </c>
      <c r="Z124" s="50">
        <f t="shared" si="18"/>
        <v>0</v>
      </c>
      <c r="AA124" s="50">
        <f t="shared" si="19"/>
        <v>0</v>
      </c>
      <c r="AB124" s="50">
        <f t="shared" si="20"/>
        <v>0</v>
      </c>
      <c r="AC124" s="50">
        <f t="shared" si="16"/>
        <v>0</v>
      </c>
      <c r="AD124" s="50">
        <f t="shared" si="25"/>
        <v>0</v>
      </c>
      <c r="AE124">
        <f t="shared" si="17"/>
        <v>30</v>
      </c>
      <c r="AF124" s="12">
        <f>LCOE!E150+LCOE!F$40</f>
        <v>0.05</v>
      </c>
      <c r="AG124">
        <f t="shared" si="26"/>
        <v>13.938696110832263</v>
      </c>
      <c r="AH124" s="16">
        <f t="shared" si="21"/>
        <v>0</v>
      </c>
      <c r="AI124" s="16">
        <f t="shared" si="22"/>
        <v>0</v>
      </c>
      <c r="AJ124" s="16">
        <f t="shared" si="23"/>
        <v>0</v>
      </c>
      <c r="AK124" s="16">
        <f t="shared" si="24"/>
        <v>0</v>
      </c>
      <c r="AL124" s="16">
        <f t="shared" si="27"/>
        <v>0</v>
      </c>
      <c r="AM124" s="16">
        <f t="shared" si="14"/>
        <v>0</v>
      </c>
      <c r="AN124" s="16">
        <f>IF(LCOE!F$14&gt;0,G124,H124)/AG124</f>
        <v>0</v>
      </c>
    </row>
    <row r="125" spans="1:40">
      <c r="A125">
        <v>55</v>
      </c>
      <c r="C125" s="16">
        <f>LCOE!F151+IF(AND(LCOE!F$26&gt;0,A125&gt;=LCOE!F$26,A125&lt;=(LCOE!F$26+LCOE!F$27-1)),LCOE!F$42/LCOE!F$27,0)+IF(AND(D125=0,AE125&gt;=LCOE!F$16,COUNTIF(D100:D125,0)=LCOE!F$36),LCOE!F$35*LCOE!F$38,0)</f>
        <v>0</v>
      </c>
      <c r="D125" s="16">
        <f>IF(AE124&lt;LCOE!F$16,1,0)</f>
        <v>0</v>
      </c>
      <c r="E125" s="12">
        <f>LCOE!G151+IF(AND(A125&gt;=LCOE!F$26,A125&lt;=(LCOE!F$26+LCOE!F$27-1)),0,1)*IF(A125=LCOE!F$34,0,1)*D125</f>
        <v>0</v>
      </c>
      <c r="F125" s="12">
        <f>IF(F124&lt;LCOE!F$18,MIN(F124*(1+LCOE!F$19),LCOE!F$18),LCOE!F$18)+LCOE!J151</f>
        <v>0.9</v>
      </c>
      <c r="G125" s="16">
        <f>LCOE!K151+E125*F125*N125*(LCOE!F$14+LCOE!H151)*24*365*D125</f>
        <v>0</v>
      </c>
      <c r="H125" s="16">
        <f>LCOE!L151+F125*(LCOE!F$15+LCOE!I151)*E125*24*365*D125*N125</f>
        <v>0</v>
      </c>
      <c r="I125" s="16">
        <f>LCOE!M151+LCOE!F$20*IF(LCOE!F$14&gt;0,(LCOE!F$14+LCOE!H151),(LCOE!F$15+LCOE!I151))*K125*D125</f>
        <v>0</v>
      </c>
      <c r="J125" s="16">
        <f>LCOE!N151+LCOE!F$21*IF(LCOE!F$14&gt;0,G125,H125)*K125*D125</f>
        <v>0</v>
      </c>
      <c r="K125" s="15">
        <f>LCOE!O151+K124+K124*LCOE!F$22</f>
        <v>1</v>
      </c>
      <c r="L125" s="16">
        <f>LCOE!P151+LCOE!F$23*IF(LCOE!F$14&gt;0,G125,H125)*M125*D125</f>
        <v>0</v>
      </c>
      <c r="M125" s="15">
        <f>LCOE!Q151+M124+M124*LCOE!F$24</f>
        <v>1</v>
      </c>
      <c r="N125" s="15">
        <f>LCOE!R151+N124-N124*LCOE!F$25</f>
        <v>1</v>
      </c>
      <c r="O125" s="18">
        <f>LCOE!S151+LCOE!F$29</f>
        <v>313.75</v>
      </c>
      <c r="P125" s="12">
        <f>LCOE!T151+IF(A125&gt;=LCOE!F$30,100%,0%)</f>
        <v>1</v>
      </c>
      <c r="Q125" s="16">
        <f>LCOE!U151+O125/1000*IF(LCOE!F$14&gt;0,G125,H125)</f>
        <v>0</v>
      </c>
      <c r="R125" s="16">
        <f>LCOE!B151</f>
        <v>30</v>
      </c>
      <c r="S125" s="16">
        <f>LCOE!V151+Q125*P125*R125</f>
        <v>0</v>
      </c>
      <c r="T125" s="16">
        <f>LCOE!W151+LCOE!F$31</f>
        <v>0</v>
      </c>
      <c r="U125" s="16">
        <f>LCOE!X151+T125*IF(LCOE!F$14&gt;0,G125,H125)</f>
        <v>0</v>
      </c>
      <c r="V125" s="16">
        <f>LCOE!Y151+LCOE!F$32</f>
        <v>0</v>
      </c>
      <c r="W125" s="16">
        <f>LCOE!Z151+V125*IF(LCOE!F$14&gt;0,G125,H125)</f>
        <v>0</v>
      </c>
      <c r="X125" s="16">
        <f>LCOE!AA151+LCOE!F$34</f>
        <v>101</v>
      </c>
      <c r="Y125" s="16">
        <f t="shared" si="15"/>
        <v>0</v>
      </c>
      <c r="Z125" s="50">
        <f t="shared" si="18"/>
        <v>0</v>
      </c>
      <c r="AA125" s="50">
        <f t="shared" si="19"/>
        <v>0</v>
      </c>
      <c r="AB125" s="50">
        <f t="shared" si="20"/>
        <v>0</v>
      </c>
      <c r="AC125" s="50">
        <f t="shared" si="16"/>
        <v>0</v>
      </c>
      <c r="AD125" s="50">
        <f t="shared" si="25"/>
        <v>0</v>
      </c>
      <c r="AE125">
        <f t="shared" si="17"/>
        <v>30</v>
      </c>
      <c r="AF125" s="12">
        <f>LCOE!E151+LCOE!F$40</f>
        <v>0.05</v>
      </c>
      <c r="AG125">
        <f t="shared" si="26"/>
        <v>14.635630916373879</v>
      </c>
      <c r="AH125" s="16">
        <f t="shared" si="21"/>
        <v>0</v>
      </c>
      <c r="AI125" s="16">
        <f t="shared" si="22"/>
        <v>0</v>
      </c>
      <c r="AJ125" s="16">
        <f t="shared" si="23"/>
        <v>0</v>
      </c>
      <c r="AK125" s="16">
        <f t="shared" si="24"/>
        <v>0</v>
      </c>
      <c r="AL125" s="16">
        <f t="shared" si="27"/>
        <v>0</v>
      </c>
      <c r="AM125" s="16">
        <f t="shared" si="14"/>
        <v>0</v>
      </c>
      <c r="AN125" s="16">
        <f>IF(LCOE!F$14&gt;0,G125,H125)/AG125</f>
        <v>0</v>
      </c>
    </row>
    <row r="126" spans="1:40">
      <c r="A126">
        <v>56</v>
      </c>
      <c r="C126" s="16">
        <f>LCOE!F152+IF(AND(LCOE!F$26&gt;0,A126&gt;=LCOE!F$26,A126&lt;=(LCOE!F$26+LCOE!F$27-1)),LCOE!F$42/LCOE!F$27,0)+IF(AND(D126=0,AE126&gt;=LCOE!F$16,COUNTIF(D101:D126,0)=LCOE!F$36),LCOE!F$35*LCOE!F$38,0)</f>
        <v>0</v>
      </c>
      <c r="D126" s="16">
        <f>IF(AE125&lt;LCOE!F$16,1,0)</f>
        <v>0</v>
      </c>
      <c r="E126" s="12">
        <f>LCOE!G152+IF(AND(A126&gt;=LCOE!F$26,A126&lt;=(LCOE!F$26+LCOE!F$27-1)),0,1)*IF(A126=LCOE!F$34,0,1)*D126</f>
        <v>0</v>
      </c>
      <c r="F126" s="12">
        <f>IF(F125&lt;LCOE!F$18,MIN(F125*(1+LCOE!F$19),LCOE!F$18),LCOE!F$18)+LCOE!J152</f>
        <v>0.9</v>
      </c>
      <c r="G126" s="16">
        <f>LCOE!K152+E126*F126*N126*(LCOE!F$14+LCOE!H152)*24*365*D126</f>
        <v>0</v>
      </c>
      <c r="H126" s="16">
        <f>LCOE!L152+F126*(LCOE!F$15+LCOE!I152)*E126*24*365*D126*N126</f>
        <v>0</v>
      </c>
      <c r="I126" s="16">
        <f>LCOE!M152+LCOE!F$20*IF(LCOE!F$14&gt;0,(LCOE!F$14+LCOE!H152),(LCOE!F$15+LCOE!I152))*K126*D126</f>
        <v>0</v>
      </c>
      <c r="J126" s="16">
        <f>LCOE!N152+LCOE!F$21*IF(LCOE!F$14&gt;0,G126,H126)*K126*D126</f>
        <v>0</v>
      </c>
      <c r="K126" s="15">
        <f>LCOE!O152+K125+K125*LCOE!F$22</f>
        <v>1</v>
      </c>
      <c r="L126" s="16">
        <f>LCOE!P152+LCOE!F$23*IF(LCOE!F$14&gt;0,G126,H126)*M126*D126</f>
        <v>0</v>
      </c>
      <c r="M126" s="15">
        <f>LCOE!Q152+M125+M125*LCOE!F$24</f>
        <v>1</v>
      </c>
      <c r="N126" s="15">
        <f>LCOE!R152+N125-N125*LCOE!F$25</f>
        <v>1</v>
      </c>
      <c r="O126" s="18">
        <f>LCOE!S152+LCOE!F$29</f>
        <v>313.75</v>
      </c>
      <c r="P126" s="12">
        <f>LCOE!T152+IF(A126&gt;=LCOE!F$30,100%,0%)</f>
        <v>1</v>
      </c>
      <c r="Q126" s="16">
        <f>LCOE!U152+O126/1000*IF(LCOE!F$14&gt;0,G126,H126)</f>
        <v>0</v>
      </c>
      <c r="R126" s="16">
        <f>LCOE!B152</f>
        <v>30</v>
      </c>
      <c r="S126" s="16">
        <f>LCOE!V152+Q126*P126*R126</f>
        <v>0</v>
      </c>
      <c r="T126" s="16">
        <f>LCOE!W152+LCOE!F$31</f>
        <v>0</v>
      </c>
      <c r="U126" s="16">
        <f>LCOE!X152+T126*IF(LCOE!F$14&gt;0,G126,H126)</f>
        <v>0</v>
      </c>
      <c r="V126" s="16">
        <f>LCOE!Y152+LCOE!F$32</f>
        <v>0</v>
      </c>
      <c r="W126" s="16">
        <f>LCOE!Z152+V126*IF(LCOE!F$14&gt;0,G126,H126)</f>
        <v>0</v>
      </c>
      <c r="X126" s="16">
        <f>LCOE!AA152+LCOE!F$34</f>
        <v>101</v>
      </c>
      <c r="Y126" s="16">
        <f t="shared" si="15"/>
        <v>0</v>
      </c>
      <c r="Z126" s="50">
        <f t="shared" si="18"/>
        <v>0</v>
      </c>
      <c r="AA126" s="50">
        <f t="shared" si="19"/>
        <v>0</v>
      </c>
      <c r="AB126" s="50">
        <f t="shared" si="20"/>
        <v>0</v>
      </c>
      <c r="AC126" s="50">
        <f t="shared" si="16"/>
        <v>0</v>
      </c>
      <c r="AD126" s="50">
        <f t="shared" si="25"/>
        <v>0</v>
      </c>
      <c r="AE126">
        <f t="shared" si="17"/>
        <v>30</v>
      </c>
      <c r="AF126" s="12">
        <f>LCOE!E152+LCOE!F$40</f>
        <v>0.05</v>
      </c>
      <c r="AG126">
        <f t="shared" si="26"/>
        <v>15.36741246219257</v>
      </c>
      <c r="AH126" s="16">
        <f t="shared" si="21"/>
        <v>0</v>
      </c>
      <c r="AI126" s="16">
        <f t="shared" si="22"/>
        <v>0</v>
      </c>
      <c r="AJ126" s="16">
        <f t="shared" si="23"/>
        <v>0</v>
      </c>
      <c r="AK126" s="16">
        <f t="shared" si="24"/>
        <v>0</v>
      </c>
      <c r="AL126" s="16">
        <f t="shared" si="27"/>
        <v>0</v>
      </c>
      <c r="AM126" s="16">
        <f t="shared" si="14"/>
        <v>0</v>
      </c>
      <c r="AN126" s="16">
        <f>IF(LCOE!F$14&gt;0,G126,H126)/AG126</f>
        <v>0</v>
      </c>
    </row>
    <row r="127" spans="1:40">
      <c r="A127">
        <v>57</v>
      </c>
      <c r="C127" s="16">
        <f>LCOE!F153+IF(AND(LCOE!F$26&gt;0,A127&gt;=LCOE!F$26,A127&lt;=(LCOE!F$26+LCOE!F$27-1)),LCOE!F$42/LCOE!F$27,0)+IF(AND(D127=0,AE127&gt;=LCOE!F$16,COUNTIF(D102:D127,0)=LCOE!F$36),LCOE!F$35*LCOE!F$38,0)</f>
        <v>0</v>
      </c>
      <c r="D127" s="16">
        <f>IF(AE126&lt;LCOE!F$16,1,0)</f>
        <v>0</v>
      </c>
      <c r="E127" s="12">
        <f>LCOE!G153+IF(AND(A127&gt;=LCOE!F$26,A127&lt;=(LCOE!F$26+LCOE!F$27-1)),0,1)*IF(A127=LCOE!F$34,0,1)*D127</f>
        <v>0</v>
      </c>
      <c r="F127" s="12">
        <f>IF(F126&lt;LCOE!F$18,MIN(F126*(1+LCOE!F$19),LCOE!F$18),LCOE!F$18)+LCOE!J153</f>
        <v>0.9</v>
      </c>
      <c r="G127" s="16">
        <f>LCOE!K153+E127*F127*N127*(LCOE!F$14+LCOE!H153)*24*365*D127</f>
        <v>0</v>
      </c>
      <c r="H127" s="16">
        <f>LCOE!L153+F127*(LCOE!F$15+LCOE!I153)*E127*24*365*D127*N127</f>
        <v>0</v>
      </c>
      <c r="I127" s="16">
        <f>LCOE!M153+LCOE!F$20*IF(LCOE!F$14&gt;0,(LCOE!F$14+LCOE!H153),(LCOE!F$15+LCOE!I153))*K127*D127</f>
        <v>0</v>
      </c>
      <c r="J127" s="16">
        <f>LCOE!N153+LCOE!F$21*IF(LCOE!F$14&gt;0,G127,H127)*K127*D127</f>
        <v>0</v>
      </c>
      <c r="K127" s="15">
        <f>LCOE!O153+K126+K126*LCOE!F$22</f>
        <v>1</v>
      </c>
      <c r="L127" s="16">
        <f>LCOE!P153+LCOE!F$23*IF(LCOE!F$14&gt;0,G127,H127)*M127*D127</f>
        <v>0</v>
      </c>
      <c r="M127" s="15">
        <f>LCOE!Q153+M126+M126*LCOE!F$24</f>
        <v>1</v>
      </c>
      <c r="N127" s="15">
        <f>LCOE!R153+N126-N126*LCOE!F$25</f>
        <v>1</v>
      </c>
      <c r="O127" s="18">
        <f>LCOE!S153+LCOE!F$29</f>
        <v>313.75</v>
      </c>
      <c r="P127" s="12">
        <f>LCOE!T153+IF(A127&gt;=LCOE!F$30,100%,0%)</f>
        <v>1</v>
      </c>
      <c r="Q127" s="16">
        <f>LCOE!U153+O127/1000*IF(LCOE!F$14&gt;0,G127,H127)</f>
        <v>0</v>
      </c>
      <c r="R127" s="16">
        <f>LCOE!B153</f>
        <v>30</v>
      </c>
      <c r="S127" s="16">
        <f>LCOE!V153+Q127*P127*R127</f>
        <v>0</v>
      </c>
      <c r="T127" s="16">
        <f>LCOE!W153+LCOE!F$31</f>
        <v>0</v>
      </c>
      <c r="U127" s="16">
        <f>LCOE!X153+T127*IF(LCOE!F$14&gt;0,G127,H127)</f>
        <v>0</v>
      </c>
      <c r="V127" s="16">
        <f>LCOE!Y153+LCOE!F$32</f>
        <v>0</v>
      </c>
      <c r="W127" s="16">
        <f>LCOE!Z153+V127*IF(LCOE!F$14&gt;0,G127,H127)</f>
        <v>0</v>
      </c>
      <c r="X127" s="16">
        <f>LCOE!AA153+LCOE!F$34</f>
        <v>101</v>
      </c>
      <c r="Y127" s="16">
        <f t="shared" si="15"/>
        <v>0</v>
      </c>
      <c r="Z127" s="50">
        <f t="shared" si="18"/>
        <v>0</v>
      </c>
      <c r="AA127" s="50">
        <f t="shared" si="19"/>
        <v>0</v>
      </c>
      <c r="AB127" s="50">
        <f t="shared" si="20"/>
        <v>0</v>
      </c>
      <c r="AC127" s="50">
        <f t="shared" si="16"/>
        <v>0</v>
      </c>
      <c r="AD127" s="50">
        <f t="shared" si="25"/>
        <v>0</v>
      </c>
      <c r="AE127">
        <f t="shared" si="17"/>
        <v>30</v>
      </c>
      <c r="AF127" s="12">
        <f>LCOE!E153+LCOE!F$40</f>
        <v>0.05</v>
      </c>
      <c r="AG127">
        <f t="shared" si="26"/>
        <v>16.135783085302201</v>
      </c>
      <c r="AH127" s="16">
        <f t="shared" si="21"/>
        <v>0</v>
      </c>
      <c r="AI127" s="16">
        <f t="shared" si="22"/>
        <v>0</v>
      </c>
      <c r="AJ127" s="16">
        <f t="shared" si="23"/>
        <v>0</v>
      </c>
      <c r="AK127" s="16">
        <f t="shared" si="24"/>
        <v>0</v>
      </c>
      <c r="AL127" s="16">
        <f t="shared" si="27"/>
        <v>0</v>
      </c>
      <c r="AM127" s="16">
        <f t="shared" si="14"/>
        <v>0</v>
      </c>
      <c r="AN127" s="16">
        <f>IF(LCOE!F$14&gt;0,G127,H127)/AG127</f>
        <v>0</v>
      </c>
    </row>
    <row r="128" spans="1:40">
      <c r="A128">
        <v>58</v>
      </c>
      <c r="C128" s="16">
        <f>LCOE!F154+IF(AND(LCOE!F$26&gt;0,A128&gt;=LCOE!F$26,A128&lt;=(LCOE!F$26+LCOE!F$27-1)),LCOE!F$42/LCOE!F$27,0)+IF(AND(D128=0,AE128&gt;=LCOE!F$16,COUNTIF(D103:D128,0)=LCOE!F$36),LCOE!F$35*LCOE!F$38,0)</f>
        <v>0</v>
      </c>
      <c r="D128" s="16">
        <f>IF(AE127&lt;LCOE!F$16,1,0)</f>
        <v>0</v>
      </c>
      <c r="E128" s="12">
        <f>LCOE!G154+IF(AND(A128&gt;=LCOE!F$26,A128&lt;=(LCOE!F$26+LCOE!F$27-1)),0,1)*IF(A128=LCOE!F$34,0,1)*D128</f>
        <v>0</v>
      </c>
      <c r="F128" s="12">
        <f>IF(F127&lt;LCOE!F$18,MIN(F127*(1+LCOE!F$19),LCOE!F$18),LCOE!F$18)+LCOE!J154</f>
        <v>0.9</v>
      </c>
      <c r="G128" s="16">
        <f>LCOE!K154+E128*F128*N128*(LCOE!F$14+LCOE!H154)*24*365*D128</f>
        <v>0</v>
      </c>
      <c r="H128" s="16">
        <f>LCOE!L154+F128*(LCOE!F$15+LCOE!I154)*E128*24*365*D128*N128</f>
        <v>0</v>
      </c>
      <c r="I128" s="16">
        <f>LCOE!M154+LCOE!F$20*IF(LCOE!F$14&gt;0,(LCOE!F$14+LCOE!H154),(LCOE!F$15+LCOE!I154))*K128*D128</f>
        <v>0</v>
      </c>
      <c r="J128" s="16">
        <f>LCOE!N154+LCOE!F$21*IF(LCOE!F$14&gt;0,G128,H128)*K128*D128</f>
        <v>0</v>
      </c>
      <c r="K128" s="15">
        <f>LCOE!O154+K127+K127*LCOE!F$22</f>
        <v>1</v>
      </c>
      <c r="L128" s="16">
        <f>LCOE!P154+LCOE!F$23*IF(LCOE!F$14&gt;0,G128,H128)*M128*D128</f>
        <v>0</v>
      </c>
      <c r="M128" s="15">
        <f>LCOE!Q154+M127+M127*LCOE!F$24</f>
        <v>1</v>
      </c>
      <c r="N128" s="15">
        <f>LCOE!R154+N127-N127*LCOE!F$25</f>
        <v>1</v>
      </c>
      <c r="O128" s="18">
        <f>LCOE!S154+LCOE!F$29</f>
        <v>313.75</v>
      </c>
      <c r="P128" s="12">
        <f>LCOE!T154+IF(A128&gt;=LCOE!F$30,100%,0%)</f>
        <v>1</v>
      </c>
      <c r="Q128" s="16">
        <f>LCOE!U154+O128/1000*IF(LCOE!F$14&gt;0,G128,H128)</f>
        <v>0</v>
      </c>
      <c r="R128" s="16">
        <f>LCOE!B154</f>
        <v>30</v>
      </c>
      <c r="S128" s="16">
        <f>LCOE!V154+Q128*P128*R128</f>
        <v>0</v>
      </c>
      <c r="T128" s="16">
        <f>LCOE!W154+LCOE!F$31</f>
        <v>0</v>
      </c>
      <c r="U128" s="16">
        <f>LCOE!X154+T128*IF(LCOE!F$14&gt;0,G128,H128)</f>
        <v>0</v>
      </c>
      <c r="V128" s="16">
        <f>LCOE!Y154+LCOE!F$32</f>
        <v>0</v>
      </c>
      <c r="W128" s="16">
        <f>LCOE!Z154+V128*IF(LCOE!F$14&gt;0,G128,H128)</f>
        <v>0</v>
      </c>
      <c r="X128" s="16">
        <f>LCOE!AA154+LCOE!F$34</f>
        <v>101</v>
      </c>
      <c r="Y128" s="16">
        <f t="shared" si="15"/>
        <v>0</v>
      </c>
      <c r="Z128" s="50">
        <f t="shared" si="18"/>
        <v>0</v>
      </c>
      <c r="AA128" s="50">
        <f t="shared" si="19"/>
        <v>0</v>
      </c>
      <c r="AB128" s="50">
        <f t="shared" si="20"/>
        <v>0</v>
      </c>
      <c r="AC128" s="50">
        <f t="shared" si="16"/>
        <v>0</v>
      </c>
      <c r="AD128" s="50">
        <f t="shared" si="25"/>
        <v>0</v>
      </c>
      <c r="AE128">
        <f t="shared" si="17"/>
        <v>30</v>
      </c>
      <c r="AF128" s="12">
        <f>LCOE!E154+LCOE!F$40</f>
        <v>0.05</v>
      </c>
      <c r="AG128">
        <f t="shared" si="26"/>
        <v>16.942572239567312</v>
      </c>
      <c r="AH128" s="16">
        <f t="shared" si="21"/>
        <v>0</v>
      </c>
      <c r="AI128" s="16">
        <f t="shared" si="22"/>
        <v>0</v>
      </c>
      <c r="AJ128" s="16">
        <f t="shared" si="23"/>
        <v>0</v>
      </c>
      <c r="AK128" s="16">
        <f t="shared" si="24"/>
        <v>0</v>
      </c>
      <c r="AL128" s="16">
        <f t="shared" si="27"/>
        <v>0</v>
      </c>
      <c r="AM128" s="16">
        <f t="shared" si="14"/>
        <v>0</v>
      </c>
      <c r="AN128" s="16">
        <f>IF(LCOE!F$14&gt;0,G128,H128)/AG128</f>
        <v>0</v>
      </c>
    </row>
    <row r="129" spans="1:40">
      <c r="A129">
        <v>59</v>
      </c>
      <c r="C129" s="16">
        <f>LCOE!F155+IF(AND(LCOE!F$26&gt;0,A129&gt;=LCOE!F$26,A129&lt;=(LCOE!F$26+LCOE!F$27-1)),LCOE!F$42/LCOE!F$27,0)+IF(AND(D129=0,AE129&gt;=LCOE!F$16,COUNTIF(D104:D129,0)=LCOE!F$36),LCOE!F$35*LCOE!F$38,0)</f>
        <v>0</v>
      </c>
      <c r="D129" s="16">
        <f>IF(AE128&lt;LCOE!F$16,1,0)</f>
        <v>0</v>
      </c>
      <c r="E129" s="12">
        <f>LCOE!G155+IF(AND(A129&gt;=LCOE!F$26,A129&lt;=(LCOE!F$26+LCOE!F$27-1)),0,1)*IF(A129=LCOE!F$34,0,1)*D129</f>
        <v>0</v>
      </c>
      <c r="F129" s="12">
        <f>IF(F128&lt;LCOE!F$18,MIN(F128*(1+LCOE!F$19),LCOE!F$18),LCOE!F$18)+LCOE!J155</f>
        <v>0.9</v>
      </c>
      <c r="G129" s="16">
        <f>LCOE!K155+E129*F129*N129*(LCOE!F$14+LCOE!H155)*24*365*D129</f>
        <v>0</v>
      </c>
      <c r="H129" s="16">
        <f>LCOE!L155+F129*(LCOE!F$15+LCOE!I155)*E129*24*365*D129*N129</f>
        <v>0</v>
      </c>
      <c r="I129" s="16">
        <f>LCOE!M155+LCOE!F$20*IF(LCOE!F$14&gt;0,(LCOE!F$14+LCOE!H155),(LCOE!F$15+LCOE!I155))*K129*D129</f>
        <v>0</v>
      </c>
      <c r="J129" s="16">
        <f>LCOE!N155+LCOE!F$21*IF(LCOE!F$14&gt;0,G129,H129)*K129*D129</f>
        <v>0</v>
      </c>
      <c r="K129" s="15">
        <f>LCOE!O155+K128+K128*LCOE!F$22</f>
        <v>1</v>
      </c>
      <c r="L129" s="16">
        <f>LCOE!P155+LCOE!F$23*IF(LCOE!F$14&gt;0,G129,H129)*M129*D129</f>
        <v>0</v>
      </c>
      <c r="M129" s="15">
        <f>LCOE!Q155+M128+M128*LCOE!F$24</f>
        <v>1</v>
      </c>
      <c r="N129" s="15">
        <f>LCOE!R155+N128-N128*LCOE!F$25</f>
        <v>1</v>
      </c>
      <c r="O129" s="18">
        <f>LCOE!S155+LCOE!F$29</f>
        <v>313.75</v>
      </c>
      <c r="P129" s="12">
        <f>LCOE!T155+IF(A129&gt;=LCOE!F$30,100%,0%)</f>
        <v>1</v>
      </c>
      <c r="Q129" s="16">
        <f>LCOE!U155+O129/1000*IF(LCOE!F$14&gt;0,G129,H129)</f>
        <v>0</v>
      </c>
      <c r="R129" s="16">
        <f>LCOE!B155</f>
        <v>30</v>
      </c>
      <c r="S129" s="16">
        <f>LCOE!V155+Q129*P129*R129</f>
        <v>0</v>
      </c>
      <c r="T129" s="16">
        <f>LCOE!W155+LCOE!F$31</f>
        <v>0</v>
      </c>
      <c r="U129" s="16">
        <f>LCOE!X155+T129*IF(LCOE!F$14&gt;0,G129,H129)</f>
        <v>0</v>
      </c>
      <c r="V129" s="16">
        <f>LCOE!Y155+LCOE!F$32</f>
        <v>0</v>
      </c>
      <c r="W129" s="16">
        <f>LCOE!Z155+V129*IF(LCOE!F$14&gt;0,G129,H129)</f>
        <v>0</v>
      </c>
      <c r="X129" s="16">
        <f>LCOE!AA155+LCOE!F$34</f>
        <v>101</v>
      </c>
      <c r="Y129" s="16">
        <f t="shared" si="15"/>
        <v>0</v>
      </c>
      <c r="Z129" s="50">
        <f t="shared" si="18"/>
        <v>0</v>
      </c>
      <c r="AA129" s="50">
        <f t="shared" si="19"/>
        <v>0</v>
      </c>
      <c r="AB129" s="50">
        <f t="shared" si="20"/>
        <v>0</v>
      </c>
      <c r="AC129" s="50">
        <f t="shared" si="16"/>
        <v>0</v>
      </c>
      <c r="AD129" s="50">
        <f t="shared" si="25"/>
        <v>0</v>
      </c>
      <c r="AE129">
        <f t="shared" si="17"/>
        <v>30</v>
      </c>
      <c r="AF129" s="12">
        <f>LCOE!E155+LCOE!F$40</f>
        <v>0.05</v>
      </c>
      <c r="AG129">
        <f t="shared" si="26"/>
        <v>17.789700851545678</v>
      </c>
      <c r="AH129" s="16">
        <f t="shared" si="21"/>
        <v>0</v>
      </c>
      <c r="AI129" s="16">
        <f t="shared" si="22"/>
        <v>0</v>
      </c>
      <c r="AJ129" s="16">
        <f t="shared" si="23"/>
        <v>0</v>
      </c>
      <c r="AK129" s="16">
        <f t="shared" si="24"/>
        <v>0</v>
      </c>
      <c r="AL129" s="16">
        <f t="shared" si="27"/>
        <v>0</v>
      </c>
      <c r="AM129" s="16">
        <f t="shared" si="14"/>
        <v>0</v>
      </c>
      <c r="AN129" s="16">
        <f>IF(LCOE!F$14&gt;0,G129,H129)/AG129</f>
        <v>0</v>
      </c>
    </row>
    <row r="130" spans="1:40">
      <c r="A130">
        <v>60</v>
      </c>
      <c r="C130" s="16">
        <f>LCOE!F156+IF(AND(LCOE!F$26&gt;0,A130&gt;=LCOE!F$26,A130&lt;=(LCOE!F$26+LCOE!F$27-1)),LCOE!F$42/LCOE!F$27,0)+IF(AND(D130=0,AE130&gt;=LCOE!F$16,COUNTIF(D105:D130,0)=LCOE!F$36),LCOE!F$35*LCOE!F$38,0)</f>
        <v>0</v>
      </c>
      <c r="D130" s="16">
        <f>IF(AE129&lt;LCOE!F$16,1,0)</f>
        <v>0</v>
      </c>
      <c r="E130" s="12">
        <f>LCOE!G156+IF(AND(A130&gt;=LCOE!F$26,A130&lt;=(LCOE!F$26+LCOE!F$27-1)),0,1)*IF(A130=LCOE!F$34,0,1)*D130</f>
        <v>0</v>
      </c>
      <c r="F130" s="12">
        <f>IF(F129&lt;LCOE!F$18,MIN(F129*(1+LCOE!F$19),LCOE!F$18),LCOE!F$18)+LCOE!J156</f>
        <v>0.9</v>
      </c>
      <c r="G130" s="16">
        <f>LCOE!K156+E130*F130*N130*(LCOE!F$14+LCOE!H156)*24*365*D130</f>
        <v>0</v>
      </c>
      <c r="H130" s="16">
        <f>LCOE!L156+F130*(LCOE!F$15+LCOE!I156)*E130*24*365*D130*N130</f>
        <v>0</v>
      </c>
      <c r="I130" s="16">
        <f>LCOE!M156+LCOE!F$20*IF(LCOE!F$14&gt;0,(LCOE!F$14+LCOE!H156),(LCOE!F$15+LCOE!I156))*K130*D130</f>
        <v>0</v>
      </c>
      <c r="J130" s="16">
        <f>LCOE!N156+LCOE!F$21*IF(LCOE!F$14&gt;0,G130,H130)*K130*D130</f>
        <v>0</v>
      </c>
      <c r="K130" s="15">
        <f>LCOE!O156+K129+K129*LCOE!F$22</f>
        <v>1</v>
      </c>
      <c r="L130" s="16">
        <f>LCOE!P156+LCOE!F$23*IF(LCOE!F$14&gt;0,G130,H130)*M130*D130</f>
        <v>0</v>
      </c>
      <c r="M130" s="15">
        <f>LCOE!Q156+M129+M129*LCOE!F$24</f>
        <v>1</v>
      </c>
      <c r="N130" s="15">
        <f>LCOE!R156+N129-N129*LCOE!F$25</f>
        <v>1</v>
      </c>
      <c r="O130" s="18">
        <f>LCOE!S156+LCOE!F$29</f>
        <v>313.75</v>
      </c>
      <c r="P130" s="12">
        <f>LCOE!T156+IF(A130&gt;=LCOE!F$30,100%,0%)</f>
        <v>1</v>
      </c>
      <c r="Q130" s="16">
        <f>LCOE!U156+O130/1000*IF(LCOE!F$14&gt;0,G130,H130)</f>
        <v>0</v>
      </c>
      <c r="R130" s="16">
        <f>LCOE!B156</f>
        <v>30</v>
      </c>
      <c r="S130" s="16">
        <f>LCOE!V156+Q130*P130*R130</f>
        <v>0</v>
      </c>
      <c r="T130" s="16">
        <f>LCOE!W156+LCOE!F$31</f>
        <v>0</v>
      </c>
      <c r="U130" s="16">
        <f>LCOE!X156+T130*IF(LCOE!F$14&gt;0,G130,H130)</f>
        <v>0</v>
      </c>
      <c r="V130" s="16">
        <f>LCOE!Y156+LCOE!F$32</f>
        <v>0</v>
      </c>
      <c r="W130" s="16">
        <f>LCOE!Z156+V130*IF(LCOE!F$14&gt;0,G130,H130)</f>
        <v>0</v>
      </c>
      <c r="X130" s="16">
        <f>LCOE!AA156+LCOE!F$34</f>
        <v>101</v>
      </c>
      <c r="Y130" s="16">
        <f t="shared" si="15"/>
        <v>0</v>
      </c>
      <c r="Z130" s="50">
        <f t="shared" si="18"/>
        <v>0</v>
      </c>
      <c r="AA130" s="50">
        <f t="shared" si="19"/>
        <v>0</v>
      </c>
      <c r="AB130" s="50">
        <f t="shared" si="20"/>
        <v>0</v>
      </c>
      <c r="AC130" s="50">
        <f t="shared" si="16"/>
        <v>0</v>
      </c>
      <c r="AD130" s="50">
        <f t="shared" si="25"/>
        <v>0</v>
      </c>
      <c r="AE130">
        <f t="shared" si="17"/>
        <v>30</v>
      </c>
      <c r="AF130" s="12">
        <f>LCOE!E156+LCOE!F$40</f>
        <v>0.05</v>
      </c>
      <c r="AG130">
        <f t="shared" si="26"/>
        <v>18.679185894122959</v>
      </c>
      <c r="AH130" s="16">
        <f t="shared" si="21"/>
        <v>0</v>
      </c>
      <c r="AI130" s="16">
        <f t="shared" si="22"/>
        <v>0</v>
      </c>
      <c r="AJ130" s="16">
        <f t="shared" si="23"/>
        <v>0</v>
      </c>
      <c r="AK130" s="16">
        <f t="shared" si="24"/>
        <v>0</v>
      </c>
      <c r="AL130" s="16">
        <f t="shared" si="27"/>
        <v>0</v>
      </c>
      <c r="AM130" s="16">
        <f t="shared" si="14"/>
        <v>0</v>
      </c>
      <c r="AN130" s="16">
        <f>IF(LCOE!F$14&gt;0,G130,H130)/AG130</f>
        <v>0</v>
      </c>
    </row>
    <row r="131" spans="1:40">
      <c r="A131">
        <v>61</v>
      </c>
      <c r="C131" s="16">
        <f>LCOE!F157+IF(AND(LCOE!F$26&gt;0,A131&gt;=LCOE!F$26,A131&lt;=(LCOE!F$26+LCOE!F$27-1)),LCOE!F$42/LCOE!F$27,0)+IF(AND(D131=0,AE131&gt;=LCOE!F$16,COUNTIF(D106:D131,0)=LCOE!F$36),LCOE!F$35*LCOE!F$38,0)</f>
        <v>0</v>
      </c>
      <c r="D131" s="16">
        <f>IF(AE130&lt;LCOE!F$16,1,0)</f>
        <v>0</v>
      </c>
      <c r="E131" s="12">
        <f>LCOE!G157+IF(AND(A131&gt;=LCOE!F$26,A131&lt;=(LCOE!F$26+LCOE!F$27-1)),0,1)*IF(A131=LCOE!F$34,0,1)*D131</f>
        <v>0</v>
      </c>
      <c r="F131" s="12">
        <f>IF(F130&lt;LCOE!F$18,MIN(F130*(1+LCOE!F$19),LCOE!F$18),LCOE!F$18)+LCOE!J157</f>
        <v>0.9</v>
      </c>
      <c r="G131" s="16">
        <f>LCOE!K157+E131*F131*N131*(LCOE!F$14+LCOE!H157)*24*365*D131</f>
        <v>0</v>
      </c>
      <c r="H131" s="16">
        <f>LCOE!L157+F131*(LCOE!F$15+LCOE!I157)*E131*24*365*D131*N131</f>
        <v>0</v>
      </c>
      <c r="I131" s="16">
        <f>LCOE!M157+LCOE!F$20*IF(LCOE!F$14&gt;0,(LCOE!F$14+LCOE!H157),(LCOE!F$15+LCOE!I157))*K131*D131</f>
        <v>0</v>
      </c>
      <c r="J131" s="16">
        <f>LCOE!N157+LCOE!F$21*IF(LCOE!F$14&gt;0,G131,H131)*K131*D131</f>
        <v>0</v>
      </c>
      <c r="K131" s="15">
        <f>LCOE!O157+K130+K130*LCOE!F$22</f>
        <v>1</v>
      </c>
      <c r="L131" s="16">
        <f>LCOE!P157+LCOE!F$23*IF(LCOE!F$14&gt;0,G131,H131)*M131*D131</f>
        <v>0</v>
      </c>
      <c r="M131" s="15">
        <f>LCOE!Q157+M130+M130*LCOE!F$24</f>
        <v>1</v>
      </c>
      <c r="N131" s="15">
        <f>LCOE!R157+N130-N130*LCOE!F$25</f>
        <v>1</v>
      </c>
      <c r="O131" s="18">
        <f>LCOE!S157+LCOE!F$29</f>
        <v>313.75</v>
      </c>
      <c r="P131" s="12">
        <f>LCOE!T157+IF(A131&gt;=LCOE!F$30,100%,0%)</f>
        <v>1</v>
      </c>
      <c r="Q131" s="16">
        <f>LCOE!U157+O131/1000*IF(LCOE!F$14&gt;0,G131,H131)</f>
        <v>0</v>
      </c>
      <c r="R131" s="16">
        <f>LCOE!B157</f>
        <v>30</v>
      </c>
      <c r="S131" s="16">
        <f>LCOE!V157+Q131*P131*R131</f>
        <v>0</v>
      </c>
      <c r="T131" s="16">
        <f>LCOE!W157+LCOE!F$31</f>
        <v>0</v>
      </c>
      <c r="U131" s="16">
        <f>LCOE!X157+T131*IF(LCOE!F$14&gt;0,G131,H131)</f>
        <v>0</v>
      </c>
      <c r="V131" s="16">
        <f>LCOE!Y157+LCOE!F$32</f>
        <v>0</v>
      </c>
      <c r="W131" s="16">
        <f>LCOE!Z157+V131*IF(LCOE!F$14&gt;0,G131,H131)</f>
        <v>0</v>
      </c>
      <c r="X131" s="16">
        <f>LCOE!AA157+LCOE!F$34</f>
        <v>101</v>
      </c>
      <c r="Y131" s="16">
        <f t="shared" si="15"/>
        <v>0</v>
      </c>
      <c r="Z131" s="50">
        <f t="shared" si="18"/>
        <v>0</v>
      </c>
      <c r="AA131" s="50">
        <f t="shared" si="19"/>
        <v>0</v>
      </c>
      <c r="AB131" s="50">
        <f t="shared" si="20"/>
        <v>0</v>
      </c>
      <c r="AC131" s="50">
        <f t="shared" si="16"/>
        <v>0</v>
      </c>
      <c r="AD131" s="50">
        <f t="shared" si="25"/>
        <v>0</v>
      </c>
      <c r="AE131">
        <f t="shared" si="17"/>
        <v>30</v>
      </c>
      <c r="AF131" s="12">
        <f>LCOE!E157+LCOE!F$40</f>
        <v>0.05</v>
      </c>
      <c r="AG131">
        <f t="shared" si="26"/>
        <v>19.613145188829112</v>
      </c>
      <c r="AH131" s="16">
        <f t="shared" si="21"/>
        <v>0</v>
      </c>
      <c r="AI131" s="16">
        <f t="shared" si="22"/>
        <v>0</v>
      </c>
      <c r="AJ131" s="16">
        <f t="shared" si="23"/>
        <v>0</v>
      </c>
      <c r="AK131" s="16">
        <f t="shared" si="24"/>
        <v>0</v>
      </c>
      <c r="AL131" s="16">
        <f t="shared" si="27"/>
        <v>0</v>
      </c>
      <c r="AM131" s="16">
        <f t="shared" si="14"/>
        <v>0</v>
      </c>
      <c r="AN131" s="16">
        <f>IF(LCOE!F$14&gt;0,G131,H131)/AG131</f>
        <v>0</v>
      </c>
    </row>
    <row r="132" spans="1:40">
      <c r="A132">
        <v>62</v>
      </c>
      <c r="C132" s="16">
        <f>LCOE!F158+IF(AND(LCOE!F$26&gt;0,A132&gt;=LCOE!F$26,A132&lt;=(LCOE!F$26+LCOE!F$27-1)),LCOE!F$42/LCOE!F$27,0)+IF(AND(D132=0,AE132&gt;=LCOE!F$16,COUNTIF(D107:D132,0)=LCOE!F$36),LCOE!F$35*LCOE!F$38,0)</f>
        <v>0</v>
      </c>
      <c r="D132" s="16">
        <f>IF(AE131&lt;LCOE!F$16,1,0)</f>
        <v>0</v>
      </c>
      <c r="E132" s="12">
        <f>LCOE!G158+IF(AND(A132&gt;=LCOE!F$26,A132&lt;=(LCOE!F$26+LCOE!F$27-1)),0,1)*IF(A132=LCOE!F$34,0,1)*D132</f>
        <v>0</v>
      </c>
      <c r="F132" s="12">
        <f>IF(F131&lt;LCOE!F$18,MIN(F131*(1+LCOE!F$19),LCOE!F$18),LCOE!F$18)+LCOE!J158</f>
        <v>0.9</v>
      </c>
      <c r="G132" s="16">
        <f>LCOE!K158+E132*F132*N132*(LCOE!F$14+LCOE!H158)*24*365*D132</f>
        <v>0</v>
      </c>
      <c r="H132" s="16">
        <f>LCOE!L158+F132*(LCOE!F$15+LCOE!I158)*E132*24*365*D132*N132</f>
        <v>0</v>
      </c>
      <c r="I132" s="16">
        <f>LCOE!M158+LCOE!F$20*IF(LCOE!F$14&gt;0,(LCOE!F$14+LCOE!H158),(LCOE!F$15+LCOE!I158))*K132*D132</f>
        <v>0</v>
      </c>
      <c r="J132" s="16">
        <f>LCOE!N158+LCOE!F$21*IF(LCOE!F$14&gt;0,G132,H132)*K132*D132</f>
        <v>0</v>
      </c>
      <c r="K132" s="15">
        <f>LCOE!O158+K131+K131*LCOE!F$22</f>
        <v>1</v>
      </c>
      <c r="L132" s="16">
        <f>LCOE!P158+LCOE!F$23*IF(LCOE!F$14&gt;0,G132,H132)*M132*D132</f>
        <v>0</v>
      </c>
      <c r="M132" s="15">
        <f>LCOE!Q158+M131+M131*LCOE!F$24</f>
        <v>1</v>
      </c>
      <c r="N132" s="15">
        <f>LCOE!R158+N131-N131*LCOE!F$25</f>
        <v>1</v>
      </c>
      <c r="O132" s="18">
        <f>LCOE!S158+LCOE!F$29</f>
        <v>313.75</v>
      </c>
      <c r="P132" s="12">
        <f>LCOE!T158+IF(A132&gt;=LCOE!F$30,100%,0%)</f>
        <v>1</v>
      </c>
      <c r="Q132" s="16">
        <f>LCOE!U158+O132/1000*IF(LCOE!F$14&gt;0,G132,H132)</f>
        <v>0</v>
      </c>
      <c r="R132" s="16">
        <f>LCOE!B158</f>
        <v>30</v>
      </c>
      <c r="S132" s="16">
        <f>LCOE!V158+Q132*P132*R132</f>
        <v>0</v>
      </c>
      <c r="T132" s="16">
        <f>LCOE!W158+LCOE!F$31</f>
        <v>0</v>
      </c>
      <c r="U132" s="16">
        <f>LCOE!X158+T132*IF(LCOE!F$14&gt;0,G132,H132)</f>
        <v>0</v>
      </c>
      <c r="V132" s="16">
        <f>LCOE!Y158+LCOE!F$32</f>
        <v>0</v>
      </c>
      <c r="W132" s="16">
        <f>LCOE!Z158+V132*IF(LCOE!F$14&gt;0,G132,H132)</f>
        <v>0</v>
      </c>
      <c r="X132" s="16">
        <f>LCOE!AA158+LCOE!F$34</f>
        <v>101</v>
      </c>
      <c r="Y132" s="16">
        <f t="shared" si="15"/>
        <v>0</v>
      </c>
      <c r="Z132" s="50">
        <f t="shared" si="18"/>
        <v>0</v>
      </c>
      <c r="AA132" s="50">
        <f t="shared" si="19"/>
        <v>0</v>
      </c>
      <c r="AB132" s="50">
        <f t="shared" si="20"/>
        <v>0</v>
      </c>
      <c r="AC132" s="50">
        <f t="shared" si="16"/>
        <v>0</v>
      </c>
      <c r="AD132" s="50">
        <f t="shared" si="25"/>
        <v>0</v>
      </c>
      <c r="AE132">
        <f t="shared" si="17"/>
        <v>30</v>
      </c>
      <c r="AF132" s="12">
        <f>LCOE!E158+LCOE!F$40</f>
        <v>0.05</v>
      </c>
      <c r="AG132">
        <f t="shared" si="26"/>
        <v>20.593802448270559</v>
      </c>
      <c r="AH132" s="16">
        <f t="shared" si="21"/>
        <v>0</v>
      </c>
      <c r="AI132" s="16">
        <f t="shared" si="22"/>
        <v>0</v>
      </c>
      <c r="AJ132" s="16">
        <f t="shared" si="23"/>
        <v>0</v>
      </c>
      <c r="AK132" s="16">
        <f t="shared" si="24"/>
        <v>0</v>
      </c>
      <c r="AL132" s="16">
        <f t="shared" si="27"/>
        <v>0</v>
      </c>
      <c r="AM132" s="16">
        <f t="shared" si="14"/>
        <v>0</v>
      </c>
      <c r="AN132" s="16">
        <f>IF(LCOE!F$14&gt;0,G132,H132)/AG132</f>
        <v>0</v>
      </c>
    </row>
    <row r="133" spans="1:40">
      <c r="A133">
        <v>63</v>
      </c>
      <c r="C133" s="16">
        <f>LCOE!F159+IF(AND(LCOE!F$26&gt;0,A133&gt;=LCOE!F$26,A133&lt;=(LCOE!F$26+LCOE!F$27-1)),LCOE!F$42/LCOE!F$27,0)+IF(AND(D133=0,AE133&gt;=LCOE!F$16,COUNTIF(D108:D133,0)=LCOE!F$36),LCOE!F$35*LCOE!F$38,0)</f>
        <v>0</v>
      </c>
      <c r="D133" s="16">
        <f>IF(AE132&lt;LCOE!F$16,1,0)</f>
        <v>0</v>
      </c>
      <c r="E133" s="12">
        <f>LCOE!G159+IF(AND(A133&gt;=LCOE!F$26,A133&lt;=(LCOE!F$26+LCOE!F$27-1)),0,1)*IF(A133=LCOE!F$34,0,1)*D133</f>
        <v>0</v>
      </c>
      <c r="F133" s="12">
        <f>IF(F132&lt;LCOE!F$18,MIN(F132*(1+LCOE!F$19),LCOE!F$18),LCOE!F$18)+LCOE!J159</f>
        <v>0.9</v>
      </c>
      <c r="G133" s="16">
        <f>LCOE!K159+E133*F133*N133*(LCOE!F$14+LCOE!H159)*24*365*D133</f>
        <v>0</v>
      </c>
      <c r="H133" s="16">
        <f>LCOE!L159+F133*(LCOE!F$15+LCOE!I159)*E133*24*365*D133*N133</f>
        <v>0</v>
      </c>
      <c r="I133" s="16">
        <f>LCOE!M159+LCOE!F$20*IF(LCOE!F$14&gt;0,(LCOE!F$14+LCOE!H159),(LCOE!F$15+LCOE!I159))*K133*D133</f>
        <v>0</v>
      </c>
      <c r="J133" s="16">
        <f>LCOE!N159+LCOE!F$21*IF(LCOE!F$14&gt;0,G133,H133)*K133*D133</f>
        <v>0</v>
      </c>
      <c r="K133" s="15">
        <f>LCOE!O159+K132+K132*LCOE!F$22</f>
        <v>1</v>
      </c>
      <c r="L133" s="16">
        <f>LCOE!P159+LCOE!F$23*IF(LCOE!F$14&gt;0,G133,H133)*M133*D133</f>
        <v>0</v>
      </c>
      <c r="M133" s="15">
        <f>LCOE!Q159+M132+M132*LCOE!F$24</f>
        <v>1</v>
      </c>
      <c r="N133" s="15">
        <f>LCOE!R159+N132-N132*LCOE!F$25</f>
        <v>1</v>
      </c>
      <c r="O133" s="18">
        <f>LCOE!S159+LCOE!F$29</f>
        <v>313.75</v>
      </c>
      <c r="P133" s="12">
        <f>LCOE!T159+IF(A133&gt;=LCOE!F$30,100%,0%)</f>
        <v>1</v>
      </c>
      <c r="Q133" s="16">
        <f>LCOE!U159+O133/1000*IF(LCOE!F$14&gt;0,G133,H133)</f>
        <v>0</v>
      </c>
      <c r="R133" s="16">
        <f>LCOE!B159</f>
        <v>30</v>
      </c>
      <c r="S133" s="16">
        <f>LCOE!V159+Q133*P133*R133</f>
        <v>0</v>
      </c>
      <c r="T133" s="16">
        <f>LCOE!W159+LCOE!F$31</f>
        <v>0</v>
      </c>
      <c r="U133" s="16">
        <f>LCOE!X159+T133*IF(LCOE!F$14&gt;0,G133,H133)</f>
        <v>0</v>
      </c>
      <c r="V133" s="16">
        <f>LCOE!Y159+LCOE!F$32</f>
        <v>0</v>
      </c>
      <c r="W133" s="16">
        <f>LCOE!Z159+V133*IF(LCOE!F$14&gt;0,G133,H133)</f>
        <v>0</v>
      </c>
      <c r="X133" s="16">
        <f>LCOE!AA159+LCOE!F$34</f>
        <v>101</v>
      </c>
      <c r="Y133" s="16">
        <f t="shared" si="15"/>
        <v>0</v>
      </c>
      <c r="Z133" s="50">
        <f t="shared" si="18"/>
        <v>0</v>
      </c>
      <c r="AA133" s="50">
        <f t="shared" si="19"/>
        <v>0</v>
      </c>
      <c r="AB133" s="50">
        <f t="shared" si="20"/>
        <v>0</v>
      </c>
      <c r="AC133" s="50">
        <f t="shared" si="16"/>
        <v>0</v>
      </c>
      <c r="AD133" s="50">
        <f t="shared" si="25"/>
        <v>0</v>
      </c>
      <c r="AE133">
        <f t="shared" si="17"/>
        <v>30</v>
      </c>
      <c r="AF133" s="12">
        <f>LCOE!E159+LCOE!F$40</f>
        <v>0.05</v>
      </c>
      <c r="AG133">
        <f t="shared" si="26"/>
        <v>21.623492570684096</v>
      </c>
      <c r="AH133" s="16">
        <f t="shared" si="21"/>
        <v>0</v>
      </c>
      <c r="AI133" s="16">
        <f t="shared" si="22"/>
        <v>0</v>
      </c>
      <c r="AJ133" s="16">
        <f t="shared" si="23"/>
        <v>0</v>
      </c>
      <c r="AK133" s="16">
        <f t="shared" si="24"/>
        <v>0</v>
      </c>
      <c r="AL133" s="16">
        <f t="shared" si="27"/>
        <v>0</v>
      </c>
      <c r="AM133" s="16">
        <f t="shared" si="14"/>
        <v>0</v>
      </c>
      <c r="AN133" s="16">
        <f>IF(LCOE!F$14&gt;0,G133,H133)/AG133</f>
        <v>0</v>
      </c>
    </row>
    <row r="134" spans="1:40">
      <c r="A134">
        <v>64</v>
      </c>
      <c r="C134" s="16">
        <f>LCOE!F160+IF(AND(LCOE!F$26&gt;0,A134&gt;=LCOE!F$26,A134&lt;=(LCOE!F$26+LCOE!F$27-1)),LCOE!F$42/LCOE!F$27,0)+IF(AND(D134=0,AE134&gt;=LCOE!F$16,COUNTIF(D109:D134,0)=LCOE!F$36),LCOE!F$35*LCOE!F$38,0)</f>
        <v>0</v>
      </c>
      <c r="D134" s="16">
        <f>IF(AE133&lt;LCOE!F$16,1,0)</f>
        <v>0</v>
      </c>
      <c r="E134" s="12">
        <f>LCOE!G160+IF(AND(A134&gt;=LCOE!F$26,A134&lt;=(LCOE!F$26+LCOE!F$27-1)),0,1)*IF(A134=LCOE!F$34,0,1)*D134</f>
        <v>0</v>
      </c>
      <c r="F134" s="12">
        <f>IF(F133&lt;LCOE!F$18,MIN(F133*(1+LCOE!F$19),LCOE!F$18),LCOE!F$18)+LCOE!J160</f>
        <v>0.9</v>
      </c>
      <c r="G134" s="16">
        <f>LCOE!K160+E134*F134*N134*(LCOE!F$14+LCOE!H160)*24*365*D134</f>
        <v>0</v>
      </c>
      <c r="H134" s="16">
        <f>LCOE!L160+F134*(LCOE!F$15+LCOE!I160)*E134*24*365*D134*N134</f>
        <v>0</v>
      </c>
      <c r="I134" s="16">
        <f>LCOE!M160+LCOE!F$20*IF(LCOE!F$14&gt;0,(LCOE!F$14+LCOE!H160),(LCOE!F$15+LCOE!I160))*K134*D134</f>
        <v>0</v>
      </c>
      <c r="J134" s="16">
        <f>LCOE!N160+LCOE!F$21*IF(LCOE!F$14&gt;0,G134,H134)*K134*D134</f>
        <v>0</v>
      </c>
      <c r="K134" s="15">
        <f>LCOE!O160+K133+K133*LCOE!F$22</f>
        <v>1</v>
      </c>
      <c r="L134" s="16">
        <f>LCOE!P160+LCOE!F$23*IF(LCOE!F$14&gt;0,G134,H134)*M134*D134</f>
        <v>0</v>
      </c>
      <c r="M134" s="15">
        <f>LCOE!Q160+M133+M133*LCOE!F$24</f>
        <v>1</v>
      </c>
      <c r="N134" s="15">
        <f>LCOE!R160+N133-N133*LCOE!F$25</f>
        <v>1</v>
      </c>
      <c r="O134" s="18">
        <f>LCOE!S160+LCOE!F$29</f>
        <v>313.75</v>
      </c>
      <c r="P134" s="12">
        <f>LCOE!T160+IF(A134&gt;=LCOE!F$30,100%,0%)</f>
        <v>1</v>
      </c>
      <c r="Q134" s="16">
        <f>LCOE!U160+O134/1000*IF(LCOE!F$14&gt;0,G134,H134)</f>
        <v>0</v>
      </c>
      <c r="R134" s="16">
        <f>LCOE!B160</f>
        <v>30</v>
      </c>
      <c r="S134" s="16">
        <f>LCOE!V160+Q134*P134*R134</f>
        <v>0</v>
      </c>
      <c r="T134" s="16">
        <f>LCOE!W160+LCOE!F$31</f>
        <v>0</v>
      </c>
      <c r="U134" s="16">
        <f>LCOE!X160+T134*IF(LCOE!F$14&gt;0,G134,H134)</f>
        <v>0</v>
      </c>
      <c r="V134" s="16">
        <f>LCOE!Y160+LCOE!F$32</f>
        <v>0</v>
      </c>
      <c r="W134" s="16">
        <f>LCOE!Z160+V134*IF(LCOE!F$14&gt;0,G134,H134)</f>
        <v>0</v>
      </c>
      <c r="X134" s="16">
        <f>LCOE!AA160+LCOE!F$34</f>
        <v>101</v>
      </c>
      <c r="Y134" s="16">
        <f t="shared" si="15"/>
        <v>0</v>
      </c>
      <c r="Z134" s="50">
        <f t="shared" si="18"/>
        <v>0</v>
      </c>
      <c r="AA134" s="50">
        <f t="shared" si="19"/>
        <v>0</v>
      </c>
      <c r="AB134" s="50">
        <f t="shared" si="20"/>
        <v>0</v>
      </c>
      <c r="AC134" s="50">
        <f t="shared" si="16"/>
        <v>0</v>
      </c>
      <c r="AD134" s="50">
        <f t="shared" si="25"/>
        <v>0</v>
      </c>
      <c r="AE134">
        <f t="shared" si="17"/>
        <v>30</v>
      </c>
      <c r="AF134" s="12">
        <f>LCOE!E160+LCOE!F$40</f>
        <v>0.05</v>
      </c>
      <c r="AG134">
        <f t="shared" si="26"/>
        <v>22.704667199218299</v>
      </c>
      <c r="AH134" s="16">
        <f t="shared" si="21"/>
        <v>0</v>
      </c>
      <c r="AI134" s="16">
        <f t="shared" si="22"/>
        <v>0</v>
      </c>
      <c r="AJ134" s="16">
        <f t="shared" si="23"/>
        <v>0</v>
      </c>
      <c r="AK134" s="16">
        <f t="shared" si="24"/>
        <v>0</v>
      </c>
      <c r="AL134" s="16">
        <f t="shared" si="27"/>
        <v>0</v>
      </c>
      <c r="AM134" s="16">
        <f t="shared" ref="AM134:AM170" si="28">(-1)*Y134/AG134</f>
        <v>0</v>
      </c>
      <c r="AN134" s="16">
        <f>IF(LCOE!F$14&gt;0,G134,H134)/AG134</f>
        <v>0</v>
      </c>
    </row>
    <row r="135" spans="1:40">
      <c r="A135">
        <v>65</v>
      </c>
      <c r="C135" s="16">
        <f>LCOE!F161+IF(AND(LCOE!F$26&gt;0,A135&gt;=LCOE!F$26,A135&lt;=(LCOE!F$26+LCOE!F$27-1)),LCOE!F$42/LCOE!F$27,0)+IF(AND(D135=0,AE135&gt;=LCOE!F$16,COUNTIF(D110:D135,0)=LCOE!F$36),LCOE!F$35*LCOE!F$38,0)</f>
        <v>0</v>
      </c>
      <c r="D135" s="16">
        <f>IF(AE134&lt;LCOE!F$16,1,0)</f>
        <v>0</v>
      </c>
      <c r="E135" s="12">
        <f>LCOE!G161+IF(AND(A135&gt;=LCOE!F$26,A135&lt;=(LCOE!F$26+LCOE!F$27-1)),0,1)*IF(A135=LCOE!F$34,0,1)*D135</f>
        <v>0</v>
      </c>
      <c r="F135" s="12">
        <f>IF(F134&lt;LCOE!F$18,MIN(F134*(1+LCOE!F$19),LCOE!F$18),LCOE!F$18)+LCOE!J161</f>
        <v>0.9</v>
      </c>
      <c r="G135" s="16">
        <f>LCOE!K161+E135*F135*N135*(LCOE!F$14+LCOE!H161)*24*365*D135</f>
        <v>0</v>
      </c>
      <c r="H135" s="16">
        <f>LCOE!L161+F135*(LCOE!F$15+LCOE!I161)*E135*24*365*D135*N135</f>
        <v>0</v>
      </c>
      <c r="I135" s="16">
        <f>LCOE!M161+LCOE!F$20*IF(LCOE!F$14&gt;0,(LCOE!F$14+LCOE!H161),(LCOE!F$15+LCOE!I161))*K135*D135</f>
        <v>0</v>
      </c>
      <c r="J135" s="16">
        <f>LCOE!N161+LCOE!F$21*IF(LCOE!F$14&gt;0,G135,H135)*K135*D135</f>
        <v>0</v>
      </c>
      <c r="K135" s="15">
        <f>LCOE!O161+K134+K134*LCOE!F$22</f>
        <v>1</v>
      </c>
      <c r="L135" s="16">
        <f>LCOE!P161+LCOE!F$23*IF(LCOE!F$14&gt;0,G135,H135)*M135*D135</f>
        <v>0</v>
      </c>
      <c r="M135" s="15">
        <f>LCOE!Q161+M134+M134*LCOE!F$24</f>
        <v>1</v>
      </c>
      <c r="N135" s="15">
        <f>LCOE!R161+N134-N134*LCOE!F$25</f>
        <v>1</v>
      </c>
      <c r="O135" s="18">
        <f>LCOE!S161+LCOE!F$29</f>
        <v>313.75</v>
      </c>
      <c r="P135" s="12">
        <f>LCOE!T161+IF(A135&gt;=LCOE!F$30,100%,0%)</f>
        <v>1</v>
      </c>
      <c r="Q135" s="16">
        <f>LCOE!U161+O135/1000*IF(LCOE!F$14&gt;0,G135,H135)</f>
        <v>0</v>
      </c>
      <c r="R135" s="16">
        <f>LCOE!B161</f>
        <v>30</v>
      </c>
      <c r="S135" s="16">
        <f>LCOE!V161+Q135*P135*R135</f>
        <v>0</v>
      </c>
      <c r="T135" s="16">
        <f>LCOE!W161+LCOE!F$31</f>
        <v>0</v>
      </c>
      <c r="U135" s="16">
        <f>LCOE!X161+T135*IF(LCOE!F$14&gt;0,G135,H135)</f>
        <v>0</v>
      </c>
      <c r="V135" s="16">
        <f>LCOE!Y161+LCOE!F$32</f>
        <v>0</v>
      </c>
      <c r="W135" s="16">
        <f>LCOE!Z161+V135*IF(LCOE!F$14&gt;0,G135,H135)</f>
        <v>0</v>
      </c>
      <c r="X135" s="16">
        <f>LCOE!AA161+LCOE!F$34</f>
        <v>101</v>
      </c>
      <c r="Y135" s="16">
        <f t="shared" ref="Y135:Y170" si="29">X135*H135</f>
        <v>0</v>
      </c>
      <c r="Z135" s="50">
        <f t="shared" si="18"/>
        <v>0</v>
      </c>
      <c r="AA135" s="50">
        <f t="shared" si="19"/>
        <v>0</v>
      </c>
      <c r="AB135" s="50">
        <f t="shared" si="20"/>
        <v>0</v>
      </c>
      <c r="AC135" s="50">
        <f t="shared" ref="AC135:AC170" si="30">U135+W135</f>
        <v>0</v>
      </c>
      <c r="AD135" s="50">
        <f t="shared" si="25"/>
        <v>0</v>
      </c>
      <c r="AE135">
        <f t="shared" ref="AE135:AE170" si="31">AE134+1*E135</f>
        <v>30</v>
      </c>
      <c r="AF135" s="12">
        <f>LCOE!E161+LCOE!F$40</f>
        <v>0.05</v>
      </c>
      <c r="AG135">
        <f t="shared" si="26"/>
        <v>23.839900559179217</v>
      </c>
      <c r="AH135" s="16">
        <f t="shared" si="21"/>
        <v>0</v>
      </c>
      <c r="AI135" s="16">
        <f t="shared" si="22"/>
        <v>0</v>
      </c>
      <c r="AJ135" s="16">
        <f t="shared" si="23"/>
        <v>0</v>
      </c>
      <c r="AK135" s="16">
        <f t="shared" si="24"/>
        <v>0</v>
      </c>
      <c r="AL135" s="16">
        <f t="shared" si="27"/>
        <v>0</v>
      </c>
      <c r="AM135" s="16">
        <f t="shared" si="28"/>
        <v>0</v>
      </c>
      <c r="AN135" s="16">
        <f>IF(LCOE!F$14&gt;0,G135,H135)/AG135</f>
        <v>0</v>
      </c>
    </row>
    <row r="136" spans="1:40">
      <c r="A136">
        <v>66</v>
      </c>
      <c r="C136" s="16">
        <f>LCOE!F162+IF(AND(LCOE!F$26&gt;0,A136&gt;=LCOE!F$26,A136&lt;=(LCOE!F$26+LCOE!F$27-1)),LCOE!F$42/LCOE!F$27,0)+IF(AND(D136=0,AE136&gt;=LCOE!F$16,COUNTIF(D111:D136,0)=LCOE!F$36),LCOE!F$35*LCOE!F$38,0)</f>
        <v>0</v>
      </c>
      <c r="D136" s="16">
        <f>IF(AE135&lt;LCOE!F$16,1,0)</f>
        <v>0</v>
      </c>
      <c r="E136" s="12">
        <f>LCOE!G162+IF(AND(A136&gt;=LCOE!F$26,A136&lt;=(LCOE!F$26+LCOE!F$27-1)),0,1)*IF(A136=LCOE!F$34,0,1)*D136</f>
        <v>0</v>
      </c>
      <c r="F136" s="12">
        <f>IF(F135&lt;LCOE!F$18,MIN(F135*(1+LCOE!F$19),LCOE!F$18),LCOE!F$18)+LCOE!J162</f>
        <v>0.9</v>
      </c>
      <c r="G136" s="16">
        <f>LCOE!K162+E136*F136*N136*(LCOE!F$14+LCOE!H162)*24*365*D136</f>
        <v>0</v>
      </c>
      <c r="H136" s="16">
        <f>LCOE!L162+F136*(LCOE!F$15+LCOE!I162)*E136*24*365*D136*N136</f>
        <v>0</v>
      </c>
      <c r="I136" s="16">
        <f>LCOE!M162+LCOE!F$20*IF(LCOE!F$14&gt;0,(LCOE!F$14+LCOE!H162),(LCOE!F$15+LCOE!I162))*K136*D136</f>
        <v>0</v>
      </c>
      <c r="J136" s="16">
        <f>LCOE!N162+LCOE!F$21*IF(LCOE!F$14&gt;0,G136,H136)*K136*D136</f>
        <v>0</v>
      </c>
      <c r="K136" s="15">
        <f>LCOE!O162+K135+K135*LCOE!F$22</f>
        <v>1</v>
      </c>
      <c r="L136" s="16">
        <f>LCOE!P162+LCOE!F$23*IF(LCOE!F$14&gt;0,G136,H136)*M136*D136</f>
        <v>0</v>
      </c>
      <c r="M136" s="15">
        <f>LCOE!Q162+M135+M135*LCOE!F$24</f>
        <v>1</v>
      </c>
      <c r="N136" s="15">
        <f>LCOE!R162+N135-N135*LCOE!F$25</f>
        <v>1</v>
      </c>
      <c r="O136" s="18">
        <f>LCOE!S162+LCOE!F$29</f>
        <v>313.75</v>
      </c>
      <c r="P136" s="12">
        <f>LCOE!T162+IF(A136&gt;=LCOE!F$30,100%,0%)</f>
        <v>1</v>
      </c>
      <c r="Q136" s="16">
        <f>LCOE!U162+O136/1000*IF(LCOE!F$14&gt;0,G136,H136)</f>
        <v>0</v>
      </c>
      <c r="R136" s="16">
        <f>LCOE!B162</f>
        <v>30</v>
      </c>
      <c r="S136" s="16">
        <f>LCOE!V162+Q136*P136*R136</f>
        <v>0</v>
      </c>
      <c r="T136" s="16">
        <f>LCOE!W162+LCOE!F$31</f>
        <v>0</v>
      </c>
      <c r="U136" s="16">
        <f>LCOE!X162+T136*IF(LCOE!F$14&gt;0,G136,H136)</f>
        <v>0</v>
      </c>
      <c r="V136" s="16">
        <f>LCOE!Y162+LCOE!F$32</f>
        <v>0</v>
      </c>
      <c r="W136" s="16">
        <f>LCOE!Z162+V136*IF(LCOE!F$14&gt;0,G136,H136)</f>
        <v>0</v>
      </c>
      <c r="X136" s="16">
        <f>LCOE!AA162+LCOE!F$34</f>
        <v>101</v>
      </c>
      <c r="Y136" s="16">
        <f t="shared" si="29"/>
        <v>0</v>
      </c>
      <c r="Z136" s="50">
        <f t="shared" ref="Z136:Z170" si="32">SUM(B136:C136)</f>
        <v>0</v>
      </c>
      <c r="AA136" s="50">
        <f t="shared" ref="AA136:AA170" si="33">SUM(I136:J136)</f>
        <v>0</v>
      </c>
      <c r="AB136" s="50">
        <f t="shared" ref="AB136:AB170" si="34">L136</f>
        <v>0</v>
      </c>
      <c r="AC136" s="50">
        <f t="shared" si="30"/>
        <v>0</v>
      </c>
      <c r="AD136" s="50">
        <f t="shared" si="25"/>
        <v>0</v>
      </c>
      <c r="AE136">
        <f t="shared" si="31"/>
        <v>30</v>
      </c>
      <c r="AF136" s="12">
        <f>LCOE!E162+LCOE!F$40</f>
        <v>0.05</v>
      </c>
      <c r="AG136">
        <f t="shared" si="26"/>
        <v>25.031895587138177</v>
      </c>
      <c r="AH136" s="16">
        <f t="shared" si="21"/>
        <v>0</v>
      </c>
      <c r="AI136" s="16">
        <f t="shared" si="22"/>
        <v>0</v>
      </c>
      <c r="AJ136" s="16">
        <f t="shared" si="23"/>
        <v>0</v>
      </c>
      <c r="AK136" s="16">
        <f t="shared" si="24"/>
        <v>0</v>
      </c>
      <c r="AL136" s="16">
        <f t="shared" si="27"/>
        <v>0</v>
      </c>
      <c r="AM136" s="16">
        <f t="shared" si="28"/>
        <v>0</v>
      </c>
      <c r="AN136" s="16">
        <f>IF(LCOE!F$14&gt;0,G136,H136)/AG136</f>
        <v>0</v>
      </c>
    </row>
    <row r="137" spans="1:40">
      <c r="A137">
        <v>67</v>
      </c>
      <c r="C137" s="16">
        <f>LCOE!F163+IF(AND(LCOE!F$26&gt;0,A137&gt;=LCOE!F$26,A137&lt;=(LCOE!F$26+LCOE!F$27-1)),LCOE!F$42/LCOE!F$27,0)+IF(AND(D137=0,AE137&gt;=LCOE!F$16,COUNTIF(D112:D137,0)=LCOE!F$36),LCOE!F$35*LCOE!F$38,0)</f>
        <v>0</v>
      </c>
      <c r="D137" s="16">
        <f>IF(AE136&lt;LCOE!F$16,1,0)</f>
        <v>0</v>
      </c>
      <c r="E137" s="12">
        <f>LCOE!G163+IF(AND(A137&gt;=LCOE!F$26,A137&lt;=(LCOE!F$26+LCOE!F$27-1)),0,1)*IF(A137=LCOE!F$34,0,1)*D137</f>
        <v>0</v>
      </c>
      <c r="F137" s="12">
        <f>IF(F136&lt;LCOE!F$18,MIN(F136*(1+LCOE!F$19),LCOE!F$18),LCOE!F$18)+LCOE!J163</f>
        <v>0.9</v>
      </c>
      <c r="G137" s="16">
        <f>LCOE!K163+E137*F137*N137*(LCOE!F$14+LCOE!H163)*24*365*D137</f>
        <v>0</v>
      </c>
      <c r="H137" s="16">
        <f>LCOE!L163+F137*(LCOE!F$15+LCOE!I163)*E137*24*365*D137*N137</f>
        <v>0</v>
      </c>
      <c r="I137" s="16">
        <f>LCOE!M163+LCOE!F$20*IF(LCOE!F$14&gt;0,(LCOE!F$14+LCOE!H163),(LCOE!F$15+LCOE!I163))*K137*D137</f>
        <v>0</v>
      </c>
      <c r="J137" s="16">
        <f>LCOE!N163+LCOE!F$21*IF(LCOE!F$14&gt;0,G137,H137)*K137*D137</f>
        <v>0</v>
      </c>
      <c r="K137" s="15">
        <f>LCOE!O163+K136+K136*LCOE!F$22</f>
        <v>1</v>
      </c>
      <c r="L137" s="16">
        <f>LCOE!P163+LCOE!F$23*IF(LCOE!F$14&gt;0,G137,H137)*M137*D137</f>
        <v>0</v>
      </c>
      <c r="M137" s="15">
        <f>LCOE!Q163+M136+M136*LCOE!F$24</f>
        <v>1</v>
      </c>
      <c r="N137" s="15">
        <f>LCOE!R163+N136-N136*LCOE!F$25</f>
        <v>1</v>
      </c>
      <c r="O137" s="18">
        <f>LCOE!S163+LCOE!F$29</f>
        <v>313.75</v>
      </c>
      <c r="P137" s="12">
        <f>LCOE!T163+IF(A137&gt;=LCOE!F$30,100%,0%)</f>
        <v>1</v>
      </c>
      <c r="Q137" s="16">
        <f>LCOE!U163+O137/1000*IF(LCOE!F$14&gt;0,G137,H137)</f>
        <v>0</v>
      </c>
      <c r="R137" s="16">
        <f>LCOE!B163</f>
        <v>30</v>
      </c>
      <c r="S137" s="16">
        <f>LCOE!V163+Q137*P137*R137</f>
        <v>0</v>
      </c>
      <c r="T137" s="16">
        <f>LCOE!W163+LCOE!F$31</f>
        <v>0</v>
      </c>
      <c r="U137" s="16">
        <f>LCOE!X163+T137*IF(LCOE!F$14&gt;0,G137,H137)</f>
        <v>0</v>
      </c>
      <c r="V137" s="16">
        <f>LCOE!Y163+LCOE!F$32</f>
        <v>0</v>
      </c>
      <c r="W137" s="16">
        <f>LCOE!Z163+V137*IF(LCOE!F$14&gt;0,G137,H137)</f>
        <v>0</v>
      </c>
      <c r="X137" s="16">
        <f>LCOE!AA163+LCOE!F$34</f>
        <v>101</v>
      </c>
      <c r="Y137" s="16">
        <f t="shared" si="29"/>
        <v>0</v>
      </c>
      <c r="Z137" s="50">
        <f t="shared" si="32"/>
        <v>0</v>
      </c>
      <c r="AA137" s="50">
        <f t="shared" si="33"/>
        <v>0</v>
      </c>
      <c r="AB137" s="50">
        <f t="shared" si="34"/>
        <v>0</v>
      </c>
      <c r="AC137" s="50">
        <f t="shared" si="30"/>
        <v>0</v>
      </c>
      <c r="AD137" s="50">
        <f t="shared" si="25"/>
        <v>0</v>
      </c>
      <c r="AE137">
        <f t="shared" si="31"/>
        <v>30</v>
      </c>
      <c r="AF137" s="12">
        <f>LCOE!E163+LCOE!F$40</f>
        <v>0.05</v>
      </c>
      <c r="AG137">
        <f t="shared" si="26"/>
        <v>26.283490366495087</v>
      </c>
      <c r="AH137" s="16">
        <f t="shared" si="21"/>
        <v>0</v>
      </c>
      <c r="AI137" s="16">
        <f t="shared" si="22"/>
        <v>0</v>
      </c>
      <c r="AJ137" s="16">
        <f t="shared" si="23"/>
        <v>0</v>
      </c>
      <c r="AK137" s="16">
        <f t="shared" si="24"/>
        <v>0</v>
      </c>
      <c r="AL137" s="16">
        <f t="shared" si="27"/>
        <v>0</v>
      </c>
      <c r="AM137" s="16">
        <f t="shared" si="28"/>
        <v>0</v>
      </c>
      <c r="AN137" s="16">
        <f>IF(LCOE!F$14&gt;0,G137,H137)/AG137</f>
        <v>0</v>
      </c>
    </row>
    <row r="138" spans="1:40">
      <c r="A138">
        <v>68</v>
      </c>
      <c r="C138" s="16">
        <f>LCOE!F164+IF(AND(LCOE!F$26&gt;0,A138&gt;=LCOE!F$26,A138&lt;=(LCOE!F$26+LCOE!F$27-1)),LCOE!F$42/LCOE!F$27,0)+IF(AND(D138=0,AE138&gt;=LCOE!F$16,COUNTIF(D113:D138,0)=LCOE!F$36),LCOE!F$35*LCOE!F$38,0)</f>
        <v>0</v>
      </c>
      <c r="D138" s="16">
        <f>IF(AE137&lt;LCOE!F$16,1,0)</f>
        <v>0</v>
      </c>
      <c r="E138" s="12">
        <f>LCOE!G164+IF(AND(A138&gt;=LCOE!F$26,A138&lt;=(LCOE!F$26+LCOE!F$27-1)),0,1)*IF(A138=LCOE!F$34,0,1)*D138</f>
        <v>0</v>
      </c>
      <c r="F138" s="12">
        <f>IF(F137&lt;LCOE!F$18,MIN(F137*(1+LCOE!F$19),LCOE!F$18),LCOE!F$18)+LCOE!J164</f>
        <v>0.9</v>
      </c>
      <c r="G138" s="16">
        <f>LCOE!K164+E138*F138*N138*(LCOE!F$14+LCOE!H164)*24*365*D138</f>
        <v>0</v>
      </c>
      <c r="H138" s="16">
        <f>LCOE!L164+F138*(LCOE!F$15+LCOE!I164)*E138*24*365*D138*N138</f>
        <v>0</v>
      </c>
      <c r="I138" s="16">
        <f>LCOE!M164+LCOE!F$20*IF(LCOE!F$14&gt;0,(LCOE!F$14+LCOE!H164),(LCOE!F$15+LCOE!I164))*K138*D138</f>
        <v>0</v>
      </c>
      <c r="J138" s="16">
        <f>LCOE!N164+LCOE!F$21*IF(LCOE!F$14&gt;0,G138,H138)*K138*D138</f>
        <v>0</v>
      </c>
      <c r="K138" s="15">
        <f>LCOE!O164+K137+K137*LCOE!F$22</f>
        <v>1</v>
      </c>
      <c r="L138" s="16">
        <f>LCOE!P164+LCOE!F$23*IF(LCOE!F$14&gt;0,G138,H138)*M138*D138</f>
        <v>0</v>
      </c>
      <c r="M138" s="15">
        <f>LCOE!Q164+M137+M137*LCOE!F$24</f>
        <v>1</v>
      </c>
      <c r="N138" s="15">
        <f>LCOE!R164+N137-N137*LCOE!F$25</f>
        <v>1</v>
      </c>
      <c r="O138" s="18">
        <f>LCOE!S164+LCOE!F$29</f>
        <v>313.75</v>
      </c>
      <c r="P138" s="12">
        <f>LCOE!T164+IF(A138&gt;=LCOE!F$30,100%,0%)</f>
        <v>1</v>
      </c>
      <c r="Q138" s="16">
        <f>LCOE!U164+O138/1000*IF(LCOE!F$14&gt;0,G138,H138)</f>
        <v>0</v>
      </c>
      <c r="R138" s="16">
        <f>LCOE!B164</f>
        <v>30</v>
      </c>
      <c r="S138" s="16">
        <f>LCOE!V164+Q138*P138*R138</f>
        <v>0</v>
      </c>
      <c r="T138" s="16">
        <f>LCOE!W164+LCOE!F$31</f>
        <v>0</v>
      </c>
      <c r="U138" s="16">
        <f>LCOE!X164+T138*IF(LCOE!F$14&gt;0,G138,H138)</f>
        <v>0</v>
      </c>
      <c r="V138" s="16">
        <f>LCOE!Y164+LCOE!F$32</f>
        <v>0</v>
      </c>
      <c r="W138" s="16">
        <f>LCOE!Z164+V138*IF(LCOE!F$14&gt;0,G138,H138)</f>
        <v>0</v>
      </c>
      <c r="X138" s="16">
        <f>LCOE!AA164+LCOE!F$34</f>
        <v>101</v>
      </c>
      <c r="Y138" s="16">
        <f t="shared" si="29"/>
        <v>0</v>
      </c>
      <c r="Z138" s="50">
        <f t="shared" si="32"/>
        <v>0</v>
      </c>
      <c r="AA138" s="50">
        <f t="shared" si="33"/>
        <v>0</v>
      </c>
      <c r="AB138" s="50">
        <f t="shared" si="34"/>
        <v>0</v>
      </c>
      <c r="AC138" s="50">
        <f t="shared" si="30"/>
        <v>0</v>
      </c>
      <c r="AD138" s="50">
        <f t="shared" si="25"/>
        <v>0</v>
      </c>
      <c r="AE138">
        <f t="shared" si="31"/>
        <v>30</v>
      </c>
      <c r="AF138" s="12">
        <f>LCOE!E164+LCOE!F$40</f>
        <v>0.05</v>
      </c>
      <c r="AG138">
        <f t="shared" si="26"/>
        <v>27.597664884819839</v>
      </c>
      <c r="AH138" s="16">
        <f t="shared" si="21"/>
        <v>0</v>
      </c>
      <c r="AI138" s="16">
        <f t="shared" si="22"/>
        <v>0</v>
      </c>
      <c r="AJ138" s="16">
        <f t="shared" si="23"/>
        <v>0</v>
      </c>
      <c r="AK138" s="16">
        <f t="shared" si="24"/>
        <v>0</v>
      </c>
      <c r="AL138" s="16">
        <f t="shared" si="27"/>
        <v>0</v>
      </c>
      <c r="AM138" s="16">
        <f t="shared" si="28"/>
        <v>0</v>
      </c>
      <c r="AN138" s="16">
        <f>IF(LCOE!F$14&gt;0,G138,H138)/AG138</f>
        <v>0</v>
      </c>
    </row>
    <row r="139" spans="1:40">
      <c r="A139">
        <v>69</v>
      </c>
      <c r="C139" s="16">
        <f>LCOE!F165+IF(AND(LCOE!F$26&gt;0,A139&gt;=LCOE!F$26,A139&lt;=(LCOE!F$26+LCOE!F$27-1)),LCOE!F$42/LCOE!F$27,0)+IF(AND(D139=0,AE139&gt;=LCOE!F$16,COUNTIF(D114:D139,0)=LCOE!F$36),LCOE!F$35*LCOE!F$38,0)</f>
        <v>0</v>
      </c>
      <c r="D139" s="16">
        <f>IF(AE138&lt;LCOE!F$16,1,0)</f>
        <v>0</v>
      </c>
      <c r="E139" s="12">
        <f>LCOE!G165+IF(AND(A139&gt;=LCOE!F$26,A139&lt;=(LCOE!F$26+LCOE!F$27-1)),0,1)*IF(A139=LCOE!F$34,0,1)*D139</f>
        <v>0</v>
      </c>
      <c r="F139" s="12">
        <f>IF(F138&lt;LCOE!F$18,MIN(F138*(1+LCOE!F$19),LCOE!F$18),LCOE!F$18)+LCOE!J165</f>
        <v>0.9</v>
      </c>
      <c r="G139" s="16">
        <f>LCOE!K165+E139*F139*N139*(LCOE!F$14+LCOE!H165)*24*365*D139</f>
        <v>0</v>
      </c>
      <c r="H139" s="16">
        <f>LCOE!L165+F139*(LCOE!F$15+LCOE!I165)*E139*24*365*D139*N139</f>
        <v>0</v>
      </c>
      <c r="I139" s="16">
        <f>LCOE!M165+LCOE!F$20*IF(LCOE!F$14&gt;0,(LCOE!F$14+LCOE!H165),(LCOE!F$15+LCOE!I165))*K139*D139</f>
        <v>0</v>
      </c>
      <c r="J139" s="16">
        <f>LCOE!N165+LCOE!F$21*IF(LCOE!F$14&gt;0,G139,H139)*K139*D139</f>
        <v>0</v>
      </c>
      <c r="K139" s="15">
        <f>LCOE!O165+K138+K138*LCOE!F$22</f>
        <v>1</v>
      </c>
      <c r="L139" s="16">
        <f>LCOE!P165+LCOE!F$23*IF(LCOE!F$14&gt;0,G139,H139)*M139*D139</f>
        <v>0</v>
      </c>
      <c r="M139" s="15">
        <f>LCOE!Q165+M138+M138*LCOE!F$24</f>
        <v>1</v>
      </c>
      <c r="N139" s="15">
        <f>LCOE!R165+N138-N138*LCOE!F$25</f>
        <v>1</v>
      </c>
      <c r="O139" s="18">
        <f>LCOE!S165+LCOE!F$29</f>
        <v>313.75</v>
      </c>
      <c r="P139" s="12">
        <f>LCOE!T165+IF(A139&gt;=LCOE!F$30,100%,0%)</f>
        <v>1</v>
      </c>
      <c r="Q139" s="16">
        <f>LCOE!U165+O139/1000*IF(LCOE!F$14&gt;0,G139,H139)</f>
        <v>0</v>
      </c>
      <c r="R139" s="16">
        <f>LCOE!B165</f>
        <v>30</v>
      </c>
      <c r="S139" s="16">
        <f>LCOE!V165+Q139*P139*R139</f>
        <v>0</v>
      </c>
      <c r="T139" s="16">
        <f>LCOE!W165+LCOE!F$31</f>
        <v>0</v>
      </c>
      <c r="U139" s="16">
        <f>LCOE!X165+T139*IF(LCOE!F$14&gt;0,G139,H139)</f>
        <v>0</v>
      </c>
      <c r="V139" s="16">
        <f>LCOE!Y165+LCOE!F$32</f>
        <v>0</v>
      </c>
      <c r="W139" s="16">
        <f>LCOE!Z165+V139*IF(LCOE!F$14&gt;0,G139,H139)</f>
        <v>0</v>
      </c>
      <c r="X139" s="16">
        <f>LCOE!AA165+LCOE!F$34</f>
        <v>101</v>
      </c>
      <c r="Y139" s="16">
        <f t="shared" si="29"/>
        <v>0</v>
      </c>
      <c r="Z139" s="50">
        <f t="shared" si="32"/>
        <v>0</v>
      </c>
      <c r="AA139" s="50">
        <f t="shared" si="33"/>
        <v>0</v>
      </c>
      <c r="AB139" s="50">
        <f t="shared" si="34"/>
        <v>0</v>
      </c>
      <c r="AC139" s="50">
        <f t="shared" si="30"/>
        <v>0</v>
      </c>
      <c r="AD139" s="50">
        <f t="shared" si="25"/>
        <v>0</v>
      </c>
      <c r="AE139">
        <f t="shared" si="31"/>
        <v>30</v>
      </c>
      <c r="AF139" s="12">
        <f>LCOE!E165+LCOE!F$40</f>
        <v>0.05</v>
      </c>
      <c r="AG139">
        <f t="shared" si="26"/>
        <v>28.977548129060832</v>
      </c>
      <c r="AH139" s="16">
        <f t="shared" si="21"/>
        <v>0</v>
      </c>
      <c r="AI139" s="16">
        <f t="shared" si="22"/>
        <v>0</v>
      </c>
      <c r="AJ139" s="16">
        <f t="shared" si="23"/>
        <v>0</v>
      </c>
      <c r="AK139" s="16">
        <f t="shared" si="24"/>
        <v>0</v>
      </c>
      <c r="AL139" s="16">
        <f t="shared" si="27"/>
        <v>0</v>
      </c>
      <c r="AM139" s="16">
        <f t="shared" si="28"/>
        <v>0</v>
      </c>
      <c r="AN139" s="16">
        <f>IF(LCOE!F$14&gt;0,G139,H139)/AG139</f>
        <v>0</v>
      </c>
    </row>
    <row r="140" spans="1:40">
      <c r="A140">
        <v>70</v>
      </c>
      <c r="C140" s="16">
        <f>LCOE!F166+IF(AND(LCOE!F$26&gt;0,A140&gt;=LCOE!F$26,A140&lt;=(LCOE!F$26+LCOE!F$27-1)),LCOE!F$42/LCOE!F$27,0)+IF(AND(D140=0,AE140&gt;=LCOE!F$16,COUNTIF(D115:D140,0)=LCOE!F$36),LCOE!F$35*LCOE!F$38,0)</f>
        <v>0</v>
      </c>
      <c r="D140" s="16">
        <f>IF(AE139&lt;LCOE!F$16,1,0)</f>
        <v>0</v>
      </c>
      <c r="E140" s="12">
        <f>LCOE!G166+IF(AND(A140&gt;=LCOE!F$26,A140&lt;=(LCOE!F$26+LCOE!F$27-1)),0,1)*IF(A140=LCOE!F$34,0,1)*D140</f>
        <v>0</v>
      </c>
      <c r="F140" s="12">
        <f>IF(F139&lt;LCOE!F$18,MIN(F139*(1+LCOE!F$19),LCOE!F$18),LCOE!F$18)+LCOE!J166</f>
        <v>0.9</v>
      </c>
      <c r="G140" s="16">
        <f>LCOE!K166+E140*F140*N140*(LCOE!F$14+LCOE!H166)*24*365*D140</f>
        <v>0</v>
      </c>
      <c r="H140" s="16">
        <f>LCOE!L166+F140*(LCOE!F$15+LCOE!I166)*E140*24*365*D140*N140</f>
        <v>0</v>
      </c>
      <c r="I140" s="16">
        <f>LCOE!M166+LCOE!F$20*IF(LCOE!F$14&gt;0,(LCOE!F$14+LCOE!H166),(LCOE!F$15+LCOE!I166))*K140*D140</f>
        <v>0</v>
      </c>
      <c r="J140" s="16">
        <f>LCOE!N166+LCOE!F$21*IF(LCOE!F$14&gt;0,G140,H140)*K140*D140</f>
        <v>0</v>
      </c>
      <c r="K140" s="15">
        <f>LCOE!O166+K139+K139*LCOE!F$22</f>
        <v>1</v>
      </c>
      <c r="L140" s="16">
        <f>LCOE!P166+LCOE!F$23*IF(LCOE!F$14&gt;0,G140,H140)*M140*D140</f>
        <v>0</v>
      </c>
      <c r="M140" s="15">
        <f>LCOE!Q166+M139+M139*LCOE!F$24</f>
        <v>1</v>
      </c>
      <c r="N140" s="15">
        <f>LCOE!R166+N139-N139*LCOE!F$25</f>
        <v>1</v>
      </c>
      <c r="O140" s="18">
        <f>LCOE!S166+LCOE!F$29</f>
        <v>313.75</v>
      </c>
      <c r="P140" s="12">
        <f>LCOE!T166+IF(A140&gt;=LCOE!F$30,100%,0%)</f>
        <v>1</v>
      </c>
      <c r="Q140" s="16">
        <f>LCOE!U166+O140/1000*IF(LCOE!F$14&gt;0,G140,H140)</f>
        <v>0</v>
      </c>
      <c r="R140" s="16">
        <f>LCOE!B166</f>
        <v>30</v>
      </c>
      <c r="S140" s="16">
        <f>LCOE!V166+Q140*P140*R140</f>
        <v>0</v>
      </c>
      <c r="T140" s="16">
        <f>LCOE!W166+LCOE!F$31</f>
        <v>0</v>
      </c>
      <c r="U140" s="16">
        <f>LCOE!X166+T140*IF(LCOE!F$14&gt;0,G140,H140)</f>
        <v>0</v>
      </c>
      <c r="V140" s="16">
        <f>LCOE!Y166+LCOE!F$32</f>
        <v>0</v>
      </c>
      <c r="W140" s="16">
        <f>LCOE!Z166+V140*IF(LCOE!F$14&gt;0,G140,H140)</f>
        <v>0</v>
      </c>
      <c r="X140" s="16">
        <f>LCOE!AA166+LCOE!F$34</f>
        <v>101</v>
      </c>
      <c r="Y140" s="16">
        <f t="shared" si="29"/>
        <v>0</v>
      </c>
      <c r="Z140" s="50">
        <f t="shared" si="32"/>
        <v>0</v>
      </c>
      <c r="AA140" s="50">
        <f t="shared" si="33"/>
        <v>0</v>
      </c>
      <c r="AB140" s="50">
        <f t="shared" si="34"/>
        <v>0</v>
      </c>
      <c r="AC140" s="50">
        <f t="shared" si="30"/>
        <v>0</v>
      </c>
      <c r="AD140" s="50">
        <f t="shared" si="25"/>
        <v>0</v>
      </c>
      <c r="AE140">
        <f t="shared" si="31"/>
        <v>30</v>
      </c>
      <c r="AF140" s="12">
        <f>LCOE!E166+LCOE!F$40</f>
        <v>0.05</v>
      </c>
      <c r="AG140">
        <f t="shared" si="26"/>
        <v>30.426425535513872</v>
      </c>
      <c r="AH140" s="16">
        <f t="shared" si="21"/>
        <v>0</v>
      </c>
      <c r="AI140" s="16">
        <f t="shared" si="22"/>
        <v>0</v>
      </c>
      <c r="AJ140" s="16">
        <f t="shared" si="23"/>
        <v>0</v>
      </c>
      <c r="AK140" s="16">
        <f t="shared" si="24"/>
        <v>0</v>
      </c>
      <c r="AL140" s="16">
        <f t="shared" si="27"/>
        <v>0</v>
      </c>
      <c r="AM140" s="16">
        <f t="shared" si="28"/>
        <v>0</v>
      </c>
      <c r="AN140" s="16">
        <f>IF(LCOE!F$14&gt;0,G140,H140)/AG140</f>
        <v>0</v>
      </c>
    </row>
    <row r="141" spans="1:40">
      <c r="A141">
        <v>71</v>
      </c>
      <c r="C141" s="16">
        <f>LCOE!F167+IF(AND(LCOE!F$26&gt;0,A141&gt;=LCOE!F$26,A141&lt;=(LCOE!F$26+LCOE!F$27-1)),LCOE!F$42/LCOE!F$27,0)+IF(AND(D141=0,AE141&gt;=LCOE!F$16,COUNTIF(D116:D141,0)=LCOE!F$36),LCOE!F$35*LCOE!F$38,0)</f>
        <v>0</v>
      </c>
      <c r="D141" s="16">
        <f>IF(AE140&lt;LCOE!F$16,1,0)</f>
        <v>0</v>
      </c>
      <c r="E141" s="12">
        <f>LCOE!G167+IF(AND(A141&gt;=LCOE!F$26,A141&lt;=(LCOE!F$26+LCOE!F$27-1)),0,1)*IF(A141=LCOE!F$34,0,1)*D141</f>
        <v>0</v>
      </c>
      <c r="F141" s="12">
        <f>IF(F140&lt;LCOE!F$18,MIN(F140*(1+LCOE!F$19),LCOE!F$18),LCOE!F$18)+LCOE!J167</f>
        <v>0.9</v>
      </c>
      <c r="G141" s="16">
        <f>LCOE!K167+E141*F141*N141*(LCOE!F$14+LCOE!H167)*24*365*D141</f>
        <v>0</v>
      </c>
      <c r="H141" s="16">
        <f>LCOE!L167+F141*(LCOE!F$15+LCOE!I167)*E141*24*365*D141*N141</f>
        <v>0</v>
      </c>
      <c r="I141" s="16">
        <f>LCOE!M167+LCOE!F$20*IF(LCOE!F$14&gt;0,(LCOE!F$14+LCOE!H167),(LCOE!F$15+LCOE!I167))*K141*D141</f>
        <v>0</v>
      </c>
      <c r="J141" s="16">
        <f>LCOE!N167+LCOE!F$21*IF(LCOE!F$14&gt;0,G141,H141)*K141*D141</f>
        <v>0</v>
      </c>
      <c r="K141" s="15">
        <f>LCOE!O167+K140+K140*LCOE!F$22</f>
        <v>1</v>
      </c>
      <c r="L141" s="16">
        <f>LCOE!P167+LCOE!F$23*IF(LCOE!F$14&gt;0,G141,H141)*M141*D141</f>
        <v>0</v>
      </c>
      <c r="M141" s="15">
        <f>LCOE!Q167+M140+M140*LCOE!F$24</f>
        <v>1</v>
      </c>
      <c r="N141" s="15">
        <f>LCOE!R167+N140-N140*LCOE!F$25</f>
        <v>1</v>
      </c>
      <c r="O141" s="18">
        <f>LCOE!S167+LCOE!F$29</f>
        <v>313.75</v>
      </c>
      <c r="P141" s="12">
        <f>LCOE!T167+IF(A141&gt;=LCOE!F$30,100%,0%)</f>
        <v>1</v>
      </c>
      <c r="Q141" s="16">
        <f>LCOE!U167+O141/1000*IF(LCOE!F$14&gt;0,G141,H141)</f>
        <v>0</v>
      </c>
      <c r="R141" s="16">
        <f>LCOE!B167</f>
        <v>30</v>
      </c>
      <c r="S141" s="16">
        <f>LCOE!V167+Q141*P141*R141</f>
        <v>0</v>
      </c>
      <c r="T141" s="16">
        <f>LCOE!W167+LCOE!F$31</f>
        <v>0</v>
      </c>
      <c r="U141" s="16">
        <f>LCOE!X167+T141*IF(LCOE!F$14&gt;0,G141,H141)</f>
        <v>0</v>
      </c>
      <c r="V141" s="16">
        <f>LCOE!Y167+LCOE!F$32</f>
        <v>0</v>
      </c>
      <c r="W141" s="16">
        <f>LCOE!Z167+V141*IF(LCOE!F$14&gt;0,G141,H141)</f>
        <v>0</v>
      </c>
      <c r="X141" s="16">
        <f>LCOE!AA167+LCOE!F$34</f>
        <v>101</v>
      </c>
      <c r="Y141" s="16">
        <f t="shared" si="29"/>
        <v>0</v>
      </c>
      <c r="Z141" s="50">
        <f t="shared" si="32"/>
        <v>0</v>
      </c>
      <c r="AA141" s="50">
        <f t="shared" si="33"/>
        <v>0</v>
      </c>
      <c r="AB141" s="50">
        <f t="shared" si="34"/>
        <v>0</v>
      </c>
      <c r="AC141" s="50">
        <f t="shared" si="30"/>
        <v>0</v>
      </c>
      <c r="AD141" s="50">
        <f t="shared" si="25"/>
        <v>0</v>
      </c>
      <c r="AE141">
        <f t="shared" si="31"/>
        <v>30</v>
      </c>
      <c r="AF141" s="12">
        <f>LCOE!E167+LCOE!F$40</f>
        <v>0.05</v>
      </c>
      <c r="AG141">
        <f t="shared" si="26"/>
        <v>31.947746812289569</v>
      </c>
      <c r="AH141" s="16">
        <f t="shared" si="21"/>
        <v>0</v>
      </c>
      <c r="AI141" s="16">
        <f t="shared" si="22"/>
        <v>0</v>
      </c>
      <c r="AJ141" s="16">
        <f t="shared" si="23"/>
        <v>0</v>
      </c>
      <c r="AK141" s="16">
        <f t="shared" si="24"/>
        <v>0</v>
      </c>
      <c r="AL141" s="16">
        <f t="shared" si="27"/>
        <v>0</v>
      </c>
      <c r="AM141" s="16">
        <f t="shared" si="28"/>
        <v>0</v>
      </c>
      <c r="AN141" s="16">
        <f>IF(LCOE!F$14&gt;0,G141,H141)/AG141</f>
        <v>0</v>
      </c>
    </row>
    <row r="142" spans="1:40">
      <c r="A142">
        <v>72</v>
      </c>
      <c r="C142" s="16">
        <f>LCOE!F168+IF(AND(LCOE!F$26&gt;0,A142&gt;=LCOE!F$26,A142&lt;=(LCOE!F$26+LCOE!F$27-1)),LCOE!F$42/LCOE!F$27,0)+IF(AND(D142=0,AE142&gt;=LCOE!F$16,COUNTIF(D117:D142,0)=LCOE!F$36),LCOE!F$35*LCOE!F$38,0)</f>
        <v>0</v>
      </c>
      <c r="D142" s="16">
        <f>IF(AE141&lt;LCOE!F$16,1,0)</f>
        <v>0</v>
      </c>
      <c r="E142" s="12">
        <f>LCOE!G168+IF(AND(A142&gt;=LCOE!F$26,A142&lt;=(LCOE!F$26+LCOE!F$27-1)),0,1)*IF(A142=LCOE!F$34,0,1)*D142</f>
        <v>0</v>
      </c>
      <c r="F142" s="12">
        <f>IF(F141&lt;LCOE!F$18,MIN(F141*(1+LCOE!F$19),LCOE!F$18),LCOE!F$18)+LCOE!J168</f>
        <v>0.9</v>
      </c>
      <c r="G142" s="16">
        <f>LCOE!K168+E142*F142*N142*(LCOE!F$14+LCOE!H168)*24*365*D142</f>
        <v>0</v>
      </c>
      <c r="H142" s="16">
        <f>LCOE!L168+F142*(LCOE!F$15+LCOE!I168)*E142*24*365*D142*N142</f>
        <v>0</v>
      </c>
      <c r="I142" s="16">
        <f>LCOE!M168+LCOE!F$20*IF(LCOE!F$14&gt;0,(LCOE!F$14+LCOE!H168),(LCOE!F$15+LCOE!I168))*K142*D142</f>
        <v>0</v>
      </c>
      <c r="J142" s="16">
        <f>LCOE!N168+LCOE!F$21*IF(LCOE!F$14&gt;0,G142,H142)*K142*D142</f>
        <v>0</v>
      </c>
      <c r="K142" s="15">
        <f>LCOE!O168+K141+K141*LCOE!F$22</f>
        <v>1</v>
      </c>
      <c r="L142" s="16">
        <f>LCOE!P168+LCOE!F$23*IF(LCOE!F$14&gt;0,G142,H142)*M142*D142</f>
        <v>0</v>
      </c>
      <c r="M142" s="15">
        <f>LCOE!Q168+M141+M141*LCOE!F$24</f>
        <v>1</v>
      </c>
      <c r="N142" s="15">
        <f>LCOE!R168+N141-N141*LCOE!F$25</f>
        <v>1</v>
      </c>
      <c r="O142" s="18">
        <f>LCOE!S168+LCOE!F$29</f>
        <v>313.75</v>
      </c>
      <c r="P142" s="12">
        <f>LCOE!T168+IF(A142&gt;=LCOE!F$30,100%,0%)</f>
        <v>1</v>
      </c>
      <c r="Q142" s="16">
        <f>LCOE!U168+O142/1000*IF(LCOE!F$14&gt;0,G142,H142)</f>
        <v>0</v>
      </c>
      <c r="R142" s="16">
        <f>LCOE!B168</f>
        <v>30</v>
      </c>
      <c r="S142" s="16">
        <f>LCOE!V168+Q142*P142*R142</f>
        <v>0</v>
      </c>
      <c r="T142" s="16">
        <f>LCOE!W168+LCOE!F$31</f>
        <v>0</v>
      </c>
      <c r="U142" s="16">
        <f>LCOE!X168+T142*IF(LCOE!F$14&gt;0,G142,H142)</f>
        <v>0</v>
      </c>
      <c r="V142" s="16">
        <f>LCOE!Y168+LCOE!F$32</f>
        <v>0</v>
      </c>
      <c r="W142" s="16">
        <f>LCOE!Z168+V142*IF(LCOE!F$14&gt;0,G142,H142)</f>
        <v>0</v>
      </c>
      <c r="X142" s="16">
        <f>LCOE!AA168+LCOE!F$34</f>
        <v>101</v>
      </c>
      <c r="Y142" s="16">
        <f t="shared" si="29"/>
        <v>0</v>
      </c>
      <c r="Z142" s="50">
        <f t="shared" si="32"/>
        <v>0</v>
      </c>
      <c r="AA142" s="50">
        <f t="shared" si="33"/>
        <v>0</v>
      </c>
      <c r="AB142" s="50">
        <f t="shared" si="34"/>
        <v>0</v>
      </c>
      <c r="AC142" s="50">
        <f t="shared" si="30"/>
        <v>0</v>
      </c>
      <c r="AD142" s="50">
        <f t="shared" si="25"/>
        <v>0</v>
      </c>
      <c r="AE142">
        <f t="shared" si="31"/>
        <v>30</v>
      </c>
      <c r="AF142" s="12">
        <f>LCOE!E168+LCOE!F$40</f>
        <v>0.05</v>
      </c>
      <c r="AG142">
        <f t="shared" si="26"/>
        <v>33.545134152904048</v>
      </c>
      <c r="AH142" s="16">
        <f t="shared" si="21"/>
        <v>0</v>
      </c>
      <c r="AI142" s="16">
        <f t="shared" si="22"/>
        <v>0</v>
      </c>
      <c r="AJ142" s="16">
        <f t="shared" si="23"/>
        <v>0</v>
      </c>
      <c r="AK142" s="16">
        <f t="shared" si="24"/>
        <v>0</v>
      </c>
      <c r="AL142" s="16">
        <f t="shared" si="27"/>
        <v>0</v>
      </c>
      <c r="AM142" s="16">
        <f t="shared" si="28"/>
        <v>0</v>
      </c>
      <c r="AN142" s="16">
        <f>IF(LCOE!F$14&gt;0,G142,H142)/AG142</f>
        <v>0</v>
      </c>
    </row>
    <row r="143" spans="1:40">
      <c r="A143">
        <v>73</v>
      </c>
      <c r="C143" s="16">
        <f>LCOE!F169+IF(AND(LCOE!F$26&gt;0,A143&gt;=LCOE!F$26,A143&lt;=(LCOE!F$26+LCOE!F$27-1)),LCOE!F$42/LCOE!F$27,0)+IF(AND(D143=0,AE143&gt;=LCOE!F$16,COUNTIF(D118:D143,0)=LCOE!F$36),LCOE!F$35*LCOE!F$38,0)</f>
        <v>0</v>
      </c>
      <c r="D143" s="16">
        <f>IF(AE142&lt;LCOE!F$16,1,0)</f>
        <v>0</v>
      </c>
      <c r="E143" s="12">
        <f>LCOE!G169+IF(AND(A143&gt;=LCOE!F$26,A143&lt;=(LCOE!F$26+LCOE!F$27-1)),0,1)*IF(A143=LCOE!F$34,0,1)*D143</f>
        <v>0</v>
      </c>
      <c r="F143" s="12">
        <f>IF(F142&lt;LCOE!F$18,MIN(F142*(1+LCOE!F$19),LCOE!F$18),LCOE!F$18)+LCOE!J169</f>
        <v>0.9</v>
      </c>
      <c r="G143" s="16">
        <f>LCOE!K169+E143*F143*N143*(LCOE!F$14+LCOE!H169)*24*365*D143</f>
        <v>0</v>
      </c>
      <c r="H143" s="16">
        <f>LCOE!L169+F143*(LCOE!F$15+LCOE!I169)*E143*24*365*D143*N143</f>
        <v>0</v>
      </c>
      <c r="I143" s="16">
        <f>LCOE!M169+LCOE!F$20*IF(LCOE!F$14&gt;0,(LCOE!F$14+LCOE!H169),(LCOE!F$15+LCOE!I169))*K143*D143</f>
        <v>0</v>
      </c>
      <c r="J143" s="16">
        <f>LCOE!N169+LCOE!F$21*IF(LCOE!F$14&gt;0,G143,H143)*K143*D143</f>
        <v>0</v>
      </c>
      <c r="K143" s="15">
        <f>LCOE!O169+K142+K142*LCOE!F$22</f>
        <v>1</v>
      </c>
      <c r="L143" s="16">
        <f>LCOE!P169+LCOE!F$23*IF(LCOE!F$14&gt;0,G143,H143)*M143*D143</f>
        <v>0</v>
      </c>
      <c r="M143" s="15">
        <f>LCOE!Q169+M142+M142*LCOE!F$24</f>
        <v>1</v>
      </c>
      <c r="N143" s="15">
        <f>LCOE!R169+N142-N142*LCOE!F$25</f>
        <v>1</v>
      </c>
      <c r="O143" s="18">
        <f>LCOE!S169+LCOE!F$29</f>
        <v>313.75</v>
      </c>
      <c r="P143" s="12">
        <f>LCOE!T169+IF(A143&gt;=LCOE!F$30,100%,0%)</f>
        <v>1</v>
      </c>
      <c r="Q143" s="16">
        <f>LCOE!U169+O143/1000*IF(LCOE!F$14&gt;0,G143,H143)</f>
        <v>0</v>
      </c>
      <c r="R143" s="16">
        <f>LCOE!B169</f>
        <v>30</v>
      </c>
      <c r="S143" s="16">
        <f>LCOE!V169+Q143*P143*R143</f>
        <v>0</v>
      </c>
      <c r="T143" s="16">
        <f>LCOE!W169+LCOE!F$31</f>
        <v>0</v>
      </c>
      <c r="U143" s="16">
        <f>LCOE!X169+T143*IF(LCOE!F$14&gt;0,G143,H143)</f>
        <v>0</v>
      </c>
      <c r="V143" s="16">
        <f>LCOE!Y169+LCOE!F$32</f>
        <v>0</v>
      </c>
      <c r="W143" s="16">
        <f>LCOE!Z169+V143*IF(LCOE!F$14&gt;0,G143,H143)</f>
        <v>0</v>
      </c>
      <c r="X143" s="16">
        <f>LCOE!AA169+LCOE!F$34</f>
        <v>101</v>
      </c>
      <c r="Y143" s="16">
        <f t="shared" si="29"/>
        <v>0</v>
      </c>
      <c r="Z143" s="50">
        <f t="shared" si="32"/>
        <v>0</v>
      </c>
      <c r="AA143" s="50">
        <f t="shared" si="33"/>
        <v>0</v>
      </c>
      <c r="AB143" s="50">
        <f t="shared" si="34"/>
        <v>0</v>
      </c>
      <c r="AC143" s="50">
        <f t="shared" si="30"/>
        <v>0</v>
      </c>
      <c r="AD143" s="50">
        <f t="shared" si="25"/>
        <v>0</v>
      </c>
      <c r="AE143">
        <f t="shared" si="31"/>
        <v>30</v>
      </c>
      <c r="AF143" s="12">
        <f>LCOE!E169+LCOE!F$40</f>
        <v>0.05</v>
      </c>
      <c r="AG143">
        <f t="shared" si="26"/>
        <v>35.222390860549247</v>
      </c>
      <c r="AH143" s="16">
        <f t="shared" si="21"/>
        <v>0</v>
      </c>
      <c r="AI143" s="16">
        <f t="shared" si="22"/>
        <v>0</v>
      </c>
      <c r="AJ143" s="16">
        <f t="shared" si="23"/>
        <v>0</v>
      </c>
      <c r="AK143" s="16">
        <f t="shared" si="24"/>
        <v>0</v>
      </c>
      <c r="AL143" s="16">
        <f t="shared" si="27"/>
        <v>0</v>
      </c>
      <c r="AM143" s="16">
        <f t="shared" si="28"/>
        <v>0</v>
      </c>
      <c r="AN143" s="16">
        <f>IF(LCOE!F$14&gt;0,G143,H143)/AG143</f>
        <v>0</v>
      </c>
    </row>
    <row r="144" spans="1:40">
      <c r="A144">
        <v>74</v>
      </c>
      <c r="C144" s="16">
        <f>LCOE!F170+IF(AND(LCOE!F$26&gt;0,A144&gt;=LCOE!F$26,A144&lt;=(LCOE!F$26+LCOE!F$27-1)),LCOE!F$42/LCOE!F$27,0)+IF(AND(D144=0,AE144&gt;=LCOE!F$16,COUNTIF(D119:D144,0)=LCOE!F$36),LCOE!F$35*LCOE!F$38,0)</f>
        <v>0</v>
      </c>
      <c r="D144" s="16">
        <f>IF(AE143&lt;LCOE!F$16,1,0)</f>
        <v>0</v>
      </c>
      <c r="E144" s="12">
        <f>LCOE!G170+IF(AND(A144&gt;=LCOE!F$26,A144&lt;=(LCOE!F$26+LCOE!F$27-1)),0,1)*IF(A144=LCOE!F$34,0,1)*D144</f>
        <v>0</v>
      </c>
      <c r="F144" s="12">
        <f>IF(F143&lt;LCOE!F$18,MIN(F143*(1+LCOE!F$19),LCOE!F$18),LCOE!F$18)+LCOE!J170</f>
        <v>0.9</v>
      </c>
      <c r="G144" s="16">
        <f>LCOE!K170+E144*F144*N144*(LCOE!F$14+LCOE!H170)*24*365*D144</f>
        <v>0</v>
      </c>
      <c r="H144" s="16">
        <f>LCOE!L170+F144*(LCOE!F$15+LCOE!I170)*E144*24*365*D144*N144</f>
        <v>0</v>
      </c>
      <c r="I144" s="16">
        <f>LCOE!M170+LCOE!F$20*IF(LCOE!F$14&gt;0,(LCOE!F$14+LCOE!H170),(LCOE!F$15+LCOE!I170))*K144*D144</f>
        <v>0</v>
      </c>
      <c r="J144" s="16">
        <f>LCOE!N170+LCOE!F$21*IF(LCOE!F$14&gt;0,G144,H144)*K144*D144</f>
        <v>0</v>
      </c>
      <c r="K144" s="15">
        <f>LCOE!O170+K143+K143*LCOE!F$22</f>
        <v>1</v>
      </c>
      <c r="L144" s="16">
        <f>LCOE!P170+LCOE!F$23*IF(LCOE!F$14&gt;0,G144,H144)*M144*D144</f>
        <v>0</v>
      </c>
      <c r="M144" s="15">
        <f>LCOE!Q170+M143+M143*LCOE!F$24</f>
        <v>1</v>
      </c>
      <c r="N144" s="15">
        <f>LCOE!R170+N143-N143*LCOE!F$25</f>
        <v>1</v>
      </c>
      <c r="O144" s="18">
        <f>LCOE!S170+LCOE!F$29</f>
        <v>313.75</v>
      </c>
      <c r="P144" s="12">
        <f>LCOE!T170+IF(A144&gt;=LCOE!F$30,100%,0%)</f>
        <v>1</v>
      </c>
      <c r="Q144" s="16">
        <f>LCOE!U170+O144/1000*IF(LCOE!F$14&gt;0,G144,H144)</f>
        <v>0</v>
      </c>
      <c r="R144" s="16">
        <f>LCOE!B170</f>
        <v>30</v>
      </c>
      <c r="S144" s="16">
        <f>LCOE!V170+Q144*P144*R144</f>
        <v>0</v>
      </c>
      <c r="T144" s="16">
        <f>LCOE!W170+LCOE!F$31</f>
        <v>0</v>
      </c>
      <c r="U144" s="16">
        <f>LCOE!X170+T144*IF(LCOE!F$14&gt;0,G144,H144)</f>
        <v>0</v>
      </c>
      <c r="V144" s="16">
        <f>LCOE!Y170+LCOE!F$32</f>
        <v>0</v>
      </c>
      <c r="W144" s="16">
        <f>LCOE!Z170+V144*IF(LCOE!F$14&gt;0,G144,H144)</f>
        <v>0</v>
      </c>
      <c r="X144" s="16">
        <f>LCOE!AA170+LCOE!F$34</f>
        <v>101</v>
      </c>
      <c r="Y144" s="16">
        <f t="shared" si="29"/>
        <v>0</v>
      </c>
      <c r="Z144" s="50">
        <f t="shared" si="32"/>
        <v>0</v>
      </c>
      <c r="AA144" s="50">
        <f t="shared" si="33"/>
        <v>0</v>
      </c>
      <c r="AB144" s="50">
        <f t="shared" si="34"/>
        <v>0</v>
      </c>
      <c r="AC144" s="50">
        <f t="shared" si="30"/>
        <v>0</v>
      </c>
      <c r="AD144" s="50">
        <f t="shared" si="25"/>
        <v>0</v>
      </c>
      <c r="AE144">
        <f t="shared" si="31"/>
        <v>30</v>
      </c>
      <c r="AF144" s="12">
        <f>LCOE!E170+LCOE!F$40</f>
        <v>0.05</v>
      </c>
      <c r="AG144">
        <f t="shared" si="26"/>
        <v>36.983510403576709</v>
      </c>
      <c r="AH144" s="16">
        <f t="shared" si="21"/>
        <v>0</v>
      </c>
      <c r="AI144" s="16">
        <f t="shared" si="22"/>
        <v>0</v>
      </c>
      <c r="AJ144" s="16">
        <f t="shared" si="23"/>
        <v>0</v>
      </c>
      <c r="AK144" s="16">
        <f t="shared" si="24"/>
        <v>0</v>
      </c>
      <c r="AL144" s="16">
        <f t="shared" si="27"/>
        <v>0</v>
      </c>
      <c r="AM144" s="16">
        <f t="shared" si="28"/>
        <v>0</v>
      </c>
      <c r="AN144" s="16">
        <f>IF(LCOE!F$14&gt;0,G144,H144)/AG144</f>
        <v>0</v>
      </c>
    </row>
    <row r="145" spans="1:40">
      <c r="A145">
        <v>75</v>
      </c>
      <c r="C145" s="16">
        <f>LCOE!F171+IF(AND(LCOE!F$26&gt;0,A145&gt;=LCOE!F$26,A145&lt;=(LCOE!F$26+LCOE!F$27-1)),LCOE!F$42/LCOE!F$27,0)+IF(AND(D145=0,AE145&gt;=LCOE!F$16,COUNTIF(D120:D145,0)=LCOE!F$36),LCOE!F$35*LCOE!F$38,0)</f>
        <v>0</v>
      </c>
      <c r="D145" s="16">
        <f>IF(AE144&lt;LCOE!F$16,1,0)</f>
        <v>0</v>
      </c>
      <c r="E145" s="12">
        <f>LCOE!G171+IF(AND(A145&gt;=LCOE!F$26,A145&lt;=(LCOE!F$26+LCOE!F$27-1)),0,1)*IF(A145=LCOE!F$34,0,1)*D145</f>
        <v>0</v>
      </c>
      <c r="F145" s="12">
        <f>IF(F144&lt;LCOE!F$18,MIN(F144*(1+LCOE!F$19),LCOE!F$18),LCOE!F$18)+LCOE!J171</f>
        <v>0.9</v>
      </c>
      <c r="G145" s="16">
        <f>LCOE!K171+E145*F145*N145*(LCOE!F$14+LCOE!H171)*24*365*D145</f>
        <v>0</v>
      </c>
      <c r="H145" s="16">
        <f>LCOE!L171+F145*(LCOE!F$15+LCOE!I171)*E145*24*365*D145*N145</f>
        <v>0</v>
      </c>
      <c r="I145" s="16">
        <f>LCOE!M171+LCOE!F$20*IF(LCOE!F$14&gt;0,(LCOE!F$14+LCOE!H171),(LCOE!F$15+LCOE!I171))*K145*D145</f>
        <v>0</v>
      </c>
      <c r="J145" s="16">
        <f>LCOE!N171+LCOE!F$21*IF(LCOE!F$14&gt;0,G145,H145)*K145*D145</f>
        <v>0</v>
      </c>
      <c r="K145" s="15">
        <f>LCOE!O171+K144+K144*LCOE!F$22</f>
        <v>1</v>
      </c>
      <c r="L145" s="16">
        <f>LCOE!P171+LCOE!F$23*IF(LCOE!F$14&gt;0,G145,H145)*M145*D145</f>
        <v>0</v>
      </c>
      <c r="M145" s="15">
        <f>LCOE!Q171+M144+M144*LCOE!F$24</f>
        <v>1</v>
      </c>
      <c r="N145" s="15">
        <f>LCOE!R171+N144-N144*LCOE!F$25</f>
        <v>1</v>
      </c>
      <c r="O145" s="18">
        <f>LCOE!S171+LCOE!F$29</f>
        <v>313.75</v>
      </c>
      <c r="P145" s="12">
        <f>LCOE!T171+IF(A145&gt;=LCOE!F$30,100%,0%)</f>
        <v>1</v>
      </c>
      <c r="Q145" s="16">
        <f>LCOE!U171+O145/1000*IF(LCOE!F$14&gt;0,G145,H145)</f>
        <v>0</v>
      </c>
      <c r="R145" s="16">
        <f>LCOE!B171</f>
        <v>30</v>
      </c>
      <c r="S145" s="16">
        <f>LCOE!V171+Q145*P145*R145</f>
        <v>0</v>
      </c>
      <c r="T145" s="16">
        <f>LCOE!W171+LCOE!F$31</f>
        <v>0</v>
      </c>
      <c r="U145" s="16">
        <f>LCOE!X171+T145*IF(LCOE!F$14&gt;0,G145,H145)</f>
        <v>0</v>
      </c>
      <c r="V145" s="16">
        <f>LCOE!Y171+LCOE!F$32</f>
        <v>0</v>
      </c>
      <c r="W145" s="16">
        <f>LCOE!Z171+V145*IF(LCOE!F$14&gt;0,G145,H145)</f>
        <v>0</v>
      </c>
      <c r="X145" s="16">
        <f>LCOE!AA171+LCOE!F$34</f>
        <v>101</v>
      </c>
      <c r="Y145" s="16">
        <f t="shared" si="29"/>
        <v>0</v>
      </c>
      <c r="Z145" s="50">
        <f t="shared" si="32"/>
        <v>0</v>
      </c>
      <c r="AA145" s="50">
        <f t="shared" si="33"/>
        <v>0</v>
      </c>
      <c r="AB145" s="50">
        <f t="shared" si="34"/>
        <v>0</v>
      </c>
      <c r="AC145" s="50">
        <f t="shared" si="30"/>
        <v>0</v>
      </c>
      <c r="AD145" s="50">
        <f t="shared" si="25"/>
        <v>0</v>
      </c>
      <c r="AE145">
        <f t="shared" si="31"/>
        <v>30</v>
      </c>
      <c r="AF145" s="12">
        <f>LCOE!E171+LCOE!F$40</f>
        <v>0.05</v>
      </c>
      <c r="AG145">
        <f t="shared" si="26"/>
        <v>38.832685923755548</v>
      </c>
      <c r="AH145" s="16">
        <f t="shared" si="21"/>
        <v>0</v>
      </c>
      <c r="AI145" s="16">
        <f t="shared" si="22"/>
        <v>0</v>
      </c>
      <c r="AJ145" s="16">
        <f t="shared" si="23"/>
        <v>0</v>
      </c>
      <c r="AK145" s="16">
        <f t="shared" si="24"/>
        <v>0</v>
      </c>
      <c r="AL145" s="16">
        <f t="shared" si="27"/>
        <v>0</v>
      </c>
      <c r="AM145" s="16">
        <f t="shared" si="28"/>
        <v>0</v>
      </c>
      <c r="AN145" s="16">
        <f>IF(LCOE!F$14&gt;0,G145,H145)/AG145</f>
        <v>0</v>
      </c>
    </row>
    <row r="146" spans="1:40">
      <c r="A146">
        <v>76</v>
      </c>
      <c r="C146" s="16">
        <f>LCOE!F172+IF(AND(LCOE!F$26&gt;0,A146&gt;=LCOE!F$26,A146&lt;=(LCOE!F$26+LCOE!F$27-1)),LCOE!F$42/LCOE!F$27,0)+IF(AND(D146=0,AE146&gt;=LCOE!F$16,COUNTIF(D121:D146,0)=LCOE!F$36),LCOE!F$35*LCOE!F$38,0)</f>
        <v>0</v>
      </c>
      <c r="D146" s="16">
        <f>IF(AE145&lt;LCOE!F$16,1,0)</f>
        <v>0</v>
      </c>
      <c r="E146" s="12">
        <f>LCOE!G172+IF(AND(A146&gt;=LCOE!F$26,A146&lt;=(LCOE!F$26+LCOE!F$27-1)),0,1)*IF(A146=LCOE!F$34,0,1)*D146</f>
        <v>0</v>
      </c>
      <c r="F146" s="12">
        <f>IF(F145&lt;LCOE!F$18,MIN(F145*(1+LCOE!F$19),LCOE!F$18),LCOE!F$18)+LCOE!J172</f>
        <v>0.9</v>
      </c>
      <c r="G146" s="16">
        <f>LCOE!K172+E146*F146*N146*(LCOE!F$14+LCOE!H172)*24*365*D146</f>
        <v>0</v>
      </c>
      <c r="H146" s="16">
        <f>LCOE!L172+F146*(LCOE!F$15+LCOE!I172)*E146*24*365*D146*N146</f>
        <v>0</v>
      </c>
      <c r="I146" s="16">
        <f>LCOE!M172+LCOE!F$20*IF(LCOE!F$14&gt;0,(LCOE!F$14+LCOE!H172),(LCOE!F$15+LCOE!I172))*K146*D146</f>
        <v>0</v>
      </c>
      <c r="J146" s="16">
        <f>LCOE!N172+LCOE!F$21*IF(LCOE!F$14&gt;0,G146,H146)*K146*D146</f>
        <v>0</v>
      </c>
      <c r="K146" s="15">
        <f>LCOE!O172+K145+K145*LCOE!F$22</f>
        <v>1</v>
      </c>
      <c r="L146" s="16">
        <f>LCOE!P172+LCOE!F$23*IF(LCOE!F$14&gt;0,G146,H146)*M146*D146</f>
        <v>0</v>
      </c>
      <c r="M146" s="15">
        <f>LCOE!Q172+M145+M145*LCOE!F$24</f>
        <v>1</v>
      </c>
      <c r="N146" s="15">
        <f>LCOE!R172+N145-N145*LCOE!F$25</f>
        <v>1</v>
      </c>
      <c r="O146" s="18">
        <f>LCOE!S172+LCOE!F$29</f>
        <v>313.75</v>
      </c>
      <c r="P146" s="12">
        <f>LCOE!T172+IF(A146&gt;=LCOE!F$30,100%,0%)</f>
        <v>1</v>
      </c>
      <c r="Q146" s="16">
        <f>LCOE!U172+O146/1000*IF(LCOE!F$14&gt;0,G146,H146)</f>
        <v>0</v>
      </c>
      <c r="R146" s="16">
        <f>LCOE!B172</f>
        <v>30</v>
      </c>
      <c r="S146" s="16">
        <f>LCOE!V172+Q146*P146*R146</f>
        <v>0</v>
      </c>
      <c r="T146" s="16">
        <f>LCOE!W172+LCOE!F$31</f>
        <v>0</v>
      </c>
      <c r="U146" s="16">
        <f>LCOE!X172+T146*IF(LCOE!F$14&gt;0,G146,H146)</f>
        <v>0</v>
      </c>
      <c r="V146" s="16">
        <f>LCOE!Y172+LCOE!F$32</f>
        <v>0</v>
      </c>
      <c r="W146" s="16">
        <f>LCOE!Z172+V146*IF(LCOE!F$14&gt;0,G146,H146)</f>
        <v>0</v>
      </c>
      <c r="X146" s="16">
        <f>LCOE!AA172+LCOE!F$34</f>
        <v>101</v>
      </c>
      <c r="Y146" s="16">
        <f t="shared" si="29"/>
        <v>0</v>
      </c>
      <c r="Z146" s="50">
        <f t="shared" si="32"/>
        <v>0</v>
      </c>
      <c r="AA146" s="50">
        <f t="shared" si="33"/>
        <v>0</v>
      </c>
      <c r="AB146" s="50">
        <f t="shared" si="34"/>
        <v>0</v>
      </c>
      <c r="AC146" s="50">
        <f t="shared" si="30"/>
        <v>0</v>
      </c>
      <c r="AD146" s="50">
        <f t="shared" si="25"/>
        <v>0</v>
      </c>
      <c r="AE146">
        <f t="shared" si="31"/>
        <v>30</v>
      </c>
      <c r="AF146" s="12">
        <f>LCOE!E172+LCOE!F$40</f>
        <v>0.05</v>
      </c>
      <c r="AG146">
        <f t="shared" si="26"/>
        <v>40.77432021994332</v>
      </c>
      <c r="AH146" s="16">
        <f t="shared" si="21"/>
        <v>0</v>
      </c>
      <c r="AI146" s="16">
        <f t="shared" si="22"/>
        <v>0</v>
      </c>
      <c r="AJ146" s="16">
        <f t="shared" si="23"/>
        <v>0</v>
      </c>
      <c r="AK146" s="16">
        <f t="shared" si="24"/>
        <v>0</v>
      </c>
      <c r="AL146" s="16">
        <f t="shared" si="27"/>
        <v>0</v>
      </c>
      <c r="AM146" s="16">
        <f t="shared" si="28"/>
        <v>0</v>
      </c>
      <c r="AN146" s="16">
        <f>IF(LCOE!F$14&gt;0,G146,H146)/AG146</f>
        <v>0</v>
      </c>
    </row>
    <row r="147" spans="1:40">
      <c r="A147">
        <v>77</v>
      </c>
      <c r="C147" s="16">
        <f>LCOE!F173+IF(AND(LCOE!F$26&gt;0,A147&gt;=LCOE!F$26,A147&lt;=(LCOE!F$26+LCOE!F$27-1)),LCOE!F$42/LCOE!F$27,0)+IF(AND(D147=0,AE147&gt;=LCOE!F$16,COUNTIF(D122:D147,0)=LCOE!F$36),LCOE!F$35*LCOE!F$38,0)</f>
        <v>0</v>
      </c>
      <c r="D147" s="16">
        <f>IF(AE146&lt;LCOE!F$16,1,0)</f>
        <v>0</v>
      </c>
      <c r="E147" s="12">
        <f>LCOE!G173+IF(AND(A147&gt;=LCOE!F$26,A147&lt;=(LCOE!F$26+LCOE!F$27-1)),0,1)*IF(A147=LCOE!F$34,0,1)*D147</f>
        <v>0</v>
      </c>
      <c r="F147" s="12">
        <f>IF(F146&lt;LCOE!F$18,MIN(F146*(1+LCOE!F$19),LCOE!F$18),LCOE!F$18)+LCOE!J173</f>
        <v>0.9</v>
      </c>
      <c r="G147" s="16">
        <f>LCOE!K173+E147*F147*N147*(LCOE!F$14+LCOE!H173)*24*365*D147</f>
        <v>0</v>
      </c>
      <c r="H147" s="16">
        <f>LCOE!L173+F147*(LCOE!F$15+LCOE!I173)*E147*24*365*D147*N147</f>
        <v>0</v>
      </c>
      <c r="I147" s="16">
        <f>LCOE!M173+LCOE!F$20*IF(LCOE!F$14&gt;0,(LCOE!F$14+LCOE!H173),(LCOE!F$15+LCOE!I173))*K147*D147</f>
        <v>0</v>
      </c>
      <c r="J147" s="16">
        <f>LCOE!N173+LCOE!F$21*IF(LCOE!F$14&gt;0,G147,H147)*K147*D147</f>
        <v>0</v>
      </c>
      <c r="K147" s="15">
        <f>LCOE!O173+K146+K146*LCOE!F$22</f>
        <v>1</v>
      </c>
      <c r="L147" s="16">
        <f>LCOE!P173+LCOE!F$23*IF(LCOE!F$14&gt;0,G147,H147)*M147*D147</f>
        <v>0</v>
      </c>
      <c r="M147" s="15">
        <f>LCOE!Q173+M146+M146*LCOE!F$24</f>
        <v>1</v>
      </c>
      <c r="N147" s="15">
        <f>LCOE!R173+N146-N146*LCOE!F$25</f>
        <v>1</v>
      </c>
      <c r="O147" s="18">
        <f>LCOE!S173+LCOE!F$29</f>
        <v>313.75</v>
      </c>
      <c r="P147" s="12">
        <f>LCOE!T173+IF(A147&gt;=LCOE!F$30,100%,0%)</f>
        <v>1</v>
      </c>
      <c r="Q147" s="16">
        <f>LCOE!U173+O147/1000*IF(LCOE!F$14&gt;0,G147,H147)</f>
        <v>0</v>
      </c>
      <c r="R147" s="16">
        <f>LCOE!B173</f>
        <v>30</v>
      </c>
      <c r="S147" s="16">
        <f>LCOE!V173+Q147*P147*R147</f>
        <v>0</v>
      </c>
      <c r="T147" s="16">
        <f>LCOE!W173+LCOE!F$31</f>
        <v>0</v>
      </c>
      <c r="U147" s="16">
        <f>LCOE!X173+T147*IF(LCOE!F$14&gt;0,G147,H147)</f>
        <v>0</v>
      </c>
      <c r="V147" s="16">
        <f>LCOE!Y173+LCOE!F$32</f>
        <v>0</v>
      </c>
      <c r="W147" s="16">
        <f>LCOE!Z173+V147*IF(LCOE!F$14&gt;0,G147,H147)</f>
        <v>0</v>
      </c>
      <c r="X147" s="16">
        <f>LCOE!AA173+LCOE!F$34</f>
        <v>101</v>
      </c>
      <c r="Y147" s="16">
        <f t="shared" si="29"/>
        <v>0</v>
      </c>
      <c r="Z147" s="50">
        <f t="shared" si="32"/>
        <v>0</v>
      </c>
      <c r="AA147" s="50">
        <f t="shared" si="33"/>
        <v>0</v>
      </c>
      <c r="AB147" s="50">
        <f t="shared" si="34"/>
        <v>0</v>
      </c>
      <c r="AC147" s="50">
        <f t="shared" si="30"/>
        <v>0</v>
      </c>
      <c r="AD147" s="50">
        <f t="shared" si="25"/>
        <v>0</v>
      </c>
      <c r="AE147">
        <f t="shared" si="31"/>
        <v>30</v>
      </c>
      <c r="AF147" s="12">
        <f>LCOE!E173+LCOE!F$40</f>
        <v>0.05</v>
      </c>
      <c r="AG147">
        <f t="shared" si="26"/>
        <v>42.813036230940497</v>
      </c>
      <c r="AH147" s="16">
        <f t="shared" si="21"/>
        <v>0</v>
      </c>
      <c r="AI147" s="16">
        <f t="shared" si="22"/>
        <v>0</v>
      </c>
      <c r="AJ147" s="16">
        <f t="shared" si="23"/>
        <v>0</v>
      </c>
      <c r="AK147" s="16">
        <f t="shared" si="24"/>
        <v>0</v>
      </c>
      <c r="AL147" s="16">
        <f t="shared" si="27"/>
        <v>0</v>
      </c>
      <c r="AM147" s="16">
        <f t="shared" si="28"/>
        <v>0</v>
      </c>
      <c r="AN147" s="16">
        <f>IF(LCOE!F$14&gt;0,G147,H147)/AG147</f>
        <v>0</v>
      </c>
    </row>
    <row r="148" spans="1:40">
      <c r="A148">
        <v>78</v>
      </c>
      <c r="C148" s="16">
        <f>LCOE!F174+IF(AND(LCOE!F$26&gt;0,A148&gt;=LCOE!F$26,A148&lt;=(LCOE!F$26+LCOE!F$27-1)),LCOE!F$42/LCOE!F$27,0)+IF(AND(D148=0,AE148&gt;=LCOE!F$16,COUNTIF(D123:D148,0)=LCOE!F$36),LCOE!F$35*LCOE!F$38,0)</f>
        <v>0</v>
      </c>
      <c r="D148" s="16">
        <f>IF(AE147&lt;LCOE!F$16,1,0)</f>
        <v>0</v>
      </c>
      <c r="E148" s="12">
        <f>LCOE!G174+IF(AND(A148&gt;=LCOE!F$26,A148&lt;=(LCOE!F$26+LCOE!F$27-1)),0,1)*IF(A148=LCOE!F$34,0,1)*D148</f>
        <v>0</v>
      </c>
      <c r="F148" s="12">
        <f>IF(F147&lt;LCOE!F$18,MIN(F147*(1+LCOE!F$19),LCOE!F$18),LCOE!F$18)+LCOE!J174</f>
        <v>0.9</v>
      </c>
      <c r="G148" s="16">
        <f>LCOE!K174+E148*F148*N148*(LCOE!F$14+LCOE!H174)*24*365*D148</f>
        <v>0</v>
      </c>
      <c r="H148" s="16">
        <f>LCOE!L174+F148*(LCOE!F$15+LCOE!I174)*E148*24*365*D148*N148</f>
        <v>0</v>
      </c>
      <c r="I148" s="16">
        <f>LCOE!M174+LCOE!F$20*IF(LCOE!F$14&gt;0,(LCOE!F$14+LCOE!H174),(LCOE!F$15+LCOE!I174))*K148*D148</f>
        <v>0</v>
      </c>
      <c r="J148" s="16">
        <f>LCOE!N174+LCOE!F$21*IF(LCOE!F$14&gt;0,G148,H148)*K148*D148</f>
        <v>0</v>
      </c>
      <c r="K148" s="15">
        <f>LCOE!O174+K147+K147*LCOE!F$22</f>
        <v>1</v>
      </c>
      <c r="L148" s="16">
        <f>LCOE!P174+LCOE!F$23*IF(LCOE!F$14&gt;0,G148,H148)*M148*D148</f>
        <v>0</v>
      </c>
      <c r="M148" s="15">
        <f>LCOE!Q174+M147+M147*LCOE!F$24</f>
        <v>1</v>
      </c>
      <c r="N148" s="15">
        <f>LCOE!R174+N147-N147*LCOE!F$25</f>
        <v>1</v>
      </c>
      <c r="O148" s="18">
        <f>LCOE!S174+LCOE!F$29</f>
        <v>313.75</v>
      </c>
      <c r="P148" s="12">
        <f>LCOE!T174+IF(A148&gt;=LCOE!F$30,100%,0%)</f>
        <v>1</v>
      </c>
      <c r="Q148" s="16">
        <f>LCOE!U174+O148/1000*IF(LCOE!F$14&gt;0,G148,H148)</f>
        <v>0</v>
      </c>
      <c r="R148" s="16">
        <f>LCOE!B174</f>
        <v>30</v>
      </c>
      <c r="S148" s="16">
        <f>LCOE!V174+Q148*P148*R148</f>
        <v>0</v>
      </c>
      <c r="T148" s="16">
        <f>LCOE!W174+LCOE!F$31</f>
        <v>0</v>
      </c>
      <c r="U148" s="16">
        <f>LCOE!X174+T148*IF(LCOE!F$14&gt;0,G148,H148)</f>
        <v>0</v>
      </c>
      <c r="V148" s="16">
        <f>LCOE!Y174+LCOE!F$32</f>
        <v>0</v>
      </c>
      <c r="W148" s="16">
        <f>LCOE!Z174+V148*IF(LCOE!F$14&gt;0,G148,H148)</f>
        <v>0</v>
      </c>
      <c r="X148" s="16">
        <f>LCOE!AA174+LCOE!F$34</f>
        <v>101</v>
      </c>
      <c r="Y148" s="16">
        <f t="shared" si="29"/>
        <v>0</v>
      </c>
      <c r="Z148" s="50">
        <f t="shared" si="32"/>
        <v>0</v>
      </c>
      <c r="AA148" s="50">
        <f t="shared" si="33"/>
        <v>0</v>
      </c>
      <c r="AB148" s="50">
        <f t="shared" si="34"/>
        <v>0</v>
      </c>
      <c r="AC148" s="50">
        <f t="shared" si="30"/>
        <v>0</v>
      </c>
      <c r="AD148" s="50">
        <f t="shared" si="25"/>
        <v>0</v>
      </c>
      <c r="AE148">
        <f t="shared" si="31"/>
        <v>30</v>
      </c>
      <c r="AF148" s="12">
        <f>LCOE!E174+LCOE!F$40</f>
        <v>0.05</v>
      </c>
      <c r="AG148">
        <f t="shared" si="26"/>
        <v>44.953688042487506</v>
      </c>
      <c r="AH148" s="16">
        <f t="shared" si="21"/>
        <v>0</v>
      </c>
      <c r="AI148" s="16">
        <f t="shared" si="22"/>
        <v>0</v>
      </c>
      <c r="AJ148" s="16">
        <f t="shared" si="23"/>
        <v>0</v>
      </c>
      <c r="AK148" s="16">
        <f t="shared" si="24"/>
        <v>0</v>
      </c>
      <c r="AL148" s="16">
        <f t="shared" si="27"/>
        <v>0</v>
      </c>
      <c r="AM148" s="16">
        <f t="shared" si="28"/>
        <v>0</v>
      </c>
      <c r="AN148" s="16">
        <f>IF(LCOE!F$14&gt;0,G148,H148)/AG148</f>
        <v>0</v>
      </c>
    </row>
    <row r="149" spans="1:40">
      <c r="A149">
        <v>79</v>
      </c>
      <c r="C149" s="16">
        <f>LCOE!F175+IF(AND(LCOE!F$26&gt;0,A149&gt;=LCOE!F$26,A149&lt;=(LCOE!F$26+LCOE!F$27-1)),LCOE!F$42/LCOE!F$27,0)+IF(AND(D149=0,AE149&gt;=LCOE!F$16,COUNTIF(D124:D149,0)=LCOE!F$36),LCOE!F$35*LCOE!F$38,0)</f>
        <v>0</v>
      </c>
      <c r="D149" s="16">
        <f>IF(AE148&lt;LCOE!F$16,1,0)</f>
        <v>0</v>
      </c>
      <c r="E149" s="12">
        <f>LCOE!G175+IF(AND(A149&gt;=LCOE!F$26,A149&lt;=(LCOE!F$26+LCOE!F$27-1)),0,1)*IF(A149=LCOE!F$34,0,1)*D149</f>
        <v>0</v>
      </c>
      <c r="F149" s="12">
        <f>IF(F148&lt;LCOE!F$18,MIN(F148*(1+LCOE!F$19),LCOE!F$18),LCOE!F$18)+LCOE!J175</f>
        <v>0.9</v>
      </c>
      <c r="G149" s="16">
        <f>LCOE!K175+E149*F149*N149*(LCOE!F$14+LCOE!H175)*24*365*D149</f>
        <v>0</v>
      </c>
      <c r="H149" s="16">
        <f>LCOE!L175+F149*(LCOE!F$15+LCOE!I175)*E149*24*365*D149*N149</f>
        <v>0</v>
      </c>
      <c r="I149" s="16">
        <f>LCOE!M175+LCOE!F$20*IF(LCOE!F$14&gt;0,(LCOE!F$14+LCOE!H175),(LCOE!F$15+LCOE!I175))*K149*D149</f>
        <v>0</v>
      </c>
      <c r="J149" s="16">
        <f>LCOE!N175+LCOE!F$21*IF(LCOE!F$14&gt;0,G149,H149)*K149*D149</f>
        <v>0</v>
      </c>
      <c r="K149" s="15">
        <f>LCOE!O175+K148+K148*LCOE!F$22</f>
        <v>1</v>
      </c>
      <c r="L149" s="16">
        <f>LCOE!P175+LCOE!F$23*IF(LCOE!F$14&gt;0,G149,H149)*M149*D149</f>
        <v>0</v>
      </c>
      <c r="M149" s="15">
        <f>LCOE!Q175+M148+M148*LCOE!F$24</f>
        <v>1</v>
      </c>
      <c r="N149" s="15">
        <f>LCOE!R175+N148-N148*LCOE!F$25</f>
        <v>1</v>
      </c>
      <c r="O149" s="18">
        <f>LCOE!S175+LCOE!F$29</f>
        <v>313.75</v>
      </c>
      <c r="P149" s="12">
        <f>LCOE!T175+IF(A149&gt;=LCOE!F$30,100%,0%)</f>
        <v>1</v>
      </c>
      <c r="Q149" s="16">
        <f>LCOE!U175+O149/1000*IF(LCOE!F$14&gt;0,G149,H149)</f>
        <v>0</v>
      </c>
      <c r="R149" s="16">
        <f>LCOE!B175</f>
        <v>30</v>
      </c>
      <c r="S149" s="16">
        <f>LCOE!V175+Q149*P149*R149</f>
        <v>0</v>
      </c>
      <c r="T149" s="16">
        <f>LCOE!W175+LCOE!F$31</f>
        <v>0</v>
      </c>
      <c r="U149" s="16">
        <f>LCOE!X175+T149*IF(LCOE!F$14&gt;0,G149,H149)</f>
        <v>0</v>
      </c>
      <c r="V149" s="16">
        <f>LCOE!Y175+LCOE!F$32</f>
        <v>0</v>
      </c>
      <c r="W149" s="16">
        <f>LCOE!Z175+V149*IF(LCOE!F$14&gt;0,G149,H149)</f>
        <v>0</v>
      </c>
      <c r="X149" s="16">
        <f>LCOE!AA175+LCOE!F$34</f>
        <v>101</v>
      </c>
      <c r="Y149" s="16">
        <f t="shared" si="29"/>
        <v>0</v>
      </c>
      <c r="Z149" s="50">
        <f t="shared" si="32"/>
        <v>0</v>
      </c>
      <c r="AA149" s="50">
        <f t="shared" si="33"/>
        <v>0</v>
      </c>
      <c r="AB149" s="50">
        <f t="shared" si="34"/>
        <v>0</v>
      </c>
      <c r="AC149" s="50">
        <f t="shared" si="30"/>
        <v>0</v>
      </c>
      <c r="AD149" s="50">
        <f t="shared" si="25"/>
        <v>0</v>
      </c>
      <c r="AE149">
        <f t="shared" si="31"/>
        <v>30</v>
      </c>
      <c r="AF149" s="12">
        <f>LCOE!E175+LCOE!F$40</f>
        <v>0.05</v>
      </c>
      <c r="AG149">
        <f t="shared" si="26"/>
        <v>47.201372444611899</v>
      </c>
      <c r="AH149" s="16">
        <f t="shared" si="21"/>
        <v>0</v>
      </c>
      <c r="AI149" s="16">
        <f t="shared" si="22"/>
        <v>0</v>
      </c>
      <c r="AJ149" s="16">
        <f t="shared" si="23"/>
        <v>0</v>
      </c>
      <c r="AK149" s="16">
        <f t="shared" si="24"/>
        <v>0</v>
      </c>
      <c r="AL149" s="16">
        <f t="shared" si="27"/>
        <v>0</v>
      </c>
      <c r="AM149" s="16">
        <f t="shared" si="28"/>
        <v>0</v>
      </c>
      <c r="AN149" s="16">
        <f>IF(LCOE!F$14&gt;0,G149,H149)/AG149</f>
        <v>0</v>
      </c>
    </row>
    <row r="150" spans="1:40">
      <c r="A150">
        <v>80</v>
      </c>
      <c r="C150" s="16">
        <f>LCOE!F176+IF(AND(LCOE!F$26&gt;0,A150&gt;=LCOE!F$26,A150&lt;=(LCOE!F$26+LCOE!F$27-1)),LCOE!F$42/LCOE!F$27,0)+IF(AND(D150=0,AE150&gt;=LCOE!F$16,COUNTIF(D125:D150,0)=LCOE!F$36),LCOE!F$35*LCOE!F$38,0)</f>
        <v>0</v>
      </c>
      <c r="D150" s="16">
        <f>IF(AE149&lt;LCOE!F$16,1,0)</f>
        <v>0</v>
      </c>
      <c r="E150" s="12">
        <f>LCOE!G176+IF(AND(A150&gt;=LCOE!F$26,A150&lt;=(LCOE!F$26+LCOE!F$27-1)),0,1)*IF(A150=LCOE!F$34,0,1)*D150</f>
        <v>0</v>
      </c>
      <c r="F150" s="12">
        <f>IF(F149&lt;LCOE!F$18,MIN(F149*(1+LCOE!F$19),LCOE!F$18),LCOE!F$18)+LCOE!J176</f>
        <v>0.9</v>
      </c>
      <c r="G150" s="16">
        <f>LCOE!K176+E150*F150*N150*(LCOE!F$14+LCOE!H176)*24*365*D150</f>
        <v>0</v>
      </c>
      <c r="H150" s="16">
        <f>LCOE!L176+F150*(LCOE!F$15+LCOE!I176)*E150*24*365*D150*N150</f>
        <v>0</v>
      </c>
      <c r="I150" s="16">
        <f>LCOE!M176+LCOE!F$20*IF(LCOE!F$14&gt;0,(LCOE!F$14+LCOE!H176),(LCOE!F$15+LCOE!I176))*K150*D150</f>
        <v>0</v>
      </c>
      <c r="J150" s="16">
        <f>LCOE!N176+LCOE!F$21*IF(LCOE!F$14&gt;0,G150,H150)*K150*D150</f>
        <v>0</v>
      </c>
      <c r="K150" s="15">
        <f>LCOE!O176+K149+K149*LCOE!F$22</f>
        <v>1</v>
      </c>
      <c r="L150" s="16">
        <f>LCOE!P176+LCOE!F$23*IF(LCOE!F$14&gt;0,G150,H150)*M150*D150</f>
        <v>0</v>
      </c>
      <c r="M150" s="15">
        <f>LCOE!Q176+M149+M149*LCOE!F$24</f>
        <v>1</v>
      </c>
      <c r="N150" s="15">
        <f>LCOE!R176+N149-N149*LCOE!F$25</f>
        <v>1</v>
      </c>
      <c r="O150" s="18">
        <f>LCOE!S176+LCOE!F$29</f>
        <v>313.75</v>
      </c>
      <c r="P150" s="12">
        <f>LCOE!T176+IF(A150&gt;=LCOE!F$30,100%,0%)</f>
        <v>1</v>
      </c>
      <c r="Q150" s="16">
        <f>LCOE!U176+O150/1000*IF(LCOE!F$14&gt;0,G150,H150)</f>
        <v>0</v>
      </c>
      <c r="R150" s="16">
        <f>LCOE!B176</f>
        <v>30</v>
      </c>
      <c r="S150" s="16">
        <f>LCOE!V176+Q150*P150*R150</f>
        <v>0</v>
      </c>
      <c r="T150" s="16">
        <f>LCOE!W176+LCOE!F$31</f>
        <v>0</v>
      </c>
      <c r="U150" s="16">
        <f>LCOE!X176+T150*IF(LCOE!F$14&gt;0,G150,H150)</f>
        <v>0</v>
      </c>
      <c r="V150" s="16">
        <f>LCOE!Y176+LCOE!F$32</f>
        <v>0</v>
      </c>
      <c r="W150" s="16">
        <f>LCOE!Z176+V150*IF(LCOE!F$14&gt;0,G150,H150)</f>
        <v>0</v>
      </c>
      <c r="X150" s="16">
        <f>LCOE!AA176+LCOE!F$34</f>
        <v>101</v>
      </c>
      <c r="Y150" s="16">
        <f t="shared" si="29"/>
        <v>0</v>
      </c>
      <c r="Z150" s="50">
        <f t="shared" si="32"/>
        <v>0</v>
      </c>
      <c r="AA150" s="50">
        <f t="shared" si="33"/>
        <v>0</v>
      </c>
      <c r="AB150" s="50">
        <f t="shared" si="34"/>
        <v>0</v>
      </c>
      <c r="AC150" s="50">
        <f t="shared" si="30"/>
        <v>0</v>
      </c>
      <c r="AD150" s="50">
        <f t="shared" si="25"/>
        <v>0</v>
      </c>
      <c r="AE150">
        <f t="shared" si="31"/>
        <v>30</v>
      </c>
      <c r="AF150" s="12">
        <f>LCOE!E176+LCOE!F$40</f>
        <v>0.05</v>
      </c>
      <c r="AG150">
        <f t="shared" si="26"/>
        <v>49.561441066842491</v>
      </c>
      <c r="AH150" s="16">
        <f t="shared" si="21"/>
        <v>0</v>
      </c>
      <c r="AI150" s="16">
        <f t="shared" si="22"/>
        <v>0</v>
      </c>
      <c r="AJ150" s="16">
        <f t="shared" si="23"/>
        <v>0</v>
      </c>
      <c r="AK150" s="16">
        <f t="shared" si="24"/>
        <v>0</v>
      </c>
      <c r="AL150" s="16">
        <f t="shared" si="27"/>
        <v>0</v>
      </c>
      <c r="AM150" s="16">
        <f t="shared" si="28"/>
        <v>0</v>
      </c>
      <c r="AN150" s="16">
        <f>IF(LCOE!F$14&gt;0,G150,H150)/AG150</f>
        <v>0</v>
      </c>
    </row>
    <row r="151" spans="1:40">
      <c r="A151">
        <v>81</v>
      </c>
      <c r="C151" s="16">
        <f>LCOE!F177+IF(AND(LCOE!F$26&gt;0,A151&gt;=LCOE!F$26,A151&lt;=(LCOE!F$26+LCOE!F$27-1)),LCOE!F$42/LCOE!F$27,0)+IF(AND(D151=0,AE151&gt;=LCOE!F$16,COUNTIF(D126:D151,0)=LCOE!F$36),LCOE!F$35*LCOE!F$38,0)</f>
        <v>0</v>
      </c>
      <c r="D151" s="16">
        <f>IF(AE150&lt;LCOE!F$16,1,0)</f>
        <v>0</v>
      </c>
      <c r="E151" s="12">
        <f>LCOE!G177+IF(AND(A151&gt;=LCOE!F$26,A151&lt;=(LCOE!F$26+LCOE!F$27-1)),0,1)*IF(A151=LCOE!F$34,0,1)*D151</f>
        <v>0</v>
      </c>
      <c r="F151" s="12">
        <f>IF(F150&lt;LCOE!F$18,MIN(F150*(1+LCOE!F$19),LCOE!F$18),LCOE!F$18)+LCOE!J177</f>
        <v>0.9</v>
      </c>
      <c r="G151" s="16">
        <f>LCOE!K177+E151*F151*N151*(LCOE!F$14+LCOE!H177)*24*365*D151</f>
        <v>0</v>
      </c>
      <c r="H151" s="16">
        <f>LCOE!L177+F151*(LCOE!F$15+LCOE!I177)*E151*24*365*D151*N151</f>
        <v>0</v>
      </c>
      <c r="I151" s="16">
        <f>LCOE!M177+LCOE!F$20*IF(LCOE!F$14&gt;0,(LCOE!F$14+LCOE!H177),(LCOE!F$15+LCOE!I177))*K151*D151</f>
        <v>0</v>
      </c>
      <c r="J151" s="16">
        <f>LCOE!N177+LCOE!F$21*IF(LCOE!F$14&gt;0,G151,H151)*K151*D151</f>
        <v>0</v>
      </c>
      <c r="K151" s="15">
        <f>LCOE!O177+K150+K150*LCOE!F$22</f>
        <v>1</v>
      </c>
      <c r="L151" s="16">
        <f>LCOE!P177+LCOE!F$23*IF(LCOE!F$14&gt;0,G151,H151)*M151*D151</f>
        <v>0</v>
      </c>
      <c r="M151" s="15">
        <f>LCOE!Q177+M150+M150*LCOE!F$24</f>
        <v>1</v>
      </c>
      <c r="N151" s="15">
        <f>LCOE!R177+N150-N150*LCOE!F$25</f>
        <v>1</v>
      </c>
      <c r="O151" s="18">
        <f>LCOE!S177+LCOE!F$29</f>
        <v>313.75</v>
      </c>
      <c r="P151" s="12">
        <f>LCOE!T177+IF(A151&gt;=LCOE!F$30,100%,0%)</f>
        <v>1</v>
      </c>
      <c r="Q151" s="16">
        <f>LCOE!U177+O151/1000*IF(LCOE!F$14&gt;0,G151,H151)</f>
        <v>0</v>
      </c>
      <c r="R151" s="16">
        <f>LCOE!B177</f>
        <v>30</v>
      </c>
      <c r="S151" s="16">
        <f>LCOE!V177+Q151*P151*R151</f>
        <v>0</v>
      </c>
      <c r="T151" s="16">
        <f>LCOE!W177+LCOE!F$31</f>
        <v>0</v>
      </c>
      <c r="U151" s="16">
        <f>LCOE!X177+T151*IF(LCOE!F$14&gt;0,G151,H151)</f>
        <v>0</v>
      </c>
      <c r="V151" s="16">
        <f>LCOE!Y177+LCOE!F$32</f>
        <v>0</v>
      </c>
      <c r="W151" s="16">
        <f>LCOE!Z177+V151*IF(LCOE!F$14&gt;0,G151,H151)</f>
        <v>0</v>
      </c>
      <c r="X151" s="16">
        <f>LCOE!AA177+LCOE!F$34</f>
        <v>101</v>
      </c>
      <c r="Y151" s="16">
        <f t="shared" si="29"/>
        <v>0</v>
      </c>
      <c r="Z151" s="50">
        <f t="shared" si="32"/>
        <v>0</v>
      </c>
      <c r="AA151" s="50">
        <f t="shared" si="33"/>
        <v>0</v>
      </c>
      <c r="AB151" s="50">
        <f t="shared" si="34"/>
        <v>0</v>
      </c>
      <c r="AC151" s="50">
        <f t="shared" si="30"/>
        <v>0</v>
      </c>
      <c r="AD151" s="50">
        <f t="shared" si="25"/>
        <v>0</v>
      </c>
      <c r="AE151">
        <f t="shared" si="31"/>
        <v>30</v>
      </c>
      <c r="AF151" s="12">
        <f>LCOE!E177+LCOE!F$40</f>
        <v>0.05</v>
      </c>
      <c r="AG151">
        <f t="shared" si="26"/>
        <v>52.039513120184623</v>
      </c>
      <c r="AH151" s="16">
        <f t="shared" si="21"/>
        <v>0</v>
      </c>
      <c r="AI151" s="16">
        <f t="shared" si="22"/>
        <v>0</v>
      </c>
      <c r="AJ151" s="16">
        <f t="shared" si="23"/>
        <v>0</v>
      </c>
      <c r="AK151" s="16">
        <f t="shared" si="24"/>
        <v>0</v>
      </c>
      <c r="AL151" s="16">
        <f t="shared" si="27"/>
        <v>0</v>
      </c>
      <c r="AM151" s="16">
        <f t="shared" si="28"/>
        <v>0</v>
      </c>
      <c r="AN151" s="16">
        <f>IF(LCOE!F$14&gt;0,G151,H151)/AG151</f>
        <v>0</v>
      </c>
    </row>
    <row r="152" spans="1:40">
      <c r="A152">
        <v>82</v>
      </c>
      <c r="C152" s="16">
        <f>LCOE!F178+IF(AND(LCOE!F$26&gt;0,A152&gt;=LCOE!F$26,A152&lt;=(LCOE!F$26+LCOE!F$27-1)),LCOE!F$42/LCOE!F$27,0)+IF(AND(D152=0,AE152&gt;=LCOE!F$16,COUNTIF(D127:D152,0)=LCOE!F$36),LCOE!F$35*LCOE!F$38,0)</f>
        <v>0</v>
      </c>
      <c r="D152" s="16">
        <f>IF(AE151&lt;LCOE!F$16,1,0)</f>
        <v>0</v>
      </c>
      <c r="E152" s="12">
        <f>LCOE!G178+IF(AND(A152&gt;=LCOE!F$26,A152&lt;=(LCOE!F$26+LCOE!F$27-1)),0,1)*IF(A152=LCOE!F$34,0,1)*D152</f>
        <v>0</v>
      </c>
      <c r="F152" s="12">
        <f>IF(F151&lt;LCOE!F$18,MIN(F151*(1+LCOE!F$19),LCOE!F$18),LCOE!F$18)+LCOE!J178</f>
        <v>0.9</v>
      </c>
      <c r="G152" s="16">
        <f>LCOE!K178+E152*F152*N152*(LCOE!F$14+LCOE!H178)*24*365*D152</f>
        <v>0</v>
      </c>
      <c r="H152" s="16">
        <f>LCOE!L178+F152*(LCOE!F$15+LCOE!I178)*E152*24*365*D152*N152</f>
        <v>0</v>
      </c>
      <c r="I152" s="16">
        <f>LCOE!M178+LCOE!F$20*IF(LCOE!F$14&gt;0,(LCOE!F$14+LCOE!H178),(LCOE!F$15+LCOE!I178))*K152*D152</f>
        <v>0</v>
      </c>
      <c r="J152" s="16">
        <f>LCOE!N178+LCOE!F$21*IF(LCOE!F$14&gt;0,G152,H152)*K152*D152</f>
        <v>0</v>
      </c>
      <c r="K152" s="15">
        <f>LCOE!O178+K151+K151*LCOE!F$22</f>
        <v>1</v>
      </c>
      <c r="L152" s="16">
        <f>LCOE!P178+LCOE!F$23*IF(LCOE!F$14&gt;0,G152,H152)*M152*D152</f>
        <v>0</v>
      </c>
      <c r="M152" s="15">
        <f>LCOE!Q178+M151+M151*LCOE!F$24</f>
        <v>1</v>
      </c>
      <c r="N152" s="15">
        <f>LCOE!R178+N151-N151*LCOE!F$25</f>
        <v>1</v>
      </c>
      <c r="O152" s="18">
        <f>LCOE!S178+LCOE!F$29</f>
        <v>313.75</v>
      </c>
      <c r="P152" s="12">
        <f>LCOE!T178+IF(A152&gt;=LCOE!F$30,100%,0%)</f>
        <v>1</v>
      </c>
      <c r="Q152" s="16">
        <f>LCOE!U178+O152/1000*IF(LCOE!F$14&gt;0,G152,H152)</f>
        <v>0</v>
      </c>
      <c r="R152" s="16">
        <f>LCOE!B178</f>
        <v>30</v>
      </c>
      <c r="S152" s="16">
        <f>LCOE!V178+Q152*P152*R152</f>
        <v>0</v>
      </c>
      <c r="T152" s="16">
        <f>LCOE!W178+LCOE!F$31</f>
        <v>0</v>
      </c>
      <c r="U152" s="16">
        <f>LCOE!X178+T152*IF(LCOE!F$14&gt;0,G152,H152)</f>
        <v>0</v>
      </c>
      <c r="V152" s="16">
        <f>LCOE!Y178+LCOE!F$32</f>
        <v>0</v>
      </c>
      <c r="W152" s="16">
        <f>LCOE!Z178+V152*IF(LCOE!F$14&gt;0,G152,H152)</f>
        <v>0</v>
      </c>
      <c r="X152" s="16">
        <f>LCOE!AA178+LCOE!F$34</f>
        <v>101</v>
      </c>
      <c r="Y152" s="16">
        <f t="shared" si="29"/>
        <v>0</v>
      </c>
      <c r="Z152" s="50">
        <f t="shared" si="32"/>
        <v>0</v>
      </c>
      <c r="AA152" s="50">
        <f t="shared" si="33"/>
        <v>0</v>
      </c>
      <c r="AB152" s="50">
        <f t="shared" si="34"/>
        <v>0</v>
      </c>
      <c r="AC152" s="50">
        <f t="shared" si="30"/>
        <v>0</v>
      </c>
      <c r="AD152" s="50">
        <f t="shared" si="25"/>
        <v>0</v>
      </c>
      <c r="AE152">
        <f t="shared" si="31"/>
        <v>30</v>
      </c>
      <c r="AF152" s="12">
        <f>LCOE!E178+LCOE!F$40</f>
        <v>0.05</v>
      </c>
      <c r="AG152">
        <f t="shared" si="26"/>
        <v>54.641488776193853</v>
      </c>
      <c r="AH152" s="16">
        <f t="shared" si="21"/>
        <v>0</v>
      </c>
      <c r="AI152" s="16">
        <f t="shared" si="22"/>
        <v>0</v>
      </c>
      <c r="AJ152" s="16">
        <f t="shared" si="23"/>
        <v>0</v>
      </c>
      <c r="AK152" s="16">
        <f t="shared" si="24"/>
        <v>0</v>
      </c>
      <c r="AL152" s="16">
        <f t="shared" si="27"/>
        <v>0</v>
      </c>
      <c r="AM152" s="16">
        <f t="shared" si="28"/>
        <v>0</v>
      </c>
      <c r="AN152" s="16">
        <f>IF(LCOE!F$14&gt;0,G152,H152)/AG152</f>
        <v>0</v>
      </c>
    </row>
    <row r="153" spans="1:40">
      <c r="A153">
        <v>83</v>
      </c>
      <c r="C153" s="16">
        <f>LCOE!F179+IF(AND(LCOE!F$26&gt;0,A153&gt;=LCOE!F$26,A153&lt;=(LCOE!F$26+LCOE!F$27-1)),LCOE!F$42/LCOE!F$27,0)+IF(AND(D153=0,AE153&gt;=LCOE!F$16,COUNTIF(D128:D153,0)=LCOE!F$36),LCOE!F$35*LCOE!F$38,0)</f>
        <v>0</v>
      </c>
      <c r="D153" s="16">
        <f>IF(AE152&lt;LCOE!F$16,1,0)</f>
        <v>0</v>
      </c>
      <c r="E153" s="12">
        <f>LCOE!G179+IF(AND(A153&gt;=LCOE!F$26,A153&lt;=(LCOE!F$26+LCOE!F$27-1)),0,1)*IF(A153=LCOE!F$34,0,1)*D153</f>
        <v>0</v>
      </c>
      <c r="F153" s="12">
        <f>IF(F152&lt;LCOE!F$18,MIN(F152*(1+LCOE!F$19),LCOE!F$18),LCOE!F$18)+LCOE!J179</f>
        <v>0.9</v>
      </c>
      <c r="G153" s="16">
        <f>LCOE!K179+E153*F153*N153*(LCOE!F$14+LCOE!H179)*24*365*D153</f>
        <v>0</v>
      </c>
      <c r="H153" s="16">
        <f>LCOE!L179+F153*(LCOE!F$15+LCOE!I179)*E153*24*365*D153*N153</f>
        <v>0</v>
      </c>
      <c r="I153" s="16">
        <f>LCOE!M179+LCOE!F$20*IF(LCOE!F$14&gt;0,(LCOE!F$14+LCOE!H179),(LCOE!F$15+LCOE!I179))*K153*D153</f>
        <v>0</v>
      </c>
      <c r="J153" s="16">
        <f>LCOE!N179+LCOE!F$21*IF(LCOE!F$14&gt;0,G153,H153)*K153*D153</f>
        <v>0</v>
      </c>
      <c r="K153" s="15">
        <f>LCOE!O179+K152+K152*LCOE!F$22</f>
        <v>1</v>
      </c>
      <c r="L153" s="16">
        <f>LCOE!P179+LCOE!F$23*IF(LCOE!F$14&gt;0,G153,H153)*M153*D153</f>
        <v>0</v>
      </c>
      <c r="M153" s="15">
        <f>LCOE!Q179+M152+M152*LCOE!F$24</f>
        <v>1</v>
      </c>
      <c r="N153" s="15">
        <f>LCOE!R179+N152-N152*LCOE!F$25</f>
        <v>1</v>
      </c>
      <c r="O153" s="18">
        <f>LCOE!S179+LCOE!F$29</f>
        <v>313.75</v>
      </c>
      <c r="P153" s="12">
        <f>LCOE!T179+IF(A153&gt;=LCOE!F$30,100%,0%)</f>
        <v>1</v>
      </c>
      <c r="Q153" s="16">
        <f>LCOE!U179+O153/1000*IF(LCOE!F$14&gt;0,G153,H153)</f>
        <v>0</v>
      </c>
      <c r="R153" s="16">
        <f>LCOE!B179</f>
        <v>30</v>
      </c>
      <c r="S153" s="16">
        <f>LCOE!V179+Q153*P153*R153</f>
        <v>0</v>
      </c>
      <c r="T153" s="16">
        <f>LCOE!W179+LCOE!F$31</f>
        <v>0</v>
      </c>
      <c r="U153" s="16">
        <f>LCOE!X179+T153*IF(LCOE!F$14&gt;0,G153,H153)</f>
        <v>0</v>
      </c>
      <c r="V153" s="16">
        <f>LCOE!Y179+LCOE!F$32</f>
        <v>0</v>
      </c>
      <c r="W153" s="16">
        <f>LCOE!Z179+V153*IF(LCOE!F$14&gt;0,G153,H153)</f>
        <v>0</v>
      </c>
      <c r="X153" s="16">
        <f>LCOE!AA179+LCOE!F$34</f>
        <v>101</v>
      </c>
      <c r="Y153" s="16">
        <f t="shared" si="29"/>
        <v>0</v>
      </c>
      <c r="Z153" s="50">
        <f t="shared" si="32"/>
        <v>0</v>
      </c>
      <c r="AA153" s="50">
        <f t="shared" si="33"/>
        <v>0</v>
      </c>
      <c r="AB153" s="50">
        <f t="shared" si="34"/>
        <v>0</v>
      </c>
      <c r="AC153" s="50">
        <f t="shared" si="30"/>
        <v>0</v>
      </c>
      <c r="AD153" s="50">
        <f t="shared" si="25"/>
        <v>0</v>
      </c>
      <c r="AE153">
        <f t="shared" si="31"/>
        <v>30</v>
      </c>
      <c r="AF153" s="12">
        <f>LCOE!E179+LCOE!F$40</f>
        <v>0.05</v>
      </c>
      <c r="AG153">
        <f t="shared" si="26"/>
        <v>57.373563215003543</v>
      </c>
      <c r="AH153" s="16">
        <f t="shared" si="21"/>
        <v>0</v>
      </c>
      <c r="AI153" s="16">
        <f t="shared" si="22"/>
        <v>0</v>
      </c>
      <c r="AJ153" s="16">
        <f t="shared" si="23"/>
        <v>0</v>
      </c>
      <c r="AK153" s="16">
        <f t="shared" si="24"/>
        <v>0</v>
      </c>
      <c r="AL153" s="16">
        <f t="shared" si="27"/>
        <v>0</v>
      </c>
      <c r="AM153" s="16">
        <f t="shared" si="28"/>
        <v>0</v>
      </c>
      <c r="AN153" s="16">
        <f>IF(LCOE!F$14&gt;0,G153,H153)/AG153</f>
        <v>0</v>
      </c>
    </row>
    <row r="154" spans="1:40">
      <c r="A154">
        <v>84</v>
      </c>
      <c r="C154" s="16">
        <f>LCOE!F180+IF(AND(LCOE!F$26&gt;0,A154&gt;=LCOE!F$26,A154&lt;=(LCOE!F$26+LCOE!F$27-1)),LCOE!F$42/LCOE!F$27,0)+IF(AND(D154=0,AE154&gt;=LCOE!F$16,COUNTIF(D129:D154,0)=LCOE!F$36),LCOE!F$35*LCOE!F$38,0)</f>
        <v>0</v>
      </c>
      <c r="D154" s="16">
        <f>IF(AE153&lt;LCOE!F$16,1,0)</f>
        <v>0</v>
      </c>
      <c r="E154" s="12">
        <f>LCOE!G180+IF(AND(A154&gt;=LCOE!F$26,A154&lt;=(LCOE!F$26+LCOE!F$27-1)),0,1)*IF(A154=LCOE!F$34,0,1)*D154</f>
        <v>0</v>
      </c>
      <c r="F154" s="12">
        <f>IF(F153&lt;LCOE!F$18,MIN(F153*(1+LCOE!F$19),LCOE!F$18),LCOE!F$18)+LCOE!J180</f>
        <v>0.9</v>
      </c>
      <c r="G154" s="16">
        <f>LCOE!K180+E154*F154*N154*(LCOE!F$14+LCOE!H180)*24*365*D154</f>
        <v>0</v>
      </c>
      <c r="H154" s="16">
        <f>LCOE!L180+F154*(LCOE!F$15+LCOE!I180)*E154*24*365*D154*N154</f>
        <v>0</v>
      </c>
      <c r="I154" s="16">
        <f>LCOE!M180+LCOE!F$20*IF(LCOE!F$14&gt;0,(LCOE!F$14+LCOE!H180),(LCOE!F$15+LCOE!I180))*K154*D154</f>
        <v>0</v>
      </c>
      <c r="J154" s="16">
        <f>LCOE!N180+LCOE!F$21*IF(LCOE!F$14&gt;0,G154,H154)*K154*D154</f>
        <v>0</v>
      </c>
      <c r="K154" s="15">
        <f>LCOE!O180+K153+K153*LCOE!F$22</f>
        <v>1</v>
      </c>
      <c r="L154" s="16">
        <f>LCOE!P180+LCOE!F$23*IF(LCOE!F$14&gt;0,G154,H154)*M154*D154</f>
        <v>0</v>
      </c>
      <c r="M154" s="15">
        <f>LCOE!Q180+M153+M153*LCOE!F$24</f>
        <v>1</v>
      </c>
      <c r="N154" s="15">
        <f>LCOE!R180+N153-N153*LCOE!F$25</f>
        <v>1</v>
      </c>
      <c r="O154" s="18">
        <f>LCOE!S180+LCOE!F$29</f>
        <v>313.75</v>
      </c>
      <c r="P154" s="12">
        <f>LCOE!T180+IF(A154&gt;=LCOE!F$30,100%,0%)</f>
        <v>1</v>
      </c>
      <c r="Q154" s="16">
        <f>LCOE!U180+O154/1000*IF(LCOE!F$14&gt;0,G154,H154)</f>
        <v>0</v>
      </c>
      <c r="R154" s="16">
        <f>LCOE!B180</f>
        <v>30</v>
      </c>
      <c r="S154" s="16">
        <f>LCOE!V180+Q154*P154*R154</f>
        <v>0</v>
      </c>
      <c r="T154" s="16">
        <f>LCOE!W180+LCOE!F$31</f>
        <v>0</v>
      </c>
      <c r="U154" s="16">
        <f>LCOE!X180+T154*IF(LCOE!F$14&gt;0,G154,H154)</f>
        <v>0</v>
      </c>
      <c r="V154" s="16">
        <f>LCOE!Y180+LCOE!F$32</f>
        <v>0</v>
      </c>
      <c r="W154" s="16">
        <f>LCOE!Z180+V154*IF(LCOE!F$14&gt;0,G154,H154)</f>
        <v>0</v>
      </c>
      <c r="X154" s="16">
        <f>LCOE!AA180+LCOE!F$34</f>
        <v>101</v>
      </c>
      <c r="Y154" s="16">
        <f t="shared" si="29"/>
        <v>0</v>
      </c>
      <c r="Z154" s="50">
        <f t="shared" si="32"/>
        <v>0</v>
      </c>
      <c r="AA154" s="50">
        <f t="shared" si="33"/>
        <v>0</v>
      </c>
      <c r="AB154" s="50">
        <f t="shared" si="34"/>
        <v>0</v>
      </c>
      <c r="AC154" s="50">
        <f t="shared" si="30"/>
        <v>0</v>
      </c>
      <c r="AD154" s="50">
        <f t="shared" si="25"/>
        <v>0</v>
      </c>
      <c r="AE154">
        <f t="shared" si="31"/>
        <v>30</v>
      </c>
      <c r="AF154" s="12">
        <f>LCOE!E180+LCOE!F$40</f>
        <v>0.05</v>
      </c>
      <c r="AG154">
        <f t="shared" si="26"/>
        <v>60.242241375753721</v>
      </c>
      <c r="AH154" s="16">
        <f t="shared" si="21"/>
        <v>0</v>
      </c>
      <c r="AI154" s="16">
        <f t="shared" si="22"/>
        <v>0</v>
      </c>
      <c r="AJ154" s="16">
        <f t="shared" si="23"/>
        <v>0</v>
      </c>
      <c r="AK154" s="16">
        <f t="shared" si="24"/>
        <v>0</v>
      </c>
      <c r="AL154" s="16">
        <f t="shared" si="27"/>
        <v>0</v>
      </c>
      <c r="AM154" s="16">
        <f t="shared" si="28"/>
        <v>0</v>
      </c>
      <c r="AN154" s="16">
        <f>IF(LCOE!F$14&gt;0,G154,H154)/AG154</f>
        <v>0</v>
      </c>
    </row>
    <row r="155" spans="1:40">
      <c r="A155">
        <v>85</v>
      </c>
      <c r="C155" s="16">
        <f>LCOE!F181+IF(AND(LCOE!F$26&gt;0,A155&gt;=LCOE!F$26,A155&lt;=(LCOE!F$26+LCOE!F$27-1)),LCOE!F$42/LCOE!F$27,0)+IF(AND(D155=0,AE155&gt;=LCOE!F$16,COUNTIF(D130:D155,0)=LCOE!F$36),LCOE!F$35*LCOE!F$38,0)</f>
        <v>0</v>
      </c>
      <c r="D155" s="16">
        <f>IF(AE154&lt;LCOE!F$16,1,0)</f>
        <v>0</v>
      </c>
      <c r="E155" s="12">
        <f>LCOE!G181+IF(AND(A155&gt;=LCOE!F$26,A155&lt;=(LCOE!F$26+LCOE!F$27-1)),0,1)*IF(A155=LCOE!F$34,0,1)*D155</f>
        <v>0</v>
      </c>
      <c r="F155" s="12">
        <f>IF(F154&lt;LCOE!F$18,MIN(F154*(1+LCOE!F$19),LCOE!F$18),LCOE!F$18)+LCOE!J181</f>
        <v>0.9</v>
      </c>
      <c r="G155" s="16">
        <f>LCOE!K181+E155*F155*N155*(LCOE!F$14+LCOE!H181)*24*365*D155</f>
        <v>0</v>
      </c>
      <c r="H155" s="16">
        <f>LCOE!L181+F155*(LCOE!F$15+LCOE!I181)*E155*24*365*D155*N155</f>
        <v>0</v>
      </c>
      <c r="I155" s="16">
        <f>LCOE!M181+LCOE!F$20*IF(LCOE!F$14&gt;0,(LCOE!F$14+LCOE!H181),(LCOE!F$15+LCOE!I181))*K155*D155</f>
        <v>0</v>
      </c>
      <c r="J155" s="16">
        <f>LCOE!N181+LCOE!F$21*IF(LCOE!F$14&gt;0,G155,H155)*K155*D155</f>
        <v>0</v>
      </c>
      <c r="K155" s="15">
        <f>LCOE!O181+K154+K154*LCOE!F$22</f>
        <v>1</v>
      </c>
      <c r="L155" s="16">
        <f>LCOE!P181+LCOE!F$23*IF(LCOE!F$14&gt;0,G155,H155)*M155*D155</f>
        <v>0</v>
      </c>
      <c r="M155" s="15">
        <f>LCOE!Q181+M154+M154*LCOE!F$24</f>
        <v>1</v>
      </c>
      <c r="N155" s="15">
        <f>LCOE!R181+N154-N154*LCOE!F$25</f>
        <v>1</v>
      </c>
      <c r="O155" s="18">
        <f>LCOE!S181+LCOE!F$29</f>
        <v>313.75</v>
      </c>
      <c r="P155" s="12">
        <f>LCOE!T181+IF(A155&gt;=LCOE!F$30,100%,0%)</f>
        <v>1</v>
      </c>
      <c r="Q155" s="16">
        <f>LCOE!U181+O155/1000*IF(LCOE!F$14&gt;0,G155,H155)</f>
        <v>0</v>
      </c>
      <c r="R155" s="16">
        <f>LCOE!B181</f>
        <v>30</v>
      </c>
      <c r="S155" s="16">
        <f>LCOE!V181+Q155*P155*R155</f>
        <v>0</v>
      </c>
      <c r="T155" s="16">
        <f>LCOE!W181+LCOE!F$31</f>
        <v>0</v>
      </c>
      <c r="U155" s="16">
        <f>LCOE!X181+T155*IF(LCOE!F$14&gt;0,G155,H155)</f>
        <v>0</v>
      </c>
      <c r="V155" s="16">
        <f>LCOE!Y181+LCOE!F$32</f>
        <v>0</v>
      </c>
      <c r="W155" s="16">
        <f>LCOE!Z181+V155*IF(LCOE!F$14&gt;0,G155,H155)</f>
        <v>0</v>
      </c>
      <c r="X155" s="16">
        <f>LCOE!AA181+LCOE!F$34</f>
        <v>101</v>
      </c>
      <c r="Y155" s="16">
        <f t="shared" si="29"/>
        <v>0</v>
      </c>
      <c r="Z155" s="50">
        <f t="shared" si="32"/>
        <v>0</v>
      </c>
      <c r="AA155" s="50">
        <f t="shared" si="33"/>
        <v>0</v>
      </c>
      <c r="AB155" s="50">
        <f t="shared" si="34"/>
        <v>0</v>
      </c>
      <c r="AC155" s="50">
        <f t="shared" si="30"/>
        <v>0</v>
      </c>
      <c r="AD155" s="50">
        <f t="shared" si="25"/>
        <v>0</v>
      </c>
      <c r="AE155">
        <f t="shared" si="31"/>
        <v>30</v>
      </c>
      <c r="AF155" s="12">
        <f>LCOE!E181+LCOE!F$40</f>
        <v>0.05</v>
      </c>
      <c r="AG155">
        <f t="shared" si="26"/>
        <v>63.254353444541401</v>
      </c>
      <c r="AH155" s="16">
        <f t="shared" si="21"/>
        <v>0</v>
      </c>
      <c r="AI155" s="16">
        <f t="shared" si="22"/>
        <v>0</v>
      </c>
      <c r="AJ155" s="16">
        <f t="shared" si="23"/>
        <v>0</v>
      </c>
      <c r="AK155" s="16">
        <f t="shared" si="24"/>
        <v>0</v>
      </c>
      <c r="AL155" s="16">
        <f t="shared" si="27"/>
        <v>0</v>
      </c>
      <c r="AM155" s="16">
        <f t="shared" si="28"/>
        <v>0</v>
      </c>
      <c r="AN155" s="16">
        <f>IF(LCOE!F$14&gt;0,G155,H155)/AG155</f>
        <v>0</v>
      </c>
    </row>
    <row r="156" spans="1:40">
      <c r="A156">
        <v>86</v>
      </c>
      <c r="C156" s="16">
        <f>LCOE!F182+IF(AND(LCOE!F$26&gt;0,A156&gt;=LCOE!F$26,A156&lt;=(LCOE!F$26+LCOE!F$27-1)),LCOE!F$42/LCOE!F$27,0)+IF(AND(D156=0,AE156&gt;=LCOE!F$16,COUNTIF(D131:D156,0)=LCOE!F$36),LCOE!F$35*LCOE!F$38,0)</f>
        <v>0</v>
      </c>
      <c r="D156" s="16">
        <f>IF(AE155&lt;LCOE!F$16,1,0)</f>
        <v>0</v>
      </c>
      <c r="E156" s="12">
        <f>LCOE!G182+IF(AND(A156&gt;=LCOE!F$26,A156&lt;=(LCOE!F$26+LCOE!F$27-1)),0,1)*IF(A156=LCOE!F$34,0,1)*D156</f>
        <v>0</v>
      </c>
      <c r="F156" s="12">
        <f>IF(F155&lt;LCOE!F$18,MIN(F155*(1+LCOE!F$19),LCOE!F$18),LCOE!F$18)+LCOE!J182</f>
        <v>0.9</v>
      </c>
      <c r="G156" s="16">
        <f>LCOE!K182+E156*F156*N156*(LCOE!F$14+LCOE!H182)*24*365*D156</f>
        <v>0</v>
      </c>
      <c r="H156" s="16">
        <f>LCOE!L182+F156*(LCOE!F$15+LCOE!I182)*E156*24*365*D156*N156</f>
        <v>0</v>
      </c>
      <c r="I156" s="16">
        <f>LCOE!M182+LCOE!F$20*IF(LCOE!F$14&gt;0,(LCOE!F$14+LCOE!H182),(LCOE!F$15+LCOE!I182))*K156*D156</f>
        <v>0</v>
      </c>
      <c r="J156" s="16">
        <f>LCOE!N182+LCOE!F$21*IF(LCOE!F$14&gt;0,G156,H156)*K156*D156</f>
        <v>0</v>
      </c>
      <c r="K156" s="15">
        <f>LCOE!O182+K155+K155*LCOE!F$22</f>
        <v>1</v>
      </c>
      <c r="L156" s="16">
        <f>LCOE!P182+LCOE!F$23*IF(LCOE!F$14&gt;0,G156,H156)*M156*D156</f>
        <v>0</v>
      </c>
      <c r="M156" s="15">
        <f>LCOE!Q182+M155+M155*LCOE!F$24</f>
        <v>1</v>
      </c>
      <c r="N156" s="15">
        <f>LCOE!R182+N155-N155*LCOE!F$25</f>
        <v>1</v>
      </c>
      <c r="O156" s="18">
        <f>LCOE!S182+LCOE!F$29</f>
        <v>313.75</v>
      </c>
      <c r="P156" s="12">
        <f>LCOE!T182+IF(A156&gt;=LCOE!F$30,100%,0%)</f>
        <v>1</v>
      </c>
      <c r="Q156" s="16">
        <f>LCOE!U182+O156/1000*IF(LCOE!F$14&gt;0,G156,H156)</f>
        <v>0</v>
      </c>
      <c r="R156" s="16">
        <f>LCOE!B182</f>
        <v>30</v>
      </c>
      <c r="S156" s="16">
        <f>LCOE!V182+Q156*P156*R156</f>
        <v>0</v>
      </c>
      <c r="T156" s="16">
        <f>LCOE!W182+LCOE!F$31</f>
        <v>0</v>
      </c>
      <c r="U156" s="16">
        <f>LCOE!X182+T156*IF(LCOE!F$14&gt;0,G156,H156)</f>
        <v>0</v>
      </c>
      <c r="V156" s="16">
        <f>LCOE!Y182+LCOE!F$32</f>
        <v>0</v>
      </c>
      <c r="W156" s="16">
        <f>LCOE!Z182+V156*IF(LCOE!F$14&gt;0,G156,H156)</f>
        <v>0</v>
      </c>
      <c r="X156" s="16">
        <f>LCOE!AA182+LCOE!F$34</f>
        <v>101</v>
      </c>
      <c r="Y156" s="16">
        <f t="shared" si="29"/>
        <v>0</v>
      </c>
      <c r="Z156" s="50">
        <f t="shared" si="32"/>
        <v>0</v>
      </c>
      <c r="AA156" s="50">
        <f t="shared" si="33"/>
        <v>0</v>
      </c>
      <c r="AB156" s="50">
        <f t="shared" si="34"/>
        <v>0</v>
      </c>
      <c r="AC156" s="50">
        <f t="shared" si="30"/>
        <v>0</v>
      </c>
      <c r="AD156" s="50">
        <f t="shared" si="25"/>
        <v>0</v>
      </c>
      <c r="AE156">
        <f t="shared" si="31"/>
        <v>30</v>
      </c>
      <c r="AF156" s="12">
        <f>LCOE!E182+LCOE!F$40</f>
        <v>0.05</v>
      </c>
      <c r="AG156">
        <f t="shared" si="26"/>
        <v>66.417071116768469</v>
      </c>
      <c r="AH156" s="16">
        <f t="shared" si="21"/>
        <v>0</v>
      </c>
      <c r="AI156" s="16">
        <f t="shared" si="22"/>
        <v>0</v>
      </c>
      <c r="AJ156" s="16">
        <f t="shared" si="23"/>
        <v>0</v>
      </c>
      <c r="AK156" s="16">
        <f t="shared" si="24"/>
        <v>0</v>
      </c>
      <c r="AL156" s="16">
        <f t="shared" si="27"/>
        <v>0</v>
      </c>
      <c r="AM156" s="16">
        <f t="shared" si="28"/>
        <v>0</v>
      </c>
      <c r="AN156" s="16">
        <f>IF(LCOE!F$14&gt;0,G156,H156)/AG156</f>
        <v>0</v>
      </c>
    </row>
    <row r="157" spans="1:40">
      <c r="A157">
        <v>87</v>
      </c>
      <c r="C157" s="16">
        <f>LCOE!F183+IF(AND(LCOE!F$26&gt;0,A157&gt;=LCOE!F$26,A157&lt;=(LCOE!F$26+LCOE!F$27-1)),LCOE!F$42/LCOE!F$27,0)+IF(AND(D157=0,AE157&gt;=LCOE!F$16,COUNTIF(D132:D157,0)=LCOE!F$36),LCOE!F$35*LCOE!F$38,0)</f>
        <v>0</v>
      </c>
      <c r="D157" s="16">
        <f>IF(AE156&lt;LCOE!F$16,1,0)</f>
        <v>0</v>
      </c>
      <c r="E157" s="12">
        <f>LCOE!G183+IF(AND(A157&gt;=LCOE!F$26,A157&lt;=(LCOE!F$26+LCOE!F$27-1)),0,1)*IF(A157=LCOE!F$34,0,1)*D157</f>
        <v>0</v>
      </c>
      <c r="F157" s="12">
        <f>IF(F156&lt;LCOE!F$18,MIN(F156*(1+LCOE!F$19),LCOE!F$18),LCOE!F$18)+LCOE!J183</f>
        <v>0.9</v>
      </c>
      <c r="G157" s="16">
        <f>LCOE!K183+E157*F157*N157*(LCOE!F$14+LCOE!H183)*24*365*D157</f>
        <v>0</v>
      </c>
      <c r="H157" s="16">
        <f>LCOE!L183+F157*(LCOE!F$15+LCOE!I183)*E157*24*365*D157*N157</f>
        <v>0</v>
      </c>
      <c r="I157" s="16">
        <f>LCOE!M183+LCOE!F$20*IF(LCOE!F$14&gt;0,(LCOE!F$14+LCOE!H183),(LCOE!F$15+LCOE!I183))*K157*D157</f>
        <v>0</v>
      </c>
      <c r="J157" s="16">
        <f>LCOE!N183+LCOE!F$21*IF(LCOE!F$14&gt;0,G157,H157)*K157*D157</f>
        <v>0</v>
      </c>
      <c r="K157" s="15">
        <f>LCOE!O183+K156+K156*LCOE!F$22</f>
        <v>1</v>
      </c>
      <c r="L157" s="16">
        <f>LCOE!P183+LCOE!F$23*IF(LCOE!F$14&gt;0,G157,H157)*M157*D157</f>
        <v>0</v>
      </c>
      <c r="M157" s="15">
        <f>LCOE!Q183+M156+M156*LCOE!F$24</f>
        <v>1</v>
      </c>
      <c r="N157" s="15">
        <f>LCOE!R183+N156-N156*LCOE!F$25</f>
        <v>1</v>
      </c>
      <c r="O157" s="18">
        <f>LCOE!S183+LCOE!F$29</f>
        <v>313.75</v>
      </c>
      <c r="P157" s="12">
        <f>LCOE!T183+IF(A157&gt;=LCOE!F$30,100%,0%)</f>
        <v>1</v>
      </c>
      <c r="Q157" s="16">
        <f>LCOE!U183+O157/1000*IF(LCOE!F$14&gt;0,G157,H157)</f>
        <v>0</v>
      </c>
      <c r="R157" s="16">
        <f>LCOE!B183</f>
        <v>30</v>
      </c>
      <c r="S157" s="16">
        <f>LCOE!V183+Q157*P157*R157</f>
        <v>0</v>
      </c>
      <c r="T157" s="16">
        <f>LCOE!W183+LCOE!F$31</f>
        <v>0</v>
      </c>
      <c r="U157" s="16">
        <f>LCOE!X183+T157*IF(LCOE!F$14&gt;0,G157,H157)</f>
        <v>0</v>
      </c>
      <c r="V157" s="16">
        <f>LCOE!Y183+LCOE!F$32</f>
        <v>0</v>
      </c>
      <c r="W157" s="16">
        <f>LCOE!Z183+V157*IF(LCOE!F$14&gt;0,G157,H157)</f>
        <v>0</v>
      </c>
      <c r="X157" s="16">
        <f>LCOE!AA183+LCOE!F$34</f>
        <v>101</v>
      </c>
      <c r="Y157" s="16">
        <f t="shared" si="29"/>
        <v>0</v>
      </c>
      <c r="Z157" s="50">
        <f t="shared" si="32"/>
        <v>0</v>
      </c>
      <c r="AA157" s="50">
        <f t="shared" si="33"/>
        <v>0</v>
      </c>
      <c r="AB157" s="50">
        <f t="shared" si="34"/>
        <v>0</v>
      </c>
      <c r="AC157" s="50">
        <f t="shared" si="30"/>
        <v>0</v>
      </c>
      <c r="AD157" s="50">
        <f t="shared" si="25"/>
        <v>0</v>
      </c>
      <c r="AE157">
        <f t="shared" si="31"/>
        <v>30</v>
      </c>
      <c r="AF157" s="12">
        <f>LCOE!E183+LCOE!F$40</f>
        <v>0.05</v>
      </c>
      <c r="AG157">
        <f t="shared" si="26"/>
        <v>69.737924672606908</v>
      </c>
      <c r="AH157" s="16">
        <f t="shared" si="21"/>
        <v>0</v>
      </c>
      <c r="AI157" s="16">
        <f t="shared" si="22"/>
        <v>0</v>
      </c>
      <c r="AJ157" s="16">
        <f t="shared" si="23"/>
        <v>0</v>
      </c>
      <c r="AK157" s="16">
        <f t="shared" si="24"/>
        <v>0</v>
      </c>
      <c r="AL157" s="16">
        <f t="shared" si="27"/>
        <v>0</v>
      </c>
      <c r="AM157" s="16">
        <f t="shared" si="28"/>
        <v>0</v>
      </c>
      <c r="AN157" s="16">
        <f>IF(LCOE!F$14&gt;0,G157,H157)/AG157</f>
        <v>0</v>
      </c>
    </row>
    <row r="158" spans="1:40">
      <c r="A158">
        <v>88</v>
      </c>
      <c r="C158" s="16">
        <f>LCOE!F184+IF(AND(LCOE!F$26&gt;0,A158&gt;=LCOE!F$26,A158&lt;=(LCOE!F$26+LCOE!F$27-1)),LCOE!F$42/LCOE!F$27,0)+IF(AND(D158=0,AE158&gt;=LCOE!F$16,COUNTIF(D133:D158,0)=LCOE!F$36),LCOE!F$35*LCOE!F$38,0)</f>
        <v>0</v>
      </c>
      <c r="D158" s="16">
        <f>IF(AE157&lt;LCOE!F$16,1,0)</f>
        <v>0</v>
      </c>
      <c r="E158" s="12">
        <f>LCOE!G184+IF(AND(A158&gt;=LCOE!F$26,A158&lt;=(LCOE!F$26+LCOE!F$27-1)),0,1)*IF(A158=LCOE!F$34,0,1)*D158</f>
        <v>0</v>
      </c>
      <c r="F158" s="12">
        <f>IF(F157&lt;LCOE!F$18,MIN(F157*(1+LCOE!F$19),LCOE!F$18),LCOE!F$18)+LCOE!J184</f>
        <v>0.9</v>
      </c>
      <c r="G158" s="16">
        <f>LCOE!K184+E158*F158*N158*(LCOE!F$14+LCOE!H184)*24*365*D158</f>
        <v>0</v>
      </c>
      <c r="H158" s="16">
        <f>LCOE!L184+F158*(LCOE!F$15+LCOE!I184)*E158*24*365*D158*N158</f>
        <v>0</v>
      </c>
      <c r="I158" s="16">
        <f>LCOE!M184+LCOE!F$20*IF(LCOE!F$14&gt;0,(LCOE!F$14+LCOE!H184),(LCOE!F$15+LCOE!I184))*K158*D158</f>
        <v>0</v>
      </c>
      <c r="J158" s="16">
        <f>LCOE!N184+LCOE!F$21*IF(LCOE!F$14&gt;0,G158,H158)*K158*D158</f>
        <v>0</v>
      </c>
      <c r="K158" s="15">
        <f>LCOE!O184+K157+K157*LCOE!F$22</f>
        <v>1</v>
      </c>
      <c r="L158" s="16">
        <f>LCOE!P184+LCOE!F$23*IF(LCOE!F$14&gt;0,G158,H158)*M158*D158</f>
        <v>0</v>
      </c>
      <c r="M158" s="15">
        <f>LCOE!Q184+M157+M157*LCOE!F$24</f>
        <v>1</v>
      </c>
      <c r="N158" s="15">
        <f>LCOE!R184+N157-N157*LCOE!F$25</f>
        <v>1</v>
      </c>
      <c r="O158" s="18">
        <f>LCOE!S184+LCOE!F$29</f>
        <v>313.75</v>
      </c>
      <c r="P158" s="12">
        <f>LCOE!T184+IF(A158&gt;=LCOE!F$30,100%,0%)</f>
        <v>1</v>
      </c>
      <c r="Q158" s="16">
        <f>LCOE!U184+O158/1000*IF(LCOE!F$14&gt;0,G158,H158)</f>
        <v>0</v>
      </c>
      <c r="R158" s="16">
        <f>LCOE!B184</f>
        <v>30</v>
      </c>
      <c r="S158" s="16">
        <f>LCOE!V184+Q158*P158*R158</f>
        <v>0</v>
      </c>
      <c r="T158" s="16">
        <f>LCOE!W184+LCOE!F$31</f>
        <v>0</v>
      </c>
      <c r="U158" s="16">
        <f>LCOE!X184+T158*IF(LCOE!F$14&gt;0,G158,H158)</f>
        <v>0</v>
      </c>
      <c r="V158" s="16">
        <f>LCOE!Y184+LCOE!F$32</f>
        <v>0</v>
      </c>
      <c r="W158" s="16">
        <f>LCOE!Z184+V158*IF(LCOE!F$14&gt;0,G158,H158)</f>
        <v>0</v>
      </c>
      <c r="X158" s="16">
        <f>LCOE!AA184+LCOE!F$34</f>
        <v>101</v>
      </c>
      <c r="Y158" s="16">
        <f t="shared" si="29"/>
        <v>0</v>
      </c>
      <c r="Z158" s="50">
        <f t="shared" si="32"/>
        <v>0</v>
      </c>
      <c r="AA158" s="50">
        <f t="shared" si="33"/>
        <v>0</v>
      </c>
      <c r="AB158" s="50">
        <f t="shared" si="34"/>
        <v>0</v>
      </c>
      <c r="AC158" s="50">
        <f t="shared" si="30"/>
        <v>0</v>
      </c>
      <c r="AD158" s="50">
        <f t="shared" si="25"/>
        <v>0</v>
      </c>
      <c r="AE158">
        <f t="shared" si="31"/>
        <v>30</v>
      </c>
      <c r="AF158" s="12">
        <f>LCOE!E184+LCOE!F$40</f>
        <v>0.05</v>
      </c>
      <c r="AG158">
        <f t="shared" si="26"/>
        <v>73.224820906237241</v>
      </c>
      <c r="AH158" s="16">
        <f t="shared" si="21"/>
        <v>0</v>
      </c>
      <c r="AI158" s="16">
        <f t="shared" si="22"/>
        <v>0</v>
      </c>
      <c r="AJ158" s="16">
        <f t="shared" si="23"/>
        <v>0</v>
      </c>
      <c r="AK158" s="16">
        <f t="shared" si="24"/>
        <v>0</v>
      </c>
      <c r="AL158" s="16">
        <f t="shared" si="27"/>
        <v>0</v>
      </c>
      <c r="AM158" s="16">
        <f t="shared" si="28"/>
        <v>0</v>
      </c>
      <c r="AN158" s="16">
        <f>IF(LCOE!F$14&gt;0,G158,H158)/AG158</f>
        <v>0</v>
      </c>
    </row>
    <row r="159" spans="1:40">
      <c r="A159">
        <v>89</v>
      </c>
      <c r="C159" s="16">
        <f>LCOE!F185+IF(AND(LCOE!F$26&gt;0,A159&gt;=LCOE!F$26,A159&lt;=(LCOE!F$26+LCOE!F$27-1)),LCOE!F$42/LCOE!F$27,0)+IF(AND(D159=0,AE159&gt;=LCOE!F$16,COUNTIF(D134:D159,0)=LCOE!F$36),LCOE!F$35*LCOE!F$38,0)</f>
        <v>0</v>
      </c>
      <c r="D159" s="16">
        <f>IF(AE158&lt;LCOE!F$16,1,0)</f>
        <v>0</v>
      </c>
      <c r="E159" s="12">
        <f>LCOE!G185+IF(AND(A159&gt;=LCOE!F$26,A159&lt;=(LCOE!F$26+LCOE!F$27-1)),0,1)*IF(A159=LCOE!F$34,0,1)*D159</f>
        <v>0</v>
      </c>
      <c r="F159" s="12">
        <f>IF(F158&lt;LCOE!F$18,MIN(F158*(1+LCOE!F$19),LCOE!F$18),LCOE!F$18)+LCOE!J185</f>
        <v>0.9</v>
      </c>
      <c r="G159" s="16">
        <f>LCOE!K185+E159*F159*N159*(LCOE!F$14+LCOE!H185)*24*365*D159</f>
        <v>0</v>
      </c>
      <c r="H159" s="16">
        <f>LCOE!L185+F159*(LCOE!F$15+LCOE!I185)*E159*24*365*D159*N159</f>
        <v>0</v>
      </c>
      <c r="I159" s="16">
        <f>LCOE!M185+LCOE!F$20*IF(LCOE!F$14&gt;0,(LCOE!F$14+LCOE!H185),(LCOE!F$15+LCOE!I185))*K159*D159</f>
        <v>0</v>
      </c>
      <c r="J159" s="16">
        <f>LCOE!N185+LCOE!F$21*IF(LCOE!F$14&gt;0,G159,H159)*K159*D159</f>
        <v>0</v>
      </c>
      <c r="K159" s="15">
        <f>LCOE!O185+K158+K158*LCOE!F$22</f>
        <v>1</v>
      </c>
      <c r="L159" s="16">
        <f>LCOE!P185+LCOE!F$23*IF(LCOE!F$14&gt;0,G159,H159)*M159*D159</f>
        <v>0</v>
      </c>
      <c r="M159" s="15">
        <f>LCOE!Q185+M158+M158*LCOE!F$24</f>
        <v>1</v>
      </c>
      <c r="N159" s="15">
        <f>LCOE!R185+N158-N158*LCOE!F$25</f>
        <v>1</v>
      </c>
      <c r="O159" s="18">
        <f>LCOE!S185+LCOE!F$29</f>
        <v>313.75</v>
      </c>
      <c r="P159" s="12">
        <f>LCOE!T185+IF(A159&gt;=LCOE!F$30,100%,0%)</f>
        <v>1</v>
      </c>
      <c r="Q159" s="16">
        <f>LCOE!U185+O159/1000*IF(LCOE!F$14&gt;0,G159,H159)</f>
        <v>0</v>
      </c>
      <c r="R159" s="16">
        <f>LCOE!B185</f>
        <v>30</v>
      </c>
      <c r="S159" s="16">
        <f>LCOE!V185+Q159*P159*R159</f>
        <v>0</v>
      </c>
      <c r="T159" s="16">
        <f>LCOE!W185+LCOE!F$31</f>
        <v>0</v>
      </c>
      <c r="U159" s="16">
        <f>LCOE!X185+T159*IF(LCOE!F$14&gt;0,G159,H159)</f>
        <v>0</v>
      </c>
      <c r="V159" s="16">
        <f>LCOE!Y185+LCOE!F$32</f>
        <v>0</v>
      </c>
      <c r="W159" s="16">
        <f>LCOE!Z185+V159*IF(LCOE!F$14&gt;0,G159,H159)</f>
        <v>0</v>
      </c>
      <c r="X159" s="16">
        <f>LCOE!AA185+LCOE!F$34</f>
        <v>101</v>
      </c>
      <c r="Y159" s="16">
        <f t="shared" si="29"/>
        <v>0</v>
      </c>
      <c r="Z159" s="50">
        <f t="shared" si="32"/>
        <v>0</v>
      </c>
      <c r="AA159" s="50">
        <f t="shared" si="33"/>
        <v>0</v>
      </c>
      <c r="AB159" s="50">
        <f t="shared" si="34"/>
        <v>0</v>
      </c>
      <c r="AC159" s="50">
        <f t="shared" si="30"/>
        <v>0</v>
      </c>
      <c r="AD159" s="50">
        <f t="shared" si="25"/>
        <v>0</v>
      </c>
      <c r="AE159">
        <f t="shared" si="31"/>
        <v>30</v>
      </c>
      <c r="AF159" s="12">
        <f>LCOE!E185+LCOE!F$40</f>
        <v>0.05</v>
      </c>
      <c r="AG159">
        <f t="shared" si="26"/>
        <v>76.886061951549109</v>
      </c>
      <c r="AH159" s="16">
        <f t="shared" si="21"/>
        <v>0</v>
      </c>
      <c r="AI159" s="16">
        <f t="shared" si="22"/>
        <v>0</v>
      </c>
      <c r="AJ159" s="16">
        <f t="shared" si="23"/>
        <v>0</v>
      </c>
      <c r="AK159" s="16">
        <f t="shared" si="24"/>
        <v>0</v>
      </c>
      <c r="AL159" s="16">
        <f t="shared" si="27"/>
        <v>0</v>
      </c>
      <c r="AM159" s="16">
        <f t="shared" si="28"/>
        <v>0</v>
      </c>
      <c r="AN159" s="16">
        <f>IF(LCOE!F$14&gt;0,G159,H159)/AG159</f>
        <v>0</v>
      </c>
    </row>
    <row r="160" spans="1:40">
      <c r="A160">
        <v>90</v>
      </c>
      <c r="C160" s="16">
        <f>LCOE!F186+IF(AND(LCOE!F$26&gt;0,A160&gt;=LCOE!F$26,A160&lt;=(LCOE!F$26+LCOE!F$27-1)),LCOE!F$42/LCOE!F$27,0)+IF(AND(D160=0,AE160&gt;=LCOE!F$16,COUNTIF(D135:D160,0)=LCOE!F$36),LCOE!F$35*LCOE!F$38,0)</f>
        <v>0</v>
      </c>
      <c r="D160" s="16">
        <f>IF(AE159&lt;LCOE!F$16,1,0)</f>
        <v>0</v>
      </c>
      <c r="E160" s="12">
        <f>LCOE!G186+IF(AND(A160&gt;=LCOE!F$26,A160&lt;=(LCOE!F$26+LCOE!F$27-1)),0,1)*IF(A160=LCOE!F$34,0,1)*D160</f>
        <v>0</v>
      </c>
      <c r="F160" s="12">
        <f>IF(F159&lt;LCOE!F$18,MIN(F159*(1+LCOE!F$19),LCOE!F$18),LCOE!F$18)+LCOE!J186</f>
        <v>0.9</v>
      </c>
      <c r="G160" s="16">
        <f>LCOE!K186+E160*F160*N160*(LCOE!F$14+LCOE!H186)*24*365*D160</f>
        <v>0</v>
      </c>
      <c r="H160" s="16">
        <f>LCOE!L186+F160*(LCOE!F$15+LCOE!I186)*E160*24*365*D160*N160</f>
        <v>0</v>
      </c>
      <c r="I160" s="16">
        <f>LCOE!M186+LCOE!F$20*IF(LCOE!F$14&gt;0,(LCOE!F$14+LCOE!H186),(LCOE!F$15+LCOE!I186))*K160*D160</f>
        <v>0</v>
      </c>
      <c r="J160" s="16">
        <f>LCOE!N186+LCOE!F$21*IF(LCOE!F$14&gt;0,G160,H160)*K160*D160</f>
        <v>0</v>
      </c>
      <c r="K160" s="15">
        <f>LCOE!O186+K159+K159*LCOE!F$22</f>
        <v>1</v>
      </c>
      <c r="L160" s="16">
        <f>LCOE!P186+LCOE!F$23*IF(LCOE!F$14&gt;0,G160,H160)*M160*D160</f>
        <v>0</v>
      </c>
      <c r="M160" s="15">
        <f>LCOE!Q186+M159+M159*LCOE!F$24</f>
        <v>1</v>
      </c>
      <c r="N160" s="15">
        <f>LCOE!R186+N159-N159*LCOE!F$25</f>
        <v>1</v>
      </c>
      <c r="O160" s="18">
        <f>LCOE!S186+LCOE!F$29</f>
        <v>313.75</v>
      </c>
      <c r="P160" s="12">
        <f>LCOE!T186+IF(A160&gt;=LCOE!F$30,100%,0%)</f>
        <v>1</v>
      </c>
      <c r="Q160" s="16">
        <f>LCOE!U186+O160/1000*IF(LCOE!F$14&gt;0,G160,H160)</f>
        <v>0</v>
      </c>
      <c r="R160" s="16">
        <f>LCOE!B186</f>
        <v>30</v>
      </c>
      <c r="S160" s="16">
        <f>LCOE!V186+Q160*P160*R160</f>
        <v>0</v>
      </c>
      <c r="T160" s="16">
        <f>LCOE!W186+LCOE!F$31</f>
        <v>0</v>
      </c>
      <c r="U160" s="16">
        <f>LCOE!X186+T160*IF(LCOE!F$14&gt;0,G160,H160)</f>
        <v>0</v>
      </c>
      <c r="V160" s="16">
        <f>LCOE!Y186+LCOE!F$32</f>
        <v>0</v>
      </c>
      <c r="W160" s="16">
        <f>LCOE!Z186+V160*IF(LCOE!F$14&gt;0,G160,H160)</f>
        <v>0</v>
      </c>
      <c r="X160" s="16">
        <f>LCOE!AA186+LCOE!F$34</f>
        <v>101</v>
      </c>
      <c r="Y160" s="16">
        <f t="shared" si="29"/>
        <v>0</v>
      </c>
      <c r="Z160" s="50">
        <f t="shared" si="32"/>
        <v>0</v>
      </c>
      <c r="AA160" s="50">
        <f t="shared" si="33"/>
        <v>0</v>
      </c>
      <c r="AB160" s="50">
        <f t="shared" si="34"/>
        <v>0</v>
      </c>
      <c r="AC160" s="50">
        <f t="shared" si="30"/>
        <v>0</v>
      </c>
      <c r="AD160" s="50">
        <f t="shared" si="25"/>
        <v>0</v>
      </c>
      <c r="AE160">
        <f t="shared" si="31"/>
        <v>30</v>
      </c>
      <c r="AF160" s="12">
        <f>LCOE!E186+LCOE!F$40</f>
        <v>0.05</v>
      </c>
      <c r="AG160">
        <f t="shared" si="26"/>
        <v>80.730365049126561</v>
      </c>
      <c r="AH160" s="16">
        <f t="shared" si="21"/>
        <v>0</v>
      </c>
      <c r="AI160" s="16">
        <f t="shared" si="22"/>
        <v>0</v>
      </c>
      <c r="AJ160" s="16">
        <f t="shared" si="23"/>
        <v>0</v>
      </c>
      <c r="AK160" s="16">
        <f t="shared" si="24"/>
        <v>0</v>
      </c>
      <c r="AL160" s="16">
        <f t="shared" si="27"/>
        <v>0</v>
      </c>
      <c r="AM160" s="16">
        <f t="shared" si="28"/>
        <v>0</v>
      </c>
      <c r="AN160" s="16">
        <f>IF(LCOE!F$14&gt;0,G160,H160)/AG160</f>
        <v>0</v>
      </c>
    </row>
    <row r="161" spans="1:40">
      <c r="A161">
        <v>91</v>
      </c>
      <c r="C161" s="16">
        <f>LCOE!F187+IF(AND(LCOE!F$26&gt;0,A161&gt;=LCOE!F$26,A161&lt;=(LCOE!F$26+LCOE!F$27-1)),LCOE!F$42/LCOE!F$27,0)+IF(AND(D161=0,AE161&gt;=LCOE!F$16,COUNTIF(D136:D161,0)=LCOE!F$36),LCOE!F$35*LCOE!F$38,0)</f>
        <v>0</v>
      </c>
      <c r="D161" s="16">
        <f>IF(AE160&lt;LCOE!F$16,1,0)</f>
        <v>0</v>
      </c>
      <c r="E161" s="12">
        <f>LCOE!G187+IF(AND(A161&gt;=LCOE!F$26,A161&lt;=(LCOE!F$26+LCOE!F$27-1)),0,1)*IF(A161=LCOE!F$34,0,1)*D161</f>
        <v>0</v>
      </c>
      <c r="F161" s="12">
        <f>IF(F160&lt;LCOE!F$18,MIN(F160*(1+LCOE!F$19),LCOE!F$18),LCOE!F$18)+LCOE!J187</f>
        <v>0.9</v>
      </c>
      <c r="G161" s="16">
        <f>LCOE!K187+E161*F161*N161*(LCOE!F$14+LCOE!H187)*24*365*D161</f>
        <v>0</v>
      </c>
      <c r="H161" s="16">
        <f>LCOE!L187+F161*(LCOE!F$15+LCOE!I187)*E161*24*365*D161*N161</f>
        <v>0</v>
      </c>
      <c r="I161" s="16">
        <f>LCOE!M187+LCOE!F$20*IF(LCOE!F$14&gt;0,(LCOE!F$14+LCOE!H187),(LCOE!F$15+LCOE!I187))*K161*D161</f>
        <v>0</v>
      </c>
      <c r="J161" s="16">
        <f>LCOE!N187+LCOE!F$21*IF(LCOE!F$14&gt;0,G161,H161)*K161*D161</f>
        <v>0</v>
      </c>
      <c r="K161" s="15">
        <f>LCOE!O187+K160+K160*LCOE!F$22</f>
        <v>1</v>
      </c>
      <c r="L161" s="16">
        <f>LCOE!P187+LCOE!F$23*IF(LCOE!F$14&gt;0,G161,H161)*M161*D161</f>
        <v>0</v>
      </c>
      <c r="M161" s="15">
        <f>LCOE!Q187+M160+M160*LCOE!F$24</f>
        <v>1</v>
      </c>
      <c r="N161" s="15">
        <f>LCOE!R187+N160-N160*LCOE!F$25</f>
        <v>1</v>
      </c>
      <c r="O161" s="18">
        <f>LCOE!S187+LCOE!F$29</f>
        <v>313.75</v>
      </c>
      <c r="P161" s="12">
        <f>LCOE!T187+IF(A161&gt;=LCOE!F$30,100%,0%)</f>
        <v>1</v>
      </c>
      <c r="Q161" s="16">
        <f>LCOE!U187+O161/1000*IF(LCOE!F$14&gt;0,G161,H161)</f>
        <v>0</v>
      </c>
      <c r="R161" s="16">
        <f>LCOE!B187</f>
        <v>30</v>
      </c>
      <c r="S161" s="16">
        <f>LCOE!V187+Q161*P161*R161</f>
        <v>0</v>
      </c>
      <c r="T161" s="16">
        <f>LCOE!W187+LCOE!F$31</f>
        <v>0</v>
      </c>
      <c r="U161" s="16">
        <f>LCOE!X187+T161*IF(LCOE!F$14&gt;0,G161,H161)</f>
        <v>0</v>
      </c>
      <c r="V161" s="16">
        <f>LCOE!Y187+LCOE!F$32</f>
        <v>0</v>
      </c>
      <c r="W161" s="16">
        <f>LCOE!Z187+V161*IF(LCOE!F$14&gt;0,G161,H161)</f>
        <v>0</v>
      </c>
      <c r="X161" s="16">
        <f>LCOE!AA187+LCOE!F$34</f>
        <v>101</v>
      </c>
      <c r="Y161" s="16">
        <f t="shared" si="29"/>
        <v>0</v>
      </c>
      <c r="Z161" s="50">
        <f t="shared" si="32"/>
        <v>0</v>
      </c>
      <c r="AA161" s="50">
        <f t="shared" si="33"/>
        <v>0</v>
      </c>
      <c r="AB161" s="50">
        <f t="shared" si="34"/>
        <v>0</v>
      </c>
      <c r="AC161" s="50">
        <f t="shared" si="30"/>
        <v>0</v>
      </c>
      <c r="AD161" s="50">
        <f t="shared" si="25"/>
        <v>0</v>
      </c>
      <c r="AE161">
        <f t="shared" si="31"/>
        <v>30</v>
      </c>
      <c r="AF161" s="12">
        <f>LCOE!E187+LCOE!F$40</f>
        <v>0.05</v>
      </c>
      <c r="AG161">
        <f t="shared" si="26"/>
        <v>84.766883301582908</v>
      </c>
      <c r="AH161" s="16">
        <f t="shared" si="21"/>
        <v>0</v>
      </c>
      <c r="AI161" s="16">
        <f t="shared" si="22"/>
        <v>0</v>
      </c>
      <c r="AJ161" s="16">
        <f t="shared" si="23"/>
        <v>0</v>
      </c>
      <c r="AK161" s="16">
        <f t="shared" si="24"/>
        <v>0</v>
      </c>
      <c r="AL161" s="16">
        <f t="shared" si="27"/>
        <v>0</v>
      </c>
      <c r="AM161" s="16">
        <f t="shared" si="28"/>
        <v>0</v>
      </c>
      <c r="AN161" s="16">
        <f>IF(LCOE!F$14&gt;0,G161,H161)/AG161</f>
        <v>0</v>
      </c>
    </row>
    <row r="162" spans="1:40">
      <c r="A162">
        <v>92</v>
      </c>
      <c r="C162" s="16">
        <f>LCOE!F188+IF(AND(LCOE!F$26&gt;0,A162&gt;=LCOE!F$26,A162&lt;=(LCOE!F$26+LCOE!F$27-1)),LCOE!F$42/LCOE!F$27,0)+IF(AND(D162=0,AE162&gt;=LCOE!F$16,COUNTIF(D137:D162,0)=LCOE!F$36),LCOE!F$35*LCOE!F$38,0)</f>
        <v>0</v>
      </c>
      <c r="D162" s="16">
        <f>IF(AE161&lt;LCOE!F$16,1,0)</f>
        <v>0</v>
      </c>
      <c r="E162" s="12">
        <f>LCOE!G188+IF(AND(A162&gt;=LCOE!F$26,A162&lt;=(LCOE!F$26+LCOE!F$27-1)),0,1)*IF(A162=LCOE!F$34,0,1)*D162</f>
        <v>0</v>
      </c>
      <c r="F162" s="12">
        <f>IF(F161&lt;LCOE!F$18,MIN(F161*(1+LCOE!F$19),LCOE!F$18),LCOE!F$18)+LCOE!J188</f>
        <v>0.9</v>
      </c>
      <c r="G162" s="16">
        <f>LCOE!K188+E162*F162*N162*(LCOE!F$14+LCOE!H188)*24*365*D162</f>
        <v>0</v>
      </c>
      <c r="H162" s="16">
        <f>LCOE!L188+F162*(LCOE!F$15+LCOE!I188)*E162*24*365*D162*N162</f>
        <v>0</v>
      </c>
      <c r="I162" s="16">
        <f>LCOE!M188+LCOE!F$20*IF(LCOE!F$14&gt;0,(LCOE!F$14+LCOE!H188),(LCOE!F$15+LCOE!I188))*K162*D162</f>
        <v>0</v>
      </c>
      <c r="J162" s="16">
        <f>LCOE!N188+LCOE!F$21*IF(LCOE!F$14&gt;0,G162,H162)*K162*D162</f>
        <v>0</v>
      </c>
      <c r="K162" s="15">
        <f>LCOE!O188+K161+K161*LCOE!F$22</f>
        <v>1</v>
      </c>
      <c r="L162" s="16">
        <f>LCOE!P188+LCOE!F$23*IF(LCOE!F$14&gt;0,G162,H162)*M162*D162</f>
        <v>0</v>
      </c>
      <c r="M162" s="15">
        <f>LCOE!Q188+M161+M161*LCOE!F$24</f>
        <v>1</v>
      </c>
      <c r="N162" s="15">
        <f>LCOE!R188+N161-N161*LCOE!F$25</f>
        <v>1</v>
      </c>
      <c r="O162" s="18">
        <f>LCOE!S188+LCOE!F$29</f>
        <v>313.75</v>
      </c>
      <c r="P162" s="12">
        <f>LCOE!T188+IF(A162&gt;=LCOE!F$30,100%,0%)</f>
        <v>1</v>
      </c>
      <c r="Q162" s="16">
        <f>LCOE!U188+O162/1000*IF(LCOE!F$14&gt;0,G162,H162)</f>
        <v>0</v>
      </c>
      <c r="R162" s="16">
        <f>LCOE!B188</f>
        <v>30</v>
      </c>
      <c r="S162" s="16">
        <f>LCOE!V188+Q162*P162*R162</f>
        <v>0</v>
      </c>
      <c r="T162" s="16">
        <f>LCOE!W188+LCOE!F$31</f>
        <v>0</v>
      </c>
      <c r="U162" s="16">
        <f>LCOE!X188+T162*IF(LCOE!F$14&gt;0,G162,H162)</f>
        <v>0</v>
      </c>
      <c r="V162" s="16">
        <f>LCOE!Y188+LCOE!F$32</f>
        <v>0</v>
      </c>
      <c r="W162" s="16">
        <f>LCOE!Z188+V162*IF(LCOE!F$14&gt;0,G162,H162)</f>
        <v>0</v>
      </c>
      <c r="X162" s="16">
        <f>LCOE!AA188+LCOE!F$34</f>
        <v>101</v>
      </c>
      <c r="Y162" s="16">
        <f t="shared" si="29"/>
        <v>0</v>
      </c>
      <c r="Z162" s="50">
        <f t="shared" si="32"/>
        <v>0</v>
      </c>
      <c r="AA162" s="50">
        <f t="shared" si="33"/>
        <v>0</v>
      </c>
      <c r="AB162" s="50">
        <f t="shared" si="34"/>
        <v>0</v>
      </c>
      <c r="AC162" s="50">
        <f t="shared" si="30"/>
        <v>0</v>
      </c>
      <c r="AD162" s="50">
        <f t="shared" si="25"/>
        <v>0</v>
      </c>
      <c r="AE162">
        <f t="shared" si="31"/>
        <v>30</v>
      </c>
      <c r="AF162" s="12">
        <f>LCOE!E188+LCOE!F$40</f>
        <v>0.05</v>
      </c>
      <c r="AG162">
        <f t="shared" si="26"/>
        <v>89.005227466662035</v>
      </c>
      <c r="AH162" s="16">
        <f t="shared" si="21"/>
        <v>0</v>
      </c>
      <c r="AI162" s="16">
        <f t="shared" si="22"/>
        <v>0</v>
      </c>
      <c r="AJ162" s="16">
        <f t="shared" si="23"/>
        <v>0</v>
      </c>
      <c r="AK162" s="16">
        <f t="shared" si="24"/>
        <v>0</v>
      </c>
      <c r="AL162" s="16">
        <f t="shared" si="27"/>
        <v>0</v>
      </c>
      <c r="AM162" s="16">
        <f t="shared" si="28"/>
        <v>0</v>
      </c>
      <c r="AN162" s="16">
        <f>IF(LCOE!F$14&gt;0,G162,H162)/AG162</f>
        <v>0</v>
      </c>
    </row>
    <row r="163" spans="1:40">
      <c r="A163">
        <v>93</v>
      </c>
      <c r="C163" s="16">
        <f>LCOE!F189+IF(AND(LCOE!F$26&gt;0,A163&gt;=LCOE!F$26,A163&lt;=(LCOE!F$26+LCOE!F$27-1)),LCOE!F$42/LCOE!F$27,0)+IF(AND(D163=0,AE163&gt;=LCOE!F$16,COUNTIF(D138:D163,0)=LCOE!F$36),LCOE!F$35*LCOE!F$38,0)</f>
        <v>0</v>
      </c>
      <c r="D163" s="16">
        <f>IF(AE162&lt;LCOE!F$16,1,0)</f>
        <v>0</v>
      </c>
      <c r="E163" s="12">
        <f>LCOE!G189+IF(AND(A163&gt;=LCOE!F$26,A163&lt;=(LCOE!F$26+LCOE!F$27-1)),0,1)*IF(A163=LCOE!F$34,0,1)*D163</f>
        <v>0</v>
      </c>
      <c r="F163" s="12">
        <f>IF(F162&lt;LCOE!F$18,MIN(F162*(1+LCOE!F$19),LCOE!F$18),LCOE!F$18)+LCOE!J189</f>
        <v>0.9</v>
      </c>
      <c r="G163" s="16">
        <f>LCOE!K189+E163*F163*N163*(LCOE!F$14+LCOE!H189)*24*365*D163</f>
        <v>0</v>
      </c>
      <c r="H163" s="16">
        <f>LCOE!L189+F163*(LCOE!F$15+LCOE!I189)*E163*24*365*D163*N163</f>
        <v>0</v>
      </c>
      <c r="I163" s="16">
        <f>LCOE!M189+LCOE!F$20*IF(LCOE!F$14&gt;0,(LCOE!F$14+LCOE!H189),(LCOE!F$15+LCOE!I189))*K163*D163</f>
        <v>0</v>
      </c>
      <c r="J163" s="16">
        <f>LCOE!N189+LCOE!F$21*IF(LCOE!F$14&gt;0,G163,H163)*K163*D163</f>
        <v>0</v>
      </c>
      <c r="K163" s="15">
        <f>LCOE!O189+K162+K162*LCOE!F$22</f>
        <v>1</v>
      </c>
      <c r="L163" s="16">
        <f>LCOE!P189+LCOE!F$23*IF(LCOE!F$14&gt;0,G163,H163)*M163*D163</f>
        <v>0</v>
      </c>
      <c r="M163" s="15">
        <f>LCOE!Q189+M162+M162*LCOE!F$24</f>
        <v>1</v>
      </c>
      <c r="N163" s="15">
        <f>LCOE!R189+N162-N162*LCOE!F$25</f>
        <v>1</v>
      </c>
      <c r="O163" s="18">
        <f>LCOE!S189+LCOE!F$29</f>
        <v>313.75</v>
      </c>
      <c r="P163" s="12">
        <f>LCOE!T189+IF(A163&gt;=LCOE!F$30,100%,0%)</f>
        <v>1</v>
      </c>
      <c r="Q163" s="16">
        <f>LCOE!U189+O163/1000*IF(LCOE!F$14&gt;0,G163,H163)</f>
        <v>0</v>
      </c>
      <c r="R163" s="16">
        <f>LCOE!B189</f>
        <v>30</v>
      </c>
      <c r="S163" s="16">
        <f>LCOE!V189+Q163*P163*R163</f>
        <v>0</v>
      </c>
      <c r="T163" s="16">
        <f>LCOE!W189+LCOE!F$31</f>
        <v>0</v>
      </c>
      <c r="U163" s="16">
        <f>LCOE!X189+T163*IF(LCOE!F$14&gt;0,G163,H163)</f>
        <v>0</v>
      </c>
      <c r="V163" s="16">
        <f>LCOE!Y189+LCOE!F$32</f>
        <v>0</v>
      </c>
      <c r="W163" s="16">
        <f>LCOE!Z189+V163*IF(LCOE!F$14&gt;0,G163,H163)</f>
        <v>0</v>
      </c>
      <c r="X163" s="16">
        <f>LCOE!AA189+LCOE!F$34</f>
        <v>101</v>
      </c>
      <c r="Y163" s="16">
        <f t="shared" si="29"/>
        <v>0</v>
      </c>
      <c r="Z163" s="50">
        <f t="shared" si="32"/>
        <v>0</v>
      </c>
      <c r="AA163" s="50">
        <f t="shared" si="33"/>
        <v>0</v>
      </c>
      <c r="AB163" s="50">
        <f t="shared" si="34"/>
        <v>0</v>
      </c>
      <c r="AC163" s="50">
        <f t="shared" si="30"/>
        <v>0</v>
      </c>
      <c r="AD163" s="50">
        <f t="shared" si="25"/>
        <v>0</v>
      </c>
      <c r="AE163">
        <f t="shared" si="31"/>
        <v>30</v>
      </c>
      <c r="AF163" s="12">
        <f>LCOE!E189+LCOE!F$40</f>
        <v>0.05</v>
      </c>
      <c r="AG163">
        <f t="shared" si="26"/>
        <v>93.455488839995155</v>
      </c>
      <c r="AH163" s="16">
        <f t="shared" si="21"/>
        <v>0</v>
      </c>
      <c r="AI163" s="16">
        <f t="shared" si="22"/>
        <v>0</v>
      </c>
      <c r="AJ163" s="16">
        <f t="shared" si="23"/>
        <v>0</v>
      </c>
      <c r="AK163" s="16">
        <f t="shared" si="24"/>
        <v>0</v>
      </c>
      <c r="AL163" s="16">
        <f t="shared" si="27"/>
        <v>0</v>
      </c>
      <c r="AM163" s="16">
        <f t="shared" si="28"/>
        <v>0</v>
      </c>
      <c r="AN163" s="16">
        <f>IF(LCOE!F$14&gt;0,G163,H163)/AG163</f>
        <v>0</v>
      </c>
    </row>
    <row r="164" spans="1:40">
      <c r="A164">
        <v>94</v>
      </c>
      <c r="C164" s="16">
        <f>LCOE!F190+IF(AND(LCOE!F$26&gt;0,A164&gt;=LCOE!F$26,A164&lt;=(LCOE!F$26+LCOE!F$27-1)),LCOE!F$42/LCOE!F$27,0)+IF(AND(D164=0,AE164&gt;=LCOE!F$16,COUNTIF(D139:D164,0)=LCOE!F$36),LCOE!F$35*LCOE!F$38,0)</f>
        <v>0</v>
      </c>
      <c r="D164" s="16">
        <f>IF(AE163&lt;LCOE!F$16,1,0)</f>
        <v>0</v>
      </c>
      <c r="E164" s="12">
        <f>LCOE!G190+IF(AND(A164&gt;=LCOE!F$26,A164&lt;=(LCOE!F$26+LCOE!F$27-1)),0,1)*IF(A164=LCOE!F$34,0,1)*D164</f>
        <v>0</v>
      </c>
      <c r="F164" s="12">
        <f>IF(F163&lt;LCOE!F$18,MIN(F163*(1+LCOE!F$19),LCOE!F$18),LCOE!F$18)+LCOE!J190</f>
        <v>0.9</v>
      </c>
      <c r="G164" s="16">
        <f>LCOE!K190+E164*F164*N164*(LCOE!F$14+LCOE!H190)*24*365*D164</f>
        <v>0</v>
      </c>
      <c r="H164" s="16">
        <f>LCOE!L190+F164*(LCOE!F$15+LCOE!I190)*E164*24*365*D164*N164</f>
        <v>0</v>
      </c>
      <c r="I164" s="16">
        <f>LCOE!M190+LCOE!F$20*IF(LCOE!F$14&gt;0,(LCOE!F$14+LCOE!H190),(LCOE!F$15+LCOE!I190))*K164*D164</f>
        <v>0</v>
      </c>
      <c r="J164" s="16">
        <f>LCOE!N190+LCOE!F$21*IF(LCOE!F$14&gt;0,G164,H164)*K164*D164</f>
        <v>0</v>
      </c>
      <c r="K164" s="15">
        <f>LCOE!O190+K163+K163*LCOE!F$22</f>
        <v>1</v>
      </c>
      <c r="L164" s="16">
        <f>LCOE!P190+LCOE!F$23*IF(LCOE!F$14&gt;0,G164,H164)*M164*D164</f>
        <v>0</v>
      </c>
      <c r="M164" s="15">
        <f>LCOE!Q190+M163+M163*LCOE!F$24</f>
        <v>1</v>
      </c>
      <c r="N164" s="15">
        <f>LCOE!R190+N163-N163*LCOE!F$25</f>
        <v>1</v>
      </c>
      <c r="O164" s="18">
        <f>LCOE!S190+LCOE!F$29</f>
        <v>313.75</v>
      </c>
      <c r="P164" s="12">
        <f>LCOE!T190+IF(A164&gt;=LCOE!F$30,100%,0%)</f>
        <v>1</v>
      </c>
      <c r="Q164" s="16">
        <f>LCOE!U190+O164/1000*IF(LCOE!F$14&gt;0,G164,H164)</f>
        <v>0</v>
      </c>
      <c r="R164" s="16">
        <f>LCOE!B190</f>
        <v>30</v>
      </c>
      <c r="S164" s="16">
        <f>LCOE!V190+Q164*P164*R164</f>
        <v>0</v>
      </c>
      <c r="T164" s="16">
        <f>LCOE!W190+LCOE!F$31</f>
        <v>0</v>
      </c>
      <c r="U164" s="16">
        <f>LCOE!X190+T164*IF(LCOE!F$14&gt;0,G164,H164)</f>
        <v>0</v>
      </c>
      <c r="V164" s="16">
        <f>LCOE!Y190+LCOE!F$32</f>
        <v>0</v>
      </c>
      <c r="W164" s="16">
        <f>LCOE!Z190+V164*IF(LCOE!F$14&gt;0,G164,H164)</f>
        <v>0</v>
      </c>
      <c r="X164" s="16">
        <f>LCOE!AA190+LCOE!F$34</f>
        <v>101</v>
      </c>
      <c r="Y164" s="16">
        <f t="shared" si="29"/>
        <v>0</v>
      </c>
      <c r="Z164" s="50">
        <f t="shared" si="32"/>
        <v>0</v>
      </c>
      <c r="AA164" s="50">
        <f t="shared" si="33"/>
        <v>0</v>
      </c>
      <c r="AB164" s="50">
        <f t="shared" si="34"/>
        <v>0</v>
      </c>
      <c r="AC164" s="50">
        <f t="shared" si="30"/>
        <v>0</v>
      </c>
      <c r="AD164" s="50">
        <f t="shared" si="25"/>
        <v>0</v>
      </c>
      <c r="AE164">
        <f t="shared" si="31"/>
        <v>30</v>
      </c>
      <c r="AF164" s="12">
        <f>LCOE!E190+LCOE!F$40</f>
        <v>0.05</v>
      </c>
      <c r="AG164">
        <f t="shared" si="26"/>
        <v>98.128263281994876</v>
      </c>
      <c r="AH164" s="16">
        <f t="shared" si="21"/>
        <v>0</v>
      </c>
      <c r="AI164" s="16">
        <f t="shared" si="22"/>
        <v>0</v>
      </c>
      <c r="AJ164" s="16">
        <f t="shared" si="23"/>
        <v>0</v>
      </c>
      <c r="AK164" s="16">
        <f t="shared" si="24"/>
        <v>0</v>
      </c>
      <c r="AL164" s="16">
        <f t="shared" si="27"/>
        <v>0</v>
      </c>
      <c r="AM164" s="16">
        <f t="shared" si="28"/>
        <v>0</v>
      </c>
      <c r="AN164" s="16">
        <f>IF(LCOE!F$14&gt;0,G164,H164)/AG164</f>
        <v>0</v>
      </c>
    </row>
    <row r="165" spans="1:40">
      <c r="A165">
        <v>95</v>
      </c>
      <c r="C165" s="16">
        <f>LCOE!F191+IF(AND(LCOE!F$26&gt;0,A165&gt;=LCOE!F$26,A165&lt;=(LCOE!F$26+LCOE!F$27-1)),LCOE!F$42/LCOE!F$27,0)+IF(AND(D165=0,AE165&gt;=LCOE!F$16,COUNTIF(D140:D165,0)=LCOE!F$36),LCOE!F$35*LCOE!F$38,0)</f>
        <v>0</v>
      </c>
      <c r="D165" s="16">
        <f>IF(AE164&lt;LCOE!F$16,1,0)</f>
        <v>0</v>
      </c>
      <c r="E165" s="12">
        <f>LCOE!G191+IF(AND(A165&gt;=LCOE!F$26,A165&lt;=(LCOE!F$26+LCOE!F$27-1)),0,1)*IF(A165=LCOE!F$34,0,1)*D165</f>
        <v>0</v>
      </c>
      <c r="F165" s="12">
        <f>IF(F164&lt;LCOE!F$18,MIN(F164*(1+LCOE!F$19),LCOE!F$18),LCOE!F$18)+LCOE!J191</f>
        <v>0.9</v>
      </c>
      <c r="G165" s="16">
        <f>LCOE!K191+E165*F165*N165*(LCOE!F$14+LCOE!H191)*24*365*D165</f>
        <v>0</v>
      </c>
      <c r="H165" s="16">
        <f>LCOE!L191+F165*(LCOE!F$15+LCOE!I191)*E165*24*365*D165*N165</f>
        <v>0</v>
      </c>
      <c r="I165" s="16">
        <f>LCOE!M191+LCOE!F$20*IF(LCOE!F$14&gt;0,(LCOE!F$14+LCOE!H191),(LCOE!F$15+LCOE!I191))*K165*D165</f>
        <v>0</v>
      </c>
      <c r="J165" s="16">
        <f>LCOE!N191+LCOE!F$21*IF(LCOE!F$14&gt;0,G165,H165)*K165*D165</f>
        <v>0</v>
      </c>
      <c r="K165" s="15">
        <f>LCOE!O191+K164+K164*LCOE!F$22</f>
        <v>1</v>
      </c>
      <c r="L165" s="16">
        <f>LCOE!P191+LCOE!F$23*IF(LCOE!F$14&gt;0,G165,H165)*M165*D165</f>
        <v>0</v>
      </c>
      <c r="M165" s="15">
        <f>LCOE!Q191+M164+M164*LCOE!F$24</f>
        <v>1</v>
      </c>
      <c r="N165" s="15">
        <f>LCOE!R191+N164-N164*LCOE!F$25</f>
        <v>1</v>
      </c>
      <c r="O165" s="18">
        <f>LCOE!S191+LCOE!F$29</f>
        <v>313.75</v>
      </c>
      <c r="P165" s="12">
        <f>LCOE!T191+IF(A165&gt;=LCOE!F$30,100%,0%)</f>
        <v>1</v>
      </c>
      <c r="Q165" s="16">
        <f>LCOE!U191+O165/1000*IF(LCOE!F$14&gt;0,G165,H165)</f>
        <v>0</v>
      </c>
      <c r="R165" s="16">
        <f>LCOE!B191</f>
        <v>30</v>
      </c>
      <c r="S165" s="16">
        <f>LCOE!V191+Q165*P165*R165</f>
        <v>0</v>
      </c>
      <c r="T165" s="16">
        <f>LCOE!W191+LCOE!F$31</f>
        <v>0</v>
      </c>
      <c r="U165" s="16">
        <f>LCOE!X191+T165*IF(LCOE!F$14&gt;0,G165,H165)</f>
        <v>0</v>
      </c>
      <c r="V165" s="16">
        <f>LCOE!Y191+LCOE!F$32</f>
        <v>0</v>
      </c>
      <c r="W165" s="16">
        <f>LCOE!Z191+V165*IF(LCOE!F$14&gt;0,G165,H165)</f>
        <v>0</v>
      </c>
      <c r="X165" s="16">
        <f>LCOE!AA191+LCOE!F$34</f>
        <v>101</v>
      </c>
      <c r="Y165" s="16">
        <f t="shared" si="29"/>
        <v>0</v>
      </c>
      <c r="Z165" s="50">
        <f t="shared" si="32"/>
        <v>0</v>
      </c>
      <c r="AA165" s="50">
        <f t="shared" si="33"/>
        <v>0</v>
      </c>
      <c r="AB165" s="50">
        <f t="shared" si="34"/>
        <v>0</v>
      </c>
      <c r="AC165" s="50">
        <f t="shared" si="30"/>
        <v>0</v>
      </c>
      <c r="AD165" s="50">
        <f t="shared" si="25"/>
        <v>0</v>
      </c>
      <c r="AE165">
        <f t="shared" si="31"/>
        <v>30</v>
      </c>
      <c r="AF165" s="12">
        <f>LCOE!E191+LCOE!F$40</f>
        <v>0.05</v>
      </c>
      <c r="AG165">
        <f t="shared" si="26"/>
        <v>103.03467644609466</v>
      </c>
      <c r="AH165" s="16">
        <f t="shared" si="21"/>
        <v>0</v>
      </c>
      <c r="AI165" s="16">
        <f t="shared" si="22"/>
        <v>0</v>
      </c>
      <c r="AJ165" s="16">
        <f t="shared" si="23"/>
        <v>0</v>
      </c>
      <c r="AK165" s="16">
        <f t="shared" si="24"/>
        <v>0</v>
      </c>
      <c r="AL165" s="16">
        <f t="shared" si="27"/>
        <v>0</v>
      </c>
      <c r="AM165" s="16">
        <f t="shared" si="28"/>
        <v>0</v>
      </c>
      <c r="AN165" s="16">
        <f>IF(LCOE!F$14&gt;0,G165,H165)/AG165</f>
        <v>0</v>
      </c>
    </row>
    <row r="166" spans="1:40">
      <c r="A166">
        <v>96</v>
      </c>
      <c r="C166" s="16">
        <f>LCOE!F192+IF(AND(LCOE!F$26&gt;0,A166&gt;=LCOE!F$26,A166&lt;=(LCOE!F$26+LCOE!F$27-1)),LCOE!F$42/LCOE!F$27,0)+IF(AND(D166=0,AE166&gt;=LCOE!F$16,COUNTIF(D141:D166,0)=LCOE!F$36),LCOE!F$35*LCOE!F$38,0)</f>
        <v>0</v>
      </c>
      <c r="D166" s="16">
        <f>IF(AE165&lt;LCOE!F$16,1,0)</f>
        <v>0</v>
      </c>
      <c r="E166" s="12">
        <f>LCOE!G192+IF(AND(A166&gt;=LCOE!F$26,A166&lt;=(LCOE!F$26+LCOE!F$27-1)),0,1)*IF(A166=LCOE!F$34,0,1)*D166</f>
        <v>0</v>
      </c>
      <c r="F166" s="12">
        <f>IF(F165&lt;LCOE!F$18,MIN(F165*(1+LCOE!F$19),LCOE!F$18),LCOE!F$18)+LCOE!J192</f>
        <v>0.9</v>
      </c>
      <c r="G166" s="16">
        <f>LCOE!K192+E166*F166*N166*(LCOE!F$14+LCOE!H192)*24*365*D166</f>
        <v>0</v>
      </c>
      <c r="H166" s="16">
        <f>LCOE!L192+F166*(LCOE!F$15+LCOE!I192)*E166*24*365*D166*N166</f>
        <v>0</v>
      </c>
      <c r="I166" s="16">
        <f>LCOE!M192+LCOE!F$20*IF(LCOE!F$14&gt;0,(LCOE!F$14+LCOE!H192),(LCOE!F$15+LCOE!I192))*K166*D166</f>
        <v>0</v>
      </c>
      <c r="J166" s="16">
        <f>LCOE!N192+LCOE!F$21*IF(LCOE!F$14&gt;0,G166,H166)*K166*D166</f>
        <v>0</v>
      </c>
      <c r="K166" s="15">
        <f>LCOE!O192+K165+K165*LCOE!F$22</f>
        <v>1</v>
      </c>
      <c r="L166" s="16">
        <f>LCOE!P192+LCOE!F$23*IF(LCOE!F$14&gt;0,G166,H166)*M166*D166</f>
        <v>0</v>
      </c>
      <c r="M166" s="15">
        <f>LCOE!Q192+M165+M165*LCOE!F$24</f>
        <v>1</v>
      </c>
      <c r="N166" s="15">
        <f>LCOE!R192+N165-N165*LCOE!F$25</f>
        <v>1</v>
      </c>
      <c r="O166" s="18">
        <f>LCOE!S192+LCOE!F$29</f>
        <v>313.75</v>
      </c>
      <c r="P166" s="12">
        <f>LCOE!T192+IF(A166&gt;=LCOE!F$30,100%,0%)</f>
        <v>1</v>
      </c>
      <c r="Q166" s="16">
        <f>LCOE!U192+O166/1000*IF(LCOE!F$14&gt;0,G166,H166)</f>
        <v>0</v>
      </c>
      <c r="R166" s="16">
        <f>LCOE!B192</f>
        <v>30</v>
      </c>
      <c r="S166" s="16">
        <f>LCOE!V192+Q166*P166*R166</f>
        <v>0</v>
      </c>
      <c r="T166" s="16">
        <f>LCOE!W192+LCOE!F$31</f>
        <v>0</v>
      </c>
      <c r="U166" s="16">
        <f>LCOE!X192+T166*IF(LCOE!F$14&gt;0,G166,H166)</f>
        <v>0</v>
      </c>
      <c r="V166" s="16">
        <f>LCOE!Y192+LCOE!F$32</f>
        <v>0</v>
      </c>
      <c r="W166" s="16">
        <f>LCOE!Z192+V166*IF(LCOE!F$14&gt;0,G166,H166)</f>
        <v>0</v>
      </c>
      <c r="X166" s="16">
        <f>LCOE!AA192+LCOE!F$34</f>
        <v>101</v>
      </c>
      <c r="Y166" s="16">
        <f t="shared" si="29"/>
        <v>0</v>
      </c>
      <c r="Z166" s="50">
        <f t="shared" si="32"/>
        <v>0</v>
      </c>
      <c r="AA166" s="50">
        <f t="shared" si="33"/>
        <v>0</v>
      </c>
      <c r="AB166" s="50">
        <f t="shared" si="34"/>
        <v>0</v>
      </c>
      <c r="AC166" s="50">
        <f t="shared" si="30"/>
        <v>0</v>
      </c>
      <c r="AD166" s="50">
        <f t="shared" si="25"/>
        <v>0</v>
      </c>
      <c r="AE166">
        <f t="shared" si="31"/>
        <v>30</v>
      </c>
      <c r="AF166" s="12">
        <f>LCOE!E192+LCOE!F$40</f>
        <v>0.05</v>
      </c>
      <c r="AG166">
        <f t="shared" si="26"/>
        <v>108.18641026839938</v>
      </c>
      <c r="AH166" s="16">
        <f t="shared" si="21"/>
        <v>0</v>
      </c>
      <c r="AI166" s="16">
        <f t="shared" si="22"/>
        <v>0</v>
      </c>
      <c r="AJ166" s="16">
        <f t="shared" si="23"/>
        <v>0</v>
      </c>
      <c r="AK166" s="16">
        <f t="shared" si="24"/>
        <v>0</v>
      </c>
      <c r="AL166" s="16">
        <f t="shared" si="27"/>
        <v>0</v>
      </c>
      <c r="AM166" s="16">
        <f t="shared" si="28"/>
        <v>0</v>
      </c>
      <c r="AN166" s="16">
        <f>IF(LCOE!F$14&gt;0,G166,H166)/AG166</f>
        <v>0</v>
      </c>
    </row>
    <row r="167" spans="1:40">
      <c r="A167">
        <v>97</v>
      </c>
      <c r="C167" s="16">
        <f>LCOE!F193+IF(AND(LCOE!F$26&gt;0,A167&gt;=LCOE!F$26,A167&lt;=(LCOE!F$26+LCOE!F$27-1)),LCOE!F$42/LCOE!F$27,0)+IF(AND(D167=0,AE167&gt;=LCOE!F$16,COUNTIF(D142:D167,0)=LCOE!F$36),LCOE!F$35*LCOE!F$38,0)</f>
        <v>0</v>
      </c>
      <c r="D167" s="16">
        <f>IF(AE166&lt;LCOE!F$16,1,0)</f>
        <v>0</v>
      </c>
      <c r="E167" s="12">
        <f>LCOE!G193+IF(AND(A167&gt;=LCOE!F$26,A167&lt;=(LCOE!F$26+LCOE!F$27-1)),0,1)*IF(A167=LCOE!F$34,0,1)*D167</f>
        <v>0</v>
      </c>
      <c r="F167" s="12">
        <f>IF(F166&lt;LCOE!F$18,MIN(F166*(1+LCOE!F$19),LCOE!F$18),LCOE!F$18)+LCOE!J193</f>
        <v>0.9</v>
      </c>
      <c r="G167" s="16">
        <f>LCOE!K193+E167*F167*N167*(LCOE!F$14+LCOE!H193)*24*365*D167</f>
        <v>0</v>
      </c>
      <c r="H167" s="16">
        <f>LCOE!L193+F167*(LCOE!F$15+LCOE!I193)*E167*24*365*D167*N167</f>
        <v>0</v>
      </c>
      <c r="I167" s="16">
        <f>LCOE!M193+LCOE!F$20*IF(LCOE!F$14&gt;0,(LCOE!F$14+LCOE!H193),(LCOE!F$15+LCOE!I193))*K167*D167</f>
        <v>0</v>
      </c>
      <c r="J167" s="16">
        <f>LCOE!N193+LCOE!F$21*IF(LCOE!F$14&gt;0,G167,H167)*K167*D167</f>
        <v>0</v>
      </c>
      <c r="K167" s="15">
        <f>LCOE!O193+K166+K166*LCOE!F$22</f>
        <v>1</v>
      </c>
      <c r="L167" s="16">
        <f>LCOE!P193+LCOE!F$23*IF(LCOE!F$14&gt;0,G167,H167)*M167*D167</f>
        <v>0</v>
      </c>
      <c r="M167" s="15">
        <f>LCOE!Q193+M166+M166*LCOE!F$24</f>
        <v>1</v>
      </c>
      <c r="N167" s="15">
        <f>LCOE!R193+N166-N166*LCOE!F$25</f>
        <v>1</v>
      </c>
      <c r="O167" s="18">
        <f>LCOE!S193+LCOE!F$29</f>
        <v>313.75</v>
      </c>
      <c r="P167" s="12">
        <f>LCOE!T193+IF(A167&gt;=LCOE!F$30,100%,0%)</f>
        <v>1</v>
      </c>
      <c r="Q167" s="16">
        <f>LCOE!U193+O167/1000*IF(LCOE!F$14&gt;0,G167,H167)</f>
        <v>0</v>
      </c>
      <c r="R167" s="16">
        <f>LCOE!B193</f>
        <v>30</v>
      </c>
      <c r="S167" s="16">
        <f>LCOE!V193+Q167*P167*R167</f>
        <v>0</v>
      </c>
      <c r="T167" s="16">
        <f>LCOE!W193+LCOE!F$31</f>
        <v>0</v>
      </c>
      <c r="U167" s="16">
        <f>LCOE!X193+T167*IF(LCOE!F$14&gt;0,G167,H167)</f>
        <v>0</v>
      </c>
      <c r="V167" s="16">
        <f>LCOE!Y193+LCOE!F$32</f>
        <v>0</v>
      </c>
      <c r="W167" s="16">
        <f>LCOE!Z193+V167*IF(LCOE!F$14&gt;0,G167,H167)</f>
        <v>0</v>
      </c>
      <c r="X167" s="16">
        <f>LCOE!AA193+LCOE!F$34</f>
        <v>101</v>
      </c>
      <c r="Y167" s="16">
        <f t="shared" si="29"/>
        <v>0</v>
      </c>
      <c r="Z167" s="50">
        <f t="shared" si="32"/>
        <v>0</v>
      </c>
      <c r="AA167" s="50">
        <f t="shared" si="33"/>
        <v>0</v>
      </c>
      <c r="AB167" s="50">
        <f t="shared" si="34"/>
        <v>0</v>
      </c>
      <c r="AC167" s="50">
        <f t="shared" si="30"/>
        <v>0</v>
      </c>
      <c r="AD167" s="50">
        <f t="shared" si="25"/>
        <v>0</v>
      </c>
      <c r="AE167">
        <f t="shared" si="31"/>
        <v>30</v>
      </c>
      <c r="AF167" s="12">
        <f>LCOE!E193+LCOE!F$40</f>
        <v>0.05</v>
      </c>
      <c r="AG167">
        <f t="shared" si="26"/>
        <v>113.59573078181936</v>
      </c>
      <c r="AH167" s="16">
        <f t="shared" si="21"/>
        <v>0</v>
      </c>
      <c r="AI167" s="16">
        <f t="shared" si="22"/>
        <v>0</v>
      </c>
      <c r="AJ167" s="16">
        <f t="shared" si="23"/>
        <v>0</v>
      </c>
      <c r="AK167" s="16">
        <f t="shared" si="24"/>
        <v>0</v>
      </c>
      <c r="AL167" s="16">
        <f t="shared" si="27"/>
        <v>0</v>
      </c>
      <c r="AM167" s="16">
        <f t="shared" si="28"/>
        <v>0</v>
      </c>
      <c r="AN167" s="16">
        <f>IF(LCOE!F$14&gt;0,G167,H167)/AG167</f>
        <v>0</v>
      </c>
    </row>
    <row r="168" spans="1:40">
      <c r="A168">
        <v>98</v>
      </c>
      <c r="C168" s="16">
        <f>LCOE!F194+IF(AND(LCOE!F$26&gt;0,A168&gt;=LCOE!F$26,A168&lt;=(LCOE!F$26+LCOE!F$27-1)),LCOE!F$42/LCOE!F$27,0)+IF(AND(D168=0,AE168&gt;=LCOE!F$16,COUNTIF(D143:D168,0)=LCOE!F$36),LCOE!F$35*LCOE!F$38,0)</f>
        <v>0</v>
      </c>
      <c r="D168" s="16">
        <f>IF(AE167&lt;LCOE!F$16,1,0)</f>
        <v>0</v>
      </c>
      <c r="E168" s="12">
        <f>LCOE!G194+IF(AND(A168&gt;=LCOE!F$26,A168&lt;=(LCOE!F$26+LCOE!F$27-1)),0,1)*IF(A168=LCOE!F$34,0,1)*D168</f>
        <v>0</v>
      </c>
      <c r="F168" s="12">
        <f>IF(F167&lt;LCOE!F$18,MIN(F167*(1+LCOE!F$19),LCOE!F$18),LCOE!F$18)+LCOE!J194</f>
        <v>0.9</v>
      </c>
      <c r="G168" s="16">
        <f>LCOE!K194+E168*F168*N168*(LCOE!F$14+LCOE!H194)*24*365*D168</f>
        <v>0</v>
      </c>
      <c r="H168" s="16">
        <f>LCOE!L194+F168*(LCOE!F$15+LCOE!I194)*E168*24*365*D168*N168</f>
        <v>0</v>
      </c>
      <c r="I168" s="16">
        <f>LCOE!M194+LCOE!F$20*IF(LCOE!F$14&gt;0,(LCOE!F$14+LCOE!H194),(LCOE!F$15+LCOE!I194))*K168*D168</f>
        <v>0</v>
      </c>
      <c r="J168" s="16">
        <f>LCOE!N194+LCOE!F$21*IF(LCOE!F$14&gt;0,G168,H168)*K168*D168</f>
        <v>0</v>
      </c>
      <c r="K168" s="15">
        <f>LCOE!O194+K167+K167*LCOE!F$22</f>
        <v>1</v>
      </c>
      <c r="L168" s="16">
        <f>LCOE!P194+LCOE!F$23*IF(LCOE!F$14&gt;0,G168,H168)*M168*D168</f>
        <v>0</v>
      </c>
      <c r="M168" s="15">
        <f>LCOE!Q194+M167+M167*LCOE!F$24</f>
        <v>1</v>
      </c>
      <c r="N168" s="15">
        <f>LCOE!R194+N167-N167*LCOE!F$25</f>
        <v>1</v>
      </c>
      <c r="O168" s="18">
        <f>LCOE!S194+LCOE!F$29</f>
        <v>313.75</v>
      </c>
      <c r="P168" s="12">
        <f>LCOE!T194+IF(A168&gt;=LCOE!F$30,100%,0%)</f>
        <v>1</v>
      </c>
      <c r="Q168" s="16">
        <f>LCOE!U194+O168/1000*IF(LCOE!F$14&gt;0,G168,H168)</f>
        <v>0</v>
      </c>
      <c r="R168" s="16">
        <f>LCOE!B194</f>
        <v>30</v>
      </c>
      <c r="S168" s="16">
        <f>LCOE!V194+Q168*P168*R168</f>
        <v>0</v>
      </c>
      <c r="T168" s="16">
        <f>LCOE!W194+LCOE!F$31</f>
        <v>0</v>
      </c>
      <c r="U168" s="16">
        <f>LCOE!X194+T168*IF(LCOE!F$14&gt;0,G168,H168)</f>
        <v>0</v>
      </c>
      <c r="V168" s="16">
        <f>LCOE!Y194+LCOE!F$32</f>
        <v>0</v>
      </c>
      <c r="W168" s="16">
        <f>LCOE!Z194+V168*IF(LCOE!F$14&gt;0,G168,H168)</f>
        <v>0</v>
      </c>
      <c r="X168" s="16">
        <f>LCOE!AA194+LCOE!F$34</f>
        <v>101</v>
      </c>
      <c r="Y168" s="16">
        <f t="shared" si="29"/>
        <v>0</v>
      </c>
      <c r="Z168" s="50">
        <f t="shared" si="32"/>
        <v>0</v>
      </c>
      <c r="AA168" s="50">
        <f t="shared" si="33"/>
        <v>0</v>
      </c>
      <c r="AB168" s="50">
        <f t="shared" si="34"/>
        <v>0</v>
      </c>
      <c r="AC168" s="50">
        <f t="shared" si="30"/>
        <v>0</v>
      </c>
      <c r="AD168" s="50">
        <f t="shared" si="25"/>
        <v>0</v>
      </c>
      <c r="AE168">
        <f t="shared" si="31"/>
        <v>30</v>
      </c>
      <c r="AF168" s="12">
        <f>LCOE!E194+LCOE!F$40</f>
        <v>0.05</v>
      </c>
      <c r="AG168">
        <f t="shared" si="26"/>
        <v>119.27551732091032</v>
      </c>
      <c r="AH168" s="16">
        <f t="shared" si="21"/>
        <v>0</v>
      </c>
      <c r="AI168" s="16">
        <f t="shared" si="22"/>
        <v>0</v>
      </c>
      <c r="AJ168" s="16">
        <f t="shared" si="23"/>
        <v>0</v>
      </c>
      <c r="AK168" s="16">
        <f t="shared" si="24"/>
        <v>0</v>
      </c>
      <c r="AL168" s="16">
        <f t="shared" si="27"/>
        <v>0</v>
      </c>
      <c r="AM168" s="16">
        <f t="shared" si="28"/>
        <v>0</v>
      </c>
      <c r="AN168" s="16">
        <f>IF(LCOE!F$14&gt;0,G168,H168)/AG168</f>
        <v>0</v>
      </c>
    </row>
    <row r="169" spans="1:40">
      <c r="A169">
        <v>99</v>
      </c>
      <c r="C169" s="16">
        <f>LCOE!F195+IF(AND(LCOE!F$26&gt;0,A169&gt;=LCOE!F$26,A169&lt;=(LCOE!F$26+LCOE!F$27-1)),LCOE!F$42/LCOE!F$27,0)+IF(AND(D169=0,AE169&gt;=LCOE!F$16,COUNTIF(D144:D169,0)=LCOE!F$36),LCOE!F$35*LCOE!F$38,0)</f>
        <v>0</v>
      </c>
      <c r="D169" s="16">
        <f>IF(AE168&lt;LCOE!F$16,1,0)</f>
        <v>0</v>
      </c>
      <c r="E169" s="12">
        <f>LCOE!G195+IF(AND(A169&gt;=LCOE!F$26,A169&lt;=(LCOE!F$26+LCOE!F$27-1)),0,1)*IF(A169=LCOE!F$34,0,1)*D169</f>
        <v>0</v>
      </c>
      <c r="F169" s="12">
        <f>IF(F168&lt;LCOE!F$18,MIN(F168*(1+LCOE!F$19),LCOE!F$18),LCOE!F$18)+LCOE!J195</f>
        <v>0.9</v>
      </c>
      <c r="G169" s="16">
        <f>LCOE!K195+E169*F169*N169*(LCOE!F$14+LCOE!H195)*24*365*D169</f>
        <v>0</v>
      </c>
      <c r="H169" s="16">
        <f>LCOE!L195+F169*(LCOE!F$15+LCOE!I195)*E169*24*365*D169*N169</f>
        <v>0</v>
      </c>
      <c r="I169" s="16">
        <f>LCOE!M195+LCOE!F$20*IF(LCOE!F$14&gt;0,(LCOE!F$14+LCOE!H195),(LCOE!F$15+LCOE!I195))*K169*D169</f>
        <v>0</v>
      </c>
      <c r="J169" s="16">
        <f>LCOE!N195+LCOE!F$21*IF(LCOE!F$14&gt;0,G169,H169)*K169*D169</f>
        <v>0</v>
      </c>
      <c r="K169" s="15">
        <f>LCOE!O195+K168+K168*LCOE!F$22</f>
        <v>1</v>
      </c>
      <c r="L169" s="16">
        <f>LCOE!P195+LCOE!F$23*IF(LCOE!F$14&gt;0,G169,H169)*M169*D169</f>
        <v>0</v>
      </c>
      <c r="M169" s="15">
        <f>LCOE!Q195+M168+M168*LCOE!F$24</f>
        <v>1</v>
      </c>
      <c r="N169" s="15">
        <f>LCOE!R195+N168-N168*LCOE!F$25</f>
        <v>1</v>
      </c>
      <c r="O169" s="18">
        <f>LCOE!S195+LCOE!F$29</f>
        <v>313.75</v>
      </c>
      <c r="P169" s="12">
        <f>LCOE!T195+IF(A169&gt;=LCOE!F$30,100%,0%)</f>
        <v>1</v>
      </c>
      <c r="Q169" s="16">
        <f>LCOE!U195+O169/1000*IF(LCOE!F$14&gt;0,G169,H169)</f>
        <v>0</v>
      </c>
      <c r="R169" s="16">
        <f>LCOE!B195</f>
        <v>30</v>
      </c>
      <c r="S169" s="16">
        <f>LCOE!V195+Q169*P169*R169</f>
        <v>0</v>
      </c>
      <c r="T169" s="16">
        <f>LCOE!W195+LCOE!F$31</f>
        <v>0</v>
      </c>
      <c r="U169" s="16">
        <f>LCOE!X195+T169*IF(LCOE!F$14&gt;0,G169,H169)</f>
        <v>0</v>
      </c>
      <c r="V169" s="16">
        <f>LCOE!Y195+LCOE!F$32</f>
        <v>0</v>
      </c>
      <c r="W169" s="16">
        <f>LCOE!Z195+V169*IF(LCOE!F$14&gt;0,G169,H169)</f>
        <v>0</v>
      </c>
      <c r="X169" s="16">
        <f>LCOE!AA195+LCOE!F$34</f>
        <v>101</v>
      </c>
      <c r="Y169" s="16">
        <f t="shared" si="29"/>
        <v>0</v>
      </c>
      <c r="Z169" s="50">
        <f t="shared" si="32"/>
        <v>0</v>
      </c>
      <c r="AA169" s="50">
        <f t="shared" si="33"/>
        <v>0</v>
      </c>
      <c r="AB169" s="50">
        <f t="shared" si="34"/>
        <v>0</v>
      </c>
      <c r="AC169" s="50">
        <f t="shared" si="30"/>
        <v>0</v>
      </c>
      <c r="AD169" s="50">
        <f t="shared" si="25"/>
        <v>0</v>
      </c>
      <c r="AE169">
        <f t="shared" si="31"/>
        <v>30</v>
      </c>
      <c r="AF169" s="12">
        <f>LCOE!E195+LCOE!F$40</f>
        <v>0.05</v>
      </c>
      <c r="AG169">
        <f t="shared" si="26"/>
        <v>125.23929318695586</v>
      </c>
      <c r="AH169" s="16">
        <f t="shared" si="21"/>
        <v>0</v>
      </c>
      <c r="AI169" s="16">
        <f t="shared" si="22"/>
        <v>0</v>
      </c>
      <c r="AJ169" s="16">
        <f t="shared" si="23"/>
        <v>0</v>
      </c>
      <c r="AK169" s="16">
        <f t="shared" si="24"/>
        <v>0</v>
      </c>
      <c r="AL169" s="16">
        <f t="shared" si="27"/>
        <v>0</v>
      </c>
      <c r="AM169" s="16">
        <f t="shared" si="28"/>
        <v>0</v>
      </c>
      <c r="AN169" s="16">
        <f>IF(LCOE!F$14&gt;0,G169,H169)/AG169</f>
        <v>0</v>
      </c>
    </row>
    <row r="170" spans="1:40">
      <c r="A170">
        <v>100</v>
      </c>
      <c r="C170" s="16">
        <f>LCOE!F196+IF(AND(LCOE!F$26&gt;0,A170&gt;=LCOE!F$26,A170&lt;=(LCOE!F$26+LCOE!F$27-1)),LCOE!F$42/LCOE!F$27,0)+IF(AND(D170=0,AE170&gt;=LCOE!F$16,COUNTIF(D145:D170,0)=LCOE!F$36),LCOE!F$35*LCOE!F$38,0)</f>
        <v>0</v>
      </c>
      <c r="D170" s="16">
        <f>IF(AE169&lt;LCOE!F$16,1,0)</f>
        <v>0</v>
      </c>
      <c r="E170" s="12">
        <f>LCOE!G196+IF(AND(A170&gt;=LCOE!F$26,A170&lt;=(LCOE!F$26+LCOE!F$27-1)),0,1)*IF(A170=LCOE!F$34,0,1)*D170</f>
        <v>0</v>
      </c>
      <c r="F170" s="12">
        <f>IF(F169&lt;LCOE!F$18,MIN(F169*(1+LCOE!F$19),LCOE!F$18),LCOE!F$18)+LCOE!J196</f>
        <v>0.9</v>
      </c>
      <c r="G170" s="16">
        <f>LCOE!K196+E170*F170*N170*(LCOE!F$14+LCOE!H196)*24*365*D170</f>
        <v>0</v>
      </c>
      <c r="H170" s="16">
        <f>LCOE!L196+F170*(LCOE!F$15+LCOE!I196)*E170*24*365*D170*N170</f>
        <v>0</v>
      </c>
      <c r="I170" s="16">
        <f>LCOE!M196+LCOE!F$20*IF(LCOE!F$14&gt;0,(LCOE!F$14+LCOE!H196),(LCOE!F$15+LCOE!I196))*K170*D170</f>
        <v>0</v>
      </c>
      <c r="J170" s="16">
        <f>LCOE!N196+LCOE!F$21*IF(LCOE!F$14&gt;0,G170,H170)*K170*D170</f>
        <v>0</v>
      </c>
      <c r="K170" s="15">
        <f>LCOE!O196+K169+K169*LCOE!F$22</f>
        <v>1</v>
      </c>
      <c r="L170" s="16">
        <f>LCOE!P196+LCOE!F$23*IF(LCOE!F$14&gt;0,G170,H170)*M170*D170</f>
        <v>0</v>
      </c>
      <c r="M170" s="15">
        <f>LCOE!Q196+M169+M169*LCOE!F$24</f>
        <v>1</v>
      </c>
      <c r="N170" s="15">
        <f>LCOE!R196+N169-N169*LCOE!F$25</f>
        <v>1</v>
      </c>
      <c r="O170" s="18">
        <f>LCOE!S196+LCOE!F$29</f>
        <v>313.75</v>
      </c>
      <c r="P170" s="12">
        <f>LCOE!T196+IF(A170&gt;=LCOE!F$30,100%,0%)</f>
        <v>1</v>
      </c>
      <c r="Q170" s="16">
        <f>LCOE!U196+O170/1000*IF(LCOE!F$14&gt;0,G170,H170)</f>
        <v>0</v>
      </c>
      <c r="R170" s="16">
        <f>LCOE!B196</f>
        <v>30</v>
      </c>
      <c r="S170" s="16">
        <f>LCOE!V196+Q170*P170*R170</f>
        <v>0</v>
      </c>
      <c r="T170" s="16">
        <f>LCOE!W196+LCOE!F$31</f>
        <v>0</v>
      </c>
      <c r="U170" s="16">
        <f>LCOE!X196+T170*IF(LCOE!F$14&gt;0,G170,H170)</f>
        <v>0</v>
      </c>
      <c r="V170" s="16">
        <f>LCOE!Y196+LCOE!F$32</f>
        <v>0</v>
      </c>
      <c r="W170" s="16">
        <f>LCOE!Z196+V170*IF(LCOE!F$14&gt;0,G170,H170)</f>
        <v>0</v>
      </c>
      <c r="X170" s="16">
        <f>LCOE!AA196+LCOE!F$34</f>
        <v>101</v>
      </c>
      <c r="Y170" s="16">
        <f t="shared" si="29"/>
        <v>0</v>
      </c>
      <c r="Z170" s="50">
        <f t="shared" si="32"/>
        <v>0</v>
      </c>
      <c r="AA170" s="50">
        <f t="shared" si="33"/>
        <v>0</v>
      </c>
      <c r="AB170" s="50">
        <f t="shared" si="34"/>
        <v>0</v>
      </c>
      <c r="AC170" s="50">
        <f t="shared" si="30"/>
        <v>0</v>
      </c>
      <c r="AD170" s="50">
        <f t="shared" si="25"/>
        <v>0</v>
      </c>
      <c r="AE170">
        <f t="shared" si="31"/>
        <v>30</v>
      </c>
      <c r="AF170" s="12">
        <f>LCOE!E196+LCOE!F$40</f>
        <v>0.05</v>
      </c>
      <c r="AG170">
        <f t="shared" si="26"/>
        <v>131.50125784630362</v>
      </c>
      <c r="AH170" s="16">
        <f t="shared" si="21"/>
        <v>0</v>
      </c>
      <c r="AI170" s="16">
        <f t="shared" si="22"/>
        <v>0</v>
      </c>
      <c r="AJ170" s="16">
        <f t="shared" si="23"/>
        <v>0</v>
      </c>
      <c r="AK170" s="16">
        <f t="shared" si="24"/>
        <v>0</v>
      </c>
      <c r="AL170" s="16">
        <f t="shared" si="27"/>
        <v>0</v>
      </c>
      <c r="AM170" s="16">
        <f t="shared" si="28"/>
        <v>0</v>
      </c>
      <c r="AN170" s="16">
        <f>IF(LCOE!F$14&gt;0,G170,H170)/AG170</f>
        <v>0</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A4ED8-6874-EA41-8A03-C67525B47994}">
  <dimension ref="A2:AN170"/>
  <sheetViews>
    <sheetView workbookViewId="0">
      <pane xSplit="1760" ySplit="5160" topLeftCell="A48" activePane="bottomRight"/>
      <selection pane="bottomRight" activeCell="H70" sqref="H70"/>
      <selection pane="bottomLeft" activeCell="A41" sqref="A41:D41"/>
      <selection pane="topRight" activeCell="B25" sqref="B25"/>
    </sheetView>
    <sheetView workbookViewId="1"/>
  </sheetViews>
  <sheetFormatPr defaultColWidth="11" defaultRowHeight="15.95"/>
  <cols>
    <col min="2" max="2" width="40.875" bestFit="1" customWidth="1"/>
    <col min="3" max="3" width="14.625" bestFit="1" customWidth="1"/>
    <col min="4" max="5" width="14.625" customWidth="1"/>
    <col min="6" max="6" width="18.125" customWidth="1"/>
    <col min="7" max="8" width="15.625" customWidth="1"/>
    <col min="9" max="9" width="11.125" bestFit="1" customWidth="1"/>
    <col min="10" max="10" width="11.625" bestFit="1" customWidth="1"/>
    <col min="11" max="11" width="12.625" bestFit="1" customWidth="1"/>
    <col min="12" max="12" width="11.125" bestFit="1" customWidth="1"/>
    <col min="17" max="17" width="13.625" bestFit="1" customWidth="1"/>
    <col min="18" max="18" width="13.625" customWidth="1"/>
    <col min="19" max="20" width="12.125" customWidth="1"/>
    <col min="26" max="26" width="12.875" bestFit="1" customWidth="1"/>
    <col min="27" max="28" width="11.125" bestFit="1" customWidth="1"/>
    <col min="29" max="30" width="11" bestFit="1" customWidth="1"/>
    <col min="34" max="34" width="17.625" customWidth="1"/>
    <col min="35" max="37" width="11.625" bestFit="1" customWidth="1"/>
    <col min="38" max="38" width="11.625" customWidth="1"/>
  </cols>
  <sheetData>
    <row r="2" spans="2:10" ht="21">
      <c r="B2" s="26" t="s">
        <v>221</v>
      </c>
      <c r="C2" s="26" t="str">
        <f>LCOE!G3</f>
        <v>LCOE 4</v>
      </c>
      <c r="D2" s="26"/>
      <c r="E2" s="26"/>
      <c r="F2" s="26" t="s">
        <v>222</v>
      </c>
      <c r="G2" t="str">
        <f>C4</f>
        <v>USD</v>
      </c>
      <c r="I2" t="str">
        <f>C6</f>
        <v>USD</v>
      </c>
    </row>
    <row r="3" spans="2:10">
      <c r="B3" t="str">
        <f>LCOE!C5</f>
        <v>Name</v>
      </c>
      <c r="C3" t="str">
        <f>LCOE!G5</f>
        <v>CCGT in Belgium (2020)</v>
      </c>
      <c r="F3" s="24" t="str">
        <f>LCOE!C46</f>
        <v>LCOE (LCOHeat for pure heat plants)</v>
      </c>
      <c r="G3" s="25">
        <f>SUM(AH45:AM170)/SUM(AN45:AN170)</f>
        <v>68.258027098634017</v>
      </c>
      <c r="H3" s="24" t="str">
        <f t="shared" ref="H3:H9" si="0">_xlfn.CONCAT(C$4,"/MWh")</f>
        <v>USD/MWh</v>
      </c>
      <c r="I3" s="25">
        <f>G3*C$7</f>
        <v>68.258027098634017</v>
      </c>
      <c r="J3" t="str">
        <f t="shared" ref="J3:J9" si="1">_xlfn.CONCAT(C$6,"/MWh")</f>
        <v>USD/MWh</v>
      </c>
    </row>
    <row r="4" spans="2:10">
      <c r="B4" t="str">
        <f>LCOE!C6</f>
        <v>Currency used for LCOE calculations</v>
      </c>
      <c r="C4" t="str">
        <f>LCOE!G6</f>
        <v>USD</v>
      </c>
      <c r="F4" s="24" t="str">
        <f>LCOE!C47</f>
        <v>Of which: Capital costs</v>
      </c>
      <c r="G4" s="22">
        <f>SUM(AH45:AH170)/SUM(AN45:AN170)</f>
        <v>10.838019234979699</v>
      </c>
      <c r="H4" t="str">
        <f t="shared" si="0"/>
        <v>USD/MWh</v>
      </c>
      <c r="I4" s="25">
        <f t="shared" ref="I4:I9" si="2">G4*C$7</f>
        <v>10.838019234979699</v>
      </c>
      <c r="J4" t="str">
        <f t="shared" si="1"/>
        <v>USD/MWh</v>
      </c>
    </row>
    <row r="5" spans="2:10">
      <c r="B5" t="str">
        <f>LCOE!C7</f>
        <v>Price reference year</v>
      </c>
      <c r="C5">
        <f>LCOE!G7</f>
        <v>0</v>
      </c>
      <c r="F5" s="24" t="str">
        <f>LCOE!C48</f>
        <v>O&amp;M</v>
      </c>
      <c r="G5" s="23">
        <f>SUM(AI45:AI170)/SUM(AN45:AN170)</f>
        <v>5.3475078636543021</v>
      </c>
      <c r="H5" t="str">
        <f t="shared" si="0"/>
        <v>USD/MWh</v>
      </c>
      <c r="I5" s="25">
        <f t="shared" si="2"/>
        <v>5.3475078636543021</v>
      </c>
      <c r="J5" t="str">
        <f t="shared" si="1"/>
        <v>USD/MWh</v>
      </c>
    </row>
    <row r="6" spans="2:10">
      <c r="B6" t="str">
        <f>LCOE!C8</f>
        <v>Currency used</v>
      </c>
      <c r="C6" t="str">
        <f>LCOE!G8</f>
        <v>USD</v>
      </c>
      <c r="F6" s="24" t="str">
        <f>LCOE!C49</f>
        <v>Fuel</v>
      </c>
      <c r="G6" s="23">
        <f>SUM(AJ45:AJ170)/SUM(AN45:AN170)</f>
        <v>42.660000000000004</v>
      </c>
      <c r="H6" t="str">
        <f t="shared" si="0"/>
        <v>USD/MWh</v>
      </c>
      <c r="I6" s="25">
        <f t="shared" si="2"/>
        <v>42.660000000000004</v>
      </c>
      <c r="J6" t="str">
        <f t="shared" si="1"/>
        <v>USD/MWh</v>
      </c>
    </row>
    <row r="7" spans="2:10">
      <c r="B7" t="str">
        <f>LCOE!C9</f>
        <v>Conversion rate at reference year</v>
      </c>
      <c r="C7">
        <f>LCOE!G9</f>
        <v>1</v>
      </c>
      <c r="F7" s="24" t="str">
        <f>LCOE!C50</f>
        <v>Taxes and fees</v>
      </c>
      <c r="G7" s="23">
        <f>SUM(AK45:AK170)/SUM(AN45:AN170)</f>
        <v>0</v>
      </c>
      <c r="H7" t="str">
        <f t="shared" si="0"/>
        <v>USD/MWh</v>
      </c>
      <c r="I7" s="25">
        <f t="shared" si="2"/>
        <v>0</v>
      </c>
      <c r="J7" t="str">
        <f t="shared" si="1"/>
        <v>USD/MWh</v>
      </c>
    </row>
    <row r="8" spans="2:10">
      <c r="B8" t="str">
        <f>LCOE!C10</f>
        <v>Debt %</v>
      </c>
      <c r="C8">
        <f>LCOE!G10</f>
        <v>0.9</v>
      </c>
      <c r="F8" s="24" t="str">
        <f>LCOE!C51</f>
        <v>Emission costs</v>
      </c>
      <c r="G8" s="23">
        <f>SUM(AL45:AL170)/SUM(AN45:AN170)</f>
        <v>9.4125000000000014</v>
      </c>
      <c r="H8" t="str">
        <f t="shared" si="0"/>
        <v>USD/MWh</v>
      </c>
      <c r="I8" s="25">
        <f t="shared" si="2"/>
        <v>9.4125000000000014</v>
      </c>
      <c r="J8" t="str">
        <f t="shared" si="1"/>
        <v>USD/MWh</v>
      </c>
    </row>
    <row r="9" spans="2:10">
      <c r="B9" t="str">
        <f>LCOE!C11</f>
        <v>Cost of debt (private discount rate)</v>
      </c>
      <c r="C9" s="3">
        <f>LCOE!G11</f>
        <v>7.0000000000000007E-2</v>
      </c>
      <c r="F9" s="24" t="str">
        <f>LCOE!C52</f>
        <v>Heat credit (for CHP plants)</v>
      </c>
      <c r="G9" s="18">
        <f>IF(C15&gt;0,SUM(AM45:AM170)/SUM(AN45:AN170),0)</f>
        <v>0</v>
      </c>
      <c r="H9" t="str">
        <f t="shared" si="0"/>
        <v>USD/MWh</v>
      </c>
      <c r="I9" s="25">
        <f t="shared" si="2"/>
        <v>0</v>
      </c>
      <c r="J9" t="str">
        <f t="shared" si="1"/>
        <v>USD/MWh</v>
      </c>
    </row>
    <row r="10" spans="2:10">
      <c r="B10" t="str">
        <f>LCOE!C12</f>
        <v>Cost of equity (discount rate)</v>
      </c>
      <c r="C10" s="3">
        <f>LCOE!G12</f>
        <v>7.0000000000000007E-2</v>
      </c>
      <c r="F10" s="24" t="str">
        <f>LCOE!C53</f>
        <v>WACC average over lifetime</v>
      </c>
      <c r="G10" s="12">
        <f>AVERAGE(AF70:AF170)</f>
        <v>7.000000000000009E-2</v>
      </c>
      <c r="I10" s="14">
        <f>G10</f>
        <v>7.000000000000009E-2</v>
      </c>
    </row>
    <row r="11" spans="2:10">
      <c r="B11" t="str">
        <f>LCOE!C13</f>
        <v>Construction cost per kW</v>
      </c>
      <c r="C11">
        <f>LCOE!G13</f>
        <v>1009</v>
      </c>
      <c r="F11" s="24" t="str">
        <f>LCOE!C54</f>
        <v>Plant type</v>
      </c>
      <c r="G11" t="str">
        <f>IF(AND(LCOE!G$14&gt;0,LCOE!G$15=0),"Electric only",IF(AND(LCOE!G$14&gt;0,LCOE!G$15&gt;0),"CHP",IF(AND(LCOE!G$14=0,LCOE!G$15&gt;0),"Heat only","Error: no generation")))</f>
        <v>Electric only</v>
      </c>
      <c r="I11" s="18" t="str">
        <f>G11</f>
        <v>Electric only</v>
      </c>
    </row>
    <row r="12" spans="2:10">
      <c r="B12" t="str">
        <f>LCOE!C14</f>
        <v>Maximum electric power, in MW_e</v>
      </c>
      <c r="C12">
        <f>LCOE!G14</f>
        <v>500</v>
      </c>
    </row>
    <row r="13" spans="2:10">
      <c r="B13" t="str">
        <f>LCOE!C15</f>
        <v>Maximum heat power, in MW_h</v>
      </c>
      <c r="C13">
        <f>LCOE!G15</f>
        <v>0</v>
      </c>
    </row>
    <row r="14" spans="2:10">
      <c r="B14" t="str">
        <f>LCOE!C16</f>
        <v>Plant lifetime</v>
      </c>
      <c r="C14">
        <f>LCOE!G16</f>
        <v>30</v>
      </c>
    </row>
    <row r="15" spans="2:10">
      <c r="B15" t="str">
        <f>LCOE!C17</f>
        <v>Construction period, years</v>
      </c>
      <c r="C15">
        <f>LCOE!G17</f>
        <v>3</v>
      </c>
    </row>
    <row r="16" spans="2:10">
      <c r="B16" t="str">
        <f>LCOE!C18</f>
        <v>Capacity factor (settled down)</v>
      </c>
      <c r="C16" s="14">
        <f>LCOE!G18</f>
        <v>0.9</v>
      </c>
    </row>
    <row r="17" spans="2:3">
      <c r="B17" t="str">
        <f>LCOE!C19</f>
        <v>Capacity factor ramp-up on startup, per year</v>
      </c>
      <c r="C17" s="14">
        <f>LCOE!G19</f>
        <v>0.6</v>
      </c>
    </row>
    <row r="18" spans="2:3">
      <c r="B18" t="str">
        <f>LCOE!C20</f>
        <v>Fixed OPEX/MW capacity at project start</v>
      </c>
      <c r="C18" s="18">
        <f>LCOE!G20</f>
        <v>40000</v>
      </c>
    </row>
    <row r="19" spans="2:3">
      <c r="B19" t="str">
        <f>LCOE!C21</f>
        <v>Variable OPEX/MWh produced at project start</v>
      </c>
      <c r="C19" s="18">
        <f>LCOE!G21</f>
        <v>0</v>
      </c>
    </row>
    <row r="20" spans="2:3">
      <c r="B20" t="str">
        <f>LCOE!C22</f>
        <v>OPEX escalator</v>
      </c>
      <c r="C20" s="14">
        <f>LCOE!G22</f>
        <v>0</v>
      </c>
    </row>
    <row r="21" spans="2:3">
      <c r="B21" t="str">
        <f>LCOE!C23</f>
        <v>FUELEX/MWh produced at project start</v>
      </c>
      <c r="C21">
        <f>LCOE!G23</f>
        <v>42.66</v>
      </c>
    </row>
    <row r="22" spans="2:3">
      <c r="B22" t="str">
        <f>LCOE!C24</f>
        <v>FUELEX escalator</v>
      </c>
      <c r="C22" s="14">
        <f>LCOE!G24</f>
        <v>0</v>
      </c>
    </row>
    <row r="23" spans="2:3">
      <c r="B23" t="str">
        <f>LCOE!C25</f>
        <v>Efficiency loss/year</v>
      </c>
      <c r="C23" s="14">
        <f>LCOE!G25</f>
        <v>0</v>
      </c>
    </row>
    <row r="24" spans="2:3">
      <c r="B24" t="str">
        <f>LCOE!C26</f>
        <v>Refurbishment year</v>
      </c>
      <c r="C24">
        <f>LCOE!G26</f>
        <v>101</v>
      </c>
    </row>
    <row r="25" spans="2:3">
      <c r="B25" t="str">
        <f>LCOE!C27</f>
        <v>Refurbishment time required, years</v>
      </c>
      <c r="C25">
        <f>LCOE!G27</f>
        <v>1</v>
      </c>
    </row>
    <row r="26" spans="2:3">
      <c r="B26" t="str">
        <f>LCOE!C28</f>
        <v>Refurbishment cost, per kW</v>
      </c>
      <c r="C26">
        <f>LCOE!G28</f>
        <v>0</v>
      </c>
    </row>
    <row r="27" spans="2:3">
      <c r="B27" t="str">
        <f>LCOE!C29</f>
        <v>Emission factor, gCO2e/kWh</v>
      </c>
      <c r="C27">
        <f>LCOE!G29</f>
        <v>313.75</v>
      </c>
    </row>
    <row r="28" spans="2:3">
      <c r="B28" t="str">
        <f>LCOE!C30</f>
        <v>Emissions taxed starting from year</v>
      </c>
      <c r="C28">
        <f>LCOE!G30</f>
        <v>0</v>
      </c>
    </row>
    <row r="29" spans="2:3">
      <c r="B29" t="str">
        <f>LCOE!C31</f>
        <v>Taxes, per MWh produced</v>
      </c>
      <c r="C29">
        <f>LCOE!G31</f>
        <v>0</v>
      </c>
    </row>
    <row r="30" spans="2:3">
      <c r="B30" t="str">
        <f>LCOE!C32</f>
        <v>Waste fee, per MWh produced</v>
      </c>
      <c r="C30">
        <f>LCOE!G32</f>
        <v>0</v>
      </c>
    </row>
    <row r="31" spans="2:3">
      <c r="B31" t="str">
        <f>LCOE!C33</f>
        <v>Heat credit, per MWh produced</v>
      </c>
      <c r="C31">
        <f>LCOE!G33</f>
        <v>30</v>
      </c>
    </row>
    <row r="32" spans="2:3">
      <c r="B32" t="str">
        <f>LCOE!C34</f>
        <v>Outage at year</v>
      </c>
      <c r="C32">
        <f>LCOE!G34</f>
        <v>101</v>
      </c>
    </row>
    <row r="33" spans="1:40">
      <c r="B33" t="str">
        <f>LCOE!C35</f>
        <v>Decommissioning costs, % of initial capital cost</v>
      </c>
      <c r="C33" s="14">
        <f>LCOE!G35</f>
        <v>0.05</v>
      </c>
    </row>
    <row r="34" spans="1:40">
      <c r="B34" t="str">
        <f>LCOE!C36</f>
        <v>Decommissioning delay, years</v>
      </c>
      <c r="C34">
        <f>LCOE!G36</f>
        <v>2</v>
      </c>
    </row>
    <row r="35" spans="1:40">
      <c r="B35" t="str">
        <f>LCOE!C37</f>
        <v>Results reference year/LC start year</v>
      </c>
      <c r="C35">
        <f>LCOE!G37</f>
        <v>2020</v>
      </c>
    </row>
    <row r="36" spans="1:40">
      <c r="B36" t="str">
        <f>LCOE!C38</f>
        <v>Total cost</v>
      </c>
      <c r="C36" s="16">
        <f>LCOE!G38</f>
        <v>504500000</v>
      </c>
    </row>
    <row r="37" spans="1:40">
      <c r="B37" t="str">
        <f>LCOE!C39</f>
        <v>Equity share</v>
      </c>
      <c r="C37">
        <f>LCOE!G39</f>
        <v>9.9999999999999978E-2</v>
      </c>
    </row>
    <row r="38" spans="1:40">
      <c r="B38" t="str">
        <f>LCOE!C40</f>
        <v>WACC (average discount rate)</v>
      </c>
      <c r="C38" s="3">
        <f>LCOE!G40</f>
        <v>7.0000000000000007E-2</v>
      </c>
    </row>
    <row r="39" spans="1:40">
      <c r="B39" t="str">
        <f>LCOE!C41</f>
        <v>Interest during construction (IDC)</v>
      </c>
      <c r="C39" s="14">
        <f>LCOE!G41</f>
        <v>7.0000000000000007E-2</v>
      </c>
    </row>
    <row r="40" spans="1:40">
      <c r="B40" t="str">
        <f>LCOE!C42</f>
        <v>Total overnight cost of refurbishment</v>
      </c>
      <c r="C40" s="16">
        <f>LCOE!G42</f>
        <v>0</v>
      </c>
    </row>
    <row r="41" spans="1:40">
      <c r="B41" t="str">
        <f>LCOE!C43</f>
        <v>Overrides</v>
      </c>
      <c r="C41">
        <f>LCOE!G43</f>
        <v>0</v>
      </c>
    </row>
    <row r="43" spans="1:40">
      <c r="Z43" s="48" t="s">
        <v>223</v>
      </c>
      <c r="AA43" s="48"/>
      <c r="AB43" s="48"/>
      <c r="AC43" s="48"/>
      <c r="AD43" s="48"/>
    </row>
    <row r="44" spans="1:40" ht="183.95">
      <c r="A44" t="s">
        <v>224</v>
      </c>
      <c r="B44" s="17" t="s">
        <v>161</v>
      </c>
      <c r="C44" s="43" t="s">
        <v>225</v>
      </c>
      <c r="D44" s="17" t="s">
        <v>226</v>
      </c>
      <c r="E44" s="17" t="s">
        <v>164</v>
      </c>
      <c r="F44" s="17" t="s">
        <v>167</v>
      </c>
      <c r="G44" s="17" t="s">
        <v>168</v>
      </c>
      <c r="H44" s="17" t="s">
        <v>169</v>
      </c>
      <c r="I44" s="17" t="s">
        <v>170</v>
      </c>
      <c r="J44" s="17" t="s">
        <v>171</v>
      </c>
      <c r="K44" s="17" t="s">
        <v>227</v>
      </c>
      <c r="L44" s="17" t="s">
        <v>173</v>
      </c>
      <c r="M44" s="17" t="s">
        <v>228</v>
      </c>
      <c r="N44" s="17" t="s">
        <v>229</v>
      </c>
      <c r="O44" s="17" t="s">
        <v>230</v>
      </c>
      <c r="P44" s="17" t="s">
        <v>177</v>
      </c>
      <c r="Q44" s="17" t="s">
        <v>231</v>
      </c>
      <c r="R44" s="17" t="s">
        <v>232</v>
      </c>
      <c r="S44" s="17" t="s">
        <v>233</v>
      </c>
      <c r="T44" s="17" t="s">
        <v>180</v>
      </c>
      <c r="U44" s="17" t="s">
        <v>181</v>
      </c>
      <c r="V44" s="17" t="s">
        <v>182</v>
      </c>
      <c r="W44" s="17" t="s">
        <v>183</v>
      </c>
      <c r="X44" s="17" t="s">
        <v>234</v>
      </c>
      <c r="Y44" s="17" t="s">
        <v>185</v>
      </c>
      <c r="Z44" s="49" t="s">
        <v>235</v>
      </c>
      <c r="AA44" s="49" t="s">
        <v>236</v>
      </c>
      <c r="AB44" s="49" t="s">
        <v>237</v>
      </c>
      <c r="AC44" s="49" t="s">
        <v>238</v>
      </c>
      <c r="AD44" s="49" t="s">
        <v>239</v>
      </c>
      <c r="AE44" s="17" t="s">
        <v>240</v>
      </c>
      <c r="AF44" s="17" t="s">
        <v>241</v>
      </c>
      <c r="AG44" s="17" t="s">
        <v>242</v>
      </c>
      <c r="AH44" s="17" t="s">
        <v>243</v>
      </c>
      <c r="AI44" s="17" t="s">
        <v>244</v>
      </c>
      <c r="AJ44" s="17" t="s">
        <v>245</v>
      </c>
      <c r="AK44" s="17" t="s">
        <v>246</v>
      </c>
      <c r="AL44" s="17" t="s">
        <v>247</v>
      </c>
      <c r="AM44" s="17" t="s">
        <v>248</v>
      </c>
      <c r="AN44" s="17" t="s">
        <v>249</v>
      </c>
    </row>
    <row r="45" spans="1:40">
      <c r="A45">
        <v>-25</v>
      </c>
      <c r="B45" s="16">
        <f>LCOE!C71+IF(A45&gt;=((LCOE!G$17*-1)+1),LCOE!G$38/LCOE!G$17,0)</f>
        <v>0</v>
      </c>
      <c r="C45" s="16"/>
      <c r="D45" s="16"/>
      <c r="E45" s="18"/>
      <c r="Z45" s="50">
        <f t="shared" ref="Z45:Z69" si="3">SUM(B45:C45)</f>
        <v>0</v>
      </c>
      <c r="AA45" s="50">
        <f t="shared" ref="AA45:AA69" si="4">SUM(I45:J45)</f>
        <v>0</v>
      </c>
      <c r="AB45" s="50">
        <f t="shared" ref="AB45:AB69" si="5">L45</f>
        <v>0</v>
      </c>
      <c r="AC45" s="50">
        <f t="shared" ref="AC45:AC69" si="6">SUM(S45:W45)</f>
        <v>0</v>
      </c>
      <c r="AD45" s="50">
        <f>S45</f>
        <v>0</v>
      </c>
      <c r="AE45">
        <v>-25</v>
      </c>
      <c r="AF45" s="12">
        <f>LCOE!E71+LCOE!G$40</f>
        <v>7.0000000000000007E-2</v>
      </c>
      <c r="AG45">
        <f>(1+AF45)^A45</f>
        <v>0.18424917752223957</v>
      </c>
      <c r="AH45" s="16">
        <f t="shared" ref="AH45:AH108" si="7">Z45/AG45</f>
        <v>0</v>
      </c>
      <c r="AI45" s="16">
        <f t="shared" ref="AI45:AI108" si="8">AA45/AG45</f>
        <v>0</v>
      </c>
      <c r="AJ45" s="16">
        <f t="shared" ref="AJ45:AJ108" si="9">AB45/AG45</f>
        <v>0</v>
      </c>
      <c r="AK45" s="16">
        <f t="shared" ref="AK45:AK108" si="10">AC45/AG45</f>
        <v>0</v>
      </c>
      <c r="AL45" s="16">
        <f>AD45/AG45</f>
        <v>0</v>
      </c>
      <c r="AM45" s="16"/>
    </row>
    <row r="46" spans="1:40">
      <c r="A46">
        <v>-24</v>
      </c>
      <c r="B46" s="16">
        <f>LCOE!C72+IF(A46&gt;=((LCOE!G$17*-1)+1),LCOE!G$38/LCOE!G$17,0)</f>
        <v>0</v>
      </c>
      <c r="C46" s="16"/>
      <c r="D46" s="16"/>
      <c r="E46" s="18"/>
      <c r="Z46" s="50">
        <f t="shared" si="3"/>
        <v>0</v>
      </c>
      <c r="AA46" s="50">
        <f t="shared" si="4"/>
        <v>0</v>
      </c>
      <c r="AB46" s="50">
        <f t="shared" si="5"/>
        <v>0</v>
      </c>
      <c r="AC46" s="50">
        <f t="shared" si="6"/>
        <v>0</v>
      </c>
      <c r="AD46" s="50">
        <f t="shared" ref="AD46:AD109" si="11">S46</f>
        <v>0</v>
      </c>
      <c r="AE46">
        <v>-24</v>
      </c>
      <c r="AF46" s="12">
        <f>LCOE!E72+LCOE!G$40</f>
        <v>7.0000000000000007E-2</v>
      </c>
      <c r="AG46">
        <f t="shared" ref="AG46:AG109" si="12">(1+AF46)^A46</f>
        <v>0.19714661994879637</v>
      </c>
      <c r="AH46" s="16">
        <f t="shared" si="7"/>
        <v>0</v>
      </c>
      <c r="AI46" s="16">
        <f t="shared" si="8"/>
        <v>0</v>
      </c>
      <c r="AJ46" s="16">
        <f t="shared" si="9"/>
        <v>0</v>
      </c>
      <c r="AK46" s="16">
        <f t="shared" si="10"/>
        <v>0</v>
      </c>
      <c r="AL46" s="16">
        <f t="shared" ref="AL46:AL109" si="13">AD46/AG46</f>
        <v>0</v>
      </c>
      <c r="AM46" s="16"/>
    </row>
    <row r="47" spans="1:40">
      <c r="A47">
        <v>-23</v>
      </c>
      <c r="B47" s="16">
        <f>LCOE!C73+IF(A47&gt;=((LCOE!G$17*-1)+1),LCOE!G$38/LCOE!G$17,0)</f>
        <v>0</v>
      </c>
      <c r="C47" s="16"/>
      <c r="D47" s="16"/>
      <c r="E47" s="18"/>
      <c r="Z47" s="50">
        <f t="shared" si="3"/>
        <v>0</v>
      </c>
      <c r="AA47" s="50">
        <f t="shared" si="4"/>
        <v>0</v>
      </c>
      <c r="AB47" s="50">
        <f t="shared" si="5"/>
        <v>0</v>
      </c>
      <c r="AC47" s="50">
        <f t="shared" si="6"/>
        <v>0</v>
      </c>
      <c r="AD47" s="50">
        <f t="shared" si="11"/>
        <v>0</v>
      </c>
      <c r="AE47">
        <v>-23</v>
      </c>
      <c r="AF47" s="12">
        <f>LCOE!E73+LCOE!G$40</f>
        <v>7.0000000000000007E-2</v>
      </c>
      <c r="AG47">
        <f t="shared" si="12"/>
        <v>0.21094688334521211</v>
      </c>
      <c r="AH47" s="16">
        <f t="shared" si="7"/>
        <v>0</v>
      </c>
      <c r="AI47" s="16">
        <f t="shared" si="8"/>
        <v>0</v>
      </c>
      <c r="AJ47" s="16">
        <f t="shared" si="9"/>
        <v>0</v>
      </c>
      <c r="AK47" s="16">
        <f t="shared" si="10"/>
        <v>0</v>
      </c>
      <c r="AL47" s="16">
        <f t="shared" si="13"/>
        <v>0</v>
      </c>
      <c r="AM47" s="16"/>
    </row>
    <row r="48" spans="1:40">
      <c r="A48">
        <v>-22</v>
      </c>
      <c r="B48" s="16">
        <f>LCOE!C74+IF(A48&gt;=((LCOE!G$17*-1)+1),LCOE!G$38/LCOE!G$17,0)</f>
        <v>0</v>
      </c>
      <c r="C48" s="16"/>
      <c r="D48" s="16"/>
      <c r="E48" s="18"/>
      <c r="Z48" s="50">
        <f t="shared" si="3"/>
        <v>0</v>
      </c>
      <c r="AA48" s="50">
        <f t="shared" si="4"/>
        <v>0</v>
      </c>
      <c r="AB48" s="50">
        <f t="shared" si="5"/>
        <v>0</v>
      </c>
      <c r="AC48" s="50">
        <f t="shared" si="6"/>
        <v>0</v>
      </c>
      <c r="AD48" s="50">
        <f t="shared" si="11"/>
        <v>0</v>
      </c>
      <c r="AE48">
        <v>-22</v>
      </c>
      <c r="AF48" s="12">
        <f>LCOE!E74+LCOE!G$40</f>
        <v>7.0000000000000007E-2</v>
      </c>
      <c r="AG48">
        <f t="shared" si="12"/>
        <v>0.22571316517937698</v>
      </c>
      <c r="AH48" s="16">
        <f t="shared" si="7"/>
        <v>0</v>
      </c>
      <c r="AI48" s="16">
        <f t="shared" si="8"/>
        <v>0</v>
      </c>
      <c r="AJ48" s="16">
        <f t="shared" si="9"/>
        <v>0</v>
      </c>
      <c r="AK48" s="16">
        <f t="shared" si="10"/>
        <v>0</v>
      </c>
      <c r="AL48" s="16">
        <f t="shared" si="13"/>
        <v>0</v>
      </c>
      <c r="AM48" s="16"/>
    </row>
    <row r="49" spans="1:39">
      <c r="A49">
        <v>-21</v>
      </c>
      <c r="B49" s="16">
        <f>LCOE!C75+IF(A49&gt;=((LCOE!G$17*-1)+1),LCOE!G$38/LCOE!G$17,0)</f>
        <v>0</v>
      </c>
      <c r="C49" s="16"/>
      <c r="D49" s="16"/>
      <c r="E49" s="18"/>
      <c r="Z49" s="50">
        <f t="shared" si="3"/>
        <v>0</v>
      </c>
      <c r="AA49" s="50">
        <f t="shared" si="4"/>
        <v>0</v>
      </c>
      <c r="AB49" s="50">
        <f t="shared" si="5"/>
        <v>0</v>
      </c>
      <c r="AC49" s="50">
        <f t="shared" si="6"/>
        <v>0</v>
      </c>
      <c r="AD49" s="50">
        <f t="shared" si="11"/>
        <v>0</v>
      </c>
      <c r="AE49">
        <v>-21</v>
      </c>
      <c r="AF49" s="12">
        <f>LCOE!E75+LCOE!G$40</f>
        <v>7.0000000000000007E-2</v>
      </c>
      <c r="AG49">
        <f t="shared" si="12"/>
        <v>0.24151308674193336</v>
      </c>
      <c r="AH49" s="16">
        <f t="shared" si="7"/>
        <v>0</v>
      </c>
      <c r="AI49" s="16">
        <f t="shared" si="8"/>
        <v>0</v>
      </c>
      <c r="AJ49" s="16">
        <f t="shared" si="9"/>
        <v>0</v>
      </c>
      <c r="AK49" s="16">
        <f t="shared" si="10"/>
        <v>0</v>
      </c>
      <c r="AL49" s="16">
        <f t="shared" si="13"/>
        <v>0</v>
      </c>
      <c r="AM49" s="16"/>
    </row>
    <row r="50" spans="1:39">
      <c r="A50">
        <v>-20</v>
      </c>
      <c r="B50" s="16">
        <f>LCOE!C76+IF(A50&gt;=((LCOE!G$17*-1)+1),LCOE!G$38/LCOE!G$17,0)</f>
        <v>0</v>
      </c>
      <c r="C50" s="16"/>
      <c r="D50" s="16"/>
      <c r="E50" s="18"/>
      <c r="Z50" s="50">
        <f t="shared" si="3"/>
        <v>0</v>
      </c>
      <c r="AA50" s="50">
        <f t="shared" si="4"/>
        <v>0</v>
      </c>
      <c r="AB50" s="50">
        <f t="shared" si="5"/>
        <v>0</v>
      </c>
      <c r="AC50" s="50">
        <f t="shared" si="6"/>
        <v>0</v>
      </c>
      <c r="AD50" s="50">
        <f t="shared" si="11"/>
        <v>0</v>
      </c>
      <c r="AE50">
        <v>-20</v>
      </c>
      <c r="AF50" s="12">
        <f>LCOE!E76+LCOE!G$40</f>
        <v>7.0000000000000007E-2</v>
      </c>
      <c r="AG50">
        <f t="shared" si="12"/>
        <v>0.2584190028138687</v>
      </c>
      <c r="AH50" s="16">
        <f t="shared" si="7"/>
        <v>0</v>
      </c>
      <c r="AI50" s="16">
        <f t="shared" si="8"/>
        <v>0</v>
      </c>
      <c r="AJ50" s="16">
        <f t="shared" si="9"/>
        <v>0</v>
      </c>
      <c r="AK50" s="16">
        <f t="shared" si="10"/>
        <v>0</v>
      </c>
      <c r="AL50" s="16">
        <f t="shared" si="13"/>
        <v>0</v>
      </c>
      <c r="AM50" s="16"/>
    </row>
    <row r="51" spans="1:39">
      <c r="A51">
        <v>-19</v>
      </c>
      <c r="B51" s="16">
        <f>LCOE!C77+IF(A51&gt;=((LCOE!G$17*-1)+1),LCOE!G$38/LCOE!G$17,0)</f>
        <v>0</v>
      </c>
      <c r="C51" s="16"/>
      <c r="D51" s="16"/>
      <c r="E51" s="18"/>
      <c r="Z51" s="50">
        <f t="shared" si="3"/>
        <v>0</v>
      </c>
      <c r="AA51" s="50">
        <f t="shared" si="4"/>
        <v>0</v>
      </c>
      <c r="AB51" s="50">
        <f t="shared" si="5"/>
        <v>0</v>
      </c>
      <c r="AC51" s="50">
        <f t="shared" si="6"/>
        <v>0</v>
      </c>
      <c r="AD51" s="50">
        <f t="shared" si="11"/>
        <v>0</v>
      </c>
      <c r="AE51">
        <v>-19</v>
      </c>
      <c r="AF51" s="12">
        <f>LCOE!E77+LCOE!G$40</f>
        <v>7.0000000000000007E-2</v>
      </c>
      <c r="AG51">
        <f t="shared" si="12"/>
        <v>0.27650833301083949</v>
      </c>
      <c r="AH51" s="16">
        <f t="shared" si="7"/>
        <v>0</v>
      </c>
      <c r="AI51" s="16">
        <f t="shared" si="8"/>
        <v>0</v>
      </c>
      <c r="AJ51" s="16">
        <f t="shared" si="9"/>
        <v>0</v>
      </c>
      <c r="AK51" s="16">
        <f t="shared" si="10"/>
        <v>0</v>
      </c>
      <c r="AL51" s="16">
        <f t="shared" si="13"/>
        <v>0</v>
      </c>
      <c r="AM51" s="16"/>
    </row>
    <row r="52" spans="1:39">
      <c r="A52">
        <v>-18</v>
      </c>
      <c r="B52" s="16">
        <f>LCOE!C78+IF(A52&gt;=((LCOE!G$17*-1)+1),LCOE!G$38/LCOE!G$17,0)</f>
        <v>0</v>
      </c>
      <c r="C52" s="16"/>
      <c r="D52" s="16"/>
      <c r="E52" s="18"/>
      <c r="Z52" s="50">
        <f t="shared" si="3"/>
        <v>0</v>
      </c>
      <c r="AA52" s="50">
        <f t="shared" si="4"/>
        <v>0</v>
      </c>
      <c r="AB52" s="50">
        <f t="shared" si="5"/>
        <v>0</v>
      </c>
      <c r="AC52" s="50">
        <f t="shared" si="6"/>
        <v>0</v>
      </c>
      <c r="AD52" s="50">
        <f t="shared" si="11"/>
        <v>0</v>
      </c>
      <c r="AE52">
        <v>-18</v>
      </c>
      <c r="AF52" s="12">
        <f>LCOE!E78+LCOE!G$40</f>
        <v>7.0000000000000007E-2</v>
      </c>
      <c r="AG52">
        <f t="shared" si="12"/>
        <v>0.29586391632159825</v>
      </c>
      <c r="AH52" s="16">
        <f t="shared" si="7"/>
        <v>0</v>
      </c>
      <c r="AI52" s="16">
        <f t="shared" si="8"/>
        <v>0</v>
      </c>
      <c r="AJ52" s="16">
        <f t="shared" si="9"/>
        <v>0</v>
      </c>
      <c r="AK52" s="16">
        <f t="shared" si="10"/>
        <v>0</v>
      </c>
      <c r="AL52" s="16">
        <f t="shared" si="13"/>
        <v>0</v>
      </c>
      <c r="AM52" s="16"/>
    </row>
    <row r="53" spans="1:39">
      <c r="A53">
        <v>-17</v>
      </c>
      <c r="B53" s="16">
        <f>LCOE!C79+IF(A53&gt;=((LCOE!G$17*-1)+1),LCOE!G$38/LCOE!G$17,0)</f>
        <v>0</v>
      </c>
      <c r="C53" s="16"/>
      <c r="D53" s="16"/>
      <c r="E53" s="18"/>
      <c r="Z53" s="50">
        <f t="shared" si="3"/>
        <v>0</v>
      </c>
      <c r="AA53" s="50">
        <f t="shared" si="4"/>
        <v>0</v>
      </c>
      <c r="AB53" s="50">
        <f t="shared" si="5"/>
        <v>0</v>
      </c>
      <c r="AC53" s="50">
        <f t="shared" si="6"/>
        <v>0</v>
      </c>
      <c r="AD53" s="50">
        <f t="shared" si="11"/>
        <v>0</v>
      </c>
      <c r="AE53">
        <v>-17</v>
      </c>
      <c r="AF53" s="12">
        <f>LCOE!E79+LCOE!G$40</f>
        <v>7.0000000000000007E-2</v>
      </c>
      <c r="AG53">
        <f t="shared" si="12"/>
        <v>0.31657439046411018</v>
      </c>
      <c r="AH53" s="16">
        <f t="shared" si="7"/>
        <v>0</v>
      </c>
      <c r="AI53" s="16">
        <f t="shared" si="8"/>
        <v>0</v>
      </c>
      <c r="AJ53" s="16">
        <f t="shared" si="9"/>
        <v>0</v>
      </c>
      <c r="AK53" s="16">
        <f t="shared" si="10"/>
        <v>0</v>
      </c>
      <c r="AL53" s="16">
        <f t="shared" si="13"/>
        <v>0</v>
      </c>
      <c r="AM53" s="16"/>
    </row>
    <row r="54" spans="1:39">
      <c r="A54">
        <v>-16</v>
      </c>
      <c r="B54" s="16">
        <f>LCOE!C80+IF(A54&gt;=((LCOE!G$17*-1)+1),LCOE!G$38/LCOE!G$17,0)</f>
        <v>0</v>
      </c>
      <c r="C54" s="16"/>
      <c r="D54" s="16"/>
      <c r="E54" s="18"/>
      <c r="Z54" s="50">
        <f t="shared" si="3"/>
        <v>0</v>
      </c>
      <c r="AA54" s="50">
        <f t="shared" si="4"/>
        <v>0</v>
      </c>
      <c r="AB54" s="50">
        <f t="shared" si="5"/>
        <v>0</v>
      </c>
      <c r="AC54" s="50">
        <f t="shared" si="6"/>
        <v>0</v>
      </c>
      <c r="AD54" s="50">
        <f t="shared" si="11"/>
        <v>0</v>
      </c>
      <c r="AE54">
        <v>-16</v>
      </c>
      <c r="AF54" s="12">
        <f>LCOE!E80+LCOE!G$40</f>
        <v>7.0000000000000007E-2</v>
      </c>
      <c r="AG54">
        <f t="shared" si="12"/>
        <v>0.33873459779659787</v>
      </c>
      <c r="AH54" s="16">
        <f t="shared" si="7"/>
        <v>0</v>
      </c>
      <c r="AI54" s="16">
        <f t="shared" si="8"/>
        <v>0</v>
      </c>
      <c r="AJ54" s="16">
        <f t="shared" si="9"/>
        <v>0</v>
      </c>
      <c r="AK54" s="16">
        <f t="shared" si="10"/>
        <v>0</v>
      </c>
      <c r="AL54" s="16">
        <f t="shared" si="13"/>
        <v>0</v>
      </c>
      <c r="AM54" s="16"/>
    </row>
    <row r="55" spans="1:39">
      <c r="A55">
        <v>-15</v>
      </c>
      <c r="B55" s="16">
        <f>LCOE!C81+IF(A55&gt;=((LCOE!G$17*-1)+1),LCOE!G$38/LCOE!G$17,0)</f>
        <v>0</v>
      </c>
      <c r="C55" s="16"/>
      <c r="D55" s="16"/>
      <c r="E55" s="18"/>
      <c r="Z55" s="50">
        <f t="shared" si="3"/>
        <v>0</v>
      </c>
      <c r="AA55" s="50">
        <f t="shared" si="4"/>
        <v>0</v>
      </c>
      <c r="AB55" s="50">
        <f t="shared" si="5"/>
        <v>0</v>
      </c>
      <c r="AC55" s="50">
        <f t="shared" si="6"/>
        <v>0</v>
      </c>
      <c r="AD55" s="50">
        <f t="shared" si="11"/>
        <v>0</v>
      </c>
      <c r="AE55">
        <v>-15</v>
      </c>
      <c r="AF55" s="12">
        <f>LCOE!E81+LCOE!G$40</f>
        <v>7.0000000000000007E-2</v>
      </c>
      <c r="AG55">
        <f t="shared" si="12"/>
        <v>0.36244601964235967</v>
      </c>
      <c r="AH55" s="16">
        <f t="shared" si="7"/>
        <v>0</v>
      </c>
      <c r="AI55" s="16">
        <f t="shared" si="8"/>
        <v>0</v>
      </c>
      <c r="AJ55" s="16">
        <f t="shared" si="9"/>
        <v>0</v>
      </c>
      <c r="AK55" s="16">
        <f t="shared" si="10"/>
        <v>0</v>
      </c>
      <c r="AL55" s="16">
        <f t="shared" si="13"/>
        <v>0</v>
      </c>
      <c r="AM55" s="16"/>
    </row>
    <row r="56" spans="1:39">
      <c r="A56">
        <v>-14</v>
      </c>
      <c r="B56" s="16">
        <f>LCOE!C82+IF(A56&gt;=((LCOE!G$17*-1)+1),LCOE!G$38/LCOE!G$17,0)</f>
        <v>0</v>
      </c>
      <c r="C56" s="16"/>
      <c r="D56" s="16"/>
      <c r="E56" s="18"/>
      <c r="Z56" s="50">
        <f t="shared" si="3"/>
        <v>0</v>
      </c>
      <c r="AA56" s="50">
        <f t="shared" si="4"/>
        <v>0</v>
      </c>
      <c r="AB56" s="50">
        <f t="shared" si="5"/>
        <v>0</v>
      </c>
      <c r="AC56" s="50">
        <f t="shared" si="6"/>
        <v>0</v>
      </c>
      <c r="AD56" s="50">
        <f t="shared" si="11"/>
        <v>0</v>
      </c>
      <c r="AE56">
        <v>-14</v>
      </c>
      <c r="AF56" s="12">
        <f>LCOE!E82+LCOE!G$40</f>
        <v>7.0000000000000007E-2</v>
      </c>
      <c r="AG56">
        <f t="shared" si="12"/>
        <v>0.3878172410173249</v>
      </c>
      <c r="AH56" s="16">
        <f t="shared" si="7"/>
        <v>0</v>
      </c>
      <c r="AI56" s="16">
        <f t="shared" si="8"/>
        <v>0</v>
      </c>
      <c r="AJ56" s="16">
        <f t="shared" si="9"/>
        <v>0</v>
      </c>
      <c r="AK56" s="16">
        <f t="shared" si="10"/>
        <v>0</v>
      </c>
      <c r="AL56" s="16">
        <f t="shared" si="13"/>
        <v>0</v>
      </c>
      <c r="AM56" s="16"/>
    </row>
    <row r="57" spans="1:39">
      <c r="A57">
        <v>-13</v>
      </c>
      <c r="B57" s="16">
        <f>LCOE!C83+IF(A57&gt;=((LCOE!G$17*-1)+1),LCOE!G$38/LCOE!G$17,0)</f>
        <v>0</v>
      </c>
      <c r="C57" s="16"/>
      <c r="D57" s="16"/>
      <c r="E57" s="18"/>
      <c r="Z57" s="50">
        <f t="shared" si="3"/>
        <v>0</v>
      </c>
      <c r="AA57" s="50">
        <f t="shared" si="4"/>
        <v>0</v>
      </c>
      <c r="AB57" s="50">
        <f t="shared" si="5"/>
        <v>0</v>
      </c>
      <c r="AC57" s="50">
        <f t="shared" si="6"/>
        <v>0</v>
      </c>
      <c r="AD57" s="50">
        <f t="shared" si="11"/>
        <v>0</v>
      </c>
      <c r="AE57">
        <v>-13</v>
      </c>
      <c r="AF57" s="12">
        <f>LCOE!E83+LCOE!G$40</f>
        <v>7.0000000000000007E-2</v>
      </c>
      <c r="AG57">
        <f t="shared" si="12"/>
        <v>0.41496444788853759</v>
      </c>
      <c r="AH57" s="16">
        <f t="shared" si="7"/>
        <v>0</v>
      </c>
      <c r="AI57" s="16">
        <f t="shared" si="8"/>
        <v>0</v>
      </c>
      <c r="AJ57" s="16">
        <f t="shared" si="9"/>
        <v>0</v>
      </c>
      <c r="AK57" s="16">
        <f t="shared" si="10"/>
        <v>0</v>
      </c>
      <c r="AL57" s="16">
        <f t="shared" si="13"/>
        <v>0</v>
      </c>
      <c r="AM57" s="16"/>
    </row>
    <row r="58" spans="1:39">
      <c r="A58">
        <v>-12</v>
      </c>
      <c r="B58" s="16">
        <f>LCOE!C84+IF(A58&gt;=((LCOE!G$17*-1)+1),LCOE!G$38/LCOE!G$17,0)</f>
        <v>0</v>
      </c>
      <c r="C58" s="16"/>
      <c r="D58" s="16"/>
      <c r="E58" s="18"/>
      <c r="Z58" s="50">
        <f t="shared" si="3"/>
        <v>0</v>
      </c>
      <c r="AA58" s="50">
        <f t="shared" si="4"/>
        <v>0</v>
      </c>
      <c r="AB58" s="50">
        <f t="shared" si="5"/>
        <v>0</v>
      </c>
      <c r="AC58" s="50">
        <f t="shared" si="6"/>
        <v>0</v>
      </c>
      <c r="AD58" s="50">
        <f t="shared" si="11"/>
        <v>0</v>
      </c>
      <c r="AE58">
        <v>-12</v>
      </c>
      <c r="AF58" s="12">
        <f>LCOE!E84+LCOE!G$40</f>
        <v>7.0000000000000007E-2</v>
      </c>
      <c r="AG58">
        <f t="shared" si="12"/>
        <v>0.44401195924073528</v>
      </c>
      <c r="AH58" s="16">
        <f t="shared" si="7"/>
        <v>0</v>
      </c>
      <c r="AI58" s="16">
        <f t="shared" si="8"/>
        <v>0</v>
      </c>
      <c r="AJ58" s="16">
        <f t="shared" si="9"/>
        <v>0</v>
      </c>
      <c r="AK58" s="16">
        <f t="shared" si="10"/>
        <v>0</v>
      </c>
      <c r="AL58" s="16">
        <f t="shared" si="13"/>
        <v>0</v>
      </c>
      <c r="AM58" s="16"/>
    </row>
    <row r="59" spans="1:39">
      <c r="A59">
        <v>-11</v>
      </c>
      <c r="B59" s="16">
        <f>LCOE!C85+IF(A59&gt;=((LCOE!G$17*-1)+1),LCOE!G$38/LCOE!G$17,0)</f>
        <v>0</v>
      </c>
      <c r="C59" s="16"/>
      <c r="D59" s="16"/>
      <c r="E59" s="18"/>
      <c r="Z59" s="50">
        <f t="shared" si="3"/>
        <v>0</v>
      </c>
      <c r="AA59" s="50">
        <f t="shared" si="4"/>
        <v>0</v>
      </c>
      <c r="AB59" s="50">
        <f t="shared" si="5"/>
        <v>0</v>
      </c>
      <c r="AC59" s="50">
        <f t="shared" si="6"/>
        <v>0</v>
      </c>
      <c r="AD59" s="50">
        <f t="shared" si="11"/>
        <v>0</v>
      </c>
      <c r="AE59">
        <v>-11</v>
      </c>
      <c r="AF59" s="12">
        <f>LCOE!E85+LCOE!G$40</f>
        <v>7.0000000000000007E-2</v>
      </c>
      <c r="AG59">
        <f t="shared" si="12"/>
        <v>0.47509279638758667</v>
      </c>
      <c r="AH59" s="16">
        <f t="shared" si="7"/>
        <v>0</v>
      </c>
      <c r="AI59" s="16">
        <f t="shared" si="8"/>
        <v>0</v>
      </c>
      <c r="AJ59" s="16">
        <f t="shared" si="9"/>
        <v>0</v>
      </c>
      <c r="AK59" s="16">
        <f t="shared" si="10"/>
        <v>0</v>
      </c>
      <c r="AL59" s="16">
        <f t="shared" si="13"/>
        <v>0</v>
      </c>
      <c r="AM59" s="16"/>
    </row>
    <row r="60" spans="1:39">
      <c r="A60">
        <v>-10</v>
      </c>
      <c r="B60" s="16">
        <f>LCOE!C86+IF(A60&gt;=((LCOE!G$17*-1)+1),LCOE!G$38/LCOE!G$17,0)</f>
        <v>0</v>
      </c>
      <c r="C60" s="16"/>
      <c r="D60" s="16"/>
      <c r="E60" s="18"/>
      <c r="Z60" s="50">
        <f t="shared" si="3"/>
        <v>0</v>
      </c>
      <c r="AA60" s="50">
        <f t="shared" si="4"/>
        <v>0</v>
      </c>
      <c r="AB60" s="50">
        <f t="shared" si="5"/>
        <v>0</v>
      </c>
      <c r="AC60" s="50">
        <f t="shared" si="6"/>
        <v>0</v>
      </c>
      <c r="AD60" s="50">
        <f t="shared" si="11"/>
        <v>0</v>
      </c>
      <c r="AE60">
        <v>-10</v>
      </c>
      <c r="AF60" s="12">
        <f>LCOE!E86+LCOE!G$40</f>
        <v>7.0000000000000007E-2</v>
      </c>
      <c r="AG60">
        <f t="shared" si="12"/>
        <v>0.5083492921347178</v>
      </c>
      <c r="AH60" s="16">
        <f t="shared" si="7"/>
        <v>0</v>
      </c>
      <c r="AI60" s="16">
        <f t="shared" si="8"/>
        <v>0</v>
      </c>
      <c r="AJ60" s="16">
        <f t="shared" si="9"/>
        <v>0</v>
      </c>
      <c r="AK60" s="16">
        <f t="shared" si="10"/>
        <v>0</v>
      </c>
      <c r="AL60" s="16">
        <f t="shared" si="13"/>
        <v>0</v>
      </c>
      <c r="AM60" s="16"/>
    </row>
    <row r="61" spans="1:39">
      <c r="A61">
        <v>-9</v>
      </c>
      <c r="B61" s="16">
        <f>LCOE!C87+IF(A61&gt;=((LCOE!G$17*-1)+1),LCOE!G$38/LCOE!G$17,0)</f>
        <v>0</v>
      </c>
      <c r="C61" s="16"/>
      <c r="D61" s="16"/>
      <c r="E61" s="18"/>
      <c r="Z61" s="50">
        <f t="shared" si="3"/>
        <v>0</v>
      </c>
      <c r="AA61" s="50">
        <f t="shared" si="4"/>
        <v>0</v>
      </c>
      <c r="AB61" s="50">
        <f t="shared" si="5"/>
        <v>0</v>
      </c>
      <c r="AC61" s="50">
        <f t="shared" si="6"/>
        <v>0</v>
      </c>
      <c r="AD61" s="50">
        <f t="shared" si="11"/>
        <v>0</v>
      </c>
      <c r="AE61">
        <v>-9</v>
      </c>
      <c r="AF61" s="12">
        <f>LCOE!E87+LCOE!G$40</f>
        <v>7.0000000000000007E-2</v>
      </c>
      <c r="AG61">
        <f t="shared" si="12"/>
        <v>0.54393374258414806</v>
      </c>
      <c r="AH61" s="16">
        <f t="shared" si="7"/>
        <v>0</v>
      </c>
      <c r="AI61" s="16">
        <f t="shared" si="8"/>
        <v>0</v>
      </c>
      <c r="AJ61" s="16">
        <f t="shared" si="9"/>
        <v>0</v>
      </c>
      <c r="AK61" s="16">
        <f t="shared" si="10"/>
        <v>0</v>
      </c>
      <c r="AL61" s="16">
        <f t="shared" si="13"/>
        <v>0</v>
      </c>
      <c r="AM61" s="16"/>
    </row>
    <row r="62" spans="1:39">
      <c r="A62">
        <v>-8</v>
      </c>
      <c r="B62" s="16">
        <f>LCOE!C88+IF(A62&gt;=((LCOE!G$17*-1)+1),LCOE!G$38/LCOE!G$17,0)</f>
        <v>0</v>
      </c>
      <c r="C62" s="16"/>
      <c r="D62" s="16"/>
      <c r="E62" s="18"/>
      <c r="Z62" s="50">
        <f t="shared" si="3"/>
        <v>0</v>
      </c>
      <c r="AA62" s="50">
        <f t="shared" si="4"/>
        <v>0</v>
      </c>
      <c r="AB62" s="50">
        <f t="shared" si="5"/>
        <v>0</v>
      </c>
      <c r="AC62" s="50">
        <f t="shared" si="6"/>
        <v>0</v>
      </c>
      <c r="AD62" s="50">
        <f t="shared" si="11"/>
        <v>0</v>
      </c>
      <c r="AE62">
        <v>-8</v>
      </c>
      <c r="AF62" s="12">
        <f>LCOE!E88+LCOE!G$40</f>
        <v>7.0000000000000007E-2</v>
      </c>
      <c r="AG62">
        <f t="shared" si="12"/>
        <v>0.5820091045650384</v>
      </c>
      <c r="AH62" s="16">
        <f t="shared" si="7"/>
        <v>0</v>
      </c>
      <c r="AI62" s="16">
        <f t="shared" si="8"/>
        <v>0</v>
      </c>
      <c r="AJ62" s="16">
        <f t="shared" si="9"/>
        <v>0</v>
      </c>
      <c r="AK62" s="16">
        <f t="shared" si="10"/>
        <v>0</v>
      </c>
      <c r="AL62" s="16">
        <f t="shared" si="13"/>
        <v>0</v>
      </c>
      <c r="AM62" s="16"/>
    </row>
    <row r="63" spans="1:39">
      <c r="A63">
        <v>-7</v>
      </c>
      <c r="B63" s="16">
        <f>LCOE!C89+IF(A63&gt;=((LCOE!G$17*-1)+1),LCOE!G$38/LCOE!G$17,0)</f>
        <v>0</v>
      </c>
      <c r="C63" s="16"/>
      <c r="D63" s="16"/>
      <c r="E63" s="18"/>
      <c r="Z63" s="50">
        <f t="shared" si="3"/>
        <v>0</v>
      </c>
      <c r="AA63" s="50">
        <f t="shared" si="4"/>
        <v>0</v>
      </c>
      <c r="AB63" s="50">
        <f t="shared" si="5"/>
        <v>0</v>
      </c>
      <c r="AC63" s="50">
        <f t="shared" si="6"/>
        <v>0</v>
      </c>
      <c r="AD63" s="50">
        <f t="shared" si="11"/>
        <v>0</v>
      </c>
      <c r="AE63">
        <v>-7</v>
      </c>
      <c r="AF63" s="12">
        <f>LCOE!E89+LCOE!G$40</f>
        <v>7.0000000000000007E-2</v>
      </c>
      <c r="AG63">
        <f t="shared" si="12"/>
        <v>0.62274974188459109</v>
      </c>
      <c r="AH63" s="16">
        <f t="shared" si="7"/>
        <v>0</v>
      </c>
      <c r="AI63" s="16">
        <f t="shared" si="8"/>
        <v>0</v>
      </c>
      <c r="AJ63" s="16">
        <f t="shared" si="9"/>
        <v>0</v>
      </c>
      <c r="AK63" s="16">
        <f t="shared" si="10"/>
        <v>0</v>
      </c>
      <c r="AL63" s="16">
        <f t="shared" si="13"/>
        <v>0</v>
      </c>
      <c r="AM63" s="16"/>
    </row>
    <row r="64" spans="1:39">
      <c r="A64">
        <v>-6</v>
      </c>
      <c r="B64" s="16">
        <f>LCOE!C90+IF(A64&gt;=((LCOE!G$17*-1)+1),LCOE!G$38/LCOE!G$17,0)</f>
        <v>0</v>
      </c>
      <c r="C64" s="16"/>
      <c r="D64" s="16"/>
      <c r="E64" s="18"/>
      <c r="Z64" s="50">
        <f t="shared" si="3"/>
        <v>0</v>
      </c>
      <c r="AA64" s="50">
        <f t="shared" si="4"/>
        <v>0</v>
      </c>
      <c r="AB64" s="50">
        <f t="shared" si="5"/>
        <v>0</v>
      </c>
      <c r="AC64" s="50">
        <f t="shared" si="6"/>
        <v>0</v>
      </c>
      <c r="AD64" s="50">
        <f t="shared" si="11"/>
        <v>0</v>
      </c>
      <c r="AE64">
        <v>-6</v>
      </c>
      <c r="AF64" s="12">
        <f>LCOE!E90+LCOE!G$40</f>
        <v>7.0000000000000007E-2</v>
      </c>
      <c r="AG64">
        <f t="shared" si="12"/>
        <v>0.66634222381651254</v>
      </c>
      <c r="AH64" s="16">
        <f t="shared" si="7"/>
        <v>0</v>
      </c>
      <c r="AI64" s="16">
        <f t="shared" si="8"/>
        <v>0</v>
      </c>
      <c r="AJ64" s="16">
        <f t="shared" si="9"/>
        <v>0</v>
      </c>
      <c r="AK64" s="16">
        <f t="shared" si="10"/>
        <v>0</v>
      </c>
      <c r="AL64" s="16">
        <f t="shared" si="13"/>
        <v>0</v>
      </c>
      <c r="AM64" s="16"/>
    </row>
    <row r="65" spans="1:40">
      <c r="A65">
        <v>-5</v>
      </c>
      <c r="B65" s="16">
        <f>LCOE!C91+IF(A65&gt;=((LCOE!G$17*-1)+1),LCOE!G$38/LCOE!G$17,0)</f>
        <v>0</v>
      </c>
      <c r="C65" s="16"/>
      <c r="D65" s="16"/>
      <c r="E65" s="18"/>
      <c r="Z65" s="50">
        <f t="shared" si="3"/>
        <v>0</v>
      </c>
      <c r="AA65" s="50">
        <f t="shared" si="4"/>
        <v>0</v>
      </c>
      <c r="AB65" s="50">
        <f t="shared" si="5"/>
        <v>0</v>
      </c>
      <c r="AC65" s="50">
        <f t="shared" si="6"/>
        <v>0</v>
      </c>
      <c r="AD65" s="50">
        <f t="shared" si="11"/>
        <v>0</v>
      </c>
      <c r="AE65">
        <v>-5</v>
      </c>
      <c r="AF65" s="12">
        <f>LCOE!E91+LCOE!G$40</f>
        <v>7.0000000000000007E-2</v>
      </c>
      <c r="AG65">
        <f t="shared" si="12"/>
        <v>0.71298617948366838</v>
      </c>
      <c r="AH65" s="16">
        <f t="shared" si="7"/>
        <v>0</v>
      </c>
      <c r="AI65" s="16">
        <f t="shared" si="8"/>
        <v>0</v>
      </c>
      <c r="AJ65" s="16">
        <f t="shared" si="9"/>
        <v>0</v>
      </c>
      <c r="AK65" s="16">
        <f t="shared" si="10"/>
        <v>0</v>
      </c>
      <c r="AL65" s="16">
        <f t="shared" si="13"/>
        <v>0</v>
      </c>
      <c r="AM65" s="16"/>
    </row>
    <row r="66" spans="1:40">
      <c r="A66">
        <v>-4</v>
      </c>
      <c r="B66" s="16">
        <f>LCOE!C92+IF(A66&gt;=((LCOE!G$17*-1)+1),LCOE!G$38/LCOE!G$17,0)</f>
        <v>0</v>
      </c>
      <c r="C66" s="16"/>
      <c r="D66" s="16"/>
      <c r="E66" s="18"/>
      <c r="Z66" s="50">
        <f t="shared" si="3"/>
        <v>0</v>
      </c>
      <c r="AA66" s="50">
        <f t="shared" si="4"/>
        <v>0</v>
      </c>
      <c r="AB66" s="50">
        <f t="shared" si="5"/>
        <v>0</v>
      </c>
      <c r="AC66" s="50">
        <f t="shared" si="6"/>
        <v>0</v>
      </c>
      <c r="AD66" s="50">
        <f t="shared" si="11"/>
        <v>0</v>
      </c>
      <c r="AE66">
        <v>-4</v>
      </c>
      <c r="AF66" s="12">
        <f>LCOE!E92+LCOE!G$40</f>
        <v>7.0000000000000007E-2</v>
      </c>
      <c r="AG66">
        <f t="shared" si="12"/>
        <v>0.7628952120475252</v>
      </c>
      <c r="AH66" s="16">
        <f t="shared" si="7"/>
        <v>0</v>
      </c>
      <c r="AI66" s="16">
        <f t="shared" si="8"/>
        <v>0</v>
      </c>
      <c r="AJ66" s="16">
        <f t="shared" si="9"/>
        <v>0</v>
      </c>
      <c r="AK66" s="16">
        <f t="shared" si="10"/>
        <v>0</v>
      </c>
      <c r="AL66" s="16">
        <f t="shared" si="13"/>
        <v>0</v>
      </c>
      <c r="AM66" s="16"/>
    </row>
    <row r="67" spans="1:40">
      <c r="A67">
        <v>-3</v>
      </c>
      <c r="B67" s="16">
        <f>LCOE!C93+IF(A67&gt;=((LCOE!G$17*-1)+1),LCOE!G$38/LCOE!G$17,0)</f>
        <v>0</v>
      </c>
      <c r="C67" s="16"/>
      <c r="D67" s="16"/>
      <c r="E67" s="18"/>
      <c r="Z67" s="50">
        <f t="shared" si="3"/>
        <v>0</v>
      </c>
      <c r="AA67" s="50">
        <f t="shared" si="4"/>
        <v>0</v>
      </c>
      <c r="AB67" s="50">
        <f t="shared" si="5"/>
        <v>0</v>
      </c>
      <c r="AC67" s="50">
        <f t="shared" si="6"/>
        <v>0</v>
      </c>
      <c r="AD67" s="50">
        <f t="shared" si="11"/>
        <v>0</v>
      </c>
      <c r="AE67">
        <v>-3</v>
      </c>
      <c r="AF67" s="12">
        <f>LCOE!E93+LCOE!G$40</f>
        <v>7.0000000000000007E-2</v>
      </c>
      <c r="AG67">
        <f t="shared" si="12"/>
        <v>0.81629787689085187</v>
      </c>
      <c r="AH67" s="16">
        <f t="shared" si="7"/>
        <v>0</v>
      </c>
      <c r="AI67" s="16">
        <f t="shared" si="8"/>
        <v>0</v>
      </c>
      <c r="AJ67" s="16">
        <f t="shared" si="9"/>
        <v>0</v>
      </c>
      <c r="AK67" s="16">
        <f t="shared" si="10"/>
        <v>0</v>
      </c>
      <c r="AL67" s="16">
        <f t="shared" si="13"/>
        <v>0</v>
      </c>
      <c r="AM67" s="16"/>
    </row>
    <row r="68" spans="1:40">
      <c r="A68">
        <v>-2</v>
      </c>
      <c r="B68" s="16">
        <f>LCOE!C94+IF(A68&gt;=((LCOE!G$17*-1)+1),LCOE!G$38/LCOE!G$17,0)</f>
        <v>168166666.66666666</v>
      </c>
      <c r="C68" s="16"/>
      <c r="D68" s="16"/>
      <c r="E68" s="18"/>
      <c r="Z68" s="50">
        <f t="shared" si="3"/>
        <v>168166666.66666666</v>
      </c>
      <c r="AA68" s="50">
        <f t="shared" si="4"/>
        <v>0</v>
      </c>
      <c r="AB68" s="50">
        <f t="shared" si="5"/>
        <v>0</v>
      </c>
      <c r="AC68" s="50">
        <f t="shared" si="6"/>
        <v>0</v>
      </c>
      <c r="AD68" s="50">
        <f t="shared" si="11"/>
        <v>0</v>
      </c>
      <c r="AE68">
        <v>-2</v>
      </c>
      <c r="AF68" s="12">
        <f>LCOE!E94+LCOE!G$40</f>
        <v>7.0000000000000007E-2</v>
      </c>
      <c r="AG68">
        <f t="shared" si="12"/>
        <v>0.87343872827321156</v>
      </c>
      <c r="AH68" s="16">
        <f t="shared" si="7"/>
        <v>192534016.66666666</v>
      </c>
      <c r="AI68" s="16">
        <f t="shared" si="8"/>
        <v>0</v>
      </c>
      <c r="AJ68" s="16">
        <f t="shared" si="9"/>
        <v>0</v>
      </c>
      <c r="AK68" s="16">
        <f t="shared" si="10"/>
        <v>0</v>
      </c>
      <c r="AL68" s="16">
        <f t="shared" si="13"/>
        <v>0</v>
      </c>
      <c r="AM68" s="16"/>
    </row>
    <row r="69" spans="1:40">
      <c r="A69">
        <v>-1</v>
      </c>
      <c r="B69" s="16">
        <f>LCOE!C95+IF(A69&gt;=((LCOE!G$17*-1)+1),LCOE!G$38/LCOE!G$17,0)</f>
        <v>168166666.66666666</v>
      </c>
      <c r="C69" s="16"/>
      <c r="D69" s="16"/>
      <c r="E69" s="18"/>
      <c r="Z69" s="50">
        <f t="shared" si="3"/>
        <v>168166666.66666666</v>
      </c>
      <c r="AA69" s="50">
        <f t="shared" si="4"/>
        <v>0</v>
      </c>
      <c r="AB69" s="50">
        <f t="shared" si="5"/>
        <v>0</v>
      </c>
      <c r="AC69" s="50">
        <f t="shared" si="6"/>
        <v>0</v>
      </c>
      <c r="AD69" s="50">
        <f t="shared" si="11"/>
        <v>0</v>
      </c>
      <c r="AE69">
        <v>-1</v>
      </c>
      <c r="AF69" s="12">
        <f>LCOE!E95+LCOE!G$40</f>
        <v>7.0000000000000007E-2</v>
      </c>
      <c r="AG69">
        <f t="shared" si="12"/>
        <v>0.93457943925233644</v>
      </c>
      <c r="AH69" s="16">
        <f t="shared" si="7"/>
        <v>179938333.33333331</v>
      </c>
      <c r="AI69" s="16">
        <f t="shared" si="8"/>
        <v>0</v>
      </c>
      <c r="AJ69" s="16">
        <f t="shared" si="9"/>
        <v>0</v>
      </c>
      <c r="AK69" s="16">
        <f t="shared" si="10"/>
        <v>0</v>
      </c>
      <c r="AL69" s="16">
        <f t="shared" si="13"/>
        <v>0</v>
      </c>
      <c r="AM69" s="16"/>
    </row>
    <row r="70" spans="1:40">
      <c r="A70">
        <v>0</v>
      </c>
      <c r="B70" s="16">
        <f>LCOE!C96+IF(A70&gt;=((LCOE!G$17*-1)+1),LCOE!G$38/LCOE!G$17,0)</f>
        <v>168166666.66666666</v>
      </c>
      <c r="C70" s="16">
        <f>LCOE!G96+IF(AND(LCOE!G$26&gt;0,A70&gt;=LCOE!G$26,A70&lt;=(LCOE!G$26+LCOE!G$27-1)),LCOE!G$42/LCOE!G$27,0)+IF(AND(D70=0,AE70&gt;=LCOE!G$16,COUNTIF(D45:D70,0)=LCOE!G$36),LCOE!G$35*LCOE!G$38,0)</f>
        <v>0</v>
      </c>
      <c r="D70" s="16">
        <f>IF(AE69&lt;LCOE!G$16,1,0)</f>
        <v>1</v>
      </c>
      <c r="E70" s="12">
        <f>LCOE!G96+IF(AND(A70&gt;=LCOE!G$26,A70&lt;=(LCOE!G$26+LCOE!G$27-1)),0,1)*IF(A70=LCOE!G$34,0,1)*D70</f>
        <v>1</v>
      </c>
      <c r="F70" s="14">
        <f>LCOE!G$18*50%+LCOE!J96</f>
        <v>0.45</v>
      </c>
      <c r="G70" s="16">
        <f>LCOE!K96+E70*F70*N70*(LCOE!G$14+LCOE!H96)*24*365*D70</f>
        <v>1971000</v>
      </c>
      <c r="H70" s="16">
        <f>LCOE!L96+F70*(LCOE!G$15+LCOE!I96)*E70*24*365*D70*N70</f>
        <v>0</v>
      </c>
      <c r="I70" s="16">
        <f>LCOE!M96+LCOE!G$20*IF(LCOE!G$14&gt;0,(LCOE!G$14+LCOE!H96),(LCOE!G$15+LCOE!I96))*K70*D70</f>
        <v>20000000</v>
      </c>
      <c r="J70" s="16">
        <f>LCOE!N96+LCOE!G$21*IF(LCOE!G$14&gt;0,G70,H70)*K70*D70</f>
        <v>0</v>
      </c>
      <c r="K70" s="15">
        <f>LCOE!O96+100%</f>
        <v>1</v>
      </c>
      <c r="L70" s="16">
        <f>LCOE!P96+LCOE!G$23*IF(LCOE!G$14&gt;0,G70,H70)*M70*D70</f>
        <v>84082860</v>
      </c>
      <c r="M70" s="15">
        <f>LCOE!Q96+100%</f>
        <v>1</v>
      </c>
      <c r="N70" s="15">
        <f>LCOE!R96+100%</f>
        <v>1</v>
      </c>
      <c r="O70" s="18">
        <f>LCOE!S96+LCOE!G$29</f>
        <v>313.75</v>
      </c>
      <c r="P70" s="12">
        <f>LCOE!T96+IF(A70&gt;=LCOE!G$30,100%,0%)</f>
        <v>1</v>
      </c>
      <c r="Q70" s="16">
        <f>LCOE!U96+O70/1000*IF(LCOE!G$14&gt;0,G70,H70)</f>
        <v>618401.25</v>
      </c>
      <c r="R70" s="16">
        <f>LCOE!B96</f>
        <v>30</v>
      </c>
      <c r="S70" s="16">
        <f>LCOE!V96+Q70*P70*R70</f>
        <v>18552037.5</v>
      </c>
      <c r="T70" s="16">
        <f>LCOE!W96+LCOE!G$31</f>
        <v>0</v>
      </c>
      <c r="U70" s="16">
        <f>LCOE!X96+T70*IF(LCOE!G$14&gt;0,G70,H70)</f>
        <v>0</v>
      </c>
      <c r="V70" s="16">
        <f>LCOE!Y96+LCOE!G$32</f>
        <v>0</v>
      </c>
      <c r="W70" s="16">
        <f>LCOE!Z96+V70*IF(LCOE!G$14&gt;0,G70,H70)</f>
        <v>0</v>
      </c>
      <c r="X70" s="16">
        <f>LCOE!AA96+LCOE!G$34</f>
        <v>101</v>
      </c>
      <c r="Y70" s="16">
        <f>X70*H70</f>
        <v>0</v>
      </c>
      <c r="Z70" s="50">
        <f>SUM(B70:C70)</f>
        <v>168166666.66666666</v>
      </c>
      <c r="AA70" s="50">
        <f>SUM(I70:J70)</f>
        <v>20000000</v>
      </c>
      <c r="AB70" s="50">
        <f>L70</f>
        <v>84082860</v>
      </c>
      <c r="AC70" s="50">
        <f>U70+W70</f>
        <v>0</v>
      </c>
      <c r="AD70" s="50">
        <f t="shared" si="11"/>
        <v>18552037.5</v>
      </c>
      <c r="AE70">
        <v>0</v>
      </c>
      <c r="AF70" s="12">
        <f>LCOE!E96+LCOE!G$40</f>
        <v>7.0000000000000007E-2</v>
      </c>
      <c r="AG70">
        <f t="shared" si="12"/>
        <v>1</v>
      </c>
      <c r="AH70" s="16">
        <f t="shared" si="7"/>
        <v>168166666.66666666</v>
      </c>
      <c r="AI70" s="16">
        <f t="shared" si="8"/>
        <v>20000000</v>
      </c>
      <c r="AJ70" s="16">
        <f t="shared" si="9"/>
        <v>84082860</v>
      </c>
      <c r="AK70" s="16">
        <f t="shared" si="10"/>
        <v>0</v>
      </c>
      <c r="AL70" s="16">
        <f t="shared" si="13"/>
        <v>18552037.5</v>
      </c>
      <c r="AM70" s="16">
        <f t="shared" ref="AM70:AM133" si="14">(-1)*Y70/AG70</f>
        <v>0</v>
      </c>
      <c r="AN70" s="16">
        <f>IF(LCOE!G$14&gt;0,G70,H70)/AG70</f>
        <v>1971000</v>
      </c>
    </row>
    <row r="71" spans="1:40">
      <c r="A71">
        <v>1</v>
      </c>
      <c r="C71" s="16">
        <f>LCOE!G97+IF(AND(LCOE!G$26&gt;0,A71&gt;=LCOE!G$26,A71&lt;=(LCOE!G$26+LCOE!G$27-1)),LCOE!G$42/LCOE!G$27,0)+IF(AND(D71=0,AE71&gt;=LCOE!G$16,COUNTIF(D46:D71,0)=LCOE!G$36),LCOE!G$35*LCOE!G$38,0)</f>
        <v>0</v>
      </c>
      <c r="D71" s="16">
        <f>IF(AE70&lt;LCOE!G$16,1,0)</f>
        <v>1</v>
      </c>
      <c r="E71" s="12">
        <f>LCOE!G97+IF(AND(A71&gt;=LCOE!G$26,A71&lt;=(LCOE!G$26+LCOE!G$27-1)),0,1)*IF(A71=LCOE!G$34,0,1)*D71</f>
        <v>1</v>
      </c>
      <c r="F71" s="12">
        <f>IF(F70&lt;LCOE!G$18,MIN(F70*(1+LCOE!G$19),LCOE!G$18),LCOE!G$18)+LCOE!J97</f>
        <v>0.72000000000000008</v>
      </c>
      <c r="G71" s="16">
        <f>LCOE!K97+E71*F71*N71*(LCOE!G$14+LCOE!H97)*24*365*D71</f>
        <v>3153600.0000000005</v>
      </c>
      <c r="H71" s="16">
        <f>LCOE!L97+F71*(LCOE!G$15+LCOE!I97)*E71*24*365*D71*N71</f>
        <v>0</v>
      </c>
      <c r="I71" s="16">
        <f>LCOE!M97+LCOE!G$20*IF(LCOE!G$14&gt;0,(LCOE!G$14+LCOE!H97),(LCOE!G$15+LCOE!I97))*K71*D71</f>
        <v>20000000</v>
      </c>
      <c r="J71" s="16">
        <f>LCOE!N97+LCOE!G$21*IF(LCOE!G$14&gt;0,G71,H71)*K71*D71</f>
        <v>0</v>
      </c>
      <c r="K71" s="15">
        <f>LCOE!O97+K70+K70*LCOE!G$22</f>
        <v>1</v>
      </c>
      <c r="L71" s="16">
        <f>LCOE!P97+LCOE!G$23*IF(LCOE!G$14&gt;0,G71,H71)*M71*D71</f>
        <v>134532576</v>
      </c>
      <c r="M71" s="15">
        <f>LCOE!Q97+M70+M70*LCOE!G$24</f>
        <v>1</v>
      </c>
      <c r="N71" s="15">
        <f>LCOE!R97+N70-N70*LCOE!G$25</f>
        <v>1</v>
      </c>
      <c r="O71" s="18">
        <f>LCOE!S97+LCOE!G$29</f>
        <v>313.75</v>
      </c>
      <c r="P71" s="12">
        <f>LCOE!T97+IF(A71&gt;=LCOE!G$30,100%,0%)</f>
        <v>1</v>
      </c>
      <c r="Q71" s="16">
        <f>LCOE!U97+O71/1000*IF(LCOE!G$14&gt;0,G71,H71)</f>
        <v>989442.00000000012</v>
      </c>
      <c r="R71" s="16">
        <f>LCOE!B97</f>
        <v>30</v>
      </c>
      <c r="S71" s="16">
        <f>LCOE!V97+Q71*P71*R71</f>
        <v>29683260.000000004</v>
      </c>
      <c r="T71" s="16">
        <f>LCOE!W97+LCOE!G$31</f>
        <v>0</v>
      </c>
      <c r="U71" s="16">
        <f>LCOE!X97+T71*IF(LCOE!G$14&gt;0,G71,H71)</f>
        <v>0</v>
      </c>
      <c r="V71" s="16">
        <f>LCOE!Y97+LCOE!G$32</f>
        <v>0</v>
      </c>
      <c r="W71" s="16">
        <f>LCOE!Z97+V71*IF(LCOE!G$14&gt;0,G71,H71)</f>
        <v>0</v>
      </c>
      <c r="X71" s="16">
        <f>LCOE!AA97+LCOE!G$34</f>
        <v>101</v>
      </c>
      <c r="Y71" s="16">
        <f t="shared" ref="Y71:Y134" si="15">X71*H71</f>
        <v>0</v>
      </c>
      <c r="Z71" s="50">
        <f>SUM(B71:C71)</f>
        <v>0</v>
      </c>
      <c r="AA71" s="50">
        <f>SUM(I71:J71)</f>
        <v>20000000</v>
      </c>
      <c r="AB71" s="50">
        <f>L71</f>
        <v>134532576</v>
      </c>
      <c r="AC71" s="50">
        <f t="shared" ref="AC71:AC134" si="16">U71+W71</f>
        <v>0</v>
      </c>
      <c r="AD71" s="50">
        <f t="shared" si="11"/>
        <v>29683260.000000004</v>
      </c>
      <c r="AE71">
        <f t="shared" ref="AE71:AE134" si="17">AE70+1*E71</f>
        <v>1</v>
      </c>
      <c r="AF71" s="12">
        <f>LCOE!E97+LCOE!G$40</f>
        <v>7.0000000000000007E-2</v>
      </c>
      <c r="AG71">
        <f t="shared" si="12"/>
        <v>1.07</v>
      </c>
      <c r="AH71" s="16">
        <f t="shared" si="7"/>
        <v>0</v>
      </c>
      <c r="AI71" s="16">
        <f t="shared" si="8"/>
        <v>18691588.785046726</v>
      </c>
      <c r="AJ71" s="16">
        <f t="shared" si="9"/>
        <v>125731379.43925233</v>
      </c>
      <c r="AK71" s="16">
        <f t="shared" si="10"/>
        <v>0</v>
      </c>
      <c r="AL71" s="16">
        <f t="shared" si="13"/>
        <v>27741364.485981312</v>
      </c>
      <c r="AM71" s="16">
        <f t="shared" si="14"/>
        <v>0</v>
      </c>
      <c r="AN71" s="16">
        <f>IF(LCOE!G$14&gt;0,G71,H71)/AG71</f>
        <v>2947289.7196261687</v>
      </c>
    </row>
    <row r="72" spans="1:40">
      <c r="A72">
        <v>2</v>
      </c>
      <c r="C72" s="16">
        <f>LCOE!G98+IF(AND(LCOE!G$26&gt;0,A72&gt;=LCOE!G$26,A72&lt;=(LCOE!G$26+LCOE!G$27-1)),LCOE!G$42/LCOE!G$27,0)+IF(AND(D72=0,AE72&gt;=LCOE!G$16,COUNTIF(D47:D72,0)=LCOE!G$36),LCOE!G$35*LCOE!G$38,0)</f>
        <v>0</v>
      </c>
      <c r="D72" s="16">
        <f>IF(AE71&lt;LCOE!G$16,1,0)</f>
        <v>1</v>
      </c>
      <c r="E72" s="12">
        <f>LCOE!G98+IF(AND(A72&gt;=LCOE!G$26,A72&lt;=(LCOE!G$26+LCOE!G$27-1)),0,1)*IF(A72=LCOE!G$34,0,1)*D72</f>
        <v>1</v>
      </c>
      <c r="F72" s="12">
        <f>IF(F71&lt;LCOE!G$18,MIN(F71*(1+LCOE!G$19),LCOE!G$18),LCOE!G$18)+LCOE!J98</f>
        <v>0.9</v>
      </c>
      <c r="G72" s="16">
        <f>LCOE!K98+E72*F72*N72*(LCOE!G$14+LCOE!H98)*24*365*D72</f>
        <v>3942000</v>
      </c>
      <c r="H72" s="16">
        <f>LCOE!L98+F72*(LCOE!G$15+LCOE!I98)*E72*24*365*D72*N72</f>
        <v>0</v>
      </c>
      <c r="I72" s="16">
        <f>LCOE!M98+LCOE!G$20*IF(LCOE!G$14&gt;0,(LCOE!G$14+LCOE!H98),(LCOE!G$15+LCOE!I98))*K72*D72</f>
        <v>20000000</v>
      </c>
      <c r="J72" s="16">
        <f>LCOE!N98+LCOE!G$21*IF(LCOE!G$14&gt;0,G72,H72)*K72*D72</f>
        <v>0</v>
      </c>
      <c r="K72" s="15">
        <f>LCOE!O98+K71+K71*LCOE!G$22</f>
        <v>1</v>
      </c>
      <c r="L72" s="16">
        <f>LCOE!P98+LCOE!G$23*IF(LCOE!G$14&gt;0,G72,H72)*M72*D72</f>
        <v>168165720</v>
      </c>
      <c r="M72" s="15">
        <f>LCOE!Q98+M71+M71*LCOE!G$24</f>
        <v>1</v>
      </c>
      <c r="N72" s="15">
        <f>LCOE!R98+N71-N71*LCOE!G$25</f>
        <v>1</v>
      </c>
      <c r="O72" s="18">
        <f>LCOE!S98+LCOE!G$29</f>
        <v>313.75</v>
      </c>
      <c r="P72" s="12">
        <f>LCOE!T98+IF(A72&gt;=LCOE!G$30,100%,0%)</f>
        <v>1</v>
      </c>
      <c r="Q72" s="16">
        <f>LCOE!U98+O72/1000*IF(LCOE!G$14&gt;0,G72,H72)</f>
        <v>1236802.5</v>
      </c>
      <c r="R72" s="16">
        <f>LCOE!B98</f>
        <v>30</v>
      </c>
      <c r="S72" s="16">
        <f>LCOE!V98+Q72*P72*R72</f>
        <v>37104075</v>
      </c>
      <c r="T72" s="16">
        <f>LCOE!W98+LCOE!G$31</f>
        <v>0</v>
      </c>
      <c r="U72" s="16">
        <f>LCOE!X98+T72*IF(LCOE!G$14&gt;0,G72,H72)</f>
        <v>0</v>
      </c>
      <c r="V72" s="16">
        <f>LCOE!Y98+LCOE!G$32</f>
        <v>0</v>
      </c>
      <c r="W72" s="16">
        <f>LCOE!Z98+V72*IF(LCOE!G$14&gt;0,G72,H72)</f>
        <v>0</v>
      </c>
      <c r="X72" s="16">
        <f>LCOE!AA98+LCOE!G$34</f>
        <v>101</v>
      </c>
      <c r="Y72" s="16">
        <f t="shared" si="15"/>
        <v>0</v>
      </c>
      <c r="Z72" s="50">
        <f t="shared" ref="Z72:Z135" si="18">SUM(B72:C72)</f>
        <v>0</v>
      </c>
      <c r="AA72" s="50">
        <f t="shared" ref="AA72:AA135" si="19">SUM(I72:J72)</f>
        <v>20000000</v>
      </c>
      <c r="AB72" s="50">
        <f t="shared" ref="AB72:AB135" si="20">L72</f>
        <v>168165720</v>
      </c>
      <c r="AC72" s="50">
        <f t="shared" si="16"/>
        <v>0</v>
      </c>
      <c r="AD72" s="50">
        <f t="shared" si="11"/>
        <v>37104075</v>
      </c>
      <c r="AE72">
        <f t="shared" si="17"/>
        <v>2</v>
      </c>
      <c r="AF72" s="12">
        <f>LCOE!E98+LCOE!G$40</f>
        <v>7.0000000000000007E-2</v>
      </c>
      <c r="AG72">
        <f t="shared" si="12"/>
        <v>1.1449</v>
      </c>
      <c r="AH72" s="16">
        <f t="shared" si="7"/>
        <v>0</v>
      </c>
      <c r="AI72" s="16">
        <f t="shared" si="8"/>
        <v>17468774.565464232</v>
      </c>
      <c r="AJ72" s="16">
        <f t="shared" si="9"/>
        <v>146882452.61594898</v>
      </c>
      <c r="AK72" s="16">
        <f t="shared" si="10"/>
        <v>0</v>
      </c>
      <c r="AL72" s="16">
        <f t="shared" si="13"/>
        <v>32408136.081753865</v>
      </c>
      <c r="AM72" s="16">
        <f t="shared" si="14"/>
        <v>0</v>
      </c>
      <c r="AN72" s="16">
        <f>IF(LCOE!G$14&gt;0,G72,H72)/AG72</f>
        <v>3443095.4668530002</v>
      </c>
    </row>
    <row r="73" spans="1:40">
      <c r="A73">
        <v>3</v>
      </c>
      <c r="C73" s="16">
        <f>LCOE!G99+IF(AND(LCOE!G$26&gt;0,A73&gt;=LCOE!G$26,A73&lt;=(LCOE!G$26+LCOE!G$27-1)),LCOE!G$42/LCOE!G$27,0)+IF(AND(D73=0,AE73&gt;=LCOE!G$16,COUNTIF(D48:D73,0)=LCOE!G$36),LCOE!G$35*LCOE!G$38,0)</f>
        <v>0</v>
      </c>
      <c r="D73" s="16">
        <f>IF(AE72&lt;LCOE!G$16,1,0)</f>
        <v>1</v>
      </c>
      <c r="E73" s="12">
        <f>LCOE!G99+IF(AND(A73&gt;=LCOE!G$26,A73&lt;=(LCOE!G$26+LCOE!G$27-1)),0,1)*IF(A73=LCOE!G$34,0,1)*D73</f>
        <v>1</v>
      </c>
      <c r="F73" s="12">
        <f>IF(F72&lt;LCOE!G$18,MIN(F72*(1+LCOE!G$19),LCOE!G$18),LCOE!G$18)+LCOE!J99</f>
        <v>0.9</v>
      </c>
      <c r="G73" s="16">
        <f>LCOE!K99+E73*F73*N73*(LCOE!G$14+LCOE!H99)*24*365*D73</f>
        <v>3942000</v>
      </c>
      <c r="H73" s="16">
        <f>LCOE!L99+F73*(LCOE!G$15+LCOE!I99)*E73*24*365*D73*N73</f>
        <v>0</v>
      </c>
      <c r="I73" s="16">
        <f>LCOE!M99+LCOE!G$20*IF(LCOE!G$14&gt;0,(LCOE!G$14+LCOE!H99),(LCOE!G$15+LCOE!I99))*K73*D73</f>
        <v>20000000</v>
      </c>
      <c r="J73" s="16">
        <f>LCOE!N99+LCOE!G$21*IF(LCOE!G$14&gt;0,G73,H73)*K73*D73</f>
        <v>0</v>
      </c>
      <c r="K73" s="15">
        <f>LCOE!O99+K72+K72*LCOE!G$22</f>
        <v>1</v>
      </c>
      <c r="L73" s="16">
        <f>LCOE!P99+LCOE!G$23*IF(LCOE!G$14&gt;0,G73,H73)*M73*D73</f>
        <v>168165720</v>
      </c>
      <c r="M73" s="15">
        <f>LCOE!Q99+M72+M72*LCOE!G$24</f>
        <v>1</v>
      </c>
      <c r="N73" s="15">
        <f>LCOE!R99+N72-N72*LCOE!G$25</f>
        <v>1</v>
      </c>
      <c r="O73" s="18">
        <f>LCOE!S99+LCOE!G$29</f>
        <v>313.75</v>
      </c>
      <c r="P73" s="12">
        <f>LCOE!T99+IF(A73&gt;=LCOE!G$30,100%,0%)</f>
        <v>1</v>
      </c>
      <c r="Q73" s="16">
        <f>LCOE!U99+O73/1000*IF(LCOE!G$14&gt;0,G73,H73)</f>
        <v>1236802.5</v>
      </c>
      <c r="R73" s="16">
        <f>LCOE!B99</f>
        <v>30</v>
      </c>
      <c r="S73" s="16">
        <f>LCOE!V99+Q73*P73*R73</f>
        <v>37104075</v>
      </c>
      <c r="T73" s="16">
        <f>LCOE!W99+LCOE!G$31</f>
        <v>0</v>
      </c>
      <c r="U73" s="16">
        <f>LCOE!X99+T73*IF(LCOE!G$14&gt;0,G73,H73)</f>
        <v>0</v>
      </c>
      <c r="V73" s="16">
        <f>LCOE!Y99+LCOE!G$32</f>
        <v>0</v>
      </c>
      <c r="W73" s="16">
        <f>LCOE!Z99+V73*IF(LCOE!G$14&gt;0,G73,H73)</f>
        <v>0</v>
      </c>
      <c r="X73" s="16">
        <f>LCOE!AA99+LCOE!G$34</f>
        <v>101</v>
      </c>
      <c r="Y73" s="16">
        <f t="shared" si="15"/>
        <v>0</v>
      </c>
      <c r="Z73" s="50">
        <f t="shared" si="18"/>
        <v>0</v>
      </c>
      <c r="AA73" s="50">
        <f t="shared" si="19"/>
        <v>20000000</v>
      </c>
      <c r="AB73" s="50">
        <f t="shared" si="20"/>
        <v>168165720</v>
      </c>
      <c r="AC73" s="50">
        <f t="shared" si="16"/>
        <v>0</v>
      </c>
      <c r="AD73" s="50">
        <f t="shared" si="11"/>
        <v>37104075</v>
      </c>
      <c r="AE73">
        <f t="shared" si="17"/>
        <v>3</v>
      </c>
      <c r="AF73" s="12">
        <f>LCOE!E99+LCOE!G$40</f>
        <v>7.0000000000000007E-2</v>
      </c>
      <c r="AG73">
        <f t="shared" si="12"/>
        <v>1.2250430000000001</v>
      </c>
      <c r="AH73" s="16">
        <f t="shared" si="7"/>
        <v>0</v>
      </c>
      <c r="AI73" s="16">
        <f t="shared" si="8"/>
        <v>16325957.537817039</v>
      </c>
      <c r="AJ73" s="16">
        <f t="shared" si="9"/>
        <v>137273320.20182148</v>
      </c>
      <c r="AK73" s="16">
        <f t="shared" si="10"/>
        <v>0</v>
      </c>
      <c r="AL73" s="16">
        <f t="shared" si="13"/>
        <v>30287977.646498937</v>
      </c>
      <c r="AM73" s="16">
        <f t="shared" si="14"/>
        <v>0</v>
      </c>
      <c r="AN73" s="16">
        <f>IF(LCOE!G$14&gt;0,G73,H73)/AG73</f>
        <v>3217846.2307037385</v>
      </c>
    </row>
    <row r="74" spans="1:40">
      <c r="A74">
        <v>4</v>
      </c>
      <c r="C74" s="16">
        <f>LCOE!G100+IF(AND(LCOE!G$26&gt;0,A74&gt;=LCOE!G$26,A74&lt;=(LCOE!G$26+LCOE!G$27-1)),LCOE!G$42/LCOE!G$27,0)+IF(AND(D74=0,AE74&gt;=LCOE!G$16,COUNTIF(D49:D74,0)=LCOE!G$36),LCOE!G$35*LCOE!G$38,0)</f>
        <v>0</v>
      </c>
      <c r="D74" s="16">
        <f>IF(AE73&lt;LCOE!G$16,1,0)</f>
        <v>1</v>
      </c>
      <c r="E74" s="12">
        <f>LCOE!G100+IF(AND(A74&gt;=LCOE!G$26,A74&lt;=(LCOE!G$26+LCOE!G$27-1)),0,1)*IF(A74=LCOE!G$34,0,1)*D74</f>
        <v>1</v>
      </c>
      <c r="F74" s="12">
        <f>IF(F73&lt;LCOE!G$18,MIN(F73*(1+LCOE!G$19),LCOE!G$18),LCOE!G$18)+LCOE!J100</f>
        <v>0.9</v>
      </c>
      <c r="G74" s="16">
        <f>LCOE!K100+E74*F74*N74*(LCOE!G$14+LCOE!H100)*24*365*D74</f>
        <v>3942000</v>
      </c>
      <c r="H74" s="16">
        <f>LCOE!L100+F74*(LCOE!G$15+LCOE!I100)*E74*24*365*D74*N74</f>
        <v>0</v>
      </c>
      <c r="I74" s="16">
        <f>LCOE!M100+LCOE!G$20*IF(LCOE!G$14&gt;0,(LCOE!G$14+LCOE!H100),(LCOE!G$15+LCOE!I100))*K74*D74</f>
        <v>20000000</v>
      </c>
      <c r="J74" s="16">
        <f>LCOE!N100+LCOE!G$21*IF(LCOE!G$14&gt;0,G74,H74)*K74*D74</f>
        <v>0</v>
      </c>
      <c r="K74" s="15">
        <f>LCOE!O100+K73+K73*LCOE!G$22</f>
        <v>1</v>
      </c>
      <c r="L74" s="16">
        <f>LCOE!P100+LCOE!G$23*IF(LCOE!G$14&gt;0,G74,H74)*M74*D74</f>
        <v>168165720</v>
      </c>
      <c r="M74" s="15">
        <f>LCOE!Q100+M73+M73*LCOE!G$24</f>
        <v>1</v>
      </c>
      <c r="N74" s="15">
        <f>LCOE!R100+N73-N73*LCOE!G$25</f>
        <v>1</v>
      </c>
      <c r="O74" s="18">
        <f>LCOE!S100+LCOE!G$29</f>
        <v>313.75</v>
      </c>
      <c r="P74" s="12">
        <f>LCOE!T100+IF(A74&gt;=LCOE!G$30,100%,0%)</f>
        <v>1</v>
      </c>
      <c r="Q74" s="16">
        <f>LCOE!U100+O74/1000*IF(LCOE!G$14&gt;0,G74,H74)</f>
        <v>1236802.5</v>
      </c>
      <c r="R74" s="16">
        <f>LCOE!B100</f>
        <v>30</v>
      </c>
      <c r="S74" s="16">
        <f>LCOE!V100+Q74*P74*R74</f>
        <v>37104075</v>
      </c>
      <c r="T74" s="16">
        <f>LCOE!W100+LCOE!G$31</f>
        <v>0</v>
      </c>
      <c r="U74" s="16">
        <f>LCOE!X100+T74*IF(LCOE!G$14&gt;0,G74,H74)</f>
        <v>0</v>
      </c>
      <c r="V74" s="16">
        <f>LCOE!Y100+LCOE!G$32</f>
        <v>0</v>
      </c>
      <c r="W74" s="16">
        <f>LCOE!Z100+V74*IF(LCOE!G$14&gt;0,G74,H74)</f>
        <v>0</v>
      </c>
      <c r="X74" s="16">
        <f>LCOE!AA100+LCOE!G$34</f>
        <v>101</v>
      </c>
      <c r="Y74" s="16">
        <f t="shared" si="15"/>
        <v>0</v>
      </c>
      <c r="Z74" s="50">
        <f t="shared" si="18"/>
        <v>0</v>
      </c>
      <c r="AA74" s="50">
        <f t="shared" si="19"/>
        <v>20000000</v>
      </c>
      <c r="AB74" s="50">
        <f t="shared" si="20"/>
        <v>168165720</v>
      </c>
      <c r="AC74" s="50">
        <f t="shared" si="16"/>
        <v>0</v>
      </c>
      <c r="AD74" s="50">
        <f t="shared" si="11"/>
        <v>37104075</v>
      </c>
      <c r="AE74">
        <f t="shared" si="17"/>
        <v>4</v>
      </c>
      <c r="AF74" s="12">
        <f>LCOE!E100+LCOE!G$40</f>
        <v>7.0000000000000007E-2</v>
      </c>
      <c r="AG74">
        <f t="shared" si="12"/>
        <v>1.31079601</v>
      </c>
      <c r="AH74" s="16">
        <f t="shared" si="7"/>
        <v>0</v>
      </c>
      <c r="AI74" s="16">
        <f t="shared" si="8"/>
        <v>15257904.240950504</v>
      </c>
      <c r="AJ74" s="16">
        <f t="shared" si="9"/>
        <v>128292822.61852476</v>
      </c>
      <c r="AK74" s="16">
        <f t="shared" si="10"/>
        <v>0</v>
      </c>
      <c r="AL74" s="16">
        <f t="shared" si="13"/>
        <v>28306521.164952278</v>
      </c>
      <c r="AM74" s="16">
        <f t="shared" si="14"/>
        <v>0</v>
      </c>
      <c r="AN74" s="16">
        <f>IF(LCOE!G$14&gt;0,G74,H74)/AG74</f>
        <v>3007332.9258913444</v>
      </c>
    </row>
    <row r="75" spans="1:40">
      <c r="A75">
        <v>5</v>
      </c>
      <c r="C75" s="16">
        <f>LCOE!G101+IF(AND(LCOE!G$26&gt;0,A75&gt;=LCOE!G$26,A75&lt;=(LCOE!G$26+LCOE!G$27-1)),LCOE!G$42/LCOE!G$27,0)+IF(AND(D75=0,AE75&gt;=LCOE!G$16,COUNTIF(D50:D75,0)=LCOE!G$36),LCOE!G$35*LCOE!G$38,0)</f>
        <v>0</v>
      </c>
      <c r="D75" s="16">
        <f>IF(AE74&lt;LCOE!G$16,1,0)</f>
        <v>1</v>
      </c>
      <c r="E75" s="12">
        <f>LCOE!G101+IF(AND(A75&gt;=LCOE!G$26,A75&lt;=(LCOE!G$26+LCOE!G$27-1)),0,1)*IF(A75=LCOE!G$34,0,1)*D75</f>
        <v>1</v>
      </c>
      <c r="F75" s="12">
        <f>IF(F74&lt;LCOE!G$18,MIN(F74*(1+LCOE!G$19),LCOE!G$18),LCOE!G$18)+LCOE!J101</f>
        <v>0.9</v>
      </c>
      <c r="G75" s="16">
        <f>LCOE!K101+E75*F75*N75*(LCOE!G$14+LCOE!H101)*24*365*D75</f>
        <v>3942000</v>
      </c>
      <c r="H75" s="16">
        <f>LCOE!L101+F75*(LCOE!G$15+LCOE!I101)*E75*24*365*D75*N75</f>
        <v>0</v>
      </c>
      <c r="I75" s="16">
        <f>LCOE!M101+LCOE!G$20*IF(LCOE!G$14&gt;0,(LCOE!G$14+LCOE!H101),(LCOE!G$15+LCOE!I101))*K75*D75</f>
        <v>20000000</v>
      </c>
      <c r="J75" s="16">
        <f>LCOE!N101+LCOE!G$21*IF(LCOE!G$14&gt;0,G75,H75)*K75*D75</f>
        <v>0</v>
      </c>
      <c r="K75" s="15">
        <f>LCOE!O101+K74+K74*LCOE!G$22</f>
        <v>1</v>
      </c>
      <c r="L75" s="16">
        <f>LCOE!P101+LCOE!G$23*IF(LCOE!G$14&gt;0,G75,H75)*M75*D75</f>
        <v>168165720</v>
      </c>
      <c r="M75" s="15">
        <f>LCOE!Q101+M74+M74*LCOE!G$24</f>
        <v>1</v>
      </c>
      <c r="N75" s="15">
        <f>LCOE!R101+N74-N74*LCOE!G$25</f>
        <v>1</v>
      </c>
      <c r="O75" s="18">
        <f>LCOE!S101+LCOE!G$29</f>
        <v>313.75</v>
      </c>
      <c r="P75" s="12">
        <f>LCOE!T101+IF(A75&gt;=LCOE!G$30,100%,0%)</f>
        <v>1</v>
      </c>
      <c r="Q75" s="16">
        <f>LCOE!U101+O75/1000*IF(LCOE!G$14&gt;0,G75,H75)</f>
        <v>1236802.5</v>
      </c>
      <c r="R75" s="16">
        <f>LCOE!B101</f>
        <v>30</v>
      </c>
      <c r="S75" s="16">
        <f>LCOE!V101+Q75*P75*R75</f>
        <v>37104075</v>
      </c>
      <c r="T75" s="16">
        <f>LCOE!W101+LCOE!G$31</f>
        <v>0</v>
      </c>
      <c r="U75" s="16">
        <f>LCOE!X101+T75*IF(LCOE!G$14&gt;0,G75,H75)</f>
        <v>0</v>
      </c>
      <c r="V75" s="16">
        <f>LCOE!Y101+LCOE!G$32</f>
        <v>0</v>
      </c>
      <c r="W75" s="16">
        <f>LCOE!Z101+V75*IF(LCOE!G$14&gt;0,G75,H75)</f>
        <v>0</v>
      </c>
      <c r="X75" s="16">
        <f>LCOE!AA101+LCOE!G$34</f>
        <v>101</v>
      </c>
      <c r="Y75" s="16">
        <f t="shared" si="15"/>
        <v>0</v>
      </c>
      <c r="Z75" s="50">
        <f t="shared" si="18"/>
        <v>0</v>
      </c>
      <c r="AA75" s="50">
        <f t="shared" si="19"/>
        <v>20000000</v>
      </c>
      <c r="AB75" s="50">
        <f t="shared" si="20"/>
        <v>168165720</v>
      </c>
      <c r="AC75" s="50">
        <f t="shared" si="16"/>
        <v>0</v>
      </c>
      <c r="AD75" s="50">
        <f t="shared" si="11"/>
        <v>37104075</v>
      </c>
      <c r="AE75">
        <f t="shared" si="17"/>
        <v>5</v>
      </c>
      <c r="AF75" s="12">
        <f>LCOE!E101+LCOE!G$40</f>
        <v>7.0000000000000007E-2</v>
      </c>
      <c r="AG75">
        <f t="shared" si="12"/>
        <v>1.4025517307000002</v>
      </c>
      <c r="AH75" s="16">
        <f t="shared" si="7"/>
        <v>0</v>
      </c>
      <c r="AI75" s="16">
        <f t="shared" si="8"/>
        <v>14259723.589673366</v>
      </c>
      <c r="AJ75" s="16">
        <f t="shared" si="9"/>
        <v>119899834.22292031</v>
      </c>
      <c r="AK75" s="16">
        <f t="shared" si="10"/>
        <v>0</v>
      </c>
      <c r="AL75" s="16">
        <f t="shared" si="13"/>
        <v>26454692.677525491</v>
      </c>
      <c r="AM75" s="16">
        <f t="shared" si="14"/>
        <v>0</v>
      </c>
      <c r="AN75" s="16">
        <f>IF(LCOE!G$14&gt;0,G75,H75)/AG75</f>
        <v>2810591.5195246208</v>
      </c>
    </row>
    <row r="76" spans="1:40">
      <c r="A76">
        <v>6</v>
      </c>
      <c r="C76" s="16">
        <f>LCOE!G102+IF(AND(LCOE!G$26&gt;0,A76&gt;=LCOE!G$26,A76&lt;=(LCOE!G$26+LCOE!G$27-1)),LCOE!G$42/LCOE!G$27,0)+IF(AND(D76=0,AE76&gt;=LCOE!G$16,COUNTIF(D51:D76,0)=LCOE!G$36),LCOE!G$35*LCOE!G$38,0)</f>
        <v>0</v>
      </c>
      <c r="D76" s="16">
        <f>IF(AE75&lt;LCOE!G$16,1,0)</f>
        <v>1</v>
      </c>
      <c r="E76" s="12">
        <f>LCOE!G102+IF(AND(A76&gt;=LCOE!G$26,A76&lt;=(LCOE!G$26+LCOE!G$27-1)),0,1)*IF(A76=LCOE!G$34,0,1)*D76</f>
        <v>1</v>
      </c>
      <c r="F76" s="12">
        <f>IF(F75&lt;LCOE!G$18,MIN(F75*(1+LCOE!G$19),LCOE!G$18),LCOE!G$18)+LCOE!J102</f>
        <v>0.9</v>
      </c>
      <c r="G76" s="16">
        <f>LCOE!K102+E76*F76*N76*(LCOE!G$14+LCOE!H102)*24*365*D76</f>
        <v>3942000</v>
      </c>
      <c r="H76" s="16">
        <f>LCOE!L102+F76*(LCOE!G$15+LCOE!I102)*E76*24*365*D76*N76</f>
        <v>0</v>
      </c>
      <c r="I76" s="16">
        <f>LCOE!M102+LCOE!G$20*IF(LCOE!G$14&gt;0,(LCOE!G$14+LCOE!H102),(LCOE!G$15+LCOE!I102))*K76*D76</f>
        <v>20000000</v>
      </c>
      <c r="J76" s="16">
        <f>LCOE!N102+LCOE!G$21*IF(LCOE!G$14&gt;0,G76,H76)*K76*D76</f>
        <v>0</v>
      </c>
      <c r="K76" s="15">
        <f>LCOE!O102+K75+K75*LCOE!G$22</f>
        <v>1</v>
      </c>
      <c r="L76" s="16">
        <f>LCOE!P102+LCOE!G$23*IF(LCOE!G$14&gt;0,G76,H76)*M76*D76</f>
        <v>168165720</v>
      </c>
      <c r="M76" s="15">
        <f>LCOE!Q102+M75+M75*LCOE!G$24</f>
        <v>1</v>
      </c>
      <c r="N76" s="15">
        <f>LCOE!R102+N75-N75*LCOE!G$25</f>
        <v>1</v>
      </c>
      <c r="O76" s="18">
        <f>LCOE!S102+LCOE!G$29</f>
        <v>313.75</v>
      </c>
      <c r="P76" s="12">
        <f>LCOE!T102+IF(A76&gt;=LCOE!G$30,100%,0%)</f>
        <v>1</v>
      </c>
      <c r="Q76" s="16">
        <f>LCOE!U102+O76/1000*IF(LCOE!G$14&gt;0,G76,H76)</f>
        <v>1236802.5</v>
      </c>
      <c r="R76" s="16">
        <f>LCOE!B102</f>
        <v>30</v>
      </c>
      <c r="S76" s="16">
        <f>LCOE!V102+Q76*P76*R76</f>
        <v>37104075</v>
      </c>
      <c r="T76" s="16">
        <f>LCOE!W102+LCOE!G$31</f>
        <v>0</v>
      </c>
      <c r="U76" s="16">
        <f>LCOE!X102+T76*IF(LCOE!G$14&gt;0,G76,H76)</f>
        <v>0</v>
      </c>
      <c r="V76" s="16">
        <f>LCOE!Y102+LCOE!G$32</f>
        <v>0</v>
      </c>
      <c r="W76" s="16">
        <f>LCOE!Z102+V76*IF(LCOE!G$14&gt;0,G76,H76)</f>
        <v>0</v>
      </c>
      <c r="X76" s="16">
        <f>LCOE!AA102+LCOE!G$34</f>
        <v>101</v>
      </c>
      <c r="Y76" s="16">
        <f t="shared" si="15"/>
        <v>0</v>
      </c>
      <c r="Z76" s="50">
        <f t="shared" si="18"/>
        <v>0</v>
      </c>
      <c r="AA76" s="50">
        <f t="shared" si="19"/>
        <v>20000000</v>
      </c>
      <c r="AB76" s="50">
        <f t="shared" si="20"/>
        <v>168165720</v>
      </c>
      <c r="AC76" s="50">
        <f t="shared" si="16"/>
        <v>0</v>
      </c>
      <c r="AD76" s="50">
        <f t="shared" si="11"/>
        <v>37104075</v>
      </c>
      <c r="AE76">
        <f t="shared" si="17"/>
        <v>6</v>
      </c>
      <c r="AF76" s="12">
        <f>LCOE!E102+LCOE!G$40</f>
        <v>7.0000000000000007E-2</v>
      </c>
      <c r="AG76">
        <f t="shared" si="12"/>
        <v>1.5007303518490001</v>
      </c>
      <c r="AH76" s="16">
        <f t="shared" si="7"/>
        <v>0</v>
      </c>
      <c r="AI76" s="16">
        <f t="shared" si="8"/>
        <v>13326844.476330251</v>
      </c>
      <c r="AJ76" s="16">
        <f t="shared" si="9"/>
        <v>112055919.83450498</v>
      </c>
      <c r="AK76" s="16">
        <f t="shared" si="10"/>
        <v>0</v>
      </c>
      <c r="AL76" s="16">
        <f t="shared" si="13"/>
        <v>24724011.848154668</v>
      </c>
      <c r="AM76" s="16">
        <f t="shared" si="14"/>
        <v>0</v>
      </c>
      <c r="AN76" s="16">
        <f>IF(LCOE!G$14&gt;0,G76,H76)/AG76</f>
        <v>2626721.0462846924</v>
      </c>
    </row>
    <row r="77" spans="1:40">
      <c r="A77">
        <v>7</v>
      </c>
      <c r="C77" s="16">
        <f>LCOE!G103+IF(AND(LCOE!G$26&gt;0,A77&gt;=LCOE!G$26,A77&lt;=(LCOE!G$26+LCOE!G$27-1)),LCOE!G$42/LCOE!G$27,0)+IF(AND(D77=0,AE77&gt;=LCOE!G$16,COUNTIF(D52:D77,0)=LCOE!G$36),LCOE!G$35*LCOE!G$38,0)</f>
        <v>0</v>
      </c>
      <c r="D77" s="16">
        <f>IF(AE76&lt;LCOE!G$16,1,0)</f>
        <v>1</v>
      </c>
      <c r="E77" s="12">
        <f>LCOE!G103+IF(AND(A77&gt;=LCOE!G$26,A77&lt;=(LCOE!G$26+LCOE!G$27-1)),0,1)*IF(A77=LCOE!G$34,0,1)*D77</f>
        <v>1</v>
      </c>
      <c r="F77" s="12">
        <f>IF(F76&lt;LCOE!G$18,MIN(F76*(1+LCOE!G$19),LCOE!G$18),LCOE!G$18)+LCOE!J103</f>
        <v>0.9</v>
      </c>
      <c r="G77" s="16">
        <f>LCOE!K103+E77*F77*N77*(LCOE!G$14+LCOE!H103)*24*365*D77</f>
        <v>3942000</v>
      </c>
      <c r="H77" s="16">
        <f>LCOE!L103+F77*(LCOE!G$15+LCOE!I103)*E77*24*365*D77*N77</f>
        <v>0</v>
      </c>
      <c r="I77" s="16">
        <f>LCOE!M103+LCOE!G$20*IF(LCOE!G$14&gt;0,(LCOE!G$14+LCOE!H103),(LCOE!G$15+LCOE!I103))*K77*D77</f>
        <v>20000000</v>
      </c>
      <c r="J77" s="16">
        <f>LCOE!N103+LCOE!G$21*IF(LCOE!G$14&gt;0,G77,H77)*K77*D77</f>
        <v>0</v>
      </c>
      <c r="K77" s="15">
        <f>LCOE!O103+K76+K76*LCOE!G$22</f>
        <v>1</v>
      </c>
      <c r="L77" s="16">
        <f>LCOE!P103+LCOE!G$23*IF(LCOE!G$14&gt;0,G77,H77)*M77*D77</f>
        <v>168165720</v>
      </c>
      <c r="M77" s="15">
        <f>LCOE!Q103+M76+M76*LCOE!G$24</f>
        <v>1</v>
      </c>
      <c r="N77" s="15">
        <f>LCOE!R103+N76-N76*LCOE!G$25</f>
        <v>1</v>
      </c>
      <c r="O77" s="18">
        <f>LCOE!S103+LCOE!G$29</f>
        <v>313.75</v>
      </c>
      <c r="P77" s="12">
        <f>LCOE!T103+IF(A77&gt;=LCOE!G$30,100%,0%)</f>
        <v>1</v>
      </c>
      <c r="Q77" s="16">
        <f>LCOE!U103+O77/1000*IF(LCOE!G$14&gt;0,G77,H77)</f>
        <v>1236802.5</v>
      </c>
      <c r="R77" s="16">
        <f>LCOE!B103</f>
        <v>30</v>
      </c>
      <c r="S77" s="16">
        <f>LCOE!V103+Q77*P77*R77</f>
        <v>37104075</v>
      </c>
      <c r="T77" s="16">
        <f>LCOE!W103+LCOE!G$31</f>
        <v>0</v>
      </c>
      <c r="U77" s="16">
        <f>LCOE!X103+T77*IF(LCOE!G$14&gt;0,G77,H77)</f>
        <v>0</v>
      </c>
      <c r="V77" s="16">
        <f>LCOE!Y103+LCOE!G$32</f>
        <v>0</v>
      </c>
      <c r="W77" s="16">
        <f>LCOE!Z103+V77*IF(LCOE!G$14&gt;0,G77,H77)</f>
        <v>0</v>
      </c>
      <c r="X77" s="16">
        <f>LCOE!AA103+LCOE!G$34</f>
        <v>101</v>
      </c>
      <c r="Y77" s="16">
        <f t="shared" si="15"/>
        <v>0</v>
      </c>
      <c r="Z77" s="50">
        <f t="shared" si="18"/>
        <v>0</v>
      </c>
      <c r="AA77" s="50">
        <f t="shared" si="19"/>
        <v>20000000</v>
      </c>
      <c r="AB77" s="50">
        <f t="shared" si="20"/>
        <v>168165720</v>
      </c>
      <c r="AC77" s="50">
        <f t="shared" si="16"/>
        <v>0</v>
      </c>
      <c r="AD77" s="50">
        <f t="shared" si="11"/>
        <v>37104075</v>
      </c>
      <c r="AE77">
        <f t="shared" si="17"/>
        <v>7</v>
      </c>
      <c r="AF77" s="12">
        <f>LCOE!E103+LCOE!G$40</f>
        <v>7.0000000000000007E-2</v>
      </c>
      <c r="AG77">
        <f t="shared" si="12"/>
        <v>1.6057814764784302</v>
      </c>
      <c r="AH77" s="16">
        <f t="shared" si="7"/>
        <v>0</v>
      </c>
      <c r="AI77" s="16">
        <f t="shared" si="8"/>
        <v>12454994.837691823</v>
      </c>
      <c r="AJ77" s="16">
        <f t="shared" si="9"/>
        <v>104725158.72383642</v>
      </c>
      <c r="AK77" s="16">
        <f t="shared" si="10"/>
        <v>0</v>
      </c>
      <c r="AL77" s="16">
        <f t="shared" si="13"/>
        <v>23106553.129116509</v>
      </c>
      <c r="AM77" s="16">
        <f t="shared" si="14"/>
        <v>0</v>
      </c>
      <c r="AN77" s="16">
        <f>IF(LCOE!G$14&gt;0,G77,H77)/AG77</f>
        <v>2454879.482509058</v>
      </c>
    </row>
    <row r="78" spans="1:40">
      <c r="A78">
        <v>8</v>
      </c>
      <c r="C78" s="16">
        <f>LCOE!G104+IF(AND(LCOE!G$26&gt;0,A78&gt;=LCOE!G$26,A78&lt;=(LCOE!G$26+LCOE!G$27-1)),LCOE!G$42/LCOE!G$27,0)+IF(AND(D78=0,AE78&gt;=LCOE!G$16,COUNTIF(D53:D78,0)=LCOE!G$36),LCOE!G$35*LCOE!G$38,0)</f>
        <v>0</v>
      </c>
      <c r="D78" s="16">
        <f>IF(AE77&lt;LCOE!G$16,1,0)</f>
        <v>1</v>
      </c>
      <c r="E78" s="12">
        <f>LCOE!G104+IF(AND(A78&gt;=LCOE!G$26,A78&lt;=(LCOE!G$26+LCOE!G$27-1)),0,1)*IF(A78=LCOE!G$34,0,1)*D78</f>
        <v>1</v>
      </c>
      <c r="F78" s="12">
        <f>IF(F77&lt;LCOE!G$18,MIN(F77*(1+LCOE!G$19),LCOE!G$18),LCOE!G$18)+LCOE!J104</f>
        <v>0.9</v>
      </c>
      <c r="G78" s="16">
        <f>LCOE!K104+E78*F78*N78*(LCOE!G$14+LCOE!H104)*24*365*D78</f>
        <v>3942000</v>
      </c>
      <c r="H78" s="16">
        <f>LCOE!L104+F78*(LCOE!G$15+LCOE!I104)*E78*24*365*D78*N78</f>
        <v>0</v>
      </c>
      <c r="I78" s="16">
        <f>LCOE!M104+LCOE!G$20*IF(LCOE!G$14&gt;0,(LCOE!G$14+LCOE!H104),(LCOE!G$15+LCOE!I104))*K78*D78</f>
        <v>20000000</v>
      </c>
      <c r="J78" s="16">
        <f>LCOE!N104+LCOE!G$21*IF(LCOE!G$14&gt;0,G78,H78)*K78*D78</f>
        <v>0</v>
      </c>
      <c r="K78" s="15">
        <f>LCOE!O104+K77+K77*LCOE!G$22</f>
        <v>1</v>
      </c>
      <c r="L78" s="16">
        <f>LCOE!P104+LCOE!G$23*IF(LCOE!G$14&gt;0,G78,H78)*M78*D78</f>
        <v>168165720</v>
      </c>
      <c r="M78" s="15">
        <f>LCOE!Q104+M77+M77*LCOE!G$24</f>
        <v>1</v>
      </c>
      <c r="N78" s="15">
        <f>LCOE!R104+N77-N77*LCOE!G$25</f>
        <v>1</v>
      </c>
      <c r="O78" s="18">
        <f>LCOE!S104+LCOE!G$29</f>
        <v>313.75</v>
      </c>
      <c r="P78" s="12">
        <f>LCOE!T104+IF(A78&gt;=LCOE!G$30,100%,0%)</f>
        <v>1</v>
      </c>
      <c r="Q78" s="16">
        <f>LCOE!U104+O78/1000*IF(LCOE!G$14&gt;0,G78,H78)</f>
        <v>1236802.5</v>
      </c>
      <c r="R78" s="16">
        <f>LCOE!B104</f>
        <v>30</v>
      </c>
      <c r="S78" s="16">
        <f>LCOE!V104+Q78*P78*R78</f>
        <v>37104075</v>
      </c>
      <c r="T78" s="16">
        <f>LCOE!W104+LCOE!G$31</f>
        <v>0</v>
      </c>
      <c r="U78" s="16">
        <f>LCOE!X104+T78*IF(LCOE!G$14&gt;0,G78,H78)</f>
        <v>0</v>
      </c>
      <c r="V78" s="16">
        <f>LCOE!Y104+LCOE!G$32</f>
        <v>0</v>
      </c>
      <c r="W78" s="16">
        <f>LCOE!Z104+V78*IF(LCOE!G$14&gt;0,G78,H78)</f>
        <v>0</v>
      </c>
      <c r="X78" s="16">
        <f>LCOE!AA104+LCOE!G$34</f>
        <v>101</v>
      </c>
      <c r="Y78" s="16">
        <f t="shared" si="15"/>
        <v>0</v>
      </c>
      <c r="Z78" s="50">
        <f t="shared" si="18"/>
        <v>0</v>
      </c>
      <c r="AA78" s="50">
        <f t="shared" si="19"/>
        <v>20000000</v>
      </c>
      <c r="AB78" s="50">
        <f t="shared" si="20"/>
        <v>168165720</v>
      </c>
      <c r="AC78" s="50">
        <f t="shared" si="16"/>
        <v>0</v>
      </c>
      <c r="AD78" s="50">
        <f t="shared" si="11"/>
        <v>37104075</v>
      </c>
      <c r="AE78">
        <f t="shared" si="17"/>
        <v>8</v>
      </c>
      <c r="AF78" s="12">
        <f>LCOE!E104+LCOE!G$40</f>
        <v>7.0000000000000007E-2</v>
      </c>
      <c r="AG78">
        <f t="shared" si="12"/>
        <v>1.7181861798319202</v>
      </c>
      <c r="AH78" s="16">
        <f t="shared" si="7"/>
        <v>0</v>
      </c>
      <c r="AI78" s="16">
        <f t="shared" si="8"/>
        <v>11640182.091300769</v>
      </c>
      <c r="AJ78" s="16">
        <f t="shared" si="9"/>
        <v>97873980.11573498</v>
      </c>
      <c r="AK78" s="16">
        <f t="shared" si="10"/>
        <v>0</v>
      </c>
      <c r="AL78" s="16">
        <f t="shared" si="13"/>
        <v>21594909.466464028</v>
      </c>
      <c r="AM78" s="16">
        <f t="shared" si="14"/>
        <v>0</v>
      </c>
      <c r="AN78" s="16">
        <f>IF(LCOE!G$14&gt;0,G78,H78)/AG78</f>
        <v>2294279.8901953814</v>
      </c>
    </row>
    <row r="79" spans="1:40">
      <c r="A79">
        <v>9</v>
      </c>
      <c r="C79" s="16">
        <f>LCOE!G105+IF(AND(LCOE!G$26&gt;0,A79&gt;=LCOE!G$26,A79&lt;=(LCOE!G$26+LCOE!G$27-1)),LCOE!G$42/LCOE!G$27,0)+IF(AND(D79=0,AE79&gt;=LCOE!G$16,COUNTIF(D54:D79,0)=LCOE!G$36),LCOE!G$35*LCOE!G$38,0)</f>
        <v>0</v>
      </c>
      <c r="D79" s="16">
        <f>IF(AE78&lt;LCOE!G$16,1,0)</f>
        <v>1</v>
      </c>
      <c r="E79" s="12">
        <f>LCOE!G105+IF(AND(A79&gt;=LCOE!G$26,A79&lt;=(LCOE!G$26+LCOE!G$27-1)),0,1)*IF(A79=LCOE!G$34,0,1)*D79</f>
        <v>1</v>
      </c>
      <c r="F79" s="12">
        <f>IF(F78&lt;LCOE!G$18,MIN(F78*(1+LCOE!G$19),LCOE!G$18),LCOE!G$18)+LCOE!J105</f>
        <v>0.9</v>
      </c>
      <c r="G79" s="16">
        <f>LCOE!K105+E79*F79*N79*(LCOE!G$14+LCOE!H105)*24*365*D79</f>
        <v>3942000</v>
      </c>
      <c r="H79" s="16">
        <f>LCOE!L105+F79*(LCOE!G$15+LCOE!I105)*E79*24*365*D79*N79</f>
        <v>0</v>
      </c>
      <c r="I79" s="16">
        <f>LCOE!M105+LCOE!G$20*IF(LCOE!G$14&gt;0,(LCOE!G$14+LCOE!H105),(LCOE!G$15+LCOE!I105))*K79*D79</f>
        <v>20000000</v>
      </c>
      <c r="J79" s="16">
        <f>LCOE!N105+LCOE!G$21*IF(LCOE!G$14&gt;0,G79,H79)*K79*D79</f>
        <v>0</v>
      </c>
      <c r="K79" s="15">
        <f>LCOE!O105+K78+K78*LCOE!G$22</f>
        <v>1</v>
      </c>
      <c r="L79" s="16">
        <f>LCOE!P105+LCOE!G$23*IF(LCOE!G$14&gt;0,G79,H79)*M79*D79</f>
        <v>168165720</v>
      </c>
      <c r="M79" s="15">
        <f>LCOE!Q105+M78+M78*LCOE!G$24</f>
        <v>1</v>
      </c>
      <c r="N79" s="15">
        <f>LCOE!R105+N78-N78*LCOE!G$25</f>
        <v>1</v>
      </c>
      <c r="O79" s="18">
        <f>LCOE!S105+LCOE!G$29</f>
        <v>313.75</v>
      </c>
      <c r="P79" s="12">
        <f>LCOE!T105+IF(A79&gt;=LCOE!G$30,100%,0%)</f>
        <v>1</v>
      </c>
      <c r="Q79" s="16">
        <f>LCOE!U105+O79/1000*IF(LCOE!G$14&gt;0,G79,H79)</f>
        <v>1236802.5</v>
      </c>
      <c r="R79" s="16">
        <f>LCOE!B105</f>
        <v>30</v>
      </c>
      <c r="S79" s="16">
        <f>LCOE!V105+Q79*P79*R79</f>
        <v>37104075</v>
      </c>
      <c r="T79" s="16">
        <f>LCOE!W105+LCOE!G$31</f>
        <v>0</v>
      </c>
      <c r="U79" s="16">
        <f>LCOE!X105+T79*IF(LCOE!G$14&gt;0,G79,H79)</f>
        <v>0</v>
      </c>
      <c r="V79" s="16">
        <f>LCOE!Y105+LCOE!G$32</f>
        <v>0</v>
      </c>
      <c r="W79" s="16">
        <f>LCOE!Z105+V79*IF(LCOE!G$14&gt;0,G79,H79)</f>
        <v>0</v>
      </c>
      <c r="X79" s="16">
        <f>LCOE!AA105+LCOE!G$34</f>
        <v>101</v>
      </c>
      <c r="Y79" s="16">
        <f t="shared" si="15"/>
        <v>0</v>
      </c>
      <c r="Z79" s="50">
        <f t="shared" si="18"/>
        <v>0</v>
      </c>
      <c r="AA79" s="50">
        <f t="shared" si="19"/>
        <v>20000000</v>
      </c>
      <c r="AB79" s="50">
        <f t="shared" si="20"/>
        <v>168165720</v>
      </c>
      <c r="AC79" s="50">
        <f t="shared" si="16"/>
        <v>0</v>
      </c>
      <c r="AD79" s="50">
        <f t="shared" si="11"/>
        <v>37104075</v>
      </c>
      <c r="AE79">
        <f t="shared" si="17"/>
        <v>9</v>
      </c>
      <c r="AF79" s="12">
        <f>LCOE!E105+LCOE!G$40</f>
        <v>7.0000000000000007E-2</v>
      </c>
      <c r="AG79">
        <f t="shared" si="12"/>
        <v>1.8384592124201549</v>
      </c>
      <c r="AH79" s="16">
        <f t="shared" si="7"/>
        <v>0</v>
      </c>
      <c r="AI79" s="16">
        <f t="shared" si="8"/>
        <v>10878674.851682961</v>
      </c>
      <c r="AJ79" s="16">
        <f t="shared" si="9"/>
        <v>91471009.453957915</v>
      </c>
      <c r="AK79" s="16">
        <f t="shared" si="10"/>
        <v>0</v>
      </c>
      <c r="AL79" s="16">
        <f t="shared" si="13"/>
        <v>20182158.379872922</v>
      </c>
      <c r="AM79" s="16">
        <f t="shared" si="14"/>
        <v>0</v>
      </c>
      <c r="AN79" s="16">
        <f>IF(LCOE!G$14&gt;0,G79,H79)/AG79</f>
        <v>2144186.8132667113</v>
      </c>
    </row>
    <row r="80" spans="1:40">
      <c r="A80">
        <v>10</v>
      </c>
      <c r="C80" s="16">
        <f>LCOE!G106+IF(AND(LCOE!G$26&gt;0,A80&gt;=LCOE!G$26,A80&lt;=(LCOE!G$26+LCOE!G$27-1)),LCOE!G$42/LCOE!G$27,0)+IF(AND(D80=0,AE80&gt;=LCOE!G$16,COUNTIF(D55:D80,0)=LCOE!G$36),LCOE!G$35*LCOE!G$38,0)</f>
        <v>0</v>
      </c>
      <c r="D80" s="16">
        <f>IF(AE79&lt;LCOE!G$16,1,0)</f>
        <v>1</v>
      </c>
      <c r="E80" s="12">
        <f>LCOE!G106+IF(AND(A80&gt;=LCOE!G$26,A80&lt;=(LCOE!G$26+LCOE!G$27-1)),0,1)*IF(A80=LCOE!G$34,0,1)*D80</f>
        <v>1</v>
      </c>
      <c r="F80" s="12">
        <f>IF(F79&lt;LCOE!G$18,MIN(F79*(1+LCOE!G$19),LCOE!G$18),LCOE!G$18)+LCOE!J106</f>
        <v>0.9</v>
      </c>
      <c r="G80" s="16">
        <f>LCOE!K106+E80*F80*N80*(LCOE!G$14+LCOE!H106)*24*365*D80</f>
        <v>3942000</v>
      </c>
      <c r="H80" s="16">
        <f>LCOE!L106+F80*(LCOE!G$15+LCOE!I106)*E80*24*365*D80*N80</f>
        <v>0</v>
      </c>
      <c r="I80" s="16">
        <f>LCOE!M106+LCOE!G$20*IF(LCOE!G$14&gt;0,(LCOE!G$14+LCOE!H106),(LCOE!G$15+LCOE!I106))*K80*D80</f>
        <v>20000000</v>
      </c>
      <c r="J80" s="16">
        <f>LCOE!N106+LCOE!G$21*IF(LCOE!G$14&gt;0,G80,H80)*K80*D80</f>
        <v>0</v>
      </c>
      <c r="K80" s="15">
        <f>LCOE!O106+K79+K79*LCOE!G$22</f>
        <v>1</v>
      </c>
      <c r="L80" s="16">
        <f>LCOE!P106+LCOE!G$23*IF(LCOE!G$14&gt;0,G80,H80)*M80*D80</f>
        <v>168165720</v>
      </c>
      <c r="M80" s="15">
        <f>LCOE!Q106+M79+M79*LCOE!G$24</f>
        <v>1</v>
      </c>
      <c r="N80" s="15">
        <f>LCOE!R106+N79-N79*LCOE!G$25</f>
        <v>1</v>
      </c>
      <c r="O80" s="18">
        <f>LCOE!S106+LCOE!G$29</f>
        <v>313.75</v>
      </c>
      <c r="P80" s="12">
        <f>LCOE!T106+IF(A80&gt;=LCOE!G$30,100%,0%)</f>
        <v>1</v>
      </c>
      <c r="Q80" s="16">
        <f>LCOE!U106+O80/1000*IF(LCOE!G$14&gt;0,G80,H80)</f>
        <v>1236802.5</v>
      </c>
      <c r="R80" s="16">
        <f>LCOE!B106</f>
        <v>30</v>
      </c>
      <c r="S80" s="16">
        <f>LCOE!V106+Q80*P80*R80</f>
        <v>37104075</v>
      </c>
      <c r="T80" s="16">
        <f>LCOE!W106+LCOE!G$31</f>
        <v>0</v>
      </c>
      <c r="U80" s="16">
        <f>LCOE!X106+T80*IF(LCOE!G$14&gt;0,G80,H80)</f>
        <v>0</v>
      </c>
      <c r="V80" s="16">
        <f>LCOE!Y106+LCOE!G$32</f>
        <v>0</v>
      </c>
      <c r="W80" s="16">
        <f>LCOE!Z106+V80*IF(LCOE!G$14&gt;0,G80,H80)</f>
        <v>0</v>
      </c>
      <c r="X80" s="16">
        <f>LCOE!AA106+LCOE!G$34</f>
        <v>101</v>
      </c>
      <c r="Y80" s="16">
        <f t="shared" si="15"/>
        <v>0</v>
      </c>
      <c r="Z80" s="50">
        <f t="shared" si="18"/>
        <v>0</v>
      </c>
      <c r="AA80" s="50">
        <f t="shared" si="19"/>
        <v>20000000</v>
      </c>
      <c r="AB80" s="50">
        <f t="shared" si="20"/>
        <v>168165720</v>
      </c>
      <c r="AC80" s="50">
        <f t="shared" si="16"/>
        <v>0</v>
      </c>
      <c r="AD80" s="50">
        <f t="shared" si="11"/>
        <v>37104075</v>
      </c>
      <c r="AE80">
        <f t="shared" si="17"/>
        <v>10</v>
      </c>
      <c r="AF80" s="12">
        <f>LCOE!E106+LCOE!G$40</f>
        <v>7.0000000000000007E-2</v>
      </c>
      <c r="AG80">
        <f t="shared" si="12"/>
        <v>1.9671513572895656</v>
      </c>
      <c r="AH80" s="16">
        <f t="shared" si="7"/>
        <v>0</v>
      </c>
      <c r="AI80" s="16">
        <f t="shared" si="8"/>
        <v>10166985.842694355</v>
      </c>
      <c r="AJ80" s="16">
        <f t="shared" si="9"/>
        <v>85486924.723325148</v>
      </c>
      <c r="AK80" s="16">
        <f t="shared" si="10"/>
        <v>0</v>
      </c>
      <c r="AL80" s="16">
        <f t="shared" si="13"/>
        <v>18861830.26156348</v>
      </c>
      <c r="AM80" s="16">
        <f t="shared" si="14"/>
        <v>0</v>
      </c>
      <c r="AN80" s="16">
        <f>IF(LCOE!G$14&gt;0,G80,H80)/AG80</f>
        <v>2003912.9095950576</v>
      </c>
    </row>
    <row r="81" spans="1:40">
      <c r="A81">
        <v>11</v>
      </c>
      <c r="C81" s="16">
        <f>LCOE!G107+IF(AND(LCOE!G$26&gt;0,A81&gt;=LCOE!G$26,A81&lt;=(LCOE!G$26+LCOE!G$27-1)),LCOE!G$42/LCOE!G$27,0)+IF(AND(D81=0,AE81&gt;=LCOE!G$16,COUNTIF(D56:D81,0)=LCOE!G$36),LCOE!G$35*LCOE!G$38,0)</f>
        <v>0</v>
      </c>
      <c r="D81" s="16">
        <f>IF(AE80&lt;LCOE!G$16,1,0)</f>
        <v>1</v>
      </c>
      <c r="E81" s="12">
        <f>LCOE!G107+IF(AND(A81&gt;=LCOE!G$26,A81&lt;=(LCOE!G$26+LCOE!G$27-1)),0,1)*IF(A81=LCOE!G$34,0,1)*D81</f>
        <v>1</v>
      </c>
      <c r="F81" s="12">
        <f>IF(F80&lt;LCOE!G$18,MIN(F80*(1+LCOE!G$19),LCOE!G$18),LCOE!G$18)+LCOE!J107</f>
        <v>0.9</v>
      </c>
      <c r="G81" s="16">
        <f>LCOE!K107+E81*F81*N81*(LCOE!G$14+LCOE!H107)*24*365*D81</f>
        <v>3942000</v>
      </c>
      <c r="H81" s="16">
        <f>LCOE!L107+F81*(LCOE!G$15+LCOE!I107)*E81*24*365*D81*N81</f>
        <v>0</v>
      </c>
      <c r="I81" s="16">
        <f>LCOE!M107+LCOE!G$20*IF(LCOE!G$14&gt;0,(LCOE!G$14+LCOE!H107),(LCOE!G$15+LCOE!I107))*K81*D81</f>
        <v>20000000</v>
      </c>
      <c r="J81" s="16">
        <f>LCOE!N107+LCOE!G$21*IF(LCOE!G$14&gt;0,G81,H81)*K81*D81</f>
        <v>0</v>
      </c>
      <c r="K81" s="15">
        <f>LCOE!O107+K80+K80*LCOE!G$22</f>
        <v>1</v>
      </c>
      <c r="L81" s="16">
        <f>LCOE!P107+LCOE!G$23*IF(LCOE!G$14&gt;0,G81,H81)*M81*D81</f>
        <v>168165720</v>
      </c>
      <c r="M81" s="15">
        <f>LCOE!Q107+M80+M80*LCOE!G$24</f>
        <v>1</v>
      </c>
      <c r="N81" s="15">
        <f>LCOE!R107+N80-N80*LCOE!G$25</f>
        <v>1</v>
      </c>
      <c r="O81" s="18">
        <f>LCOE!S107+LCOE!G$29</f>
        <v>313.75</v>
      </c>
      <c r="P81" s="12">
        <f>LCOE!T107+IF(A81&gt;=LCOE!G$30,100%,0%)</f>
        <v>1</v>
      </c>
      <c r="Q81" s="16">
        <f>LCOE!U107+O81/1000*IF(LCOE!G$14&gt;0,G81,H81)</f>
        <v>1236802.5</v>
      </c>
      <c r="R81" s="16">
        <f>LCOE!B107</f>
        <v>30</v>
      </c>
      <c r="S81" s="16">
        <f>LCOE!V107+Q81*P81*R81</f>
        <v>37104075</v>
      </c>
      <c r="T81" s="16">
        <f>LCOE!W107+LCOE!G$31</f>
        <v>0</v>
      </c>
      <c r="U81" s="16">
        <f>LCOE!X107+T81*IF(LCOE!G$14&gt;0,G81,H81)</f>
        <v>0</v>
      </c>
      <c r="V81" s="16">
        <f>LCOE!Y107+LCOE!G$32</f>
        <v>0</v>
      </c>
      <c r="W81" s="16">
        <f>LCOE!Z107+V81*IF(LCOE!G$14&gt;0,G81,H81)</f>
        <v>0</v>
      </c>
      <c r="X81" s="16">
        <f>LCOE!AA107+LCOE!G$34</f>
        <v>101</v>
      </c>
      <c r="Y81" s="16">
        <f t="shared" si="15"/>
        <v>0</v>
      </c>
      <c r="Z81" s="50">
        <f t="shared" si="18"/>
        <v>0</v>
      </c>
      <c r="AA81" s="50">
        <f t="shared" si="19"/>
        <v>20000000</v>
      </c>
      <c r="AB81" s="50">
        <f t="shared" si="20"/>
        <v>168165720</v>
      </c>
      <c r="AC81" s="50">
        <f t="shared" si="16"/>
        <v>0</v>
      </c>
      <c r="AD81" s="50">
        <f t="shared" si="11"/>
        <v>37104075</v>
      </c>
      <c r="AE81">
        <f t="shared" si="17"/>
        <v>11</v>
      </c>
      <c r="AF81" s="12">
        <f>LCOE!E107+LCOE!G$40</f>
        <v>7.0000000000000007E-2</v>
      </c>
      <c r="AG81">
        <f t="shared" si="12"/>
        <v>2.1048519522998355</v>
      </c>
      <c r="AH81" s="16">
        <f t="shared" si="7"/>
        <v>0</v>
      </c>
      <c r="AI81" s="16">
        <f t="shared" si="8"/>
        <v>9501855.927751733</v>
      </c>
      <c r="AJ81" s="16">
        <f t="shared" si="9"/>
        <v>79894322.171331912</v>
      </c>
      <c r="AK81" s="16">
        <f t="shared" si="10"/>
        <v>0</v>
      </c>
      <c r="AL81" s="16">
        <f t="shared" si="13"/>
        <v>17627878.749124743</v>
      </c>
      <c r="AM81" s="16">
        <f t="shared" si="14"/>
        <v>0</v>
      </c>
      <c r="AN81" s="16">
        <f>IF(LCOE!G$14&gt;0,G81,H81)/AG81</f>
        <v>1872815.8033598666</v>
      </c>
    </row>
    <row r="82" spans="1:40">
      <c r="A82">
        <v>12</v>
      </c>
      <c r="C82" s="16">
        <f>LCOE!G108+IF(AND(LCOE!G$26&gt;0,A82&gt;=LCOE!G$26,A82&lt;=(LCOE!G$26+LCOE!G$27-1)),LCOE!G$42/LCOE!G$27,0)+IF(AND(D82=0,AE82&gt;=LCOE!G$16,COUNTIF(D57:D82,0)=LCOE!G$36),LCOE!G$35*LCOE!G$38,0)</f>
        <v>0</v>
      </c>
      <c r="D82" s="16">
        <f>IF(AE81&lt;LCOE!G$16,1,0)</f>
        <v>1</v>
      </c>
      <c r="E82" s="12">
        <f>LCOE!G108+IF(AND(A82&gt;=LCOE!G$26,A82&lt;=(LCOE!G$26+LCOE!G$27-1)),0,1)*IF(A82=LCOE!G$34,0,1)*D82</f>
        <v>1</v>
      </c>
      <c r="F82" s="12">
        <f>IF(F81&lt;LCOE!G$18,MIN(F81*(1+LCOE!G$19),LCOE!G$18),LCOE!G$18)+LCOE!J108</f>
        <v>0.9</v>
      </c>
      <c r="G82" s="16">
        <f>LCOE!K108+E82*F82*N82*(LCOE!G$14+LCOE!H108)*24*365*D82</f>
        <v>3942000</v>
      </c>
      <c r="H82" s="16">
        <f>LCOE!L108+F82*(LCOE!G$15+LCOE!I108)*E82*24*365*D82*N82</f>
        <v>0</v>
      </c>
      <c r="I82" s="16">
        <f>LCOE!M108+LCOE!G$20*IF(LCOE!G$14&gt;0,(LCOE!G$14+LCOE!H108),(LCOE!G$15+LCOE!I108))*K82*D82</f>
        <v>20000000</v>
      </c>
      <c r="J82" s="16">
        <f>LCOE!N108+LCOE!G$21*IF(LCOE!G$14&gt;0,G82,H82)*K82*D82</f>
        <v>0</v>
      </c>
      <c r="K82" s="15">
        <f>LCOE!O108+K81+K81*LCOE!G$22</f>
        <v>1</v>
      </c>
      <c r="L82" s="16">
        <f>LCOE!P108+LCOE!G$23*IF(LCOE!G$14&gt;0,G82,H82)*M82*D82</f>
        <v>168165720</v>
      </c>
      <c r="M82" s="15">
        <f>LCOE!Q108+M81+M81*LCOE!G$24</f>
        <v>1</v>
      </c>
      <c r="N82" s="15">
        <f>LCOE!R108+N81-N81*LCOE!G$25</f>
        <v>1</v>
      </c>
      <c r="O82" s="18">
        <f>LCOE!S108+LCOE!G$29</f>
        <v>313.75</v>
      </c>
      <c r="P82" s="12">
        <f>LCOE!T108+IF(A82&gt;=LCOE!G$30,100%,0%)</f>
        <v>1</v>
      </c>
      <c r="Q82" s="16">
        <f>LCOE!U108+O82/1000*IF(LCOE!G$14&gt;0,G82,H82)</f>
        <v>1236802.5</v>
      </c>
      <c r="R82" s="16">
        <f>LCOE!B108</f>
        <v>30</v>
      </c>
      <c r="S82" s="16">
        <f>LCOE!V108+Q82*P82*R82</f>
        <v>37104075</v>
      </c>
      <c r="T82" s="16">
        <f>LCOE!W108+LCOE!G$31</f>
        <v>0</v>
      </c>
      <c r="U82" s="16">
        <f>LCOE!X108+T82*IF(LCOE!G$14&gt;0,G82,H82)</f>
        <v>0</v>
      </c>
      <c r="V82" s="16">
        <f>LCOE!Y108+LCOE!G$32</f>
        <v>0</v>
      </c>
      <c r="W82" s="16">
        <f>LCOE!Z108+V82*IF(LCOE!G$14&gt;0,G82,H82)</f>
        <v>0</v>
      </c>
      <c r="X82" s="16">
        <f>LCOE!AA108+LCOE!G$34</f>
        <v>101</v>
      </c>
      <c r="Y82" s="16">
        <f t="shared" si="15"/>
        <v>0</v>
      </c>
      <c r="Z82" s="50">
        <f t="shared" si="18"/>
        <v>0</v>
      </c>
      <c r="AA82" s="50">
        <f t="shared" si="19"/>
        <v>20000000</v>
      </c>
      <c r="AB82" s="50">
        <f t="shared" si="20"/>
        <v>168165720</v>
      </c>
      <c r="AC82" s="50">
        <f t="shared" si="16"/>
        <v>0</v>
      </c>
      <c r="AD82" s="50">
        <f t="shared" si="11"/>
        <v>37104075</v>
      </c>
      <c r="AE82">
        <f t="shared" si="17"/>
        <v>12</v>
      </c>
      <c r="AF82" s="12">
        <f>LCOE!E108+LCOE!G$40</f>
        <v>7.0000000000000007E-2</v>
      </c>
      <c r="AG82">
        <f t="shared" si="12"/>
        <v>2.2521915889608235</v>
      </c>
      <c r="AH82" s="16">
        <f t="shared" si="7"/>
        <v>0</v>
      </c>
      <c r="AI82" s="16">
        <f t="shared" si="8"/>
        <v>8880239.1848147064</v>
      </c>
      <c r="AJ82" s="16">
        <f t="shared" si="9"/>
        <v>74667590.814328909</v>
      </c>
      <c r="AK82" s="16">
        <f t="shared" si="10"/>
        <v>0</v>
      </c>
      <c r="AL82" s="16">
        <f t="shared" si="13"/>
        <v>16474653.036565185</v>
      </c>
      <c r="AM82" s="16">
        <f t="shared" si="14"/>
        <v>0</v>
      </c>
      <c r="AN82" s="16">
        <f>IF(LCOE!G$14&gt;0,G82,H82)/AG82</f>
        <v>1750295.1433269784</v>
      </c>
    </row>
    <row r="83" spans="1:40">
      <c r="A83">
        <v>13</v>
      </c>
      <c r="C83" s="16">
        <f>LCOE!G109+IF(AND(LCOE!G$26&gt;0,A83&gt;=LCOE!G$26,A83&lt;=(LCOE!G$26+LCOE!G$27-1)),LCOE!G$42/LCOE!G$27,0)+IF(AND(D83=0,AE83&gt;=LCOE!G$16,COUNTIF(D58:D83,0)=LCOE!G$36),LCOE!G$35*LCOE!G$38,0)</f>
        <v>0</v>
      </c>
      <c r="D83" s="16">
        <f>IF(AE82&lt;LCOE!G$16,1,0)</f>
        <v>1</v>
      </c>
      <c r="E83" s="12">
        <f>LCOE!G109+IF(AND(A83&gt;=LCOE!G$26,A83&lt;=(LCOE!G$26+LCOE!G$27-1)),0,1)*IF(A83=LCOE!G$34,0,1)*D83</f>
        <v>1</v>
      </c>
      <c r="F83" s="12">
        <f>IF(F82&lt;LCOE!G$18,MIN(F82*(1+LCOE!G$19),LCOE!G$18),LCOE!G$18)+LCOE!J109</f>
        <v>0.9</v>
      </c>
      <c r="G83" s="16">
        <f>LCOE!K109+E83*F83*N83*(LCOE!G$14+LCOE!H109)*24*365*D83</f>
        <v>3942000</v>
      </c>
      <c r="H83" s="16">
        <f>LCOE!L109+F83*(LCOE!G$15+LCOE!I109)*E83*24*365*D83*N83</f>
        <v>0</v>
      </c>
      <c r="I83" s="16">
        <f>LCOE!M109+LCOE!G$20*IF(LCOE!G$14&gt;0,(LCOE!G$14+LCOE!H109),(LCOE!G$15+LCOE!I109))*K83*D83</f>
        <v>20000000</v>
      </c>
      <c r="J83" s="16">
        <f>LCOE!N109+LCOE!G$21*IF(LCOE!G$14&gt;0,G83,H83)*K83*D83</f>
        <v>0</v>
      </c>
      <c r="K83" s="15">
        <f>LCOE!O109+K82+K82*LCOE!G$22</f>
        <v>1</v>
      </c>
      <c r="L83" s="16">
        <f>LCOE!P109+LCOE!G$23*IF(LCOE!G$14&gt;0,G83,H83)*M83*D83</f>
        <v>168165720</v>
      </c>
      <c r="M83" s="15">
        <f>LCOE!Q109+M82+M82*LCOE!G$24</f>
        <v>1</v>
      </c>
      <c r="N83" s="15">
        <f>LCOE!R109+N82-N82*LCOE!G$25</f>
        <v>1</v>
      </c>
      <c r="O83" s="18">
        <f>LCOE!S109+LCOE!G$29</f>
        <v>313.75</v>
      </c>
      <c r="P83" s="12">
        <f>LCOE!T109+IF(A83&gt;=LCOE!G$30,100%,0%)</f>
        <v>1</v>
      </c>
      <c r="Q83" s="16">
        <f>LCOE!U109+O83/1000*IF(LCOE!G$14&gt;0,G83,H83)</f>
        <v>1236802.5</v>
      </c>
      <c r="R83" s="16">
        <f>LCOE!B109</f>
        <v>30</v>
      </c>
      <c r="S83" s="16">
        <f>LCOE!V109+Q83*P83*R83</f>
        <v>37104075</v>
      </c>
      <c r="T83" s="16">
        <f>LCOE!W109+LCOE!G$31</f>
        <v>0</v>
      </c>
      <c r="U83" s="16">
        <f>LCOE!X109+T83*IF(LCOE!G$14&gt;0,G83,H83)</f>
        <v>0</v>
      </c>
      <c r="V83" s="16">
        <f>LCOE!Y109+LCOE!G$32</f>
        <v>0</v>
      </c>
      <c r="W83" s="16">
        <f>LCOE!Z109+V83*IF(LCOE!G$14&gt;0,G83,H83)</f>
        <v>0</v>
      </c>
      <c r="X83" s="16">
        <f>LCOE!AA109+LCOE!G$34</f>
        <v>101</v>
      </c>
      <c r="Y83" s="16">
        <f t="shared" si="15"/>
        <v>0</v>
      </c>
      <c r="Z83" s="50">
        <f t="shared" si="18"/>
        <v>0</v>
      </c>
      <c r="AA83" s="50">
        <f t="shared" si="19"/>
        <v>20000000</v>
      </c>
      <c r="AB83" s="50">
        <f t="shared" si="20"/>
        <v>168165720</v>
      </c>
      <c r="AC83" s="50">
        <f t="shared" si="16"/>
        <v>0</v>
      </c>
      <c r="AD83" s="50">
        <f t="shared" si="11"/>
        <v>37104075</v>
      </c>
      <c r="AE83">
        <f t="shared" si="17"/>
        <v>13</v>
      </c>
      <c r="AF83" s="12">
        <f>LCOE!E109+LCOE!G$40</f>
        <v>7.0000000000000007E-2</v>
      </c>
      <c r="AG83">
        <f t="shared" si="12"/>
        <v>2.4098450001880813</v>
      </c>
      <c r="AH83" s="16">
        <f t="shared" si="7"/>
        <v>0</v>
      </c>
      <c r="AI83" s="16">
        <f t="shared" si="8"/>
        <v>8299288.9577707527</v>
      </c>
      <c r="AJ83" s="16">
        <f t="shared" si="9"/>
        <v>69782795.153578401</v>
      </c>
      <c r="AK83" s="16">
        <f t="shared" si="10"/>
        <v>0</v>
      </c>
      <c r="AL83" s="16">
        <f t="shared" si="13"/>
        <v>15396871.996789891</v>
      </c>
      <c r="AM83" s="16">
        <f t="shared" si="14"/>
        <v>0</v>
      </c>
      <c r="AN83" s="16">
        <f>IF(LCOE!G$14&gt;0,G83,H83)/AG83</f>
        <v>1635789.8535766152</v>
      </c>
    </row>
    <row r="84" spans="1:40">
      <c r="A84">
        <v>14</v>
      </c>
      <c r="C84" s="16">
        <f>LCOE!G110+IF(AND(LCOE!G$26&gt;0,A84&gt;=LCOE!G$26,A84&lt;=(LCOE!G$26+LCOE!G$27-1)),LCOE!G$42/LCOE!G$27,0)+IF(AND(D84=0,AE84&gt;=LCOE!G$16,COUNTIF(D59:D84,0)=LCOE!G$36),LCOE!G$35*LCOE!G$38,0)</f>
        <v>0</v>
      </c>
      <c r="D84" s="16">
        <f>IF(AE83&lt;LCOE!G$16,1,0)</f>
        <v>1</v>
      </c>
      <c r="E84" s="12">
        <f>LCOE!G110+IF(AND(A84&gt;=LCOE!G$26,A84&lt;=(LCOE!G$26+LCOE!G$27-1)),0,1)*IF(A84=LCOE!G$34,0,1)*D84</f>
        <v>1</v>
      </c>
      <c r="F84" s="12">
        <f>IF(F83&lt;LCOE!G$18,MIN(F83*(1+LCOE!G$19),LCOE!G$18),LCOE!G$18)+LCOE!J110</f>
        <v>0.9</v>
      </c>
      <c r="G84" s="16">
        <f>LCOE!K110+E84*F84*N84*(LCOE!G$14+LCOE!H110)*24*365*D84</f>
        <v>3942000</v>
      </c>
      <c r="H84" s="16">
        <f>LCOE!L110+F84*(LCOE!G$15+LCOE!I110)*E84*24*365*D84*N84</f>
        <v>0</v>
      </c>
      <c r="I84" s="16">
        <f>LCOE!M110+LCOE!G$20*IF(LCOE!G$14&gt;0,(LCOE!G$14+LCOE!H110),(LCOE!G$15+LCOE!I110))*K84*D84</f>
        <v>20000000</v>
      </c>
      <c r="J84" s="16">
        <f>LCOE!N110+LCOE!G$21*IF(LCOE!G$14&gt;0,G84,H84)*K84*D84</f>
        <v>0</v>
      </c>
      <c r="K84" s="15">
        <f>LCOE!O110+K83+K83*LCOE!G$22</f>
        <v>1</v>
      </c>
      <c r="L84" s="16">
        <f>LCOE!P110+LCOE!G$23*IF(LCOE!G$14&gt;0,G84,H84)*M84*D84</f>
        <v>168165720</v>
      </c>
      <c r="M84" s="15">
        <f>LCOE!Q110+M83+M83*LCOE!G$24</f>
        <v>1</v>
      </c>
      <c r="N84" s="15">
        <f>LCOE!R110+N83-N83*LCOE!G$25</f>
        <v>1</v>
      </c>
      <c r="O84" s="18">
        <f>LCOE!S110+LCOE!G$29</f>
        <v>313.75</v>
      </c>
      <c r="P84" s="12">
        <f>LCOE!T110+IF(A84&gt;=LCOE!G$30,100%,0%)</f>
        <v>1</v>
      </c>
      <c r="Q84" s="16">
        <f>LCOE!U110+O84/1000*IF(LCOE!G$14&gt;0,G84,H84)</f>
        <v>1236802.5</v>
      </c>
      <c r="R84" s="16">
        <f>LCOE!B110</f>
        <v>30</v>
      </c>
      <c r="S84" s="16">
        <f>LCOE!V110+Q84*P84*R84</f>
        <v>37104075</v>
      </c>
      <c r="T84" s="16">
        <f>LCOE!W110+LCOE!G$31</f>
        <v>0</v>
      </c>
      <c r="U84" s="16">
        <f>LCOE!X110+T84*IF(LCOE!G$14&gt;0,G84,H84)</f>
        <v>0</v>
      </c>
      <c r="V84" s="16">
        <f>LCOE!Y110+LCOE!G$32</f>
        <v>0</v>
      </c>
      <c r="W84" s="16">
        <f>LCOE!Z110+V84*IF(LCOE!G$14&gt;0,G84,H84)</f>
        <v>0</v>
      </c>
      <c r="X84" s="16">
        <f>LCOE!AA110+LCOE!G$34</f>
        <v>101</v>
      </c>
      <c r="Y84" s="16">
        <f t="shared" si="15"/>
        <v>0</v>
      </c>
      <c r="Z84" s="50">
        <f t="shared" si="18"/>
        <v>0</v>
      </c>
      <c r="AA84" s="50">
        <f t="shared" si="19"/>
        <v>20000000</v>
      </c>
      <c r="AB84" s="50">
        <f t="shared" si="20"/>
        <v>168165720</v>
      </c>
      <c r="AC84" s="50">
        <f t="shared" si="16"/>
        <v>0</v>
      </c>
      <c r="AD84" s="50">
        <f t="shared" si="11"/>
        <v>37104075</v>
      </c>
      <c r="AE84">
        <f t="shared" si="17"/>
        <v>14</v>
      </c>
      <c r="AF84" s="12">
        <f>LCOE!E110+LCOE!G$40</f>
        <v>7.0000000000000007E-2</v>
      </c>
      <c r="AG84">
        <f t="shared" si="12"/>
        <v>2.5785341502012469</v>
      </c>
      <c r="AH84" s="16">
        <f t="shared" si="7"/>
        <v>0</v>
      </c>
      <c r="AI84" s="16">
        <f t="shared" si="8"/>
        <v>7756344.8203464979</v>
      </c>
      <c r="AJ84" s="16">
        <f t="shared" si="9"/>
        <v>65217565.564091973</v>
      </c>
      <c r="AK84" s="16">
        <f t="shared" si="10"/>
        <v>0</v>
      </c>
      <c r="AL84" s="16">
        <f t="shared" si="13"/>
        <v>14389599.996999899</v>
      </c>
      <c r="AM84" s="16">
        <f t="shared" si="14"/>
        <v>0</v>
      </c>
      <c r="AN84" s="16">
        <f>IF(LCOE!G$14&gt;0,G84,H84)/AG84</f>
        <v>1528775.5640902948</v>
      </c>
    </row>
    <row r="85" spans="1:40">
      <c r="A85">
        <v>15</v>
      </c>
      <c r="C85" s="16">
        <f>LCOE!G111+IF(AND(LCOE!G$26&gt;0,A85&gt;=LCOE!G$26,A85&lt;=(LCOE!G$26+LCOE!G$27-1)),LCOE!G$42/LCOE!G$27,0)+IF(AND(D85=0,AE85&gt;=LCOE!G$16,COUNTIF(D60:D85,0)=LCOE!G$36),LCOE!G$35*LCOE!G$38,0)</f>
        <v>0</v>
      </c>
      <c r="D85" s="16">
        <f>IF(AE84&lt;LCOE!G$16,1,0)</f>
        <v>1</v>
      </c>
      <c r="E85" s="12">
        <f>LCOE!G111+IF(AND(A85&gt;=LCOE!G$26,A85&lt;=(LCOE!G$26+LCOE!G$27-1)),0,1)*IF(A85=LCOE!G$34,0,1)*D85</f>
        <v>1</v>
      </c>
      <c r="F85" s="12">
        <f>IF(F84&lt;LCOE!G$18,MIN(F84*(1+LCOE!G$19),LCOE!G$18),LCOE!G$18)+LCOE!J111</f>
        <v>0.9</v>
      </c>
      <c r="G85" s="16">
        <f>LCOE!K111+E85*F85*N85*(LCOE!G$14+LCOE!H111)*24*365*D85</f>
        <v>3942000</v>
      </c>
      <c r="H85" s="16">
        <f>LCOE!L111+F85*(LCOE!G$15+LCOE!I111)*E85*24*365*D85*N85</f>
        <v>0</v>
      </c>
      <c r="I85" s="16">
        <f>LCOE!M111+LCOE!G$20*IF(LCOE!G$14&gt;0,(LCOE!G$14+LCOE!H111),(LCOE!G$15+LCOE!I111))*K85*D85</f>
        <v>20000000</v>
      </c>
      <c r="J85" s="16">
        <f>LCOE!N111+LCOE!G$21*IF(LCOE!G$14&gt;0,G85,H85)*K85*D85</f>
        <v>0</v>
      </c>
      <c r="K85" s="15">
        <f>LCOE!O111+K84+K84*LCOE!G$22</f>
        <v>1</v>
      </c>
      <c r="L85" s="16">
        <f>LCOE!P111+LCOE!G$23*IF(LCOE!G$14&gt;0,G85,H85)*M85*D85</f>
        <v>168165720</v>
      </c>
      <c r="M85" s="15">
        <f>LCOE!Q111+M84+M84*LCOE!G$24</f>
        <v>1</v>
      </c>
      <c r="N85" s="15">
        <f>LCOE!R111+N84-N84*LCOE!G$25</f>
        <v>1</v>
      </c>
      <c r="O85" s="18">
        <f>LCOE!S111+LCOE!G$29</f>
        <v>313.75</v>
      </c>
      <c r="P85" s="12">
        <f>LCOE!T111+IF(A85&gt;=LCOE!G$30,100%,0%)</f>
        <v>1</v>
      </c>
      <c r="Q85" s="16">
        <f>LCOE!U111+O85/1000*IF(LCOE!G$14&gt;0,G85,H85)</f>
        <v>1236802.5</v>
      </c>
      <c r="R85" s="16">
        <f>LCOE!B111</f>
        <v>30</v>
      </c>
      <c r="S85" s="16">
        <f>LCOE!V111+Q85*P85*R85</f>
        <v>37104075</v>
      </c>
      <c r="T85" s="16">
        <f>LCOE!W111+LCOE!G$31</f>
        <v>0</v>
      </c>
      <c r="U85" s="16">
        <f>LCOE!X111+T85*IF(LCOE!G$14&gt;0,G85,H85)</f>
        <v>0</v>
      </c>
      <c r="V85" s="16">
        <f>LCOE!Y111+LCOE!G$32</f>
        <v>0</v>
      </c>
      <c r="W85" s="16">
        <f>LCOE!Z111+V85*IF(LCOE!G$14&gt;0,G85,H85)</f>
        <v>0</v>
      </c>
      <c r="X85" s="16">
        <f>LCOE!AA111+LCOE!G$34</f>
        <v>101</v>
      </c>
      <c r="Y85" s="16">
        <f t="shared" si="15"/>
        <v>0</v>
      </c>
      <c r="Z85" s="50">
        <f t="shared" si="18"/>
        <v>0</v>
      </c>
      <c r="AA85" s="50">
        <f t="shared" si="19"/>
        <v>20000000</v>
      </c>
      <c r="AB85" s="50">
        <f t="shared" si="20"/>
        <v>168165720</v>
      </c>
      <c r="AC85" s="50">
        <f t="shared" si="16"/>
        <v>0</v>
      </c>
      <c r="AD85" s="50">
        <f t="shared" si="11"/>
        <v>37104075</v>
      </c>
      <c r="AE85">
        <f t="shared" si="17"/>
        <v>15</v>
      </c>
      <c r="AF85" s="12">
        <f>LCOE!E111+LCOE!G$40</f>
        <v>7.0000000000000007E-2</v>
      </c>
      <c r="AG85">
        <f t="shared" si="12"/>
        <v>2.7590315407153345</v>
      </c>
      <c r="AH85" s="16">
        <f t="shared" si="7"/>
        <v>0</v>
      </c>
      <c r="AI85" s="16">
        <f t="shared" si="8"/>
        <v>7248920.3928471934</v>
      </c>
      <c r="AJ85" s="16">
        <f t="shared" si="9"/>
        <v>60950995.854291558</v>
      </c>
      <c r="AK85" s="16">
        <f t="shared" si="10"/>
        <v>0</v>
      </c>
      <c r="AL85" s="16">
        <f t="shared" si="13"/>
        <v>13448224.296261586</v>
      </c>
      <c r="AM85" s="16">
        <f t="shared" si="14"/>
        <v>0</v>
      </c>
      <c r="AN85" s="16">
        <f>IF(LCOE!G$14&gt;0,G85,H85)/AG85</f>
        <v>1428762.2094301819</v>
      </c>
    </row>
    <row r="86" spans="1:40">
      <c r="A86">
        <v>16</v>
      </c>
      <c r="C86" s="16">
        <f>LCOE!G112+IF(AND(LCOE!G$26&gt;0,A86&gt;=LCOE!G$26,A86&lt;=(LCOE!G$26+LCOE!G$27-1)),LCOE!G$42/LCOE!G$27,0)+IF(AND(D86=0,AE86&gt;=LCOE!G$16,COUNTIF(D61:D86,0)=LCOE!G$36),LCOE!G$35*LCOE!G$38,0)</f>
        <v>0</v>
      </c>
      <c r="D86" s="16">
        <f>IF(AE85&lt;LCOE!G$16,1,0)</f>
        <v>1</v>
      </c>
      <c r="E86" s="12">
        <f>LCOE!G112+IF(AND(A86&gt;=LCOE!G$26,A86&lt;=(LCOE!G$26+LCOE!G$27-1)),0,1)*IF(A86=LCOE!G$34,0,1)*D86</f>
        <v>1</v>
      </c>
      <c r="F86" s="12">
        <f>IF(F85&lt;LCOE!G$18,MIN(F85*(1+LCOE!G$19),LCOE!G$18),LCOE!G$18)+LCOE!J112</f>
        <v>0.9</v>
      </c>
      <c r="G86" s="16">
        <f>LCOE!K112+E86*F86*N86*(LCOE!G$14+LCOE!H112)*24*365*D86</f>
        <v>3942000</v>
      </c>
      <c r="H86" s="16">
        <f>LCOE!L112+F86*(LCOE!G$15+LCOE!I112)*E86*24*365*D86*N86</f>
        <v>0</v>
      </c>
      <c r="I86" s="16">
        <f>LCOE!M112+LCOE!G$20*IF(LCOE!G$14&gt;0,(LCOE!G$14+LCOE!H112),(LCOE!G$15+LCOE!I112))*K86*D86</f>
        <v>20000000</v>
      </c>
      <c r="J86" s="16">
        <f>LCOE!N112+LCOE!G$21*IF(LCOE!G$14&gt;0,G86,H86)*K86*D86</f>
        <v>0</v>
      </c>
      <c r="K86" s="15">
        <f>LCOE!O112+K85+K85*LCOE!G$22</f>
        <v>1</v>
      </c>
      <c r="L86" s="16">
        <f>LCOE!P112+LCOE!G$23*IF(LCOE!G$14&gt;0,G86,H86)*M86*D86</f>
        <v>168165720</v>
      </c>
      <c r="M86" s="15">
        <f>LCOE!Q112+M85+M85*LCOE!G$24</f>
        <v>1</v>
      </c>
      <c r="N86" s="15">
        <f>LCOE!R112+N85-N85*LCOE!G$25</f>
        <v>1</v>
      </c>
      <c r="O86" s="18">
        <f>LCOE!S112+LCOE!G$29</f>
        <v>313.75</v>
      </c>
      <c r="P86" s="12">
        <f>LCOE!T112+IF(A86&gt;=LCOE!G$30,100%,0%)</f>
        <v>1</v>
      </c>
      <c r="Q86" s="16">
        <f>LCOE!U112+O86/1000*IF(LCOE!G$14&gt;0,G86,H86)</f>
        <v>1236802.5</v>
      </c>
      <c r="R86" s="16">
        <f>LCOE!B112</f>
        <v>30</v>
      </c>
      <c r="S86" s="16">
        <f>LCOE!V112+Q86*P86*R86</f>
        <v>37104075</v>
      </c>
      <c r="T86" s="16">
        <f>LCOE!W112+LCOE!G$31</f>
        <v>0</v>
      </c>
      <c r="U86" s="16">
        <f>LCOE!X112+T86*IF(LCOE!G$14&gt;0,G86,H86)</f>
        <v>0</v>
      </c>
      <c r="V86" s="16">
        <f>LCOE!Y112+LCOE!G$32</f>
        <v>0</v>
      </c>
      <c r="W86" s="16">
        <f>LCOE!Z112+V86*IF(LCOE!G$14&gt;0,G86,H86)</f>
        <v>0</v>
      </c>
      <c r="X86" s="16">
        <f>LCOE!AA112+LCOE!G$34</f>
        <v>101</v>
      </c>
      <c r="Y86" s="16">
        <f t="shared" si="15"/>
        <v>0</v>
      </c>
      <c r="Z86" s="50">
        <f t="shared" si="18"/>
        <v>0</v>
      </c>
      <c r="AA86" s="50">
        <f t="shared" si="19"/>
        <v>20000000</v>
      </c>
      <c r="AB86" s="50">
        <f t="shared" si="20"/>
        <v>168165720</v>
      </c>
      <c r="AC86" s="50">
        <f t="shared" si="16"/>
        <v>0</v>
      </c>
      <c r="AD86" s="50">
        <f t="shared" si="11"/>
        <v>37104075</v>
      </c>
      <c r="AE86">
        <f t="shared" si="17"/>
        <v>16</v>
      </c>
      <c r="AF86" s="12">
        <f>LCOE!E112+LCOE!G$40</f>
        <v>7.0000000000000007E-2</v>
      </c>
      <c r="AG86">
        <f t="shared" si="12"/>
        <v>2.9521637485654075</v>
      </c>
      <c r="AH86" s="16">
        <f t="shared" si="7"/>
        <v>0</v>
      </c>
      <c r="AI86" s="16">
        <f t="shared" si="8"/>
        <v>6774691.9559319578</v>
      </c>
      <c r="AJ86" s="16">
        <f t="shared" si="9"/>
        <v>56963547.527375296</v>
      </c>
      <c r="AK86" s="16">
        <f t="shared" si="10"/>
        <v>0</v>
      </c>
      <c r="AL86" s="16">
        <f t="shared" si="13"/>
        <v>12568433.921739802</v>
      </c>
      <c r="AM86" s="16">
        <f t="shared" si="14"/>
        <v>0</v>
      </c>
      <c r="AN86" s="16">
        <f>IF(LCOE!G$14&gt;0,G86,H86)/AG86</f>
        <v>1335291.7845141888</v>
      </c>
    </row>
    <row r="87" spans="1:40">
      <c r="A87">
        <v>17</v>
      </c>
      <c r="C87" s="16">
        <f>LCOE!G113+IF(AND(LCOE!G$26&gt;0,A87&gt;=LCOE!G$26,A87&lt;=(LCOE!G$26+LCOE!G$27-1)),LCOE!G$42/LCOE!G$27,0)+IF(AND(D87=0,AE87&gt;=LCOE!G$16,COUNTIF(D62:D87,0)=LCOE!G$36),LCOE!G$35*LCOE!G$38,0)</f>
        <v>0</v>
      </c>
      <c r="D87" s="16">
        <f>IF(AE86&lt;LCOE!G$16,1,0)</f>
        <v>1</v>
      </c>
      <c r="E87" s="12">
        <f>LCOE!G113+IF(AND(A87&gt;=LCOE!G$26,A87&lt;=(LCOE!G$26+LCOE!G$27-1)),0,1)*IF(A87=LCOE!G$34,0,1)*D87</f>
        <v>1</v>
      </c>
      <c r="F87" s="12">
        <f>IF(F86&lt;LCOE!G$18,MIN(F86*(1+LCOE!G$19),LCOE!G$18),LCOE!G$18)+LCOE!J113</f>
        <v>0.9</v>
      </c>
      <c r="G87" s="16">
        <f>LCOE!K113+E87*F87*N87*(LCOE!G$14+LCOE!H113)*24*365*D87</f>
        <v>3942000</v>
      </c>
      <c r="H87" s="16">
        <f>LCOE!L113+F87*(LCOE!G$15+LCOE!I113)*E87*24*365*D87*N87</f>
        <v>0</v>
      </c>
      <c r="I87" s="16">
        <f>LCOE!M113+LCOE!G$20*IF(LCOE!G$14&gt;0,(LCOE!G$14+LCOE!H113),(LCOE!G$15+LCOE!I113))*K87*D87</f>
        <v>20000000</v>
      </c>
      <c r="J87" s="16">
        <f>LCOE!N113+LCOE!G$21*IF(LCOE!G$14&gt;0,G87,H87)*K87*D87</f>
        <v>0</v>
      </c>
      <c r="K87" s="15">
        <f>LCOE!O113+K86+K86*LCOE!G$22</f>
        <v>1</v>
      </c>
      <c r="L87" s="16">
        <f>LCOE!P113+LCOE!G$23*IF(LCOE!G$14&gt;0,G87,H87)*M87*D87</f>
        <v>168165720</v>
      </c>
      <c r="M87" s="15">
        <f>LCOE!Q113+M86+M86*LCOE!G$24</f>
        <v>1</v>
      </c>
      <c r="N87" s="15">
        <f>LCOE!R113+N86-N86*LCOE!G$25</f>
        <v>1</v>
      </c>
      <c r="O87" s="18">
        <f>LCOE!S113+LCOE!G$29</f>
        <v>313.75</v>
      </c>
      <c r="P87" s="12">
        <f>LCOE!T113+IF(A87&gt;=LCOE!G$30,100%,0%)</f>
        <v>1</v>
      </c>
      <c r="Q87" s="16">
        <f>LCOE!U113+O87/1000*IF(LCOE!G$14&gt;0,G87,H87)</f>
        <v>1236802.5</v>
      </c>
      <c r="R87" s="16">
        <f>LCOE!B113</f>
        <v>30</v>
      </c>
      <c r="S87" s="16">
        <f>LCOE!V113+Q87*P87*R87</f>
        <v>37104075</v>
      </c>
      <c r="T87" s="16">
        <f>LCOE!W113+LCOE!G$31</f>
        <v>0</v>
      </c>
      <c r="U87" s="16">
        <f>LCOE!X113+T87*IF(LCOE!G$14&gt;0,G87,H87)</f>
        <v>0</v>
      </c>
      <c r="V87" s="16">
        <f>LCOE!Y113+LCOE!G$32</f>
        <v>0</v>
      </c>
      <c r="W87" s="16">
        <f>LCOE!Z113+V87*IF(LCOE!G$14&gt;0,G87,H87)</f>
        <v>0</v>
      </c>
      <c r="X87" s="16">
        <f>LCOE!AA113+LCOE!G$34</f>
        <v>101</v>
      </c>
      <c r="Y87" s="16">
        <f t="shared" si="15"/>
        <v>0</v>
      </c>
      <c r="Z87" s="50">
        <f t="shared" si="18"/>
        <v>0</v>
      </c>
      <c r="AA87" s="50">
        <f t="shared" si="19"/>
        <v>20000000</v>
      </c>
      <c r="AB87" s="50">
        <f t="shared" si="20"/>
        <v>168165720</v>
      </c>
      <c r="AC87" s="50">
        <f t="shared" si="16"/>
        <v>0</v>
      </c>
      <c r="AD87" s="50">
        <f t="shared" si="11"/>
        <v>37104075</v>
      </c>
      <c r="AE87">
        <f t="shared" si="17"/>
        <v>17</v>
      </c>
      <c r="AF87" s="12">
        <f>LCOE!E113+LCOE!G$40</f>
        <v>7.0000000000000007E-2</v>
      </c>
      <c r="AG87">
        <f t="shared" si="12"/>
        <v>3.1588152109649861</v>
      </c>
      <c r="AH87" s="16">
        <f t="shared" si="7"/>
        <v>0</v>
      </c>
      <c r="AI87" s="16">
        <f t="shared" si="8"/>
        <v>6331487.8092822032</v>
      </c>
      <c r="AJ87" s="16">
        <f t="shared" si="9"/>
        <v>53236960.305958219</v>
      </c>
      <c r="AK87" s="16">
        <f t="shared" si="10"/>
        <v>0</v>
      </c>
      <c r="AL87" s="16">
        <f t="shared" si="13"/>
        <v>11746199.926859628</v>
      </c>
      <c r="AM87" s="16">
        <f t="shared" si="14"/>
        <v>0</v>
      </c>
      <c r="AN87" s="16">
        <f>IF(LCOE!G$14&gt;0,G87,H87)/AG87</f>
        <v>1247936.2472095222</v>
      </c>
    </row>
    <row r="88" spans="1:40">
      <c r="A88">
        <v>18</v>
      </c>
      <c r="C88" s="16">
        <f>LCOE!G114+IF(AND(LCOE!G$26&gt;0,A88&gt;=LCOE!G$26,A88&lt;=(LCOE!G$26+LCOE!G$27-1)),LCOE!G$42/LCOE!G$27,0)+IF(AND(D88=0,AE88&gt;=LCOE!G$16,COUNTIF(D63:D88,0)=LCOE!G$36),LCOE!G$35*LCOE!G$38,0)</f>
        <v>0</v>
      </c>
      <c r="D88" s="16">
        <f>IF(AE87&lt;LCOE!G$16,1,0)</f>
        <v>1</v>
      </c>
      <c r="E88" s="12">
        <f>LCOE!G114+IF(AND(A88&gt;=LCOE!G$26,A88&lt;=(LCOE!G$26+LCOE!G$27-1)),0,1)*IF(A88=LCOE!G$34,0,1)*D88</f>
        <v>1</v>
      </c>
      <c r="F88" s="12">
        <f>IF(F87&lt;LCOE!G$18,MIN(F87*(1+LCOE!G$19),LCOE!G$18),LCOE!G$18)+LCOE!J114</f>
        <v>0.9</v>
      </c>
      <c r="G88" s="16">
        <f>LCOE!K114+E88*F88*N88*(LCOE!G$14+LCOE!H114)*24*365*D88</f>
        <v>3942000</v>
      </c>
      <c r="H88" s="16">
        <f>LCOE!L114+F88*(LCOE!G$15+LCOE!I114)*E88*24*365*D88*N88</f>
        <v>0</v>
      </c>
      <c r="I88" s="16">
        <f>LCOE!M114+LCOE!G$20*IF(LCOE!G$14&gt;0,(LCOE!G$14+LCOE!H114),(LCOE!G$15+LCOE!I114))*K88*D88</f>
        <v>20000000</v>
      </c>
      <c r="J88" s="16">
        <f>LCOE!N114+LCOE!G$21*IF(LCOE!G$14&gt;0,G88,H88)*K88*D88</f>
        <v>0</v>
      </c>
      <c r="K88" s="15">
        <f>LCOE!O114+K87+K87*LCOE!G$22</f>
        <v>1</v>
      </c>
      <c r="L88" s="16">
        <f>LCOE!P114+LCOE!G$23*IF(LCOE!G$14&gt;0,G88,H88)*M88*D88</f>
        <v>168165720</v>
      </c>
      <c r="M88" s="15">
        <f>LCOE!Q114+M87+M87*LCOE!G$24</f>
        <v>1</v>
      </c>
      <c r="N88" s="15">
        <f>LCOE!R114+N87-N87*LCOE!G$25</f>
        <v>1</v>
      </c>
      <c r="O88" s="18">
        <f>LCOE!S114+LCOE!G$29</f>
        <v>313.75</v>
      </c>
      <c r="P88" s="12">
        <f>LCOE!T114+IF(A88&gt;=LCOE!G$30,100%,0%)</f>
        <v>1</v>
      </c>
      <c r="Q88" s="16">
        <f>LCOE!U114+O88/1000*IF(LCOE!G$14&gt;0,G88,H88)</f>
        <v>1236802.5</v>
      </c>
      <c r="R88" s="16">
        <f>LCOE!B114</f>
        <v>30</v>
      </c>
      <c r="S88" s="16">
        <f>LCOE!V114+Q88*P88*R88</f>
        <v>37104075</v>
      </c>
      <c r="T88" s="16">
        <f>LCOE!W114+LCOE!G$31</f>
        <v>0</v>
      </c>
      <c r="U88" s="16">
        <f>LCOE!X114+T88*IF(LCOE!G$14&gt;0,G88,H88)</f>
        <v>0</v>
      </c>
      <c r="V88" s="16">
        <f>LCOE!Y114+LCOE!G$32</f>
        <v>0</v>
      </c>
      <c r="W88" s="16">
        <f>LCOE!Z114+V88*IF(LCOE!G$14&gt;0,G88,H88)</f>
        <v>0</v>
      </c>
      <c r="X88" s="16">
        <f>LCOE!AA114+LCOE!G$34</f>
        <v>101</v>
      </c>
      <c r="Y88" s="16">
        <f t="shared" si="15"/>
        <v>0</v>
      </c>
      <c r="Z88" s="50">
        <f t="shared" si="18"/>
        <v>0</v>
      </c>
      <c r="AA88" s="50">
        <f t="shared" si="19"/>
        <v>20000000</v>
      </c>
      <c r="AB88" s="50">
        <f t="shared" si="20"/>
        <v>168165720</v>
      </c>
      <c r="AC88" s="50">
        <f t="shared" si="16"/>
        <v>0</v>
      </c>
      <c r="AD88" s="50">
        <f t="shared" si="11"/>
        <v>37104075</v>
      </c>
      <c r="AE88">
        <f t="shared" si="17"/>
        <v>18</v>
      </c>
      <c r="AF88" s="12">
        <f>LCOE!E114+LCOE!G$40</f>
        <v>7.0000000000000007E-2</v>
      </c>
      <c r="AG88">
        <f t="shared" si="12"/>
        <v>3.3799322757325352</v>
      </c>
      <c r="AH88" s="16">
        <f t="shared" si="7"/>
        <v>0</v>
      </c>
      <c r="AI88" s="16">
        <f t="shared" si="8"/>
        <v>5917278.3264319655</v>
      </c>
      <c r="AJ88" s="16">
        <f t="shared" si="9"/>
        <v>49754168.510241322</v>
      </c>
      <c r="AK88" s="16">
        <f t="shared" si="10"/>
        <v>0</v>
      </c>
      <c r="AL88" s="16">
        <f t="shared" si="13"/>
        <v>10977756.940990306</v>
      </c>
      <c r="AM88" s="16">
        <f t="shared" si="14"/>
        <v>0</v>
      </c>
      <c r="AN88" s="16">
        <f>IF(LCOE!G$14&gt;0,G88,H88)/AG88</f>
        <v>1166295.5581397405</v>
      </c>
    </row>
    <row r="89" spans="1:40">
      <c r="A89">
        <v>19</v>
      </c>
      <c r="C89" s="16">
        <f>LCOE!G115+IF(AND(LCOE!G$26&gt;0,A89&gt;=LCOE!G$26,A89&lt;=(LCOE!G$26+LCOE!G$27-1)),LCOE!G$42/LCOE!G$27,0)+IF(AND(D89=0,AE89&gt;=LCOE!G$16,COUNTIF(D64:D89,0)=LCOE!G$36),LCOE!G$35*LCOE!G$38,0)</f>
        <v>0</v>
      </c>
      <c r="D89" s="16">
        <f>IF(AE88&lt;LCOE!G$16,1,0)</f>
        <v>1</v>
      </c>
      <c r="E89" s="12">
        <f>LCOE!G115+IF(AND(A89&gt;=LCOE!G$26,A89&lt;=(LCOE!G$26+LCOE!G$27-1)),0,1)*IF(A89=LCOE!G$34,0,1)*D89</f>
        <v>1</v>
      </c>
      <c r="F89" s="12">
        <f>IF(F88&lt;LCOE!G$18,MIN(F88*(1+LCOE!G$19),LCOE!G$18),LCOE!G$18)+LCOE!J115</f>
        <v>0.9</v>
      </c>
      <c r="G89" s="16">
        <f>LCOE!K115+E89*F89*N89*(LCOE!G$14+LCOE!H115)*24*365*D89</f>
        <v>3942000</v>
      </c>
      <c r="H89" s="16">
        <f>LCOE!L115+F89*(LCOE!G$15+LCOE!I115)*E89*24*365*D89*N89</f>
        <v>0</v>
      </c>
      <c r="I89" s="16">
        <f>LCOE!M115+LCOE!G$20*IF(LCOE!G$14&gt;0,(LCOE!G$14+LCOE!H115),(LCOE!G$15+LCOE!I115))*K89*D89</f>
        <v>20000000</v>
      </c>
      <c r="J89" s="16">
        <f>LCOE!N115+LCOE!G$21*IF(LCOE!G$14&gt;0,G89,H89)*K89*D89</f>
        <v>0</v>
      </c>
      <c r="K89" s="15">
        <f>LCOE!O115+K88+K88*LCOE!G$22</f>
        <v>1</v>
      </c>
      <c r="L89" s="16">
        <f>LCOE!P115+LCOE!G$23*IF(LCOE!G$14&gt;0,G89,H89)*M89*D89</f>
        <v>168165720</v>
      </c>
      <c r="M89" s="15">
        <f>LCOE!Q115+M88+M88*LCOE!G$24</f>
        <v>1</v>
      </c>
      <c r="N89" s="15">
        <f>LCOE!R115+N88-N88*LCOE!G$25</f>
        <v>1</v>
      </c>
      <c r="O89" s="18">
        <f>LCOE!S115+LCOE!G$29</f>
        <v>313.75</v>
      </c>
      <c r="P89" s="12">
        <f>LCOE!T115+IF(A89&gt;=LCOE!G$30,100%,0%)</f>
        <v>1</v>
      </c>
      <c r="Q89" s="16">
        <f>LCOE!U115+O89/1000*IF(LCOE!G$14&gt;0,G89,H89)</f>
        <v>1236802.5</v>
      </c>
      <c r="R89" s="16">
        <f>LCOE!B115</f>
        <v>30</v>
      </c>
      <c r="S89" s="16">
        <f>LCOE!V115+Q89*P89*R89</f>
        <v>37104075</v>
      </c>
      <c r="T89" s="16">
        <f>LCOE!W115+LCOE!G$31</f>
        <v>0</v>
      </c>
      <c r="U89" s="16">
        <f>LCOE!X115+T89*IF(LCOE!G$14&gt;0,G89,H89)</f>
        <v>0</v>
      </c>
      <c r="V89" s="16">
        <f>LCOE!Y115+LCOE!G$32</f>
        <v>0</v>
      </c>
      <c r="W89" s="16">
        <f>LCOE!Z115+V89*IF(LCOE!G$14&gt;0,G89,H89)</f>
        <v>0</v>
      </c>
      <c r="X89" s="16">
        <f>LCOE!AA115+LCOE!G$34</f>
        <v>101</v>
      </c>
      <c r="Y89" s="16">
        <f t="shared" si="15"/>
        <v>0</v>
      </c>
      <c r="Z89" s="50">
        <f t="shared" si="18"/>
        <v>0</v>
      </c>
      <c r="AA89" s="50">
        <f t="shared" si="19"/>
        <v>20000000</v>
      </c>
      <c r="AB89" s="50">
        <f t="shared" si="20"/>
        <v>168165720</v>
      </c>
      <c r="AC89" s="50">
        <f t="shared" si="16"/>
        <v>0</v>
      </c>
      <c r="AD89" s="50">
        <f t="shared" si="11"/>
        <v>37104075</v>
      </c>
      <c r="AE89">
        <f t="shared" si="17"/>
        <v>19</v>
      </c>
      <c r="AF89" s="12">
        <f>LCOE!E115+LCOE!G$40</f>
        <v>7.0000000000000007E-2</v>
      </c>
      <c r="AG89">
        <f t="shared" si="12"/>
        <v>3.6165275350338129</v>
      </c>
      <c r="AH89" s="16">
        <f t="shared" si="7"/>
        <v>0</v>
      </c>
      <c r="AI89" s="16">
        <f t="shared" si="8"/>
        <v>5530166.6602167897</v>
      </c>
      <c r="AJ89" s="16">
        <f t="shared" si="9"/>
        <v>46499222.906767592</v>
      </c>
      <c r="AK89" s="16">
        <f t="shared" si="10"/>
        <v>0</v>
      </c>
      <c r="AL89" s="16">
        <f t="shared" si="13"/>
        <v>10259585.926159164</v>
      </c>
      <c r="AM89" s="16">
        <f t="shared" si="14"/>
        <v>0</v>
      </c>
      <c r="AN89" s="16">
        <f>IF(LCOE!G$14&gt;0,G89,H89)/AG89</f>
        <v>1089995.8487287292</v>
      </c>
    </row>
    <row r="90" spans="1:40">
      <c r="A90">
        <v>20</v>
      </c>
      <c r="C90" s="16">
        <f>LCOE!G116+IF(AND(LCOE!G$26&gt;0,A90&gt;=LCOE!G$26,A90&lt;=(LCOE!G$26+LCOE!G$27-1)),LCOE!G$42/LCOE!G$27,0)+IF(AND(D90=0,AE90&gt;=LCOE!G$16,COUNTIF(D65:D90,0)=LCOE!G$36),LCOE!G$35*LCOE!G$38,0)</f>
        <v>0</v>
      </c>
      <c r="D90" s="16">
        <f>IF(AE89&lt;LCOE!G$16,1,0)</f>
        <v>1</v>
      </c>
      <c r="E90" s="12">
        <f>LCOE!G116+IF(AND(A90&gt;=LCOE!G$26,A90&lt;=(LCOE!G$26+LCOE!G$27-1)),0,1)*IF(A90=LCOE!G$34,0,1)*D90</f>
        <v>1</v>
      </c>
      <c r="F90" s="12">
        <f>IF(F89&lt;LCOE!G$18,MIN(F89*(1+LCOE!G$19),LCOE!G$18),LCOE!G$18)+LCOE!J116</f>
        <v>0.9</v>
      </c>
      <c r="G90" s="16">
        <f>LCOE!K116+E90*F90*N90*(LCOE!G$14+LCOE!H116)*24*365*D90</f>
        <v>3942000</v>
      </c>
      <c r="H90" s="16">
        <f>LCOE!L116+F90*(LCOE!G$15+LCOE!I116)*E90*24*365*D90*N90</f>
        <v>0</v>
      </c>
      <c r="I90" s="16">
        <f>LCOE!M116+LCOE!G$20*IF(LCOE!G$14&gt;0,(LCOE!G$14+LCOE!H116),(LCOE!G$15+LCOE!I116))*K90*D90</f>
        <v>20000000</v>
      </c>
      <c r="J90" s="16">
        <f>LCOE!N116+LCOE!G$21*IF(LCOE!G$14&gt;0,G90,H90)*K90*D90</f>
        <v>0</v>
      </c>
      <c r="K90" s="15">
        <f>LCOE!O116+K89+K89*LCOE!G$22</f>
        <v>1</v>
      </c>
      <c r="L90" s="16">
        <f>LCOE!P116+LCOE!G$23*IF(LCOE!G$14&gt;0,G90,H90)*M90*D90</f>
        <v>168165720</v>
      </c>
      <c r="M90" s="15">
        <f>LCOE!Q116+M89+M89*LCOE!G$24</f>
        <v>1</v>
      </c>
      <c r="N90" s="15">
        <f>LCOE!R116+N89-N89*LCOE!G$25</f>
        <v>1</v>
      </c>
      <c r="O90" s="18">
        <f>LCOE!S116+LCOE!G$29</f>
        <v>313.75</v>
      </c>
      <c r="P90" s="12">
        <f>LCOE!T116+IF(A90&gt;=LCOE!G$30,100%,0%)</f>
        <v>1</v>
      </c>
      <c r="Q90" s="16">
        <f>LCOE!U116+O90/1000*IF(LCOE!G$14&gt;0,G90,H90)</f>
        <v>1236802.5</v>
      </c>
      <c r="R90" s="16">
        <f>LCOE!B116</f>
        <v>30</v>
      </c>
      <c r="S90" s="16">
        <f>LCOE!V116+Q90*P90*R90</f>
        <v>37104075</v>
      </c>
      <c r="T90" s="16">
        <f>LCOE!W116+LCOE!G$31</f>
        <v>0</v>
      </c>
      <c r="U90" s="16">
        <f>LCOE!X116+T90*IF(LCOE!G$14&gt;0,G90,H90)</f>
        <v>0</v>
      </c>
      <c r="V90" s="16">
        <f>LCOE!Y116+LCOE!G$32</f>
        <v>0</v>
      </c>
      <c r="W90" s="16">
        <f>LCOE!Z116+V90*IF(LCOE!G$14&gt;0,G90,H90)</f>
        <v>0</v>
      </c>
      <c r="X90" s="16">
        <f>LCOE!AA116+LCOE!G$34</f>
        <v>101</v>
      </c>
      <c r="Y90" s="16">
        <f t="shared" si="15"/>
        <v>0</v>
      </c>
      <c r="Z90" s="50">
        <f t="shared" si="18"/>
        <v>0</v>
      </c>
      <c r="AA90" s="50">
        <f t="shared" si="19"/>
        <v>20000000</v>
      </c>
      <c r="AB90" s="50">
        <f t="shared" si="20"/>
        <v>168165720</v>
      </c>
      <c r="AC90" s="50">
        <f t="shared" si="16"/>
        <v>0</v>
      </c>
      <c r="AD90" s="50">
        <f t="shared" si="11"/>
        <v>37104075</v>
      </c>
      <c r="AE90">
        <f t="shared" si="17"/>
        <v>20</v>
      </c>
      <c r="AF90" s="12">
        <f>LCOE!E116+LCOE!G$40</f>
        <v>7.0000000000000007E-2</v>
      </c>
      <c r="AG90">
        <f t="shared" si="12"/>
        <v>3.8696844624861795</v>
      </c>
      <c r="AH90" s="16">
        <f t="shared" si="7"/>
        <v>0</v>
      </c>
      <c r="AI90" s="16">
        <f t="shared" si="8"/>
        <v>5168380.0562773738</v>
      </c>
      <c r="AJ90" s="16">
        <f t="shared" si="9"/>
        <v>43457217.669876255</v>
      </c>
      <c r="AK90" s="16">
        <f t="shared" si="10"/>
        <v>0</v>
      </c>
      <c r="AL90" s="16">
        <f t="shared" si="13"/>
        <v>9588398.0618309956</v>
      </c>
      <c r="AM90" s="16">
        <f t="shared" si="14"/>
        <v>0</v>
      </c>
      <c r="AN90" s="16">
        <f>IF(LCOE!G$14&gt;0,G90,H90)/AG90</f>
        <v>1018687.7090922705</v>
      </c>
    </row>
    <row r="91" spans="1:40">
      <c r="A91">
        <v>21</v>
      </c>
      <c r="C91" s="16">
        <f>LCOE!G117+IF(AND(LCOE!G$26&gt;0,A91&gt;=LCOE!G$26,A91&lt;=(LCOE!G$26+LCOE!G$27-1)),LCOE!G$42/LCOE!G$27,0)+IF(AND(D91=0,AE91&gt;=LCOE!G$16,COUNTIF(D66:D91,0)=LCOE!G$36),LCOE!G$35*LCOE!G$38,0)</f>
        <v>0</v>
      </c>
      <c r="D91" s="16">
        <f>IF(AE90&lt;LCOE!G$16,1,0)</f>
        <v>1</v>
      </c>
      <c r="E91" s="12">
        <f>LCOE!G117+IF(AND(A91&gt;=LCOE!G$26,A91&lt;=(LCOE!G$26+LCOE!G$27-1)),0,1)*IF(A91=LCOE!G$34,0,1)*D91</f>
        <v>1</v>
      </c>
      <c r="F91" s="12">
        <f>IF(F90&lt;LCOE!G$18,MIN(F90*(1+LCOE!G$19),LCOE!G$18),LCOE!G$18)+LCOE!J117</f>
        <v>0.9</v>
      </c>
      <c r="G91" s="16">
        <f>LCOE!K117+E91*F91*N91*(LCOE!G$14+LCOE!H117)*24*365*D91</f>
        <v>3942000</v>
      </c>
      <c r="H91" s="16">
        <f>LCOE!L117+F91*(LCOE!G$15+LCOE!I117)*E91*24*365*D91*N91</f>
        <v>0</v>
      </c>
      <c r="I91" s="16">
        <f>LCOE!M117+LCOE!G$20*IF(LCOE!G$14&gt;0,(LCOE!G$14+LCOE!H117),(LCOE!G$15+LCOE!I117))*K91*D91</f>
        <v>20000000</v>
      </c>
      <c r="J91" s="16">
        <f>LCOE!N117+LCOE!G$21*IF(LCOE!G$14&gt;0,G91,H91)*K91*D91</f>
        <v>0</v>
      </c>
      <c r="K91" s="15">
        <f>LCOE!O117+K90+K90*LCOE!G$22</f>
        <v>1</v>
      </c>
      <c r="L91" s="16">
        <f>LCOE!P117+LCOE!G$23*IF(LCOE!G$14&gt;0,G91,H91)*M91*D91</f>
        <v>168165720</v>
      </c>
      <c r="M91" s="15">
        <f>LCOE!Q117+M90+M90*LCOE!G$24</f>
        <v>1</v>
      </c>
      <c r="N91" s="15">
        <f>LCOE!R117+N90-N90*LCOE!G$25</f>
        <v>1</v>
      </c>
      <c r="O91" s="18">
        <f>LCOE!S117+LCOE!G$29</f>
        <v>313.75</v>
      </c>
      <c r="P91" s="12">
        <f>LCOE!T117+IF(A91&gt;=LCOE!G$30,100%,0%)</f>
        <v>1</v>
      </c>
      <c r="Q91" s="16">
        <f>LCOE!U117+O91/1000*IF(LCOE!G$14&gt;0,G91,H91)</f>
        <v>1236802.5</v>
      </c>
      <c r="R91" s="16">
        <f>LCOE!B117</f>
        <v>30</v>
      </c>
      <c r="S91" s="16">
        <f>LCOE!V117+Q91*P91*R91</f>
        <v>37104075</v>
      </c>
      <c r="T91" s="16">
        <f>LCOE!W117+LCOE!G$31</f>
        <v>0</v>
      </c>
      <c r="U91" s="16">
        <f>LCOE!X117+T91*IF(LCOE!G$14&gt;0,G91,H91)</f>
        <v>0</v>
      </c>
      <c r="V91" s="16">
        <f>LCOE!Y117+LCOE!G$32</f>
        <v>0</v>
      </c>
      <c r="W91" s="16">
        <f>LCOE!Z117+V91*IF(LCOE!G$14&gt;0,G91,H91)</f>
        <v>0</v>
      </c>
      <c r="X91" s="16">
        <f>LCOE!AA117+LCOE!G$34</f>
        <v>101</v>
      </c>
      <c r="Y91" s="16">
        <f t="shared" si="15"/>
        <v>0</v>
      </c>
      <c r="Z91" s="50">
        <f t="shared" si="18"/>
        <v>0</v>
      </c>
      <c r="AA91" s="50">
        <f t="shared" si="19"/>
        <v>20000000</v>
      </c>
      <c r="AB91" s="50">
        <f t="shared" si="20"/>
        <v>168165720</v>
      </c>
      <c r="AC91" s="50">
        <f t="shared" si="16"/>
        <v>0</v>
      </c>
      <c r="AD91" s="50">
        <f t="shared" si="11"/>
        <v>37104075</v>
      </c>
      <c r="AE91">
        <f t="shared" si="17"/>
        <v>21</v>
      </c>
      <c r="AF91" s="12">
        <f>LCOE!E117+LCOE!G$40</f>
        <v>7.0000000000000007E-2</v>
      </c>
      <c r="AG91">
        <f t="shared" si="12"/>
        <v>4.1405623748602123</v>
      </c>
      <c r="AH91" s="16">
        <f t="shared" si="7"/>
        <v>0</v>
      </c>
      <c r="AI91" s="16">
        <f t="shared" si="8"/>
        <v>4830261.7348386673</v>
      </c>
      <c r="AJ91" s="16">
        <f t="shared" si="9"/>
        <v>40614222.121379673</v>
      </c>
      <c r="AK91" s="16">
        <f t="shared" si="10"/>
        <v>0</v>
      </c>
      <c r="AL91" s="16">
        <f t="shared" si="13"/>
        <v>8961119.6839541998</v>
      </c>
      <c r="AM91" s="16">
        <f t="shared" si="14"/>
        <v>0</v>
      </c>
      <c r="AN91" s="16">
        <f>IF(LCOE!G$14&gt;0,G91,H91)/AG91</f>
        <v>952044.58793670125</v>
      </c>
    </row>
    <row r="92" spans="1:40">
      <c r="A92">
        <v>22</v>
      </c>
      <c r="C92" s="16">
        <f>LCOE!G118+IF(AND(LCOE!G$26&gt;0,A92&gt;=LCOE!G$26,A92&lt;=(LCOE!G$26+LCOE!G$27-1)),LCOE!G$42/LCOE!G$27,0)+IF(AND(D92=0,AE92&gt;=LCOE!G$16,COUNTIF(D67:D92,0)=LCOE!G$36),LCOE!G$35*LCOE!G$38,0)</f>
        <v>0</v>
      </c>
      <c r="D92" s="16">
        <f>IF(AE91&lt;LCOE!G$16,1,0)</f>
        <v>1</v>
      </c>
      <c r="E92" s="12">
        <f>LCOE!G118+IF(AND(A92&gt;=LCOE!G$26,A92&lt;=(LCOE!G$26+LCOE!G$27-1)),0,1)*IF(A92=LCOE!G$34,0,1)*D92</f>
        <v>1</v>
      </c>
      <c r="F92" s="12">
        <f>IF(F91&lt;LCOE!G$18,MIN(F91*(1+LCOE!G$19),LCOE!G$18),LCOE!G$18)+LCOE!J118</f>
        <v>0.9</v>
      </c>
      <c r="G92" s="16">
        <f>LCOE!K118+E92*F92*N92*(LCOE!G$14+LCOE!H118)*24*365*D92</f>
        <v>3942000</v>
      </c>
      <c r="H92" s="16">
        <f>LCOE!L118+F92*(LCOE!G$15+LCOE!I118)*E92*24*365*D92*N92</f>
        <v>0</v>
      </c>
      <c r="I92" s="16">
        <f>LCOE!M118+LCOE!G$20*IF(LCOE!G$14&gt;0,(LCOE!G$14+LCOE!H118),(LCOE!G$15+LCOE!I118))*K92*D92</f>
        <v>20000000</v>
      </c>
      <c r="J92" s="16">
        <f>LCOE!N118+LCOE!G$21*IF(LCOE!G$14&gt;0,G92,H92)*K92*D92</f>
        <v>0</v>
      </c>
      <c r="K92" s="15">
        <f>LCOE!O118+K91+K91*LCOE!G$22</f>
        <v>1</v>
      </c>
      <c r="L92" s="16">
        <f>LCOE!P118+LCOE!G$23*IF(LCOE!G$14&gt;0,G92,H92)*M92*D92</f>
        <v>168165720</v>
      </c>
      <c r="M92" s="15">
        <f>LCOE!Q118+M91+M91*LCOE!G$24</f>
        <v>1</v>
      </c>
      <c r="N92" s="15">
        <f>LCOE!R118+N91-N91*LCOE!G$25</f>
        <v>1</v>
      </c>
      <c r="O92" s="18">
        <f>LCOE!S118+LCOE!G$29</f>
        <v>313.75</v>
      </c>
      <c r="P92" s="12">
        <f>LCOE!T118+IF(A92&gt;=LCOE!G$30,100%,0%)</f>
        <v>1</v>
      </c>
      <c r="Q92" s="16">
        <f>LCOE!U118+O92/1000*IF(LCOE!G$14&gt;0,G92,H92)</f>
        <v>1236802.5</v>
      </c>
      <c r="R92" s="16">
        <f>LCOE!B118</f>
        <v>30</v>
      </c>
      <c r="S92" s="16">
        <f>LCOE!V118+Q92*P92*R92</f>
        <v>37104075</v>
      </c>
      <c r="T92" s="16">
        <f>LCOE!W118+LCOE!G$31</f>
        <v>0</v>
      </c>
      <c r="U92" s="16">
        <f>LCOE!X118+T92*IF(LCOE!G$14&gt;0,G92,H92)</f>
        <v>0</v>
      </c>
      <c r="V92" s="16">
        <f>LCOE!Y118+LCOE!G$32</f>
        <v>0</v>
      </c>
      <c r="W92" s="16">
        <f>LCOE!Z118+V92*IF(LCOE!G$14&gt;0,G92,H92)</f>
        <v>0</v>
      </c>
      <c r="X92" s="16">
        <f>LCOE!AA118+LCOE!G$34</f>
        <v>101</v>
      </c>
      <c r="Y92" s="16">
        <f t="shared" si="15"/>
        <v>0</v>
      </c>
      <c r="Z92" s="50">
        <f t="shared" si="18"/>
        <v>0</v>
      </c>
      <c r="AA92" s="50">
        <f t="shared" si="19"/>
        <v>20000000</v>
      </c>
      <c r="AB92" s="50">
        <f t="shared" si="20"/>
        <v>168165720</v>
      </c>
      <c r="AC92" s="50">
        <f t="shared" si="16"/>
        <v>0</v>
      </c>
      <c r="AD92" s="50">
        <f t="shared" si="11"/>
        <v>37104075</v>
      </c>
      <c r="AE92">
        <f t="shared" si="17"/>
        <v>22</v>
      </c>
      <c r="AF92" s="12">
        <f>LCOE!E118+LCOE!G$40</f>
        <v>7.0000000000000007E-2</v>
      </c>
      <c r="AG92">
        <f t="shared" si="12"/>
        <v>4.4304017411004271</v>
      </c>
      <c r="AH92" s="16">
        <f t="shared" si="7"/>
        <v>0</v>
      </c>
      <c r="AI92" s="16">
        <f t="shared" si="8"/>
        <v>4514263.3035875391</v>
      </c>
      <c r="AJ92" s="16">
        <f t="shared" si="9"/>
        <v>37957216.935868859</v>
      </c>
      <c r="AK92" s="16">
        <f t="shared" si="10"/>
        <v>0</v>
      </c>
      <c r="AL92" s="16">
        <f t="shared" si="13"/>
        <v>8374878.2093029916</v>
      </c>
      <c r="AM92" s="16">
        <f t="shared" si="14"/>
        <v>0</v>
      </c>
      <c r="AN92" s="16">
        <f>IF(LCOE!G$14&gt;0,G92,H92)/AG92</f>
        <v>889761.29713710397</v>
      </c>
    </row>
    <row r="93" spans="1:40">
      <c r="A93">
        <v>23</v>
      </c>
      <c r="C93" s="16">
        <f>LCOE!G119+IF(AND(LCOE!G$26&gt;0,A93&gt;=LCOE!G$26,A93&lt;=(LCOE!G$26+LCOE!G$27-1)),LCOE!G$42/LCOE!G$27,0)+IF(AND(D93=0,AE93&gt;=LCOE!G$16,COUNTIF(D68:D93,0)=LCOE!G$36),LCOE!G$35*LCOE!G$38,0)</f>
        <v>0</v>
      </c>
      <c r="D93" s="16">
        <f>IF(AE92&lt;LCOE!G$16,1,0)</f>
        <v>1</v>
      </c>
      <c r="E93" s="12">
        <f>LCOE!G119+IF(AND(A93&gt;=LCOE!G$26,A93&lt;=(LCOE!G$26+LCOE!G$27-1)),0,1)*IF(A93=LCOE!G$34,0,1)*D93</f>
        <v>1</v>
      </c>
      <c r="F93" s="12">
        <f>IF(F92&lt;LCOE!G$18,MIN(F92*(1+LCOE!G$19),LCOE!G$18),LCOE!G$18)+LCOE!J119</f>
        <v>0.9</v>
      </c>
      <c r="G93" s="16">
        <f>LCOE!K119+E93*F93*N93*(LCOE!G$14+LCOE!H119)*24*365*D93</f>
        <v>3942000</v>
      </c>
      <c r="H93" s="16">
        <f>LCOE!L119+F93*(LCOE!G$15+LCOE!I119)*E93*24*365*D93*N93</f>
        <v>0</v>
      </c>
      <c r="I93" s="16">
        <f>LCOE!M119+LCOE!G$20*IF(LCOE!G$14&gt;0,(LCOE!G$14+LCOE!H119),(LCOE!G$15+LCOE!I119))*K93*D93</f>
        <v>20000000</v>
      </c>
      <c r="J93" s="16">
        <f>LCOE!N119+LCOE!G$21*IF(LCOE!G$14&gt;0,G93,H93)*K93*D93</f>
        <v>0</v>
      </c>
      <c r="K93" s="15">
        <f>LCOE!O119+K92+K92*LCOE!G$22</f>
        <v>1</v>
      </c>
      <c r="L93" s="16">
        <f>LCOE!P119+LCOE!G$23*IF(LCOE!G$14&gt;0,G93,H93)*M93*D93</f>
        <v>168165720</v>
      </c>
      <c r="M93" s="15">
        <f>LCOE!Q119+M92+M92*LCOE!G$24</f>
        <v>1</v>
      </c>
      <c r="N93" s="15">
        <f>LCOE!R119+N92-N92*LCOE!G$25</f>
        <v>1</v>
      </c>
      <c r="O93" s="18">
        <f>LCOE!S119+LCOE!G$29</f>
        <v>313.75</v>
      </c>
      <c r="P93" s="12">
        <f>LCOE!T119+IF(A93&gt;=LCOE!G$30,100%,0%)</f>
        <v>1</v>
      </c>
      <c r="Q93" s="16">
        <f>LCOE!U119+O93/1000*IF(LCOE!G$14&gt;0,G93,H93)</f>
        <v>1236802.5</v>
      </c>
      <c r="R93" s="16">
        <f>LCOE!B119</f>
        <v>30</v>
      </c>
      <c r="S93" s="16">
        <f>LCOE!V119+Q93*P93*R93</f>
        <v>37104075</v>
      </c>
      <c r="T93" s="16">
        <f>LCOE!W119+LCOE!G$31</f>
        <v>0</v>
      </c>
      <c r="U93" s="16">
        <f>LCOE!X119+T93*IF(LCOE!G$14&gt;0,G93,H93)</f>
        <v>0</v>
      </c>
      <c r="V93" s="16">
        <f>LCOE!Y119+LCOE!G$32</f>
        <v>0</v>
      </c>
      <c r="W93" s="16">
        <f>LCOE!Z119+V93*IF(LCOE!G$14&gt;0,G93,H93)</f>
        <v>0</v>
      </c>
      <c r="X93" s="16">
        <f>LCOE!AA119+LCOE!G$34</f>
        <v>101</v>
      </c>
      <c r="Y93" s="16">
        <f t="shared" si="15"/>
        <v>0</v>
      </c>
      <c r="Z93" s="50">
        <f t="shared" si="18"/>
        <v>0</v>
      </c>
      <c r="AA93" s="50">
        <f t="shared" si="19"/>
        <v>20000000</v>
      </c>
      <c r="AB93" s="50">
        <f t="shared" si="20"/>
        <v>168165720</v>
      </c>
      <c r="AC93" s="50">
        <f t="shared" si="16"/>
        <v>0</v>
      </c>
      <c r="AD93" s="50">
        <f t="shared" si="11"/>
        <v>37104075</v>
      </c>
      <c r="AE93">
        <f t="shared" si="17"/>
        <v>23</v>
      </c>
      <c r="AF93" s="12">
        <f>LCOE!E119+LCOE!G$40</f>
        <v>7.0000000000000007E-2</v>
      </c>
      <c r="AG93">
        <f t="shared" si="12"/>
        <v>4.740529862977457</v>
      </c>
      <c r="AH93" s="16">
        <f t="shared" si="7"/>
        <v>0</v>
      </c>
      <c r="AI93" s="16">
        <f t="shared" si="8"/>
        <v>4218937.6669042427</v>
      </c>
      <c r="AJ93" s="16">
        <f t="shared" si="9"/>
        <v>35474034.519503601</v>
      </c>
      <c r="AK93" s="16">
        <f t="shared" si="10"/>
        <v>0</v>
      </c>
      <c r="AL93" s="16">
        <f t="shared" si="13"/>
        <v>7826988.980657001</v>
      </c>
      <c r="AM93" s="16">
        <f t="shared" si="14"/>
        <v>0</v>
      </c>
      <c r="AN93" s="16">
        <f>IF(LCOE!G$14&gt;0,G93,H93)/AG93</f>
        <v>831552.61414682621</v>
      </c>
    </row>
    <row r="94" spans="1:40">
      <c r="A94">
        <v>24</v>
      </c>
      <c r="C94" s="16">
        <f>LCOE!G120+IF(AND(LCOE!G$26&gt;0,A94&gt;=LCOE!G$26,A94&lt;=(LCOE!G$26+LCOE!G$27-1)),LCOE!G$42/LCOE!G$27,0)+IF(AND(D94=0,AE94&gt;=LCOE!G$16,COUNTIF(D69:D94,0)=LCOE!G$36),LCOE!G$35*LCOE!G$38,0)</f>
        <v>0</v>
      </c>
      <c r="D94" s="16">
        <f>IF(AE93&lt;LCOE!G$16,1,0)</f>
        <v>1</v>
      </c>
      <c r="E94" s="12">
        <f>LCOE!G120+IF(AND(A94&gt;=LCOE!G$26,A94&lt;=(LCOE!G$26+LCOE!G$27-1)),0,1)*IF(A94=LCOE!G$34,0,1)*D94</f>
        <v>1</v>
      </c>
      <c r="F94" s="12">
        <f>IF(F93&lt;LCOE!G$18,MIN(F93*(1+LCOE!G$19),LCOE!G$18),LCOE!G$18)+LCOE!J120</f>
        <v>0.9</v>
      </c>
      <c r="G94" s="16">
        <f>LCOE!K120+E94*F94*N94*(LCOE!G$14+LCOE!H120)*24*365*D94</f>
        <v>3942000</v>
      </c>
      <c r="H94" s="16">
        <f>LCOE!L120+F94*(LCOE!G$15+LCOE!I120)*E94*24*365*D94*N94</f>
        <v>0</v>
      </c>
      <c r="I94" s="16">
        <f>LCOE!M120+LCOE!G$20*IF(LCOE!G$14&gt;0,(LCOE!G$14+LCOE!H120),(LCOE!G$15+LCOE!I120))*K94*D94</f>
        <v>20000000</v>
      </c>
      <c r="J94" s="16">
        <f>LCOE!N120+LCOE!G$21*IF(LCOE!G$14&gt;0,G94,H94)*K94*D94</f>
        <v>0</v>
      </c>
      <c r="K94" s="15">
        <f>LCOE!O120+K93+K93*LCOE!G$22</f>
        <v>1</v>
      </c>
      <c r="L94" s="16">
        <f>LCOE!P120+LCOE!G$23*IF(LCOE!G$14&gt;0,G94,H94)*M94*D94</f>
        <v>168165720</v>
      </c>
      <c r="M94" s="15">
        <f>LCOE!Q120+M93+M93*LCOE!G$24</f>
        <v>1</v>
      </c>
      <c r="N94" s="15">
        <f>LCOE!R120+N93-N93*LCOE!G$25</f>
        <v>1</v>
      </c>
      <c r="O94" s="18">
        <f>LCOE!S120+LCOE!G$29</f>
        <v>313.75</v>
      </c>
      <c r="P94" s="12">
        <f>LCOE!T120+IF(A94&gt;=LCOE!G$30,100%,0%)</f>
        <v>1</v>
      </c>
      <c r="Q94" s="16">
        <f>LCOE!U120+O94/1000*IF(LCOE!G$14&gt;0,G94,H94)</f>
        <v>1236802.5</v>
      </c>
      <c r="R94" s="16">
        <f>LCOE!B120</f>
        <v>30</v>
      </c>
      <c r="S94" s="16">
        <f>LCOE!V120+Q94*P94*R94</f>
        <v>37104075</v>
      </c>
      <c r="T94" s="16">
        <f>LCOE!W120+LCOE!G$31</f>
        <v>0</v>
      </c>
      <c r="U94" s="16">
        <f>LCOE!X120+T94*IF(LCOE!G$14&gt;0,G94,H94)</f>
        <v>0</v>
      </c>
      <c r="V94" s="16">
        <f>LCOE!Y120+LCOE!G$32</f>
        <v>0</v>
      </c>
      <c r="W94" s="16">
        <f>LCOE!Z120+V94*IF(LCOE!G$14&gt;0,G94,H94)</f>
        <v>0</v>
      </c>
      <c r="X94" s="16">
        <f>LCOE!AA120+LCOE!G$34</f>
        <v>101</v>
      </c>
      <c r="Y94" s="16">
        <f t="shared" si="15"/>
        <v>0</v>
      </c>
      <c r="Z94" s="50">
        <f t="shared" si="18"/>
        <v>0</v>
      </c>
      <c r="AA94" s="50">
        <f t="shared" si="19"/>
        <v>20000000</v>
      </c>
      <c r="AB94" s="50">
        <f t="shared" si="20"/>
        <v>168165720</v>
      </c>
      <c r="AC94" s="50">
        <f t="shared" si="16"/>
        <v>0</v>
      </c>
      <c r="AD94" s="50">
        <f t="shared" si="11"/>
        <v>37104075</v>
      </c>
      <c r="AE94">
        <f t="shared" si="17"/>
        <v>24</v>
      </c>
      <c r="AF94" s="12">
        <f>LCOE!E120+LCOE!G$40</f>
        <v>7.0000000000000007E-2</v>
      </c>
      <c r="AG94">
        <f t="shared" si="12"/>
        <v>5.0723669533858793</v>
      </c>
      <c r="AH94" s="16">
        <f t="shared" si="7"/>
        <v>0</v>
      </c>
      <c r="AI94" s="16">
        <f t="shared" si="8"/>
        <v>3942932.3989759274</v>
      </c>
      <c r="AJ94" s="16">
        <f t="shared" si="9"/>
        <v>33153303.289255701</v>
      </c>
      <c r="AK94" s="16">
        <f t="shared" si="10"/>
        <v>0</v>
      </c>
      <c r="AL94" s="16">
        <f t="shared" si="13"/>
        <v>7314942.9725766359</v>
      </c>
      <c r="AM94" s="16">
        <f t="shared" si="14"/>
        <v>0</v>
      </c>
      <c r="AN94" s="16">
        <f>IF(LCOE!G$14&gt;0,G94,H94)/AG94</f>
        <v>777151.97583815525</v>
      </c>
    </row>
    <row r="95" spans="1:40">
      <c r="A95">
        <v>25</v>
      </c>
      <c r="C95" s="16">
        <f>LCOE!G121+IF(AND(LCOE!G$26&gt;0,A95&gt;=LCOE!G$26,A95&lt;=(LCOE!G$26+LCOE!G$27-1)),LCOE!G$42/LCOE!G$27,0)+IF(AND(D95=0,AE95&gt;=LCOE!G$16,COUNTIF(D70:D95,0)=LCOE!G$36),LCOE!G$35*LCOE!G$38,0)</f>
        <v>0</v>
      </c>
      <c r="D95" s="16">
        <f>IF(AE94&lt;LCOE!G$16,1,0)</f>
        <v>1</v>
      </c>
      <c r="E95" s="12">
        <f>LCOE!G121+IF(AND(A95&gt;=LCOE!G$26,A95&lt;=(LCOE!G$26+LCOE!G$27-1)),0,1)*IF(A95=LCOE!G$34,0,1)*D95</f>
        <v>1</v>
      </c>
      <c r="F95" s="12">
        <f>IF(F94&lt;LCOE!G$18,MIN(F94*(1+LCOE!G$19),LCOE!G$18),LCOE!G$18)+LCOE!J121</f>
        <v>0.9</v>
      </c>
      <c r="G95" s="16">
        <f>LCOE!K121+E95*F95*N95*(LCOE!G$14+LCOE!H121)*24*365*D95</f>
        <v>3942000</v>
      </c>
      <c r="H95" s="16">
        <f>LCOE!L121+F95*(LCOE!G$15+LCOE!I121)*E95*24*365*D95*N95</f>
        <v>0</v>
      </c>
      <c r="I95" s="16">
        <f>LCOE!M121+LCOE!G$20*IF(LCOE!G$14&gt;0,(LCOE!G$14+LCOE!H121),(LCOE!G$15+LCOE!I121))*K95*D95</f>
        <v>20000000</v>
      </c>
      <c r="J95" s="16">
        <f>LCOE!N121+LCOE!G$21*IF(LCOE!G$14&gt;0,G95,H95)*K95*D95</f>
        <v>0</v>
      </c>
      <c r="K95" s="15">
        <f>LCOE!O121+K94+K94*LCOE!G$22</f>
        <v>1</v>
      </c>
      <c r="L95" s="16">
        <f>LCOE!P121+LCOE!G$23*IF(LCOE!G$14&gt;0,G95,H95)*M95*D95</f>
        <v>168165720</v>
      </c>
      <c r="M95" s="15">
        <f>LCOE!Q121+M94+M94*LCOE!G$24</f>
        <v>1</v>
      </c>
      <c r="N95" s="15">
        <f>LCOE!R121+N94-N94*LCOE!G$25</f>
        <v>1</v>
      </c>
      <c r="O95" s="18">
        <f>LCOE!S121+LCOE!G$29</f>
        <v>313.75</v>
      </c>
      <c r="P95" s="12">
        <f>LCOE!T121+IF(A95&gt;=LCOE!G$30,100%,0%)</f>
        <v>1</v>
      </c>
      <c r="Q95" s="16">
        <f>LCOE!U121+O95/1000*IF(LCOE!G$14&gt;0,G95,H95)</f>
        <v>1236802.5</v>
      </c>
      <c r="R95" s="16">
        <f>LCOE!B121</f>
        <v>30</v>
      </c>
      <c r="S95" s="16">
        <f>LCOE!V121+Q95*P95*R95</f>
        <v>37104075</v>
      </c>
      <c r="T95" s="16">
        <f>LCOE!W121+LCOE!G$31</f>
        <v>0</v>
      </c>
      <c r="U95" s="16">
        <f>LCOE!X121+T95*IF(LCOE!G$14&gt;0,G95,H95)</f>
        <v>0</v>
      </c>
      <c r="V95" s="16">
        <f>LCOE!Y121+LCOE!G$32</f>
        <v>0</v>
      </c>
      <c r="W95" s="16">
        <f>LCOE!Z121+V95*IF(LCOE!G$14&gt;0,G95,H95)</f>
        <v>0</v>
      </c>
      <c r="X95" s="16">
        <f>LCOE!AA121+LCOE!G$34</f>
        <v>101</v>
      </c>
      <c r="Y95" s="16">
        <f t="shared" si="15"/>
        <v>0</v>
      </c>
      <c r="Z95" s="50">
        <f t="shared" si="18"/>
        <v>0</v>
      </c>
      <c r="AA95" s="50">
        <f t="shared" si="19"/>
        <v>20000000</v>
      </c>
      <c r="AB95" s="50">
        <f t="shared" si="20"/>
        <v>168165720</v>
      </c>
      <c r="AC95" s="50">
        <f t="shared" si="16"/>
        <v>0</v>
      </c>
      <c r="AD95" s="50">
        <f t="shared" si="11"/>
        <v>37104075</v>
      </c>
      <c r="AE95">
        <f t="shared" si="17"/>
        <v>25</v>
      </c>
      <c r="AF95" s="12">
        <f>LCOE!E121+LCOE!G$40</f>
        <v>7.0000000000000007E-2</v>
      </c>
      <c r="AG95">
        <f t="shared" si="12"/>
        <v>5.4274326401228912</v>
      </c>
      <c r="AH95" s="16">
        <f t="shared" si="7"/>
        <v>0</v>
      </c>
      <c r="AI95" s="16">
        <f t="shared" si="8"/>
        <v>3684983.5504447916</v>
      </c>
      <c r="AJ95" s="16">
        <f t="shared" si="9"/>
        <v>30984395.597435236</v>
      </c>
      <c r="AK95" s="16">
        <f t="shared" si="10"/>
        <v>0</v>
      </c>
      <c r="AL95" s="16">
        <f t="shared" si="13"/>
        <v>6836395.3014734918</v>
      </c>
      <c r="AM95" s="16">
        <f t="shared" si="14"/>
        <v>0</v>
      </c>
      <c r="AN95" s="16">
        <f>IF(LCOE!G$14&gt;0,G95,H95)/AG95</f>
        <v>726310.25779266842</v>
      </c>
    </row>
    <row r="96" spans="1:40">
      <c r="A96">
        <v>26</v>
      </c>
      <c r="C96" s="16">
        <f>LCOE!G122+IF(AND(LCOE!G$26&gt;0,A96&gt;=LCOE!G$26,A96&lt;=(LCOE!G$26+LCOE!G$27-1)),LCOE!G$42/LCOE!G$27,0)+IF(AND(D96=0,AE96&gt;=LCOE!G$16,COUNTIF(D71:D96,0)=LCOE!G$36),LCOE!G$35*LCOE!G$38,0)</f>
        <v>0</v>
      </c>
      <c r="D96" s="16">
        <f>IF(AE95&lt;LCOE!G$16,1,0)</f>
        <v>1</v>
      </c>
      <c r="E96" s="12">
        <f>LCOE!G122+IF(AND(A96&gt;=LCOE!G$26,A96&lt;=(LCOE!G$26+LCOE!G$27-1)),0,1)*IF(A96=LCOE!G$34,0,1)*D96</f>
        <v>1</v>
      </c>
      <c r="F96" s="12">
        <f>IF(F95&lt;LCOE!G$18,MIN(F95*(1+LCOE!G$19),LCOE!G$18),LCOE!G$18)+LCOE!J122</f>
        <v>0.9</v>
      </c>
      <c r="G96" s="16">
        <f>LCOE!K122+E96*F96*N96*(LCOE!G$14+LCOE!H122)*24*365*D96</f>
        <v>3942000</v>
      </c>
      <c r="H96" s="16">
        <f>LCOE!L122+F96*(LCOE!G$15+LCOE!I122)*E96*24*365*D96*N96</f>
        <v>0</v>
      </c>
      <c r="I96" s="16">
        <f>LCOE!M122+LCOE!G$20*IF(LCOE!G$14&gt;0,(LCOE!G$14+LCOE!H122),(LCOE!G$15+LCOE!I122))*K96*D96</f>
        <v>20000000</v>
      </c>
      <c r="J96" s="16">
        <f>LCOE!N122+LCOE!G$21*IF(LCOE!G$14&gt;0,G96,H96)*K96*D96</f>
        <v>0</v>
      </c>
      <c r="K96" s="15">
        <f>LCOE!O122+K95+K95*LCOE!G$22</f>
        <v>1</v>
      </c>
      <c r="L96" s="16">
        <f>LCOE!P122+LCOE!G$23*IF(LCOE!G$14&gt;0,G96,H96)*M96*D96</f>
        <v>168165720</v>
      </c>
      <c r="M96" s="15">
        <f>LCOE!Q122+M95+M95*LCOE!G$24</f>
        <v>1</v>
      </c>
      <c r="N96" s="15">
        <f>LCOE!R122+N95-N95*LCOE!G$25</f>
        <v>1</v>
      </c>
      <c r="O96" s="18">
        <f>LCOE!S122+LCOE!G$29</f>
        <v>313.75</v>
      </c>
      <c r="P96" s="12">
        <f>LCOE!T122+IF(A96&gt;=LCOE!G$30,100%,0%)</f>
        <v>1</v>
      </c>
      <c r="Q96" s="16">
        <f>LCOE!U122+O96/1000*IF(LCOE!G$14&gt;0,G96,H96)</f>
        <v>1236802.5</v>
      </c>
      <c r="R96" s="16">
        <f>LCOE!B122</f>
        <v>30</v>
      </c>
      <c r="S96" s="16">
        <f>LCOE!V122+Q96*P96*R96</f>
        <v>37104075</v>
      </c>
      <c r="T96" s="16">
        <f>LCOE!W122+LCOE!G$31</f>
        <v>0</v>
      </c>
      <c r="U96" s="16">
        <f>LCOE!X122+T96*IF(LCOE!G$14&gt;0,G96,H96)</f>
        <v>0</v>
      </c>
      <c r="V96" s="16">
        <f>LCOE!Y122+LCOE!G$32</f>
        <v>0</v>
      </c>
      <c r="W96" s="16">
        <f>LCOE!Z122+V96*IF(LCOE!G$14&gt;0,G96,H96)</f>
        <v>0</v>
      </c>
      <c r="X96" s="16">
        <f>LCOE!AA122+LCOE!G$34</f>
        <v>101</v>
      </c>
      <c r="Y96" s="16">
        <f t="shared" si="15"/>
        <v>0</v>
      </c>
      <c r="Z96" s="50">
        <f t="shared" si="18"/>
        <v>0</v>
      </c>
      <c r="AA96" s="50">
        <f t="shared" si="19"/>
        <v>20000000</v>
      </c>
      <c r="AB96" s="50">
        <f t="shared" si="20"/>
        <v>168165720</v>
      </c>
      <c r="AC96" s="50">
        <f t="shared" si="16"/>
        <v>0</v>
      </c>
      <c r="AD96" s="50">
        <f t="shared" si="11"/>
        <v>37104075</v>
      </c>
      <c r="AE96">
        <f t="shared" si="17"/>
        <v>26</v>
      </c>
      <c r="AF96" s="12">
        <f>LCOE!E122+LCOE!G$40</f>
        <v>7.0000000000000007E-2</v>
      </c>
      <c r="AG96">
        <f t="shared" si="12"/>
        <v>5.807352924931493</v>
      </c>
      <c r="AH96" s="16">
        <f t="shared" si="7"/>
        <v>0</v>
      </c>
      <c r="AI96" s="16">
        <f t="shared" si="8"/>
        <v>3443909.8602287774</v>
      </c>
      <c r="AJ96" s="16">
        <f t="shared" si="9"/>
        <v>28957379.063023586</v>
      </c>
      <c r="AK96" s="16">
        <f t="shared" si="10"/>
        <v>0</v>
      </c>
      <c r="AL96" s="16">
        <f t="shared" si="13"/>
        <v>6389154.4873584034</v>
      </c>
      <c r="AM96" s="16">
        <f t="shared" si="14"/>
        <v>0</v>
      </c>
      <c r="AN96" s="16">
        <f>IF(LCOE!G$14&gt;0,G96,H96)/AG96</f>
        <v>678794.63345109206</v>
      </c>
    </row>
    <row r="97" spans="1:40">
      <c r="A97">
        <v>27</v>
      </c>
      <c r="C97" s="16">
        <f>LCOE!G123+IF(AND(LCOE!G$26&gt;0,A97&gt;=LCOE!G$26,A97&lt;=(LCOE!G$26+LCOE!G$27-1)),LCOE!G$42/LCOE!G$27,0)+IF(AND(D97=0,AE97&gt;=LCOE!G$16,COUNTIF(D72:D97,0)=LCOE!G$36),LCOE!G$35*LCOE!G$38,0)</f>
        <v>0</v>
      </c>
      <c r="D97" s="16">
        <f>IF(AE96&lt;LCOE!G$16,1,0)</f>
        <v>1</v>
      </c>
      <c r="E97" s="12">
        <f>LCOE!G123+IF(AND(A97&gt;=LCOE!G$26,A97&lt;=(LCOE!G$26+LCOE!G$27-1)),0,1)*IF(A97=LCOE!G$34,0,1)*D97</f>
        <v>1</v>
      </c>
      <c r="F97" s="12">
        <f>IF(F96&lt;LCOE!G$18,MIN(F96*(1+LCOE!G$19),LCOE!G$18),LCOE!G$18)+LCOE!J123</f>
        <v>0.9</v>
      </c>
      <c r="G97" s="16">
        <f>LCOE!K123+E97*F97*N97*(LCOE!G$14+LCOE!H123)*24*365*D97</f>
        <v>3942000</v>
      </c>
      <c r="H97" s="16">
        <f>LCOE!L123+F97*(LCOE!G$15+LCOE!I123)*E97*24*365*D97*N97</f>
        <v>0</v>
      </c>
      <c r="I97" s="16">
        <f>LCOE!M123+LCOE!G$20*IF(LCOE!G$14&gt;0,(LCOE!G$14+LCOE!H123),(LCOE!G$15+LCOE!I123))*K97*D97</f>
        <v>20000000</v>
      </c>
      <c r="J97" s="16">
        <f>LCOE!N123+LCOE!G$21*IF(LCOE!G$14&gt;0,G97,H97)*K97*D97</f>
        <v>0</v>
      </c>
      <c r="K97" s="15">
        <f>LCOE!O123+K96+K96*LCOE!G$22</f>
        <v>1</v>
      </c>
      <c r="L97" s="16">
        <f>LCOE!P123+LCOE!G$23*IF(LCOE!G$14&gt;0,G97,H97)*M97*D97</f>
        <v>168165720</v>
      </c>
      <c r="M97" s="15">
        <f>LCOE!Q123+M96+M96*LCOE!G$24</f>
        <v>1</v>
      </c>
      <c r="N97" s="15">
        <f>LCOE!R123+N96-N96*LCOE!G$25</f>
        <v>1</v>
      </c>
      <c r="O97" s="18">
        <f>LCOE!S123+LCOE!G$29</f>
        <v>313.75</v>
      </c>
      <c r="P97" s="12">
        <f>LCOE!T123+IF(A97&gt;=LCOE!G$30,100%,0%)</f>
        <v>1</v>
      </c>
      <c r="Q97" s="16">
        <f>LCOE!U123+O97/1000*IF(LCOE!G$14&gt;0,G97,H97)</f>
        <v>1236802.5</v>
      </c>
      <c r="R97" s="16">
        <f>LCOE!B123</f>
        <v>30</v>
      </c>
      <c r="S97" s="16">
        <f>LCOE!V123+Q97*P97*R97</f>
        <v>37104075</v>
      </c>
      <c r="T97" s="16">
        <f>LCOE!W123+LCOE!G$31</f>
        <v>0</v>
      </c>
      <c r="U97" s="16">
        <f>LCOE!X123+T97*IF(LCOE!G$14&gt;0,G97,H97)</f>
        <v>0</v>
      </c>
      <c r="V97" s="16">
        <f>LCOE!Y123+LCOE!G$32</f>
        <v>0</v>
      </c>
      <c r="W97" s="16">
        <f>LCOE!Z123+V97*IF(LCOE!G$14&gt;0,G97,H97)</f>
        <v>0</v>
      </c>
      <c r="X97" s="16">
        <f>LCOE!AA123+LCOE!G$34</f>
        <v>101</v>
      </c>
      <c r="Y97" s="16">
        <f t="shared" si="15"/>
        <v>0</v>
      </c>
      <c r="Z97" s="50">
        <f t="shared" si="18"/>
        <v>0</v>
      </c>
      <c r="AA97" s="50">
        <f t="shared" si="19"/>
        <v>20000000</v>
      </c>
      <c r="AB97" s="50">
        <f t="shared" si="20"/>
        <v>168165720</v>
      </c>
      <c r="AC97" s="50">
        <f t="shared" si="16"/>
        <v>0</v>
      </c>
      <c r="AD97" s="50">
        <f t="shared" si="11"/>
        <v>37104075</v>
      </c>
      <c r="AE97">
        <f t="shared" si="17"/>
        <v>27</v>
      </c>
      <c r="AF97" s="12">
        <f>LCOE!E123+LCOE!G$40</f>
        <v>7.0000000000000007E-2</v>
      </c>
      <c r="AG97">
        <f t="shared" si="12"/>
        <v>6.2138676296766988</v>
      </c>
      <c r="AH97" s="16">
        <f t="shared" si="7"/>
        <v>0</v>
      </c>
      <c r="AI97" s="16">
        <f t="shared" si="8"/>
        <v>3218607.3460082025</v>
      </c>
      <c r="AJ97" s="16">
        <f t="shared" si="9"/>
        <v>27062971.086937927</v>
      </c>
      <c r="AK97" s="16">
        <f t="shared" si="10"/>
        <v>0</v>
      </c>
      <c r="AL97" s="16">
        <f t="shared" si="13"/>
        <v>5971172.4180919649</v>
      </c>
      <c r="AM97" s="16">
        <f t="shared" si="14"/>
        <v>0</v>
      </c>
      <c r="AN97" s="16">
        <f>IF(LCOE!G$14&gt;0,G97,H97)/AG97</f>
        <v>634387.50789821672</v>
      </c>
    </row>
    <row r="98" spans="1:40">
      <c r="A98">
        <v>28</v>
      </c>
      <c r="C98" s="16">
        <f>LCOE!G124+IF(AND(LCOE!G$26&gt;0,A98&gt;=LCOE!G$26,A98&lt;=(LCOE!G$26+LCOE!G$27-1)),LCOE!G$42/LCOE!G$27,0)+IF(AND(D98=0,AE98&gt;=LCOE!G$16,COUNTIF(D73:D98,0)=LCOE!G$36),LCOE!G$35*LCOE!G$38,0)</f>
        <v>0</v>
      </c>
      <c r="D98" s="16">
        <f>IF(AE97&lt;LCOE!G$16,1,0)</f>
        <v>1</v>
      </c>
      <c r="E98" s="12">
        <f>LCOE!G124+IF(AND(A98&gt;=LCOE!G$26,A98&lt;=(LCOE!G$26+LCOE!G$27-1)),0,1)*IF(A98=LCOE!G$34,0,1)*D98</f>
        <v>1</v>
      </c>
      <c r="F98" s="12">
        <f>IF(F97&lt;LCOE!G$18,MIN(F97*(1+LCOE!G$19),LCOE!G$18),LCOE!G$18)+LCOE!J124</f>
        <v>0.9</v>
      </c>
      <c r="G98" s="16">
        <f>LCOE!K124+E98*F98*N98*(LCOE!G$14+LCOE!H124)*24*365*D98</f>
        <v>3942000</v>
      </c>
      <c r="H98" s="16">
        <f>LCOE!L124+F98*(LCOE!G$15+LCOE!I124)*E98*24*365*D98*N98</f>
        <v>0</v>
      </c>
      <c r="I98" s="16">
        <f>LCOE!M124+LCOE!G$20*IF(LCOE!G$14&gt;0,(LCOE!G$14+LCOE!H124),(LCOE!G$15+LCOE!I124))*K98*D98</f>
        <v>20000000</v>
      </c>
      <c r="J98" s="16">
        <f>LCOE!N124+LCOE!G$21*IF(LCOE!G$14&gt;0,G98,H98)*K98*D98</f>
        <v>0</v>
      </c>
      <c r="K98" s="15">
        <f>LCOE!O124+K97+K97*LCOE!G$22</f>
        <v>1</v>
      </c>
      <c r="L98" s="16">
        <f>LCOE!P124+LCOE!G$23*IF(LCOE!G$14&gt;0,G98,H98)*M98*D98</f>
        <v>168165720</v>
      </c>
      <c r="M98" s="15">
        <f>LCOE!Q124+M97+M97*LCOE!G$24</f>
        <v>1</v>
      </c>
      <c r="N98" s="15">
        <f>LCOE!R124+N97-N97*LCOE!G$25</f>
        <v>1</v>
      </c>
      <c r="O98" s="18">
        <f>LCOE!S124+LCOE!G$29</f>
        <v>313.75</v>
      </c>
      <c r="P98" s="12">
        <f>LCOE!T124+IF(A98&gt;=LCOE!G$30,100%,0%)</f>
        <v>1</v>
      </c>
      <c r="Q98" s="16">
        <f>LCOE!U124+O98/1000*IF(LCOE!G$14&gt;0,G98,H98)</f>
        <v>1236802.5</v>
      </c>
      <c r="R98" s="16">
        <f>LCOE!B124</f>
        <v>30</v>
      </c>
      <c r="S98" s="16">
        <f>LCOE!V124+Q98*P98*R98</f>
        <v>37104075</v>
      </c>
      <c r="T98" s="16">
        <f>LCOE!W124+LCOE!G$31</f>
        <v>0</v>
      </c>
      <c r="U98" s="16">
        <f>LCOE!X124+T98*IF(LCOE!G$14&gt;0,G98,H98)</f>
        <v>0</v>
      </c>
      <c r="V98" s="16">
        <f>LCOE!Y124+LCOE!G$32</f>
        <v>0</v>
      </c>
      <c r="W98" s="16">
        <f>LCOE!Z124+V98*IF(LCOE!G$14&gt;0,G98,H98)</f>
        <v>0</v>
      </c>
      <c r="X98" s="16">
        <f>LCOE!AA124+LCOE!G$34</f>
        <v>101</v>
      </c>
      <c r="Y98" s="16">
        <f t="shared" si="15"/>
        <v>0</v>
      </c>
      <c r="Z98" s="50">
        <f t="shared" si="18"/>
        <v>0</v>
      </c>
      <c r="AA98" s="50">
        <f t="shared" si="19"/>
        <v>20000000</v>
      </c>
      <c r="AB98" s="50">
        <f t="shared" si="20"/>
        <v>168165720</v>
      </c>
      <c r="AC98" s="50">
        <f t="shared" si="16"/>
        <v>0</v>
      </c>
      <c r="AD98" s="50">
        <f t="shared" si="11"/>
        <v>37104075</v>
      </c>
      <c r="AE98">
        <f t="shared" si="17"/>
        <v>28</v>
      </c>
      <c r="AF98" s="12">
        <f>LCOE!E124+LCOE!G$40</f>
        <v>7.0000000000000007E-2</v>
      </c>
      <c r="AG98">
        <f t="shared" si="12"/>
        <v>6.6488383637540664</v>
      </c>
      <c r="AH98" s="16">
        <f t="shared" si="7"/>
        <v>0</v>
      </c>
      <c r="AI98" s="16">
        <f t="shared" si="8"/>
        <v>3008044.2486057975</v>
      </c>
      <c r="AJ98" s="16">
        <f t="shared" si="9"/>
        <v>25292496.342932645</v>
      </c>
      <c r="AK98" s="16">
        <f t="shared" si="10"/>
        <v>0</v>
      </c>
      <c r="AL98" s="16">
        <f t="shared" si="13"/>
        <v>5580534.9701794079</v>
      </c>
      <c r="AM98" s="16">
        <f t="shared" si="14"/>
        <v>0</v>
      </c>
      <c r="AN98" s="16">
        <f>IF(LCOE!G$14&gt;0,G98,H98)/AG98</f>
        <v>592885.52140020265</v>
      </c>
    </row>
    <row r="99" spans="1:40">
      <c r="A99">
        <v>29</v>
      </c>
      <c r="C99" s="16">
        <f>LCOE!G125+IF(AND(LCOE!G$26&gt;0,A99&gt;=LCOE!G$26,A99&lt;=(LCOE!G$26+LCOE!G$27-1)),LCOE!G$42/LCOE!G$27,0)+IF(AND(D99=0,AE99&gt;=LCOE!G$16,COUNTIF(D74:D99,0)=LCOE!G$36),LCOE!G$35*LCOE!G$38,0)</f>
        <v>0</v>
      </c>
      <c r="D99" s="16">
        <f>IF(AE98&lt;LCOE!G$16,1,0)</f>
        <v>1</v>
      </c>
      <c r="E99" s="12">
        <f>LCOE!G125+IF(AND(A99&gt;=LCOE!G$26,A99&lt;=(LCOE!G$26+LCOE!G$27-1)),0,1)*IF(A99=LCOE!G$34,0,1)*D99</f>
        <v>1</v>
      </c>
      <c r="F99" s="12">
        <f>IF(F98&lt;LCOE!G$18,MIN(F98*(1+LCOE!G$19),LCOE!G$18),LCOE!G$18)+LCOE!J125</f>
        <v>0.9</v>
      </c>
      <c r="G99" s="16">
        <f>LCOE!K125+E99*F99*N99*(LCOE!G$14+LCOE!H125)*24*365*D99</f>
        <v>3942000</v>
      </c>
      <c r="H99" s="16">
        <f>LCOE!L125+F99*(LCOE!G$15+LCOE!I125)*E99*24*365*D99*N99</f>
        <v>0</v>
      </c>
      <c r="I99" s="16">
        <f>LCOE!M125+LCOE!G$20*IF(LCOE!G$14&gt;0,(LCOE!G$14+LCOE!H125),(LCOE!G$15+LCOE!I125))*K99*D99</f>
        <v>20000000</v>
      </c>
      <c r="J99" s="16">
        <f>LCOE!N125+LCOE!G$21*IF(LCOE!G$14&gt;0,G99,H99)*K99*D99</f>
        <v>0</v>
      </c>
      <c r="K99" s="15">
        <f>LCOE!O125+K98+K98*LCOE!G$22</f>
        <v>1</v>
      </c>
      <c r="L99" s="16">
        <f>LCOE!P125+LCOE!G$23*IF(LCOE!G$14&gt;0,G99,H99)*M99*D99</f>
        <v>168165720</v>
      </c>
      <c r="M99" s="15">
        <f>LCOE!Q125+M98+M98*LCOE!G$24</f>
        <v>1</v>
      </c>
      <c r="N99" s="15">
        <f>LCOE!R125+N98-N98*LCOE!G$25</f>
        <v>1</v>
      </c>
      <c r="O99" s="18">
        <f>LCOE!S125+LCOE!G$29</f>
        <v>313.75</v>
      </c>
      <c r="P99" s="12">
        <f>LCOE!T125+IF(A99&gt;=LCOE!G$30,100%,0%)</f>
        <v>1</v>
      </c>
      <c r="Q99" s="16">
        <f>LCOE!U125+O99/1000*IF(LCOE!G$14&gt;0,G99,H99)</f>
        <v>1236802.5</v>
      </c>
      <c r="R99" s="16">
        <f>LCOE!B125</f>
        <v>30</v>
      </c>
      <c r="S99" s="16">
        <f>LCOE!V125+Q99*P99*R99</f>
        <v>37104075</v>
      </c>
      <c r="T99" s="16">
        <f>LCOE!W125+LCOE!G$31</f>
        <v>0</v>
      </c>
      <c r="U99" s="16">
        <f>LCOE!X125+T99*IF(LCOE!G$14&gt;0,G99,H99)</f>
        <v>0</v>
      </c>
      <c r="V99" s="16">
        <f>LCOE!Y125+LCOE!G$32</f>
        <v>0</v>
      </c>
      <c r="W99" s="16">
        <f>LCOE!Z125+V99*IF(LCOE!G$14&gt;0,G99,H99)</f>
        <v>0</v>
      </c>
      <c r="X99" s="16">
        <f>LCOE!AA125+LCOE!G$34</f>
        <v>101</v>
      </c>
      <c r="Y99" s="16">
        <f t="shared" si="15"/>
        <v>0</v>
      </c>
      <c r="Z99" s="50">
        <f t="shared" si="18"/>
        <v>0</v>
      </c>
      <c r="AA99" s="50">
        <f t="shared" si="19"/>
        <v>20000000</v>
      </c>
      <c r="AB99" s="50">
        <f t="shared" si="20"/>
        <v>168165720</v>
      </c>
      <c r="AC99" s="50">
        <f t="shared" si="16"/>
        <v>0</v>
      </c>
      <c r="AD99" s="50">
        <f t="shared" si="11"/>
        <v>37104075</v>
      </c>
      <c r="AE99">
        <f t="shared" si="17"/>
        <v>29</v>
      </c>
      <c r="AF99" s="12">
        <f>LCOE!E125+LCOE!G$40</f>
        <v>7.0000000000000007E-2</v>
      </c>
      <c r="AG99">
        <f t="shared" si="12"/>
        <v>7.1142570492168513</v>
      </c>
      <c r="AH99" s="16">
        <f t="shared" si="7"/>
        <v>0</v>
      </c>
      <c r="AI99" s="16">
        <f t="shared" si="8"/>
        <v>2811256.3071082216</v>
      </c>
      <c r="AJ99" s="16">
        <f t="shared" si="9"/>
        <v>23637847.049469762</v>
      </c>
      <c r="AK99" s="16">
        <f t="shared" si="10"/>
        <v>0</v>
      </c>
      <c r="AL99" s="16">
        <f t="shared" si="13"/>
        <v>5215453.2431583246</v>
      </c>
      <c r="AM99" s="16">
        <f t="shared" si="14"/>
        <v>0</v>
      </c>
      <c r="AN99" s="16">
        <f>IF(LCOE!G$14&gt;0,G99,H99)/AG99</f>
        <v>554098.61813103047</v>
      </c>
    </row>
    <row r="100" spans="1:40">
      <c r="A100">
        <v>30</v>
      </c>
      <c r="C100" s="16">
        <f>LCOE!G126+IF(AND(LCOE!G$26&gt;0,A100&gt;=LCOE!G$26,A100&lt;=(LCOE!G$26+LCOE!G$27-1)),LCOE!G$42/LCOE!G$27,0)+IF(AND(D100=0,AE100&gt;=LCOE!G$16,COUNTIF(D75:D100,0)=LCOE!G$36),LCOE!G$35*LCOE!G$38,0)</f>
        <v>0</v>
      </c>
      <c r="D100" s="16">
        <f>IF(AE99&lt;LCOE!G$16,1,0)</f>
        <v>1</v>
      </c>
      <c r="E100" s="12">
        <f>LCOE!G126+IF(AND(A100&gt;=LCOE!G$26,A100&lt;=(LCOE!G$26+LCOE!G$27-1)),0,1)*IF(A100=LCOE!G$34,0,1)*D100</f>
        <v>1</v>
      </c>
      <c r="F100" s="12">
        <f>IF(F99&lt;LCOE!G$18,MIN(F99*(1+LCOE!G$19),LCOE!G$18),LCOE!G$18)+LCOE!J126</f>
        <v>0.9</v>
      </c>
      <c r="G100" s="16">
        <f>LCOE!K126+E100*F100*N100*(LCOE!G$14+LCOE!H126)*24*365*D100</f>
        <v>3942000</v>
      </c>
      <c r="H100" s="16">
        <f>LCOE!L126+F100*(LCOE!G$15+LCOE!I126)*E100*24*365*D100*N100</f>
        <v>0</v>
      </c>
      <c r="I100" s="16">
        <f>LCOE!M126+LCOE!G$20*IF(LCOE!G$14&gt;0,(LCOE!G$14+LCOE!H126),(LCOE!G$15+LCOE!I126))*K100*D100</f>
        <v>20000000</v>
      </c>
      <c r="J100" s="16">
        <f>LCOE!N126+LCOE!G$21*IF(LCOE!G$14&gt;0,G100,H100)*K100*D100</f>
        <v>0</v>
      </c>
      <c r="K100" s="15">
        <f>LCOE!O126+K99+K99*LCOE!G$22</f>
        <v>1</v>
      </c>
      <c r="L100" s="16">
        <f>LCOE!P126+LCOE!G$23*IF(LCOE!G$14&gt;0,G100,H100)*M100*D100</f>
        <v>168165720</v>
      </c>
      <c r="M100" s="15">
        <f>LCOE!Q126+M99+M99*LCOE!G$24</f>
        <v>1</v>
      </c>
      <c r="N100" s="15">
        <f>LCOE!R126+N99-N99*LCOE!G$25</f>
        <v>1</v>
      </c>
      <c r="O100" s="18">
        <f>LCOE!S126+LCOE!G$29</f>
        <v>313.75</v>
      </c>
      <c r="P100" s="12">
        <f>LCOE!T126+IF(A100&gt;=LCOE!G$30,100%,0%)</f>
        <v>1</v>
      </c>
      <c r="Q100" s="16">
        <f>LCOE!U126+O100/1000*IF(LCOE!G$14&gt;0,G100,H100)</f>
        <v>1236802.5</v>
      </c>
      <c r="R100" s="16">
        <f>LCOE!B126</f>
        <v>30</v>
      </c>
      <c r="S100" s="16">
        <f>LCOE!V126+Q100*P100*R100</f>
        <v>37104075</v>
      </c>
      <c r="T100" s="16">
        <f>LCOE!W126+LCOE!G$31</f>
        <v>0</v>
      </c>
      <c r="U100" s="16">
        <f>LCOE!X126+T100*IF(LCOE!G$14&gt;0,G100,H100)</f>
        <v>0</v>
      </c>
      <c r="V100" s="16">
        <f>LCOE!Y126+LCOE!G$32</f>
        <v>0</v>
      </c>
      <c r="W100" s="16">
        <f>LCOE!Z126+V100*IF(LCOE!G$14&gt;0,G100,H100)</f>
        <v>0</v>
      </c>
      <c r="X100" s="16">
        <f>LCOE!AA126+LCOE!G$34</f>
        <v>101</v>
      </c>
      <c r="Y100" s="16">
        <f t="shared" si="15"/>
        <v>0</v>
      </c>
      <c r="Z100" s="50">
        <f t="shared" si="18"/>
        <v>0</v>
      </c>
      <c r="AA100" s="50">
        <f t="shared" si="19"/>
        <v>20000000</v>
      </c>
      <c r="AB100" s="50">
        <f t="shared" si="20"/>
        <v>168165720</v>
      </c>
      <c r="AC100" s="50">
        <f t="shared" si="16"/>
        <v>0</v>
      </c>
      <c r="AD100" s="50">
        <f t="shared" si="11"/>
        <v>37104075</v>
      </c>
      <c r="AE100">
        <f t="shared" si="17"/>
        <v>30</v>
      </c>
      <c r="AF100" s="12">
        <f>LCOE!E126+LCOE!G$40</f>
        <v>7.0000000000000007E-2</v>
      </c>
      <c r="AG100">
        <f t="shared" si="12"/>
        <v>7.6122550426620306</v>
      </c>
      <c r="AH100" s="16">
        <f t="shared" si="7"/>
        <v>0</v>
      </c>
      <c r="AI100" s="16">
        <f t="shared" si="8"/>
        <v>2627342.3430917962</v>
      </c>
      <c r="AJ100" s="16">
        <f t="shared" si="9"/>
        <v>22091445.840625945</v>
      </c>
      <c r="AK100" s="16">
        <f t="shared" si="10"/>
        <v>0</v>
      </c>
      <c r="AL100" s="16">
        <f t="shared" si="13"/>
        <v>4874255.3674376868</v>
      </c>
      <c r="AM100" s="16">
        <f t="shared" si="14"/>
        <v>0</v>
      </c>
      <c r="AN100" s="16">
        <f>IF(LCOE!G$14&gt;0,G100,H100)/AG100</f>
        <v>517849.17582339304</v>
      </c>
    </row>
    <row r="101" spans="1:40">
      <c r="A101">
        <v>31</v>
      </c>
      <c r="C101" s="16">
        <f>LCOE!G127+IF(AND(LCOE!G$26&gt;0,A101&gt;=LCOE!G$26,A101&lt;=(LCOE!G$26+LCOE!G$27-1)),LCOE!G$42/LCOE!G$27,0)+IF(AND(D101=0,AE101&gt;=LCOE!G$16,COUNTIF(D76:D101,0)=LCOE!G$36),LCOE!G$35*LCOE!G$38,0)</f>
        <v>0</v>
      </c>
      <c r="D101" s="16">
        <f>IF(AE100&lt;LCOE!G$16,1,0)</f>
        <v>0</v>
      </c>
      <c r="E101" s="12">
        <f>LCOE!G127+IF(AND(A101&gt;=LCOE!G$26,A101&lt;=(LCOE!G$26+LCOE!G$27-1)),0,1)*IF(A101=LCOE!G$34,0,1)*D101</f>
        <v>0</v>
      </c>
      <c r="F101" s="12">
        <f>IF(F100&lt;LCOE!G$18,MIN(F100*(1+LCOE!G$19),LCOE!G$18),LCOE!G$18)+LCOE!J127</f>
        <v>0.9</v>
      </c>
      <c r="G101" s="16">
        <f>LCOE!K127+E101*F101*N101*(LCOE!G$14+LCOE!H127)*24*365*D101</f>
        <v>0</v>
      </c>
      <c r="H101" s="16">
        <f>LCOE!L127+F101*(LCOE!G$15+LCOE!I127)*E101*24*365*D101*N101</f>
        <v>0</v>
      </c>
      <c r="I101" s="16">
        <f>LCOE!M127+LCOE!G$20*IF(LCOE!G$14&gt;0,(LCOE!G$14+LCOE!H127),(LCOE!G$15+LCOE!I127))*K101*D101</f>
        <v>0</v>
      </c>
      <c r="J101" s="16">
        <f>LCOE!N127+LCOE!G$21*IF(LCOE!G$14&gt;0,G101,H101)*K101*D101</f>
        <v>0</v>
      </c>
      <c r="K101" s="15">
        <f>LCOE!O127+K100+K100*LCOE!G$22</f>
        <v>1</v>
      </c>
      <c r="L101" s="16">
        <f>LCOE!P127+LCOE!G$23*IF(LCOE!G$14&gt;0,G101,H101)*M101*D101</f>
        <v>0</v>
      </c>
      <c r="M101" s="15">
        <f>LCOE!Q127+M100+M100*LCOE!G$24</f>
        <v>1</v>
      </c>
      <c r="N101" s="15">
        <f>LCOE!R127+N100-N100*LCOE!G$25</f>
        <v>1</v>
      </c>
      <c r="O101" s="18">
        <f>LCOE!S127+LCOE!G$29</f>
        <v>313.75</v>
      </c>
      <c r="P101" s="12">
        <f>LCOE!T127+IF(A101&gt;=LCOE!G$30,100%,0%)</f>
        <v>1</v>
      </c>
      <c r="Q101" s="16">
        <f>LCOE!U127+O101/1000*IF(LCOE!G$14&gt;0,G101,H101)</f>
        <v>0</v>
      </c>
      <c r="R101" s="16">
        <f>LCOE!B127</f>
        <v>30</v>
      </c>
      <c r="S101" s="16">
        <f>LCOE!V127+Q101*P101*R101</f>
        <v>0</v>
      </c>
      <c r="T101" s="16">
        <f>LCOE!W127+LCOE!G$31</f>
        <v>0</v>
      </c>
      <c r="U101" s="16">
        <f>LCOE!X127+T101*IF(LCOE!G$14&gt;0,G101,H101)</f>
        <v>0</v>
      </c>
      <c r="V101" s="16">
        <f>LCOE!Y127+LCOE!G$32</f>
        <v>0</v>
      </c>
      <c r="W101" s="16">
        <f>LCOE!Z127+V101*IF(LCOE!G$14&gt;0,G101,H101)</f>
        <v>0</v>
      </c>
      <c r="X101" s="16">
        <f>LCOE!AA127+LCOE!G$34</f>
        <v>101</v>
      </c>
      <c r="Y101" s="16">
        <f t="shared" si="15"/>
        <v>0</v>
      </c>
      <c r="Z101" s="50">
        <f t="shared" si="18"/>
        <v>0</v>
      </c>
      <c r="AA101" s="50">
        <f t="shared" si="19"/>
        <v>0</v>
      </c>
      <c r="AB101" s="50">
        <f t="shared" si="20"/>
        <v>0</v>
      </c>
      <c r="AC101" s="50">
        <f t="shared" si="16"/>
        <v>0</v>
      </c>
      <c r="AD101" s="50">
        <f t="shared" si="11"/>
        <v>0</v>
      </c>
      <c r="AE101">
        <f t="shared" si="17"/>
        <v>30</v>
      </c>
      <c r="AF101" s="12">
        <f>LCOE!E127+LCOE!G$40</f>
        <v>7.0000000000000007E-2</v>
      </c>
      <c r="AG101">
        <f t="shared" si="12"/>
        <v>8.1451128956483743</v>
      </c>
      <c r="AH101" s="16">
        <f t="shared" si="7"/>
        <v>0</v>
      </c>
      <c r="AI101" s="16">
        <f t="shared" si="8"/>
        <v>0</v>
      </c>
      <c r="AJ101" s="16">
        <f t="shared" si="9"/>
        <v>0</v>
      </c>
      <c r="AK101" s="16">
        <f t="shared" si="10"/>
        <v>0</v>
      </c>
      <c r="AL101" s="16">
        <f t="shared" si="13"/>
        <v>0</v>
      </c>
      <c r="AM101" s="16">
        <f t="shared" si="14"/>
        <v>0</v>
      </c>
      <c r="AN101" s="16">
        <f>IF(LCOE!G$14&gt;0,G101,H101)/AG101</f>
        <v>0</v>
      </c>
    </row>
    <row r="102" spans="1:40">
      <c r="A102">
        <v>32</v>
      </c>
      <c r="C102" s="16">
        <f>LCOE!G128+IF(AND(LCOE!G$26&gt;0,A102&gt;=LCOE!G$26,A102&lt;=(LCOE!G$26+LCOE!G$27-1)),LCOE!G$42/LCOE!G$27,0)+IF(AND(D102=0,AE102&gt;=LCOE!G$16,COUNTIF(D77:D102,0)=LCOE!G$36),LCOE!G$35*LCOE!G$38,0)</f>
        <v>25225000</v>
      </c>
      <c r="D102" s="16">
        <f>IF(AE101&lt;LCOE!G$16,1,0)</f>
        <v>0</v>
      </c>
      <c r="E102" s="12">
        <f>LCOE!G128+IF(AND(A102&gt;=LCOE!G$26,A102&lt;=(LCOE!G$26+LCOE!G$27-1)),0,1)*IF(A102=LCOE!G$34,0,1)*D102</f>
        <v>0</v>
      </c>
      <c r="F102" s="12">
        <f>IF(F101&lt;LCOE!G$18,MIN(F101*(1+LCOE!G$19),LCOE!G$18),LCOE!G$18)+LCOE!J128</f>
        <v>0.9</v>
      </c>
      <c r="G102" s="16">
        <f>LCOE!K128+E102*F102*N102*(LCOE!G$14+LCOE!H128)*24*365*D102</f>
        <v>0</v>
      </c>
      <c r="H102" s="16">
        <f>LCOE!L128+F102*(LCOE!G$15+LCOE!I128)*E102*24*365*D102*N102</f>
        <v>0</v>
      </c>
      <c r="I102" s="16">
        <f>LCOE!M128+LCOE!G$20*IF(LCOE!G$14&gt;0,(LCOE!G$14+LCOE!H128),(LCOE!G$15+LCOE!I128))*K102*D102</f>
        <v>0</v>
      </c>
      <c r="J102" s="16">
        <f>LCOE!N128+LCOE!G$21*IF(LCOE!G$14&gt;0,G102,H102)*K102*D102</f>
        <v>0</v>
      </c>
      <c r="K102" s="15">
        <f>LCOE!O128+K101+K101*LCOE!G$22</f>
        <v>1</v>
      </c>
      <c r="L102" s="16">
        <f>LCOE!P128+LCOE!G$23*IF(LCOE!G$14&gt;0,G102,H102)*M102*D102</f>
        <v>0</v>
      </c>
      <c r="M102" s="15">
        <f>LCOE!Q128+M101+M101*LCOE!G$24</f>
        <v>1</v>
      </c>
      <c r="N102" s="15">
        <f>LCOE!R128+N101-N101*LCOE!G$25</f>
        <v>1</v>
      </c>
      <c r="O102" s="18">
        <f>LCOE!S128+LCOE!G$29</f>
        <v>313.75</v>
      </c>
      <c r="P102" s="12">
        <f>LCOE!T128+IF(A102&gt;=LCOE!G$30,100%,0%)</f>
        <v>1</v>
      </c>
      <c r="Q102" s="16">
        <f>LCOE!U128+O102/1000*IF(LCOE!G$14&gt;0,G102,H102)</f>
        <v>0</v>
      </c>
      <c r="R102" s="16">
        <f>LCOE!B128</f>
        <v>30</v>
      </c>
      <c r="S102" s="16">
        <f>LCOE!V128+Q102*P102*R102</f>
        <v>0</v>
      </c>
      <c r="T102" s="16">
        <f>LCOE!W128+LCOE!G$31</f>
        <v>0</v>
      </c>
      <c r="U102" s="16">
        <f>LCOE!X128+T102*IF(LCOE!G$14&gt;0,G102,H102)</f>
        <v>0</v>
      </c>
      <c r="V102" s="16">
        <f>LCOE!Y128+LCOE!G$32</f>
        <v>0</v>
      </c>
      <c r="W102" s="16">
        <f>LCOE!Z128+V102*IF(LCOE!G$14&gt;0,G102,H102)</f>
        <v>0</v>
      </c>
      <c r="X102" s="16">
        <f>LCOE!AA128+LCOE!G$34</f>
        <v>101</v>
      </c>
      <c r="Y102" s="16">
        <f t="shared" si="15"/>
        <v>0</v>
      </c>
      <c r="Z102" s="50">
        <f t="shared" si="18"/>
        <v>25225000</v>
      </c>
      <c r="AA102" s="50">
        <f t="shared" si="19"/>
        <v>0</v>
      </c>
      <c r="AB102" s="50">
        <f t="shared" si="20"/>
        <v>0</v>
      </c>
      <c r="AC102" s="50">
        <f t="shared" si="16"/>
        <v>0</v>
      </c>
      <c r="AD102" s="50">
        <f t="shared" si="11"/>
        <v>0</v>
      </c>
      <c r="AE102">
        <f t="shared" si="17"/>
        <v>30</v>
      </c>
      <c r="AF102" s="12">
        <f>LCOE!E128+LCOE!G$40</f>
        <v>7.0000000000000007E-2</v>
      </c>
      <c r="AG102">
        <f t="shared" si="12"/>
        <v>8.7152707983437594</v>
      </c>
      <c r="AH102" s="16">
        <f t="shared" si="7"/>
        <v>2894344.9473530683</v>
      </c>
      <c r="AI102" s="16">
        <f t="shared" si="8"/>
        <v>0</v>
      </c>
      <c r="AJ102" s="16">
        <f t="shared" si="9"/>
        <v>0</v>
      </c>
      <c r="AK102" s="16">
        <f t="shared" si="10"/>
        <v>0</v>
      </c>
      <c r="AL102" s="16">
        <f t="shared" si="13"/>
        <v>0</v>
      </c>
      <c r="AM102" s="16">
        <f t="shared" si="14"/>
        <v>0</v>
      </c>
      <c r="AN102" s="16">
        <f>IF(LCOE!G$14&gt;0,G102,H102)/AG102</f>
        <v>0</v>
      </c>
    </row>
    <row r="103" spans="1:40">
      <c r="A103">
        <v>33</v>
      </c>
      <c r="C103" s="16">
        <f>LCOE!G129+IF(AND(LCOE!G$26&gt;0,A103&gt;=LCOE!G$26,A103&lt;=(LCOE!G$26+LCOE!G$27-1)),LCOE!G$42/LCOE!G$27,0)+IF(AND(D103=0,AE103&gt;=LCOE!G$16,COUNTIF(D78:D103,0)=LCOE!G$36),LCOE!G$35*LCOE!G$38,0)</f>
        <v>0</v>
      </c>
      <c r="D103" s="16">
        <f>IF(AE102&lt;LCOE!G$16,1,0)</f>
        <v>0</v>
      </c>
      <c r="E103" s="12">
        <f>LCOE!G129+IF(AND(A103&gt;=LCOE!G$26,A103&lt;=(LCOE!G$26+LCOE!G$27-1)),0,1)*IF(A103=LCOE!G$34,0,1)*D103</f>
        <v>0</v>
      </c>
      <c r="F103" s="12">
        <f>IF(F102&lt;LCOE!G$18,MIN(F102*(1+LCOE!G$19),LCOE!G$18),LCOE!G$18)+LCOE!J129</f>
        <v>0.9</v>
      </c>
      <c r="G103" s="16">
        <f>LCOE!K129+E103*F103*N103*(LCOE!G$14+LCOE!H129)*24*365*D103</f>
        <v>0</v>
      </c>
      <c r="H103" s="16">
        <f>LCOE!L129+F103*(LCOE!G$15+LCOE!I129)*E103*24*365*D103*N103</f>
        <v>0</v>
      </c>
      <c r="I103" s="16">
        <f>LCOE!M129+LCOE!G$20*IF(LCOE!G$14&gt;0,(LCOE!G$14+LCOE!H129),(LCOE!G$15+LCOE!I129))*K103*D103</f>
        <v>0</v>
      </c>
      <c r="J103" s="16">
        <f>LCOE!N129+LCOE!G$21*IF(LCOE!G$14&gt;0,G103,H103)*K103*D103</f>
        <v>0</v>
      </c>
      <c r="K103" s="15">
        <f>LCOE!O129+K102+K102*LCOE!G$22</f>
        <v>1</v>
      </c>
      <c r="L103" s="16">
        <f>LCOE!P129+LCOE!G$23*IF(LCOE!G$14&gt;0,G103,H103)*M103*D103</f>
        <v>0</v>
      </c>
      <c r="M103" s="15">
        <f>LCOE!Q129+M102+M102*LCOE!G$24</f>
        <v>1</v>
      </c>
      <c r="N103" s="15">
        <f>LCOE!R129+N102-N102*LCOE!G$25</f>
        <v>1</v>
      </c>
      <c r="O103" s="18">
        <f>LCOE!S129+LCOE!G$29</f>
        <v>313.75</v>
      </c>
      <c r="P103" s="12">
        <f>LCOE!T129+IF(A103&gt;=LCOE!G$30,100%,0%)</f>
        <v>1</v>
      </c>
      <c r="Q103" s="16">
        <f>LCOE!U129+O103/1000*IF(LCOE!G$14&gt;0,G103,H103)</f>
        <v>0</v>
      </c>
      <c r="R103" s="16">
        <f>LCOE!B129</f>
        <v>30</v>
      </c>
      <c r="S103" s="16">
        <f>LCOE!V129+Q103*P103*R103</f>
        <v>0</v>
      </c>
      <c r="T103" s="16">
        <f>LCOE!W129+LCOE!G$31</f>
        <v>0</v>
      </c>
      <c r="U103" s="16">
        <f>LCOE!X129+T103*IF(LCOE!G$14&gt;0,G103,H103)</f>
        <v>0</v>
      </c>
      <c r="V103" s="16">
        <f>LCOE!Y129+LCOE!G$32</f>
        <v>0</v>
      </c>
      <c r="W103" s="16">
        <f>LCOE!Z129+V103*IF(LCOE!G$14&gt;0,G103,H103)</f>
        <v>0</v>
      </c>
      <c r="X103" s="16">
        <f>LCOE!AA129+LCOE!G$34</f>
        <v>101</v>
      </c>
      <c r="Y103" s="16">
        <f t="shared" si="15"/>
        <v>0</v>
      </c>
      <c r="Z103" s="50">
        <f t="shared" si="18"/>
        <v>0</v>
      </c>
      <c r="AA103" s="50">
        <f t="shared" si="19"/>
        <v>0</v>
      </c>
      <c r="AB103" s="50">
        <f t="shared" si="20"/>
        <v>0</v>
      </c>
      <c r="AC103" s="50">
        <f t="shared" si="16"/>
        <v>0</v>
      </c>
      <c r="AD103" s="50">
        <f t="shared" si="11"/>
        <v>0</v>
      </c>
      <c r="AE103">
        <f t="shared" si="17"/>
        <v>30</v>
      </c>
      <c r="AF103" s="12">
        <f>LCOE!E129+LCOE!G$40</f>
        <v>7.0000000000000007E-2</v>
      </c>
      <c r="AG103">
        <f t="shared" si="12"/>
        <v>9.3253397542278229</v>
      </c>
      <c r="AH103" s="16">
        <f t="shared" si="7"/>
        <v>0</v>
      </c>
      <c r="AI103" s="16">
        <f t="shared" si="8"/>
        <v>0</v>
      </c>
      <c r="AJ103" s="16">
        <f t="shared" si="9"/>
        <v>0</v>
      </c>
      <c r="AK103" s="16">
        <f t="shared" si="10"/>
        <v>0</v>
      </c>
      <c r="AL103" s="16">
        <f t="shared" si="13"/>
        <v>0</v>
      </c>
      <c r="AM103" s="16">
        <f t="shared" si="14"/>
        <v>0</v>
      </c>
      <c r="AN103" s="16">
        <f>IF(LCOE!G$14&gt;0,G103,H103)/AG103</f>
        <v>0</v>
      </c>
    </row>
    <row r="104" spans="1:40">
      <c r="A104">
        <v>34</v>
      </c>
      <c r="C104" s="16">
        <f>LCOE!G130+IF(AND(LCOE!G$26&gt;0,A104&gt;=LCOE!G$26,A104&lt;=(LCOE!G$26+LCOE!G$27-1)),LCOE!G$42/LCOE!G$27,0)+IF(AND(D104=0,AE104&gt;=LCOE!G$16,COUNTIF(D79:D104,0)=LCOE!G$36),LCOE!G$35*LCOE!G$38,0)</f>
        <v>0</v>
      </c>
      <c r="D104" s="16">
        <f>IF(AE103&lt;LCOE!G$16,1,0)</f>
        <v>0</v>
      </c>
      <c r="E104" s="12">
        <f>LCOE!G130+IF(AND(A104&gt;=LCOE!G$26,A104&lt;=(LCOE!G$26+LCOE!G$27-1)),0,1)*IF(A104=LCOE!G$34,0,1)*D104</f>
        <v>0</v>
      </c>
      <c r="F104" s="12">
        <f>IF(F103&lt;LCOE!G$18,MIN(F103*(1+LCOE!G$19),LCOE!G$18),LCOE!G$18)+LCOE!J130</f>
        <v>0.9</v>
      </c>
      <c r="G104" s="16">
        <f>LCOE!K130+E104*F104*N104*(LCOE!G$14+LCOE!H130)*24*365*D104</f>
        <v>0</v>
      </c>
      <c r="H104" s="16">
        <f>LCOE!L130+F104*(LCOE!G$15+LCOE!I130)*E104*24*365*D104*N104</f>
        <v>0</v>
      </c>
      <c r="I104" s="16">
        <f>LCOE!M130+LCOE!G$20*IF(LCOE!G$14&gt;0,(LCOE!G$14+LCOE!H130),(LCOE!G$15+LCOE!I130))*K104*D104</f>
        <v>0</v>
      </c>
      <c r="J104" s="16">
        <f>LCOE!N130+LCOE!G$21*IF(LCOE!G$14&gt;0,G104,H104)*K104*D104</f>
        <v>0</v>
      </c>
      <c r="K104" s="15">
        <f>LCOE!O130+K103+K103*LCOE!G$22</f>
        <v>1</v>
      </c>
      <c r="L104" s="16">
        <f>LCOE!P130+LCOE!G$23*IF(LCOE!G$14&gt;0,G104,H104)*M104*D104</f>
        <v>0</v>
      </c>
      <c r="M104" s="15">
        <f>LCOE!Q130+M103+M103*LCOE!G$24</f>
        <v>1</v>
      </c>
      <c r="N104" s="15">
        <f>LCOE!R130+N103-N103*LCOE!G$25</f>
        <v>1</v>
      </c>
      <c r="O104" s="18">
        <f>LCOE!S130+LCOE!G$29</f>
        <v>313.75</v>
      </c>
      <c r="P104" s="12">
        <f>LCOE!T130+IF(A104&gt;=LCOE!G$30,100%,0%)</f>
        <v>1</v>
      </c>
      <c r="Q104" s="16">
        <f>LCOE!U130+O104/1000*IF(LCOE!G$14&gt;0,G104,H104)</f>
        <v>0</v>
      </c>
      <c r="R104" s="16">
        <f>LCOE!B130</f>
        <v>30</v>
      </c>
      <c r="S104" s="16">
        <f>LCOE!V130+Q104*P104*R104</f>
        <v>0</v>
      </c>
      <c r="T104" s="16">
        <f>LCOE!W130+LCOE!G$31</f>
        <v>0</v>
      </c>
      <c r="U104" s="16">
        <f>LCOE!X130+T104*IF(LCOE!G$14&gt;0,G104,H104)</f>
        <v>0</v>
      </c>
      <c r="V104" s="16">
        <f>LCOE!Y130+LCOE!G$32</f>
        <v>0</v>
      </c>
      <c r="W104" s="16">
        <f>LCOE!Z130+V104*IF(LCOE!G$14&gt;0,G104,H104)</f>
        <v>0</v>
      </c>
      <c r="X104" s="16">
        <f>LCOE!AA130+LCOE!G$34</f>
        <v>101</v>
      </c>
      <c r="Y104" s="16">
        <f t="shared" si="15"/>
        <v>0</v>
      </c>
      <c r="Z104" s="50">
        <f t="shared" si="18"/>
        <v>0</v>
      </c>
      <c r="AA104" s="50">
        <f t="shared" si="19"/>
        <v>0</v>
      </c>
      <c r="AB104" s="50">
        <f t="shared" si="20"/>
        <v>0</v>
      </c>
      <c r="AC104" s="50">
        <f t="shared" si="16"/>
        <v>0</v>
      </c>
      <c r="AD104" s="50">
        <f t="shared" si="11"/>
        <v>0</v>
      </c>
      <c r="AE104">
        <f t="shared" si="17"/>
        <v>30</v>
      </c>
      <c r="AF104" s="12">
        <f>LCOE!E130+LCOE!G$40</f>
        <v>7.0000000000000007E-2</v>
      </c>
      <c r="AG104">
        <f t="shared" si="12"/>
        <v>9.9781135370237699</v>
      </c>
      <c r="AH104" s="16">
        <f t="shared" si="7"/>
        <v>0</v>
      </c>
      <c r="AI104" s="16">
        <f t="shared" si="8"/>
        <v>0</v>
      </c>
      <c r="AJ104" s="16">
        <f t="shared" si="9"/>
        <v>0</v>
      </c>
      <c r="AK104" s="16">
        <f t="shared" si="10"/>
        <v>0</v>
      </c>
      <c r="AL104" s="16">
        <f t="shared" si="13"/>
        <v>0</v>
      </c>
      <c r="AM104" s="16">
        <f t="shared" si="14"/>
        <v>0</v>
      </c>
      <c r="AN104" s="16">
        <f>IF(LCOE!G$14&gt;0,G104,H104)/AG104</f>
        <v>0</v>
      </c>
    </row>
    <row r="105" spans="1:40">
      <c r="A105">
        <v>35</v>
      </c>
      <c r="C105" s="16">
        <f>LCOE!G131+IF(AND(LCOE!G$26&gt;0,A105&gt;=LCOE!G$26,A105&lt;=(LCOE!G$26+LCOE!G$27-1)),LCOE!G$42/LCOE!G$27,0)+IF(AND(D105=0,AE105&gt;=LCOE!G$16,COUNTIF(D80:D105,0)=LCOE!G$36),LCOE!G$35*LCOE!G$38,0)</f>
        <v>0</v>
      </c>
      <c r="D105" s="16">
        <f>IF(AE104&lt;LCOE!G$16,1,0)</f>
        <v>0</v>
      </c>
      <c r="E105" s="12">
        <f>LCOE!G131+IF(AND(A105&gt;=LCOE!G$26,A105&lt;=(LCOE!G$26+LCOE!G$27-1)),0,1)*IF(A105=LCOE!G$34,0,1)*D105</f>
        <v>0</v>
      </c>
      <c r="F105" s="12">
        <f>IF(F104&lt;LCOE!G$18,MIN(F104*(1+LCOE!G$19),LCOE!G$18),LCOE!G$18)+LCOE!J131</f>
        <v>0.9</v>
      </c>
      <c r="G105" s="16">
        <f>LCOE!K131+E105*F105*N105*(LCOE!G$14+LCOE!H131)*24*365*D105</f>
        <v>0</v>
      </c>
      <c r="H105" s="16">
        <f>LCOE!L131+F105*(LCOE!G$15+LCOE!I131)*E105*24*365*D105*N105</f>
        <v>0</v>
      </c>
      <c r="I105" s="16">
        <f>LCOE!M131+LCOE!G$20*IF(LCOE!G$14&gt;0,(LCOE!G$14+LCOE!H131),(LCOE!G$15+LCOE!I131))*K105*D105</f>
        <v>0</v>
      </c>
      <c r="J105" s="16">
        <f>LCOE!N131+LCOE!G$21*IF(LCOE!G$14&gt;0,G105,H105)*K105*D105</f>
        <v>0</v>
      </c>
      <c r="K105" s="15">
        <f>LCOE!O131+K104+K104*LCOE!G$22</f>
        <v>1</v>
      </c>
      <c r="L105" s="16">
        <f>LCOE!P131+LCOE!G$23*IF(LCOE!G$14&gt;0,G105,H105)*M105*D105</f>
        <v>0</v>
      </c>
      <c r="M105" s="15">
        <f>LCOE!Q131+M104+M104*LCOE!G$24</f>
        <v>1</v>
      </c>
      <c r="N105" s="15">
        <f>LCOE!R131+N104-N104*LCOE!G$25</f>
        <v>1</v>
      </c>
      <c r="O105" s="18">
        <f>LCOE!S131+LCOE!G$29</f>
        <v>313.75</v>
      </c>
      <c r="P105" s="12">
        <f>LCOE!T131+IF(A105&gt;=LCOE!G$30,100%,0%)</f>
        <v>1</v>
      </c>
      <c r="Q105" s="16">
        <f>LCOE!U131+O105/1000*IF(LCOE!G$14&gt;0,G105,H105)</f>
        <v>0</v>
      </c>
      <c r="R105" s="16">
        <f>LCOE!B131</f>
        <v>30</v>
      </c>
      <c r="S105" s="16">
        <f>LCOE!V131+Q105*P105*R105</f>
        <v>0</v>
      </c>
      <c r="T105" s="16">
        <f>LCOE!W131+LCOE!G$31</f>
        <v>0</v>
      </c>
      <c r="U105" s="16">
        <f>LCOE!X131+T105*IF(LCOE!G$14&gt;0,G105,H105)</f>
        <v>0</v>
      </c>
      <c r="V105" s="16">
        <f>LCOE!Y131+LCOE!G$32</f>
        <v>0</v>
      </c>
      <c r="W105" s="16">
        <f>LCOE!Z131+V105*IF(LCOE!G$14&gt;0,G105,H105)</f>
        <v>0</v>
      </c>
      <c r="X105" s="16">
        <f>LCOE!AA131+LCOE!G$34</f>
        <v>101</v>
      </c>
      <c r="Y105" s="16">
        <f t="shared" si="15"/>
        <v>0</v>
      </c>
      <c r="Z105" s="50">
        <f t="shared" si="18"/>
        <v>0</v>
      </c>
      <c r="AA105" s="50">
        <f t="shared" si="19"/>
        <v>0</v>
      </c>
      <c r="AB105" s="50">
        <f t="shared" si="20"/>
        <v>0</v>
      </c>
      <c r="AC105" s="50">
        <f t="shared" si="16"/>
        <v>0</v>
      </c>
      <c r="AD105" s="50">
        <f t="shared" si="11"/>
        <v>0</v>
      </c>
      <c r="AE105">
        <f t="shared" si="17"/>
        <v>30</v>
      </c>
      <c r="AF105" s="12">
        <f>LCOE!E131+LCOE!G$40</f>
        <v>7.0000000000000007E-2</v>
      </c>
      <c r="AG105">
        <f t="shared" si="12"/>
        <v>10.676581484615435</v>
      </c>
      <c r="AH105" s="16">
        <f t="shared" si="7"/>
        <v>0</v>
      </c>
      <c r="AI105" s="16">
        <f t="shared" si="8"/>
        <v>0</v>
      </c>
      <c r="AJ105" s="16">
        <f t="shared" si="9"/>
        <v>0</v>
      </c>
      <c r="AK105" s="16">
        <f t="shared" si="10"/>
        <v>0</v>
      </c>
      <c r="AL105" s="16">
        <f t="shared" si="13"/>
        <v>0</v>
      </c>
      <c r="AM105" s="16">
        <f t="shared" si="14"/>
        <v>0</v>
      </c>
      <c r="AN105" s="16">
        <f>IF(LCOE!G$14&gt;0,G105,H105)/AG105</f>
        <v>0</v>
      </c>
    </row>
    <row r="106" spans="1:40">
      <c r="A106">
        <v>36</v>
      </c>
      <c r="C106" s="16">
        <f>LCOE!G132+IF(AND(LCOE!G$26&gt;0,A106&gt;=LCOE!G$26,A106&lt;=(LCOE!G$26+LCOE!G$27-1)),LCOE!G$42/LCOE!G$27,0)+IF(AND(D106=0,AE106&gt;=LCOE!G$16,COUNTIF(D81:D106,0)=LCOE!G$36),LCOE!G$35*LCOE!G$38,0)</f>
        <v>0</v>
      </c>
      <c r="D106" s="16">
        <f>IF(AE105&lt;LCOE!G$16,1,0)</f>
        <v>0</v>
      </c>
      <c r="E106" s="12">
        <f>LCOE!G132+IF(AND(A106&gt;=LCOE!G$26,A106&lt;=(LCOE!G$26+LCOE!G$27-1)),0,1)*IF(A106=LCOE!G$34,0,1)*D106</f>
        <v>0</v>
      </c>
      <c r="F106" s="12">
        <f>IF(F105&lt;LCOE!G$18,MIN(F105*(1+LCOE!G$19),LCOE!G$18),LCOE!G$18)+LCOE!J132</f>
        <v>0.9</v>
      </c>
      <c r="G106" s="16">
        <f>LCOE!K132+E106*F106*N106*(LCOE!G$14+LCOE!H132)*24*365*D106</f>
        <v>0</v>
      </c>
      <c r="H106" s="16">
        <f>LCOE!L132+F106*(LCOE!G$15+LCOE!I132)*E106*24*365*D106*N106</f>
        <v>0</v>
      </c>
      <c r="I106" s="16">
        <f>LCOE!M132+LCOE!G$20*IF(LCOE!G$14&gt;0,(LCOE!G$14+LCOE!H132),(LCOE!G$15+LCOE!I132))*K106*D106</f>
        <v>0</v>
      </c>
      <c r="J106" s="16">
        <f>LCOE!N132+LCOE!G$21*IF(LCOE!G$14&gt;0,G106,H106)*K106*D106</f>
        <v>0</v>
      </c>
      <c r="K106" s="15">
        <f>LCOE!O132+K105+K105*LCOE!G$22</f>
        <v>1</v>
      </c>
      <c r="L106" s="16">
        <f>LCOE!P132+LCOE!G$23*IF(LCOE!G$14&gt;0,G106,H106)*M106*D106</f>
        <v>0</v>
      </c>
      <c r="M106" s="15">
        <f>LCOE!Q132+M105+M105*LCOE!G$24</f>
        <v>1</v>
      </c>
      <c r="N106" s="15">
        <f>LCOE!R132+N105-N105*LCOE!G$25</f>
        <v>1</v>
      </c>
      <c r="O106" s="18">
        <f>LCOE!S132+LCOE!G$29</f>
        <v>313.75</v>
      </c>
      <c r="P106" s="12">
        <f>LCOE!T132+IF(A106&gt;=LCOE!G$30,100%,0%)</f>
        <v>1</v>
      </c>
      <c r="Q106" s="16">
        <f>LCOE!U132+O106/1000*IF(LCOE!G$14&gt;0,G106,H106)</f>
        <v>0</v>
      </c>
      <c r="R106" s="16">
        <f>LCOE!B132</f>
        <v>30</v>
      </c>
      <c r="S106" s="16">
        <f>LCOE!V132+Q106*P106*R106</f>
        <v>0</v>
      </c>
      <c r="T106" s="16">
        <f>LCOE!W132+LCOE!G$31</f>
        <v>0</v>
      </c>
      <c r="U106" s="16">
        <f>LCOE!X132+T106*IF(LCOE!G$14&gt;0,G106,H106)</f>
        <v>0</v>
      </c>
      <c r="V106" s="16">
        <f>LCOE!Y132+LCOE!G$32</f>
        <v>0</v>
      </c>
      <c r="W106" s="16">
        <f>LCOE!Z132+V106*IF(LCOE!G$14&gt;0,G106,H106)</f>
        <v>0</v>
      </c>
      <c r="X106" s="16">
        <f>LCOE!AA132+LCOE!G$34</f>
        <v>101</v>
      </c>
      <c r="Y106" s="16">
        <f t="shared" si="15"/>
        <v>0</v>
      </c>
      <c r="Z106" s="50">
        <f t="shared" si="18"/>
        <v>0</v>
      </c>
      <c r="AA106" s="50">
        <f t="shared" si="19"/>
        <v>0</v>
      </c>
      <c r="AB106" s="50">
        <f t="shared" si="20"/>
        <v>0</v>
      </c>
      <c r="AC106" s="50">
        <f t="shared" si="16"/>
        <v>0</v>
      </c>
      <c r="AD106" s="50">
        <f t="shared" si="11"/>
        <v>0</v>
      </c>
      <c r="AE106">
        <f t="shared" si="17"/>
        <v>30</v>
      </c>
      <c r="AF106" s="12">
        <f>LCOE!E132+LCOE!G$40</f>
        <v>7.0000000000000007E-2</v>
      </c>
      <c r="AG106">
        <f t="shared" si="12"/>
        <v>11.423942188538515</v>
      </c>
      <c r="AH106" s="16">
        <f t="shared" si="7"/>
        <v>0</v>
      </c>
      <c r="AI106" s="16">
        <f t="shared" si="8"/>
        <v>0</v>
      </c>
      <c r="AJ106" s="16">
        <f t="shared" si="9"/>
        <v>0</v>
      </c>
      <c r="AK106" s="16">
        <f t="shared" si="10"/>
        <v>0</v>
      </c>
      <c r="AL106" s="16">
        <f t="shared" si="13"/>
        <v>0</v>
      </c>
      <c r="AM106" s="16">
        <f t="shared" si="14"/>
        <v>0</v>
      </c>
      <c r="AN106" s="16">
        <f>IF(LCOE!G$14&gt;0,G106,H106)/AG106</f>
        <v>0</v>
      </c>
    </row>
    <row r="107" spans="1:40">
      <c r="A107">
        <v>37</v>
      </c>
      <c r="C107" s="16">
        <f>LCOE!G133+IF(AND(LCOE!G$26&gt;0,A107&gt;=LCOE!G$26,A107&lt;=(LCOE!G$26+LCOE!G$27-1)),LCOE!G$42/LCOE!G$27,0)+IF(AND(D107=0,AE107&gt;=LCOE!G$16,COUNTIF(D82:D107,0)=LCOE!G$36),LCOE!G$35*LCOE!G$38,0)</f>
        <v>0</v>
      </c>
      <c r="D107" s="16">
        <f>IF(AE106&lt;LCOE!G$16,1,0)</f>
        <v>0</v>
      </c>
      <c r="E107" s="12">
        <f>LCOE!G133+IF(AND(A107&gt;=LCOE!G$26,A107&lt;=(LCOE!G$26+LCOE!G$27-1)),0,1)*IF(A107=LCOE!G$34,0,1)*D107</f>
        <v>0</v>
      </c>
      <c r="F107" s="12">
        <f>IF(F106&lt;LCOE!G$18,MIN(F106*(1+LCOE!G$19),LCOE!G$18),LCOE!G$18)+LCOE!J133</f>
        <v>0.9</v>
      </c>
      <c r="G107" s="16">
        <f>LCOE!K133+E107*F107*N107*(LCOE!G$14+LCOE!H133)*24*365*D107</f>
        <v>0</v>
      </c>
      <c r="H107" s="16">
        <f>LCOE!L133+F107*(LCOE!G$15+LCOE!I133)*E107*24*365*D107*N107</f>
        <v>0</v>
      </c>
      <c r="I107" s="16">
        <f>LCOE!M133+LCOE!G$20*IF(LCOE!G$14&gt;0,(LCOE!G$14+LCOE!H133),(LCOE!G$15+LCOE!I133))*K107*D107</f>
        <v>0</v>
      </c>
      <c r="J107" s="16">
        <f>LCOE!N133+LCOE!G$21*IF(LCOE!G$14&gt;0,G107,H107)*K107*D107</f>
        <v>0</v>
      </c>
      <c r="K107" s="15">
        <f>LCOE!O133+K106+K106*LCOE!G$22</f>
        <v>1</v>
      </c>
      <c r="L107" s="16">
        <f>LCOE!P133+LCOE!G$23*IF(LCOE!G$14&gt;0,G107,H107)*M107*D107</f>
        <v>0</v>
      </c>
      <c r="M107" s="15">
        <f>LCOE!Q133+M106+M106*LCOE!G$24</f>
        <v>1</v>
      </c>
      <c r="N107" s="15">
        <f>LCOE!R133+N106-N106*LCOE!G$25</f>
        <v>1</v>
      </c>
      <c r="O107" s="18">
        <f>LCOE!S133+LCOE!G$29</f>
        <v>313.75</v>
      </c>
      <c r="P107" s="12">
        <f>LCOE!T133+IF(A107&gt;=LCOE!G$30,100%,0%)</f>
        <v>1</v>
      </c>
      <c r="Q107" s="16">
        <f>LCOE!U133+O107/1000*IF(LCOE!G$14&gt;0,G107,H107)</f>
        <v>0</v>
      </c>
      <c r="R107" s="16">
        <f>LCOE!B133</f>
        <v>30</v>
      </c>
      <c r="S107" s="16">
        <f>LCOE!V133+Q107*P107*R107</f>
        <v>0</v>
      </c>
      <c r="T107" s="16">
        <f>LCOE!W133+LCOE!G$31</f>
        <v>0</v>
      </c>
      <c r="U107" s="16">
        <f>LCOE!X133+T107*IF(LCOE!G$14&gt;0,G107,H107)</f>
        <v>0</v>
      </c>
      <c r="V107" s="16">
        <f>LCOE!Y133+LCOE!G$32</f>
        <v>0</v>
      </c>
      <c r="W107" s="16">
        <f>LCOE!Z133+V107*IF(LCOE!G$14&gt;0,G107,H107)</f>
        <v>0</v>
      </c>
      <c r="X107" s="16">
        <f>LCOE!AA133+LCOE!G$34</f>
        <v>101</v>
      </c>
      <c r="Y107" s="16">
        <f t="shared" si="15"/>
        <v>0</v>
      </c>
      <c r="Z107" s="50">
        <f t="shared" si="18"/>
        <v>0</v>
      </c>
      <c r="AA107" s="50">
        <f t="shared" si="19"/>
        <v>0</v>
      </c>
      <c r="AB107" s="50">
        <f t="shared" si="20"/>
        <v>0</v>
      </c>
      <c r="AC107" s="50">
        <f t="shared" si="16"/>
        <v>0</v>
      </c>
      <c r="AD107" s="50">
        <f t="shared" si="11"/>
        <v>0</v>
      </c>
      <c r="AE107">
        <f t="shared" si="17"/>
        <v>30</v>
      </c>
      <c r="AF107" s="12">
        <f>LCOE!E133+LCOE!G$40</f>
        <v>7.0000000000000007E-2</v>
      </c>
      <c r="AG107">
        <f t="shared" si="12"/>
        <v>12.223618141736212</v>
      </c>
      <c r="AH107" s="16">
        <f t="shared" si="7"/>
        <v>0</v>
      </c>
      <c r="AI107" s="16">
        <f t="shared" si="8"/>
        <v>0</v>
      </c>
      <c r="AJ107" s="16">
        <f t="shared" si="9"/>
        <v>0</v>
      </c>
      <c r="AK107" s="16">
        <f t="shared" si="10"/>
        <v>0</v>
      </c>
      <c r="AL107" s="16">
        <f t="shared" si="13"/>
        <v>0</v>
      </c>
      <c r="AM107" s="16">
        <f t="shared" si="14"/>
        <v>0</v>
      </c>
      <c r="AN107" s="16">
        <f>IF(LCOE!G$14&gt;0,G107,H107)/AG107</f>
        <v>0</v>
      </c>
    </row>
    <row r="108" spans="1:40">
      <c r="A108">
        <v>38</v>
      </c>
      <c r="C108" s="16">
        <f>LCOE!G134+IF(AND(LCOE!G$26&gt;0,A108&gt;=LCOE!G$26,A108&lt;=(LCOE!G$26+LCOE!G$27-1)),LCOE!G$42/LCOE!G$27,0)+IF(AND(D108=0,AE108&gt;=LCOE!G$16,COUNTIF(D83:D108,0)=LCOE!G$36),LCOE!G$35*LCOE!G$38,0)</f>
        <v>0</v>
      </c>
      <c r="D108" s="16">
        <f>IF(AE107&lt;LCOE!G$16,1,0)</f>
        <v>0</v>
      </c>
      <c r="E108" s="12">
        <f>LCOE!G134+IF(AND(A108&gt;=LCOE!G$26,A108&lt;=(LCOE!G$26+LCOE!G$27-1)),0,1)*IF(A108=LCOE!G$34,0,1)*D108</f>
        <v>0</v>
      </c>
      <c r="F108" s="12">
        <f>IF(F107&lt;LCOE!G$18,MIN(F107*(1+LCOE!G$19),LCOE!G$18),LCOE!G$18)+LCOE!J134</f>
        <v>0.9</v>
      </c>
      <c r="G108" s="16">
        <f>LCOE!K134+E108*F108*N108*(LCOE!G$14+LCOE!H134)*24*365*D108</f>
        <v>0</v>
      </c>
      <c r="H108" s="16">
        <f>LCOE!L134+F108*(LCOE!G$15+LCOE!I134)*E108*24*365*D108*N108</f>
        <v>0</v>
      </c>
      <c r="I108" s="16">
        <f>LCOE!M134+LCOE!G$20*IF(LCOE!G$14&gt;0,(LCOE!G$14+LCOE!H134),(LCOE!G$15+LCOE!I134))*K108*D108</f>
        <v>0</v>
      </c>
      <c r="J108" s="16">
        <f>LCOE!N134+LCOE!G$21*IF(LCOE!G$14&gt;0,G108,H108)*K108*D108</f>
        <v>0</v>
      </c>
      <c r="K108" s="15">
        <f>LCOE!O134+K107+K107*LCOE!G$22</f>
        <v>1</v>
      </c>
      <c r="L108" s="16">
        <f>LCOE!P134+LCOE!G$23*IF(LCOE!G$14&gt;0,G108,H108)*M108*D108</f>
        <v>0</v>
      </c>
      <c r="M108" s="15">
        <f>LCOE!Q134+M107+M107*LCOE!G$24</f>
        <v>1</v>
      </c>
      <c r="N108" s="15">
        <f>LCOE!R134+N107-N107*LCOE!G$25</f>
        <v>1</v>
      </c>
      <c r="O108" s="18">
        <f>LCOE!S134+LCOE!G$29</f>
        <v>313.75</v>
      </c>
      <c r="P108" s="12">
        <f>LCOE!T134+IF(A108&gt;=LCOE!G$30,100%,0%)</f>
        <v>1</v>
      </c>
      <c r="Q108" s="16">
        <f>LCOE!U134+O108/1000*IF(LCOE!G$14&gt;0,G108,H108)</f>
        <v>0</v>
      </c>
      <c r="R108" s="16">
        <f>LCOE!B134</f>
        <v>30</v>
      </c>
      <c r="S108" s="16">
        <f>LCOE!V134+Q108*P108*R108</f>
        <v>0</v>
      </c>
      <c r="T108" s="16">
        <f>LCOE!W134+LCOE!G$31</f>
        <v>0</v>
      </c>
      <c r="U108" s="16">
        <f>LCOE!X134+T108*IF(LCOE!G$14&gt;0,G108,H108)</f>
        <v>0</v>
      </c>
      <c r="V108" s="16">
        <f>LCOE!Y134+LCOE!G$32</f>
        <v>0</v>
      </c>
      <c r="W108" s="16">
        <f>LCOE!Z134+V108*IF(LCOE!G$14&gt;0,G108,H108)</f>
        <v>0</v>
      </c>
      <c r="X108" s="16">
        <f>LCOE!AA134+LCOE!G$34</f>
        <v>101</v>
      </c>
      <c r="Y108" s="16">
        <f t="shared" si="15"/>
        <v>0</v>
      </c>
      <c r="Z108" s="50">
        <f t="shared" si="18"/>
        <v>0</v>
      </c>
      <c r="AA108" s="50">
        <f t="shared" si="19"/>
        <v>0</v>
      </c>
      <c r="AB108" s="50">
        <f t="shared" si="20"/>
        <v>0</v>
      </c>
      <c r="AC108" s="50">
        <f t="shared" si="16"/>
        <v>0</v>
      </c>
      <c r="AD108" s="50">
        <f t="shared" si="11"/>
        <v>0</v>
      </c>
      <c r="AE108">
        <f t="shared" si="17"/>
        <v>30</v>
      </c>
      <c r="AF108" s="12">
        <f>LCOE!E134+LCOE!G$40</f>
        <v>7.0000000000000007E-2</v>
      </c>
      <c r="AG108">
        <f t="shared" si="12"/>
        <v>13.079271411657746</v>
      </c>
      <c r="AH108" s="16">
        <f t="shared" si="7"/>
        <v>0</v>
      </c>
      <c r="AI108" s="16">
        <f t="shared" si="8"/>
        <v>0</v>
      </c>
      <c r="AJ108" s="16">
        <f t="shared" si="9"/>
        <v>0</v>
      </c>
      <c r="AK108" s="16">
        <f t="shared" si="10"/>
        <v>0</v>
      </c>
      <c r="AL108" s="16">
        <f t="shared" si="13"/>
        <v>0</v>
      </c>
      <c r="AM108" s="16">
        <f t="shared" si="14"/>
        <v>0</v>
      </c>
      <c r="AN108" s="16">
        <f>IF(LCOE!G$14&gt;0,G108,H108)/AG108</f>
        <v>0</v>
      </c>
    </row>
    <row r="109" spans="1:40">
      <c r="A109">
        <v>39</v>
      </c>
      <c r="C109" s="16">
        <f>LCOE!G135+IF(AND(LCOE!G$26&gt;0,A109&gt;=LCOE!G$26,A109&lt;=(LCOE!G$26+LCOE!G$27-1)),LCOE!G$42/LCOE!G$27,0)+IF(AND(D109=0,AE109&gt;=LCOE!G$16,COUNTIF(D84:D109,0)=LCOE!G$36),LCOE!G$35*LCOE!G$38,0)</f>
        <v>0</v>
      </c>
      <c r="D109" s="16">
        <f>IF(AE108&lt;LCOE!G$16,1,0)</f>
        <v>0</v>
      </c>
      <c r="E109" s="12">
        <f>LCOE!G135+IF(AND(A109&gt;=LCOE!G$26,A109&lt;=(LCOE!G$26+LCOE!G$27-1)),0,1)*IF(A109=LCOE!G$34,0,1)*D109</f>
        <v>0</v>
      </c>
      <c r="F109" s="12">
        <f>IF(F108&lt;LCOE!G$18,MIN(F108*(1+LCOE!G$19),LCOE!G$18),LCOE!G$18)+LCOE!J135</f>
        <v>0.9</v>
      </c>
      <c r="G109" s="16">
        <f>LCOE!K135+E109*F109*N109*(LCOE!G$14+LCOE!H135)*24*365*D109</f>
        <v>0</v>
      </c>
      <c r="H109" s="16">
        <f>LCOE!L135+F109*(LCOE!G$15+LCOE!I135)*E109*24*365*D109*N109</f>
        <v>0</v>
      </c>
      <c r="I109" s="16">
        <f>LCOE!M135+LCOE!G$20*IF(LCOE!G$14&gt;0,(LCOE!G$14+LCOE!H135),(LCOE!G$15+LCOE!I135))*K109*D109</f>
        <v>0</v>
      </c>
      <c r="J109" s="16">
        <f>LCOE!N135+LCOE!G$21*IF(LCOE!G$14&gt;0,G109,H109)*K109*D109</f>
        <v>0</v>
      </c>
      <c r="K109" s="15">
        <f>LCOE!O135+K108+K108*LCOE!G$22</f>
        <v>1</v>
      </c>
      <c r="L109" s="16">
        <f>LCOE!P135+LCOE!G$23*IF(LCOE!G$14&gt;0,G109,H109)*M109*D109</f>
        <v>0</v>
      </c>
      <c r="M109" s="15">
        <f>LCOE!Q135+M108+M108*LCOE!G$24</f>
        <v>1</v>
      </c>
      <c r="N109" s="15">
        <f>LCOE!R135+N108-N108*LCOE!G$25</f>
        <v>1</v>
      </c>
      <c r="O109" s="18">
        <f>LCOE!S135+LCOE!G$29</f>
        <v>313.75</v>
      </c>
      <c r="P109" s="12">
        <f>LCOE!T135+IF(A109&gt;=LCOE!G$30,100%,0%)</f>
        <v>1</v>
      </c>
      <c r="Q109" s="16">
        <f>LCOE!U135+O109/1000*IF(LCOE!G$14&gt;0,G109,H109)</f>
        <v>0</v>
      </c>
      <c r="R109" s="16">
        <f>LCOE!B135</f>
        <v>30</v>
      </c>
      <c r="S109" s="16">
        <f>LCOE!V135+Q109*P109*R109</f>
        <v>0</v>
      </c>
      <c r="T109" s="16">
        <f>LCOE!W135+LCOE!G$31</f>
        <v>0</v>
      </c>
      <c r="U109" s="16">
        <f>LCOE!X135+T109*IF(LCOE!G$14&gt;0,G109,H109)</f>
        <v>0</v>
      </c>
      <c r="V109" s="16">
        <f>LCOE!Y135+LCOE!G$32</f>
        <v>0</v>
      </c>
      <c r="W109" s="16">
        <f>LCOE!Z135+V109*IF(LCOE!G$14&gt;0,G109,H109)</f>
        <v>0</v>
      </c>
      <c r="X109" s="16">
        <f>LCOE!AA135+LCOE!G$34</f>
        <v>101</v>
      </c>
      <c r="Y109" s="16">
        <f t="shared" si="15"/>
        <v>0</v>
      </c>
      <c r="Z109" s="50">
        <f t="shared" si="18"/>
        <v>0</v>
      </c>
      <c r="AA109" s="50">
        <f t="shared" si="19"/>
        <v>0</v>
      </c>
      <c r="AB109" s="50">
        <f t="shared" si="20"/>
        <v>0</v>
      </c>
      <c r="AC109" s="50">
        <f t="shared" si="16"/>
        <v>0</v>
      </c>
      <c r="AD109" s="50">
        <f t="shared" si="11"/>
        <v>0</v>
      </c>
      <c r="AE109">
        <f t="shared" si="17"/>
        <v>30</v>
      </c>
      <c r="AF109" s="12">
        <f>LCOE!E135+LCOE!G$40</f>
        <v>7.0000000000000007E-2</v>
      </c>
      <c r="AG109">
        <f t="shared" si="12"/>
        <v>13.994820410473789</v>
      </c>
      <c r="AH109" s="16">
        <f t="shared" ref="AH109:AH170" si="21">Z109/AG109</f>
        <v>0</v>
      </c>
      <c r="AI109" s="16">
        <f t="shared" ref="AI109:AI170" si="22">AA109/AG109</f>
        <v>0</v>
      </c>
      <c r="AJ109" s="16">
        <f t="shared" ref="AJ109:AJ170" si="23">AB109/AG109</f>
        <v>0</v>
      </c>
      <c r="AK109" s="16">
        <f t="shared" ref="AK109:AK170" si="24">AC109/AG109</f>
        <v>0</v>
      </c>
      <c r="AL109" s="16">
        <f t="shared" si="13"/>
        <v>0</v>
      </c>
      <c r="AM109" s="16">
        <f t="shared" si="14"/>
        <v>0</v>
      </c>
      <c r="AN109" s="16">
        <f>IF(LCOE!G$14&gt;0,G109,H109)/AG109</f>
        <v>0</v>
      </c>
    </row>
    <row r="110" spans="1:40">
      <c r="A110">
        <v>40</v>
      </c>
      <c r="C110" s="16">
        <f>LCOE!G136+IF(AND(LCOE!G$26&gt;0,A110&gt;=LCOE!G$26,A110&lt;=(LCOE!G$26+LCOE!G$27-1)),LCOE!G$42/LCOE!G$27,0)+IF(AND(D110=0,AE110&gt;=LCOE!G$16,COUNTIF(D85:D110,0)=LCOE!G$36),LCOE!G$35*LCOE!G$38,0)</f>
        <v>0</v>
      </c>
      <c r="D110" s="16">
        <f>IF(AE109&lt;LCOE!G$16,1,0)</f>
        <v>0</v>
      </c>
      <c r="E110" s="12">
        <f>LCOE!G136+IF(AND(A110&gt;=LCOE!G$26,A110&lt;=(LCOE!G$26+LCOE!G$27-1)),0,1)*IF(A110=LCOE!G$34,0,1)*D110</f>
        <v>0</v>
      </c>
      <c r="F110" s="12">
        <f>IF(F109&lt;LCOE!G$18,MIN(F109*(1+LCOE!G$19),LCOE!G$18),LCOE!G$18)+LCOE!J136</f>
        <v>0.9</v>
      </c>
      <c r="G110" s="16">
        <f>LCOE!K136+E110*F110*N110*(LCOE!G$14+LCOE!H136)*24*365*D110</f>
        <v>0</v>
      </c>
      <c r="H110" s="16">
        <f>LCOE!L136+F110*(LCOE!G$15+LCOE!I136)*E110*24*365*D110*N110</f>
        <v>0</v>
      </c>
      <c r="I110" s="16">
        <f>LCOE!M136+LCOE!G$20*IF(LCOE!G$14&gt;0,(LCOE!G$14+LCOE!H136),(LCOE!G$15+LCOE!I136))*K110*D110</f>
        <v>0</v>
      </c>
      <c r="J110" s="16">
        <f>LCOE!N136+LCOE!G$21*IF(LCOE!G$14&gt;0,G110,H110)*K110*D110</f>
        <v>0</v>
      </c>
      <c r="K110" s="15">
        <f>LCOE!O136+K109+K109*LCOE!G$22</f>
        <v>1</v>
      </c>
      <c r="L110" s="16">
        <f>LCOE!P136+LCOE!G$23*IF(LCOE!G$14&gt;0,G110,H110)*M110*D110</f>
        <v>0</v>
      </c>
      <c r="M110" s="15">
        <f>LCOE!Q136+M109+M109*LCOE!G$24</f>
        <v>1</v>
      </c>
      <c r="N110" s="15">
        <f>LCOE!R136+N109-N109*LCOE!G$25</f>
        <v>1</v>
      </c>
      <c r="O110" s="18">
        <f>LCOE!S136+LCOE!G$29</f>
        <v>313.75</v>
      </c>
      <c r="P110" s="12">
        <f>LCOE!T136+IF(A110&gt;=LCOE!G$30,100%,0%)</f>
        <v>1</v>
      </c>
      <c r="Q110" s="16">
        <f>LCOE!U136+O110/1000*IF(LCOE!G$14&gt;0,G110,H110)</f>
        <v>0</v>
      </c>
      <c r="R110" s="16">
        <f>LCOE!B136</f>
        <v>30</v>
      </c>
      <c r="S110" s="16">
        <f>LCOE!V136+Q110*P110*R110</f>
        <v>0</v>
      </c>
      <c r="T110" s="16">
        <f>LCOE!W136+LCOE!G$31</f>
        <v>0</v>
      </c>
      <c r="U110" s="16">
        <f>LCOE!X136+T110*IF(LCOE!G$14&gt;0,G110,H110)</f>
        <v>0</v>
      </c>
      <c r="V110" s="16">
        <f>LCOE!Y136+LCOE!G$32</f>
        <v>0</v>
      </c>
      <c r="W110" s="16">
        <f>LCOE!Z136+V110*IF(LCOE!G$14&gt;0,G110,H110)</f>
        <v>0</v>
      </c>
      <c r="X110" s="16">
        <f>LCOE!AA136+LCOE!G$34</f>
        <v>101</v>
      </c>
      <c r="Y110" s="16">
        <f t="shared" si="15"/>
        <v>0</v>
      </c>
      <c r="Z110" s="50">
        <f t="shared" si="18"/>
        <v>0</v>
      </c>
      <c r="AA110" s="50">
        <f t="shared" si="19"/>
        <v>0</v>
      </c>
      <c r="AB110" s="50">
        <f t="shared" si="20"/>
        <v>0</v>
      </c>
      <c r="AC110" s="50">
        <f t="shared" si="16"/>
        <v>0</v>
      </c>
      <c r="AD110" s="50">
        <f t="shared" ref="AD110:AD170" si="25">S110</f>
        <v>0</v>
      </c>
      <c r="AE110">
        <f t="shared" si="17"/>
        <v>30</v>
      </c>
      <c r="AF110" s="12">
        <f>LCOE!E136+LCOE!G$40</f>
        <v>7.0000000000000007E-2</v>
      </c>
      <c r="AG110">
        <f t="shared" ref="AG110:AG170" si="26">(1+AF110)^A110</f>
        <v>14.974457839206954</v>
      </c>
      <c r="AH110" s="16">
        <f t="shared" si="21"/>
        <v>0</v>
      </c>
      <c r="AI110" s="16">
        <f t="shared" si="22"/>
        <v>0</v>
      </c>
      <c r="AJ110" s="16">
        <f t="shared" si="23"/>
        <v>0</v>
      </c>
      <c r="AK110" s="16">
        <f t="shared" si="24"/>
        <v>0</v>
      </c>
      <c r="AL110" s="16">
        <f t="shared" ref="AL110:AL170" si="27">AD110/AG110</f>
        <v>0</v>
      </c>
      <c r="AM110" s="16">
        <f t="shared" si="14"/>
        <v>0</v>
      </c>
      <c r="AN110" s="16">
        <f>IF(LCOE!G$14&gt;0,G110,H110)/AG110</f>
        <v>0</v>
      </c>
    </row>
    <row r="111" spans="1:40">
      <c r="A111">
        <v>41</v>
      </c>
      <c r="C111" s="16">
        <f>LCOE!G137+IF(AND(LCOE!G$26&gt;0,A111&gt;=LCOE!G$26,A111&lt;=(LCOE!G$26+LCOE!G$27-1)),LCOE!G$42/LCOE!G$27,0)+IF(AND(D111=0,AE111&gt;=LCOE!G$16,COUNTIF(D86:D111,0)=LCOE!G$36),LCOE!G$35*LCOE!G$38,0)</f>
        <v>0</v>
      </c>
      <c r="D111" s="16">
        <f>IF(AE110&lt;LCOE!G$16,1,0)</f>
        <v>0</v>
      </c>
      <c r="E111" s="12">
        <f>LCOE!G137+IF(AND(A111&gt;=LCOE!G$26,A111&lt;=(LCOE!G$26+LCOE!G$27-1)),0,1)*IF(A111=LCOE!G$34,0,1)*D111</f>
        <v>0</v>
      </c>
      <c r="F111" s="12">
        <f>IF(F110&lt;LCOE!G$18,MIN(F110*(1+LCOE!G$19),LCOE!G$18),LCOE!G$18)+LCOE!J137</f>
        <v>0.9</v>
      </c>
      <c r="G111" s="16">
        <f>LCOE!K137+E111*F111*N111*(LCOE!G$14+LCOE!H137)*24*365*D111</f>
        <v>0</v>
      </c>
      <c r="H111" s="16">
        <f>LCOE!L137+F111*(LCOE!G$15+LCOE!I137)*E111*24*365*D111*N111</f>
        <v>0</v>
      </c>
      <c r="I111" s="16">
        <f>LCOE!M137+LCOE!G$20*IF(LCOE!G$14&gt;0,(LCOE!G$14+LCOE!H137),(LCOE!G$15+LCOE!I137))*K111*D111</f>
        <v>0</v>
      </c>
      <c r="J111" s="16">
        <f>LCOE!N137+LCOE!G$21*IF(LCOE!G$14&gt;0,G111,H111)*K111*D111</f>
        <v>0</v>
      </c>
      <c r="K111" s="15">
        <f>LCOE!O137+K110+K110*LCOE!G$22</f>
        <v>1</v>
      </c>
      <c r="L111" s="16">
        <f>LCOE!P137+LCOE!G$23*IF(LCOE!G$14&gt;0,G111,H111)*M111*D111</f>
        <v>0</v>
      </c>
      <c r="M111" s="15">
        <f>LCOE!Q137+M110+M110*LCOE!G$24</f>
        <v>1</v>
      </c>
      <c r="N111" s="15">
        <f>LCOE!R137+N110-N110*LCOE!G$25</f>
        <v>1</v>
      </c>
      <c r="O111" s="18">
        <f>LCOE!S137+LCOE!G$29</f>
        <v>313.75</v>
      </c>
      <c r="P111" s="12">
        <f>LCOE!T137+IF(A111&gt;=LCOE!G$30,100%,0%)</f>
        <v>1</v>
      </c>
      <c r="Q111" s="16">
        <f>LCOE!U137+O111/1000*IF(LCOE!G$14&gt;0,G111,H111)</f>
        <v>0</v>
      </c>
      <c r="R111" s="16">
        <f>LCOE!B137</f>
        <v>30</v>
      </c>
      <c r="S111" s="16">
        <f>LCOE!V137+Q111*P111*R111</f>
        <v>0</v>
      </c>
      <c r="T111" s="16">
        <f>LCOE!W137+LCOE!G$31</f>
        <v>0</v>
      </c>
      <c r="U111" s="16">
        <f>LCOE!X137+T111*IF(LCOE!G$14&gt;0,G111,H111)</f>
        <v>0</v>
      </c>
      <c r="V111" s="16">
        <f>LCOE!Y137+LCOE!G$32</f>
        <v>0</v>
      </c>
      <c r="W111" s="16">
        <f>LCOE!Z137+V111*IF(LCOE!G$14&gt;0,G111,H111)</f>
        <v>0</v>
      </c>
      <c r="X111" s="16">
        <f>LCOE!AA137+LCOE!G$34</f>
        <v>101</v>
      </c>
      <c r="Y111" s="16">
        <f t="shared" si="15"/>
        <v>0</v>
      </c>
      <c r="Z111" s="50">
        <f t="shared" si="18"/>
        <v>0</v>
      </c>
      <c r="AA111" s="50">
        <f t="shared" si="19"/>
        <v>0</v>
      </c>
      <c r="AB111" s="50">
        <f t="shared" si="20"/>
        <v>0</v>
      </c>
      <c r="AC111" s="50">
        <f t="shared" si="16"/>
        <v>0</v>
      </c>
      <c r="AD111" s="50">
        <f t="shared" si="25"/>
        <v>0</v>
      </c>
      <c r="AE111">
        <f t="shared" si="17"/>
        <v>30</v>
      </c>
      <c r="AF111" s="12">
        <f>LCOE!E137+LCOE!G$40</f>
        <v>7.0000000000000007E-2</v>
      </c>
      <c r="AG111">
        <f t="shared" si="26"/>
        <v>16.022669887951441</v>
      </c>
      <c r="AH111" s="16">
        <f t="shared" si="21"/>
        <v>0</v>
      </c>
      <c r="AI111" s="16">
        <f t="shared" si="22"/>
        <v>0</v>
      </c>
      <c r="AJ111" s="16">
        <f t="shared" si="23"/>
        <v>0</v>
      </c>
      <c r="AK111" s="16">
        <f t="shared" si="24"/>
        <v>0</v>
      </c>
      <c r="AL111" s="16">
        <f t="shared" si="27"/>
        <v>0</v>
      </c>
      <c r="AM111" s="16">
        <f t="shared" si="14"/>
        <v>0</v>
      </c>
      <c r="AN111" s="16">
        <f>IF(LCOE!G$14&gt;0,G111,H111)/AG111</f>
        <v>0</v>
      </c>
    </row>
    <row r="112" spans="1:40">
      <c r="A112">
        <v>42</v>
      </c>
      <c r="C112" s="16">
        <f>LCOE!G138+IF(AND(LCOE!G$26&gt;0,A112&gt;=LCOE!G$26,A112&lt;=(LCOE!G$26+LCOE!G$27-1)),LCOE!G$42/LCOE!G$27,0)+IF(AND(D112=0,AE112&gt;=LCOE!G$16,COUNTIF(D87:D112,0)=LCOE!G$36),LCOE!G$35*LCOE!G$38,0)</f>
        <v>0</v>
      </c>
      <c r="D112" s="16">
        <f>IF(AE111&lt;LCOE!G$16,1,0)</f>
        <v>0</v>
      </c>
      <c r="E112" s="12">
        <f>LCOE!G138+IF(AND(A112&gt;=LCOE!G$26,A112&lt;=(LCOE!G$26+LCOE!G$27-1)),0,1)*IF(A112=LCOE!G$34,0,1)*D112</f>
        <v>0</v>
      </c>
      <c r="F112" s="12">
        <f>IF(F111&lt;LCOE!G$18,MIN(F111*(1+LCOE!G$19),LCOE!G$18),LCOE!G$18)+LCOE!J138</f>
        <v>0.9</v>
      </c>
      <c r="G112" s="16">
        <f>LCOE!K138+E112*F112*N112*(LCOE!G$14+LCOE!H138)*24*365*D112</f>
        <v>0</v>
      </c>
      <c r="H112" s="16">
        <f>LCOE!L138+F112*(LCOE!G$15+LCOE!I138)*E112*24*365*D112*N112</f>
        <v>0</v>
      </c>
      <c r="I112" s="16">
        <f>LCOE!M138+LCOE!G$20*IF(LCOE!G$14&gt;0,(LCOE!G$14+LCOE!H138),(LCOE!G$15+LCOE!I138))*K112*D112</f>
        <v>0</v>
      </c>
      <c r="J112" s="16">
        <f>LCOE!N138+LCOE!G$21*IF(LCOE!G$14&gt;0,G112,H112)*K112*D112</f>
        <v>0</v>
      </c>
      <c r="K112" s="15">
        <f>LCOE!O138+K111+K111*LCOE!G$22</f>
        <v>1</v>
      </c>
      <c r="L112" s="16">
        <f>LCOE!P138+LCOE!G$23*IF(LCOE!G$14&gt;0,G112,H112)*M112*D112</f>
        <v>0</v>
      </c>
      <c r="M112" s="15">
        <f>LCOE!Q138+M111+M111*LCOE!G$24</f>
        <v>1</v>
      </c>
      <c r="N112" s="15">
        <f>LCOE!R138+N111-N111*LCOE!G$25</f>
        <v>1</v>
      </c>
      <c r="O112" s="18">
        <f>LCOE!S138+LCOE!G$29</f>
        <v>313.75</v>
      </c>
      <c r="P112" s="12">
        <f>LCOE!T138+IF(A112&gt;=LCOE!G$30,100%,0%)</f>
        <v>1</v>
      </c>
      <c r="Q112" s="16">
        <f>LCOE!U138+O112/1000*IF(LCOE!G$14&gt;0,G112,H112)</f>
        <v>0</v>
      </c>
      <c r="R112" s="16">
        <f>LCOE!B138</f>
        <v>30</v>
      </c>
      <c r="S112" s="16">
        <f>LCOE!V138+Q112*P112*R112</f>
        <v>0</v>
      </c>
      <c r="T112" s="16">
        <f>LCOE!W138+LCOE!G$31</f>
        <v>0</v>
      </c>
      <c r="U112" s="16">
        <f>LCOE!X138+T112*IF(LCOE!G$14&gt;0,G112,H112)</f>
        <v>0</v>
      </c>
      <c r="V112" s="16">
        <f>LCOE!Y138+LCOE!G$32</f>
        <v>0</v>
      </c>
      <c r="W112" s="16">
        <f>LCOE!Z138+V112*IF(LCOE!G$14&gt;0,G112,H112)</f>
        <v>0</v>
      </c>
      <c r="X112" s="16">
        <f>LCOE!AA138+LCOE!G$34</f>
        <v>101</v>
      </c>
      <c r="Y112" s="16">
        <f t="shared" si="15"/>
        <v>0</v>
      </c>
      <c r="Z112" s="50">
        <f t="shared" si="18"/>
        <v>0</v>
      </c>
      <c r="AA112" s="50">
        <f t="shared" si="19"/>
        <v>0</v>
      </c>
      <c r="AB112" s="50">
        <f t="shared" si="20"/>
        <v>0</v>
      </c>
      <c r="AC112" s="50">
        <f t="shared" si="16"/>
        <v>0</v>
      </c>
      <c r="AD112" s="50">
        <f t="shared" si="25"/>
        <v>0</v>
      </c>
      <c r="AE112">
        <f t="shared" si="17"/>
        <v>30</v>
      </c>
      <c r="AF112" s="12">
        <f>LCOE!E138+LCOE!G$40</f>
        <v>7.0000000000000007E-2</v>
      </c>
      <c r="AG112">
        <f t="shared" si="26"/>
        <v>17.144256780108041</v>
      </c>
      <c r="AH112" s="16">
        <f t="shared" si="21"/>
        <v>0</v>
      </c>
      <c r="AI112" s="16">
        <f t="shared" si="22"/>
        <v>0</v>
      </c>
      <c r="AJ112" s="16">
        <f t="shared" si="23"/>
        <v>0</v>
      </c>
      <c r="AK112" s="16">
        <f t="shared" si="24"/>
        <v>0</v>
      </c>
      <c r="AL112" s="16">
        <f t="shared" si="27"/>
        <v>0</v>
      </c>
      <c r="AM112" s="16">
        <f t="shared" si="14"/>
        <v>0</v>
      </c>
      <c r="AN112" s="16">
        <f>IF(LCOE!G$14&gt;0,G112,H112)/AG112</f>
        <v>0</v>
      </c>
    </row>
    <row r="113" spans="1:40">
      <c r="A113">
        <v>43</v>
      </c>
      <c r="C113" s="16">
        <f>LCOE!G139+IF(AND(LCOE!G$26&gt;0,A113&gt;=LCOE!G$26,A113&lt;=(LCOE!G$26+LCOE!G$27-1)),LCOE!G$42/LCOE!G$27,0)+IF(AND(D113=0,AE113&gt;=LCOE!G$16,COUNTIF(D88:D113,0)=LCOE!G$36),LCOE!G$35*LCOE!G$38,0)</f>
        <v>0</v>
      </c>
      <c r="D113" s="16">
        <f>IF(AE112&lt;LCOE!G$16,1,0)</f>
        <v>0</v>
      </c>
      <c r="E113" s="12">
        <f>LCOE!G139+IF(AND(A113&gt;=LCOE!G$26,A113&lt;=(LCOE!G$26+LCOE!G$27-1)),0,1)*IF(A113=LCOE!G$34,0,1)*D113</f>
        <v>0</v>
      </c>
      <c r="F113" s="12">
        <f>IF(F112&lt;LCOE!G$18,MIN(F112*(1+LCOE!G$19),LCOE!G$18),LCOE!G$18)+LCOE!J139</f>
        <v>0.9</v>
      </c>
      <c r="G113" s="16">
        <f>LCOE!K139+E113*F113*N113*(LCOE!G$14+LCOE!H139)*24*365*D113</f>
        <v>0</v>
      </c>
      <c r="H113" s="16">
        <f>LCOE!L139+F113*(LCOE!G$15+LCOE!I139)*E113*24*365*D113*N113</f>
        <v>0</v>
      </c>
      <c r="I113" s="16">
        <f>LCOE!M139+LCOE!G$20*IF(LCOE!G$14&gt;0,(LCOE!G$14+LCOE!H139),(LCOE!G$15+LCOE!I139))*K113*D113</f>
        <v>0</v>
      </c>
      <c r="J113" s="16">
        <f>LCOE!N139+LCOE!G$21*IF(LCOE!G$14&gt;0,G113,H113)*K113*D113</f>
        <v>0</v>
      </c>
      <c r="K113" s="15">
        <f>LCOE!O139+K112+K112*LCOE!G$22</f>
        <v>1</v>
      </c>
      <c r="L113" s="16">
        <f>LCOE!P139+LCOE!G$23*IF(LCOE!G$14&gt;0,G113,H113)*M113*D113</f>
        <v>0</v>
      </c>
      <c r="M113" s="15">
        <f>LCOE!Q139+M112+M112*LCOE!G$24</f>
        <v>1</v>
      </c>
      <c r="N113" s="15">
        <f>LCOE!R139+N112-N112*LCOE!G$25</f>
        <v>1</v>
      </c>
      <c r="O113" s="18">
        <f>LCOE!S139+LCOE!G$29</f>
        <v>313.75</v>
      </c>
      <c r="P113" s="12">
        <f>LCOE!T139+IF(A113&gt;=LCOE!G$30,100%,0%)</f>
        <v>1</v>
      </c>
      <c r="Q113" s="16">
        <f>LCOE!U139+O113/1000*IF(LCOE!G$14&gt;0,G113,H113)</f>
        <v>0</v>
      </c>
      <c r="R113" s="16">
        <f>LCOE!B139</f>
        <v>30</v>
      </c>
      <c r="S113" s="16">
        <f>LCOE!V139+Q113*P113*R113</f>
        <v>0</v>
      </c>
      <c r="T113" s="16">
        <f>LCOE!W139+LCOE!G$31</f>
        <v>0</v>
      </c>
      <c r="U113" s="16">
        <f>LCOE!X139+T113*IF(LCOE!G$14&gt;0,G113,H113)</f>
        <v>0</v>
      </c>
      <c r="V113" s="16">
        <f>LCOE!Y139+LCOE!G$32</f>
        <v>0</v>
      </c>
      <c r="W113" s="16">
        <f>LCOE!Z139+V113*IF(LCOE!G$14&gt;0,G113,H113)</f>
        <v>0</v>
      </c>
      <c r="X113" s="16">
        <f>LCOE!AA139+LCOE!G$34</f>
        <v>101</v>
      </c>
      <c r="Y113" s="16">
        <f t="shared" si="15"/>
        <v>0</v>
      </c>
      <c r="Z113" s="50">
        <f t="shared" si="18"/>
        <v>0</v>
      </c>
      <c r="AA113" s="50">
        <f t="shared" si="19"/>
        <v>0</v>
      </c>
      <c r="AB113" s="50">
        <f t="shared" si="20"/>
        <v>0</v>
      </c>
      <c r="AC113" s="50">
        <f t="shared" si="16"/>
        <v>0</v>
      </c>
      <c r="AD113" s="50">
        <f t="shared" si="25"/>
        <v>0</v>
      </c>
      <c r="AE113">
        <f t="shared" si="17"/>
        <v>30</v>
      </c>
      <c r="AF113" s="12">
        <f>LCOE!E139+LCOE!G$40</f>
        <v>7.0000000000000007E-2</v>
      </c>
      <c r="AG113">
        <f t="shared" si="26"/>
        <v>18.344354754715607</v>
      </c>
      <c r="AH113" s="16">
        <f t="shared" si="21"/>
        <v>0</v>
      </c>
      <c r="AI113" s="16">
        <f t="shared" si="22"/>
        <v>0</v>
      </c>
      <c r="AJ113" s="16">
        <f t="shared" si="23"/>
        <v>0</v>
      </c>
      <c r="AK113" s="16">
        <f t="shared" si="24"/>
        <v>0</v>
      </c>
      <c r="AL113" s="16">
        <f t="shared" si="27"/>
        <v>0</v>
      </c>
      <c r="AM113" s="16">
        <f t="shared" si="14"/>
        <v>0</v>
      </c>
      <c r="AN113" s="16">
        <f>IF(LCOE!G$14&gt;0,G113,H113)/AG113</f>
        <v>0</v>
      </c>
    </row>
    <row r="114" spans="1:40">
      <c r="A114">
        <v>44</v>
      </c>
      <c r="C114" s="16">
        <f>LCOE!G140+IF(AND(LCOE!G$26&gt;0,A114&gt;=LCOE!G$26,A114&lt;=(LCOE!G$26+LCOE!G$27-1)),LCOE!G$42/LCOE!G$27,0)+IF(AND(D114=0,AE114&gt;=LCOE!G$16,COUNTIF(D89:D114,0)=LCOE!G$36),LCOE!G$35*LCOE!G$38,0)</f>
        <v>0</v>
      </c>
      <c r="D114" s="16">
        <f>IF(AE113&lt;LCOE!G$16,1,0)</f>
        <v>0</v>
      </c>
      <c r="E114" s="12">
        <f>LCOE!G140+IF(AND(A114&gt;=LCOE!G$26,A114&lt;=(LCOE!G$26+LCOE!G$27-1)),0,1)*IF(A114=LCOE!G$34,0,1)*D114</f>
        <v>0</v>
      </c>
      <c r="F114" s="12">
        <f>IF(F113&lt;LCOE!G$18,MIN(F113*(1+LCOE!G$19),LCOE!G$18),LCOE!G$18)+LCOE!J140</f>
        <v>0.9</v>
      </c>
      <c r="G114" s="16">
        <f>LCOE!K140+E114*F114*N114*(LCOE!G$14+LCOE!H140)*24*365*D114</f>
        <v>0</v>
      </c>
      <c r="H114" s="16">
        <f>LCOE!L140+F114*(LCOE!G$15+LCOE!I140)*E114*24*365*D114*N114</f>
        <v>0</v>
      </c>
      <c r="I114" s="16">
        <f>LCOE!M140+LCOE!G$20*IF(LCOE!G$14&gt;0,(LCOE!G$14+LCOE!H140),(LCOE!G$15+LCOE!I140))*K114*D114</f>
        <v>0</v>
      </c>
      <c r="J114" s="16">
        <f>LCOE!N140+LCOE!G$21*IF(LCOE!G$14&gt;0,G114,H114)*K114*D114</f>
        <v>0</v>
      </c>
      <c r="K114" s="15">
        <f>LCOE!O140+K113+K113*LCOE!G$22</f>
        <v>1</v>
      </c>
      <c r="L114" s="16">
        <f>LCOE!P140+LCOE!G$23*IF(LCOE!G$14&gt;0,G114,H114)*M114*D114</f>
        <v>0</v>
      </c>
      <c r="M114" s="15">
        <f>LCOE!Q140+M113+M113*LCOE!G$24</f>
        <v>1</v>
      </c>
      <c r="N114" s="15">
        <f>LCOE!R140+N113-N113*LCOE!G$25</f>
        <v>1</v>
      </c>
      <c r="O114" s="18">
        <f>LCOE!S140+LCOE!G$29</f>
        <v>313.75</v>
      </c>
      <c r="P114" s="12">
        <f>LCOE!T140+IF(A114&gt;=LCOE!G$30,100%,0%)</f>
        <v>1</v>
      </c>
      <c r="Q114" s="16">
        <f>LCOE!U140+O114/1000*IF(LCOE!G$14&gt;0,G114,H114)</f>
        <v>0</v>
      </c>
      <c r="R114" s="16">
        <f>LCOE!B140</f>
        <v>30</v>
      </c>
      <c r="S114" s="16">
        <f>LCOE!V140+Q114*P114*R114</f>
        <v>0</v>
      </c>
      <c r="T114" s="16">
        <f>LCOE!W140+LCOE!G$31</f>
        <v>0</v>
      </c>
      <c r="U114" s="16">
        <f>LCOE!X140+T114*IF(LCOE!G$14&gt;0,G114,H114)</f>
        <v>0</v>
      </c>
      <c r="V114" s="16">
        <f>LCOE!Y140+LCOE!G$32</f>
        <v>0</v>
      </c>
      <c r="W114" s="16">
        <f>LCOE!Z140+V114*IF(LCOE!G$14&gt;0,G114,H114)</f>
        <v>0</v>
      </c>
      <c r="X114" s="16">
        <f>LCOE!AA140+LCOE!G$34</f>
        <v>101</v>
      </c>
      <c r="Y114" s="16">
        <f t="shared" si="15"/>
        <v>0</v>
      </c>
      <c r="Z114" s="50">
        <f t="shared" si="18"/>
        <v>0</v>
      </c>
      <c r="AA114" s="50">
        <f t="shared" si="19"/>
        <v>0</v>
      </c>
      <c r="AB114" s="50">
        <f t="shared" si="20"/>
        <v>0</v>
      </c>
      <c r="AC114" s="50">
        <f t="shared" si="16"/>
        <v>0</v>
      </c>
      <c r="AD114" s="50">
        <f t="shared" si="25"/>
        <v>0</v>
      </c>
      <c r="AE114">
        <f t="shared" si="17"/>
        <v>30</v>
      </c>
      <c r="AF114" s="12">
        <f>LCOE!E140+LCOE!G$40</f>
        <v>7.0000000000000007E-2</v>
      </c>
      <c r="AG114">
        <f t="shared" si="26"/>
        <v>19.628459587545695</v>
      </c>
      <c r="AH114" s="16">
        <f t="shared" si="21"/>
        <v>0</v>
      </c>
      <c r="AI114" s="16">
        <f t="shared" si="22"/>
        <v>0</v>
      </c>
      <c r="AJ114" s="16">
        <f t="shared" si="23"/>
        <v>0</v>
      </c>
      <c r="AK114" s="16">
        <f t="shared" si="24"/>
        <v>0</v>
      </c>
      <c r="AL114" s="16">
        <f t="shared" si="27"/>
        <v>0</v>
      </c>
      <c r="AM114" s="16">
        <f t="shared" si="14"/>
        <v>0</v>
      </c>
      <c r="AN114" s="16">
        <f>IF(LCOE!G$14&gt;0,G114,H114)/AG114</f>
        <v>0</v>
      </c>
    </row>
    <row r="115" spans="1:40">
      <c r="A115">
        <v>45</v>
      </c>
      <c r="C115" s="16">
        <f>LCOE!G141+IF(AND(LCOE!G$26&gt;0,A115&gt;=LCOE!G$26,A115&lt;=(LCOE!G$26+LCOE!G$27-1)),LCOE!G$42/LCOE!G$27,0)+IF(AND(D115=0,AE115&gt;=LCOE!G$16,COUNTIF(D90:D115,0)=LCOE!G$36),LCOE!G$35*LCOE!G$38,0)</f>
        <v>0</v>
      </c>
      <c r="D115" s="16">
        <f>IF(AE114&lt;LCOE!G$16,1,0)</f>
        <v>0</v>
      </c>
      <c r="E115" s="12">
        <f>LCOE!G141+IF(AND(A115&gt;=LCOE!G$26,A115&lt;=(LCOE!G$26+LCOE!G$27-1)),0,1)*IF(A115=LCOE!G$34,0,1)*D115</f>
        <v>0</v>
      </c>
      <c r="F115" s="12">
        <f>IF(F114&lt;LCOE!G$18,MIN(F114*(1+LCOE!G$19),LCOE!G$18),LCOE!G$18)+LCOE!J141</f>
        <v>0.9</v>
      </c>
      <c r="G115" s="16">
        <f>LCOE!K141+E115*F115*N115*(LCOE!G$14+LCOE!H141)*24*365*D115</f>
        <v>0</v>
      </c>
      <c r="H115" s="16">
        <f>LCOE!L141+F115*(LCOE!G$15+LCOE!I141)*E115*24*365*D115*N115</f>
        <v>0</v>
      </c>
      <c r="I115" s="16">
        <f>LCOE!M141+LCOE!G$20*IF(LCOE!G$14&gt;0,(LCOE!G$14+LCOE!H141),(LCOE!G$15+LCOE!I141))*K115*D115</f>
        <v>0</v>
      </c>
      <c r="J115" s="16">
        <f>LCOE!N141+LCOE!G$21*IF(LCOE!G$14&gt;0,G115,H115)*K115*D115</f>
        <v>0</v>
      </c>
      <c r="K115" s="15">
        <f>LCOE!O141+K114+K114*LCOE!G$22</f>
        <v>1</v>
      </c>
      <c r="L115" s="16">
        <f>LCOE!P141+LCOE!G$23*IF(LCOE!G$14&gt;0,G115,H115)*M115*D115</f>
        <v>0</v>
      </c>
      <c r="M115" s="15">
        <f>LCOE!Q141+M114+M114*LCOE!G$24</f>
        <v>1</v>
      </c>
      <c r="N115" s="15">
        <f>LCOE!R141+N114-N114*LCOE!G$25</f>
        <v>1</v>
      </c>
      <c r="O115" s="18">
        <f>LCOE!S141+LCOE!G$29</f>
        <v>313.75</v>
      </c>
      <c r="P115" s="12">
        <f>LCOE!T141+IF(A115&gt;=LCOE!G$30,100%,0%)</f>
        <v>1</v>
      </c>
      <c r="Q115" s="16">
        <f>LCOE!U141+O115/1000*IF(LCOE!G$14&gt;0,G115,H115)</f>
        <v>0</v>
      </c>
      <c r="R115" s="16">
        <f>LCOE!B141</f>
        <v>30</v>
      </c>
      <c r="S115" s="16">
        <f>LCOE!V141+Q115*P115*R115</f>
        <v>0</v>
      </c>
      <c r="T115" s="16">
        <f>LCOE!W141+LCOE!G$31</f>
        <v>0</v>
      </c>
      <c r="U115" s="16">
        <f>LCOE!X141+T115*IF(LCOE!G$14&gt;0,G115,H115)</f>
        <v>0</v>
      </c>
      <c r="V115" s="16">
        <f>LCOE!Y141+LCOE!G$32</f>
        <v>0</v>
      </c>
      <c r="W115" s="16">
        <f>LCOE!Z141+V115*IF(LCOE!G$14&gt;0,G115,H115)</f>
        <v>0</v>
      </c>
      <c r="X115" s="16">
        <f>LCOE!AA141+LCOE!G$34</f>
        <v>101</v>
      </c>
      <c r="Y115" s="16">
        <f t="shared" si="15"/>
        <v>0</v>
      </c>
      <c r="Z115" s="50">
        <f t="shared" si="18"/>
        <v>0</v>
      </c>
      <c r="AA115" s="50">
        <f t="shared" si="19"/>
        <v>0</v>
      </c>
      <c r="AB115" s="50">
        <f t="shared" si="20"/>
        <v>0</v>
      </c>
      <c r="AC115" s="50">
        <f t="shared" si="16"/>
        <v>0</v>
      </c>
      <c r="AD115" s="50">
        <f t="shared" si="25"/>
        <v>0</v>
      </c>
      <c r="AE115">
        <f t="shared" si="17"/>
        <v>30</v>
      </c>
      <c r="AF115" s="12">
        <f>LCOE!E141+LCOE!G$40</f>
        <v>7.0000000000000007E-2</v>
      </c>
      <c r="AG115">
        <f t="shared" si="26"/>
        <v>21.002451758673896</v>
      </c>
      <c r="AH115" s="16">
        <f t="shared" si="21"/>
        <v>0</v>
      </c>
      <c r="AI115" s="16">
        <f t="shared" si="22"/>
        <v>0</v>
      </c>
      <c r="AJ115" s="16">
        <f t="shared" si="23"/>
        <v>0</v>
      </c>
      <c r="AK115" s="16">
        <f t="shared" si="24"/>
        <v>0</v>
      </c>
      <c r="AL115" s="16">
        <f t="shared" si="27"/>
        <v>0</v>
      </c>
      <c r="AM115" s="16">
        <f t="shared" si="14"/>
        <v>0</v>
      </c>
      <c r="AN115" s="16">
        <f>IF(LCOE!G$14&gt;0,G115,H115)/AG115</f>
        <v>0</v>
      </c>
    </row>
    <row r="116" spans="1:40">
      <c r="A116">
        <v>46</v>
      </c>
      <c r="C116" s="16">
        <f>LCOE!G142+IF(AND(LCOE!G$26&gt;0,A116&gt;=LCOE!G$26,A116&lt;=(LCOE!G$26+LCOE!G$27-1)),LCOE!G$42/LCOE!G$27,0)+IF(AND(D116=0,AE116&gt;=LCOE!G$16,COUNTIF(D91:D116,0)=LCOE!G$36),LCOE!G$35*LCOE!G$38,0)</f>
        <v>0</v>
      </c>
      <c r="D116" s="16">
        <f>IF(AE115&lt;LCOE!G$16,1,0)</f>
        <v>0</v>
      </c>
      <c r="E116" s="12">
        <f>LCOE!G142+IF(AND(A116&gt;=LCOE!G$26,A116&lt;=(LCOE!G$26+LCOE!G$27-1)),0,1)*IF(A116=LCOE!G$34,0,1)*D116</f>
        <v>0</v>
      </c>
      <c r="F116" s="12">
        <f>IF(F115&lt;LCOE!G$18,MIN(F115*(1+LCOE!G$19),LCOE!G$18),LCOE!G$18)+LCOE!J142</f>
        <v>0.9</v>
      </c>
      <c r="G116" s="16">
        <f>LCOE!K142+E116*F116*N116*(LCOE!G$14+LCOE!H142)*24*365*D116</f>
        <v>0</v>
      </c>
      <c r="H116" s="16">
        <f>LCOE!L142+F116*(LCOE!G$15+LCOE!I142)*E116*24*365*D116*N116</f>
        <v>0</v>
      </c>
      <c r="I116" s="16">
        <f>LCOE!M142+LCOE!G$20*IF(LCOE!G$14&gt;0,(LCOE!G$14+LCOE!H142),(LCOE!G$15+LCOE!I142))*K116*D116</f>
        <v>0</v>
      </c>
      <c r="J116" s="16">
        <f>LCOE!N142+LCOE!G$21*IF(LCOE!G$14&gt;0,G116,H116)*K116*D116</f>
        <v>0</v>
      </c>
      <c r="K116" s="15">
        <f>LCOE!O142+K115+K115*LCOE!G$22</f>
        <v>1</v>
      </c>
      <c r="L116" s="16">
        <f>LCOE!P142+LCOE!G$23*IF(LCOE!G$14&gt;0,G116,H116)*M116*D116</f>
        <v>0</v>
      </c>
      <c r="M116" s="15">
        <f>LCOE!Q142+M115+M115*LCOE!G$24</f>
        <v>1</v>
      </c>
      <c r="N116" s="15">
        <f>LCOE!R142+N115-N115*LCOE!G$25</f>
        <v>1</v>
      </c>
      <c r="O116" s="18">
        <f>LCOE!S142+LCOE!G$29</f>
        <v>313.75</v>
      </c>
      <c r="P116" s="12">
        <f>LCOE!T142+IF(A116&gt;=LCOE!G$30,100%,0%)</f>
        <v>1</v>
      </c>
      <c r="Q116" s="16">
        <f>LCOE!U142+O116/1000*IF(LCOE!G$14&gt;0,G116,H116)</f>
        <v>0</v>
      </c>
      <c r="R116" s="16">
        <f>LCOE!B142</f>
        <v>30</v>
      </c>
      <c r="S116" s="16">
        <f>LCOE!V142+Q116*P116*R116</f>
        <v>0</v>
      </c>
      <c r="T116" s="16">
        <f>LCOE!W142+LCOE!G$31</f>
        <v>0</v>
      </c>
      <c r="U116" s="16">
        <f>LCOE!X142+T116*IF(LCOE!G$14&gt;0,G116,H116)</f>
        <v>0</v>
      </c>
      <c r="V116" s="16">
        <f>LCOE!Y142+LCOE!G$32</f>
        <v>0</v>
      </c>
      <c r="W116" s="16">
        <f>LCOE!Z142+V116*IF(LCOE!G$14&gt;0,G116,H116)</f>
        <v>0</v>
      </c>
      <c r="X116" s="16">
        <f>LCOE!AA142+LCOE!G$34</f>
        <v>101</v>
      </c>
      <c r="Y116" s="16">
        <f t="shared" si="15"/>
        <v>0</v>
      </c>
      <c r="Z116" s="50">
        <f t="shared" si="18"/>
        <v>0</v>
      </c>
      <c r="AA116" s="50">
        <f t="shared" si="19"/>
        <v>0</v>
      </c>
      <c r="AB116" s="50">
        <f t="shared" si="20"/>
        <v>0</v>
      </c>
      <c r="AC116" s="50">
        <f t="shared" si="16"/>
        <v>0</v>
      </c>
      <c r="AD116" s="50">
        <f t="shared" si="25"/>
        <v>0</v>
      </c>
      <c r="AE116">
        <f t="shared" si="17"/>
        <v>30</v>
      </c>
      <c r="AF116" s="12">
        <f>LCOE!E142+LCOE!G$40</f>
        <v>7.0000000000000007E-2</v>
      </c>
      <c r="AG116">
        <f t="shared" si="26"/>
        <v>22.472623381781069</v>
      </c>
      <c r="AH116" s="16">
        <f t="shared" si="21"/>
        <v>0</v>
      </c>
      <c r="AI116" s="16">
        <f t="shared" si="22"/>
        <v>0</v>
      </c>
      <c r="AJ116" s="16">
        <f t="shared" si="23"/>
        <v>0</v>
      </c>
      <c r="AK116" s="16">
        <f t="shared" si="24"/>
        <v>0</v>
      </c>
      <c r="AL116" s="16">
        <f t="shared" si="27"/>
        <v>0</v>
      </c>
      <c r="AM116" s="16">
        <f t="shared" si="14"/>
        <v>0</v>
      </c>
      <c r="AN116" s="16">
        <f>IF(LCOE!G$14&gt;0,G116,H116)/AG116</f>
        <v>0</v>
      </c>
    </row>
    <row r="117" spans="1:40">
      <c r="A117">
        <v>47</v>
      </c>
      <c r="C117" s="16">
        <f>LCOE!G143+IF(AND(LCOE!G$26&gt;0,A117&gt;=LCOE!G$26,A117&lt;=(LCOE!G$26+LCOE!G$27-1)),LCOE!G$42/LCOE!G$27,0)+IF(AND(D117=0,AE117&gt;=LCOE!G$16,COUNTIF(D92:D117,0)=LCOE!G$36),LCOE!G$35*LCOE!G$38,0)</f>
        <v>0</v>
      </c>
      <c r="D117" s="16">
        <f>IF(AE116&lt;LCOE!G$16,1,0)</f>
        <v>0</v>
      </c>
      <c r="E117" s="12">
        <f>LCOE!G143+IF(AND(A117&gt;=LCOE!G$26,A117&lt;=(LCOE!G$26+LCOE!G$27-1)),0,1)*IF(A117=LCOE!G$34,0,1)*D117</f>
        <v>0</v>
      </c>
      <c r="F117" s="12">
        <f>IF(F116&lt;LCOE!G$18,MIN(F116*(1+LCOE!G$19),LCOE!G$18),LCOE!G$18)+LCOE!J143</f>
        <v>0.9</v>
      </c>
      <c r="G117" s="16">
        <f>LCOE!K143+E117*F117*N117*(LCOE!G$14+LCOE!H143)*24*365*D117</f>
        <v>0</v>
      </c>
      <c r="H117" s="16">
        <f>LCOE!L143+F117*(LCOE!G$15+LCOE!I143)*E117*24*365*D117*N117</f>
        <v>0</v>
      </c>
      <c r="I117" s="16">
        <f>LCOE!M143+LCOE!G$20*IF(LCOE!G$14&gt;0,(LCOE!G$14+LCOE!H143),(LCOE!G$15+LCOE!I143))*K117*D117</f>
        <v>0</v>
      </c>
      <c r="J117" s="16">
        <f>LCOE!N143+LCOE!G$21*IF(LCOE!G$14&gt;0,G117,H117)*K117*D117</f>
        <v>0</v>
      </c>
      <c r="K117" s="15">
        <f>LCOE!O143+K116+K116*LCOE!G$22</f>
        <v>1</v>
      </c>
      <c r="L117" s="16">
        <f>LCOE!P143+LCOE!G$23*IF(LCOE!G$14&gt;0,G117,H117)*M117*D117</f>
        <v>0</v>
      </c>
      <c r="M117" s="15">
        <f>LCOE!Q143+M116+M116*LCOE!G$24</f>
        <v>1</v>
      </c>
      <c r="N117" s="15">
        <f>LCOE!R143+N116-N116*LCOE!G$25</f>
        <v>1</v>
      </c>
      <c r="O117" s="18">
        <f>LCOE!S143+LCOE!G$29</f>
        <v>313.75</v>
      </c>
      <c r="P117" s="12">
        <f>LCOE!T143+IF(A117&gt;=LCOE!G$30,100%,0%)</f>
        <v>1</v>
      </c>
      <c r="Q117" s="16">
        <f>LCOE!U143+O117/1000*IF(LCOE!G$14&gt;0,G117,H117)</f>
        <v>0</v>
      </c>
      <c r="R117" s="16">
        <f>LCOE!B143</f>
        <v>30</v>
      </c>
      <c r="S117" s="16">
        <f>LCOE!V143+Q117*P117*R117</f>
        <v>0</v>
      </c>
      <c r="T117" s="16">
        <f>LCOE!W143+LCOE!G$31</f>
        <v>0</v>
      </c>
      <c r="U117" s="16">
        <f>LCOE!X143+T117*IF(LCOE!G$14&gt;0,G117,H117)</f>
        <v>0</v>
      </c>
      <c r="V117" s="16">
        <f>LCOE!Y143+LCOE!G$32</f>
        <v>0</v>
      </c>
      <c r="W117" s="16">
        <f>LCOE!Z143+V117*IF(LCOE!G$14&gt;0,G117,H117)</f>
        <v>0</v>
      </c>
      <c r="X117" s="16">
        <f>LCOE!AA143+LCOE!G$34</f>
        <v>101</v>
      </c>
      <c r="Y117" s="16">
        <f t="shared" si="15"/>
        <v>0</v>
      </c>
      <c r="Z117" s="50">
        <f t="shared" si="18"/>
        <v>0</v>
      </c>
      <c r="AA117" s="50">
        <f t="shared" si="19"/>
        <v>0</v>
      </c>
      <c r="AB117" s="50">
        <f t="shared" si="20"/>
        <v>0</v>
      </c>
      <c r="AC117" s="50">
        <f t="shared" si="16"/>
        <v>0</v>
      </c>
      <c r="AD117" s="50">
        <f t="shared" si="25"/>
        <v>0</v>
      </c>
      <c r="AE117">
        <f t="shared" si="17"/>
        <v>30</v>
      </c>
      <c r="AF117" s="12">
        <f>LCOE!E143+LCOE!G$40</f>
        <v>7.0000000000000007E-2</v>
      </c>
      <c r="AG117">
        <f t="shared" si="26"/>
        <v>24.045707018505745</v>
      </c>
      <c r="AH117" s="16">
        <f t="shared" si="21"/>
        <v>0</v>
      </c>
      <c r="AI117" s="16">
        <f t="shared" si="22"/>
        <v>0</v>
      </c>
      <c r="AJ117" s="16">
        <f t="shared" si="23"/>
        <v>0</v>
      </c>
      <c r="AK117" s="16">
        <f t="shared" si="24"/>
        <v>0</v>
      </c>
      <c r="AL117" s="16">
        <f t="shared" si="27"/>
        <v>0</v>
      </c>
      <c r="AM117" s="16">
        <f t="shared" si="14"/>
        <v>0</v>
      </c>
      <c r="AN117" s="16">
        <f>IF(LCOE!G$14&gt;0,G117,H117)/AG117</f>
        <v>0</v>
      </c>
    </row>
    <row r="118" spans="1:40">
      <c r="A118">
        <v>48</v>
      </c>
      <c r="C118" s="16">
        <f>LCOE!G144+IF(AND(LCOE!G$26&gt;0,A118&gt;=LCOE!G$26,A118&lt;=(LCOE!G$26+LCOE!G$27-1)),LCOE!G$42/LCOE!G$27,0)+IF(AND(D118=0,AE118&gt;=LCOE!G$16,COUNTIF(D93:D118,0)=LCOE!G$36),LCOE!G$35*LCOE!G$38,0)</f>
        <v>0</v>
      </c>
      <c r="D118" s="16">
        <f>IF(AE117&lt;LCOE!G$16,1,0)</f>
        <v>0</v>
      </c>
      <c r="E118" s="12">
        <f>LCOE!G144+IF(AND(A118&gt;=LCOE!G$26,A118&lt;=(LCOE!G$26+LCOE!G$27-1)),0,1)*IF(A118=LCOE!G$34,0,1)*D118</f>
        <v>0</v>
      </c>
      <c r="F118" s="12">
        <f>IF(F117&lt;LCOE!G$18,MIN(F117*(1+LCOE!G$19),LCOE!G$18),LCOE!G$18)+LCOE!J144</f>
        <v>0.9</v>
      </c>
      <c r="G118" s="16">
        <f>LCOE!K144+E118*F118*N118*(LCOE!G$14+LCOE!H144)*24*365*D118</f>
        <v>0</v>
      </c>
      <c r="H118" s="16">
        <f>LCOE!L144+F118*(LCOE!G$15+LCOE!I144)*E118*24*365*D118*N118</f>
        <v>0</v>
      </c>
      <c r="I118" s="16">
        <f>LCOE!M144+LCOE!G$20*IF(LCOE!G$14&gt;0,(LCOE!G$14+LCOE!H144),(LCOE!G$15+LCOE!I144))*K118*D118</f>
        <v>0</v>
      </c>
      <c r="J118" s="16">
        <f>LCOE!N144+LCOE!G$21*IF(LCOE!G$14&gt;0,G118,H118)*K118*D118</f>
        <v>0</v>
      </c>
      <c r="K118" s="15">
        <f>LCOE!O144+K117+K117*LCOE!G$22</f>
        <v>1</v>
      </c>
      <c r="L118" s="16">
        <f>LCOE!P144+LCOE!G$23*IF(LCOE!G$14&gt;0,G118,H118)*M118*D118</f>
        <v>0</v>
      </c>
      <c r="M118" s="15">
        <f>LCOE!Q144+M117+M117*LCOE!G$24</f>
        <v>1</v>
      </c>
      <c r="N118" s="15">
        <f>LCOE!R144+N117-N117*LCOE!G$25</f>
        <v>1</v>
      </c>
      <c r="O118" s="18">
        <f>LCOE!S144+LCOE!G$29</f>
        <v>313.75</v>
      </c>
      <c r="P118" s="12">
        <f>LCOE!T144+IF(A118&gt;=LCOE!G$30,100%,0%)</f>
        <v>1</v>
      </c>
      <c r="Q118" s="16">
        <f>LCOE!U144+O118/1000*IF(LCOE!G$14&gt;0,G118,H118)</f>
        <v>0</v>
      </c>
      <c r="R118" s="16">
        <f>LCOE!B144</f>
        <v>30</v>
      </c>
      <c r="S118" s="16">
        <f>LCOE!V144+Q118*P118*R118</f>
        <v>0</v>
      </c>
      <c r="T118" s="16">
        <f>LCOE!W144+LCOE!G$31</f>
        <v>0</v>
      </c>
      <c r="U118" s="16">
        <f>LCOE!X144+T118*IF(LCOE!G$14&gt;0,G118,H118)</f>
        <v>0</v>
      </c>
      <c r="V118" s="16">
        <f>LCOE!Y144+LCOE!G$32</f>
        <v>0</v>
      </c>
      <c r="W118" s="16">
        <f>LCOE!Z144+V118*IF(LCOE!G$14&gt;0,G118,H118)</f>
        <v>0</v>
      </c>
      <c r="X118" s="16">
        <f>LCOE!AA144+LCOE!G$34</f>
        <v>101</v>
      </c>
      <c r="Y118" s="16">
        <f t="shared" si="15"/>
        <v>0</v>
      </c>
      <c r="Z118" s="50">
        <f t="shared" si="18"/>
        <v>0</v>
      </c>
      <c r="AA118" s="50">
        <f t="shared" si="19"/>
        <v>0</v>
      </c>
      <c r="AB118" s="50">
        <f t="shared" si="20"/>
        <v>0</v>
      </c>
      <c r="AC118" s="50">
        <f t="shared" si="16"/>
        <v>0</v>
      </c>
      <c r="AD118" s="50">
        <f t="shared" si="25"/>
        <v>0</v>
      </c>
      <c r="AE118">
        <f t="shared" si="17"/>
        <v>30</v>
      </c>
      <c r="AF118" s="12">
        <f>LCOE!E144+LCOE!G$40</f>
        <v>7.0000000000000007E-2</v>
      </c>
      <c r="AG118">
        <f t="shared" si="26"/>
        <v>25.728906509801146</v>
      </c>
      <c r="AH118" s="16">
        <f t="shared" si="21"/>
        <v>0</v>
      </c>
      <c r="AI118" s="16">
        <f t="shared" si="22"/>
        <v>0</v>
      </c>
      <c r="AJ118" s="16">
        <f t="shared" si="23"/>
        <v>0</v>
      </c>
      <c r="AK118" s="16">
        <f t="shared" si="24"/>
        <v>0</v>
      </c>
      <c r="AL118" s="16">
        <f t="shared" si="27"/>
        <v>0</v>
      </c>
      <c r="AM118" s="16">
        <f t="shared" si="14"/>
        <v>0</v>
      </c>
      <c r="AN118" s="16">
        <f>IF(LCOE!G$14&gt;0,G118,H118)/AG118</f>
        <v>0</v>
      </c>
    </row>
    <row r="119" spans="1:40">
      <c r="A119">
        <v>49</v>
      </c>
      <c r="C119" s="16">
        <f>LCOE!G145+IF(AND(LCOE!G$26&gt;0,A119&gt;=LCOE!G$26,A119&lt;=(LCOE!G$26+LCOE!G$27-1)),LCOE!G$42/LCOE!G$27,0)+IF(AND(D119=0,AE119&gt;=LCOE!G$16,COUNTIF(D94:D119,0)=LCOE!G$36),LCOE!G$35*LCOE!G$38,0)</f>
        <v>0</v>
      </c>
      <c r="D119" s="16">
        <f>IF(AE118&lt;LCOE!G$16,1,0)</f>
        <v>0</v>
      </c>
      <c r="E119" s="12">
        <f>LCOE!G145+IF(AND(A119&gt;=LCOE!G$26,A119&lt;=(LCOE!G$26+LCOE!G$27-1)),0,1)*IF(A119=LCOE!G$34,0,1)*D119</f>
        <v>0</v>
      </c>
      <c r="F119" s="12">
        <f>IF(F118&lt;LCOE!G$18,MIN(F118*(1+LCOE!G$19),LCOE!G$18),LCOE!G$18)+LCOE!J145</f>
        <v>0.9</v>
      </c>
      <c r="G119" s="16">
        <f>LCOE!K145+E119*F119*N119*(LCOE!G$14+LCOE!H145)*24*365*D119</f>
        <v>0</v>
      </c>
      <c r="H119" s="16">
        <f>LCOE!L145+F119*(LCOE!G$15+LCOE!I145)*E119*24*365*D119*N119</f>
        <v>0</v>
      </c>
      <c r="I119" s="16">
        <f>LCOE!M145+LCOE!G$20*IF(LCOE!G$14&gt;0,(LCOE!G$14+LCOE!H145),(LCOE!G$15+LCOE!I145))*K119*D119</f>
        <v>0</v>
      </c>
      <c r="J119" s="16">
        <f>LCOE!N145+LCOE!G$21*IF(LCOE!G$14&gt;0,G119,H119)*K119*D119</f>
        <v>0</v>
      </c>
      <c r="K119" s="15">
        <f>LCOE!O145+K118+K118*LCOE!G$22</f>
        <v>1</v>
      </c>
      <c r="L119" s="16">
        <f>LCOE!P145+LCOE!G$23*IF(LCOE!G$14&gt;0,G119,H119)*M119*D119</f>
        <v>0</v>
      </c>
      <c r="M119" s="15">
        <f>LCOE!Q145+M118+M118*LCOE!G$24</f>
        <v>1</v>
      </c>
      <c r="N119" s="15">
        <f>LCOE!R145+N118-N118*LCOE!G$25</f>
        <v>1</v>
      </c>
      <c r="O119" s="18">
        <f>LCOE!S145+LCOE!G$29</f>
        <v>313.75</v>
      </c>
      <c r="P119" s="12">
        <f>LCOE!T145+IF(A119&gt;=LCOE!G$30,100%,0%)</f>
        <v>1</v>
      </c>
      <c r="Q119" s="16">
        <f>LCOE!U145+O119/1000*IF(LCOE!G$14&gt;0,G119,H119)</f>
        <v>0</v>
      </c>
      <c r="R119" s="16">
        <f>LCOE!B145</f>
        <v>30</v>
      </c>
      <c r="S119" s="16">
        <f>LCOE!V145+Q119*P119*R119</f>
        <v>0</v>
      </c>
      <c r="T119" s="16">
        <f>LCOE!W145+LCOE!G$31</f>
        <v>0</v>
      </c>
      <c r="U119" s="16">
        <f>LCOE!X145+T119*IF(LCOE!G$14&gt;0,G119,H119)</f>
        <v>0</v>
      </c>
      <c r="V119" s="16">
        <f>LCOE!Y145+LCOE!G$32</f>
        <v>0</v>
      </c>
      <c r="W119" s="16">
        <f>LCOE!Z145+V119*IF(LCOE!G$14&gt;0,G119,H119)</f>
        <v>0</v>
      </c>
      <c r="X119" s="16">
        <f>LCOE!AA145+LCOE!G$34</f>
        <v>101</v>
      </c>
      <c r="Y119" s="16">
        <f t="shared" si="15"/>
        <v>0</v>
      </c>
      <c r="Z119" s="50">
        <f t="shared" si="18"/>
        <v>0</v>
      </c>
      <c r="AA119" s="50">
        <f t="shared" si="19"/>
        <v>0</v>
      </c>
      <c r="AB119" s="50">
        <f t="shared" si="20"/>
        <v>0</v>
      </c>
      <c r="AC119" s="50">
        <f t="shared" si="16"/>
        <v>0</v>
      </c>
      <c r="AD119" s="50">
        <f t="shared" si="25"/>
        <v>0</v>
      </c>
      <c r="AE119">
        <f t="shared" si="17"/>
        <v>30</v>
      </c>
      <c r="AF119" s="12">
        <f>LCOE!E145+LCOE!G$40</f>
        <v>7.0000000000000007E-2</v>
      </c>
      <c r="AG119">
        <f t="shared" si="26"/>
        <v>27.529929965487224</v>
      </c>
      <c r="AH119" s="16">
        <f t="shared" si="21"/>
        <v>0</v>
      </c>
      <c r="AI119" s="16">
        <f t="shared" si="22"/>
        <v>0</v>
      </c>
      <c r="AJ119" s="16">
        <f t="shared" si="23"/>
        <v>0</v>
      </c>
      <c r="AK119" s="16">
        <f t="shared" si="24"/>
        <v>0</v>
      </c>
      <c r="AL119" s="16">
        <f t="shared" si="27"/>
        <v>0</v>
      </c>
      <c r="AM119" s="16">
        <f t="shared" si="14"/>
        <v>0</v>
      </c>
      <c r="AN119" s="16">
        <f>IF(LCOE!G$14&gt;0,G119,H119)/AG119</f>
        <v>0</v>
      </c>
    </row>
    <row r="120" spans="1:40">
      <c r="A120">
        <v>50</v>
      </c>
      <c r="C120" s="16">
        <f>LCOE!G146+IF(AND(LCOE!G$26&gt;0,A120&gt;=LCOE!G$26,A120&lt;=(LCOE!G$26+LCOE!G$27-1)),LCOE!G$42/LCOE!G$27,0)+IF(AND(D120=0,AE120&gt;=LCOE!G$16,COUNTIF(D95:D120,0)=LCOE!G$36),LCOE!G$35*LCOE!G$38,0)</f>
        <v>0</v>
      </c>
      <c r="D120" s="16">
        <f>IF(AE119&lt;LCOE!G$16,1,0)</f>
        <v>0</v>
      </c>
      <c r="E120" s="12">
        <f>LCOE!G146+IF(AND(A120&gt;=LCOE!G$26,A120&lt;=(LCOE!G$26+LCOE!G$27-1)),0,1)*IF(A120=LCOE!G$34,0,1)*D120</f>
        <v>0</v>
      </c>
      <c r="F120" s="12">
        <f>IF(F119&lt;LCOE!G$18,MIN(F119*(1+LCOE!G$19),LCOE!G$18),LCOE!G$18)+LCOE!J146</f>
        <v>0.9</v>
      </c>
      <c r="G120" s="16">
        <f>LCOE!K146+E120*F120*N120*(LCOE!G$14+LCOE!H146)*24*365*D120</f>
        <v>0</v>
      </c>
      <c r="H120" s="16">
        <f>LCOE!L146+F120*(LCOE!G$15+LCOE!I146)*E120*24*365*D120*N120</f>
        <v>0</v>
      </c>
      <c r="I120" s="16">
        <f>LCOE!M146+LCOE!G$20*IF(LCOE!G$14&gt;0,(LCOE!G$14+LCOE!H146),(LCOE!G$15+LCOE!I146))*K120*D120</f>
        <v>0</v>
      </c>
      <c r="J120" s="16">
        <f>LCOE!N146+LCOE!G$21*IF(LCOE!G$14&gt;0,G120,H120)*K120*D120</f>
        <v>0</v>
      </c>
      <c r="K120" s="15">
        <f>LCOE!O146+K119+K119*LCOE!G$22</f>
        <v>1</v>
      </c>
      <c r="L120" s="16">
        <f>LCOE!P146+LCOE!G$23*IF(LCOE!G$14&gt;0,G120,H120)*M120*D120</f>
        <v>0</v>
      </c>
      <c r="M120" s="15">
        <f>LCOE!Q146+M119+M119*LCOE!G$24</f>
        <v>1</v>
      </c>
      <c r="N120" s="15">
        <f>LCOE!R146+N119-N119*LCOE!G$25</f>
        <v>1</v>
      </c>
      <c r="O120" s="18">
        <f>LCOE!S146+LCOE!G$29</f>
        <v>313.75</v>
      </c>
      <c r="P120" s="12">
        <f>LCOE!T146+IF(A120&gt;=LCOE!G$30,100%,0%)</f>
        <v>1</v>
      </c>
      <c r="Q120" s="16">
        <f>LCOE!U146+O120/1000*IF(LCOE!G$14&gt;0,G120,H120)</f>
        <v>0</v>
      </c>
      <c r="R120" s="16">
        <f>LCOE!B146</f>
        <v>30</v>
      </c>
      <c r="S120" s="16">
        <f>LCOE!V146+Q120*P120*R120</f>
        <v>0</v>
      </c>
      <c r="T120" s="16">
        <f>LCOE!W146+LCOE!G$31</f>
        <v>0</v>
      </c>
      <c r="U120" s="16">
        <f>LCOE!X146+T120*IF(LCOE!G$14&gt;0,G120,H120)</f>
        <v>0</v>
      </c>
      <c r="V120" s="16">
        <f>LCOE!Y146+LCOE!G$32</f>
        <v>0</v>
      </c>
      <c r="W120" s="16">
        <f>LCOE!Z146+V120*IF(LCOE!G$14&gt;0,G120,H120)</f>
        <v>0</v>
      </c>
      <c r="X120" s="16">
        <f>LCOE!AA146+LCOE!G$34</f>
        <v>101</v>
      </c>
      <c r="Y120" s="16">
        <f t="shared" si="15"/>
        <v>0</v>
      </c>
      <c r="Z120" s="50">
        <f t="shared" si="18"/>
        <v>0</v>
      </c>
      <c r="AA120" s="50">
        <f t="shared" si="19"/>
        <v>0</v>
      </c>
      <c r="AB120" s="50">
        <f t="shared" si="20"/>
        <v>0</v>
      </c>
      <c r="AC120" s="50">
        <f t="shared" si="16"/>
        <v>0</v>
      </c>
      <c r="AD120" s="50">
        <f t="shared" si="25"/>
        <v>0</v>
      </c>
      <c r="AE120">
        <f t="shared" si="17"/>
        <v>30</v>
      </c>
      <c r="AF120" s="12">
        <f>LCOE!E146+LCOE!G$40</f>
        <v>7.0000000000000007E-2</v>
      </c>
      <c r="AG120">
        <f t="shared" si="26"/>
        <v>29.457025063071331</v>
      </c>
      <c r="AH120" s="16">
        <f t="shared" si="21"/>
        <v>0</v>
      </c>
      <c r="AI120" s="16">
        <f t="shared" si="22"/>
        <v>0</v>
      </c>
      <c r="AJ120" s="16">
        <f t="shared" si="23"/>
        <v>0</v>
      </c>
      <c r="AK120" s="16">
        <f t="shared" si="24"/>
        <v>0</v>
      </c>
      <c r="AL120" s="16">
        <f t="shared" si="27"/>
        <v>0</v>
      </c>
      <c r="AM120" s="16">
        <f t="shared" si="14"/>
        <v>0</v>
      </c>
      <c r="AN120" s="16">
        <f>IF(LCOE!G$14&gt;0,G120,H120)/AG120</f>
        <v>0</v>
      </c>
    </row>
    <row r="121" spans="1:40">
      <c r="A121">
        <v>51</v>
      </c>
      <c r="C121" s="16">
        <f>LCOE!G147+IF(AND(LCOE!G$26&gt;0,A121&gt;=LCOE!G$26,A121&lt;=(LCOE!G$26+LCOE!G$27-1)),LCOE!G$42/LCOE!G$27,0)+IF(AND(D121=0,AE121&gt;=LCOE!G$16,COUNTIF(D96:D121,0)=LCOE!G$36),LCOE!G$35*LCOE!G$38,0)</f>
        <v>0</v>
      </c>
      <c r="D121" s="16">
        <f>IF(AE120&lt;LCOE!G$16,1,0)</f>
        <v>0</v>
      </c>
      <c r="E121" s="12">
        <f>LCOE!G147+IF(AND(A121&gt;=LCOE!G$26,A121&lt;=(LCOE!G$26+LCOE!G$27-1)),0,1)*IF(A121=LCOE!G$34,0,1)*D121</f>
        <v>0</v>
      </c>
      <c r="F121" s="12">
        <f>IF(F120&lt;LCOE!G$18,MIN(F120*(1+LCOE!G$19),LCOE!G$18),LCOE!G$18)+LCOE!J147</f>
        <v>0.9</v>
      </c>
      <c r="G121" s="16">
        <f>LCOE!K147+E121*F121*N121*(LCOE!G$14+LCOE!H147)*24*365*D121</f>
        <v>0</v>
      </c>
      <c r="H121" s="16">
        <f>LCOE!L147+F121*(LCOE!G$15+LCOE!I147)*E121*24*365*D121*N121</f>
        <v>0</v>
      </c>
      <c r="I121" s="16">
        <f>LCOE!M147+LCOE!G$20*IF(LCOE!G$14&gt;0,(LCOE!G$14+LCOE!H147),(LCOE!G$15+LCOE!I147))*K121*D121</f>
        <v>0</v>
      </c>
      <c r="J121" s="16">
        <f>LCOE!N147+LCOE!G$21*IF(LCOE!G$14&gt;0,G121,H121)*K121*D121</f>
        <v>0</v>
      </c>
      <c r="K121" s="15">
        <f>LCOE!O147+K120+K120*LCOE!G$22</f>
        <v>1</v>
      </c>
      <c r="L121" s="16">
        <f>LCOE!P147+LCOE!G$23*IF(LCOE!G$14&gt;0,G121,H121)*M121*D121</f>
        <v>0</v>
      </c>
      <c r="M121" s="15">
        <f>LCOE!Q147+M120+M120*LCOE!G$24</f>
        <v>1</v>
      </c>
      <c r="N121" s="15">
        <f>LCOE!R147+N120-N120*LCOE!G$25</f>
        <v>1</v>
      </c>
      <c r="O121" s="18">
        <f>LCOE!S147+LCOE!G$29</f>
        <v>313.75</v>
      </c>
      <c r="P121" s="12">
        <f>LCOE!T147+IF(A121&gt;=LCOE!G$30,100%,0%)</f>
        <v>1</v>
      </c>
      <c r="Q121" s="16">
        <f>LCOE!U147+O121/1000*IF(LCOE!G$14&gt;0,G121,H121)</f>
        <v>0</v>
      </c>
      <c r="R121" s="16">
        <f>LCOE!B147</f>
        <v>30</v>
      </c>
      <c r="S121" s="16">
        <f>LCOE!V147+Q121*P121*R121</f>
        <v>0</v>
      </c>
      <c r="T121" s="16">
        <f>LCOE!W147+LCOE!G$31</f>
        <v>0</v>
      </c>
      <c r="U121" s="16">
        <f>LCOE!X147+T121*IF(LCOE!G$14&gt;0,G121,H121)</f>
        <v>0</v>
      </c>
      <c r="V121" s="16">
        <f>LCOE!Y147+LCOE!G$32</f>
        <v>0</v>
      </c>
      <c r="W121" s="16">
        <f>LCOE!Z147+V121*IF(LCOE!G$14&gt;0,G121,H121)</f>
        <v>0</v>
      </c>
      <c r="X121" s="16">
        <f>LCOE!AA147+LCOE!G$34</f>
        <v>101</v>
      </c>
      <c r="Y121" s="16">
        <f t="shared" si="15"/>
        <v>0</v>
      </c>
      <c r="Z121" s="50">
        <f t="shared" si="18"/>
        <v>0</v>
      </c>
      <c r="AA121" s="50">
        <f t="shared" si="19"/>
        <v>0</v>
      </c>
      <c r="AB121" s="50">
        <f t="shared" si="20"/>
        <v>0</v>
      </c>
      <c r="AC121" s="50">
        <f t="shared" si="16"/>
        <v>0</v>
      </c>
      <c r="AD121" s="50">
        <f t="shared" si="25"/>
        <v>0</v>
      </c>
      <c r="AE121">
        <f t="shared" si="17"/>
        <v>30</v>
      </c>
      <c r="AF121" s="12">
        <f>LCOE!E147+LCOE!G$40</f>
        <v>7.0000000000000007E-2</v>
      </c>
      <c r="AG121">
        <f t="shared" si="26"/>
        <v>31.519016817486328</v>
      </c>
      <c r="AH121" s="16">
        <f t="shared" si="21"/>
        <v>0</v>
      </c>
      <c r="AI121" s="16">
        <f t="shared" si="22"/>
        <v>0</v>
      </c>
      <c r="AJ121" s="16">
        <f t="shared" si="23"/>
        <v>0</v>
      </c>
      <c r="AK121" s="16">
        <f t="shared" si="24"/>
        <v>0</v>
      </c>
      <c r="AL121" s="16">
        <f t="shared" si="27"/>
        <v>0</v>
      </c>
      <c r="AM121" s="16">
        <f t="shared" si="14"/>
        <v>0</v>
      </c>
      <c r="AN121" s="16">
        <f>IF(LCOE!G$14&gt;0,G121,H121)/AG121</f>
        <v>0</v>
      </c>
    </row>
    <row r="122" spans="1:40">
      <c r="A122">
        <v>52</v>
      </c>
      <c r="C122" s="16">
        <f>LCOE!G148+IF(AND(LCOE!G$26&gt;0,A122&gt;=LCOE!G$26,A122&lt;=(LCOE!G$26+LCOE!G$27-1)),LCOE!G$42/LCOE!G$27,0)+IF(AND(D122=0,AE122&gt;=LCOE!G$16,COUNTIF(D97:D122,0)=LCOE!G$36),LCOE!G$35*LCOE!G$38,0)</f>
        <v>0</v>
      </c>
      <c r="D122" s="16">
        <f>IF(AE121&lt;LCOE!G$16,1,0)</f>
        <v>0</v>
      </c>
      <c r="E122" s="12">
        <f>LCOE!G148+IF(AND(A122&gt;=LCOE!G$26,A122&lt;=(LCOE!G$26+LCOE!G$27-1)),0,1)*IF(A122=LCOE!G$34,0,1)*D122</f>
        <v>0</v>
      </c>
      <c r="F122" s="12">
        <f>IF(F121&lt;LCOE!G$18,MIN(F121*(1+LCOE!G$19),LCOE!G$18),LCOE!G$18)+LCOE!J148</f>
        <v>0.9</v>
      </c>
      <c r="G122" s="16">
        <f>LCOE!K148+E122*F122*N122*(LCOE!G$14+LCOE!H148)*24*365*D122</f>
        <v>0</v>
      </c>
      <c r="H122" s="16">
        <f>LCOE!L148+F122*(LCOE!G$15+LCOE!I148)*E122*24*365*D122*N122</f>
        <v>0</v>
      </c>
      <c r="I122" s="16">
        <f>LCOE!M148+LCOE!G$20*IF(LCOE!G$14&gt;0,(LCOE!G$14+LCOE!H148),(LCOE!G$15+LCOE!I148))*K122*D122</f>
        <v>0</v>
      </c>
      <c r="J122" s="16">
        <f>LCOE!N148+LCOE!G$21*IF(LCOE!G$14&gt;0,G122,H122)*K122*D122</f>
        <v>0</v>
      </c>
      <c r="K122" s="15">
        <f>LCOE!O148+K121+K121*LCOE!G$22</f>
        <v>1</v>
      </c>
      <c r="L122" s="16">
        <f>LCOE!P148+LCOE!G$23*IF(LCOE!G$14&gt;0,G122,H122)*M122*D122</f>
        <v>0</v>
      </c>
      <c r="M122" s="15">
        <f>LCOE!Q148+M121+M121*LCOE!G$24</f>
        <v>1</v>
      </c>
      <c r="N122" s="15">
        <f>LCOE!R148+N121-N121*LCOE!G$25</f>
        <v>1</v>
      </c>
      <c r="O122" s="18">
        <f>LCOE!S148+LCOE!G$29</f>
        <v>313.75</v>
      </c>
      <c r="P122" s="12">
        <f>LCOE!T148+IF(A122&gt;=LCOE!G$30,100%,0%)</f>
        <v>1</v>
      </c>
      <c r="Q122" s="16">
        <f>LCOE!U148+O122/1000*IF(LCOE!G$14&gt;0,G122,H122)</f>
        <v>0</v>
      </c>
      <c r="R122" s="16">
        <f>LCOE!B148</f>
        <v>30</v>
      </c>
      <c r="S122" s="16">
        <f>LCOE!V148+Q122*P122*R122</f>
        <v>0</v>
      </c>
      <c r="T122" s="16">
        <f>LCOE!W148+LCOE!G$31</f>
        <v>0</v>
      </c>
      <c r="U122" s="16">
        <f>LCOE!X148+T122*IF(LCOE!G$14&gt;0,G122,H122)</f>
        <v>0</v>
      </c>
      <c r="V122" s="16">
        <f>LCOE!Y148+LCOE!G$32</f>
        <v>0</v>
      </c>
      <c r="W122" s="16">
        <f>LCOE!Z148+V122*IF(LCOE!G$14&gt;0,G122,H122)</f>
        <v>0</v>
      </c>
      <c r="X122" s="16">
        <f>LCOE!AA148+LCOE!G$34</f>
        <v>101</v>
      </c>
      <c r="Y122" s="16">
        <f t="shared" si="15"/>
        <v>0</v>
      </c>
      <c r="Z122" s="50">
        <f t="shared" si="18"/>
        <v>0</v>
      </c>
      <c r="AA122" s="50">
        <f t="shared" si="19"/>
        <v>0</v>
      </c>
      <c r="AB122" s="50">
        <f t="shared" si="20"/>
        <v>0</v>
      </c>
      <c r="AC122" s="50">
        <f t="shared" si="16"/>
        <v>0</v>
      </c>
      <c r="AD122" s="50">
        <f t="shared" si="25"/>
        <v>0</v>
      </c>
      <c r="AE122">
        <f t="shared" si="17"/>
        <v>30</v>
      </c>
      <c r="AF122" s="12">
        <f>LCOE!E148+LCOE!G$40</f>
        <v>7.0000000000000007E-2</v>
      </c>
      <c r="AG122">
        <f t="shared" si="26"/>
        <v>33.725347994710368</v>
      </c>
      <c r="AH122" s="16">
        <f t="shared" si="21"/>
        <v>0</v>
      </c>
      <c r="AI122" s="16">
        <f t="shared" si="22"/>
        <v>0</v>
      </c>
      <c r="AJ122" s="16">
        <f t="shared" si="23"/>
        <v>0</v>
      </c>
      <c r="AK122" s="16">
        <f t="shared" si="24"/>
        <v>0</v>
      </c>
      <c r="AL122" s="16">
        <f t="shared" si="27"/>
        <v>0</v>
      </c>
      <c r="AM122" s="16">
        <f t="shared" si="14"/>
        <v>0</v>
      </c>
      <c r="AN122" s="16">
        <f>IF(LCOE!G$14&gt;0,G122,H122)/AG122</f>
        <v>0</v>
      </c>
    </row>
    <row r="123" spans="1:40">
      <c r="A123">
        <v>53</v>
      </c>
      <c r="C123" s="16">
        <f>LCOE!G149+IF(AND(LCOE!G$26&gt;0,A123&gt;=LCOE!G$26,A123&lt;=(LCOE!G$26+LCOE!G$27-1)),LCOE!G$42/LCOE!G$27,0)+IF(AND(D123=0,AE123&gt;=LCOE!G$16,COUNTIF(D98:D123,0)=LCOE!G$36),LCOE!G$35*LCOE!G$38,0)</f>
        <v>0</v>
      </c>
      <c r="D123" s="16">
        <f>IF(AE122&lt;LCOE!G$16,1,0)</f>
        <v>0</v>
      </c>
      <c r="E123" s="12">
        <f>LCOE!G149+IF(AND(A123&gt;=LCOE!G$26,A123&lt;=(LCOE!G$26+LCOE!G$27-1)),0,1)*IF(A123=LCOE!G$34,0,1)*D123</f>
        <v>0</v>
      </c>
      <c r="F123" s="12">
        <f>IF(F122&lt;LCOE!G$18,MIN(F122*(1+LCOE!G$19),LCOE!G$18),LCOE!G$18)+LCOE!J149</f>
        <v>0.9</v>
      </c>
      <c r="G123" s="16">
        <f>LCOE!K149+E123*F123*N123*(LCOE!G$14+LCOE!H149)*24*365*D123</f>
        <v>0</v>
      </c>
      <c r="H123" s="16">
        <f>LCOE!L149+F123*(LCOE!G$15+LCOE!I149)*E123*24*365*D123*N123</f>
        <v>0</v>
      </c>
      <c r="I123" s="16">
        <f>LCOE!M149+LCOE!G$20*IF(LCOE!G$14&gt;0,(LCOE!G$14+LCOE!H149),(LCOE!G$15+LCOE!I149))*K123*D123</f>
        <v>0</v>
      </c>
      <c r="J123" s="16">
        <f>LCOE!N149+LCOE!G$21*IF(LCOE!G$14&gt;0,G123,H123)*K123*D123</f>
        <v>0</v>
      </c>
      <c r="K123" s="15">
        <f>LCOE!O149+K122+K122*LCOE!G$22</f>
        <v>1</v>
      </c>
      <c r="L123" s="16">
        <f>LCOE!P149+LCOE!G$23*IF(LCOE!G$14&gt;0,G123,H123)*M123*D123</f>
        <v>0</v>
      </c>
      <c r="M123" s="15">
        <f>LCOE!Q149+M122+M122*LCOE!G$24</f>
        <v>1</v>
      </c>
      <c r="N123" s="15">
        <f>LCOE!R149+N122-N122*LCOE!G$25</f>
        <v>1</v>
      </c>
      <c r="O123" s="18">
        <f>LCOE!S149+LCOE!G$29</f>
        <v>313.75</v>
      </c>
      <c r="P123" s="12">
        <f>LCOE!T149+IF(A123&gt;=LCOE!G$30,100%,0%)</f>
        <v>1</v>
      </c>
      <c r="Q123" s="16">
        <f>LCOE!U149+O123/1000*IF(LCOE!G$14&gt;0,G123,H123)</f>
        <v>0</v>
      </c>
      <c r="R123" s="16">
        <f>LCOE!B149</f>
        <v>30</v>
      </c>
      <c r="S123" s="16">
        <f>LCOE!V149+Q123*P123*R123</f>
        <v>0</v>
      </c>
      <c r="T123" s="16">
        <f>LCOE!W149+LCOE!G$31</f>
        <v>0</v>
      </c>
      <c r="U123" s="16">
        <f>LCOE!X149+T123*IF(LCOE!G$14&gt;0,G123,H123)</f>
        <v>0</v>
      </c>
      <c r="V123" s="16">
        <f>LCOE!Y149+LCOE!G$32</f>
        <v>0</v>
      </c>
      <c r="W123" s="16">
        <f>LCOE!Z149+V123*IF(LCOE!G$14&gt;0,G123,H123)</f>
        <v>0</v>
      </c>
      <c r="X123" s="16">
        <f>LCOE!AA149+LCOE!G$34</f>
        <v>101</v>
      </c>
      <c r="Y123" s="16">
        <f t="shared" si="15"/>
        <v>0</v>
      </c>
      <c r="Z123" s="50">
        <f t="shared" si="18"/>
        <v>0</v>
      </c>
      <c r="AA123" s="50">
        <f t="shared" si="19"/>
        <v>0</v>
      </c>
      <c r="AB123" s="50">
        <f t="shared" si="20"/>
        <v>0</v>
      </c>
      <c r="AC123" s="50">
        <f t="shared" si="16"/>
        <v>0</v>
      </c>
      <c r="AD123" s="50">
        <f t="shared" si="25"/>
        <v>0</v>
      </c>
      <c r="AE123">
        <f t="shared" si="17"/>
        <v>30</v>
      </c>
      <c r="AF123" s="12">
        <f>LCOE!E149+LCOE!G$40</f>
        <v>7.0000000000000007E-2</v>
      </c>
      <c r="AG123">
        <f t="shared" si="26"/>
        <v>36.086122354340098</v>
      </c>
      <c r="AH123" s="16">
        <f t="shared" si="21"/>
        <v>0</v>
      </c>
      <c r="AI123" s="16">
        <f t="shared" si="22"/>
        <v>0</v>
      </c>
      <c r="AJ123" s="16">
        <f t="shared" si="23"/>
        <v>0</v>
      </c>
      <c r="AK123" s="16">
        <f t="shared" si="24"/>
        <v>0</v>
      </c>
      <c r="AL123" s="16">
        <f t="shared" si="27"/>
        <v>0</v>
      </c>
      <c r="AM123" s="16">
        <f t="shared" si="14"/>
        <v>0</v>
      </c>
      <c r="AN123" s="16">
        <f>IF(LCOE!G$14&gt;0,G123,H123)/AG123</f>
        <v>0</v>
      </c>
    </row>
    <row r="124" spans="1:40">
      <c r="A124">
        <v>54</v>
      </c>
      <c r="C124" s="16">
        <f>LCOE!G150+IF(AND(LCOE!G$26&gt;0,A124&gt;=LCOE!G$26,A124&lt;=(LCOE!G$26+LCOE!G$27-1)),LCOE!G$42/LCOE!G$27,0)+IF(AND(D124=0,AE124&gt;=LCOE!G$16,COUNTIF(D99:D124,0)=LCOE!G$36),LCOE!G$35*LCOE!G$38,0)</f>
        <v>0</v>
      </c>
      <c r="D124" s="16">
        <f>IF(AE123&lt;LCOE!G$16,1,0)</f>
        <v>0</v>
      </c>
      <c r="E124" s="12">
        <f>LCOE!G150+IF(AND(A124&gt;=LCOE!G$26,A124&lt;=(LCOE!G$26+LCOE!G$27-1)),0,1)*IF(A124=LCOE!G$34,0,1)*D124</f>
        <v>0</v>
      </c>
      <c r="F124" s="12">
        <f>IF(F123&lt;LCOE!G$18,MIN(F123*(1+LCOE!G$19),LCOE!G$18),LCOE!G$18)+LCOE!J150</f>
        <v>0.9</v>
      </c>
      <c r="G124" s="16">
        <f>LCOE!K150+E124*F124*N124*(LCOE!G$14+LCOE!H150)*24*365*D124</f>
        <v>0</v>
      </c>
      <c r="H124" s="16">
        <f>LCOE!L150+F124*(LCOE!G$15+LCOE!I150)*E124*24*365*D124*N124</f>
        <v>0</v>
      </c>
      <c r="I124" s="16">
        <f>LCOE!M150+LCOE!G$20*IF(LCOE!G$14&gt;0,(LCOE!G$14+LCOE!H150),(LCOE!G$15+LCOE!I150))*K124*D124</f>
        <v>0</v>
      </c>
      <c r="J124" s="16">
        <f>LCOE!N150+LCOE!G$21*IF(LCOE!G$14&gt;0,G124,H124)*K124*D124</f>
        <v>0</v>
      </c>
      <c r="K124" s="15">
        <f>LCOE!O150+K123+K123*LCOE!G$22</f>
        <v>1</v>
      </c>
      <c r="L124" s="16">
        <f>LCOE!P150+LCOE!G$23*IF(LCOE!G$14&gt;0,G124,H124)*M124*D124</f>
        <v>0</v>
      </c>
      <c r="M124" s="15">
        <f>LCOE!Q150+M123+M123*LCOE!G$24</f>
        <v>1</v>
      </c>
      <c r="N124" s="15">
        <f>LCOE!R150+N123-N123*LCOE!G$25</f>
        <v>1</v>
      </c>
      <c r="O124" s="18">
        <f>LCOE!S150+LCOE!G$29</f>
        <v>313.75</v>
      </c>
      <c r="P124" s="12">
        <f>LCOE!T150+IF(A124&gt;=LCOE!G$30,100%,0%)</f>
        <v>1</v>
      </c>
      <c r="Q124" s="16">
        <f>LCOE!U150+O124/1000*IF(LCOE!G$14&gt;0,G124,H124)</f>
        <v>0</v>
      </c>
      <c r="R124" s="16">
        <f>LCOE!B150</f>
        <v>30</v>
      </c>
      <c r="S124" s="16">
        <f>LCOE!V150+Q124*P124*R124</f>
        <v>0</v>
      </c>
      <c r="T124" s="16">
        <f>LCOE!W150+LCOE!G$31</f>
        <v>0</v>
      </c>
      <c r="U124" s="16">
        <f>LCOE!X150+T124*IF(LCOE!G$14&gt;0,G124,H124)</f>
        <v>0</v>
      </c>
      <c r="V124" s="16">
        <f>LCOE!Y150+LCOE!G$32</f>
        <v>0</v>
      </c>
      <c r="W124" s="16">
        <f>LCOE!Z150+V124*IF(LCOE!G$14&gt;0,G124,H124)</f>
        <v>0</v>
      </c>
      <c r="X124" s="16">
        <f>LCOE!AA150+LCOE!G$34</f>
        <v>101</v>
      </c>
      <c r="Y124" s="16">
        <f t="shared" si="15"/>
        <v>0</v>
      </c>
      <c r="Z124" s="50">
        <f t="shared" si="18"/>
        <v>0</v>
      </c>
      <c r="AA124" s="50">
        <f t="shared" si="19"/>
        <v>0</v>
      </c>
      <c r="AB124" s="50">
        <f t="shared" si="20"/>
        <v>0</v>
      </c>
      <c r="AC124" s="50">
        <f t="shared" si="16"/>
        <v>0</v>
      </c>
      <c r="AD124" s="50">
        <f t="shared" si="25"/>
        <v>0</v>
      </c>
      <c r="AE124">
        <f t="shared" si="17"/>
        <v>30</v>
      </c>
      <c r="AF124" s="12">
        <f>LCOE!E150+LCOE!G$40</f>
        <v>7.0000000000000007E-2</v>
      </c>
      <c r="AG124">
        <f t="shared" si="26"/>
        <v>38.6121509191439</v>
      </c>
      <c r="AH124" s="16">
        <f t="shared" si="21"/>
        <v>0</v>
      </c>
      <c r="AI124" s="16">
        <f t="shared" si="22"/>
        <v>0</v>
      </c>
      <c r="AJ124" s="16">
        <f t="shared" si="23"/>
        <v>0</v>
      </c>
      <c r="AK124" s="16">
        <f t="shared" si="24"/>
        <v>0</v>
      </c>
      <c r="AL124" s="16">
        <f t="shared" si="27"/>
        <v>0</v>
      </c>
      <c r="AM124" s="16">
        <f t="shared" si="14"/>
        <v>0</v>
      </c>
      <c r="AN124" s="16">
        <f>IF(LCOE!G$14&gt;0,G124,H124)/AG124</f>
        <v>0</v>
      </c>
    </row>
    <row r="125" spans="1:40">
      <c r="A125">
        <v>55</v>
      </c>
      <c r="C125" s="16">
        <f>LCOE!G151+IF(AND(LCOE!G$26&gt;0,A125&gt;=LCOE!G$26,A125&lt;=(LCOE!G$26+LCOE!G$27-1)),LCOE!G$42/LCOE!G$27,0)+IF(AND(D125=0,AE125&gt;=LCOE!G$16,COUNTIF(D100:D125,0)=LCOE!G$36),LCOE!G$35*LCOE!G$38,0)</f>
        <v>0</v>
      </c>
      <c r="D125" s="16">
        <f>IF(AE124&lt;LCOE!G$16,1,0)</f>
        <v>0</v>
      </c>
      <c r="E125" s="12">
        <f>LCOE!G151+IF(AND(A125&gt;=LCOE!G$26,A125&lt;=(LCOE!G$26+LCOE!G$27-1)),0,1)*IF(A125=LCOE!G$34,0,1)*D125</f>
        <v>0</v>
      </c>
      <c r="F125" s="12">
        <f>IF(F124&lt;LCOE!G$18,MIN(F124*(1+LCOE!G$19),LCOE!G$18),LCOE!G$18)+LCOE!J151</f>
        <v>0.9</v>
      </c>
      <c r="G125" s="16">
        <f>LCOE!K151+E125*F125*N125*(LCOE!G$14+LCOE!H151)*24*365*D125</f>
        <v>0</v>
      </c>
      <c r="H125" s="16">
        <f>LCOE!L151+F125*(LCOE!G$15+LCOE!I151)*E125*24*365*D125*N125</f>
        <v>0</v>
      </c>
      <c r="I125" s="16">
        <f>LCOE!M151+LCOE!G$20*IF(LCOE!G$14&gt;0,(LCOE!G$14+LCOE!H151),(LCOE!G$15+LCOE!I151))*K125*D125</f>
        <v>0</v>
      </c>
      <c r="J125" s="16">
        <f>LCOE!N151+LCOE!G$21*IF(LCOE!G$14&gt;0,G125,H125)*K125*D125</f>
        <v>0</v>
      </c>
      <c r="K125" s="15">
        <f>LCOE!O151+K124+K124*LCOE!G$22</f>
        <v>1</v>
      </c>
      <c r="L125" s="16">
        <f>LCOE!P151+LCOE!G$23*IF(LCOE!G$14&gt;0,G125,H125)*M125*D125</f>
        <v>0</v>
      </c>
      <c r="M125" s="15">
        <f>LCOE!Q151+M124+M124*LCOE!G$24</f>
        <v>1</v>
      </c>
      <c r="N125" s="15">
        <f>LCOE!R151+N124-N124*LCOE!G$25</f>
        <v>1</v>
      </c>
      <c r="O125" s="18">
        <f>LCOE!S151+LCOE!G$29</f>
        <v>313.75</v>
      </c>
      <c r="P125" s="12">
        <f>LCOE!T151+IF(A125&gt;=LCOE!G$30,100%,0%)</f>
        <v>1</v>
      </c>
      <c r="Q125" s="16">
        <f>LCOE!U151+O125/1000*IF(LCOE!G$14&gt;0,G125,H125)</f>
        <v>0</v>
      </c>
      <c r="R125" s="16">
        <f>LCOE!B151</f>
        <v>30</v>
      </c>
      <c r="S125" s="16">
        <f>LCOE!V151+Q125*P125*R125</f>
        <v>0</v>
      </c>
      <c r="T125" s="16">
        <f>LCOE!W151+LCOE!G$31</f>
        <v>0</v>
      </c>
      <c r="U125" s="16">
        <f>LCOE!X151+T125*IF(LCOE!G$14&gt;0,G125,H125)</f>
        <v>0</v>
      </c>
      <c r="V125" s="16">
        <f>LCOE!Y151+LCOE!G$32</f>
        <v>0</v>
      </c>
      <c r="W125" s="16">
        <f>LCOE!Z151+V125*IF(LCOE!G$14&gt;0,G125,H125)</f>
        <v>0</v>
      </c>
      <c r="X125" s="16">
        <f>LCOE!AA151+LCOE!G$34</f>
        <v>101</v>
      </c>
      <c r="Y125" s="16">
        <f t="shared" si="15"/>
        <v>0</v>
      </c>
      <c r="Z125" s="50">
        <f t="shared" si="18"/>
        <v>0</v>
      </c>
      <c r="AA125" s="50">
        <f t="shared" si="19"/>
        <v>0</v>
      </c>
      <c r="AB125" s="50">
        <f t="shared" si="20"/>
        <v>0</v>
      </c>
      <c r="AC125" s="50">
        <f t="shared" si="16"/>
        <v>0</v>
      </c>
      <c r="AD125" s="50">
        <f t="shared" si="25"/>
        <v>0</v>
      </c>
      <c r="AE125">
        <f t="shared" si="17"/>
        <v>30</v>
      </c>
      <c r="AF125" s="12">
        <f>LCOE!E151+LCOE!G$40</f>
        <v>7.0000000000000007E-2</v>
      </c>
      <c r="AG125">
        <f t="shared" si="26"/>
        <v>41.315001483483975</v>
      </c>
      <c r="AH125" s="16">
        <f t="shared" si="21"/>
        <v>0</v>
      </c>
      <c r="AI125" s="16">
        <f t="shared" si="22"/>
        <v>0</v>
      </c>
      <c r="AJ125" s="16">
        <f t="shared" si="23"/>
        <v>0</v>
      </c>
      <c r="AK125" s="16">
        <f t="shared" si="24"/>
        <v>0</v>
      </c>
      <c r="AL125" s="16">
        <f t="shared" si="27"/>
        <v>0</v>
      </c>
      <c r="AM125" s="16">
        <f t="shared" si="14"/>
        <v>0</v>
      </c>
      <c r="AN125" s="16">
        <f>IF(LCOE!G$14&gt;0,G125,H125)/AG125</f>
        <v>0</v>
      </c>
    </row>
    <row r="126" spans="1:40">
      <c r="A126">
        <v>56</v>
      </c>
      <c r="C126" s="16">
        <f>LCOE!G152+IF(AND(LCOE!G$26&gt;0,A126&gt;=LCOE!G$26,A126&lt;=(LCOE!G$26+LCOE!G$27-1)),LCOE!G$42/LCOE!G$27,0)+IF(AND(D126=0,AE126&gt;=LCOE!G$16,COUNTIF(D101:D126,0)=LCOE!G$36),LCOE!G$35*LCOE!G$38,0)</f>
        <v>0</v>
      </c>
      <c r="D126" s="16">
        <f>IF(AE125&lt;LCOE!G$16,1,0)</f>
        <v>0</v>
      </c>
      <c r="E126" s="12">
        <f>LCOE!G152+IF(AND(A126&gt;=LCOE!G$26,A126&lt;=(LCOE!G$26+LCOE!G$27-1)),0,1)*IF(A126=LCOE!G$34,0,1)*D126</f>
        <v>0</v>
      </c>
      <c r="F126" s="12">
        <f>IF(F125&lt;LCOE!G$18,MIN(F125*(1+LCOE!G$19),LCOE!G$18),LCOE!G$18)+LCOE!J152</f>
        <v>0.9</v>
      </c>
      <c r="G126" s="16">
        <f>LCOE!K152+E126*F126*N126*(LCOE!G$14+LCOE!H152)*24*365*D126</f>
        <v>0</v>
      </c>
      <c r="H126" s="16">
        <f>LCOE!L152+F126*(LCOE!G$15+LCOE!I152)*E126*24*365*D126*N126</f>
        <v>0</v>
      </c>
      <c r="I126" s="16">
        <f>LCOE!M152+LCOE!G$20*IF(LCOE!G$14&gt;0,(LCOE!G$14+LCOE!H152),(LCOE!G$15+LCOE!I152))*K126*D126</f>
        <v>0</v>
      </c>
      <c r="J126" s="16">
        <f>LCOE!N152+LCOE!G$21*IF(LCOE!G$14&gt;0,G126,H126)*K126*D126</f>
        <v>0</v>
      </c>
      <c r="K126" s="15">
        <f>LCOE!O152+K125+K125*LCOE!G$22</f>
        <v>1</v>
      </c>
      <c r="L126" s="16">
        <f>LCOE!P152+LCOE!G$23*IF(LCOE!G$14&gt;0,G126,H126)*M126*D126</f>
        <v>0</v>
      </c>
      <c r="M126" s="15">
        <f>LCOE!Q152+M125+M125*LCOE!G$24</f>
        <v>1</v>
      </c>
      <c r="N126" s="15">
        <f>LCOE!R152+N125-N125*LCOE!G$25</f>
        <v>1</v>
      </c>
      <c r="O126" s="18">
        <f>LCOE!S152+LCOE!G$29</f>
        <v>313.75</v>
      </c>
      <c r="P126" s="12">
        <f>LCOE!T152+IF(A126&gt;=LCOE!G$30,100%,0%)</f>
        <v>1</v>
      </c>
      <c r="Q126" s="16">
        <f>LCOE!U152+O126/1000*IF(LCOE!G$14&gt;0,G126,H126)</f>
        <v>0</v>
      </c>
      <c r="R126" s="16">
        <f>LCOE!B152</f>
        <v>30</v>
      </c>
      <c r="S126" s="16">
        <f>LCOE!V152+Q126*P126*R126</f>
        <v>0</v>
      </c>
      <c r="T126" s="16">
        <f>LCOE!W152+LCOE!G$31</f>
        <v>0</v>
      </c>
      <c r="U126" s="16">
        <f>LCOE!X152+T126*IF(LCOE!G$14&gt;0,G126,H126)</f>
        <v>0</v>
      </c>
      <c r="V126" s="16">
        <f>LCOE!Y152+LCOE!G$32</f>
        <v>0</v>
      </c>
      <c r="W126" s="16">
        <f>LCOE!Z152+V126*IF(LCOE!G$14&gt;0,G126,H126)</f>
        <v>0</v>
      </c>
      <c r="X126" s="16">
        <f>LCOE!AA152+LCOE!G$34</f>
        <v>101</v>
      </c>
      <c r="Y126" s="16">
        <f t="shared" si="15"/>
        <v>0</v>
      </c>
      <c r="Z126" s="50">
        <f t="shared" si="18"/>
        <v>0</v>
      </c>
      <c r="AA126" s="50">
        <f t="shared" si="19"/>
        <v>0</v>
      </c>
      <c r="AB126" s="50">
        <f t="shared" si="20"/>
        <v>0</v>
      </c>
      <c r="AC126" s="50">
        <f t="shared" si="16"/>
        <v>0</v>
      </c>
      <c r="AD126" s="50">
        <f t="shared" si="25"/>
        <v>0</v>
      </c>
      <c r="AE126">
        <f t="shared" si="17"/>
        <v>30</v>
      </c>
      <c r="AF126" s="12">
        <f>LCOE!E152+LCOE!G$40</f>
        <v>7.0000000000000007E-2</v>
      </c>
      <c r="AG126">
        <f t="shared" si="26"/>
        <v>44.207051587327854</v>
      </c>
      <c r="AH126" s="16">
        <f t="shared" si="21"/>
        <v>0</v>
      </c>
      <c r="AI126" s="16">
        <f t="shared" si="22"/>
        <v>0</v>
      </c>
      <c r="AJ126" s="16">
        <f t="shared" si="23"/>
        <v>0</v>
      </c>
      <c r="AK126" s="16">
        <f t="shared" si="24"/>
        <v>0</v>
      </c>
      <c r="AL126" s="16">
        <f t="shared" si="27"/>
        <v>0</v>
      </c>
      <c r="AM126" s="16">
        <f t="shared" si="14"/>
        <v>0</v>
      </c>
      <c r="AN126" s="16">
        <f>IF(LCOE!G$14&gt;0,G126,H126)/AG126</f>
        <v>0</v>
      </c>
    </row>
    <row r="127" spans="1:40">
      <c r="A127">
        <v>57</v>
      </c>
      <c r="C127" s="16">
        <f>LCOE!G153+IF(AND(LCOE!G$26&gt;0,A127&gt;=LCOE!G$26,A127&lt;=(LCOE!G$26+LCOE!G$27-1)),LCOE!G$42/LCOE!G$27,0)+IF(AND(D127=0,AE127&gt;=LCOE!G$16,COUNTIF(D102:D127,0)=LCOE!G$36),LCOE!G$35*LCOE!G$38,0)</f>
        <v>0</v>
      </c>
      <c r="D127" s="16">
        <f>IF(AE126&lt;LCOE!G$16,1,0)</f>
        <v>0</v>
      </c>
      <c r="E127" s="12">
        <f>LCOE!G153+IF(AND(A127&gt;=LCOE!G$26,A127&lt;=(LCOE!G$26+LCOE!G$27-1)),0,1)*IF(A127=LCOE!G$34,0,1)*D127</f>
        <v>0</v>
      </c>
      <c r="F127" s="12">
        <f>IF(F126&lt;LCOE!G$18,MIN(F126*(1+LCOE!G$19),LCOE!G$18),LCOE!G$18)+LCOE!J153</f>
        <v>0.9</v>
      </c>
      <c r="G127" s="16">
        <f>LCOE!K153+E127*F127*N127*(LCOE!G$14+LCOE!H153)*24*365*D127</f>
        <v>0</v>
      </c>
      <c r="H127" s="16">
        <f>LCOE!L153+F127*(LCOE!G$15+LCOE!I153)*E127*24*365*D127*N127</f>
        <v>0</v>
      </c>
      <c r="I127" s="16">
        <f>LCOE!M153+LCOE!G$20*IF(LCOE!G$14&gt;0,(LCOE!G$14+LCOE!H153),(LCOE!G$15+LCOE!I153))*K127*D127</f>
        <v>0</v>
      </c>
      <c r="J127" s="16">
        <f>LCOE!N153+LCOE!G$21*IF(LCOE!G$14&gt;0,G127,H127)*K127*D127</f>
        <v>0</v>
      </c>
      <c r="K127" s="15">
        <f>LCOE!O153+K126+K126*LCOE!G$22</f>
        <v>1</v>
      </c>
      <c r="L127" s="16">
        <f>LCOE!P153+LCOE!G$23*IF(LCOE!G$14&gt;0,G127,H127)*M127*D127</f>
        <v>0</v>
      </c>
      <c r="M127" s="15">
        <f>LCOE!Q153+M126+M126*LCOE!G$24</f>
        <v>1</v>
      </c>
      <c r="N127" s="15">
        <f>LCOE!R153+N126-N126*LCOE!G$25</f>
        <v>1</v>
      </c>
      <c r="O127" s="18">
        <f>LCOE!S153+LCOE!G$29</f>
        <v>313.75</v>
      </c>
      <c r="P127" s="12">
        <f>LCOE!T153+IF(A127&gt;=LCOE!G$30,100%,0%)</f>
        <v>1</v>
      </c>
      <c r="Q127" s="16">
        <f>LCOE!U153+O127/1000*IF(LCOE!G$14&gt;0,G127,H127)</f>
        <v>0</v>
      </c>
      <c r="R127" s="16">
        <f>LCOE!B153</f>
        <v>30</v>
      </c>
      <c r="S127" s="16">
        <f>LCOE!V153+Q127*P127*R127</f>
        <v>0</v>
      </c>
      <c r="T127" s="16">
        <f>LCOE!W153+LCOE!G$31</f>
        <v>0</v>
      </c>
      <c r="U127" s="16">
        <f>LCOE!X153+T127*IF(LCOE!G$14&gt;0,G127,H127)</f>
        <v>0</v>
      </c>
      <c r="V127" s="16">
        <f>LCOE!Y153+LCOE!G$32</f>
        <v>0</v>
      </c>
      <c r="W127" s="16">
        <f>LCOE!Z153+V127*IF(LCOE!G$14&gt;0,G127,H127)</f>
        <v>0</v>
      </c>
      <c r="X127" s="16">
        <f>LCOE!AA153+LCOE!G$34</f>
        <v>101</v>
      </c>
      <c r="Y127" s="16">
        <f t="shared" si="15"/>
        <v>0</v>
      </c>
      <c r="Z127" s="50">
        <f t="shared" si="18"/>
        <v>0</v>
      </c>
      <c r="AA127" s="50">
        <f t="shared" si="19"/>
        <v>0</v>
      </c>
      <c r="AB127" s="50">
        <f t="shared" si="20"/>
        <v>0</v>
      </c>
      <c r="AC127" s="50">
        <f t="shared" si="16"/>
        <v>0</v>
      </c>
      <c r="AD127" s="50">
        <f t="shared" si="25"/>
        <v>0</v>
      </c>
      <c r="AE127">
        <f t="shared" si="17"/>
        <v>30</v>
      </c>
      <c r="AF127" s="12">
        <f>LCOE!E153+LCOE!G$40</f>
        <v>7.0000000000000007E-2</v>
      </c>
      <c r="AG127">
        <f t="shared" si="26"/>
        <v>47.301545198440806</v>
      </c>
      <c r="AH127" s="16">
        <f t="shared" si="21"/>
        <v>0</v>
      </c>
      <c r="AI127" s="16">
        <f t="shared" si="22"/>
        <v>0</v>
      </c>
      <c r="AJ127" s="16">
        <f t="shared" si="23"/>
        <v>0</v>
      </c>
      <c r="AK127" s="16">
        <f t="shared" si="24"/>
        <v>0</v>
      </c>
      <c r="AL127" s="16">
        <f t="shared" si="27"/>
        <v>0</v>
      </c>
      <c r="AM127" s="16">
        <f t="shared" si="14"/>
        <v>0</v>
      </c>
      <c r="AN127" s="16">
        <f>IF(LCOE!G$14&gt;0,G127,H127)/AG127</f>
        <v>0</v>
      </c>
    </row>
    <row r="128" spans="1:40">
      <c r="A128">
        <v>58</v>
      </c>
      <c r="C128" s="16">
        <f>LCOE!G154+IF(AND(LCOE!G$26&gt;0,A128&gt;=LCOE!G$26,A128&lt;=(LCOE!G$26+LCOE!G$27-1)),LCOE!G$42/LCOE!G$27,0)+IF(AND(D128=0,AE128&gt;=LCOE!G$16,COUNTIF(D103:D128,0)=LCOE!G$36),LCOE!G$35*LCOE!G$38,0)</f>
        <v>0</v>
      </c>
      <c r="D128" s="16">
        <f>IF(AE127&lt;LCOE!G$16,1,0)</f>
        <v>0</v>
      </c>
      <c r="E128" s="12">
        <f>LCOE!G154+IF(AND(A128&gt;=LCOE!G$26,A128&lt;=(LCOE!G$26+LCOE!G$27-1)),0,1)*IF(A128=LCOE!G$34,0,1)*D128</f>
        <v>0</v>
      </c>
      <c r="F128" s="12">
        <f>IF(F127&lt;LCOE!G$18,MIN(F127*(1+LCOE!G$19),LCOE!G$18),LCOE!G$18)+LCOE!J154</f>
        <v>0.9</v>
      </c>
      <c r="G128" s="16">
        <f>LCOE!K154+E128*F128*N128*(LCOE!G$14+LCOE!H154)*24*365*D128</f>
        <v>0</v>
      </c>
      <c r="H128" s="16">
        <f>LCOE!L154+F128*(LCOE!G$15+LCOE!I154)*E128*24*365*D128*N128</f>
        <v>0</v>
      </c>
      <c r="I128" s="16">
        <f>LCOE!M154+LCOE!G$20*IF(LCOE!G$14&gt;0,(LCOE!G$14+LCOE!H154),(LCOE!G$15+LCOE!I154))*K128*D128</f>
        <v>0</v>
      </c>
      <c r="J128" s="16">
        <f>LCOE!N154+LCOE!G$21*IF(LCOE!G$14&gt;0,G128,H128)*K128*D128</f>
        <v>0</v>
      </c>
      <c r="K128" s="15">
        <f>LCOE!O154+K127+K127*LCOE!G$22</f>
        <v>1</v>
      </c>
      <c r="L128" s="16">
        <f>LCOE!P154+LCOE!G$23*IF(LCOE!G$14&gt;0,G128,H128)*M128*D128</f>
        <v>0</v>
      </c>
      <c r="M128" s="15">
        <f>LCOE!Q154+M127+M127*LCOE!G$24</f>
        <v>1</v>
      </c>
      <c r="N128" s="15">
        <f>LCOE!R154+N127-N127*LCOE!G$25</f>
        <v>1</v>
      </c>
      <c r="O128" s="18">
        <f>LCOE!S154+LCOE!G$29</f>
        <v>313.75</v>
      </c>
      <c r="P128" s="12">
        <f>LCOE!T154+IF(A128&gt;=LCOE!G$30,100%,0%)</f>
        <v>1</v>
      </c>
      <c r="Q128" s="16">
        <f>LCOE!U154+O128/1000*IF(LCOE!G$14&gt;0,G128,H128)</f>
        <v>0</v>
      </c>
      <c r="R128" s="16">
        <f>LCOE!B154</f>
        <v>30</v>
      </c>
      <c r="S128" s="16">
        <f>LCOE!V154+Q128*P128*R128</f>
        <v>0</v>
      </c>
      <c r="T128" s="16">
        <f>LCOE!W154+LCOE!G$31</f>
        <v>0</v>
      </c>
      <c r="U128" s="16">
        <f>LCOE!X154+T128*IF(LCOE!G$14&gt;0,G128,H128)</f>
        <v>0</v>
      </c>
      <c r="V128" s="16">
        <f>LCOE!Y154+LCOE!G$32</f>
        <v>0</v>
      </c>
      <c r="W128" s="16">
        <f>LCOE!Z154+V128*IF(LCOE!G$14&gt;0,G128,H128)</f>
        <v>0</v>
      </c>
      <c r="X128" s="16">
        <f>LCOE!AA154+LCOE!G$34</f>
        <v>101</v>
      </c>
      <c r="Y128" s="16">
        <f t="shared" si="15"/>
        <v>0</v>
      </c>
      <c r="Z128" s="50">
        <f t="shared" si="18"/>
        <v>0</v>
      </c>
      <c r="AA128" s="50">
        <f t="shared" si="19"/>
        <v>0</v>
      </c>
      <c r="AB128" s="50">
        <f t="shared" si="20"/>
        <v>0</v>
      </c>
      <c r="AC128" s="50">
        <f t="shared" si="16"/>
        <v>0</v>
      </c>
      <c r="AD128" s="50">
        <f t="shared" si="25"/>
        <v>0</v>
      </c>
      <c r="AE128">
        <f t="shared" si="17"/>
        <v>30</v>
      </c>
      <c r="AF128" s="12">
        <f>LCOE!E154+LCOE!G$40</f>
        <v>7.0000000000000007E-2</v>
      </c>
      <c r="AG128">
        <f t="shared" si="26"/>
        <v>50.612653362331656</v>
      </c>
      <c r="AH128" s="16">
        <f t="shared" si="21"/>
        <v>0</v>
      </c>
      <c r="AI128" s="16">
        <f t="shared" si="22"/>
        <v>0</v>
      </c>
      <c r="AJ128" s="16">
        <f t="shared" si="23"/>
        <v>0</v>
      </c>
      <c r="AK128" s="16">
        <f t="shared" si="24"/>
        <v>0</v>
      </c>
      <c r="AL128" s="16">
        <f t="shared" si="27"/>
        <v>0</v>
      </c>
      <c r="AM128" s="16">
        <f t="shared" si="14"/>
        <v>0</v>
      </c>
      <c r="AN128" s="16">
        <f>IF(LCOE!G$14&gt;0,G128,H128)/AG128</f>
        <v>0</v>
      </c>
    </row>
    <row r="129" spans="1:40">
      <c r="A129">
        <v>59</v>
      </c>
      <c r="C129" s="16">
        <f>LCOE!G155+IF(AND(LCOE!G$26&gt;0,A129&gt;=LCOE!G$26,A129&lt;=(LCOE!G$26+LCOE!G$27-1)),LCOE!G$42/LCOE!G$27,0)+IF(AND(D129=0,AE129&gt;=LCOE!G$16,COUNTIF(D104:D129,0)=LCOE!G$36),LCOE!G$35*LCOE!G$38,0)</f>
        <v>0</v>
      </c>
      <c r="D129" s="16">
        <f>IF(AE128&lt;LCOE!G$16,1,0)</f>
        <v>0</v>
      </c>
      <c r="E129" s="12">
        <f>LCOE!G155+IF(AND(A129&gt;=LCOE!G$26,A129&lt;=(LCOE!G$26+LCOE!G$27-1)),0,1)*IF(A129=LCOE!G$34,0,1)*D129</f>
        <v>0</v>
      </c>
      <c r="F129" s="12">
        <f>IF(F128&lt;LCOE!G$18,MIN(F128*(1+LCOE!G$19),LCOE!G$18),LCOE!G$18)+LCOE!J155</f>
        <v>0.9</v>
      </c>
      <c r="G129" s="16">
        <f>LCOE!K155+E129*F129*N129*(LCOE!G$14+LCOE!H155)*24*365*D129</f>
        <v>0</v>
      </c>
      <c r="H129" s="16">
        <f>LCOE!L155+F129*(LCOE!G$15+LCOE!I155)*E129*24*365*D129*N129</f>
        <v>0</v>
      </c>
      <c r="I129" s="16">
        <f>LCOE!M155+LCOE!G$20*IF(LCOE!G$14&gt;0,(LCOE!G$14+LCOE!H155),(LCOE!G$15+LCOE!I155))*K129*D129</f>
        <v>0</v>
      </c>
      <c r="J129" s="16">
        <f>LCOE!N155+LCOE!G$21*IF(LCOE!G$14&gt;0,G129,H129)*K129*D129</f>
        <v>0</v>
      </c>
      <c r="K129" s="15">
        <f>LCOE!O155+K128+K128*LCOE!G$22</f>
        <v>1</v>
      </c>
      <c r="L129" s="16">
        <f>LCOE!P155+LCOE!G$23*IF(LCOE!G$14&gt;0,G129,H129)*M129*D129</f>
        <v>0</v>
      </c>
      <c r="M129" s="15">
        <f>LCOE!Q155+M128+M128*LCOE!G$24</f>
        <v>1</v>
      </c>
      <c r="N129" s="15">
        <f>LCOE!R155+N128-N128*LCOE!G$25</f>
        <v>1</v>
      </c>
      <c r="O129" s="18">
        <f>LCOE!S155+LCOE!G$29</f>
        <v>313.75</v>
      </c>
      <c r="P129" s="12">
        <f>LCOE!T155+IF(A129&gt;=LCOE!G$30,100%,0%)</f>
        <v>1</v>
      </c>
      <c r="Q129" s="16">
        <f>LCOE!U155+O129/1000*IF(LCOE!G$14&gt;0,G129,H129)</f>
        <v>0</v>
      </c>
      <c r="R129" s="16">
        <f>LCOE!B155</f>
        <v>30</v>
      </c>
      <c r="S129" s="16">
        <f>LCOE!V155+Q129*P129*R129</f>
        <v>0</v>
      </c>
      <c r="T129" s="16">
        <f>LCOE!W155+LCOE!G$31</f>
        <v>0</v>
      </c>
      <c r="U129" s="16">
        <f>LCOE!X155+T129*IF(LCOE!G$14&gt;0,G129,H129)</f>
        <v>0</v>
      </c>
      <c r="V129" s="16">
        <f>LCOE!Y155+LCOE!G$32</f>
        <v>0</v>
      </c>
      <c r="W129" s="16">
        <f>LCOE!Z155+V129*IF(LCOE!G$14&gt;0,G129,H129)</f>
        <v>0</v>
      </c>
      <c r="X129" s="16">
        <f>LCOE!AA155+LCOE!G$34</f>
        <v>101</v>
      </c>
      <c r="Y129" s="16">
        <f t="shared" si="15"/>
        <v>0</v>
      </c>
      <c r="Z129" s="50">
        <f t="shared" si="18"/>
        <v>0</v>
      </c>
      <c r="AA129" s="50">
        <f t="shared" si="19"/>
        <v>0</v>
      </c>
      <c r="AB129" s="50">
        <f t="shared" si="20"/>
        <v>0</v>
      </c>
      <c r="AC129" s="50">
        <f t="shared" si="16"/>
        <v>0</v>
      </c>
      <c r="AD129" s="50">
        <f t="shared" si="25"/>
        <v>0</v>
      </c>
      <c r="AE129">
        <f t="shared" si="17"/>
        <v>30</v>
      </c>
      <c r="AF129" s="12">
        <f>LCOE!E155+LCOE!G$40</f>
        <v>7.0000000000000007E-2</v>
      </c>
      <c r="AG129">
        <f t="shared" si="26"/>
        <v>54.155539097694884</v>
      </c>
      <c r="AH129" s="16">
        <f t="shared" si="21"/>
        <v>0</v>
      </c>
      <c r="AI129" s="16">
        <f t="shared" si="22"/>
        <v>0</v>
      </c>
      <c r="AJ129" s="16">
        <f t="shared" si="23"/>
        <v>0</v>
      </c>
      <c r="AK129" s="16">
        <f t="shared" si="24"/>
        <v>0</v>
      </c>
      <c r="AL129" s="16">
        <f t="shared" si="27"/>
        <v>0</v>
      </c>
      <c r="AM129" s="16">
        <f t="shared" si="14"/>
        <v>0</v>
      </c>
      <c r="AN129" s="16">
        <f>IF(LCOE!G$14&gt;0,G129,H129)/AG129</f>
        <v>0</v>
      </c>
    </row>
    <row r="130" spans="1:40">
      <c r="A130">
        <v>60</v>
      </c>
      <c r="C130" s="16">
        <f>LCOE!G156+IF(AND(LCOE!G$26&gt;0,A130&gt;=LCOE!G$26,A130&lt;=(LCOE!G$26+LCOE!G$27-1)),LCOE!G$42/LCOE!G$27,0)+IF(AND(D130=0,AE130&gt;=LCOE!G$16,COUNTIF(D105:D130,0)=LCOE!G$36),LCOE!G$35*LCOE!G$38,0)</f>
        <v>0</v>
      </c>
      <c r="D130" s="16">
        <f>IF(AE129&lt;LCOE!G$16,1,0)</f>
        <v>0</v>
      </c>
      <c r="E130" s="12">
        <f>LCOE!G156+IF(AND(A130&gt;=LCOE!G$26,A130&lt;=(LCOE!G$26+LCOE!G$27-1)),0,1)*IF(A130=LCOE!G$34,0,1)*D130</f>
        <v>0</v>
      </c>
      <c r="F130" s="12">
        <f>IF(F129&lt;LCOE!G$18,MIN(F129*(1+LCOE!G$19),LCOE!G$18),LCOE!G$18)+LCOE!J156</f>
        <v>0.9</v>
      </c>
      <c r="G130" s="16">
        <f>LCOE!K156+E130*F130*N130*(LCOE!G$14+LCOE!H156)*24*365*D130</f>
        <v>0</v>
      </c>
      <c r="H130" s="16">
        <f>LCOE!L156+F130*(LCOE!G$15+LCOE!I156)*E130*24*365*D130*N130</f>
        <v>0</v>
      </c>
      <c r="I130" s="16">
        <f>LCOE!M156+LCOE!G$20*IF(LCOE!G$14&gt;0,(LCOE!G$14+LCOE!H156),(LCOE!G$15+LCOE!I156))*K130*D130</f>
        <v>0</v>
      </c>
      <c r="J130" s="16">
        <f>LCOE!N156+LCOE!G$21*IF(LCOE!G$14&gt;0,G130,H130)*K130*D130</f>
        <v>0</v>
      </c>
      <c r="K130" s="15">
        <f>LCOE!O156+K129+K129*LCOE!G$22</f>
        <v>1</v>
      </c>
      <c r="L130" s="16">
        <f>LCOE!P156+LCOE!G$23*IF(LCOE!G$14&gt;0,G130,H130)*M130*D130</f>
        <v>0</v>
      </c>
      <c r="M130" s="15">
        <f>LCOE!Q156+M129+M129*LCOE!G$24</f>
        <v>1</v>
      </c>
      <c r="N130" s="15">
        <f>LCOE!R156+N129-N129*LCOE!G$25</f>
        <v>1</v>
      </c>
      <c r="O130" s="18">
        <f>LCOE!S156+LCOE!G$29</f>
        <v>313.75</v>
      </c>
      <c r="P130" s="12">
        <f>LCOE!T156+IF(A130&gt;=LCOE!G$30,100%,0%)</f>
        <v>1</v>
      </c>
      <c r="Q130" s="16">
        <f>LCOE!U156+O130/1000*IF(LCOE!G$14&gt;0,G130,H130)</f>
        <v>0</v>
      </c>
      <c r="R130" s="16">
        <f>LCOE!B156</f>
        <v>30</v>
      </c>
      <c r="S130" s="16">
        <f>LCOE!V156+Q130*P130*R130</f>
        <v>0</v>
      </c>
      <c r="T130" s="16">
        <f>LCOE!W156+LCOE!G$31</f>
        <v>0</v>
      </c>
      <c r="U130" s="16">
        <f>LCOE!X156+T130*IF(LCOE!G$14&gt;0,G130,H130)</f>
        <v>0</v>
      </c>
      <c r="V130" s="16">
        <f>LCOE!Y156+LCOE!G$32</f>
        <v>0</v>
      </c>
      <c r="W130" s="16">
        <f>LCOE!Z156+V130*IF(LCOE!G$14&gt;0,G130,H130)</f>
        <v>0</v>
      </c>
      <c r="X130" s="16">
        <f>LCOE!AA156+LCOE!G$34</f>
        <v>101</v>
      </c>
      <c r="Y130" s="16">
        <f t="shared" si="15"/>
        <v>0</v>
      </c>
      <c r="Z130" s="50">
        <f t="shared" si="18"/>
        <v>0</v>
      </c>
      <c r="AA130" s="50">
        <f t="shared" si="19"/>
        <v>0</v>
      </c>
      <c r="AB130" s="50">
        <f t="shared" si="20"/>
        <v>0</v>
      </c>
      <c r="AC130" s="50">
        <f t="shared" si="16"/>
        <v>0</v>
      </c>
      <c r="AD130" s="50">
        <f t="shared" si="25"/>
        <v>0</v>
      </c>
      <c r="AE130">
        <f t="shared" si="17"/>
        <v>30</v>
      </c>
      <c r="AF130" s="12">
        <f>LCOE!E156+LCOE!G$40</f>
        <v>7.0000000000000007E-2</v>
      </c>
      <c r="AG130">
        <f t="shared" si="26"/>
        <v>57.946426834533519</v>
      </c>
      <c r="AH130" s="16">
        <f t="shared" si="21"/>
        <v>0</v>
      </c>
      <c r="AI130" s="16">
        <f t="shared" si="22"/>
        <v>0</v>
      </c>
      <c r="AJ130" s="16">
        <f t="shared" si="23"/>
        <v>0</v>
      </c>
      <c r="AK130" s="16">
        <f t="shared" si="24"/>
        <v>0</v>
      </c>
      <c r="AL130" s="16">
        <f t="shared" si="27"/>
        <v>0</v>
      </c>
      <c r="AM130" s="16">
        <f t="shared" si="14"/>
        <v>0</v>
      </c>
      <c r="AN130" s="16">
        <f>IF(LCOE!G$14&gt;0,G130,H130)/AG130</f>
        <v>0</v>
      </c>
    </row>
    <row r="131" spans="1:40">
      <c r="A131">
        <v>61</v>
      </c>
      <c r="C131" s="16">
        <f>LCOE!G157+IF(AND(LCOE!G$26&gt;0,A131&gt;=LCOE!G$26,A131&lt;=(LCOE!G$26+LCOE!G$27-1)),LCOE!G$42/LCOE!G$27,0)+IF(AND(D131=0,AE131&gt;=LCOE!G$16,COUNTIF(D106:D131,0)=LCOE!G$36),LCOE!G$35*LCOE!G$38,0)</f>
        <v>0</v>
      </c>
      <c r="D131" s="16">
        <f>IF(AE130&lt;LCOE!G$16,1,0)</f>
        <v>0</v>
      </c>
      <c r="E131" s="12">
        <f>LCOE!G157+IF(AND(A131&gt;=LCOE!G$26,A131&lt;=(LCOE!G$26+LCOE!G$27-1)),0,1)*IF(A131=LCOE!G$34,0,1)*D131</f>
        <v>0</v>
      </c>
      <c r="F131" s="12">
        <f>IF(F130&lt;LCOE!G$18,MIN(F130*(1+LCOE!G$19),LCOE!G$18),LCOE!G$18)+LCOE!J157</f>
        <v>0.9</v>
      </c>
      <c r="G131" s="16">
        <f>LCOE!K157+E131*F131*N131*(LCOE!G$14+LCOE!H157)*24*365*D131</f>
        <v>0</v>
      </c>
      <c r="H131" s="16">
        <f>LCOE!L157+F131*(LCOE!G$15+LCOE!I157)*E131*24*365*D131*N131</f>
        <v>0</v>
      </c>
      <c r="I131" s="16">
        <f>LCOE!M157+LCOE!G$20*IF(LCOE!G$14&gt;0,(LCOE!G$14+LCOE!H157),(LCOE!G$15+LCOE!I157))*K131*D131</f>
        <v>0</v>
      </c>
      <c r="J131" s="16">
        <f>LCOE!N157+LCOE!G$21*IF(LCOE!G$14&gt;0,G131,H131)*K131*D131</f>
        <v>0</v>
      </c>
      <c r="K131" s="15">
        <f>LCOE!O157+K130+K130*LCOE!G$22</f>
        <v>1</v>
      </c>
      <c r="L131" s="16">
        <f>LCOE!P157+LCOE!G$23*IF(LCOE!G$14&gt;0,G131,H131)*M131*D131</f>
        <v>0</v>
      </c>
      <c r="M131" s="15">
        <f>LCOE!Q157+M130+M130*LCOE!G$24</f>
        <v>1</v>
      </c>
      <c r="N131" s="15">
        <f>LCOE!R157+N130-N130*LCOE!G$25</f>
        <v>1</v>
      </c>
      <c r="O131" s="18">
        <f>LCOE!S157+LCOE!G$29</f>
        <v>313.75</v>
      </c>
      <c r="P131" s="12">
        <f>LCOE!T157+IF(A131&gt;=LCOE!G$30,100%,0%)</f>
        <v>1</v>
      </c>
      <c r="Q131" s="16">
        <f>LCOE!U157+O131/1000*IF(LCOE!G$14&gt;0,G131,H131)</f>
        <v>0</v>
      </c>
      <c r="R131" s="16">
        <f>LCOE!B157</f>
        <v>30</v>
      </c>
      <c r="S131" s="16">
        <f>LCOE!V157+Q131*P131*R131</f>
        <v>0</v>
      </c>
      <c r="T131" s="16">
        <f>LCOE!W157+LCOE!G$31</f>
        <v>0</v>
      </c>
      <c r="U131" s="16">
        <f>LCOE!X157+T131*IF(LCOE!G$14&gt;0,G131,H131)</f>
        <v>0</v>
      </c>
      <c r="V131" s="16">
        <f>LCOE!Y157+LCOE!G$32</f>
        <v>0</v>
      </c>
      <c r="W131" s="16">
        <f>LCOE!Z157+V131*IF(LCOE!G$14&gt;0,G131,H131)</f>
        <v>0</v>
      </c>
      <c r="X131" s="16">
        <f>LCOE!AA157+LCOE!G$34</f>
        <v>101</v>
      </c>
      <c r="Y131" s="16">
        <f t="shared" si="15"/>
        <v>0</v>
      </c>
      <c r="Z131" s="50">
        <f t="shared" si="18"/>
        <v>0</v>
      </c>
      <c r="AA131" s="50">
        <f t="shared" si="19"/>
        <v>0</v>
      </c>
      <c r="AB131" s="50">
        <f t="shared" si="20"/>
        <v>0</v>
      </c>
      <c r="AC131" s="50">
        <f t="shared" si="16"/>
        <v>0</v>
      </c>
      <c r="AD131" s="50">
        <f t="shared" si="25"/>
        <v>0</v>
      </c>
      <c r="AE131">
        <f t="shared" si="17"/>
        <v>30</v>
      </c>
      <c r="AF131" s="12">
        <f>LCOE!E157+LCOE!G$40</f>
        <v>7.0000000000000007E-2</v>
      </c>
      <c r="AG131">
        <f t="shared" si="26"/>
        <v>62.002676712950866</v>
      </c>
      <c r="AH131" s="16">
        <f t="shared" si="21"/>
        <v>0</v>
      </c>
      <c r="AI131" s="16">
        <f t="shared" si="22"/>
        <v>0</v>
      </c>
      <c r="AJ131" s="16">
        <f t="shared" si="23"/>
        <v>0</v>
      </c>
      <c r="AK131" s="16">
        <f t="shared" si="24"/>
        <v>0</v>
      </c>
      <c r="AL131" s="16">
        <f t="shared" si="27"/>
        <v>0</v>
      </c>
      <c r="AM131" s="16">
        <f t="shared" si="14"/>
        <v>0</v>
      </c>
      <c r="AN131" s="16">
        <f>IF(LCOE!G$14&gt;0,G131,H131)/AG131</f>
        <v>0</v>
      </c>
    </row>
    <row r="132" spans="1:40">
      <c r="A132">
        <v>62</v>
      </c>
      <c r="C132" s="16">
        <f>LCOE!G158+IF(AND(LCOE!G$26&gt;0,A132&gt;=LCOE!G$26,A132&lt;=(LCOE!G$26+LCOE!G$27-1)),LCOE!G$42/LCOE!G$27,0)+IF(AND(D132=0,AE132&gt;=LCOE!G$16,COUNTIF(D107:D132,0)=LCOE!G$36),LCOE!G$35*LCOE!G$38,0)</f>
        <v>0</v>
      </c>
      <c r="D132" s="16">
        <f>IF(AE131&lt;LCOE!G$16,1,0)</f>
        <v>0</v>
      </c>
      <c r="E132" s="12">
        <f>LCOE!G158+IF(AND(A132&gt;=LCOE!G$26,A132&lt;=(LCOE!G$26+LCOE!G$27-1)),0,1)*IF(A132=LCOE!G$34,0,1)*D132</f>
        <v>0</v>
      </c>
      <c r="F132" s="12">
        <f>IF(F131&lt;LCOE!G$18,MIN(F131*(1+LCOE!G$19),LCOE!G$18),LCOE!G$18)+LCOE!J158</f>
        <v>0.9</v>
      </c>
      <c r="G132" s="16">
        <f>LCOE!K158+E132*F132*N132*(LCOE!G$14+LCOE!H158)*24*365*D132</f>
        <v>0</v>
      </c>
      <c r="H132" s="16">
        <f>LCOE!L158+F132*(LCOE!G$15+LCOE!I158)*E132*24*365*D132*N132</f>
        <v>0</v>
      </c>
      <c r="I132" s="16">
        <f>LCOE!M158+LCOE!G$20*IF(LCOE!G$14&gt;0,(LCOE!G$14+LCOE!H158),(LCOE!G$15+LCOE!I158))*K132*D132</f>
        <v>0</v>
      </c>
      <c r="J132" s="16">
        <f>LCOE!N158+LCOE!G$21*IF(LCOE!G$14&gt;0,G132,H132)*K132*D132</f>
        <v>0</v>
      </c>
      <c r="K132" s="15">
        <f>LCOE!O158+K131+K131*LCOE!G$22</f>
        <v>1</v>
      </c>
      <c r="L132" s="16">
        <f>LCOE!P158+LCOE!G$23*IF(LCOE!G$14&gt;0,G132,H132)*M132*D132</f>
        <v>0</v>
      </c>
      <c r="M132" s="15">
        <f>LCOE!Q158+M131+M131*LCOE!G$24</f>
        <v>1</v>
      </c>
      <c r="N132" s="15">
        <f>LCOE!R158+N131-N131*LCOE!G$25</f>
        <v>1</v>
      </c>
      <c r="O132" s="18">
        <f>LCOE!S158+LCOE!G$29</f>
        <v>313.75</v>
      </c>
      <c r="P132" s="12">
        <f>LCOE!T158+IF(A132&gt;=LCOE!G$30,100%,0%)</f>
        <v>1</v>
      </c>
      <c r="Q132" s="16">
        <f>LCOE!U158+O132/1000*IF(LCOE!G$14&gt;0,G132,H132)</f>
        <v>0</v>
      </c>
      <c r="R132" s="16">
        <f>LCOE!B158</f>
        <v>30</v>
      </c>
      <c r="S132" s="16">
        <f>LCOE!V158+Q132*P132*R132</f>
        <v>0</v>
      </c>
      <c r="T132" s="16">
        <f>LCOE!W158+LCOE!G$31</f>
        <v>0</v>
      </c>
      <c r="U132" s="16">
        <f>LCOE!X158+T132*IF(LCOE!G$14&gt;0,G132,H132)</f>
        <v>0</v>
      </c>
      <c r="V132" s="16">
        <f>LCOE!Y158+LCOE!G$32</f>
        <v>0</v>
      </c>
      <c r="W132" s="16">
        <f>LCOE!Z158+V132*IF(LCOE!G$14&gt;0,G132,H132)</f>
        <v>0</v>
      </c>
      <c r="X132" s="16">
        <f>LCOE!AA158+LCOE!G$34</f>
        <v>101</v>
      </c>
      <c r="Y132" s="16">
        <f t="shared" si="15"/>
        <v>0</v>
      </c>
      <c r="Z132" s="50">
        <f t="shared" si="18"/>
        <v>0</v>
      </c>
      <c r="AA132" s="50">
        <f t="shared" si="19"/>
        <v>0</v>
      </c>
      <c r="AB132" s="50">
        <f t="shared" si="20"/>
        <v>0</v>
      </c>
      <c r="AC132" s="50">
        <f t="shared" si="16"/>
        <v>0</v>
      </c>
      <c r="AD132" s="50">
        <f t="shared" si="25"/>
        <v>0</v>
      </c>
      <c r="AE132">
        <f t="shared" si="17"/>
        <v>30</v>
      </c>
      <c r="AF132" s="12">
        <f>LCOE!E158+LCOE!G$40</f>
        <v>7.0000000000000007E-2</v>
      </c>
      <c r="AG132">
        <f t="shared" si="26"/>
        <v>66.342864082857417</v>
      </c>
      <c r="AH132" s="16">
        <f t="shared" si="21"/>
        <v>0</v>
      </c>
      <c r="AI132" s="16">
        <f t="shared" si="22"/>
        <v>0</v>
      </c>
      <c r="AJ132" s="16">
        <f t="shared" si="23"/>
        <v>0</v>
      </c>
      <c r="AK132" s="16">
        <f t="shared" si="24"/>
        <v>0</v>
      </c>
      <c r="AL132" s="16">
        <f t="shared" si="27"/>
        <v>0</v>
      </c>
      <c r="AM132" s="16">
        <f t="shared" si="14"/>
        <v>0</v>
      </c>
      <c r="AN132" s="16">
        <f>IF(LCOE!G$14&gt;0,G132,H132)/AG132</f>
        <v>0</v>
      </c>
    </row>
    <row r="133" spans="1:40">
      <c r="A133">
        <v>63</v>
      </c>
      <c r="C133" s="16">
        <f>LCOE!G159+IF(AND(LCOE!G$26&gt;0,A133&gt;=LCOE!G$26,A133&lt;=(LCOE!G$26+LCOE!G$27-1)),LCOE!G$42/LCOE!G$27,0)+IF(AND(D133=0,AE133&gt;=LCOE!G$16,COUNTIF(D108:D133,0)=LCOE!G$36),LCOE!G$35*LCOE!G$38,0)</f>
        <v>0</v>
      </c>
      <c r="D133" s="16">
        <f>IF(AE132&lt;LCOE!G$16,1,0)</f>
        <v>0</v>
      </c>
      <c r="E133" s="12">
        <f>LCOE!G159+IF(AND(A133&gt;=LCOE!G$26,A133&lt;=(LCOE!G$26+LCOE!G$27-1)),0,1)*IF(A133=LCOE!G$34,0,1)*D133</f>
        <v>0</v>
      </c>
      <c r="F133" s="12">
        <f>IF(F132&lt;LCOE!G$18,MIN(F132*(1+LCOE!G$19),LCOE!G$18),LCOE!G$18)+LCOE!J159</f>
        <v>0.9</v>
      </c>
      <c r="G133" s="16">
        <f>LCOE!K159+E133*F133*N133*(LCOE!G$14+LCOE!H159)*24*365*D133</f>
        <v>0</v>
      </c>
      <c r="H133" s="16">
        <f>LCOE!L159+F133*(LCOE!G$15+LCOE!I159)*E133*24*365*D133*N133</f>
        <v>0</v>
      </c>
      <c r="I133" s="16">
        <f>LCOE!M159+LCOE!G$20*IF(LCOE!G$14&gt;0,(LCOE!G$14+LCOE!H159),(LCOE!G$15+LCOE!I159))*K133*D133</f>
        <v>0</v>
      </c>
      <c r="J133" s="16">
        <f>LCOE!N159+LCOE!G$21*IF(LCOE!G$14&gt;0,G133,H133)*K133*D133</f>
        <v>0</v>
      </c>
      <c r="K133" s="15">
        <f>LCOE!O159+K132+K132*LCOE!G$22</f>
        <v>1</v>
      </c>
      <c r="L133" s="16">
        <f>LCOE!P159+LCOE!G$23*IF(LCOE!G$14&gt;0,G133,H133)*M133*D133</f>
        <v>0</v>
      </c>
      <c r="M133" s="15">
        <f>LCOE!Q159+M132+M132*LCOE!G$24</f>
        <v>1</v>
      </c>
      <c r="N133" s="15">
        <f>LCOE!R159+N132-N132*LCOE!G$25</f>
        <v>1</v>
      </c>
      <c r="O133" s="18">
        <f>LCOE!S159+LCOE!G$29</f>
        <v>313.75</v>
      </c>
      <c r="P133" s="12">
        <f>LCOE!T159+IF(A133&gt;=LCOE!G$30,100%,0%)</f>
        <v>1</v>
      </c>
      <c r="Q133" s="16">
        <f>LCOE!U159+O133/1000*IF(LCOE!G$14&gt;0,G133,H133)</f>
        <v>0</v>
      </c>
      <c r="R133" s="16">
        <f>LCOE!B159</f>
        <v>30</v>
      </c>
      <c r="S133" s="16">
        <f>LCOE!V159+Q133*P133*R133</f>
        <v>0</v>
      </c>
      <c r="T133" s="16">
        <f>LCOE!W159+LCOE!G$31</f>
        <v>0</v>
      </c>
      <c r="U133" s="16">
        <f>LCOE!X159+T133*IF(LCOE!G$14&gt;0,G133,H133)</f>
        <v>0</v>
      </c>
      <c r="V133" s="16">
        <f>LCOE!Y159+LCOE!G$32</f>
        <v>0</v>
      </c>
      <c r="W133" s="16">
        <f>LCOE!Z159+V133*IF(LCOE!G$14&gt;0,G133,H133)</f>
        <v>0</v>
      </c>
      <c r="X133" s="16">
        <f>LCOE!AA159+LCOE!G$34</f>
        <v>101</v>
      </c>
      <c r="Y133" s="16">
        <f t="shared" si="15"/>
        <v>0</v>
      </c>
      <c r="Z133" s="50">
        <f t="shared" si="18"/>
        <v>0</v>
      </c>
      <c r="AA133" s="50">
        <f t="shared" si="19"/>
        <v>0</v>
      </c>
      <c r="AB133" s="50">
        <f t="shared" si="20"/>
        <v>0</v>
      </c>
      <c r="AC133" s="50">
        <f t="shared" si="16"/>
        <v>0</v>
      </c>
      <c r="AD133" s="50">
        <f t="shared" si="25"/>
        <v>0</v>
      </c>
      <c r="AE133">
        <f t="shared" si="17"/>
        <v>30</v>
      </c>
      <c r="AF133" s="12">
        <f>LCOE!E159+LCOE!G$40</f>
        <v>7.0000000000000007E-2</v>
      </c>
      <c r="AG133">
        <f t="shared" si="26"/>
        <v>70.986864568657452</v>
      </c>
      <c r="AH133" s="16">
        <f t="shared" si="21"/>
        <v>0</v>
      </c>
      <c r="AI133" s="16">
        <f t="shared" si="22"/>
        <v>0</v>
      </c>
      <c r="AJ133" s="16">
        <f t="shared" si="23"/>
        <v>0</v>
      </c>
      <c r="AK133" s="16">
        <f t="shared" si="24"/>
        <v>0</v>
      </c>
      <c r="AL133" s="16">
        <f t="shared" si="27"/>
        <v>0</v>
      </c>
      <c r="AM133" s="16">
        <f t="shared" si="14"/>
        <v>0</v>
      </c>
      <c r="AN133" s="16">
        <f>IF(LCOE!G$14&gt;0,G133,H133)/AG133</f>
        <v>0</v>
      </c>
    </row>
    <row r="134" spans="1:40">
      <c r="A134">
        <v>64</v>
      </c>
      <c r="C134" s="16">
        <f>LCOE!G160+IF(AND(LCOE!G$26&gt;0,A134&gt;=LCOE!G$26,A134&lt;=(LCOE!G$26+LCOE!G$27-1)),LCOE!G$42/LCOE!G$27,0)+IF(AND(D134=0,AE134&gt;=LCOE!G$16,COUNTIF(D109:D134,0)=LCOE!G$36),LCOE!G$35*LCOE!G$38,0)</f>
        <v>0</v>
      </c>
      <c r="D134" s="16">
        <f>IF(AE133&lt;LCOE!G$16,1,0)</f>
        <v>0</v>
      </c>
      <c r="E134" s="12">
        <f>LCOE!G160+IF(AND(A134&gt;=LCOE!G$26,A134&lt;=(LCOE!G$26+LCOE!G$27-1)),0,1)*IF(A134=LCOE!G$34,0,1)*D134</f>
        <v>0</v>
      </c>
      <c r="F134" s="12">
        <f>IF(F133&lt;LCOE!G$18,MIN(F133*(1+LCOE!G$19),LCOE!G$18),LCOE!G$18)+LCOE!J160</f>
        <v>0.9</v>
      </c>
      <c r="G134" s="16">
        <f>LCOE!K160+E134*F134*N134*(LCOE!G$14+LCOE!H160)*24*365*D134</f>
        <v>0</v>
      </c>
      <c r="H134" s="16">
        <f>LCOE!L160+F134*(LCOE!G$15+LCOE!I160)*E134*24*365*D134*N134</f>
        <v>0</v>
      </c>
      <c r="I134" s="16">
        <f>LCOE!M160+LCOE!G$20*IF(LCOE!G$14&gt;0,(LCOE!G$14+LCOE!H160),(LCOE!G$15+LCOE!I160))*K134*D134</f>
        <v>0</v>
      </c>
      <c r="J134" s="16">
        <f>LCOE!N160+LCOE!G$21*IF(LCOE!G$14&gt;0,G134,H134)*K134*D134</f>
        <v>0</v>
      </c>
      <c r="K134" s="15">
        <f>LCOE!O160+K133+K133*LCOE!G$22</f>
        <v>1</v>
      </c>
      <c r="L134" s="16">
        <f>LCOE!P160+LCOE!G$23*IF(LCOE!G$14&gt;0,G134,H134)*M134*D134</f>
        <v>0</v>
      </c>
      <c r="M134" s="15">
        <f>LCOE!Q160+M133+M133*LCOE!G$24</f>
        <v>1</v>
      </c>
      <c r="N134" s="15">
        <f>LCOE!R160+N133-N133*LCOE!G$25</f>
        <v>1</v>
      </c>
      <c r="O134" s="18">
        <f>LCOE!S160+LCOE!G$29</f>
        <v>313.75</v>
      </c>
      <c r="P134" s="12">
        <f>LCOE!T160+IF(A134&gt;=LCOE!G$30,100%,0%)</f>
        <v>1</v>
      </c>
      <c r="Q134" s="16">
        <f>LCOE!U160+O134/1000*IF(LCOE!G$14&gt;0,G134,H134)</f>
        <v>0</v>
      </c>
      <c r="R134" s="16">
        <f>LCOE!B160</f>
        <v>30</v>
      </c>
      <c r="S134" s="16">
        <f>LCOE!V160+Q134*P134*R134</f>
        <v>0</v>
      </c>
      <c r="T134" s="16">
        <f>LCOE!W160+LCOE!G$31</f>
        <v>0</v>
      </c>
      <c r="U134" s="16">
        <f>LCOE!X160+T134*IF(LCOE!G$14&gt;0,G134,H134)</f>
        <v>0</v>
      </c>
      <c r="V134" s="16">
        <f>LCOE!Y160+LCOE!G$32</f>
        <v>0</v>
      </c>
      <c r="W134" s="16">
        <f>LCOE!Z160+V134*IF(LCOE!G$14&gt;0,G134,H134)</f>
        <v>0</v>
      </c>
      <c r="X134" s="16">
        <f>LCOE!AA160+LCOE!G$34</f>
        <v>101</v>
      </c>
      <c r="Y134" s="16">
        <f t="shared" si="15"/>
        <v>0</v>
      </c>
      <c r="Z134" s="50">
        <f t="shared" si="18"/>
        <v>0</v>
      </c>
      <c r="AA134" s="50">
        <f t="shared" si="19"/>
        <v>0</v>
      </c>
      <c r="AB134" s="50">
        <f t="shared" si="20"/>
        <v>0</v>
      </c>
      <c r="AC134" s="50">
        <f t="shared" si="16"/>
        <v>0</v>
      </c>
      <c r="AD134" s="50">
        <f t="shared" si="25"/>
        <v>0</v>
      </c>
      <c r="AE134">
        <f t="shared" si="17"/>
        <v>30</v>
      </c>
      <c r="AF134" s="12">
        <f>LCOE!E160+LCOE!G$40</f>
        <v>7.0000000000000007E-2</v>
      </c>
      <c r="AG134">
        <f t="shared" si="26"/>
        <v>75.955945088463466</v>
      </c>
      <c r="AH134" s="16">
        <f t="shared" si="21"/>
        <v>0</v>
      </c>
      <c r="AI134" s="16">
        <f t="shared" si="22"/>
        <v>0</v>
      </c>
      <c r="AJ134" s="16">
        <f t="shared" si="23"/>
        <v>0</v>
      </c>
      <c r="AK134" s="16">
        <f t="shared" si="24"/>
        <v>0</v>
      </c>
      <c r="AL134" s="16">
        <f t="shared" si="27"/>
        <v>0</v>
      </c>
      <c r="AM134" s="16">
        <f t="shared" ref="AM134:AM170" si="28">(-1)*Y134/AG134</f>
        <v>0</v>
      </c>
      <c r="AN134" s="16">
        <f>IF(LCOE!G$14&gt;0,G134,H134)/AG134</f>
        <v>0</v>
      </c>
    </row>
    <row r="135" spans="1:40">
      <c r="A135">
        <v>65</v>
      </c>
      <c r="C135" s="16">
        <f>LCOE!G161+IF(AND(LCOE!G$26&gt;0,A135&gt;=LCOE!G$26,A135&lt;=(LCOE!G$26+LCOE!G$27-1)),LCOE!G$42/LCOE!G$27,0)+IF(AND(D135=0,AE135&gt;=LCOE!G$16,COUNTIF(D110:D135,0)=LCOE!G$36),LCOE!G$35*LCOE!G$38,0)</f>
        <v>0</v>
      </c>
      <c r="D135" s="16">
        <f>IF(AE134&lt;LCOE!G$16,1,0)</f>
        <v>0</v>
      </c>
      <c r="E135" s="12">
        <f>LCOE!G161+IF(AND(A135&gt;=LCOE!G$26,A135&lt;=(LCOE!G$26+LCOE!G$27-1)),0,1)*IF(A135=LCOE!G$34,0,1)*D135</f>
        <v>0</v>
      </c>
      <c r="F135" s="12">
        <f>IF(F134&lt;LCOE!G$18,MIN(F134*(1+LCOE!G$19),LCOE!G$18),LCOE!G$18)+LCOE!J161</f>
        <v>0.9</v>
      </c>
      <c r="G135" s="16">
        <f>LCOE!K161+E135*F135*N135*(LCOE!G$14+LCOE!H161)*24*365*D135</f>
        <v>0</v>
      </c>
      <c r="H135" s="16">
        <f>LCOE!L161+F135*(LCOE!G$15+LCOE!I161)*E135*24*365*D135*N135</f>
        <v>0</v>
      </c>
      <c r="I135" s="16">
        <f>LCOE!M161+LCOE!G$20*IF(LCOE!G$14&gt;0,(LCOE!G$14+LCOE!H161),(LCOE!G$15+LCOE!I161))*K135*D135</f>
        <v>0</v>
      </c>
      <c r="J135" s="16">
        <f>LCOE!N161+LCOE!G$21*IF(LCOE!G$14&gt;0,G135,H135)*K135*D135</f>
        <v>0</v>
      </c>
      <c r="K135" s="15">
        <f>LCOE!O161+K134+K134*LCOE!G$22</f>
        <v>1</v>
      </c>
      <c r="L135" s="16">
        <f>LCOE!P161+LCOE!G$23*IF(LCOE!G$14&gt;0,G135,H135)*M135*D135</f>
        <v>0</v>
      </c>
      <c r="M135" s="15">
        <f>LCOE!Q161+M134+M134*LCOE!G$24</f>
        <v>1</v>
      </c>
      <c r="N135" s="15">
        <f>LCOE!R161+N134-N134*LCOE!G$25</f>
        <v>1</v>
      </c>
      <c r="O135" s="18">
        <f>LCOE!S161+LCOE!G$29</f>
        <v>313.75</v>
      </c>
      <c r="P135" s="12">
        <f>LCOE!T161+IF(A135&gt;=LCOE!G$30,100%,0%)</f>
        <v>1</v>
      </c>
      <c r="Q135" s="16">
        <f>LCOE!U161+O135/1000*IF(LCOE!G$14&gt;0,G135,H135)</f>
        <v>0</v>
      </c>
      <c r="R135" s="16">
        <f>LCOE!B161</f>
        <v>30</v>
      </c>
      <c r="S135" s="16">
        <f>LCOE!V161+Q135*P135*R135</f>
        <v>0</v>
      </c>
      <c r="T135" s="16">
        <f>LCOE!W161+LCOE!G$31</f>
        <v>0</v>
      </c>
      <c r="U135" s="16">
        <f>LCOE!X161+T135*IF(LCOE!G$14&gt;0,G135,H135)</f>
        <v>0</v>
      </c>
      <c r="V135" s="16">
        <f>LCOE!Y161+LCOE!G$32</f>
        <v>0</v>
      </c>
      <c r="W135" s="16">
        <f>LCOE!Z161+V135*IF(LCOE!G$14&gt;0,G135,H135)</f>
        <v>0</v>
      </c>
      <c r="X135" s="16">
        <f>LCOE!AA161+LCOE!G$34</f>
        <v>101</v>
      </c>
      <c r="Y135" s="16">
        <f t="shared" ref="Y135:Y170" si="29">X135*H135</f>
        <v>0</v>
      </c>
      <c r="Z135" s="50">
        <f t="shared" si="18"/>
        <v>0</v>
      </c>
      <c r="AA135" s="50">
        <f t="shared" si="19"/>
        <v>0</v>
      </c>
      <c r="AB135" s="50">
        <f t="shared" si="20"/>
        <v>0</v>
      </c>
      <c r="AC135" s="50">
        <f t="shared" ref="AC135:AC170" si="30">U135+W135</f>
        <v>0</v>
      </c>
      <c r="AD135" s="50">
        <f t="shared" si="25"/>
        <v>0</v>
      </c>
      <c r="AE135">
        <f t="shared" ref="AE135:AE170" si="31">AE134+1*E135</f>
        <v>30</v>
      </c>
      <c r="AF135" s="12">
        <f>LCOE!E161+LCOE!G$40</f>
        <v>7.0000000000000007E-2</v>
      </c>
      <c r="AG135">
        <f t="shared" si="26"/>
        <v>81.272861244655914</v>
      </c>
      <c r="AH135" s="16">
        <f t="shared" si="21"/>
        <v>0</v>
      </c>
      <c r="AI135" s="16">
        <f t="shared" si="22"/>
        <v>0</v>
      </c>
      <c r="AJ135" s="16">
        <f t="shared" si="23"/>
        <v>0</v>
      </c>
      <c r="AK135" s="16">
        <f t="shared" si="24"/>
        <v>0</v>
      </c>
      <c r="AL135" s="16">
        <f t="shared" si="27"/>
        <v>0</v>
      </c>
      <c r="AM135" s="16">
        <f t="shared" si="28"/>
        <v>0</v>
      </c>
      <c r="AN135" s="16">
        <f>IF(LCOE!G$14&gt;0,G135,H135)/AG135</f>
        <v>0</v>
      </c>
    </row>
    <row r="136" spans="1:40">
      <c r="A136">
        <v>66</v>
      </c>
      <c r="C136" s="16">
        <f>LCOE!G162+IF(AND(LCOE!G$26&gt;0,A136&gt;=LCOE!G$26,A136&lt;=(LCOE!G$26+LCOE!G$27-1)),LCOE!G$42/LCOE!G$27,0)+IF(AND(D136=0,AE136&gt;=LCOE!G$16,COUNTIF(D111:D136,0)=LCOE!G$36),LCOE!G$35*LCOE!G$38,0)</f>
        <v>0</v>
      </c>
      <c r="D136" s="16">
        <f>IF(AE135&lt;LCOE!G$16,1,0)</f>
        <v>0</v>
      </c>
      <c r="E136" s="12">
        <f>LCOE!G162+IF(AND(A136&gt;=LCOE!G$26,A136&lt;=(LCOE!G$26+LCOE!G$27-1)),0,1)*IF(A136=LCOE!G$34,0,1)*D136</f>
        <v>0</v>
      </c>
      <c r="F136" s="12">
        <f>IF(F135&lt;LCOE!G$18,MIN(F135*(1+LCOE!G$19),LCOE!G$18),LCOE!G$18)+LCOE!J162</f>
        <v>0.9</v>
      </c>
      <c r="G136" s="16">
        <f>LCOE!K162+E136*F136*N136*(LCOE!G$14+LCOE!H162)*24*365*D136</f>
        <v>0</v>
      </c>
      <c r="H136" s="16">
        <f>LCOE!L162+F136*(LCOE!G$15+LCOE!I162)*E136*24*365*D136*N136</f>
        <v>0</v>
      </c>
      <c r="I136" s="16">
        <f>LCOE!M162+LCOE!G$20*IF(LCOE!G$14&gt;0,(LCOE!G$14+LCOE!H162),(LCOE!G$15+LCOE!I162))*K136*D136</f>
        <v>0</v>
      </c>
      <c r="J136" s="16">
        <f>LCOE!N162+LCOE!G$21*IF(LCOE!G$14&gt;0,G136,H136)*K136*D136</f>
        <v>0</v>
      </c>
      <c r="K136" s="15">
        <f>LCOE!O162+K135+K135*LCOE!G$22</f>
        <v>1</v>
      </c>
      <c r="L136" s="16">
        <f>LCOE!P162+LCOE!G$23*IF(LCOE!G$14&gt;0,G136,H136)*M136*D136</f>
        <v>0</v>
      </c>
      <c r="M136" s="15">
        <f>LCOE!Q162+M135+M135*LCOE!G$24</f>
        <v>1</v>
      </c>
      <c r="N136" s="15">
        <f>LCOE!R162+N135-N135*LCOE!G$25</f>
        <v>1</v>
      </c>
      <c r="O136" s="18">
        <f>LCOE!S162+LCOE!G$29</f>
        <v>313.75</v>
      </c>
      <c r="P136" s="12">
        <f>LCOE!T162+IF(A136&gt;=LCOE!G$30,100%,0%)</f>
        <v>1</v>
      </c>
      <c r="Q136" s="16">
        <f>LCOE!U162+O136/1000*IF(LCOE!G$14&gt;0,G136,H136)</f>
        <v>0</v>
      </c>
      <c r="R136" s="16">
        <f>LCOE!B162</f>
        <v>30</v>
      </c>
      <c r="S136" s="16">
        <f>LCOE!V162+Q136*P136*R136</f>
        <v>0</v>
      </c>
      <c r="T136" s="16">
        <f>LCOE!W162+LCOE!G$31</f>
        <v>0</v>
      </c>
      <c r="U136" s="16">
        <f>LCOE!X162+T136*IF(LCOE!G$14&gt;0,G136,H136)</f>
        <v>0</v>
      </c>
      <c r="V136" s="16">
        <f>LCOE!Y162+LCOE!G$32</f>
        <v>0</v>
      </c>
      <c r="W136" s="16">
        <f>LCOE!Z162+V136*IF(LCOE!G$14&gt;0,G136,H136)</f>
        <v>0</v>
      </c>
      <c r="X136" s="16">
        <f>LCOE!AA162+LCOE!G$34</f>
        <v>101</v>
      </c>
      <c r="Y136" s="16">
        <f t="shared" si="29"/>
        <v>0</v>
      </c>
      <c r="Z136" s="50">
        <f t="shared" ref="Z136:Z170" si="32">SUM(B136:C136)</f>
        <v>0</v>
      </c>
      <c r="AA136" s="50">
        <f t="shared" ref="AA136:AA170" si="33">SUM(I136:J136)</f>
        <v>0</v>
      </c>
      <c r="AB136" s="50">
        <f t="shared" ref="AB136:AB170" si="34">L136</f>
        <v>0</v>
      </c>
      <c r="AC136" s="50">
        <f t="shared" si="30"/>
        <v>0</v>
      </c>
      <c r="AD136" s="50">
        <f t="shared" si="25"/>
        <v>0</v>
      </c>
      <c r="AE136">
        <f t="shared" si="31"/>
        <v>30</v>
      </c>
      <c r="AF136" s="12">
        <f>LCOE!E162+LCOE!G$40</f>
        <v>7.0000000000000007E-2</v>
      </c>
      <c r="AG136">
        <f t="shared" si="26"/>
        <v>86.961961531781824</v>
      </c>
      <c r="AH136" s="16">
        <f t="shared" si="21"/>
        <v>0</v>
      </c>
      <c r="AI136" s="16">
        <f t="shared" si="22"/>
        <v>0</v>
      </c>
      <c r="AJ136" s="16">
        <f t="shared" si="23"/>
        <v>0</v>
      </c>
      <c r="AK136" s="16">
        <f t="shared" si="24"/>
        <v>0</v>
      </c>
      <c r="AL136" s="16">
        <f t="shared" si="27"/>
        <v>0</v>
      </c>
      <c r="AM136" s="16">
        <f t="shared" si="28"/>
        <v>0</v>
      </c>
      <c r="AN136" s="16">
        <f>IF(LCOE!G$14&gt;0,G136,H136)/AG136</f>
        <v>0</v>
      </c>
    </row>
    <row r="137" spans="1:40">
      <c r="A137">
        <v>67</v>
      </c>
      <c r="C137" s="16">
        <f>LCOE!G163+IF(AND(LCOE!G$26&gt;0,A137&gt;=LCOE!G$26,A137&lt;=(LCOE!G$26+LCOE!G$27-1)),LCOE!G$42/LCOE!G$27,0)+IF(AND(D137=0,AE137&gt;=LCOE!G$16,COUNTIF(D112:D137,0)=LCOE!G$36),LCOE!G$35*LCOE!G$38,0)</f>
        <v>0</v>
      </c>
      <c r="D137" s="16">
        <f>IF(AE136&lt;LCOE!G$16,1,0)</f>
        <v>0</v>
      </c>
      <c r="E137" s="12">
        <f>LCOE!G163+IF(AND(A137&gt;=LCOE!G$26,A137&lt;=(LCOE!G$26+LCOE!G$27-1)),0,1)*IF(A137=LCOE!G$34,0,1)*D137</f>
        <v>0</v>
      </c>
      <c r="F137" s="12">
        <f>IF(F136&lt;LCOE!G$18,MIN(F136*(1+LCOE!G$19),LCOE!G$18),LCOE!G$18)+LCOE!J163</f>
        <v>0.9</v>
      </c>
      <c r="G137" s="16">
        <f>LCOE!K163+E137*F137*N137*(LCOE!G$14+LCOE!H163)*24*365*D137</f>
        <v>0</v>
      </c>
      <c r="H137" s="16">
        <f>LCOE!L163+F137*(LCOE!G$15+LCOE!I163)*E137*24*365*D137*N137</f>
        <v>0</v>
      </c>
      <c r="I137" s="16">
        <f>LCOE!M163+LCOE!G$20*IF(LCOE!G$14&gt;0,(LCOE!G$14+LCOE!H163),(LCOE!G$15+LCOE!I163))*K137*D137</f>
        <v>0</v>
      </c>
      <c r="J137" s="16">
        <f>LCOE!N163+LCOE!G$21*IF(LCOE!G$14&gt;0,G137,H137)*K137*D137</f>
        <v>0</v>
      </c>
      <c r="K137" s="15">
        <f>LCOE!O163+K136+K136*LCOE!G$22</f>
        <v>1</v>
      </c>
      <c r="L137" s="16">
        <f>LCOE!P163+LCOE!G$23*IF(LCOE!G$14&gt;0,G137,H137)*M137*D137</f>
        <v>0</v>
      </c>
      <c r="M137" s="15">
        <f>LCOE!Q163+M136+M136*LCOE!G$24</f>
        <v>1</v>
      </c>
      <c r="N137" s="15">
        <f>LCOE!R163+N136-N136*LCOE!G$25</f>
        <v>1</v>
      </c>
      <c r="O137" s="18">
        <f>LCOE!S163+LCOE!G$29</f>
        <v>313.75</v>
      </c>
      <c r="P137" s="12">
        <f>LCOE!T163+IF(A137&gt;=LCOE!G$30,100%,0%)</f>
        <v>1</v>
      </c>
      <c r="Q137" s="16">
        <f>LCOE!U163+O137/1000*IF(LCOE!G$14&gt;0,G137,H137)</f>
        <v>0</v>
      </c>
      <c r="R137" s="16">
        <f>LCOE!B163</f>
        <v>30</v>
      </c>
      <c r="S137" s="16">
        <f>LCOE!V163+Q137*P137*R137</f>
        <v>0</v>
      </c>
      <c r="T137" s="16">
        <f>LCOE!W163+LCOE!G$31</f>
        <v>0</v>
      </c>
      <c r="U137" s="16">
        <f>LCOE!X163+T137*IF(LCOE!G$14&gt;0,G137,H137)</f>
        <v>0</v>
      </c>
      <c r="V137" s="16">
        <f>LCOE!Y163+LCOE!G$32</f>
        <v>0</v>
      </c>
      <c r="W137" s="16">
        <f>LCOE!Z163+V137*IF(LCOE!G$14&gt;0,G137,H137)</f>
        <v>0</v>
      </c>
      <c r="X137" s="16">
        <f>LCOE!AA163+LCOE!G$34</f>
        <v>101</v>
      </c>
      <c r="Y137" s="16">
        <f t="shared" si="29"/>
        <v>0</v>
      </c>
      <c r="Z137" s="50">
        <f t="shared" si="32"/>
        <v>0</v>
      </c>
      <c r="AA137" s="50">
        <f t="shared" si="33"/>
        <v>0</v>
      </c>
      <c r="AB137" s="50">
        <f t="shared" si="34"/>
        <v>0</v>
      </c>
      <c r="AC137" s="50">
        <f t="shared" si="30"/>
        <v>0</v>
      </c>
      <c r="AD137" s="50">
        <f t="shared" si="25"/>
        <v>0</v>
      </c>
      <c r="AE137">
        <f t="shared" si="31"/>
        <v>30</v>
      </c>
      <c r="AF137" s="12">
        <f>LCOE!E163+LCOE!G$40</f>
        <v>7.0000000000000007E-2</v>
      </c>
      <c r="AG137">
        <f t="shared" si="26"/>
        <v>93.049298839006553</v>
      </c>
      <c r="AH137" s="16">
        <f t="shared" si="21"/>
        <v>0</v>
      </c>
      <c r="AI137" s="16">
        <f t="shared" si="22"/>
        <v>0</v>
      </c>
      <c r="AJ137" s="16">
        <f t="shared" si="23"/>
        <v>0</v>
      </c>
      <c r="AK137" s="16">
        <f t="shared" si="24"/>
        <v>0</v>
      </c>
      <c r="AL137" s="16">
        <f t="shared" si="27"/>
        <v>0</v>
      </c>
      <c r="AM137" s="16">
        <f t="shared" si="28"/>
        <v>0</v>
      </c>
      <c r="AN137" s="16">
        <f>IF(LCOE!G$14&gt;0,G137,H137)/AG137</f>
        <v>0</v>
      </c>
    </row>
    <row r="138" spans="1:40">
      <c r="A138">
        <v>68</v>
      </c>
      <c r="C138" s="16">
        <f>LCOE!G164+IF(AND(LCOE!G$26&gt;0,A138&gt;=LCOE!G$26,A138&lt;=(LCOE!G$26+LCOE!G$27-1)),LCOE!G$42/LCOE!G$27,0)+IF(AND(D138=0,AE138&gt;=LCOE!G$16,COUNTIF(D113:D138,0)=LCOE!G$36),LCOE!G$35*LCOE!G$38,0)</f>
        <v>0</v>
      </c>
      <c r="D138" s="16">
        <f>IF(AE137&lt;LCOE!G$16,1,0)</f>
        <v>0</v>
      </c>
      <c r="E138" s="12">
        <f>LCOE!G164+IF(AND(A138&gt;=LCOE!G$26,A138&lt;=(LCOE!G$26+LCOE!G$27-1)),0,1)*IF(A138=LCOE!G$34,0,1)*D138</f>
        <v>0</v>
      </c>
      <c r="F138" s="12">
        <f>IF(F137&lt;LCOE!G$18,MIN(F137*(1+LCOE!G$19),LCOE!G$18),LCOE!G$18)+LCOE!J164</f>
        <v>0.9</v>
      </c>
      <c r="G138" s="16">
        <f>LCOE!K164+E138*F138*N138*(LCOE!G$14+LCOE!H164)*24*365*D138</f>
        <v>0</v>
      </c>
      <c r="H138" s="16">
        <f>LCOE!L164+F138*(LCOE!G$15+LCOE!I164)*E138*24*365*D138*N138</f>
        <v>0</v>
      </c>
      <c r="I138" s="16">
        <f>LCOE!M164+LCOE!G$20*IF(LCOE!G$14&gt;0,(LCOE!G$14+LCOE!H164),(LCOE!G$15+LCOE!I164))*K138*D138</f>
        <v>0</v>
      </c>
      <c r="J138" s="16">
        <f>LCOE!N164+LCOE!G$21*IF(LCOE!G$14&gt;0,G138,H138)*K138*D138</f>
        <v>0</v>
      </c>
      <c r="K138" s="15">
        <f>LCOE!O164+K137+K137*LCOE!G$22</f>
        <v>1</v>
      </c>
      <c r="L138" s="16">
        <f>LCOE!P164+LCOE!G$23*IF(LCOE!G$14&gt;0,G138,H138)*M138*D138</f>
        <v>0</v>
      </c>
      <c r="M138" s="15">
        <f>LCOE!Q164+M137+M137*LCOE!G$24</f>
        <v>1</v>
      </c>
      <c r="N138" s="15">
        <f>LCOE!R164+N137-N137*LCOE!G$25</f>
        <v>1</v>
      </c>
      <c r="O138" s="18">
        <f>LCOE!S164+LCOE!G$29</f>
        <v>313.75</v>
      </c>
      <c r="P138" s="12">
        <f>LCOE!T164+IF(A138&gt;=LCOE!G$30,100%,0%)</f>
        <v>1</v>
      </c>
      <c r="Q138" s="16">
        <f>LCOE!U164+O138/1000*IF(LCOE!G$14&gt;0,G138,H138)</f>
        <v>0</v>
      </c>
      <c r="R138" s="16">
        <f>LCOE!B164</f>
        <v>30</v>
      </c>
      <c r="S138" s="16">
        <f>LCOE!V164+Q138*P138*R138</f>
        <v>0</v>
      </c>
      <c r="T138" s="16">
        <f>LCOE!W164+LCOE!G$31</f>
        <v>0</v>
      </c>
      <c r="U138" s="16">
        <f>LCOE!X164+T138*IF(LCOE!G$14&gt;0,G138,H138)</f>
        <v>0</v>
      </c>
      <c r="V138" s="16">
        <f>LCOE!Y164+LCOE!G$32</f>
        <v>0</v>
      </c>
      <c r="W138" s="16">
        <f>LCOE!Z164+V138*IF(LCOE!G$14&gt;0,G138,H138)</f>
        <v>0</v>
      </c>
      <c r="X138" s="16">
        <f>LCOE!AA164+LCOE!G$34</f>
        <v>101</v>
      </c>
      <c r="Y138" s="16">
        <f t="shared" si="29"/>
        <v>0</v>
      </c>
      <c r="Z138" s="50">
        <f t="shared" si="32"/>
        <v>0</v>
      </c>
      <c r="AA138" s="50">
        <f t="shared" si="33"/>
        <v>0</v>
      </c>
      <c r="AB138" s="50">
        <f t="shared" si="34"/>
        <v>0</v>
      </c>
      <c r="AC138" s="50">
        <f t="shared" si="30"/>
        <v>0</v>
      </c>
      <c r="AD138" s="50">
        <f t="shared" si="25"/>
        <v>0</v>
      </c>
      <c r="AE138">
        <f t="shared" si="31"/>
        <v>30</v>
      </c>
      <c r="AF138" s="12">
        <f>LCOE!E164+LCOE!G$40</f>
        <v>7.0000000000000007E-2</v>
      </c>
      <c r="AG138">
        <f t="shared" si="26"/>
        <v>99.562749757737009</v>
      </c>
      <c r="AH138" s="16">
        <f t="shared" si="21"/>
        <v>0</v>
      </c>
      <c r="AI138" s="16">
        <f t="shared" si="22"/>
        <v>0</v>
      </c>
      <c r="AJ138" s="16">
        <f t="shared" si="23"/>
        <v>0</v>
      </c>
      <c r="AK138" s="16">
        <f t="shared" si="24"/>
        <v>0</v>
      </c>
      <c r="AL138" s="16">
        <f t="shared" si="27"/>
        <v>0</v>
      </c>
      <c r="AM138" s="16">
        <f t="shared" si="28"/>
        <v>0</v>
      </c>
      <c r="AN138" s="16">
        <f>IF(LCOE!G$14&gt;0,G138,H138)/AG138</f>
        <v>0</v>
      </c>
    </row>
    <row r="139" spans="1:40">
      <c r="A139">
        <v>69</v>
      </c>
      <c r="C139" s="16">
        <f>LCOE!G165+IF(AND(LCOE!G$26&gt;0,A139&gt;=LCOE!G$26,A139&lt;=(LCOE!G$26+LCOE!G$27-1)),LCOE!G$42/LCOE!G$27,0)+IF(AND(D139=0,AE139&gt;=LCOE!G$16,COUNTIF(D114:D139,0)=LCOE!G$36),LCOE!G$35*LCOE!G$38,0)</f>
        <v>0</v>
      </c>
      <c r="D139" s="16">
        <f>IF(AE138&lt;LCOE!G$16,1,0)</f>
        <v>0</v>
      </c>
      <c r="E139" s="12">
        <f>LCOE!G165+IF(AND(A139&gt;=LCOE!G$26,A139&lt;=(LCOE!G$26+LCOE!G$27-1)),0,1)*IF(A139=LCOE!G$34,0,1)*D139</f>
        <v>0</v>
      </c>
      <c r="F139" s="12">
        <f>IF(F138&lt;LCOE!G$18,MIN(F138*(1+LCOE!G$19),LCOE!G$18),LCOE!G$18)+LCOE!J165</f>
        <v>0.9</v>
      </c>
      <c r="G139" s="16">
        <f>LCOE!K165+E139*F139*N139*(LCOE!G$14+LCOE!H165)*24*365*D139</f>
        <v>0</v>
      </c>
      <c r="H139" s="16">
        <f>LCOE!L165+F139*(LCOE!G$15+LCOE!I165)*E139*24*365*D139*N139</f>
        <v>0</v>
      </c>
      <c r="I139" s="16">
        <f>LCOE!M165+LCOE!G$20*IF(LCOE!G$14&gt;0,(LCOE!G$14+LCOE!H165),(LCOE!G$15+LCOE!I165))*K139*D139</f>
        <v>0</v>
      </c>
      <c r="J139" s="16">
        <f>LCOE!N165+LCOE!G$21*IF(LCOE!G$14&gt;0,G139,H139)*K139*D139</f>
        <v>0</v>
      </c>
      <c r="K139" s="15">
        <f>LCOE!O165+K138+K138*LCOE!G$22</f>
        <v>1</v>
      </c>
      <c r="L139" s="16">
        <f>LCOE!P165+LCOE!G$23*IF(LCOE!G$14&gt;0,G139,H139)*M139*D139</f>
        <v>0</v>
      </c>
      <c r="M139" s="15">
        <f>LCOE!Q165+M138+M138*LCOE!G$24</f>
        <v>1</v>
      </c>
      <c r="N139" s="15">
        <f>LCOE!R165+N138-N138*LCOE!G$25</f>
        <v>1</v>
      </c>
      <c r="O139" s="18">
        <f>LCOE!S165+LCOE!G$29</f>
        <v>313.75</v>
      </c>
      <c r="P139" s="12">
        <f>LCOE!T165+IF(A139&gt;=LCOE!G$30,100%,0%)</f>
        <v>1</v>
      </c>
      <c r="Q139" s="16">
        <f>LCOE!U165+O139/1000*IF(LCOE!G$14&gt;0,G139,H139)</f>
        <v>0</v>
      </c>
      <c r="R139" s="16">
        <f>LCOE!B165</f>
        <v>30</v>
      </c>
      <c r="S139" s="16">
        <f>LCOE!V165+Q139*P139*R139</f>
        <v>0</v>
      </c>
      <c r="T139" s="16">
        <f>LCOE!W165+LCOE!G$31</f>
        <v>0</v>
      </c>
      <c r="U139" s="16">
        <f>LCOE!X165+T139*IF(LCOE!G$14&gt;0,G139,H139)</f>
        <v>0</v>
      </c>
      <c r="V139" s="16">
        <f>LCOE!Y165+LCOE!G$32</f>
        <v>0</v>
      </c>
      <c r="W139" s="16">
        <f>LCOE!Z165+V139*IF(LCOE!G$14&gt;0,G139,H139)</f>
        <v>0</v>
      </c>
      <c r="X139" s="16">
        <f>LCOE!AA165+LCOE!G$34</f>
        <v>101</v>
      </c>
      <c r="Y139" s="16">
        <f t="shared" si="29"/>
        <v>0</v>
      </c>
      <c r="Z139" s="50">
        <f t="shared" si="32"/>
        <v>0</v>
      </c>
      <c r="AA139" s="50">
        <f t="shared" si="33"/>
        <v>0</v>
      </c>
      <c r="AB139" s="50">
        <f t="shared" si="34"/>
        <v>0</v>
      </c>
      <c r="AC139" s="50">
        <f t="shared" si="30"/>
        <v>0</v>
      </c>
      <c r="AD139" s="50">
        <f t="shared" si="25"/>
        <v>0</v>
      </c>
      <c r="AE139">
        <f t="shared" si="31"/>
        <v>30</v>
      </c>
      <c r="AF139" s="12">
        <f>LCOE!E165+LCOE!G$40</f>
        <v>7.0000000000000007E-2</v>
      </c>
      <c r="AG139">
        <f t="shared" si="26"/>
        <v>106.53214224077861</v>
      </c>
      <c r="AH139" s="16">
        <f t="shared" si="21"/>
        <v>0</v>
      </c>
      <c r="AI139" s="16">
        <f t="shared" si="22"/>
        <v>0</v>
      </c>
      <c r="AJ139" s="16">
        <f t="shared" si="23"/>
        <v>0</v>
      </c>
      <c r="AK139" s="16">
        <f t="shared" si="24"/>
        <v>0</v>
      </c>
      <c r="AL139" s="16">
        <f t="shared" si="27"/>
        <v>0</v>
      </c>
      <c r="AM139" s="16">
        <f t="shared" si="28"/>
        <v>0</v>
      </c>
      <c r="AN139" s="16">
        <f>IF(LCOE!G$14&gt;0,G139,H139)/AG139</f>
        <v>0</v>
      </c>
    </row>
    <row r="140" spans="1:40">
      <c r="A140">
        <v>70</v>
      </c>
      <c r="C140" s="16">
        <f>LCOE!G166+IF(AND(LCOE!G$26&gt;0,A140&gt;=LCOE!G$26,A140&lt;=(LCOE!G$26+LCOE!G$27-1)),LCOE!G$42/LCOE!G$27,0)+IF(AND(D140=0,AE140&gt;=LCOE!G$16,COUNTIF(D115:D140,0)=LCOE!G$36),LCOE!G$35*LCOE!G$38,0)</f>
        <v>0</v>
      </c>
      <c r="D140" s="16">
        <f>IF(AE139&lt;LCOE!G$16,1,0)</f>
        <v>0</v>
      </c>
      <c r="E140" s="12">
        <f>LCOE!G166+IF(AND(A140&gt;=LCOE!G$26,A140&lt;=(LCOE!G$26+LCOE!G$27-1)),0,1)*IF(A140=LCOE!G$34,0,1)*D140</f>
        <v>0</v>
      </c>
      <c r="F140" s="12">
        <f>IF(F139&lt;LCOE!G$18,MIN(F139*(1+LCOE!G$19),LCOE!G$18),LCOE!G$18)+LCOE!J166</f>
        <v>0.9</v>
      </c>
      <c r="G140" s="16">
        <f>LCOE!K166+E140*F140*N140*(LCOE!G$14+LCOE!H166)*24*365*D140</f>
        <v>0</v>
      </c>
      <c r="H140" s="16">
        <f>LCOE!L166+F140*(LCOE!G$15+LCOE!I166)*E140*24*365*D140*N140</f>
        <v>0</v>
      </c>
      <c r="I140" s="16">
        <f>LCOE!M166+LCOE!G$20*IF(LCOE!G$14&gt;0,(LCOE!G$14+LCOE!H166),(LCOE!G$15+LCOE!I166))*K140*D140</f>
        <v>0</v>
      </c>
      <c r="J140" s="16">
        <f>LCOE!N166+LCOE!G$21*IF(LCOE!G$14&gt;0,G140,H140)*K140*D140</f>
        <v>0</v>
      </c>
      <c r="K140" s="15">
        <f>LCOE!O166+K139+K139*LCOE!G$22</f>
        <v>1</v>
      </c>
      <c r="L140" s="16">
        <f>LCOE!P166+LCOE!G$23*IF(LCOE!G$14&gt;0,G140,H140)*M140*D140</f>
        <v>0</v>
      </c>
      <c r="M140" s="15">
        <f>LCOE!Q166+M139+M139*LCOE!G$24</f>
        <v>1</v>
      </c>
      <c r="N140" s="15">
        <f>LCOE!R166+N139-N139*LCOE!G$25</f>
        <v>1</v>
      </c>
      <c r="O140" s="18">
        <f>LCOE!S166+LCOE!G$29</f>
        <v>313.75</v>
      </c>
      <c r="P140" s="12">
        <f>LCOE!T166+IF(A140&gt;=LCOE!G$30,100%,0%)</f>
        <v>1</v>
      </c>
      <c r="Q140" s="16">
        <f>LCOE!U166+O140/1000*IF(LCOE!G$14&gt;0,G140,H140)</f>
        <v>0</v>
      </c>
      <c r="R140" s="16">
        <f>LCOE!B166</f>
        <v>30</v>
      </c>
      <c r="S140" s="16">
        <f>LCOE!V166+Q140*P140*R140</f>
        <v>0</v>
      </c>
      <c r="T140" s="16">
        <f>LCOE!W166+LCOE!G$31</f>
        <v>0</v>
      </c>
      <c r="U140" s="16">
        <f>LCOE!X166+T140*IF(LCOE!G$14&gt;0,G140,H140)</f>
        <v>0</v>
      </c>
      <c r="V140" s="16">
        <f>LCOE!Y166+LCOE!G$32</f>
        <v>0</v>
      </c>
      <c r="W140" s="16">
        <f>LCOE!Z166+V140*IF(LCOE!G$14&gt;0,G140,H140)</f>
        <v>0</v>
      </c>
      <c r="X140" s="16">
        <f>LCOE!AA166+LCOE!G$34</f>
        <v>101</v>
      </c>
      <c r="Y140" s="16">
        <f t="shared" si="29"/>
        <v>0</v>
      </c>
      <c r="Z140" s="50">
        <f t="shared" si="32"/>
        <v>0</v>
      </c>
      <c r="AA140" s="50">
        <f t="shared" si="33"/>
        <v>0</v>
      </c>
      <c r="AB140" s="50">
        <f t="shared" si="34"/>
        <v>0</v>
      </c>
      <c r="AC140" s="50">
        <f t="shared" si="30"/>
        <v>0</v>
      </c>
      <c r="AD140" s="50">
        <f t="shared" si="25"/>
        <v>0</v>
      </c>
      <c r="AE140">
        <f t="shared" si="31"/>
        <v>30</v>
      </c>
      <c r="AF140" s="12">
        <f>LCOE!E166+LCOE!G$40</f>
        <v>7.0000000000000007E-2</v>
      </c>
      <c r="AG140">
        <f t="shared" si="26"/>
        <v>113.98939219763311</v>
      </c>
      <c r="AH140" s="16">
        <f t="shared" si="21"/>
        <v>0</v>
      </c>
      <c r="AI140" s="16">
        <f t="shared" si="22"/>
        <v>0</v>
      </c>
      <c r="AJ140" s="16">
        <f t="shared" si="23"/>
        <v>0</v>
      </c>
      <c r="AK140" s="16">
        <f t="shared" si="24"/>
        <v>0</v>
      </c>
      <c r="AL140" s="16">
        <f t="shared" si="27"/>
        <v>0</v>
      </c>
      <c r="AM140" s="16">
        <f t="shared" si="28"/>
        <v>0</v>
      </c>
      <c r="AN140" s="16">
        <f>IF(LCOE!G$14&gt;0,G140,H140)/AG140</f>
        <v>0</v>
      </c>
    </row>
    <row r="141" spans="1:40">
      <c r="A141">
        <v>71</v>
      </c>
      <c r="C141" s="16">
        <f>LCOE!G167+IF(AND(LCOE!G$26&gt;0,A141&gt;=LCOE!G$26,A141&lt;=(LCOE!G$26+LCOE!G$27-1)),LCOE!G$42/LCOE!G$27,0)+IF(AND(D141=0,AE141&gt;=LCOE!G$16,COUNTIF(D116:D141,0)=LCOE!G$36),LCOE!G$35*LCOE!G$38,0)</f>
        <v>0</v>
      </c>
      <c r="D141" s="16">
        <f>IF(AE140&lt;LCOE!G$16,1,0)</f>
        <v>0</v>
      </c>
      <c r="E141" s="12">
        <f>LCOE!G167+IF(AND(A141&gt;=LCOE!G$26,A141&lt;=(LCOE!G$26+LCOE!G$27-1)),0,1)*IF(A141=LCOE!G$34,0,1)*D141</f>
        <v>0</v>
      </c>
      <c r="F141" s="12">
        <f>IF(F140&lt;LCOE!G$18,MIN(F140*(1+LCOE!G$19),LCOE!G$18),LCOE!G$18)+LCOE!J167</f>
        <v>0.9</v>
      </c>
      <c r="G141" s="16">
        <f>LCOE!K167+E141*F141*N141*(LCOE!G$14+LCOE!H167)*24*365*D141</f>
        <v>0</v>
      </c>
      <c r="H141" s="16">
        <f>LCOE!L167+F141*(LCOE!G$15+LCOE!I167)*E141*24*365*D141*N141</f>
        <v>0</v>
      </c>
      <c r="I141" s="16">
        <f>LCOE!M167+LCOE!G$20*IF(LCOE!G$14&gt;0,(LCOE!G$14+LCOE!H167),(LCOE!G$15+LCOE!I167))*K141*D141</f>
        <v>0</v>
      </c>
      <c r="J141" s="16">
        <f>LCOE!N167+LCOE!G$21*IF(LCOE!G$14&gt;0,G141,H141)*K141*D141</f>
        <v>0</v>
      </c>
      <c r="K141" s="15">
        <f>LCOE!O167+K140+K140*LCOE!G$22</f>
        <v>1</v>
      </c>
      <c r="L141" s="16">
        <f>LCOE!P167+LCOE!G$23*IF(LCOE!G$14&gt;0,G141,H141)*M141*D141</f>
        <v>0</v>
      </c>
      <c r="M141" s="15">
        <f>LCOE!Q167+M140+M140*LCOE!G$24</f>
        <v>1</v>
      </c>
      <c r="N141" s="15">
        <f>LCOE!R167+N140-N140*LCOE!G$25</f>
        <v>1</v>
      </c>
      <c r="O141" s="18">
        <f>LCOE!S167+LCOE!G$29</f>
        <v>313.75</v>
      </c>
      <c r="P141" s="12">
        <f>LCOE!T167+IF(A141&gt;=LCOE!G$30,100%,0%)</f>
        <v>1</v>
      </c>
      <c r="Q141" s="16">
        <f>LCOE!U167+O141/1000*IF(LCOE!G$14&gt;0,G141,H141)</f>
        <v>0</v>
      </c>
      <c r="R141" s="16">
        <f>LCOE!B167</f>
        <v>30</v>
      </c>
      <c r="S141" s="16">
        <f>LCOE!V167+Q141*P141*R141</f>
        <v>0</v>
      </c>
      <c r="T141" s="16">
        <f>LCOE!W167+LCOE!G$31</f>
        <v>0</v>
      </c>
      <c r="U141" s="16">
        <f>LCOE!X167+T141*IF(LCOE!G$14&gt;0,G141,H141)</f>
        <v>0</v>
      </c>
      <c r="V141" s="16">
        <f>LCOE!Y167+LCOE!G$32</f>
        <v>0</v>
      </c>
      <c r="W141" s="16">
        <f>LCOE!Z167+V141*IF(LCOE!G$14&gt;0,G141,H141)</f>
        <v>0</v>
      </c>
      <c r="X141" s="16">
        <f>LCOE!AA167+LCOE!G$34</f>
        <v>101</v>
      </c>
      <c r="Y141" s="16">
        <f t="shared" si="29"/>
        <v>0</v>
      </c>
      <c r="Z141" s="50">
        <f t="shared" si="32"/>
        <v>0</v>
      </c>
      <c r="AA141" s="50">
        <f t="shared" si="33"/>
        <v>0</v>
      </c>
      <c r="AB141" s="50">
        <f t="shared" si="34"/>
        <v>0</v>
      </c>
      <c r="AC141" s="50">
        <f t="shared" si="30"/>
        <v>0</v>
      </c>
      <c r="AD141" s="50">
        <f t="shared" si="25"/>
        <v>0</v>
      </c>
      <c r="AE141">
        <f t="shared" si="31"/>
        <v>30</v>
      </c>
      <c r="AF141" s="12">
        <f>LCOE!E167+LCOE!G$40</f>
        <v>7.0000000000000007E-2</v>
      </c>
      <c r="AG141">
        <f t="shared" si="26"/>
        <v>121.96864965146743</v>
      </c>
      <c r="AH141" s="16">
        <f t="shared" si="21"/>
        <v>0</v>
      </c>
      <c r="AI141" s="16">
        <f t="shared" si="22"/>
        <v>0</v>
      </c>
      <c r="AJ141" s="16">
        <f t="shared" si="23"/>
        <v>0</v>
      </c>
      <c r="AK141" s="16">
        <f t="shared" si="24"/>
        <v>0</v>
      </c>
      <c r="AL141" s="16">
        <f t="shared" si="27"/>
        <v>0</v>
      </c>
      <c r="AM141" s="16">
        <f t="shared" si="28"/>
        <v>0</v>
      </c>
      <c r="AN141" s="16">
        <f>IF(LCOE!G$14&gt;0,G141,H141)/AG141</f>
        <v>0</v>
      </c>
    </row>
    <row r="142" spans="1:40">
      <c r="A142">
        <v>72</v>
      </c>
      <c r="C142" s="16">
        <f>LCOE!G168+IF(AND(LCOE!G$26&gt;0,A142&gt;=LCOE!G$26,A142&lt;=(LCOE!G$26+LCOE!G$27-1)),LCOE!G$42/LCOE!G$27,0)+IF(AND(D142=0,AE142&gt;=LCOE!G$16,COUNTIF(D117:D142,0)=LCOE!G$36),LCOE!G$35*LCOE!G$38,0)</f>
        <v>0</v>
      </c>
      <c r="D142" s="16">
        <f>IF(AE141&lt;LCOE!G$16,1,0)</f>
        <v>0</v>
      </c>
      <c r="E142" s="12">
        <f>LCOE!G168+IF(AND(A142&gt;=LCOE!G$26,A142&lt;=(LCOE!G$26+LCOE!G$27-1)),0,1)*IF(A142=LCOE!G$34,0,1)*D142</f>
        <v>0</v>
      </c>
      <c r="F142" s="12">
        <f>IF(F141&lt;LCOE!G$18,MIN(F141*(1+LCOE!G$19),LCOE!G$18),LCOE!G$18)+LCOE!J168</f>
        <v>0.9</v>
      </c>
      <c r="G142" s="16">
        <f>LCOE!K168+E142*F142*N142*(LCOE!G$14+LCOE!H168)*24*365*D142</f>
        <v>0</v>
      </c>
      <c r="H142" s="16">
        <f>LCOE!L168+F142*(LCOE!G$15+LCOE!I168)*E142*24*365*D142*N142</f>
        <v>0</v>
      </c>
      <c r="I142" s="16">
        <f>LCOE!M168+LCOE!G$20*IF(LCOE!G$14&gt;0,(LCOE!G$14+LCOE!H168),(LCOE!G$15+LCOE!I168))*K142*D142</f>
        <v>0</v>
      </c>
      <c r="J142" s="16">
        <f>LCOE!N168+LCOE!G$21*IF(LCOE!G$14&gt;0,G142,H142)*K142*D142</f>
        <v>0</v>
      </c>
      <c r="K142" s="15">
        <f>LCOE!O168+K141+K141*LCOE!G$22</f>
        <v>1</v>
      </c>
      <c r="L142" s="16">
        <f>LCOE!P168+LCOE!G$23*IF(LCOE!G$14&gt;0,G142,H142)*M142*D142</f>
        <v>0</v>
      </c>
      <c r="M142" s="15">
        <f>LCOE!Q168+M141+M141*LCOE!G$24</f>
        <v>1</v>
      </c>
      <c r="N142" s="15">
        <f>LCOE!R168+N141-N141*LCOE!G$25</f>
        <v>1</v>
      </c>
      <c r="O142" s="18">
        <f>LCOE!S168+LCOE!G$29</f>
        <v>313.75</v>
      </c>
      <c r="P142" s="12">
        <f>LCOE!T168+IF(A142&gt;=LCOE!G$30,100%,0%)</f>
        <v>1</v>
      </c>
      <c r="Q142" s="16">
        <f>LCOE!U168+O142/1000*IF(LCOE!G$14&gt;0,G142,H142)</f>
        <v>0</v>
      </c>
      <c r="R142" s="16">
        <f>LCOE!B168</f>
        <v>30</v>
      </c>
      <c r="S142" s="16">
        <f>LCOE!V168+Q142*P142*R142</f>
        <v>0</v>
      </c>
      <c r="T142" s="16">
        <f>LCOE!W168+LCOE!G$31</f>
        <v>0</v>
      </c>
      <c r="U142" s="16">
        <f>LCOE!X168+T142*IF(LCOE!G$14&gt;0,G142,H142)</f>
        <v>0</v>
      </c>
      <c r="V142" s="16">
        <f>LCOE!Y168+LCOE!G$32</f>
        <v>0</v>
      </c>
      <c r="W142" s="16">
        <f>LCOE!Z168+V142*IF(LCOE!G$14&gt;0,G142,H142)</f>
        <v>0</v>
      </c>
      <c r="X142" s="16">
        <f>LCOE!AA168+LCOE!G$34</f>
        <v>101</v>
      </c>
      <c r="Y142" s="16">
        <f t="shared" si="29"/>
        <v>0</v>
      </c>
      <c r="Z142" s="50">
        <f t="shared" si="32"/>
        <v>0</v>
      </c>
      <c r="AA142" s="50">
        <f t="shared" si="33"/>
        <v>0</v>
      </c>
      <c r="AB142" s="50">
        <f t="shared" si="34"/>
        <v>0</v>
      </c>
      <c r="AC142" s="50">
        <f t="shared" si="30"/>
        <v>0</v>
      </c>
      <c r="AD142" s="50">
        <f t="shared" si="25"/>
        <v>0</v>
      </c>
      <c r="AE142">
        <f t="shared" si="31"/>
        <v>30</v>
      </c>
      <c r="AF142" s="12">
        <f>LCOE!E168+LCOE!G$40</f>
        <v>7.0000000000000007E-2</v>
      </c>
      <c r="AG142">
        <f t="shared" si="26"/>
        <v>130.50645512707015</v>
      </c>
      <c r="AH142" s="16">
        <f t="shared" si="21"/>
        <v>0</v>
      </c>
      <c r="AI142" s="16">
        <f t="shared" si="22"/>
        <v>0</v>
      </c>
      <c r="AJ142" s="16">
        <f t="shared" si="23"/>
        <v>0</v>
      </c>
      <c r="AK142" s="16">
        <f t="shared" si="24"/>
        <v>0</v>
      </c>
      <c r="AL142" s="16">
        <f t="shared" si="27"/>
        <v>0</v>
      </c>
      <c r="AM142" s="16">
        <f t="shared" si="28"/>
        <v>0</v>
      </c>
      <c r="AN142" s="16">
        <f>IF(LCOE!G$14&gt;0,G142,H142)/AG142</f>
        <v>0</v>
      </c>
    </row>
    <row r="143" spans="1:40">
      <c r="A143">
        <v>73</v>
      </c>
      <c r="C143" s="16">
        <f>LCOE!G169+IF(AND(LCOE!G$26&gt;0,A143&gt;=LCOE!G$26,A143&lt;=(LCOE!G$26+LCOE!G$27-1)),LCOE!G$42/LCOE!G$27,0)+IF(AND(D143=0,AE143&gt;=LCOE!G$16,COUNTIF(D118:D143,0)=LCOE!G$36),LCOE!G$35*LCOE!G$38,0)</f>
        <v>0</v>
      </c>
      <c r="D143" s="16">
        <f>IF(AE142&lt;LCOE!G$16,1,0)</f>
        <v>0</v>
      </c>
      <c r="E143" s="12">
        <f>LCOE!G169+IF(AND(A143&gt;=LCOE!G$26,A143&lt;=(LCOE!G$26+LCOE!G$27-1)),0,1)*IF(A143=LCOE!G$34,0,1)*D143</f>
        <v>0</v>
      </c>
      <c r="F143" s="12">
        <f>IF(F142&lt;LCOE!G$18,MIN(F142*(1+LCOE!G$19),LCOE!G$18),LCOE!G$18)+LCOE!J169</f>
        <v>0.9</v>
      </c>
      <c r="G143" s="16">
        <f>LCOE!K169+E143*F143*N143*(LCOE!G$14+LCOE!H169)*24*365*D143</f>
        <v>0</v>
      </c>
      <c r="H143" s="16">
        <f>LCOE!L169+F143*(LCOE!G$15+LCOE!I169)*E143*24*365*D143*N143</f>
        <v>0</v>
      </c>
      <c r="I143" s="16">
        <f>LCOE!M169+LCOE!G$20*IF(LCOE!G$14&gt;0,(LCOE!G$14+LCOE!H169),(LCOE!G$15+LCOE!I169))*K143*D143</f>
        <v>0</v>
      </c>
      <c r="J143" s="16">
        <f>LCOE!N169+LCOE!G$21*IF(LCOE!G$14&gt;0,G143,H143)*K143*D143</f>
        <v>0</v>
      </c>
      <c r="K143" s="15">
        <f>LCOE!O169+K142+K142*LCOE!G$22</f>
        <v>1</v>
      </c>
      <c r="L143" s="16">
        <f>LCOE!P169+LCOE!G$23*IF(LCOE!G$14&gt;0,G143,H143)*M143*D143</f>
        <v>0</v>
      </c>
      <c r="M143" s="15">
        <f>LCOE!Q169+M142+M142*LCOE!G$24</f>
        <v>1</v>
      </c>
      <c r="N143" s="15">
        <f>LCOE!R169+N142-N142*LCOE!G$25</f>
        <v>1</v>
      </c>
      <c r="O143" s="18">
        <f>LCOE!S169+LCOE!G$29</f>
        <v>313.75</v>
      </c>
      <c r="P143" s="12">
        <f>LCOE!T169+IF(A143&gt;=LCOE!G$30,100%,0%)</f>
        <v>1</v>
      </c>
      <c r="Q143" s="16">
        <f>LCOE!U169+O143/1000*IF(LCOE!G$14&gt;0,G143,H143)</f>
        <v>0</v>
      </c>
      <c r="R143" s="16">
        <f>LCOE!B169</f>
        <v>30</v>
      </c>
      <c r="S143" s="16">
        <f>LCOE!V169+Q143*P143*R143</f>
        <v>0</v>
      </c>
      <c r="T143" s="16">
        <f>LCOE!W169+LCOE!G$31</f>
        <v>0</v>
      </c>
      <c r="U143" s="16">
        <f>LCOE!X169+T143*IF(LCOE!G$14&gt;0,G143,H143)</f>
        <v>0</v>
      </c>
      <c r="V143" s="16">
        <f>LCOE!Y169+LCOE!G$32</f>
        <v>0</v>
      </c>
      <c r="W143" s="16">
        <f>LCOE!Z169+V143*IF(LCOE!G$14&gt;0,G143,H143)</f>
        <v>0</v>
      </c>
      <c r="X143" s="16">
        <f>LCOE!AA169+LCOE!G$34</f>
        <v>101</v>
      </c>
      <c r="Y143" s="16">
        <f t="shared" si="29"/>
        <v>0</v>
      </c>
      <c r="Z143" s="50">
        <f t="shared" si="32"/>
        <v>0</v>
      </c>
      <c r="AA143" s="50">
        <f t="shared" si="33"/>
        <v>0</v>
      </c>
      <c r="AB143" s="50">
        <f t="shared" si="34"/>
        <v>0</v>
      </c>
      <c r="AC143" s="50">
        <f t="shared" si="30"/>
        <v>0</v>
      </c>
      <c r="AD143" s="50">
        <f t="shared" si="25"/>
        <v>0</v>
      </c>
      <c r="AE143">
        <f t="shared" si="31"/>
        <v>30</v>
      </c>
      <c r="AF143" s="12">
        <f>LCOE!E169+LCOE!G$40</f>
        <v>7.0000000000000007E-2</v>
      </c>
      <c r="AG143">
        <f t="shared" si="26"/>
        <v>139.64190698596508</v>
      </c>
      <c r="AH143" s="16">
        <f t="shared" si="21"/>
        <v>0</v>
      </c>
      <c r="AI143" s="16">
        <f t="shared" si="22"/>
        <v>0</v>
      </c>
      <c r="AJ143" s="16">
        <f t="shared" si="23"/>
        <v>0</v>
      </c>
      <c r="AK143" s="16">
        <f t="shared" si="24"/>
        <v>0</v>
      </c>
      <c r="AL143" s="16">
        <f t="shared" si="27"/>
        <v>0</v>
      </c>
      <c r="AM143" s="16">
        <f t="shared" si="28"/>
        <v>0</v>
      </c>
      <c r="AN143" s="16">
        <f>IF(LCOE!G$14&gt;0,G143,H143)/AG143</f>
        <v>0</v>
      </c>
    </row>
    <row r="144" spans="1:40">
      <c r="A144">
        <v>74</v>
      </c>
      <c r="C144" s="16">
        <f>LCOE!G170+IF(AND(LCOE!G$26&gt;0,A144&gt;=LCOE!G$26,A144&lt;=(LCOE!G$26+LCOE!G$27-1)),LCOE!G$42/LCOE!G$27,0)+IF(AND(D144=0,AE144&gt;=LCOE!G$16,COUNTIF(D119:D144,0)=LCOE!G$36),LCOE!G$35*LCOE!G$38,0)</f>
        <v>0</v>
      </c>
      <c r="D144" s="16">
        <f>IF(AE143&lt;LCOE!G$16,1,0)</f>
        <v>0</v>
      </c>
      <c r="E144" s="12">
        <f>LCOE!G170+IF(AND(A144&gt;=LCOE!G$26,A144&lt;=(LCOE!G$26+LCOE!G$27-1)),0,1)*IF(A144=LCOE!G$34,0,1)*D144</f>
        <v>0</v>
      </c>
      <c r="F144" s="12">
        <f>IF(F143&lt;LCOE!G$18,MIN(F143*(1+LCOE!G$19),LCOE!G$18),LCOE!G$18)+LCOE!J170</f>
        <v>0.9</v>
      </c>
      <c r="G144" s="16">
        <f>LCOE!K170+E144*F144*N144*(LCOE!G$14+LCOE!H170)*24*365*D144</f>
        <v>0</v>
      </c>
      <c r="H144" s="16">
        <f>LCOE!L170+F144*(LCOE!G$15+LCOE!I170)*E144*24*365*D144*N144</f>
        <v>0</v>
      </c>
      <c r="I144" s="16">
        <f>LCOE!M170+LCOE!G$20*IF(LCOE!G$14&gt;0,(LCOE!G$14+LCOE!H170),(LCOE!G$15+LCOE!I170))*K144*D144</f>
        <v>0</v>
      </c>
      <c r="J144" s="16">
        <f>LCOE!N170+LCOE!G$21*IF(LCOE!G$14&gt;0,G144,H144)*K144*D144</f>
        <v>0</v>
      </c>
      <c r="K144" s="15">
        <f>LCOE!O170+K143+K143*LCOE!G$22</f>
        <v>1</v>
      </c>
      <c r="L144" s="16">
        <f>LCOE!P170+LCOE!G$23*IF(LCOE!G$14&gt;0,G144,H144)*M144*D144</f>
        <v>0</v>
      </c>
      <c r="M144" s="15">
        <f>LCOE!Q170+M143+M143*LCOE!G$24</f>
        <v>1</v>
      </c>
      <c r="N144" s="15">
        <f>LCOE!R170+N143-N143*LCOE!G$25</f>
        <v>1</v>
      </c>
      <c r="O144" s="18">
        <f>LCOE!S170+LCOE!G$29</f>
        <v>313.75</v>
      </c>
      <c r="P144" s="12">
        <f>LCOE!T170+IF(A144&gt;=LCOE!G$30,100%,0%)</f>
        <v>1</v>
      </c>
      <c r="Q144" s="16">
        <f>LCOE!U170+O144/1000*IF(LCOE!G$14&gt;0,G144,H144)</f>
        <v>0</v>
      </c>
      <c r="R144" s="16">
        <f>LCOE!B170</f>
        <v>30</v>
      </c>
      <c r="S144" s="16">
        <f>LCOE!V170+Q144*P144*R144</f>
        <v>0</v>
      </c>
      <c r="T144" s="16">
        <f>LCOE!W170+LCOE!G$31</f>
        <v>0</v>
      </c>
      <c r="U144" s="16">
        <f>LCOE!X170+T144*IF(LCOE!G$14&gt;0,G144,H144)</f>
        <v>0</v>
      </c>
      <c r="V144" s="16">
        <f>LCOE!Y170+LCOE!G$32</f>
        <v>0</v>
      </c>
      <c r="W144" s="16">
        <f>LCOE!Z170+V144*IF(LCOE!G$14&gt;0,G144,H144)</f>
        <v>0</v>
      </c>
      <c r="X144" s="16">
        <f>LCOE!AA170+LCOE!G$34</f>
        <v>101</v>
      </c>
      <c r="Y144" s="16">
        <f t="shared" si="29"/>
        <v>0</v>
      </c>
      <c r="Z144" s="50">
        <f t="shared" si="32"/>
        <v>0</v>
      </c>
      <c r="AA144" s="50">
        <f t="shared" si="33"/>
        <v>0</v>
      </c>
      <c r="AB144" s="50">
        <f t="shared" si="34"/>
        <v>0</v>
      </c>
      <c r="AC144" s="50">
        <f t="shared" si="30"/>
        <v>0</v>
      </c>
      <c r="AD144" s="50">
        <f t="shared" si="25"/>
        <v>0</v>
      </c>
      <c r="AE144">
        <f t="shared" si="31"/>
        <v>30</v>
      </c>
      <c r="AF144" s="12">
        <f>LCOE!E170+LCOE!G$40</f>
        <v>7.0000000000000007E-2</v>
      </c>
      <c r="AG144">
        <f t="shared" si="26"/>
        <v>149.41684047498262</v>
      </c>
      <c r="AH144" s="16">
        <f t="shared" si="21"/>
        <v>0</v>
      </c>
      <c r="AI144" s="16">
        <f t="shared" si="22"/>
        <v>0</v>
      </c>
      <c r="AJ144" s="16">
        <f t="shared" si="23"/>
        <v>0</v>
      </c>
      <c r="AK144" s="16">
        <f t="shared" si="24"/>
        <v>0</v>
      </c>
      <c r="AL144" s="16">
        <f t="shared" si="27"/>
        <v>0</v>
      </c>
      <c r="AM144" s="16">
        <f t="shared" si="28"/>
        <v>0</v>
      </c>
      <c r="AN144" s="16">
        <f>IF(LCOE!G$14&gt;0,G144,H144)/AG144</f>
        <v>0</v>
      </c>
    </row>
    <row r="145" spans="1:40">
      <c r="A145">
        <v>75</v>
      </c>
      <c r="C145" s="16">
        <f>LCOE!G171+IF(AND(LCOE!G$26&gt;0,A145&gt;=LCOE!G$26,A145&lt;=(LCOE!G$26+LCOE!G$27-1)),LCOE!G$42/LCOE!G$27,0)+IF(AND(D145=0,AE145&gt;=LCOE!G$16,COUNTIF(D120:D145,0)=LCOE!G$36),LCOE!G$35*LCOE!G$38,0)</f>
        <v>0</v>
      </c>
      <c r="D145" s="16">
        <f>IF(AE144&lt;LCOE!G$16,1,0)</f>
        <v>0</v>
      </c>
      <c r="E145" s="12">
        <f>LCOE!G171+IF(AND(A145&gt;=LCOE!G$26,A145&lt;=(LCOE!G$26+LCOE!G$27-1)),0,1)*IF(A145=LCOE!G$34,0,1)*D145</f>
        <v>0</v>
      </c>
      <c r="F145" s="12">
        <f>IF(F144&lt;LCOE!G$18,MIN(F144*(1+LCOE!G$19),LCOE!G$18),LCOE!G$18)+LCOE!J171</f>
        <v>0.9</v>
      </c>
      <c r="G145" s="16">
        <f>LCOE!K171+E145*F145*N145*(LCOE!G$14+LCOE!H171)*24*365*D145</f>
        <v>0</v>
      </c>
      <c r="H145" s="16">
        <f>LCOE!L171+F145*(LCOE!G$15+LCOE!I171)*E145*24*365*D145*N145</f>
        <v>0</v>
      </c>
      <c r="I145" s="16">
        <f>LCOE!M171+LCOE!G$20*IF(LCOE!G$14&gt;0,(LCOE!G$14+LCOE!H171),(LCOE!G$15+LCOE!I171))*K145*D145</f>
        <v>0</v>
      </c>
      <c r="J145" s="16">
        <f>LCOE!N171+LCOE!G$21*IF(LCOE!G$14&gt;0,G145,H145)*K145*D145</f>
        <v>0</v>
      </c>
      <c r="K145" s="15">
        <f>LCOE!O171+K144+K144*LCOE!G$22</f>
        <v>1</v>
      </c>
      <c r="L145" s="16">
        <f>LCOE!P171+LCOE!G$23*IF(LCOE!G$14&gt;0,G145,H145)*M145*D145</f>
        <v>0</v>
      </c>
      <c r="M145" s="15">
        <f>LCOE!Q171+M144+M144*LCOE!G$24</f>
        <v>1</v>
      </c>
      <c r="N145" s="15">
        <f>LCOE!R171+N144-N144*LCOE!G$25</f>
        <v>1</v>
      </c>
      <c r="O145" s="18">
        <f>LCOE!S171+LCOE!G$29</f>
        <v>313.75</v>
      </c>
      <c r="P145" s="12">
        <f>LCOE!T171+IF(A145&gt;=LCOE!G$30,100%,0%)</f>
        <v>1</v>
      </c>
      <c r="Q145" s="16">
        <f>LCOE!U171+O145/1000*IF(LCOE!G$14&gt;0,G145,H145)</f>
        <v>0</v>
      </c>
      <c r="R145" s="16">
        <f>LCOE!B171</f>
        <v>30</v>
      </c>
      <c r="S145" s="16">
        <f>LCOE!V171+Q145*P145*R145</f>
        <v>0</v>
      </c>
      <c r="T145" s="16">
        <f>LCOE!W171+LCOE!G$31</f>
        <v>0</v>
      </c>
      <c r="U145" s="16">
        <f>LCOE!X171+T145*IF(LCOE!G$14&gt;0,G145,H145)</f>
        <v>0</v>
      </c>
      <c r="V145" s="16">
        <f>LCOE!Y171+LCOE!G$32</f>
        <v>0</v>
      </c>
      <c r="W145" s="16">
        <f>LCOE!Z171+V145*IF(LCOE!G$14&gt;0,G145,H145)</f>
        <v>0</v>
      </c>
      <c r="X145" s="16">
        <f>LCOE!AA171+LCOE!G$34</f>
        <v>101</v>
      </c>
      <c r="Y145" s="16">
        <f t="shared" si="29"/>
        <v>0</v>
      </c>
      <c r="Z145" s="50">
        <f t="shared" si="32"/>
        <v>0</v>
      </c>
      <c r="AA145" s="50">
        <f t="shared" si="33"/>
        <v>0</v>
      </c>
      <c r="AB145" s="50">
        <f t="shared" si="34"/>
        <v>0</v>
      </c>
      <c r="AC145" s="50">
        <f t="shared" si="30"/>
        <v>0</v>
      </c>
      <c r="AD145" s="50">
        <f t="shared" si="25"/>
        <v>0</v>
      </c>
      <c r="AE145">
        <f t="shared" si="31"/>
        <v>30</v>
      </c>
      <c r="AF145" s="12">
        <f>LCOE!E171+LCOE!G$40</f>
        <v>7.0000000000000007E-2</v>
      </c>
      <c r="AG145">
        <f t="shared" si="26"/>
        <v>159.87601930823143</v>
      </c>
      <c r="AH145" s="16">
        <f t="shared" si="21"/>
        <v>0</v>
      </c>
      <c r="AI145" s="16">
        <f t="shared" si="22"/>
        <v>0</v>
      </c>
      <c r="AJ145" s="16">
        <f t="shared" si="23"/>
        <v>0</v>
      </c>
      <c r="AK145" s="16">
        <f t="shared" si="24"/>
        <v>0</v>
      </c>
      <c r="AL145" s="16">
        <f t="shared" si="27"/>
        <v>0</v>
      </c>
      <c r="AM145" s="16">
        <f t="shared" si="28"/>
        <v>0</v>
      </c>
      <c r="AN145" s="16">
        <f>IF(LCOE!G$14&gt;0,G145,H145)/AG145</f>
        <v>0</v>
      </c>
    </row>
    <row r="146" spans="1:40">
      <c r="A146">
        <v>76</v>
      </c>
      <c r="C146" s="16">
        <f>LCOE!G172+IF(AND(LCOE!G$26&gt;0,A146&gt;=LCOE!G$26,A146&lt;=(LCOE!G$26+LCOE!G$27-1)),LCOE!G$42/LCOE!G$27,0)+IF(AND(D146=0,AE146&gt;=LCOE!G$16,COUNTIF(D121:D146,0)=LCOE!G$36),LCOE!G$35*LCOE!G$38,0)</f>
        <v>0</v>
      </c>
      <c r="D146" s="16">
        <f>IF(AE145&lt;LCOE!G$16,1,0)</f>
        <v>0</v>
      </c>
      <c r="E146" s="12">
        <f>LCOE!G172+IF(AND(A146&gt;=LCOE!G$26,A146&lt;=(LCOE!G$26+LCOE!G$27-1)),0,1)*IF(A146=LCOE!G$34,0,1)*D146</f>
        <v>0</v>
      </c>
      <c r="F146" s="12">
        <f>IF(F145&lt;LCOE!G$18,MIN(F145*(1+LCOE!G$19),LCOE!G$18),LCOE!G$18)+LCOE!J172</f>
        <v>0.9</v>
      </c>
      <c r="G146" s="16">
        <f>LCOE!K172+E146*F146*N146*(LCOE!G$14+LCOE!H172)*24*365*D146</f>
        <v>0</v>
      </c>
      <c r="H146" s="16">
        <f>LCOE!L172+F146*(LCOE!G$15+LCOE!I172)*E146*24*365*D146*N146</f>
        <v>0</v>
      </c>
      <c r="I146" s="16">
        <f>LCOE!M172+LCOE!G$20*IF(LCOE!G$14&gt;0,(LCOE!G$14+LCOE!H172),(LCOE!G$15+LCOE!I172))*K146*D146</f>
        <v>0</v>
      </c>
      <c r="J146" s="16">
        <f>LCOE!N172+LCOE!G$21*IF(LCOE!G$14&gt;0,G146,H146)*K146*D146</f>
        <v>0</v>
      </c>
      <c r="K146" s="15">
        <f>LCOE!O172+K145+K145*LCOE!G$22</f>
        <v>1</v>
      </c>
      <c r="L146" s="16">
        <f>LCOE!P172+LCOE!G$23*IF(LCOE!G$14&gt;0,G146,H146)*M146*D146</f>
        <v>0</v>
      </c>
      <c r="M146" s="15">
        <f>LCOE!Q172+M145+M145*LCOE!G$24</f>
        <v>1</v>
      </c>
      <c r="N146" s="15">
        <f>LCOE!R172+N145-N145*LCOE!G$25</f>
        <v>1</v>
      </c>
      <c r="O146" s="18">
        <f>LCOE!S172+LCOE!G$29</f>
        <v>313.75</v>
      </c>
      <c r="P146" s="12">
        <f>LCOE!T172+IF(A146&gt;=LCOE!G$30,100%,0%)</f>
        <v>1</v>
      </c>
      <c r="Q146" s="16">
        <f>LCOE!U172+O146/1000*IF(LCOE!G$14&gt;0,G146,H146)</f>
        <v>0</v>
      </c>
      <c r="R146" s="16">
        <f>LCOE!B172</f>
        <v>30</v>
      </c>
      <c r="S146" s="16">
        <f>LCOE!V172+Q146*P146*R146</f>
        <v>0</v>
      </c>
      <c r="T146" s="16">
        <f>LCOE!W172+LCOE!G$31</f>
        <v>0</v>
      </c>
      <c r="U146" s="16">
        <f>LCOE!X172+T146*IF(LCOE!G$14&gt;0,G146,H146)</f>
        <v>0</v>
      </c>
      <c r="V146" s="16">
        <f>LCOE!Y172+LCOE!G$32</f>
        <v>0</v>
      </c>
      <c r="W146" s="16">
        <f>LCOE!Z172+V146*IF(LCOE!G$14&gt;0,G146,H146)</f>
        <v>0</v>
      </c>
      <c r="X146" s="16">
        <f>LCOE!AA172+LCOE!G$34</f>
        <v>101</v>
      </c>
      <c r="Y146" s="16">
        <f t="shared" si="29"/>
        <v>0</v>
      </c>
      <c r="Z146" s="50">
        <f t="shared" si="32"/>
        <v>0</v>
      </c>
      <c r="AA146" s="50">
        <f t="shared" si="33"/>
        <v>0</v>
      </c>
      <c r="AB146" s="50">
        <f t="shared" si="34"/>
        <v>0</v>
      </c>
      <c r="AC146" s="50">
        <f t="shared" si="30"/>
        <v>0</v>
      </c>
      <c r="AD146" s="50">
        <f t="shared" si="25"/>
        <v>0</v>
      </c>
      <c r="AE146">
        <f t="shared" si="31"/>
        <v>30</v>
      </c>
      <c r="AF146" s="12">
        <f>LCOE!E172+LCOE!G$40</f>
        <v>7.0000000000000007E-2</v>
      </c>
      <c r="AG146">
        <f t="shared" si="26"/>
        <v>171.0673406598076</v>
      </c>
      <c r="AH146" s="16">
        <f t="shared" si="21"/>
        <v>0</v>
      </c>
      <c r="AI146" s="16">
        <f t="shared" si="22"/>
        <v>0</v>
      </c>
      <c r="AJ146" s="16">
        <f t="shared" si="23"/>
        <v>0</v>
      </c>
      <c r="AK146" s="16">
        <f t="shared" si="24"/>
        <v>0</v>
      </c>
      <c r="AL146" s="16">
        <f t="shared" si="27"/>
        <v>0</v>
      </c>
      <c r="AM146" s="16">
        <f t="shared" si="28"/>
        <v>0</v>
      </c>
      <c r="AN146" s="16">
        <f>IF(LCOE!G$14&gt;0,G146,H146)/AG146</f>
        <v>0</v>
      </c>
    </row>
    <row r="147" spans="1:40">
      <c r="A147">
        <v>77</v>
      </c>
      <c r="C147" s="16">
        <f>LCOE!G173+IF(AND(LCOE!G$26&gt;0,A147&gt;=LCOE!G$26,A147&lt;=(LCOE!G$26+LCOE!G$27-1)),LCOE!G$42/LCOE!G$27,0)+IF(AND(D147=0,AE147&gt;=LCOE!G$16,COUNTIF(D122:D147,0)=LCOE!G$36),LCOE!G$35*LCOE!G$38,0)</f>
        <v>0</v>
      </c>
      <c r="D147" s="16">
        <f>IF(AE146&lt;LCOE!G$16,1,0)</f>
        <v>0</v>
      </c>
      <c r="E147" s="12">
        <f>LCOE!G173+IF(AND(A147&gt;=LCOE!G$26,A147&lt;=(LCOE!G$26+LCOE!G$27-1)),0,1)*IF(A147=LCOE!G$34,0,1)*D147</f>
        <v>0</v>
      </c>
      <c r="F147" s="12">
        <f>IF(F146&lt;LCOE!G$18,MIN(F146*(1+LCOE!G$19),LCOE!G$18),LCOE!G$18)+LCOE!J173</f>
        <v>0.9</v>
      </c>
      <c r="G147" s="16">
        <f>LCOE!K173+E147*F147*N147*(LCOE!G$14+LCOE!H173)*24*365*D147</f>
        <v>0</v>
      </c>
      <c r="H147" s="16">
        <f>LCOE!L173+F147*(LCOE!G$15+LCOE!I173)*E147*24*365*D147*N147</f>
        <v>0</v>
      </c>
      <c r="I147" s="16">
        <f>LCOE!M173+LCOE!G$20*IF(LCOE!G$14&gt;0,(LCOE!G$14+LCOE!H173),(LCOE!G$15+LCOE!I173))*K147*D147</f>
        <v>0</v>
      </c>
      <c r="J147" s="16">
        <f>LCOE!N173+LCOE!G$21*IF(LCOE!G$14&gt;0,G147,H147)*K147*D147</f>
        <v>0</v>
      </c>
      <c r="K147" s="15">
        <f>LCOE!O173+K146+K146*LCOE!G$22</f>
        <v>1</v>
      </c>
      <c r="L147" s="16">
        <f>LCOE!P173+LCOE!G$23*IF(LCOE!G$14&gt;0,G147,H147)*M147*D147</f>
        <v>0</v>
      </c>
      <c r="M147" s="15">
        <f>LCOE!Q173+M146+M146*LCOE!G$24</f>
        <v>1</v>
      </c>
      <c r="N147" s="15">
        <f>LCOE!R173+N146-N146*LCOE!G$25</f>
        <v>1</v>
      </c>
      <c r="O147" s="18">
        <f>LCOE!S173+LCOE!G$29</f>
        <v>313.75</v>
      </c>
      <c r="P147" s="12">
        <f>LCOE!T173+IF(A147&gt;=LCOE!G$30,100%,0%)</f>
        <v>1</v>
      </c>
      <c r="Q147" s="16">
        <f>LCOE!U173+O147/1000*IF(LCOE!G$14&gt;0,G147,H147)</f>
        <v>0</v>
      </c>
      <c r="R147" s="16">
        <f>LCOE!B173</f>
        <v>30</v>
      </c>
      <c r="S147" s="16">
        <f>LCOE!V173+Q147*P147*R147</f>
        <v>0</v>
      </c>
      <c r="T147" s="16">
        <f>LCOE!W173+LCOE!G$31</f>
        <v>0</v>
      </c>
      <c r="U147" s="16">
        <f>LCOE!X173+T147*IF(LCOE!G$14&gt;0,G147,H147)</f>
        <v>0</v>
      </c>
      <c r="V147" s="16">
        <f>LCOE!Y173+LCOE!G$32</f>
        <v>0</v>
      </c>
      <c r="W147" s="16">
        <f>LCOE!Z173+V147*IF(LCOE!G$14&gt;0,G147,H147)</f>
        <v>0</v>
      </c>
      <c r="X147" s="16">
        <f>LCOE!AA173+LCOE!G$34</f>
        <v>101</v>
      </c>
      <c r="Y147" s="16">
        <f t="shared" si="29"/>
        <v>0</v>
      </c>
      <c r="Z147" s="50">
        <f t="shared" si="32"/>
        <v>0</v>
      </c>
      <c r="AA147" s="50">
        <f t="shared" si="33"/>
        <v>0</v>
      </c>
      <c r="AB147" s="50">
        <f t="shared" si="34"/>
        <v>0</v>
      </c>
      <c r="AC147" s="50">
        <f t="shared" si="30"/>
        <v>0</v>
      </c>
      <c r="AD147" s="50">
        <f t="shared" si="25"/>
        <v>0</v>
      </c>
      <c r="AE147">
        <f t="shared" si="31"/>
        <v>30</v>
      </c>
      <c r="AF147" s="12">
        <f>LCOE!E173+LCOE!G$40</f>
        <v>7.0000000000000007E-2</v>
      </c>
      <c r="AG147">
        <f t="shared" si="26"/>
        <v>183.04205450599414</v>
      </c>
      <c r="AH147" s="16">
        <f t="shared" si="21"/>
        <v>0</v>
      </c>
      <c r="AI147" s="16">
        <f t="shared" si="22"/>
        <v>0</v>
      </c>
      <c r="AJ147" s="16">
        <f t="shared" si="23"/>
        <v>0</v>
      </c>
      <c r="AK147" s="16">
        <f t="shared" si="24"/>
        <v>0</v>
      </c>
      <c r="AL147" s="16">
        <f t="shared" si="27"/>
        <v>0</v>
      </c>
      <c r="AM147" s="16">
        <f t="shared" si="28"/>
        <v>0</v>
      </c>
      <c r="AN147" s="16">
        <f>IF(LCOE!G$14&gt;0,G147,H147)/AG147</f>
        <v>0</v>
      </c>
    </row>
    <row r="148" spans="1:40">
      <c r="A148">
        <v>78</v>
      </c>
      <c r="C148" s="16">
        <f>LCOE!G174+IF(AND(LCOE!G$26&gt;0,A148&gt;=LCOE!G$26,A148&lt;=(LCOE!G$26+LCOE!G$27-1)),LCOE!G$42/LCOE!G$27,0)+IF(AND(D148=0,AE148&gt;=LCOE!G$16,COUNTIF(D123:D148,0)=LCOE!G$36),LCOE!G$35*LCOE!G$38,0)</f>
        <v>0</v>
      </c>
      <c r="D148" s="16">
        <f>IF(AE147&lt;LCOE!G$16,1,0)</f>
        <v>0</v>
      </c>
      <c r="E148" s="12">
        <f>LCOE!G174+IF(AND(A148&gt;=LCOE!G$26,A148&lt;=(LCOE!G$26+LCOE!G$27-1)),0,1)*IF(A148=LCOE!G$34,0,1)*D148</f>
        <v>0</v>
      </c>
      <c r="F148" s="12">
        <f>IF(F147&lt;LCOE!G$18,MIN(F147*(1+LCOE!G$19),LCOE!G$18),LCOE!G$18)+LCOE!J174</f>
        <v>0.9</v>
      </c>
      <c r="G148" s="16">
        <f>LCOE!K174+E148*F148*N148*(LCOE!G$14+LCOE!H174)*24*365*D148</f>
        <v>0</v>
      </c>
      <c r="H148" s="16">
        <f>LCOE!L174+F148*(LCOE!G$15+LCOE!I174)*E148*24*365*D148*N148</f>
        <v>0</v>
      </c>
      <c r="I148" s="16">
        <f>LCOE!M174+LCOE!G$20*IF(LCOE!G$14&gt;0,(LCOE!G$14+LCOE!H174),(LCOE!G$15+LCOE!I174))*K148*D148</f>
        <v>0</v>
      </c>
      <c r="J148" s="16">
        <f>LCOE!N174+LCOE!G$21*IF(LCOE!G$14&gt;0,G148,H148)*K148*D148</f>
        <v>0</v>
      </c>
      <c r="K148" s="15">
        <f>LCOE!O174+K147+K147*LCOE!G$22</f>
        <v>1</v>
      </c>
      <c r="L148" s="16">
        <f>LCOE!P174+LCOE!G$23*IF(LCOE!G$14&gt;0,G148,H148)*M148*D148</f>
        <v>0</v>
      </c>
      <c r="M148" s="15">
        <f>LCOE!Q174+M147+M147*LCOE!G$24</f>
        <v>1</v>
      </c>
      <c r="N148" s="15">
        <f>LCOE!R174+N147-N147*LCOE!G$25</f>
        <v>1</v>
      </c>
      <c r="O148" s="18">
        <f>LCOE!S174+LCOE!G$29</f>
        <v>313.75</v>
      </c>
      <c r="P148" s="12">
        <f>LCOE!T174+IF(A148&gt;=LCOE!G$30,100%,0%)</f>
        <v>1</v>
      </c>
      <c r="Q148" s="16">
        <f>LCOE!U174+O148/1000*IF(LCOE!G$14&gt;0,G148,H148)</f>
        <v>0</v>
      </c>
      <c r="R148" s="16">
        <f>LCOE!B174</f>
        <v>30</v>
      </c>
      <c r="S148" s="16">
        <f>LCOE!V174+Q148*P148*R148</f>
        <v>0</v>
      </c>
      <c r="T148" s="16">
        <f>LCOE!W174+LCOE!G$31</f>
        <v>0</v>
      </c>
      <c r="U148" s="16">
        <f>LCOE!X174+T148*IF(LCOE!G$14&gt;0,G148,H148)</f>
        <v>0</v>
      </c>
      <c r="V148" s="16">
        <f>LCOE!Y174+LCOE!G$32</f>
        <v>0</v>
      </c>
      <c r="W148" s="16">
        <f>LCOE!Z174+V148*IF(LCOE!G$14&gt;0,G148,H148)</f>
        <v>0</v>
      </c>
      <c r="X148" s="16">
        <f>LCOE!AA174+LCOE!G$34</f>
        <v>101</v>
      </c>
      <c r="Y148" s="16">
        <f t="shared" si="29"/>
        <v>0</v>
      </c>
      <c r="Z148" s="50">
        <f t="shared" si="32"/>
        <v>0</v>
      </c>
      <c r="AA148" s="50">
        <f t="shared" si="33"/>
        <v>0</v>
      </c>
      <c r="AB148" s="50">
        <f t="shared" si="34"/>
        <v>0</v>
      </c>
      <c r="AC148" s="50">
        <f t="shared" si="30"/>
        <v>0</v>
      </c>
      <c r="AD148" s="50">
        <f t="shared" si="25"/>
        <v>0</v>
      </c>
      <c r="AE148">
        <f t="shared" si="31"/>
        <v>30</v>
      </c>
      <c r="AF148" s="12">
        <f>LCOE!E174+LCOE!G$40</f>
        <v>7.0000000000000007E-2</v>
      </c>
      <c r="AG148">
        <f t="shared" si="26"/>
        <v>195.85499832141372</v>
      </c>
      <c r="AH148" s="16">
        <f t="shared" si="21"/>
        <v>0</v>
      </c>
      <c r="AI148" s="16">
        <f t="shared" si="22"/>
        <v>0</v>
      </c>
      <c r="AJ148" s="16">
        <f t="shared" si="23"/>
        <v>0</v>
      </c>
      <c r="AK148" s="16">
        <f t="shared" si="24"/>
        <v>0</v>
      </c>
      <c r="AL148" s="16">
        <f t="shared" si="27"/>
        <v>0</v>
      </c>
      <c r="AM148" s="16">
        <f t="shared" si="28"/>
        <v>0</v>
      </c>
      <c r="AN148" s="16">
        <f>IF(LCOE!G$14&gt;0,G148,H148)/AG148</f>
        <v>0</v>
      </c>
    </row>
    <row r="149" spans="1:40">
      <c r="A149">
        <v>79</v>
      </c>
      <c r="C149" s="16">
        <f>LCOE!G175+IF(AND(LCOE!G$26&gt;0,A149&gt;=LCOE!G$26,A149&lt;=(LCOE!G$26+LCOE!G$27-1)),LCOE!G$42/LCOE!G$27,0)+IF(AND(D149=0,AE149&gt;=LCOE!G$16,COUNTIF(D124:D149,0)=LCOE!G$36),LCOE!G$35*LCOE!G$38,0)</f>
        <v>0</v>
      </c>
      <c r="D149" s="16">
        <f>IF(AE148&lt;LCOE!G$16,1,0)</f>
        <v>0</v>
      </c>
      <c r="E149" s="12">
        <f>LCOE!G175+IF(AND(A149&gt;=LCOE!G$26,A149&lt;=(LCOE!G$26+LCOE!G$27-1)),0,1)*IF(A149=LCOE!G$34,0,1)*D149</f>
        <v>0</v>
      </c>
      <c r="F149" s="12">
        <f>IF(F148&lt;LCOE!G$18,MIN(F148*(1+LCOE!G$19),LCOE!G$18),LCOE!G$18)+LCOE!J175</f>
        <v>0.9</v>
      </c>
      <c r="G149" s="16">
        <f>LCOE!K175+E149*F149*N149*(LCOE!G$14+LCOE!H175)*24*365*D149</f>
        <v>0</v>
      </c>
      <c r="H149" s="16">
        <f>LCOE!L175+F149*(LCOE!G$15+LCOE!I175)*E149*24*365*D149*N149</f>
        <v>0</v>
      </c>
      <c r="I149" s="16">
        <f>LCOE!M175+LCOE!G$20*IF(LCOE!G$14&gt;0,(LCOE!G$14+LCOE!H175),(LCOE!G$15+LCOE!I175))*K149*D149</f>
        <v>0</v>
      </c>
      <c r="J149" s="16">
        <f>LCOE!N175+LCOE!G$21*IF(LCOE!G$14&gt;0,G149,H149)*K149*D149</f>
        <v>0</v>
      </c>
      <c r="K149" s="15">
        <f>LCOE!O175+K148+K148*LCOE!G$22</f>
        <v>1</v>
      </c>
      <c r="L149" s="16">
        <f>LCOE!P175+LCOE!G$23*IF(LCOE!G$14&gt;0,G149,H149)*M149*D149</f>
        <v>0</v>
      </c>
      <c r="M149" s="15">
        <f>LCOE!Q175+M148+M148*LCOE!G$24</f>
        <v>1</v>
      </c>
      <c r="N149" s="15">
        <f>LCOE!R175+N148-N148*LCOE!G$25</f>
        <v>1</v>
      </c>
      <c r="O149" s="18">
        <f>LCOE!S175+LCOE!G$29</f>
        <v>313.75</v>
      </c>
      <c r="P149" s="12">
        <f>LCOE!T175+IF(A149&gt;=LCOE!G$30,100%,0%)</f>
        <v>1</v>
      </c>
      <c r="Q149" s="16">
        <f>LCOE!U175+O149/1000*IF(LCOE!G$14&gt;0,G149,H149)</f>
        <v>0</v>
      </c>
      <c r="R149" s="16">
        <f>LCOE!B175</f>
        <v>30</v>
      </c>
      <c r="S149" s="16">
        <f>LCOE!V175+Q149*P149*R149</f>
        <v>0</v>
      </c>
      <c r="T149" s="16">
        <f>LCOE!W175+LCOE!G$31</f>
        <v>0</v>
      </c>
      <c r="U149" s="16">
        <f>LCOE!X175+T149*IF(LCOE!G$14&gt;0,G149,H149)</f>
        <v>0</v>
      </c>
      <c r="V149" s="16">
        <f>LCOE!Y175+LCOE!G$32</f>
        <v>0</v>
      </c>
      <c r="W149" s="16">
        <f>LCOE!Z175+V149*IF(LCOE!G$14&gt;0,G149,H149)</f>
        <v>0</v>
      </c>
      <c r="X149" s="16">
        <f>LCOE!AA175+LCOE!G$34</f>
        <v>101</v>
      </c>
      <c r="Y149" s="16">
        <f t="shared" si="29"/>
        <v>0</v>
      </c>
      <c r="Z149" s="50">
        <f t="shared" si="32"/>
        <v>0</v>
      </c>
      <c r="AA149" s="50">
        <f t="shared" si="33"/>
        <v>0</v>
      </c>
      <c r="AB149" s="50">
        <f t="shared" si="34"/>
        <v>0</v>
      </c>
      <c r="AC149" s="50">
        <f t="shared" si="30"/>
        <v>0</v>
      </c>
      <c r="AD149" s="50">
        <f t="shared" si="25"/>
        <v>0</v>
      </c>
      <c r="AE149">
        <f t="shared" si="31"/>
        <v>30</v>
      </c>
      <c r="AF149" s="12">
        <f>LCOE!E175+LCOE!G$40</f>
        <v>7.0000000000000007E-2</v>
      </c>
      <c r="AG149">
        <f t="shared" si="26"/>
        <v>209.5648482039127</v>
      </c>
      <c r="AH149" s="16">
        <f t="shared" si="21"/>
        <v>0</v>
      </c>
      <c r="AI149" s="16">
        <f t="shared" si="22"/>
        <v>0</v>
      </c>
      <c r="AJ149" s="16">
        <f t="shared" si="23"/>
        <v>0</v>
      </c>
      <c r="AK149" s="16">
        <f t="shared" si="24"/>
        <v>0</v>
      </c>
      <c r="AL149" s="16">
        <f t="shared" si="27"/>
        <v>0</v>
      </c>
      <c r="AM149" s="16">
        <f t="shared" si="28"/>
        <v>0</v>
      </c>
      <c r="AN149" s="16">
        <f>IF(LCOE!G$14&gt;0,G149,H149)/AG149</f>
        <v>0</v>
      </c>
    </row>
    <row r="150" spans="1:40">
      <c r="A150">
        <v>80</v>
      </c>
      <c r="C150" s="16">
        <f>LCOE!G176+IF(AND(LCOE!G$26&gt;0,A150&gt;=LCOE!G$26,A150&lt;=(LCOE!G$26+LCOE!G$27-1)),LCOE!G$42/LCOE!G$27,0)+IF(AND(D150=0,AE150&gt;=LCOE!G$16,COUNTIF(D125:D150,0)=LCOE!G$36),LCOE!G$35*LCOE!G$38,0)</f>
        <v>0</v>
      </c>
      <c r="D150" s="16">
        <f>IF(AE149&lt;LCOE!G$16,1,0)</f>
        <v>0</v>
      </c>
      <c r="E150" s="12">
        <f>LCOE!G176+IF(AND(A150&gt;=LCOE!G$26,A150&lt;=(LCOE!G$26+LCOE!G$27-1)),0,1)*IF(A150=LCOE!G$34,0,1)*D150</f>
        <v>0</v>
      </c>
      <c r="F150" s="12">
        <f>IF(F149&lt;LCOE!G$18,MIN(F149*(1+LCOE!G$19),LCOE!G$18),LCOE!G$18)+LCOE!J176</f>
        <v>0.9</v>
      </c>
      <c r="G150" s="16">
        <f>LCOE!K176+E150*F150*N150*(LCOE!G$14+LCOE!H176)*24*365*D150</f>
        <v>0</v>
      </c>
      <c r="H150" s="16">
        <f>LCOE!L176+F150*(LCOE!G$15+LCOE!I176)*E150*24*365*D150*N150</f>
        <v>0</v>
      </c>
      <c r="I150" s="16">
        <f>LCOE!M176+LCOE!G$20*IF(LCOE!G$14&gt;0,(LCOE!G$14+LCOE!H176),(LCOE!G$15+LCOE!I176))*K150*D150</f>
        <v>0</v>
      </c>
      <c r="J150" s="16">
        <f>LCOE!N176+LCOE!G$21*IF(LCOE!G$14&gt;0,G150,H150)*K150*D150</f>
        <v>0</v>
      </c>
      <c r="K150" s="15">
        <f>LCOE!O176+K149+K149*LCOE!G$22</f>
        <v>1</v>
      </c>
      <c r="L150" s="16">
        <f>LCOE!P176+LCOE!G$23*IF(LCOE!G$14&gt;0,G150,H150)*M150*D150</f>
        <v>0</v>
      </c>
      <c r="M150" s="15">
        <f>LCOE!Q176+M149+M149*LCOE!G$24</f>
        <v>1</v>
      </c>
      <c r="N150" s="15">
        <f>LCOE!R176+N149-N149*LCOE!G$25</f>
        <v>1</v>
      </c>
      <c r="O150" s="18">
        <f>LCOE!S176+LCOE!G$29</f>
        <v>313.75</v>
      </c>
      <c r="P150" s="12">
        <f>LCOE!T176+IF(A150&gt;=LCOE!G$30,100%,0%)</f>
        <v>1</v>
      </c>
      <c r="Q150" s="16">
        <f>LCOE!U176+O150/1000*IF(LCOE!G$14&gt;0,G150,H150)</f>
        <v>0</v>
      </c>
      <c r="R150" s="16">
        <f>LCOE!B176</f>
        <v>30</v>
      </c>
      <c r="S150" s="16">
        <f>LCOE!V176+Q150*P150*R150</f>
        <v>0</v>
      </c>
      <c r="T150" s="16">
        <f>LCOE!W176+LCOE!G$31</f>
        <v>0</v>
      </c>
      <c r="U150" s="16">
        <f>LCOE!X176+T150*IF(LCOE!G$14&gt;0,G150,H150)</f>
        <v>0</v>
      </c>
      <c r="V150" s="16">
        <f>LCOE!Y176+LCOE!G$32</f>
        <v>0</v>
      </c>
      <c r="W150" s="16">
        <f>LCOE!Z176+V150*IF(LCOE!G$14&gt;0,G150,H150)</f>
        <v>0</v>
      </c>
      <c r="X150" s="16">
        <f>LCOE!AA176+LCOE!G$34</f>
        <v>101</v>
      </c>
      <c r="Y150" s="16">
        <f t="shared" si="29"/>
        <v>0</v>
      </c>
      <c r="Z150" s="50">
        <f t="shared" si="32"/>
        <v>0</v>
      </c>
      <c r="AA150" s="50">
        <f t="shared" si="33"/>
        <v>0</v>
      </c>
      <c r="AB150" s="50">
        <f t="shared" si="34"/>
        <v>0</v>
      </c>
      <c r="AC150" s="50">
        <f t="shared" si="30"/>
        <v>0</v>
      </c>
      <c r="AD150" s="50">
        <f t="shared" si="25"/>
        <v>0</v>
      </c>
      <c r="AE150">
        <f t="shared" si="31"/>
        <v>30</v>
      </c>
      <c r="AF150" s="12">
        <f>LCOE!E176+LCOE!G$40</f>
        <v>7.0000000000000007E-2</v>
      </c>
      <c r="AG150">
        <f t="shared" si="26"/>
        <v>224.23438757818656</v>
      </c>
      <c r="AH150" s="16">
        <f t="shared" si="21"/>
        <v>0</v>
      </c>
      <c r="AI150" s="16">
        <f t="shared" si="22"/>
        <v>0</v>
      </c>
      <c r="AJ150" s="16">
        <f t="shared" si="23"/>
        <v>0</v>
      </c>
      <c r="AK150" s="16">
        <f t="shared" si="24"/>
        <v>0</v>
      </c>
      <c r="AL150" s="16">
        <f t="shared" si="27"/>
        <v>0</v>
      </c>
      <c r="AM150" s="16">
        <f t="shared" si="28"/>
        <v>0</v>
      </c>
      <c r="AN150" s="16">
        <f>IF(LCOE!G$14&gt;0,G150,H150)/AG150</f>
        <v>0</v>
      </c>
    </row>
    <row r="151" spans="1:40">
      <c r="A151">
        <v>81</v>
      </c>
      <c r="C151" s="16">
        <f>LCOE!G177+IF(AND(LCOE!G$26&gt;0,A151&gt;=LCOE!G$26,A151&lt;=(LCOE!G$26+LCOE!G$27-1)),LCOE!G$42/LCOE!G$27,0)+IF(AND(D151=0,AE151&gt;=LCOE!G$16,COUNTIF(D126:D151,0)=LCOE!G$36),LCOE!G$35*LCOE!G$38,0)</f>
        <v>0</v>
      </c>
      <c r="D151" s="16">
        <f>IF(AE150&lt;LCOE!G$16,1,0)</f>
        <v>0</v>
      </c>
      <c r="E151" s="12">
        <f>LCOE!G177+IF(AND(A151&gt;=LCOE!G$26,A151&lt;=(LCOE!G$26+LCOE!G$27-1)),0,1)*IF(A151=LCOE!G$34,0,1)*D151</f>
        <v>0</v>
      </c>
      <c r="F151" s="12">
        <f>IF(F150&lt;LCOE!G$18,MIN(F150*(1+LCOE!G$19),LCOE!G$18),LCOE!G$18)+LCOE!J177</f>
        <v>0.9</v>
      </c>
      <c r="G151" s="16">
        <f>LCOE!K177+E151*F151*N151*(LCOE!G$14+LCOE!H177)*24*365*D151</f>
        <v>0</v>
      </c>
      <c r="H151" s="16">
        <f>LCOE!L177+F151*(LCOE!G$15+LCOE!I177)*E151*24*365*D151*N151</f>
        <v>0</v>
      </c>
      <c r="I151" s="16">
        <f>LCOE!M177+LCOE!G$20*IF(LCOE!G$14&gt;0,(LCOE!G$14+LCOE!H177),(LCOE!G$15+LCOE!I177))*K151*D151</f>
        <v>0</v>
      </c>
      <c r="J151" s="16">
        <f>LCOE!N177+LCOE!G$21*IF(LCOE!G$14&gt;0,G151,H151)*K151*D151</f>
        <v>0</v>
      </c>
      <c r="K151" s="15">
        <f>LCOE!O177+K150+K150*LCOE!G$22</f>
        <v>1</v>
      </c>
      <c r="L151" s="16">
        <f>LCOE!P177+LCOE!G$23*IF(LCOE!G$14&gt;0,G151,H151)*M151*D151</f>
        <v>0</v>
      </c>
      <c r="M151" s="15">
        <f>LCOE!Q177+M150+M150*LCOE!G$24</f>
        <v>1</v>
      </c>
      <c r="N151" s="15">
        <f>LCOE!R177+N150-N150*LCOE!G$25</f>
        <v>1</v>
      </c>
      <c r="O151" s="18">
        <f>LCOE!S177+LCOE!G$29</f>
        <v>313.75</v>
      </c>
      <c r="P151" s="12">
        <f>LCOE!T177+IF(A151&gt;=LCOE!G$30,100%,0%)</f>
        <v>1</v>
      </c>
      <c r="Q151" s="16">
        <f>LCOE!U177+O151/1000*IF(LCOE!G$14&gt;0,G151,H151)</f>
        <v>0</v>
      </c>
      <c r="R151" s="16">
        <f>LCOE!B177</f>
        <v>30</v>
      </c>
      <c r="S151" s="16">
        <f>LCOE!V177+Q151*P151*R151</f>
        <v>0</v>
      </c>
      <c r="T151" s="16">
        <f>LCOE!W177+LCOE!G$31</f>
        <v>0</v>
      </c>
      <c r="U151" s="16">
        <f>LCOE!X177+T151*IF(LCOE!G$14&gt;0,G151,H151)</f>
        <v>0</v>
      </c>
      <c r="V151" s="16">
        <f>LCOE!Y177+LCOE!G$32</f>
        <v>0</v>
      </c>
      <c r="W151" s="16">
        <f>LCOE!Z177+V151*IF(LCOE!G$14&gt;0,G151,H151)</f>
        <v>0</v>
      </c>
      <c r="X151" s="16">
        <f>LCOE!AA177+LCOE!G$34</f>
        <v>101</v>
      </c>
      <c r="Y151" s="16">
        <f t="shared" si="29"/>
        <v>0</v>
      </c>
      <c r="Z151" s="50">
        <f t="shared" si="32"/>
        <v>0</v>
      </c>
      <c r="AA151" s="50">
        <f t="shared" si="33"/>
        <v>0</v>
      </c>
      <c r="AB151" s="50">
        <f t="shared" si="34"/>
        <v>0</v>
      </c>
      <c r="AC151" s="50">
        <f t="shared" si="30"/>
        <v>0</v>
      </c>
      <c r="AD151" s="50">
        <f t="shared" si="25"/>
        <v>0</v>
      </c>
      <c r="AE151">
        <f t="shared" si="31"/>
        <v>30</v>
      </c>
      <c r="AF151" s="12">
        <f>LCOE!E177+LCOE!G$40</f>
        <v>7.0000000000000007E-2</v>
      </c>
      <c r="AG151">
        <f t="shared" si="26"/>
        <v>239.93079470865962</v>
      </c>
      <c r="AH151" s="16">
        <f t="shared" si="21"/>
        <v>0</v>
      </c>
      <c r="AI151" s="16">
        <f t="shared" si="22"/>
        <v>0</v>
      </c>
      <c r="AJ151" s="16">
        <f t="shared" si="23"/>
        <v>0</v>
      </c>
      <c r="AK151" s="16">
        <f t="shared" si="24"/>
        <v>0</v>
      </c>
      <c r="AL151" s="16">
        <f t="shared" si="27"/>
        <v>0</v>
      </c>
      <c r="AM151" s="16">
        <f t="shared" si="28"/>
        <v>0</v>
      </c>
      <c r="AN151" s="16">
        <f>IF(LCOE!G$14&gt;0,G151,H151)/AG151</f>
        <v>0</v>
      </c>
    </row>
    <row r="152" spans="1:40">
      <c r="A152">
        <v>82</v>
      </c>
      <c r="C152" s="16">
        <f>LCOE!G178+IF(AND(LCOE!G$26&gt;0,A152&gt;=LCOE!G$26,A152&lt;=(LCOE!G$26+LCOE!G$27-1)),LCOE!G$42/LCOE!G$27,0)+IF(AND(D152=0,AE152&gt;=LCOE!G$16,COUNTIF(D127:D152,0)=LCOE!G$36),LCOE!G$35*LCOE!G$38,0)</f>
        <v>0</v>
      </c>
      <c r="D152" s="16">
        <f>IF(AE151&lt;LCOE!G$16,1,0)</f>
        <v>0</v>
      </c>
      <c r="E152" s="12">
        <f>LCOE!G178+IF(AND(A152&gt;=LCOE!G$26,A152&lt;=(LCOE!G$26+LCOE!G$27-1)),0,1)*IF(A152=LCOE!G$34,0,1)*D152</f>
        <v>0</v>
      </c>
      <c r="F152" s="12">
        <f>IF(F151&lt;LCOE!G$18,MIN(F151*(1+LCOE!G$19),LCOE!G$18),LCOE!G$18)+LCOE!J178</f>
        <v>0.9</v>
      </c>
      <c r="G152" s="16">
        <f>LCOE!K178+E152*F152*N152*(LCOE!G$14+LCOE!H178)*24*365*D152</f>
        <v>0</v>
      </c>
      <c r="H152" s="16">
        <f>LCOE!L178+F152*(LCOE!G$15+LCOE!I178)*E152*24*365*D152*N152</f>
        <v>0</v>
      </c>
      <c r="I152" s="16">
        <f>LCOE!M178+LCOE!G$20*IF(LCOE!G$14&gt;0,(LCOE!G$14+LCOE!H178),(LCOE!G$15+LCOE!I178))*K152*D152</f>
        <v>0</v>
      </c>
      <c r="J152" s="16">
        <f>LCOE!N178+LCOE!G$21*IF(LCOE!G$14&gt;0,G152,H152)*K152*D152</f>
        <v>0</v>
      </c>
      <c r="K152" s="15">
        <f>LCOE!O178+K151+K151*LCOE!G$22</f>
        <v>1</v>
      </c>
      <c r="L152" s="16">
        <f>LCOE!P178+LCOE!G$23*IF(LCOE!G$14&gt;0,G152,H152)*M152*D152</f>
        <v>0</v>
      </c>
      <c r="M152" s="15">
        <f>LCOE!Q178+M151+M151*LCOE!G$24</f>
        <v>1</v>
      </c>
      <c r="N152" s="15">
        <f>LCOE!R178+N151-N151*LCOE!G$25</f>
        <v>1</v>
      </c>
      <c r="O152" s="18">
        <f>LCOE!S178+LCOE!G$29</f>
        <v>313.75</v>
      </c>
      <c r="P152" s="12">
        <f>LCOE!T178+IF(A152&gt;=LCOE!G$30,100%,0%)</f>
        <v>1</v>
      </c>
      <c r="Q152" s="16">
        <f>LCOE!U178+O152/1000*IF(LCOE!G$14&gt;0,G152,H152)</f>
        <v>0</v>
      </c>
      <c r="R152" s="16">
        <f>LCOE!B178</f>
        <v>30</v>
      </c>
      <c r="S152" s="16">
        <f>LCOE!V178+Q152*P152*R152</f>
        <v>0</v>
      </c>
      <c r="T152" s="16">
        <f>LCOE!W178+LCOE!G$31</f>
        <v>0</v>
      </c>
      <c r="U152" s="16">
        <f>LCOE!X178+T152*IF(LCOE!G$14&gt;0,G152,H152)</f>
        <v>0</v>
      </c>
      <c r="V152" s="16">
        <f>LCOE!Y178+LCOE!G$32</f>
        <v>0</v>
      </c>
      <c r="W152" s="16">
        <f>LCOE!Z178+V152*IF(LCOE!G$14&gt;0,G152,H152)</f>
        <v>0</v>
      </c>
      <c r="X152" s="16">
        <f>LCOE!AA178+LCOE!G$34</f>
        <v>101</v>
      </c>
      <c r="Y152" s="16">
        <f t="shared" si="29"/>
        <v>0</v>
      </c>
      <c r="Z152" s="50">
        <f t="shared" si="32"/>
        <v>0</v>
      </c>
      <c r="AA152" s="50">
        <f t="shared" si="33"/>
        <v>0</v>
      </c>
      <c r="AB152" s="50">
        <f t="shared" si="34"/>
        <v>0</v>
      </c>
      <c r="AC152" s="50">
        <f t="shared" si="30"/>
        <v>0</v>
      </c>
      <c r="AD152" s="50">
        <f t="shared" si="25"/>
        <v>0</v>
      </c>
      <c r="AE152">
        <f t="shared" si="31"/>
        <v>30</v>
      </c>
      <c r="AF152" s="12">
        <f>LCOE!E178+LCOE!G$40</f>
        <v>7.0000000000000007E-2</v>
      </c>
      <c r="AG152">
        <f t="shared" si="26"/>
        <v>256.72595033826582</v>
      </c>
      <c r="AH152" s="16">
        <f t="shared" si="21"/>
        <v>0</v>
      </c>
      <c r="AI152" s="16">
        <f t="shared" si="22"/>
        <v>0</v>
      </c>
      <c r="AJ152" s="16">
        <f t="shared" si="23"/>
        <v>0</v>
      </c>
      <c r="AK152" s="16">
        <f t="shared" si="24"/>
        <v>0</v>
      </c>
      <c r="AL152" s="16">
        <f t="shared" si="27"/>
        <v>0</v>
      </c>
      <c r="AM152" s="16">
        <f t="shared" si="28"/>
        <v>0</v>
      </c>
      <c r="AN152" s="16">
        <f>IF(LCOE!G$14&gt;0,G152,H152)/AG152</f>
        <v>0</v>
      </c>
    </row>
    <row r="153" spans="1:40">
      <c r="A153">
        <v>83</v>
      </c>
      <c r="C153" s="16">
        <f>LCOE!G179+IF(AND(LCOE!G$26&gt;0,A153&gt;=LCOE!G$26,A153&lt;=(LCOE!G$26+LCOE!G$27-1)),LCOE!G$42/LCOE!G$27,0)+IF(AND(D153=0,AE153&gt;=LCOE!G$16,COUNTIF(D128:D153,0)=LCOE!G$36),LCOE!G$35*LCOE!G$38,0)</f>
        <v>0</v>
      </c>
      <c r="D153" s="16">
        <f>IF(AE152&lt;LCOE!G$16,1,0)</f>
        <v>0</v>
      </c>
      <c r="E153" s="12">
        <f>LCOE!G179+IF(AND(A153&gt;=LCOE!G$26,A153&lt;=(LCOE!G$26+LCOE!G$27-1)),0,1)*IF(A153=LCOE!G$34,0,1)*D153</f>
        <v>0</v>
      </c>
      <c r="F153" s="12">
        <f>IF(F152&lt;LCOE!G$18,MIN(F152*(1+LCOE!G$19),LCOE!G$18),LCOE!G$18)+LCOE!J179</f>
        <v>0.9</v>
      </c>
      <c r="G153" s="16">
        <f>LCOE!K179+E153*F153*N153*(LCOE!G$14+LCOE!H179)*24*365*D153</f>
        <v>0</v>
      </c>
      <c r="H153" s="16">
        <f>LCOE!L179+F153*(LCOE!G$15+LCOE!I179)*E153*24*365*D153*N153</f>
        <v>0</v>
      </c>
      <c r="I153" s="16">
        <f>LCOE!M179+LCOE!G$20*IF(LCOE!G$14&gt;0,(LCOE!G$14+LCOE!H179),(LCOE!G$15+LCOE!I179))*K153*D153</f>
        <v>0</v>
      </c>
      <c r="J153" s="16">
        <f>LCOE!N179+LCOE!G$21*IF(LCOE!G$14&gt;0,G153,H153)*K153*D153</f>
        <v>0</v>
      </c>
      <c r="K153" s="15">
        <f>LCOE!O179+K152+K152*LCOE!G$22</f>
        <v>1</v>
      </c>
      <c r="L153" s="16">
        <f>LCOE!P179+LCOE!G$23*IF(LCOE!G$14&gt;0,G153,H153)*M153*D153</f>
        <v>0</v>
      </c>
      <c r="M153" s="15">
        <f>LCOE!Q179+M152+M152*LCOE!G$24</f>
        <v>1</v>
      </c>
      <c r="N153" s="15">
        <f>LCOE!R179+N152-N152*LCOE!G$25</f>
        <v>1</v>
      </c>
      <c r="O153" s="18">
        <f>LCOE!S179+LCOE!G$29</f>
        <v>313.75</v>
      </c>
      <c r="P153" s="12">
        <f>LCOE!T179+IF(A153&gt;=LCOE!G$30,100%,0%)</f>
        <v>1</v>
      </c>
      <c r="Q153" s="16">
        <f>LCOE!U179+O153/1000*IF(LCOE!G$14&gt;0,G153,H153)</f>
        <v>0</v>
      </c>
      <c r="R153" s="16">
        <f>LCOE!B179</f>
        <v>30</v>
      </c>
      <c r="S153" s="16">
        <f>LCOE!V179+Q153*P153*R153</f>
        <v>0</v>
      </c>
      <c r="T153" s="16">
        <f>LCOE!W179+LCOE!G$31</f>
        <v>0</v>
      </c>
      <c r="U153" s="16">
        <f>LCOE!X179+T153*IF(LCOE!G$14&gt;0,G153,H153)</f>
        <v>0</v>
      </c>
      <c r="V153" s="16">
        <f>LCOE!Y179+LCOE!G$32</f>
        <v>0</v>
      </c>
      <c r="W153" s="16">
        <f>LCOE!Z179+V153*IF(LCOE!G$14&gt;0,G153,H153)</f>
        <v>0</v>
      </c>
      <c r="X153" s="16">
        <f>LCOE!AA179+LCOE!G$34</f>
        <v>101</v>
      </c>
      <c r="Y153" s="16">
        <f t="shared" si="29"/>
        <v>0</v>
      </c>
      <c r="Z153" s="50">
        <f t="shared" si="32"/>
        <v>0</v>
      </c>
      <c r="AA153" s="50">
        <f t="shared" si="33"/>
        <v>0</v>
      </c>
      <c r="AB153" s="50">
        <f t="shared" si="34"/>
        <v>0</v>
      </c>
      <c r="AC153" s="50">
        <f t="shared" si="30"/>
        <v>0</v>
      </c>
      <c r="AD153" s="50">
        <f t="shared" si="25"/>
        <v>0</v>
      </c>
      <c r="AE153">
        <f t="shared" si="31"/>
        <v>30</v>
      </c>
      <c r="AF153" s="12">
        <f>LCOE!E179+LCOE!G$40</f>
        <v>7.0000000000000007E-2</v>
      </c>
      <c r="AG153">
        <f t="shared" si="26"/>
        <v>274.69676686194441</v>
      </c>
      <c r="AH153" s="16">
        <f t="shared" si="21"/>
        <v>0</v>
      </c>
      <c r="AI153" s="16">
        <f t="shared" si="22"/>
        <v>0</v>
      </c>
      <c r="AJ153" s="16">
        <f t="shared" si="23"/>
        <v>0</v>
      </c>
      <c r="AK153" s="16">
        <f t="shared" si="24"/>
        <v>0</v>
      </c>
      <c r="AL153" s="16">
        <f t="shared" si="27"/>
        <v>0</v>
      </c>
      <c r="AM153" s="16">
        <f t="shared" si="28"/>
        <v>0</v>
      </c>
      <c r="AN153" s="16">
        <f>IF(LCOE!G$14&gt;0,G153,H153)/AG153</f>
        <v>0</v>
      </c>
    </row>
    <row r="154" spans="1:40">
      <c r="A154">
        <v>84</v>
      </c>
      <c r="C154" s="16">
        <f>LCOE!G180+IF(AND(LCOE!G$26&gt;0,A154&gt;=LCOE!G$26,A154&lt;=(LCOE!G$26+LCOE!G$27-1)),LCOE!G$42/LCOE!G$27,0)+IF(AND(D154=0,AE154&gt;=LCOE!G$16,COUNTIF(D129:D154,0)=LCOE!G$36),LCOE!G$35*LCOE!G$38,0)</f>
        <v>0</v>
      </c>
      <c r="D154" s="16">
        <f>IF(AE153&lt;LCOE!G$16,1,0)</f>
        <v>0</v>
      </c>
      <c r="E154" s="12">
        <f>LCOE!G180+IF(AND(A154&gt;=LCOE!G$26,A154&lt;=(LCOE!G$26+LCOE!G$27-1)),0,1)*IF(A154=LCOE!G$34,0,1)*D154</f>
        <v>0</v>
      </c>
      <c r="F154" s="12">
        <f>IF(F153&lt;LCOE!G$18,MIN(F153*(1+LCOE!G$19),LCOE!G$18),LCOE!G$18)+LCOE!J180</f>
        <v>0.9</v>
      </c>
      <c r="G154" s="16">
        <f>LCOE!K180+E154*F154*N154*(LCOE!G$14+LCOE!H180)*24*365*D154</f>
        <v>0</v>
      </c>
      <c r="H154" s="16">
        <f>LCOE!L180+F154*(LCOE!G$15+LCOE!I180)*E154*24*365*D154*N154</f>
        <v>0</v>
      </c>
      <c r="I154" s="16">
        <f>LCOE!M180+LCOE!G$20*IF(LCOE!G$14&gt;0,(LCOE!G$14+LCOE!H180),(LCOE!G$15+LCOE!I180))*K154*D154</f>
        <v>0</v>
      </c>
      <c r="J154" s="16">
        <f>LCOE!N180+LCOE!G$21*IF(LCOE!G$14&gt;0,G154,H154)*K154*D154</f>
        <v>0</v>
      </c>
      <c r="K154" s="15">
        <f>LCOE!O180+K153+K153*LCOE!G$22</f>
        <v>1</v>
      </c>
      <c r="L154" s="16">
        <f>LCOE!P180+LCOE!G$23*IF(LCOE!G$14&gt;0,G154,H154)*M154*D154</f>
        <v>0</v>
      </c>
      <c r="M154" s="15">
        <f>LCOE!Q180+M153+M153*LCOE!G$24</f>
        <v>1</v>
      </c>
      <c r="N154" s="15">
        <f>LCOE!R180+N153-N153*LCOE!G$25</f>
        <v>1</v>
      </c>
      <c r="O154" s="18">
        <f>LCOE!S180+LCOE!G$29</f>
        <v>313.75</v>
      </c>
      <c r="P154" s="12">
        <f>LCOE!T180+IF(A154&gt;=LCOE!G$30,100%,0%)</f>
        <v>1</v>
      </c>
      <c r="Q154" s="16">
        <f>LCOE!U180+O154/1000*IF(LCOE!G$14&gt;0,G154,H154)</f>
        <v>0</v>
      </c>
      <c r="R154" s="16">
        <f>LCOE!B180</f>
        <v>30</v>
      </c>
      <c r="S154" s="16">
        <f>LCOE!V180+Q154*P154*R154</f>
        <v>0</v>
      </c>
      <c r="T154" s="16">
        <f>LCOE!W180+LCOE!G$31</f>
        <v>0</v>
      </c>
      <c r="U154" s="16">
        <f>LCOE!X180+T154*IF(LCOE!G$14&gt;0,G154,H154)</f>
        <v>0</v>
      </c>
      <c r="V154" s="16">
        <f>LCOE!Y180+LCOE!G$32</f>
        <v>0</v>
      </c>
      <c r="W154" s="16">
        <f>LCOE!Z180+V154*IF(LCOE!G$14&gt;0,G154,H154)</f>
        <v>0</v>
      </c>
      <c r="X154" s="16">
        <f>LCOE!AA180+LCOE!G$34</f>
        <v>101</v>
      </c>
      <c r="Y154" s="16">
        <f t="shared" si="29"/>
        <v>0</v>
      </c>
      <c r="Z154" s="50">
        <f t="shared" si="32"/>
        <v>0</v>
      </c>
      <c r="AA154" s="50">
        <f t="shared" si="33"/>
        <v>0</v>
      </c>
      <c r="AB154" s="50">
        <f t="shared" si="34"/>
        <v>0</v>
      </c>
      <c r="AC154" s="50">
        <f t="shared" si="30"/>
        <v>0</v>
      </c>
      <c r="AD154" s="50">
        <f t="shared" si="25"/>
        <v>0</v>
      </c>
      <c r="AE154">
        <f t="shared" si="31"/>
        <v>30</v>
      </c>
      <c r="AF154" s="12">
        <f>LCOE!E180+LCOE!G$40</f>
        <v>7.0000000000000007E-2</v>
      </c>
      <c r="AG154">
        <f t="shared" si="26"/>
        <v>293.92554054228049</v>
      </c>
      <c r="AH154" s="16">
        <f t="shared" si="21"/>
        <v>0</v>
      </c>
      <c r="AI154" s="16">
        <f t="shared" si="22"/>
        <v>0</v>
      </c>
      <c r="AJ154" s="16">
        <f t="shared" si="23"/>
        <v>0</v>
      </c>
      <c r="AK154" s="16">
        <f t="shared" si="24"/>
        <v>0</v>
      </c>
      <c r="AL154" s="16">
        <f t="shared" si="27"/>
        <v>0</v>
      </c>
      <c r="AM154" s="16">
        <f t="shared" si="28"/>
        <v>0</v>
      </c>
      <c r="AN154" s="16">
        <f>IF(LCOE!G$14&gt;0,G154,H154)/AG154</f>
        <v>0</v>
      </c>
    </row>
    <row r="155" spans="1:40">
      <c r="A155">
        <v>85</v>
      </c>
      <c r="C155" s="16">
        <f>LCOE!G181+IF(AND(LCOE!G$26&gt;0,A155&gt;=LCOE!G$26,A155&lt;=(LCOE!G$26+LCOE!G$27-1)),LCOE!G$42/LCOE!G$27,0)+IF(AND(D155=0,AE155&gt;=LCOE!G$16,COUNTIF(D130:D155,0)=LCOE!G$36),LCOE!G$35*LCOE!G$38,0)</f>
        <v>0</v>
      </c>
      <c r="D155" s="16">
        <f>IF(AE154&lt;LCOE!G$16,1,0)</f>
        <v>0</v>
      </c>
      <c r="E155" s="12">
        <f>LCOE!G181+IF(AND(A155&gt;=LCOE!G$26,A155&lt;=(LCOE!G$26+LCOE!G$27-1)),0,1)*IF(A155=LCOE!G$34,0,1)*D155</f>
        <v>0</v>
      </c>
      <c r="F155" s="12">
        <f>IF(F154&lt;LCOE!G$18,MIN(F154*(1+LCOE!G$19),LCOE!G$18),LCOE!G$18)+LCOE!J181</f>
        <v>0.9</v>
      </c>
      <c r="G155" s="16">
        <f>LCOE!K181+E155*F155*N155*(LCOE!G$14+LCOE!H181)*24*365*D155</f>
        <v>0</v>
      </c>
      <c r="H155" s="16">
        <f>LCOE!L181+F155*(LCOE!G$15+LCOE!I181)*E155*24*365*D155*N155</f>
        <v>0</v>
      </c>
      <c r="I155" s="16">
        <f>LCOE!M181+LCOE!G$20*IF(LCOE!G$14&gt;0,(LCOE!G$14+LCOE!H181),(LCOE!G$15+LCOE!I181))*K155*D155</f>
        <v>0</v>
      </c>
      <c r="J155" s="16">
        <f>LCOE!N181+LCOE!G$21*IF(LCOE!G$14&gt;0,G155,H155)*K155*D155</f>
        <v>0</v>
      </c>
      <c r="K155" s="15">
        <f>LCOE!O181+K154+K154*LCOE!G$22</f>
        <v>1</v>
      </c>
      <c r="L155" s="16">
        <f>LCOE!P181+LCOE!G$23*IF(LCOE!G$14&gt;0,G155,H155)*M155*D155</f>
        <v>0</v>
      </c>
      <c r="M155" s="15">
        <f>LCOE!Q181+M154+M154*LCOE!G$24</f>
        <v>1</v>
      </c>
      <c r="N155" s="15">
        <f>LCOE!R181+N154-N154*LCOE!G$25</f>
        <v>1</v>
      </c>
      <c r="O155" s="18">
        <f>LCOE!S181+LCOE!G$29</f>
        <v>313.75</v>
      </c>
      <c r="P155" s="12">
        <f>LCOE!T181+IF(A155&gt;=LCOE!G$30,100%,0%)</f>
        <v>1</v>
      </c>
      <c r="Q155" s="16">
        <f>LCOE!U181+O155/1000*IF(LCOE!G$14&gt;0,G155,H155)</f>
        <v>0</v>
      </c>
      <c r="R155" s="16">
        <f>LCOE!B181</f>
        <v>30</v>
      </c>
      <c r="S155" s="16">
        <f>LCOE!V181+Q155*P155*R155</f>
        <v>0</v>
      </c>
      <c r="T155" s="16">
        <f>LCOE!W181+LCOE!G$31</f>
        <v>0</v>
      </c>
      <c r="U155" s="16">
        <f>LCOE!X181+T155*IF(LCOE!G$14&gt;0,G155,H155)</f>
        <v>0</v>
      </c>
      <c r="V155" s="16">
        <f>LCOE!Y181+LCOE!G$32</f>
        <v>0</v>
      </c>
      <c r="W155" s="16">
        <f>LCOE!Z181+V155*IF(LCOE!G$14&gt;0,G155,H155)</f>
        <v>0</v>
      </c>
      <c r="X155" s="16">
        <f>LCOE!AA181+LCOE!G$34</f>
        <v>101</v>
      </c>
      <c r="Y155" s="16">
        <f t="shared" si="29"/>
        <v>0</v>
      </c>
      <c r="Z155" s="50">
        <f t="shared" si="32"/>
        <v>0</v>
      </c>
      <c r="AA155" s="50">
        <f t="shared" si="33"/>
        <v>0</v>
      </c>
      <c r="AB155" s="50">
        <f t="shared" si="34"/>
        <v>0</v>
      </c>
      <c r="AC155" s="50">
        <f t="shared" si="30"/>
        <v>0</v>
      </c>
      <c r="AD155" s="50">
        <f t="shared" si="25"/>
        <v>0</v>
      </c>
      <c r="AE155">
        <f t="shared" si="31"/>
        <v>30</v>
      </c>
      <c r="AF155" s="12">
        <f>LCOE!E181+LCOE!G$40</f>
        <v>7.0000000000000007E-2</v>
      </c>
      <c r="AG155">
        <f t="shared" si="26"/>
        <v>314.50032838024015</v>
      </c>
      <c r="AH155" s="16">
        <f t="shared" si="21"/>
        <v>0</v>
      </c>
      <c r="AI155" s="16">
        <f t="shared" si="22"/>
        <v>0</v>
      </c>
      <c r="AJ155" s="16">
        <f t="shared" si="23"/>
        <v>0</v>
      </c>
      <c r="AK155" s="16">
        <f t="shared" si="24"/>
        <v>0</v>
      </c>
      <c r="AL155" s="16">
        <f t="shared" si="27"/>
        <v>0</v>
      </c>
      <c r="AM155" s="16">
        <f t="shared" si="28"/>
        <v>0</v>
      </c>
      <c r="AN155" s="16">
        <f>IF(LCOE!G$14&gt;0,G155,H155)/AG155</f>
        <v>0</v>
      </c>
    </row>
    <row r="156" spans="1:40">
      <c r="A156">
        <v>86</v>
      </c>
      <c r="C156" s="16">
        <f>LCOE!G182+IF(AND(LCOE!G$26&gt;0,A156&gt;=LCOE!G$26,A156&lt;=(LCOE!G$26+LCOE!G$27-1)),LCOE!G$42/LCOE!G$27,0)+IF(AND(D156=0,AE156&gt;=LCOE!G$16,COUNTIF(D131:D156,0)=LCOE!G$36),LCOE!G$35*LCOE!G$38,0)</f>
        <v>0</v>
      </c>
      <c r="D156" s="16">
        <f>IF(AE155&lt;LCOE!G$16,1,0)</f>
        <v>0</v>
      </c>
      <c r="E156" s="12">
        <f>LCOE!G182+IF(AND(A156&gt;=LCOE!G$26,A156&lt;=(LCOE!G$26+LCOE!G$27-1)),0,1)*IF(A156=LCOE!G$34,0,1)*D156</f>
        <v>0</v>
      </c>
      <c r="F156" s="12">
        <f>IF(F155&lt;LCOE!G$18,MIN(F155*(1+LCOE!G$19),LCOE!G$18),LCOE!G$18)+LCOE!J182</f>
        <v>0.9</v>
      </c>
      <c r="G156" s="16">
        <f>LCOE!K182+E156*F156*N156*(LCOE!G$14+LCOE!H182)*24*365*D156</f>
        <v>0</v>
      </c>
      <c r="H156" s="16">
        <f>LCOE!L182+F156*(LCOE!G$15+LCOE!I182)*E156*24*365*D156*N156</f>
        <v>0</v>
      </c>
      <c r="I156" s="16">
        <f>LCOE!M182+LCOE!G$20*IF(LCOE!G$14&gt;0,(LCOE!G$14+LCOE!H182),(LCOE!G$15+LCOE!I182))*K156*D156</f>
        <v>0</v>
      </c>
      <c r="J156" s="16">
        <f>LCOE!N182+LCOE!G$21*IF(LCOE!G$14&gt;0,G156,H156)*K156*D156</f>
        <v>0</v>
      </c>
      <c r="K156" s="15">
        <f>LCOE!O182+K155+K155*LCOE!G$22</f>
        <v>1</v>
      </c>
      <c r="L156" s="16">
        <f>LCOE!P182+LCOE!G$23*IF(LCOE!G$14&gt;0,G156,H156)*M156*D156</f>
        <v>0</v>
      </c>
      <c r="M156" s="15">
        <f>LCOE!Q182+M155+M155*LCOE!G$24</f>
        <v>1</v>
      </c>
      <c r="N156" s="15">
        <f>LCOE!R182+N155-N155*LCOE!G$25</f>
        <v>1</v>
      </c>
      <c r="O156" s="18">
        <f>LCOE!S182+LCOE!G$29</f>
        <v>313.75</v>
      </c>
      <c r="P156" s="12">
        <f>LCOE!T182+IF(A156&gt;=LCOE!G$30,100%,0%)</f>
        <v>1</v>
      </c>
      <c r="Q156" s="16">
        <f>LCOE!U182+O156/1000*IF(LCOE!G$14&gt;0,G156,H156)</f>
        <v>0</v>
      </c>
      <c r="R156" s="16">
        <f>LCOE!B182</f>
        <v>30</v>
      </c>
      <c r="S156" s="16">
        <f>LCOE!V182+Q156*P156*R156</f>
        <v>0</v>
      </c>
      <c r="T156" s="16">
        <f>LCOE!W182+LCOE!G$31</f>
        <v>0</v>
      </c>
      <c r="U156" s="16">
        <f>LCOE!X182+T156*IF(LCOE!G$14&gt;0,G156,H156)</f>
        <v>0</v>
      </c>
      <c r="V156" s="16">
        <f>LCOE!Y182+LCOE!G$32</f>
        <v>0</v>
      </c>
      <c r="W156" s="16">
        <f>LCOE!Z182+V156*IF(LCOE!G$14&gt;0,G156,H156)</f>
        <v>0</v>
      </c>
      <c r="X156" s="16">
        <f>LCOE!AA182+LCOE!G$34</f>
        <v>101</v>
      </c>
      <c r="Y156" s="16">
        <f t="shared" si="29"/>
        <v>0</v>
      </c>
      <c r="Z156" s="50">
        <f t="shared" si="32"/>
        <v>0</v>
      </c>
      <c r="AA156" s="50">
        <f t="shared" si="33"/>
        <v>0</v>
      </c>
      <c r="AB156" s="50">
        <f t="shared" si="34"/>
        <v>0</v>
      </c>
      <c r="AC156" s="50">
        <f t="shared" si="30"/>
        <v>0</v>
      </c>
      <c r="AD156" s="50">
        <f t="shared" si="25"/>
        <v>0</v>
      </c>
      <c r="AE156">
        <f t="shared" si="31"/>
        <v>30</v>
      </c>
      <c r="AF156" s="12">
        <f>LCOE!E182+LCOE!G$40</f>
        <v>7.0000000000000007E-2</v>
      </c>
      <c r="AG156">
        <f t="shared" si="26"/>
        <v>336.51535136685698</v>
      </c>
      <c r="AH156" s="16">
        <f t="shared" si="21"/>
        <v>0</v>
      </c>
      <c r="AI156" s="16">
        <f t="shared" si="22"/>
        <v>0</v>
      </c>
      <c r="AJ156" s="16">
        <f t="shared" si="23"/>
        <v>0</v>
      </c>
      <c r="AK156" s="16">
        <f t="shared" si="24"/>
        <v>0</v>
      </c>
      <c r="AL156" s="16">
        <f t="shared" si="27"/>
        <v>0</v>
      </c>
      <c r="AM156" s="16">
        <f t="shared" si="28"/>
        <v>0</v>
      </c>
      <c r="AN156" s="16">
        <f>IF(LCOE!G$14&gt;0,G156,H156)/AG156</f>
        <v>0</v>
      </c>
    </row>
    <row r="157" spans="1:40">
      <c r="A157">
        <v>87</v>
      </c>
      <c r="C157" s="16">
        <f>LCOE!G183+IF(AND(LCOE!G$26&gt;0,A157&gt;=LCOE!G$26,A157&lt;=(LCOE!G$26+LCOE!G$27-1)),LCOE!G$42/LCOE!G$27,0)+IF(AND(D157=0,AE157&gt;=LCOE!G$16,COUNTIF(D132:D157,0)=LCOE!G$36),LCOE!G$35*LCOE!G$38,0)</f>
        <v>0</v>
      </c>
      <c r="D157" s="16">
        <f>IF(AE156&lt;LCOE!G$16,1,0)</f>
        <v>0</v>
      </c>
      <c r="E157" s="12">
        <f>LCOE!G183+IF(AND(A157&gt;=LCOE!G$26,A157&lt;=(LCOE!G$26+LCOE!G$27-1)),0,1)*IF(A157=LCOE!G$34,0,1)*D157</f>
        <v>0</v>
      </c>
      <c r="F157" s="12">
        <f>IF(F156&lt;LCOE!G$18,MIN(F156*(1+LCOE!G$19),LCOE!G$18),LCOE!G$18)+LCOE!J183</f>
        <v>0.9</v>
      </c>
      <c r="G157" s="16">
        <f>LCOE!K183+E157*F157*N157*(LCOE!G$14+LCOE!H183)*24*365*D157</f>
        <v>0</v>
      </c>
      <c r="H157" s="16">
        <f>LCOE!L183+F157*(LCOE!G$15+LCOE!I183)*E157*24*365*D157*N157</f>
        <v>0</v>
      </c>
      <c r="I157" s="16">
        <f>LCOE!M183+LCOE!G$20*IF(LCOE!G$14&gt;0,(LCOE!G$14+LCOE!H183),(LCOE!G$15+LCOE!I183))*K157*D157</f>
        <v>0</v>
      </c>
      <c r="J157" s="16">
        <f>LCOE!N183+LCOE!G$21*IF(LCOE!G$14&gt;0,G157,H157)*K157*D157</f>
        <v>0</v>
      </c>
      <c r="K157" s="15">
        <f>LCOE!O183+K156+K156*LCOE!G$22</f>
        <v>1</v>
      </c>
      <c r="L157" s="16">
        <f>LCOE!P183+LCOE!G$23*IF(LCOE!G$14&gt;0,G157,H157)*M157*D157</f>
        <v>0</v>
      </c>
      <c r="M157" s="15">
        <f>LCOE!Q183+M156+M156*LCOE!G$24</f>
        <v>1</v>
      </c>
      <c r="N157" s="15">
        <f>LCOE!R183+N156-N156*LCOE!G$25</f>
        <v>1</v>
      </c>
      <c r="O157" s="18">
        <f>LCOE!S183+LCOE!G$29</f>
        <v>313.75</v>
      </c>
      <c r="P157" s="12">
        <f>LCOE!T183+IF(A157&gt;=LCOE!G$30,100%,0%)</f>
        <v>1</v>
      </c>
      <c r="Q157" s="16">
        <f>LCOE!U183+O157/1000*IF(LCOE!G$14&gt;0,G157,H157)</f>
        <v>0</v>
      </c>
      <c r="R157" s="16">
        <f>LCOE!B183</f>
        <v>30</v>
      </c>
      <c r="S157" s="16">
        <f>LCOE!V183+Q157*P157*R157</f>
        <v>0</v>
      </c>
      <c r="T157" s="16">
        <f>LCOE!W183+LCOE!G$31</f>
        <v>0</v>
      </c>
      <c r="U157" s="16">
        <f>LCOE!X183+T157*IF(LCOE!G$14&gt;0,G157,H157)</f>
        <v>0</v>
      </c>
      <c r="V157" s="16">
        <f>LCOE!Y183+LCOE!G$32</f>
        <v>0</v>
      </c>
      <c r="W157" s="16">
        <f>LCOE!Z183+V157*IF(LCOE!G$14&gt;0,G157,H157)</f>
        <v>0</v>
      </c>
      <c r="X157" s="16">
        <f>LCOE!AA183+LCOE!G$34</f>
        <v>101</v>
      </c>
      <c r="Y157" s="16">
        <f t="shared" si="29"/>
        <v>0</v>
      </c>
      <c r="Z157" s="50">
        <f t="shared" si="32"/>
        <v>0</v>
      </c>
      <c r="AA157" s="50">
        <f t="shared" si="33"/>
        <v>0</v>
      </c>
      <c r="AB157" s="50">
        <f t="shared" si="34"/>
        <v>0</v>
      </c>
      <c r="AC157" s="50">
        <f t="shared" si="30"/>
        <v>0</v>
      </c>
      <c r="AD157" s="50">
        <f t="shared" si="25"/>
        <v>0</v>
      </c>
      <c r="AE157">
        <f t="shared" si="31"/>
        <v>30</v>
      </c>
      <c r="AF157" s="12">
        <f>LCOE!E183+LCOE!G$40</f>
        <v>7.0000000000000007E-2</v>
      </c>
      <c r="AG157">
        <f t="shared" si="26"/>
        <v>360.07142596253698</v>
      </c>
      <c r="AH157" s="16">
        <f t="shared" si="21"/>
        <v>0</v>
      </c>
      <c r="AI157" s="16">
        <f t="shared" si="22"/>
        <v>0</v>
      </c>
      <c r="AJ157" s="16">
        <f t="shared" si="23"/>
        <v>0</v>
      </c>
      <c r="AK157" s="16">
        <f t="shared" si="24"/>
        <v>0</v>
      </c>
      <c r="AL157" s="16">
        <f t="shared" si="27"/>
        <v>0</v>
      </c>
      <c r="AM157" s="16">
        <f t="shared" si="28"/>
        <v>0</v>
      </c>
      <c r="AN157" s="16">
        <f>IF(LCOE!G$14&gt;0,G157,H157)/AG157</f>
        <v>0</v>
      </c>
    </row>
    <row r="158" spans="1:40">
      <c r="A158">
        <v>88</v>
      </c>
      <c r="C158" s="16">
        <f>LCOE!G184+IF(AND(LCOE!G$26&gt;0,A158&gt;=LCOE!G$26,A158&lt;=(LCOE!G$26+LCOE!G$27-1)),LCOE!G$42/LCOE!G$27,0)+IF(AND(D158=0,AE158&gt;=LCOE!G$16,COUNTIF(D133:D158,0)=LCOE!G$36),LCOE!G$35*LCOE!G$38,0)</f>
        <v>0</v>
      </c>
      <c r="D158" s="16">
        <f>IF(AE157&lt;LCOE!G$16,1,0)</f>
        <v>0</v>
      </c>
      <c r="E158" s="12">
        <f>LCOE!G184+IF(AND(A158&gt;=LCOE!G$26,A158&lt;=(LCOE!G$26+LCOE!G$27-1)),0,1)*IF(A158=LCOE!G$34,0,1)*D158</f>
        <v>0</v>
      </c>
      <c r="F158" s="12">
        <f>IF(F157&lt;LCOE!G$18,MIN(F157*(1+LCOE!G$19),LCOE!G$18),LCOE!G$18)+LCOE!J184</f>
        <v>0.9</v>
      </c>
      <c r="G158" s="16">
        <f>LCOE!K184+E158*F158*N158*(LCOE!G$14+LCOE!H184)*24*365*D158</f>
        <v>0</v>
      </c>
      <c r="H158" s="16">
        <f>LCOE!L184+F158*(LCOE!G$15+LCOE!I184)*E158*24*365*D158*N158</f>
        <v>0</v>
      </c>
      <c r="I158" s="16">
        <f>LCOE!M184+LCOE!G$20*IF(LCOE!G$14&gt;0,(LCOE!G$14+LCOE!H184),(LCOE!G$15+LCOE!I184))*K158*D158</f>
        <v>0</v>
      </c>
      <c r="J158" s="16">
        <f>LCOE!N184+LCOE!G$21*IF(LCOE!G$14&gt;0,G158,H158)*K158*D158</f>
        <v>0</v>
      </c>
      <c r="K158" s="15">
        <f>LCOE!O184+K157+K157*LCOE!G$22</f>
        <v>1</v>
      </c>
      <c r="L158" s="16">
        <f>LCOE!P184+LCOE!G$23*IF(LCOE!G$14&gt;0,G158,H158)*M158*D158</f>
        <v>0</v>
      </c>
      <c r="M158" s="15">
        <f>LCOE!Q184+M157+M157*LCOE!G$24</f>
        <v>1</v>
      </c>
      <c r="N158" s="15">
        <f>LCOE!R184+N157-N157*LCOE!G$25</f>
        <v>1</v>
      </c>
      <c r="O158" s="18">
        <f>LCOE!S184+LCOE!G$29</f>
        <v>313.75</v>
      </c>
      <c r="P158" s="12">
        <f>LCOE!T184+IF(A158&gt;=LCOE!G$30,100%,0%)</f>
        <v>1</v>
      </c>
      <c r="Q158" s="16">
        <f>LCOE!U184+O158/1000*IF(LCOE!G$14&gt;0,G158,H158)</f>
        <v>0</v>
      </c>
      <c r="R158" s="16">
        <f>LCOE!B184</f>
        <v>30</v>
      </c>
      <c r="S158" s="16">
        <f>LCOE!V184+Q158*P158*R158</f>
        <v>0</v>
      </c>
      <c r="T158" s="16">
        <f>LCOE!W184+LCOE!G$31</f>
        <v>0</v>
      </c>
      <c r="U158" s="16">
        <f>LCOE!X184+T158*IF(LCOE!G$14&gt;0,G158,H158)</f>
        <v>0</v>
      </c>
      <c r="V158" s="16">
        <f>LCOE!Y184+LCOE!G$32</f>
        <v>0</v>
      </c>
      <c r="W158" s="16">
        <f>LCOE!Z184+V158*IF(LCOE!G$14&gt;0,G158,H158)</f>
        <v>0</v>
      </c>
      <c r="X158" s="16">
        <f>LCOE!AA184+LCOE!G$34</f>
        <v>101</v>
      </c>
      <c r="Y158" s="16">
        <f t="shared" si="29"/>
        <v>0</v>
      </c>
      <c r="Z158" s="50">
        <f t="shared" si="32"/>
        <v>0</v>
      </c>
      <c r="AA158" s="50">
        <f t="shared" si="33"/>
        <v>0</v>
      </c>
      <c r="AB158" s="50">
        <f t="shared" si="34"/>
        <v>0</v>
      </c>
      <c r="AC158" s="50">
        <f t="shared" si="30"/>
        <v>0</v>
      </c>
      <c r="AD158" s="50">
        <f t="shared" si="25"/>
        <v>0</v>
      </c>
      <c r="AE158">
        <f t="shared" si="31"/>
        <v>30</v>
      </c>
      <c r="AF158" s="12">
        <f>LCOE!E184+LCOE!G$40</f>
        <v>7.0000000000000007E-2</v>
      </c>
      <c r="AG158">
        <f t="shared" si="26"/>
        <v>385.27642577991458</v>
      </c>
      <c r="AH158" s="16">
        <f t="shared" si="21"/>
        <v>0</v>
      </c>
      <c r="AI158" s="16">
        <f t="shared" si="22"/>
        <v>0</v>
      </c>
      <c r="AJ158" s="16">
        <f t="shared" si="23"/>
        <v>0</v>
      </c>
      <c r="AK158" s="16">
        <f t="shared" si="24"/>
        <v>0</v>
      </c>
      <c r="AL158" s="16">
        <f t="shared" si="27"/>
        <v>0</v>
      </c>
      <c r="AM158" s="16">
        <f t="shared" si="28"/>
        <v>0</v>
      </c>
      <c r="AN158" s="16">
        <f>IF(LCOE!G$14&gt;0,G158,H158)/AG158</f>
        <v>0</v>
      </c>
    </row>
    <row r="159" spans="1:40">
      <c r="A159">
        <v>89</v>
      </c>
      <c r="C159" s="16">
        <f>LCOE!G185+IF(AND(LCOE!G$26&gt;0,A159&gt;=LCOE!G$26,A159&lt;=(LCOE!G$26+LCOE!G$27-1)),LCOE!G$42/LCOE!G$27,0)+IF(AND(D159=0,AE159&gt;=LCOE!G$16,COUNTIF(D134:D159,0)=LCOE!G$36),LCOE!G$35*LCOE!G$38,0)</f>
        <v>0</v>
      </c>
      <c r="D159" s="16">
        <f>IF(AE158&lt;LCOE!G$16,1,0)</f>
        <v>0</v>
      </c>
      <c r="E159" s="12">
        <f>LCOE!G185+IF(AND(A159&gt;=LCOE!G$26,A159&lt;=(LCOE!G$26+LCOE!G$27-1)),0,1)*IF(A159=LCOE!G$34,0,1)*D159</f>
        <v>0</v>
      </c>
      <c r="F159" s="12">
        <f>IF(F158&lt;LCOE!G$18,MIN(F158*(1+LCOE!G$19),LCOE!G$18),LCOE!G$18)+LCOE!J185</f>
        <v>0.9</v>
      </c>
      <c r="G159" s="16">
        <f>LCOE!K185+E159*F159*N159*(LCOE!G$14+LCOE!H185)*24*365*D159</f>
        <v>0</v>
      </c>
      <c r="H159" s="16">
        <f>LCOE!L185+F159*(LCOE!G$15+LCOE!I185)*E159*24*365*D159*N159</f>
        <v>0</v>
      </c>
      <c r="I159" s="16">
        <f>LCOE!M185+LCOE!G$20*IF(LCOE!G$14&gt;0,(LCOE!G$14+LCOE!H185),(LCOE!G$15+LCOE!I185))*K159*D159</f>
        <v>0</v>
      </c>
      <c r="J159" s="16">
        <f>LCOE!N185+LCOE!G$21*IF(LCOE!G$14&gt;0,G159,H159)*K159*D159</f>
        <v>0</v>
      </c>
      <c r="K159" s="15">
        <f>LCOE!O185+K158+K158*LCOE!G$22</f>
        <v>1</v>
      </c>
      <c r="L159" s="16">
        <f>LCOE!P185+LCOE!G$23*IF(LCOE!G$14&gt;0,G159,H159)*M159*D159</f>
        <v>0</v>
      </c>
      <c r="M159" s="15">
        <f>LCOE!Q185+M158+M158*LCOE!G$24</f>
        <v>1</v>
      </c>
      <c r="N159" s="15">
        <f>LCOE!R185+N158-N158*LCOE!G$25</f>
        <v>1</v>
      </c>
      <c r="O159" s="18">
        <f>LCOE!S185+LCOE!G$29</f>
        <v>313.75</v>
      </c>
      <c r="P159" s="12">
        <f>LCOE!T185+IF(A159&gt;=LCOE!G$30,100%,0%)</f>
        <v>1</v>
      </c>
      <c r="Q159" s="16">
        <f>LCOE!U185+O159/1000*IF(LCOE!G$14&gt;0,G159,H159)</f>
        <v>0</v>
      </c>
      <c r="R159" s="16">
        <f>LCOE!B185</f>
        <v>30</v>
      </c>
      <c r="S159" s="16">
        <f>LCOE!V185+Q159*P159*R159</f>
        <v>0</v>
      </c>
      <c r="T159" s="16">
        <f>LCOE!W185+LCOE!G$31</f>
        <v>0</v>
      </c>
      <c r="U159" s="16">
        <f>LCOE!X185+T159*IF(LCOE!G$14&gt;0,G159,H159)</f>
        <v>0</v>
      </c>
      <c r="V159" s="16">
        <f>LCOE!Y185+LCOE!G$32</f>
        <v>0</v>
      </c>
      <c r="W159" s="16">
        <f>LCOE!Z185+V159*IF(LCOE!G$14&gt;0,G159,H159)</f>
        <v>0</v>
      </c>
      <c r="X159" s="16">
        <f>LCOE!AA185+LCOE!G$34</f>
        <v>101</v>
      </c>
      <c r="Y159" s="16">
        <f t="shared" si="29"/>
        <v>0</v>
      </c>
      <c r="Z159" s="50">
        <f t="shared" si="32"/>
        <v>0</v>
      </c>
      <c r="AA159" s="50">
        <f t="shared" si="33"/>
        <v>0</v>
      </c>
      <c r="AB159" s="50">
        <f t="shared" si="34"/>
        <v>0</v>
      </c>
      <c r="AC159" s="50">
        <f t="shared" si="30"/>
        <v>0</v>
      </c>
      <c r="AD159" s="50">
        <f t="shared" si="25"/>
        <v>0</v>
      </c>
      <c r="AE159">
        <f t="shared" si="31"/>
        <v>30</v>
      </c>
      <c r="AF159" s="12">
        <f>LCOE!E185+LCOE!G$40</f>
        <v>7.0000000000000007E-2</v>
      </c>
      <c r="AG159">
        <f t="shared" si="26"/>
        <v>412.24577558450864</v>
      </c>
      <c r="AH159" s="16">
        <f t="shared" si="21"/>
        <v>0</v>
      </c>
      <c r="AI159" s="16">
        <f t="shared" si="22"/>
        <v>0</v>
      </c>
      <c r="AJ159" s="16">
        <f t="shared" si="23"/>
        <v>0</v>
      </c>
      <c r="AK159" s="16">
        <f t="shared" si="24"/>
        <v>0</v>
      </c>
      <c r="AL159" s="16">
        <f t="shared" si="27"/>
        <v>0</v>
      </c>
      <c r="AM159" s="16">
        <f t="shared" si="28"/>
        <v>0</v>
      </c>
      <c r="AN159" s="16">
        <f>IF(LCOE!G$14&gt;0,G159,H159)/AG159</f>
        <v>0</v>
      </c>
    </row>
    <row r="160" spans="1:40">
      <c r="A160">
        <v>90</v>
      </c>
      <c r="C160" s="16">
        <f>LCOE!G186+IF(AND(LCOE!G$26&gt;0,A160&gt;=LCOE!G$26,A160&lt;=(LCOE!G$26+LCOE!G$27-1)),LCOE!G$42/LCOE!G$27,0)+IF(AND(D160=0,AE160&gt;=LCOE!G$16,COUNTIF(D135:D160,0)=LCOE!G$36),LCOE!G$35*LCOE!G$38,0)</f>
        <v>0</v>
      </c>
      <c r="D160" s="16">
        <f>IF(AE159&lt;LCOE!G$16,1,0)</f>
        <v>0</v>
      </c>
      <c r="E160" s="12">
        <f>LCOE!G186+IF(AND(A160&gt;=LCOE!G$26,A160&lt;=(LCOE!G$26+LCOE!G$27-1)),0,1)*IF(A160=LCOE!G$34,0,1)*D160</f>
        <v>0</v>
      </c>
      <c r="F160" s="12">
        <f>IF(F159&lt;LCOE!G$18,MIN(F159*(1+LCOE!G$19),LCOE!G$18),LCOE!G$18)+LCOE!J186</f>
        <v>0.9</v>
      </c>
      <c r="G160" s="16">
        <f>LCOE!K186+E160*F160*N160*(LCOE!G$14+LCOE!H186)*24*365*D160</f>
        <v>0</v>
      </c>
      <c r="H160" s="16">
        <f>LCOE!L186+F160*(LCOE!G$15+LCOE!I186)*E160*24*365*D160*N160</f>
        <v>0</v>
      </c>
      <c r="I160" s="16">
        <f>LCOE!M186+LCOE!G$20*IF(LCOE!G$14&gt;0,(LCOE!G$14+LCOE!H186),(LCOE!G$15+LCOE!I186))*K160*D160</f>
        <v>0</v>
      </c>
      <c r="J160" s="16">
        <f>LCOE!N186+LCOE!G$21*IF(LCOE!G$14&gt;0,G160,H160)*K160*D160</f>
        <v>0</v>
      </c>
      <c r="K160" s="15">
        <f>LCOE!O186+K159+K159*LCOE!G$22</f>
        <v>1</v>
      </c>
      <c r="L160" s="16">
        <f>LCOE!P186+LCOE!G$23*IF(LCOE!G$14&gt;0,G160,H160)*M160*D160</f>
        <v>0</v>
      </c>
      <c r="M160" s="15">
        <f>LCOE!Q186+M159+M159*LCOE!G$24</f>
        <v>1</v>
      </c>
      <c r="N160" s="15">
        <f>LCOE!R186+N159-N159*LCOE!G$25</f>
        <v>1</v>
      </c>
      <c r="O160" s="18">
        <f>LCOE!S186+LCOE!G$29</f>
        <v>313.75</v>
      </c>
      <c r="P160" s="12">
        <f>LCOE!T186+IF(A160&gt;=LCOE!G$30,100%,0%)</f>
        <v>1</v>
      </c>
      <c r="Q160" s="16">
        <f>LCOE!U186+O160/1000*IF(LCOE!G$14&gt;0,G160,H160)</f>
        <v>0</v>
      </c>
      <c r="R160" s="16">
        <f>LCOE!B186</f>
        <v>30</v>
      </c>
      <c r="S160" s="16">
        <f>LCOE!V186+Q160*P160*R160</f>
        <v>0</v>
      </c>
      <c r="T160" s="16">
        <f>LCOE!W186+LCOE!G$31</f>
        <v>0</v>
      </c>
      <c r="U160" s="16">
        <f>LCOE!X186+T160*IF(LCOE!G$14&gt;0,G160,H160)</f>
        <v>0</v>
      </c>
      <c r="V160" s="16">
        <f>LCOE!Y186+LCOE!G$32</f>
        <v>0</v>
      </c>
      <c r="W160" s="16">
        <f>LCOE!Z186+V160*IF(LCOE!G$14&gt;0,G160,H160)</f>
        <v>0</v>
      </c>
      <c r="X160" s="16">
        <f>LCOE!AA186+LCOE!G$34</f>
        <v>101</v>
      </c>
      <c r="Y160" s="16">
        <f t="shared" si="29"/>
        <v>0</v>
      </c>
      <c r="Z160" s="50">
        <f t="shared" si="32"/>
        <v>0</v>
      </c>
      <c r="AA160" s="50">
        <f t="shared" si="33"/>
        <v>0</v>
      </c>
      <c r="AB160" s="50">
        <f t="shared" si="34"/>
        <v>0</v>
      </c>
      <c r="AC160" s="50">
        <f t="shared" si="30"/>
        <v>0</v>
      </c>
      <c r="AD160" s="50">
        <f t="shared" si="25"/>
        <v>0</v>
      </c>
      <c r="AE160">
        <f t="shared" si="31"/>
        <v>30</v>
      </c>
      <c r="AF160" s="12">
        <f>LCOE!E186+LCOE!G$40</f>
        <v>7.0000000000000007E-2</v>
      </c>
      <c r="AG160">
        <f t="shared" si="26"/>
        <v>441.10297987542418</v>
      </c>
      <c r="AH160" s="16">
        <f t="shared" si="21"/>
        <v>0</v>
      </c>
      <c r="AI160" s="16">
        <f t="shared" si="22"/>
        <v>0</v>
      </c>
      <c r="AJ160" s="16">
        <f t="shared" si="23"/>
        <v>0</v>
      </c>
      <c r="AK160" s="16">
        <f t="shared" si="24"/>
        <v>0</v>
      </c>
      <c r="AL160" s="16">
        <f t="shared" si="27"/>
        <v>0</v>
      </c>
      <c r="AM160" s="16">
        <f t="shared" si="28"/>
        <v>0</v>
      </c>
      <c r="AN160" s="16">
        <f>IF(LCOE!G$14&gt;0,G160,H160)/AG160</f>
        <v>0</v>
      </c>
    </row>
    <row r="161" spans="1:40">
      <c r="A161">
        <v>91</v>
      </c>
      <c r="C161" s="16">
        <f>LCOE!G187+IF(AND(LCOE!G$26&gt;0,A161&gt;=LCOE!G$26,A161&lt;=(LCOE!G$26+LCOE!G$27-1)),LCOE!G$42/LCOE!G$27,0)+IF(AND(D161=0,AE161&gt;=LCOE!G$16,COUNTIF(D136:D161,0)=LCOE!G$36),LCOE!G$35*LCOE!G$38,0)</f>
        <v>0</v>
      </c>
      <c r="D161" s="16">
        <f>IF(AE160&lt;LCOE!G$16,1,0)</f>
        <v>0</v>
      </c>
      <c r="E161" s="12">
        <f>LCOE!G187+IF(AND(A161&gt;=LCOE!G$26,A161&lt;=(LCOE!G$26+LCOE!G$27-1)),0,1)*IF(A161=LCOE!G$34,0,1)*D161</f>
        <v>0</v>
      </c>
      <c r="F161" s="12">
        <f>IF(F160&lt;LCOE!G$18,MIN(F160*(1+LCOE!G$19),LCOE!G$18),LCOE!G$18)+LCOE!J187</f>
        <v>0.9</v>
      </c>
      <c r="G161" s="16">
        <f>LCOE!K187+E161*F161*N161*(LCOE!G$14+LCOE!H187)*24*365*D161</f>
        <v>0</v>
      </c>
      <c r="H161" s="16">
        <f>LCOE!L187+F161*(LCOE!G$15+LCOE!I187)*E161*24*365*D161*N161</f>
        <v>0</v>
      </c>
      <c r="I161" s="16">
        <f>LCOE!M187+LCOE!G$20*IF(LCOE!G$14&gt;0,(LCOE!G$14+LCOE!H187),(LCOE!G$15+LCOE!I187))*K161*D161</f>
        <v>0</v>
      </c>
      <c r="J161" s="16">
        <f>LCOE!N187+LCOE!G$21*IF(LCOE!G$14&gt;0,G161,H161)*K161*D161</f>
        <v>0</v>
      </c>
      <c r="K161" s="15">
        <f>LCOE!O187+K160+K160*LCOE!G$22</f>
        <v>1</v>
      </c>
      <c r="L161" s="16">
        <f>LCOE!P187+LCOE!G$23*IF(LCOE!G$14&gt;0,G161,H161)*M161*D161</f>
        <v>0</v>
      </c>
      <c r="M161" s="15">
        <f>LCOE!Q187+M160+M160*LCOE!G$24</f>
        <v>1</v>
      </c>
      <c r="N161" s="15">
        <f>LCOE!R187+N160-N160*LCOE!G$25</f>
        <v>1</v>
      </c>
      <c r="O161" s="18">
        <f>LCOE!S187+LCOE!G$29</f>
        <v>313.75</v>
      </c>
      <c r="P161" s="12">
        <f>LCOE!T187+IF(A161&gt;=LCOE!G$30,100%,0%)</f>
        <v>1</v>
      </c>
      <c r="Q161" s="16">
        <f>LCOE!U187+O161/1000*IF(LCOE!G$14&gt;0,G161,H161)</f>
        <v>0</v>
      </c>
      <c r="R161" s="16">
        <f>LCOE!B187</f>
        <v>30</v>
      </c>
      <c r="S161" s="16">
        <f>LCOE!V187+Q161*P161*R161</f>
        <v>0</v>
      </c>
      <c r="T161" s="16">
        <f>LCOE!W187+LCOE!G$31</f>
        <v>0</v>
      </c>
      <c r="U161" s="16">
        <f>LCOE!X187+T161*IF(LCOE!G$14&gt;0,G161,H161)</f>
        <v>0</v>
      </c>
      <c r="V161" s="16">
        <f>LCOE!Y187+LCOE!G$32</f>
        <v>0</v>
      </c>
      <c r="W161" s="16">
        <f>LCOE!Z187+V161*IF(LCOE!G$14&gt;0,G161,H161)</f>
        <v>0</v>
      </c>
      <c r="X161" s="16">
        <f>LCOE!AA187+LCOE!G$34</f>
        <v>101</v>
      </c>
      <c r="Y161" s="16">
        <f t="shared" si="29"/>
        <v>0</v>
      </c>
      <c r="Z161" s="50">
        <f t="shared" si="32"/>
        <v>0</v>
      </c>
      <c r="AA161" s="50">
        <f t="shared" si="33"/>
        <v>0</v>
      </c>
      <c r="AB161" s="50">
        <f t="shared" si="34"/>
        <v>0</v>
      </c>
      <c r="AC161" s="50">
        <f t="shared" si="30"/>
        <v>0</v>
      </c>
      <c r="AD161" s="50">
        <f t="shared" si="25"/>
        <v>0</v>
      </c>
      <c r="AE161">
        <f t="shared" si="31"/>
        <v>30</v>
      </c>
      <c r="AF161" s="12">
        <f>LCOE!E187+LCOE!G$40</f>
        <v>7.0000000000000007E-2</v>
      </c>
      <c r="AG161">
        <f t="shared" si="26"/>
        <v>471.98018846670396</v>
      </c>
      <c r="AH161" s="16">
        <f t="shared" si="21"/>
        <v>0</v>
      </c>
      <c r="AI161" s="16">
        <f t="shared" si="22"/>
        <v>0</v>
      </c>
      <c r="AJ161" s="16">
        <f t="shared" si="23"/>
        <v>0</v>
      </c>
      <c r="AK161" s="16">
        <f t="shared" si="24"/>
        <v>0</v>
      </c>
      <c r="AL161" s="16">
        <f t="shared" si="27"/>
        <v>0</v>
      </c>
      <c r="AM161" s="16">
        <f t="shared" si="28"/>
        <v>0</v>
      </c>
      <c r="AN161" s="16">
        <f>IF(LCOE!G$14&gt;0,G161,H161)/AG161</f>
        <v>0</v>
      </c>
    </row>
    <row r="162" spans="1:40">
      <c r="A162">
        <v>92</v>
      </c>
      <c r="C162" s="16">
        <f>LCOE!G188+IF(AND(LCOE!G$26&gt;0,A162&gt;=LCOE!G$26,A162&lt;=(LCOE!G$26+LCOE!G$27-1)),LCOE!G$42/LCOE!G$27,0)+IF(AND(D162=0,AE162&gt;=LCOE!G$16,COUNTIF(D137:D162,0)=LCOE!G$36),LCOE!G$35*LCOE!G$38,0)</f>
        <v>0</v>
      </c>
      <c r="D162" s="16">
        <f>IF(AE161&lt;LCOE!G$16,1,0)</f>
        <v>0</v>
      </c>
      <c r="E162" s="12">
        <f>LCOE!G188+IF(AND(A162&gt;=LCOE!G$26,A162&lt;=(LCOE!G$26+LCOE!G$27-1)),0,1)*IF(A162=LCOE!G$34,0,1)*D162</f>
        <v>0</v>
      </c>
      <c r="F162" s="12">
        <f>IF(F161&lt;LCOE!G$18,MIN(F161*(1+LCOE!G$19),LCOE!G$18),LCOE!G$18)+LCOE!J188</f>
        <v>0.9</v>
      </c>
      <c r="G162" s="16">
        <f>LCOE!K188+E162*F162*N162*(LCOE!G$14+LCOE!H188)*24*365*D162</f>
        <v>0</v>
      </c>
      <c r="H162" s="16">
        <f>LCOE!L188+F162*(LCOE!G$15+LCOE!I188)*E162*24*365*D162*N162</f>
        <v>0</v>
      </c>
      <c r="I162" s="16">
        <f>LCOE!M188+LCOE!G$20*IF(LCOE!G$14&gt;0,(LCOE!G$14+LCOE!H188),(LCOE!G$15+LCOE!I188))*K162*D162</f>
        <v>0</v>
      </c>
      <c r="J162" s="16">
        <f>LCOE!N188+LCOE!G$21*IF(LCOE!G$14&gt;0,G162,H162)*K162*D162</f>
        <v>0</v>
      </c>
      <c r="K162" s="15">
        <f>LCOE!O188+K161+K161*LCOE!G$22</f>
        <v>1</v>
      </c>
      <c r="L162" s="16">
        <f>LCOE!P188+LCOE!G$23*IF(LCOE!G$14&gt;0,G162,H162)*M162*D162</f>
        <v>0</v>
      </c>
      <c r="M162" s="15">
        <f>LCOE!Q188+M161+M161*LCOE!G$24</f>
        <v>1</v>
      </c>
      <c r="N162" s="15">
        <f>LCOE!R188+N161-N161*LCOE!G$25</f>
        <v>1</v>
      </c>
      <c r="O162" s="18">
        <f>LCOE!S188+LCOE!G$29</f>
        <v>313.75</v>
      </c>
      <c r="P162" s="12">
        <f>LCOE!T188+IF(A162&gt;=LCOE!G$30,100%,0%)</f>
        <v>1</v>
      </c>
      <c r="Q162" s="16">
        <f>LCOE!U188+O162/1000*IF(LCOE!G$14&gt;0,G162,H162)</f>
        <v>0</v>
      </c>
      <c r="R162" s="16">
        <f>LCOE!B188</f>
        <v>30</v>
      </c>
      <c r="S162" s="16">
        <f>LCOE!V188+Q162*P162*R162</f>
        <v>0</v>
      </c>
      <c r="T162" s="16">
        <f>LCOE!W188+LCOE!G$31</f>
        <v>0</v>
      </c>
      <c r="U162" s="16">
        <f>LCOE!X188+T162*IF(LCOE!G$14&gt;0,G162,H162)</f>
        <v>0</v>
      </c>
      <c r="V162" s="16">
        <f>LCOE!Y188+LCOE!G$32</f>
        <v>0</v>
      </c>
      <c r="W162" s="16">
        <f>LCOE!Z188+V162*IF(LCOE!G$14&gt;0,G162,H162)</f>
        <v>0</v>
      </c>
      <c r="X162" s="16">
        <f>LCOE!AA188+LCOE!G$34</f>
        <v>101</v>
      </c>
      <c r="Y162" s="16">
        <f t="shared" si="29"/>
        <v>0</v>
      </c>
      <c r="Z162" s="50">
        <f t="shared" si="32"/>
        <v>0</v>
      </c>
      <c r="AA162" s="50">
        <f t="shared" si="33"/>
        <v>0</v>
      </c>
      <c r="AB162" s="50">
        <f t="shared" si="34"/>
        <v>0</v>
      </c>
      <c r="AC162" s="50">
        <f t="shared" si="30"/>
        <v>0</v>
      </c>
      <c r="AD162" s="50">
        <f t="shared" si="25"/>
        <v>0</v>
      </c>
      <c r="AE162">
        <f t="shared" si="31"/>
        <v>30</v>
      </c>
      <c r="AF162" s="12">
        <f>LCOE!E188+LCOE!G$40</f>
        <v>7.0000000000000007E-2</v>
      </c>
      <c r="AG162">
        <f t="shared" si="26"/>
        <v>505.01880165937314</v>
      </c>
      <c r="AH162" s="16">
        <f t="shared" si="21"/>
        <v>0</v>
      </c>
      <c r="AI162" s="16">
        <f t="shared" si="22"/>
        <v>0</v>
      </c>
      <c r="AJ162" s="16">
        <f t="shared" si="23"/>
        <v>0</v>
      </c>
      <c r="AK162" s="16">
        <f t="shared" si="24"/>
        <v>0</v>
      </c>
      <c r="AL162" s="16">
        <f t="shared" si="27"/>
        <v>0</v>
      </c>
      <c r="AM162" s="16">
        <f t="shared" si="28"/>
        <v>0</v>
      </c>
      <c r="AN162" s="16">
        <f>IF(LCOE!G$14&gt;0,G162,H162)/AG162</f>
        <v>0</v>
      </c>
    </row>
    <row r="163" spans="1:40">
      <c r="A163">
        <v>93</v>
      </c>
      <c r="C163" s="16">
        <f>LCOE!G189+IF(AND(LCOE!G$26&gt;0,A163&gt;=LCOE!G$26,A163&lt;=(LCOE!G$26+LCOE!G$27-1)),LCOE!G$42/LCOE!G$27,0)+IF(AND(D163=0,AE163&gt;=LCOE!G$16,COUNTIF(D138:D163,0)=LCOE!G$36),LCOE!G$35*LCOE!G$38,0)</f>
        <v>0</v>
      </c>
      <c r="D163" s="16">
        <f>IF(AE162&lt;LCOE!G$16,1,0)</f>
        <v>0</v>
      </c>
      <c r="E163" s="12">
        <f>LCOE!G189+IF(AND(A163&gt;=LCOE!G$26,A163&lt;=(LCOE!G$26+LCOE!G$27-1)),0,1)*IF(A163=LCOE!G$34,0,1)*D163</f>
        <v>0</v>
      </c>
      <c r="F163" s="12">
        <f>IF(F162&lt;LCOE!G$18,MIN(F162*(1+LCOE!G$19),LCOE!G$18),LCOE!G$18)+LCOE!J189</f>
        <v>0.9</v>
      </c>
      <c r="G163" s="16">
        <f>LCOE!K189+E163*F163*N163*(LCOE!G$14+LCOE!H189)*24*365*D163</f>
        <v>0</v>
      </c>
      <c r="H163" s="16">
        <f>LCOE!L189+F163*(LCOE!G$15+LCOE!I189)*E163*24*365*D163*N163</f>
        <v>0</v>
      </c>
      <c r="I163" s="16">
        <f>LCOE!M189+LCOE!G$20*IF(LCOE!G$14&gt;0,(LCOE!G$14+LCOE!H189),(LCOE!G$15+LCOE!I189))*K163*D163</f>
        <v>0</v>
      </c>
      <c r="J163" s="16">
        <f>LCOE!N189+LCOE!G$21*IF(LCOE!G$14&gt;0,G163,H163)*K163*D163</f>
        <v>0</v>
      </c>
      <c r="K163" s="15">
        <f>LCOE!O189+K162+K162*LCOE!G$22</f>
        <v>1</v>
      </c>
      <c r="L163" s="16">
        <f>LCOE!P189+LCOE!G$23*IF(LCOE!G$14&gt;0,G163,H163)*M163*D163</f>
        <v>0</v>
      </c>
      <c r="M163" s="15">
        <f>LCOE!Q189+M162+M162*LCOE!G$24</f>
        <v>1</v>
      </c>
      <c r="N163" s="15">
        <f>LCOE!R189+N162-N162*LCOE!G$25</f>
        <v>1</v>
      </c>
      <c r="O163" s="18">
        <f>LCOE!S189+LCOE!G$29</f>
        <v>313.75</v>
      </c>
      <c r="P163" s="12">
        <f>LCOE!T189+IF(A163&gt;=LCOE!G$30,100%,0%)</f>
        <v>1</v>
      </c>
      <c r="Q163" s="16">
        <f>LCOE!U189+O163/1000*IF(LCOE!G$14&gt;0,G163,H163)</f>
        <v>0</v>
      </c>
      <c r="R163" s="16">
        <f>LCOE!B189</f>
        <v>30</v>
      </c>
      <c r="S163" s="16">
        <f>LCOE!V189+Q163*P163*R163</f>
        <v>0</v>
      </c>
      <c r="T163" s="16">
        <f>LCOE!W189+LCOE!G$31</f>
        <v>0</v>
      </c>
      <c r="U163" s="16">
        <f>LCOE!X189+T163*IF(LCOE!G$14&gt;0,G163,H163)</f>
        <v>0</v>
      </c>
      <c r="V163" s="16">
        <f>LCOE!Y189+LCOE!G$32</f>
        <v>0</v>
      </c>
      <c r="W163" s="16">
        <f>LCOE!Z189+V163*IF(LCOE!G$14&gt;0,G163,H163)</f>
        <v>0</v>
      </c>
      <c r="X163" s="16">
        <f>LCOE!AA189+LCOE!G$34</f>
        <v>101</v>
      </c>
      <c r="Y163" s="16">
        <f t="shared" si="29"/>
        <v>0</v>
      </c>
      <c r="Z163" s="50">
        <f t="shared" si="32"/>
        <v>0</v>
      </c>
      <c r="AA163" s="50">
        <f t="shared" si="33"/>
        <v>0</v>
      </c>
      <c r="AB163" s="50">
        <f t="shared" si="34"/>
        <v>0</v>
      </c>
      <c r="AC163" s="50">
        <f t="shared" si="30"/>
        <v>0</v>
      </c>
      <c r="AD163" s="50">
        <f t="shared" si="25"/>
        <v>0</v>
      </c>
      <c r="AE163">
        <f t="shared" si="31"/>
        <v>30</v>
      </c>
      <c r="AF163" s="12">
        <f>LCOE!E189+LCOE!G$40</f>
        <v>7.0000000000000007E-2</v>
      </c>
      <c r="AG163">
        <f t="shared" si="26"/>
        <v>540.37011777552925</v>
      </c>
      <c r="AH163" s="16">
        <f t="shared" si="21"/>
        <v>0</v>
      </c>
      <c r="AI163" s="16">
        <f t="shared" si="22"/>
        <v>0</v>
      </c>
      <c r="AJ163" s="16">
        <f t="shared" si="23"/>
        <v>0</v>
      </c>
      <c r="AK163" s="16">
        <f t="shared" si="24"/>
        <v>0</v>
      </c>
      <c r="AL163" s="16">
        <f t="shared" si="27"/>
        <v>0</v>
      </c>
      <c r="AM163" s="16">
        <f t="shared" si="28"/>
        <v>0</v>
      </c>
      <c r="AN163" s="16">
        <f>IF(LCOE!G$14&gt;0,G163,H163)/AG163</f>
        <v>0</v>
      </c>
    </row>
    <row r="164" spans="1:40">
      <c r="A164">
        <v>94</v>
      </c>
      <c r="C164" s="16">
        <f>LCOE!G190+IF(AND(LCOE!G$26&gt;0,A164&gt;=LCOE!G$26,A164&lt;=(LCOE!G$26+LCOE!G$27-1)),LCOE!G$42/LCOE!G$27,0)+IF(AND(D164=0,AE164&gt;=LCOE!G$16,COUNTIF(D139:D164,0)=LCOE!G$36),LCOE!G$35*LCOE!G$38,0)</f>
        <v>0</v>
      </c>
      <c r="D164" s="16">
        <f>IF(AE163&lt;LCOE!G$16,1,0)</f>
        <v>0</v>
      </c>
      <c r="E164" s="12">
        <f>LCOE!G190+IF(AND(A164&gt;=LCOE!G$26,A164&lt;=(LCOE!G$26+LCOE!G$27-1)),0,1)*IF(A164=LCOE!G$34,0,1)*D164</f>
        <v>0</v>
      </c>
      <c r="F164" s="12">
        <f>IF(F163&lt;LCOE!G$18,MIN(F163*(1+LCOE!G$19),LCOE!G$18),LCOE!G$18)+LCOE!J190</f>
        <v>0.9</v>
      </c>
      <c r="G164" s="16">
        <f>LCOE!K190+E164*F164*N164*(LCOE!G$14+LCOE!H190)*24*365*D164</f>
        <v>0</v>
      </c>
      <c r="H164" s="16">
        <f>LCOE!L190+F164*(LCOE!G$15+LCOE!I190)*E164*24*365*D164*N164</f>
        <v>0</v>
      </c>
      <c r="I164" s="16">
        <f>LCOE!M190+LCOE!G$20*IF(LCOE!G$14&gt;0,(LCOE!G$14+LCOE!H190),(LCOE!G$15+LCOE!I190))*K164*D164</f>
        <v>0</v>
      </c>
      <c r="J164" s="16">
        <f>LCOE!N190+LCOE!G$21*IF(LCOE!G$14&gt;0,G164,H164)*K164*D164</f>
        <v>0</v>
      </c>
      <c r="K164" s="15">
        <f>LCOE!O190+K163+K163*LCOE!G$22</f>
        <v>1</v>
      </c>
      <c r="L164" s="16">
        <f>LCOE!P190+LCOE!G$23*IF(LCOE!G$14&gt;0,G164,H164)*M164*D164</f>
        <v>0</v>
      </c>
      <c r="M164" s="15">
        <f>LCOE!Q190+M163+M163*LCOE!G$24</f>
        <v>1</v>
      </c>
      <c r="N164" s="15">
        <f>LCOE!R190+N163-N163*LCOE!G$25</f>
        <v>1</v>
      </c>
      <c r="O164" s="18">
        <f>LCOE!S190+LCOE!G$29</f>
        <v>313.75</v>
      </c>
      <c r="P164" s="12">
        <f>LCOE!T190+IF(A164&gt;=LCOE!G$30,100%,0%)</f>
        <v>1</v>
      </c>
      <c r="Q164" s="16">
        <f>LCOE!U190+O164/1000*IF(LCOE!G$14&gt;0,G164,H164)</f>
        <v>0</v>
      </c>
      <c r="R164" s="16">
        <f>LCOE!B190</f>
        <v>30</v>
      </c>
      <c r="S164" s="16">
        <f>LCOE!V190+Q164*P164*R164</f>
        <v>0</v>
      </c>
      <c r="T164" s="16">
        <f>LCOE!W190+LCOE!G$31</f>
        <v>0</v>
      </c>
      <c r="U164" s="16">
        <f>LCOE!X190+T164*IF(LCOE!G$14&gt;0,G164,H164)</f>
        <v>0</v>
      </c>
      <c r="V164" s="16">
        <f>LCOE!Y190+LCOE!G$32</f>
        <v>0</v>
      </c>
      <c r="W164" s="16">
        <f>LCOE!Z190+V164*IF(LCOE!G$14&gt;0,G164,H164)</f>
        <v>0</v>
      </c>
      <c r="X164" s="16">
        <f>LCOE!AA190+LCOE!G$34</f>
        <v>101</v>
      </c>
      <c r="Y164" s="16">
        <f t="shared" si="29"/>
        <v>0</v>
      </c>
      <c r="Z164" s="50">
        <f t="shared" si="32"/>
        <v>0</v>
      </c>
      <c r="AA164" s="50">
        <f t="shared" si="33"/>
        <v>0</v>
      </c>
      <c r="AB164" s="50">
        <f t="shared" si="34"/>
        <v>0</v>
      </c>
      <c r="AC164" s="50">
        <f t="shared" si="30"/>
        <v>0</v>
      </c>
      <c r="AD164" s="50">
        <f t="shared" si="25"/>
        <v>0</v>
      </c>
      <c r="AE164">
        <f t="shared" si="31"/>
        <v>30</v>
      </c>
      <c r="AF164" s="12">
        <f>LCOE!E190+LCOE!G$40</f>
        <v>7.0000000000000007E-2</v>
      </c>
      <c r="AG164">
        <f t="shared" si="26"/>
        <v>578.19602601981626</v>
      </c>
      <c r="AH164" s="16">
        <f t="shared" si="21"/>
        <v>0</v>
      </c>
      <c r="AI164" s="16">
        <f t="shared" si="22"/>
        <v>0</v>
      </c>
      <c r="AJ164" s="16">
        <f t="shared" si="23"/>
        <v>0</v>
      </c>
      <c r="AK164" s="16">
        <f t="shared" si="24"/>
        <v>0</v>
      </c>
      <c r="AL164" s="16">
        <f t="shared" si="27"/>
        <v>0</v>
      </c>
      <c r="AM164" s="16">
        <f t="shared" si="28"/>
        <v>0</v>
      </c>
      <c r="AN164" s="16">
        <f>IF(LCOE!G$14&gt;0,G164,H164)/AG164</f>
        <v>0</v>
      </c>
    </row>
    <row r="165" spans="1:40">
      <c r="A165">
        <v>95</v>
      </c>
      <c r="C165" s="16">
        <f>LCOE!G191+IF(AND(LCOE!G$26&gt;0,A165&gt;=LCOE!G$26,A165&lt;=(LCOE!G$26+LCOE!G$27-1)),LCOE!G$42/LCOE!G$27,0)+IF(AND(D165=0,AE165&gt;=LCOE!G$16,COUNTIF(D140:D165,0)=LCOE!G$36),LCOE!G$35*LCOE!G$38,0)</f>
        <v>0</v>
      </c>
      <c r="D165" s="16">
        <f>IF(AE164&lt;LCOE!G$16,1,0)</f>
        <v>0</v>
      </c>
      <c r="E165" s="12">
        <f>LCOE!G191+IF(AND(A165&gt;=LCOE!G$26,A165&lt;=(LCOE!G$26+LCOE!G$27-1)),0,1)*IF(A165=LCOE!G$34,0,1)*D165</f>
        <v>0</v>
      </c>
      <c r="F165" s="12">
        <f>IF(F164&lt;LCOE!G$18,MIN(F164*(1+LCOE!G$19),LCOE!G$18),LCOE!G$18)+LCOE!J191</f>
        <v>0.9</v>
      </c>
      <c r="G165" s="16">
        <f>LCOE!K191+E165*F165*N165*(LCOE!G$14+LCOE!H191)*24*365*D165</f>
        <v>0</v>
      </c>
      <c r="H165" s="16">
        <f>LCOE!L191+F165*(LCOE!G$15+LCOE!I191)*E165*24*365*D165*N165</f>
        <v>0</v>
      </c>
      <c r="I165" s="16">
        <f>LCOE!M191+LCOE!G$20*IF(LCOE!G$14&gt;0,(LCOE!G$14+LCOE!H191),(LCOE!G$15+LCOE!I191))*K165*D165</f>
        <v>0</v>
      </c>
      <c r="J165" s="16">
        <f>LCOE!N191+LCOE!G$21*IF(LCOE!G$14&gt;0,G165,H165)*K165*D165</f>
        <v>0</v>
      </c>
      <c r="K165" s="15">
        <f>LCOE!O191+K164+K164*LCOE!G$22</f>
        <v>1</v>
      </c>
      <c r="L165" s="16">
        <f>LCOE!P191+LCOE!G$23*IF(LCOE!G$14&gt;0,G165,H165)*M165*D165</f>
        <v>0</v>
      </c>
      <c r="M165" s="15">
        <f>LCOE!Q191+M164+M164*LCOE!G$24</f>
        <v>1</v>
      </c>
      <c r="N165" s="15">
        <f>LCOE!R191+N164-N164*LCOE!G$25</f>
        <v>1</v>
      </c>
      <c r="O165" s="18">
        <f>LCOE!S191+LCOE!G$29</f>
        <v>313.75</v>
      </c>
      <c r="P165" s="12">
        <f>LCOE!T191+IF(A165&gt;=LCOE!G$30,100%,0%)</f>
        <v>1</v>
      </c>
      <c r="Q165" s="16">
        <f>LCOE!U191+O165/1000*IF(LCOE!G$14&gt;0,G165,H165)</f>
        <v>0</v>
      </c>
      <c r="R165" s="16">
        <f>LCOE!B191</f>
        <v>30</v>
      </c>
      <c r="S165" s="16">
        <f>LCOE!V191+Q165*P165*R165</f>
        <v>0</v>
      </c>
      <c r="T165" s="16">
        <f>LCOE!W191+LCOE!G$31</f>
        <v>0</v>
      </c>
      <c r="U165" s="16">
        <f>LCOE!X191+T165*IF(LCOE!G$14&gt;0,G165,H165)</f>
        <v>0</v>
      </c>
      <c r="V165" s="16">
        <f>LCOE!Y191+LCOE!G$32</f>
        <v>0</v>
      </c>
      <c r="W165" s="16">
        <f>LCOE!Z191+V165*IF(LCOE!G$14&gt;0,G165,H165)</f>
        <v>0</v>
      </c>
      <c r="X165" s="16">
        <f>LCOE!AA191+LCOE!G$34</f>
        <v>101</v>
      </c>
      <c r="Y165" s="16">
        <f t="shared" si="29"/>
        <v>0</v>
      </c>
      <c r="Z165" s="50">
        <f t="shared" si="32"/>
        <v>0</v>
      </c>
      <c r="AA165" s="50">
        <f t="shared" si="33"/>
        <v>0</v>
      </c>
      <c r="AB165" s="50">
        <f t="shared" si="34"/>
        <v>0</v>
      </c>
      <c r="AC165" s="50">
        <f t="shared" si="30"/>
        <v>0</v>
      </c>
      <c r="AD165" s="50">
        <f t="shared" si="25"/>
        <v>0</v>
      </c>
      <c r="AE165">
        <f t="shared" si="31"/>
        <v>30</v>
      </c>
      <c r="AF165" s="12">
        <f>LCOE!E191+LCOE!G$40</f>
        <v>7.0000000000000007E-2</v>
      </c>
      <c r="AG165">
        <f t="shared" si="26"/>
        <v>618.66974784120362</v>
      </c>
      <c r="AH165" s="16">
        <f t="shared" si="21"/>
        <v>0</v>
      </c>
      <c r="AI165" s="16">
        <f t="shared" si="22"/>
        <v>0</v>
      </c>
      <c r="AJ165" s="16">
        <f t="shared" si="23"/>
        <v>0</v>
      </c>
      <c r="AK165" s="16">
        <f t="shared" si="24"/>
        <v>0</v>
      </c>
      <c r="AL165" s="16">
        <f t="shared" si="27"/>
        <v>0</v>
      </c>
      <c r="AM165" s="16">
        <f t="shared" si="28"/>
        <v>0</v>
      </c>
      <c r="AN165" s="16">
        <f>IF(LCOE!G$14&gt;0,G165,H165)/AG165</f>
        <v>0</v>
      </c>
    </row>
    <row r="166" spans="1:40">
      <c r="A166">
        <v>96</v>
      </c>
      <c r="C166" s="16">
        <f>LCOE!G192+IF(AND(LCOE!G$26&gt;0,A166&gt;=LCOE!G$26,A166&lt;=(LCOE!G$26+LCOE!G$27-1)),LCOE!G$42/LCOE!G$27,0)+IF(AND(D166=0,AE166&gt;=LCOE!G$16,COUNTIF(D141:D166,0)=LCOE!G$36),LCOE!G$35*LCOE!G$38,0)</f>
        <v>0</v>
      </c>
      <c r="D166" s="16">
        <f>IF(AE165&lt;LCOE!G$16,1,0)</f>
        <v>0</v>
      </c>
      <c r="E166" s="12">
        <f>LCOE!G192+IF(AND(A166&gt;=LCOE!G$26,A166&lt;=(LCOE!G$26+LCOE!G$27-1)),0,1)*IF(A166=LCOE!G$34,0,1)*D166</f>
        <v>0</v>
      </c>
      <c r="F166" s="12">
        <f>IF(F165&lt;LCOE!G$18,MIN(F165*(1+LCOE!G$19),LCOE!G$18),LCOE!G$18)+LCOE!J192</f>
        <v>0.9</v>
      </c>
      <c r="G166" s="16">
        <f>LCOE!K192+E166*F166*N166*(LCOE!G$14+LCOE!H192)*24*365*D166</f>
        <v>0</v>
      </c>
      <c r="H166" s="16">
        <f>LCOE!L192+F166*(LCOE!G$15+LCOE!I192)*E166*24*365*D166*N166</f>
        <v>0</v>
      </c>
      <c r="I166" s="16">
        <f>LCOE!M192+LCOE!G$20*IF(LCOE!G$14&gt;0,(LCOE!G$14+LCOE!H192),(LCOE!G$15+LCOE!I192))*K166*D166</f>
        <v>0</v>
      </c>
      <c r="J166" s="16">
        <f>LCOE!N192+LCOE!G$21*IF(LCOE!G$14&gt;0,G166,H166)*K166*D166</f>
        <v>0</v>
      </c>
      <c r="K166" s="15">
        <f>LCOE!O192+K165+K165*LCOE!G$22</f>
        <v>1</v>
      </c>
      <c r="L166" s="16">
        <f>LCOE!P192+LCOE!G$23*IF(LCOE!G$14&gt;0,G166,H166)*M166*D166</f>
        <v>0</v>
      </c>
      <c r="M166" s="15">
        <f>LCOE!Q192+M165+M165*LCOE!G$24</f>
        <v>1</v>
      </c>
      <c r="N166" s="15">
        <f>LCOE!R192+N165-N165*LCOE!G$25</f>
        <v>1</v>
      </c>
      <c r="O166" s="18">
        <f>LCOE!S192+LCOE!G$29</f>
        <v>313.75</v>
      </c>
      <c r="P166" s="12">
        <f>LCOE!T192+IF(A166&gt;=LCOE!G$30,100%,0%)</f>
        <v>1</v>
      </c>
      <c r="Q166" s="16">
        <f>LCOE!U192+O166/1000*IF(LCOE!G$14&gt;0,G166,H166)</f>
        <v>0</v>
      </c>
      <c r="R166" s="16">
        <f>LCOE!B192</f>
        <v>30</v>
      </c>
      <c r="S166" s="16">
        <f>LCOE!V192+Q166*P166*R166</f>
        <v>0</v>
      </c>
      <c r="T166" s="16">
        <f>LCOE!W192+LCOE!G$31</f>
        <v>0</v>
      </c>
      <c r="U166" s="16">
        <f>LCOE!X192+T166*IF(LCOE!G$14&gt;0,G166,H166)</f>
        <v>0</v>
      </c>
      <c r="V166" s="16">
        <f>LCOE!Y192+LCOE!G$32</f>
        <v>0</v>
      </c>
      <c r="W166" s="16">
        <f>LCOE!Z192+V166*IF(LCOE!G$14&gt;0,G166,H166)</f>
        <v>0</v>
      </c>
      <c r="X166" s="16">
        <f>LCOE!AA192+LCOE!G$34</f>
        <v>101</v>
      </c>
      <c r="Y166" s="16">
        <f t="shared" si="29"/>
        <v>0</v>
      </c>
      <c r="Z166" s="50">
        <f t="shared" si="32"/>
        <v>0</v>
      </c>
      <c r="AA166" s="50">
        <f t="shared" si="33"/>
        <v>0</v>
      </c>
      <c r="AB166" s="50">
        <f t="shared" si="34"/>
        <v>0</v>
      </c>
      <c r="AC166" s="50">
        <f t="shared" si="30"/>
        <v>0</v>
      </c>
      <c r="AD166" s="50">
        <f t="shared" si="25"/>
        <v>0</v>
      </c>
      <c r="AE166">
        <f t="shared" si="31"/>
        <v>30</v>
      </c>
      <c r="AF166" s="12">
        <f>LCOE!E192+LCOE!G$40</f>
        <v>7.0000000000000007E-2</v>
      </c>
      <c r="AG166">
        <f t="shared" si="26"/>
        <v>661.97663019008769</v>
      </c>
      <c r="AH166" s="16">
        <f t="shared" si="21"/>
        <v>0</v>
      </c>
      <c r="AI166" s="16">
        <f t="shared" si="22"/>
        <v>0</v>
      </c>
      <c r="AJ166" s="16">
        <f t="shared" si="23"/>
        <v>0</v>
      </c>
      <c r="AK166" s="16">
        <f t="shared" si="24"/>
        <v>0</v>
      </c>
      <c r="AL166" s="16">
        <f t="shared" si="27"/>
        <v>0</v>
      </c>
      <c r="AM166" s="16">
        <f t="shared" si="28"/>
        <v>0</v>
      </c>
      <c r="AN166" s="16">
        <f>IF(LCOE!G$14&gt;0,G166,H166)/AG166</f>
        <v>0</v>
      </c>
    </row>
    <row r="167" spans="1:40">
      <c r="A167">
        <v>97</v>
      </c>
      <c r="C167" s="16">
        <f>LCOE!G193+IF(AND(LCOE!G$26&gt;0,A167&gt;=LCOE!G$26,A167&lt;=(LCOE!G$26+LCOE!G$27-1)),LCOE!G$42/LCOE!G$27,0)+IF(AND(D167=0,AE167&gt;=LCOE!G$16,COUNTIF(D142:D167,0)=LCOE!G$36),LCOE!G$35*LCOE!G$38,0)</f>
        <v>0</v>
      </c>
      <c r="D167" s="16">
        <f>IF(AE166&lt;LCOE!G$16,1,0)</f>
        <v>0</v>
      </c>
      <c r="E167" s="12">
        <f>LCOE!G193+IF(AND(A167&gt;=LCOE!G$26,A167&lt;=(LCOE!G$26+LCOE!G$27-1)),0,1)*IF(A167=LCOE!G$34,0,1)*D167</f>
        <v>0</v>
      </c>
      <c r="F167" s="12">
        <f>IF(F166&lt;LCOE!G$18,MIN(F166*(1+LCOE!G$19),LCOE!G$18),LCOE!G$18)+LCOE!J193</f>
        <v>0.9</v>
      </c>
      <c r="G167" s="16">
        <f>LCOE!K193+E167*F167*N167*(LCOE!G$14+LCOE!H193)*24*365*D167</f>
        <v>0</v>
      </c>
      <c r="H167" s="16">
        <f>LCOE!L193+F167*(LCOE!G$15+LCOE!I193)*E167*24*365*D167*N167</f>
        <v>0</v>
      </c>
      <c r="I167" s="16">
        <f>LCOE!M193+LCOE!G$20*IF(LCOE!G$14&gt;0,(LCOE!G$14+LCOE!H193),(LCOE!G$15+LCOE!I193))*K167*D167</f>
        <v>0</v>
      </c>
      <c r="J167" s="16">
        <f>LCOE!N193+LCOE!G$21*IF(LCOE!G$14&gt;0,G167,H167)*K167*D167</f>
        <v>0</v>
      </c>
      <c r="K167" s="15">
        <f>LCOE!O193+K166+K166*LCOE!G$22</f>
        <v>1</v>
      </c>
      <c r="L167" s="16">
        <f>LCOE!P193+LCOE!G$23*IF(LCOE!G$14&gt;0,G167,H167)*M167*D167</f>
        <v>0</v>
      </c>
      <c r="M167" s="15">
        <f>LCOE!Q193+M166+M166*LCOE!G$24</f>
        <v>1</v>
      </c>
      <c r="N167" s="15">
        <f>LCOE!R193+N166-N166*LCOE!G$25</f>
        <v>1</v>
      </c>
      <c r="O167" s="18">
        <f>LCOE!S193+LCOE!G$29</f>
        <v>313.75</v>
      </c>
      <c r="P167" s="12">
        <f>LCOE!T193+IF(A167&gt;=LCOE!G$30,100%,0%)</f>
        <v>1</v>
      </c>
      <c r="Q167" s="16">
        <f>LCOE!U193+O167/1000*IF(LCOE!G$14&gt;0,G167,H167)</f>
        <v>0</v>
      </c>
      <c r="R167" s="16">
        <f>LCOE!B193</f>
        <v>30</v>
      </c>
      <c r="S167" s="16">
        <f>LCOE!V193+Q167*P167*R167</f>
        <v>0</v>
      </c>
      <c r="T167" s="16">
        <f>LCOE!W193+LCOE!G$31</f>
        <v>0</v>
      </c>
      <c r="U167" s="16">
        <f>LCOE!X193+T167*IF(LCOE!G$14&gt;0,G167,H167)</f>
        <v>0</v>
      </c>
      <c r="V167" s="16">
        <f>LCOE!Y193+LCOE!G$32</f>
        <v>0</v>
      </c>
      <c r="W167" s="16">
        <f>LCOE!Z193+V167*IF(LCOE!G$14&gt;0,G167,H167)</f>
        <v>0</v>
      </c>
      <c r="X167" s="16">
        <f>LCOE!AA193+LCOE!G$34</f>
        <v>101</v>
      </c>
      <c r="Y167" s="16">
        <f t="shared" si="29"/>
        <v>0</v>
      </c>
      <c r="Z167" s="50">
        <f t="shared" si="32"/>
        <v>0</v>
      </c>
      <c r="AA167" s="50">
        <f t="shared" si="33"/>
        <v>0</v>
      </c>
      <c r="AB167" s="50">
        <f t="shared" si="34"/>
        <v>0</v>
      </c>
      <c r="AC167" s="50">
        <f t="shared" si="30"/>
        <v>0</v>
      </c>
      <c r="AD167" s="50">
        <f t="shared" si="25"/>
        <v>0</v>
      </c>
      <c r="AE167">
        <f t="shared" si="31"/>
        <v>30</v>
      </c>
      <c r="AF167" s="12">
        <f>LCOE!E193+LCOE!G$40</f>
        <v>7.0000000000000007E-2</v>
      </c>
      <c r="AG167">
        <f t="shared" si="26"/>
        <v>708.31499430339386</v>
      </c>
      <c r="AH167" s="16">
        <f t="shared" si="21"/>
        <v>0</v>
      </c>
      <c r="AI167" s="16">
        <f t="shared" si="22"/>
        <v>0</v>
      </c>
      <c r="AJ167" s="16">
        <f t="shared" si="23"/>
        <v>0</v>
      </c>
      <c r="AK167" s="16">
        <f t="shared" si="24"/>
        <v>0</v>
      </c>
      <c r="AL167" s="16">
        <f t="shared" si="27"/>
        <v>0</v>
      </c>
      <c r="AM167" s="16">
        <f t="shared" si="28"/>
        <v>0</v>
      </c>
      <c r="AN167" s="16">
        <f>IF(LCOE!G$14&gt;0,G167,H167)/AG167</f>
        <v>0</v>
      </c>
    </row>
    <row r="168" spans="1:40">
      <c r="A168">
        <v>98</v>
      </c>
      <c r="C168" s="16">
        <f>LCOE!G194+IF(AND(LCOE!G$26&gt;0,A168&gt;=LCOE!G$26,A168&lt;=(LCOE!G$26+LCOE!G$27-1)),LCOE!G$42/LCOE!G$27,0)+IF(AND(D168=0,AE168&gt;=LCOE!G$16,COUNTIF(D143:D168,0)=LCOE!G$36),LCOE!G$35*LCOE!G$38,0)</f>
        <v>0</v>
      </c>
      <c r="D168" s="16">
        <f>IF(AE167&lt;LCOE!G$16,1,0)</f>
        <v>0</v>
      </c>
      <c r="E168" s="12">
        <f>LCOE!G194+IF(AND(A168&gt;=LCOE!G$26,A168&lt;=(LCOE!G$26+LCOE!G$27-1)),0,1)*IF(A168=LCOE!G$34,0,1)*D168</f>
        <v>0</v>
      </c>
      <c r="F168" s="12">
        <f>IF(F167&lt;LCOE!G$18,MIN(F167*(1+LCOE!G$19),LCOE!G$18),LCOE!G$18)+LCOE!J194</f>
        <v>0.9</v>
      </c>
      <c r="G168" s="16">
        <f>LCOE!K194+E168*F168*N168*(LCOE!G$14+LCOE!H194)*24*365*D168</f>
        <v>0</v>
      </c>
      <c r="H168" s="16">
        <f>LCOE!L194+F168*(LCOE!G$15+LCOE!I194)*E168*24*365*D168*N168</f>
        <v>0</v>
      </c>
      <c r="I168" s="16">
        <f>LCOE!M194+LCOE!G$20*IF(LCOE!G$14&gt;0,(LCOE!G$14+LCOE!H194),(LCOE!G$15+LCOE!I194))*K168*D168</f>
        <v>0</v>
      </c>
      <c r="J168" s="16">
        <f>LCOE!N194+LCOE!G$21*IF(LCOE!G$14&gt;0,G168,H168)*K168*D168</f>
        <v>0</v>
      </c>
      <c r="K168" s="15">
        <f>LCOE!O194+K167+K167*LCOE!G$22</f>
        <v>1</v>
      </c>
      <c r="L168" s="16">
        <f>LCOE!P194+LCOE!G$23*IF(LCOE!G$14&gt;0,G168,H168)*M168*D168</f>
        <v>0</v>
      </c>
      <c r="M168" s="15">
        <f>LCOE!Q194+M167+M167*LCOE!G$24</f>
        <v>1</v>
      </c>
      <c r="N168" s="15">
        <f>LCOE!R194+N167-N167*LCOE!G$25</f>
        <v>1</v>
      </c>
      <c r="O168" s="18">
        <f>LCOE!S194+LCOE!G$29</f>
        <v>313.75</v>
      </c>
      <c r="P168" s="12">
        <f>LCOE!T194+IF(A168&gt;=LCOE!G$30,100%,0%)</f>
        <v>1</v>
      </c>
      <c r="Q168" s="16">
        <f>LCOE!U194+O168/1000*IF(LCOE!G$14&gt;0,G168,H168)</f>
        <v>0</v>
      </c>
      <c r="R168" s="16">
        <f>LCOE!B194</f>
        <v>30</v>
      </c>
      <c r="S168" s="16">
        <f>LCOE!V194+Q168*P168*R168</f>
        <v>0</v>
      </c>
      <c r="T168" s="16">
        <f>LCOE!W194+LCOE!G$31</f>
        <v>0</v>
      </c>
      <c r="U168" s="16">
        <f>LCOE!X194+T168*IF(LCOE!G$14&gt;0,G168,H168)</f>
        <v>0</v>
      </c>
      <c r="V168" s="16">
        <f>LCOE!Y194+LCOE!G$32</f>
        <v>0</v>
      </c>
      <c r="W168" s="16">
        <f>LCOE!Z194+V168*IF(LCOE!G$14&gt;0,G168,H168)</f>
        <v>0</v>
      </c>
      <c r="X168" s="16">
        <f>LCOE!AA194+LCOE!G$34</f>
        <v>101</v>
      </c>
      <c r="Y168" s="16">
        <f t="shared" si="29"/>
        <v>0</v>
      </c>
      <c r="Z168" s="50">
        <f t="shared" si="32"/>
        <v>0</v>
      </c>
      <c r="AA168" s="50">
        <f t="shared" si="33"/>
        <v>0</v>
      </c>
      <c r="AB168" s="50">
        <f t="shared" si="34"/>
        <v>0</v>
      </c>
      <c r="AC168" s="50">
        <f t="shared" si="30"/>
        <v>0</v>
      </c>
      <c r="AD168" s="50">
        <f t="shared" si="25"/>
        <v>0</v>
      </c>
      <c r="AE168">
        <f t="shared" si="31"/>
        <v>30</v>
      </c>
      <c r="AF168" s="12">
        <f>LCOE!E194+LCOE!G$40</f>
        <v>7.0000000000000007E-2</v>
      </c>
      <c r="AG168">
        <f t="shared" si="26"/>
        <v>757.89704390463146</v>
      </c>
      <c r="AH168" s="16">
        <f t="shared" si="21"/>
        <v>0</v>
      </c>
      <c r="AI168" s="16">
        <f t="shared" si="22"/>
        <v>0</v>
      </c>
      <c r="AJ168" s="16">
        <f t="shared" si="23"/>
        <v>0</v>
      </c>
      <c r="AK168" s="16">
        <f t="shared" si="24"/>
        <v>0</v>
      </c>
      <c r="AL168" s="16">
        <f t="shared" si="27"/>
        <v>0</v>
      </c>
      <c r="AM168" s="16">
        <f t="shared" si="28"/>
        <v>0</v>
      </c>
      <c r="AN168" s="16">
        <f>IF(LCOE!G$14&gt;0,G168,H168)/AG168</f>
        <v>0</v>
      </c>
    </row>
    <row r="169" spans="1:40">
      <c r="A169">
        <v>99</v>
      </c>
      <c r="C169" s="16">
        <f>LCOE!G195+IF(AND(LCOE!G$26&gt;0,A169&gt;=LCOE!G$26,A169&lt;=(LCOE!G$26+LCOE!G$27-1)),LCOE!G$42/LCOE!G$27,0)+IF(AND(D169=0,AE169&gt;=LCOE!G$16,COUNTIF(D144:D169,0)=LCOE!G$36),LCOE!G$35*LCOE!G$38,0)</f>
        <v>0</v>
      </c>
      <c r="D169" s="16">
        <f>IF(AE168&lt;LCOE!G$16,1,0)</f>
        <v>0</v>
      </c>
      <c r="E169" s="12">
        <f>LCOE!G195+IF(AND(A169&gt;=LCOE!G$26,A169&lt;=(LCOE!G$26+LCOE!G$27-1)),0,1)*IF(A169=LCOE!G$34,0,1)*D169</f>
        <v>0</v>
      </c>
      <c r="F169" s="12">
        <f>IF(F168&lt;LCOE!G$18,MIN(F168*(1+LCOE!G$19),LCOE!G$18),LCOE!G$18)+LCOE!J195</f>
        <v>0.9</v>
      </c>
      <c r="G169" s="16">
        <f>LCOE!K195+E169*F169*N169*(LCOE!G$14+LCOE!H195)*24*365*D169</f>
        <v>0</v>
      </c>
      <c r="H169" s="16">
        <f>LCOE!L195+F169*(LCOE!G$15+LCOE!I195)*E169*24*365*D169*N169</f>
        <v>0</v>
      </c>
      <c r="I169" s="16">
        <f>LCOE!M195+LCOE!G$20*IF(LCOE!G$14&gt;0,(LCOE!G$14+LCOE!H195),(LCOE!G$15+LCOE!I195))*K169*D169</f>
        <v>0</v>
      </c>
      <c r="J169" s="16">
        <f>LCOE!N195+LCOE!G$21*IF(LCOE!G$14&gt;0,G169,H169)*K169*D169</f>
        <v>0</v>
      </c>
      <c r="K169" s="15">
        <f>LCOE!O195+K168+K168*LCOE!G$22</f>
        <v>1</v>
      </c>
      <c r="L169" s="16">
        <f>LCOE!P195+LCOE!G$23*IF(LCOE!G$14&gt;0,G169,H169)*M169*D169</f>
        <v>0</v>
      </c>
      <c r="M169" s="15">
        <f>LCOE!Q195+M168+M168*LCOE!G$24</f>
        <v>1</v>
      </c>
      <c r="N169" s="15">
        <f>LCOE!R195+N168-N168*LCOE!G$25</f>
        <v>1</v>
      </c>
      <c r="O169" s="18">
        <f>LCOE!S195+LCOE!G$29</f>
        <v>313.75</v>
      </c>
      <c r="P169" s="12">
        <f>LCOE!T195+IF(A169&gt;=LCOE!G$30,100%,0%)</f>
        <v>1</v>
      </c>
      <c r="Q169" s="16">
        <f>LCOE!U195+O169/1000*IF(LCOE!G$14&gt;0,G169,H169)</f>
        <v>0</v>
      </c>
      <c r="R169" s="16">
        <f>LCOE!B195</f>
        <v>30</v>
      </c>
      <c r="S169" s="16">
        <f>LCOE!V195+Q169*P169*R169</f>
        <v>0</v>
      </c>
      <c r="T169" s="16">
        <f>LCOE!W195+LCOE!G$31</f>
        <v>0</v>
      </c>
      <c r="U169" s="16">
        <f>LCOE!X195+T169*IF(LCOE!G$14&gt;0,G169,H169)</f>
        <v>0</v>
      </c>
      <c r="V169" s="16">
        <f>LCOE!Y195+LCOE!G$32</f>
        <v>0</v>
      </c>
      <c r="W169" s="16">
        <f>LCOE!Z195+V169*IF(LCOE!G$14&gt;0,G169,H169)</f>
        <v>0</v>
      </c>
      <c r="X169" s="16">
        <f>LCOE!AA195+LCOE!G$34</f>
        <v>101</v>
      </c>
      <c r="Y169" s="16">
        <f t="shared" si="29"/>
        <v>0</v>
      </c>
      <c r="Z169" s="50">
        <f t="shared" si="32"/>
        <v>0</v>
      </c>
      <c r="AA169" s="50">
        <f t="shared" si="33"/>
        <v>0</v>
      </c>
      <c r="AB169" s="50">
        <f t="shared" si="34"/>
        <v>0</v>
      </c>
      <c r="AC169" s="50">
        <f t="shared" si="30"/>
        <v>0</v>
      </c>
      <c r="AD169" s="50">
        <f t="shared" si="25"/>
        <v>0</v>
      </c>
      <c r="AE169">
        <f t="shared" si="31"/>
        <v>30</v>
      </c>
      <c r="AF169" s="12">
        <f>LCOE!E195+LCOE!G$40</f>
        <v>7.0000000000000007E-2</v>
      </c>
      <c r="AG169">
        <f t="shared" si="26"/>
        <v>810.94983697795567</v>
      </c>
      <c r="AH169" s="16">
        <f t="shared" si="21"/>
        <v>0</v>
      </c>
      <c r="AI169" s="16">
        <f t="shared" si="22"/>
        <v>0</v>
      </c>
      <c r="AJ169" s="16">
        <f t="shared" si="23"/>
        <v>0</v>
      </c>
      <c r="AK169" s="16">
        <f t="shared" si="24"/>
        <v>0</v>
      </c>
      <c r="AL169" s="16">
        <f t="shared" si="27"/>
        <v>0</v>
      </c>
      <c r="AM169" s="16">
        <f t="shared" si="28"/>
        <v>0</v>
      </c>
      <c r="AN169" s="16">
        <f>IF(LCOE!G$14&gt;0,G169,H169)/AG169</f>
        <v>0</v>
      </c>
    </row>
    <row r="170" spans="1:40">
      <c r="A170">
        <v>100</v>
      </c>
      <c r="C170" s="16">
        <f>LCOE!G196+IF(AND(LCOE!G$26&gt;0,A170&gt;=LCOE!G$26,A170&lt;=(LCOE!G$26+LCOE!G$27-1)),LCOE!G$42/LCOE!G$27,0)+IF(AND(D170=0,AE170&gt;=LCOE!G$16,COUNTIF(D145:D170,0)=LCOE!G$36),LCOE!G$35*LCOE!G$38,0)</f>
        <v>0</v>
      </c>
      <c r="D170" s="16">
        <f>IF(AE169&lt;LCOE!G$16,1,0)</f>
        <v>0</v>
      </c>
      <c r="E170" s="12">
        <f>LCOE!G196+IF(AND(A170&gt;=LCOE!G$26,A170&lt;=(LCOE!G$26+LCOE!G$27-1)),0,1)*IF(A170=LCOE!G$34,0,1)*D170</f>
        <v>0</v>
      </c>
      <c r="F170" s="12">
        <f>IF(F169&lt;LCOE!G$18,MIN(F169*(1+LCOE!G$19),LCOE!G$18),LCOE!G$18)+LCOE!J196</f>
        <v>0.9</v>
      </c>
      <c r="G170" s="16">
        <f>LCOE!K196+E170*F170*N170*(LCOE!G$14+LCOE!H196)*24*365*D170</f>
        <v>0</v>
      </c>
      <c r="H170" s="16">
        <f>LCOE!L196+F170*(LCOE!G$15+LCOE!I196)*E170*24*365*D170*N170</f>
        <v>0</v>
      </c>
      <c r="I170" s="16">
        <f>LCOE!M196+LCOE!G$20*IF(LCOE!G$14&gt;0,(LCOE!G$14+LCOE!H196),(LCOE!G$15+LCOE!I196))*K170*D170</f>
        <v>0</v>
      </c>
      <c r="J170" s="16">
        <f>LCOE!N196+LCOE!G$21*IF(LCOE!G$14&gt;0,G170,H170)*K170*D170</f>
        <v>0</v>
      </c>
      <c r="K170" s="15">
        <f>LCOE!O196+K169+K169*LCOE!G$22</f>
        <v>1</v>
      </c>
      <c r="L170" s="16">
        <f>LCOE!P196+LCOE!G$23*IF(LCOE!G$14&gt;0,G170,H170)*M170*D170</f>
        <v>0</v>
      </c>
      <c r="M170" s="15">
        <f>LCOE!Q196+M169+M169*LCOE!G$24</f>
        <v>1</v>
      </c>
      <c r="N170" s="15">
        <f>LCOE!R196+N169-N169*LCOE!G$25</f>
        <v>1</v>
      </c>
      <c r="O170" s="18">
        <f>LCOE!S196+LCOE!G$29</f>
        <v>313.75</v>
      </c>
      <c r="P170" s="12">
        <f>LCOE!T196+IF(A170&gt;=LCOE!G$30,100%,0%)</f>
        <v>1</v>
      </c>
      <c r="Q170" s="16">
        <f>LCOE!U196+O170/1000*IF(LCOE!G$14&gt;0,G170,H170)</f>
        <v>0</v>
      </c>
      <c r="R170" s="16">
        <f>LCOE!B196</f>
        <v>30</v>
      </c>
      <c r="S170" s="16">
        <f>LCOE!V196+Q170*P170*R170</f>
        <v>0</v>
      </c>
      <c r="T170" s="16">
        <f>LCOE!W196+LCOE!G$31</f>
        <v>0</v>
      </c>
      <c r="U170" s="16">
        <f>LCOE!X196+T170*IF(LCOE!G$14&gt;0,G170,H170)</f>
        <v>0</v>
      </c>
      <c r="V170" s="16">
        <f>LCOE!Y196+LCOE!G$32</f>
        <v>0</v>
      </c>
      <c r="W170" s="16">
        <f>LCOE!Z196+V170*IF(LCOE!G$14&gt;0,G170,H170)</f>
        <v>0</v>
      </c>
      <c r="X170" s="16">
        <f>LCOE!AA196+LCOE!G$34</f>
        <v>101</v>
      </c>
      <c r="Y170" s="16">
        <f t="shared" si="29"/>
        <v>0</v>
      </c>
      <c r="Z170" s="50">
        <f t="shared" si="32"/>
        <v>0</v>
      </c>
      <c r="AA170" s="50">
        <f t="shared" si="33"/>
        <v>0</v>
      </c>
      <c r="AB170" s="50">
        <f t="shared" si="34"/>
        <v>0</v>
      </c>
      <c r="AC170" s="50">
        <f t="shared" si="30"/>
        <v>0</v>
      </c>
      <c r="AD170" s="50">
        <f t="shared" si="25"/>
        <v>0</v>
      </c>
      <c r="AE170">
        <f t="shared" si="31"/>
        <v>30</v>
      </c>
      <c r="AF170" s="12">
        <f>LCOE!E196+LCOE!G$40</f>
        <v>7.0000000000000007E-2</v>
      </c>
      <c r="AG170">
        <f t="shared" si="26"/>
        <v>867.71632556641259</v>
      </c>
      <c r="AH170" s="16">
        <f t="shared" si="21"/>
        <v>0</v>
      </c>
      <c r="AI170" s="16">
        <f t="shared" si="22"/>
        <v>0</v>
      </c>
      <c r="AJ170" s="16">
        <f t="shared" si="23"/>
        <v>0</v>
      </c>
      <c r="AK170" s="16">
        <f t="shared" si="24"/>
        <v>0</v>
      </c>
      <c r="AL170" s="16">
        <f t="shared" si="27"/>
        <v>0</v>
      </c>
      <c r="AM170" s="16">
        <f t="shared" si="28"/>
        <v>0</v>
      </c>
      <c r="AN170" s="16">
        <f>IF(LCOE!G$14&gt;0,G170,H170)/AG170</f>
        <v>0</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5A1C-9C47-A54A-9841-38C326B0733B}">
  <dimension ref="A2:AN170"/>
  <sheetViews>
    <sheetView workbookViewId="0">
      <pane xSplit="1760" ySplit="5160" topLeftCell="A44" activePane="bottomRight"/>
      <selection pane="bottomRight" activeCell="H70" sqref="H70"/>
      <selection pane="bottomLeft" activeCell="A41" sqref="A41:D41"/>
      <selection pane="topRight" activeCell="C22" sqref="C22"/>
    </sheetView>
    <sheetView workbookViewId="1"/>
  </sheetViews>
  <sheetFormatPr defaultColWidth="11" defaultRowHeight="15.95"/>
  <cols>
    <col min="2" max="2" width="40.875" bestFit="1" customWidth="1"/>
    <col min="3" max="3" width="14.625" bestFit="1" customWidth="1"/>
    <col min="4" max="5" width="14.625" customWidth="1"/>
    <col min="6" max="6" width="18.125" customWidth="1"/>
    <col min="7" max="8" width="15.625" customWidth="1"/>
    <col min="9" max="9" width="11.125" bestFit="1" customWidth="1"/>
    <col min="10" max="10" width="11.625" bestFit="1" customWidth="1"/>
    <col min="11" max="11" width="12.625" bestFit="1" customWidth="1"/>
    <col min="12" max="12" width="11.125" bestFit="1" customWidth="1"/>
    <col min="17" max="17" width="13.625" bestFit="1" customWidth="1"/>
    <col min="18" max="18" width="13.625" customWidth="1"/>
    <col min="19" max="20" width="12.125" customWidth="1"/>
    <col min="26" max="26" width="12.875" bestFit="1" customWidth="1"/>
    <col min="27" max="28" width="11.125" bestFit="1" customWidth="1"/>
    <col min="29" max="30" width="11" bestFit="1" customWidth="1"/>
    <col min="34" max="34" width="17.625" customWidth="1"/>
    <col min="35" max="37" width="11.625" bestFit="1" customWidth="1"/>
    <col min="38" max="38" width="11.625" customWidth="1"/>
  </cols>
  <sheetData>
    <row r="2" spans="2:10" ht="21">
      <c r="B2" s="26" t="s">
        <v>221</v>
      </c>
      <c r="C2" s="26" t="str">
        <f>LCOE!H3</f>
        <v>LCOE 5</v>
      </c>
      <c r="D2" s="26"/>
      <c r="E2" s="26"/>
      <c r="F2" s="26" t="s">
        <v>222</v>
      </c>
      <c r="G2" t="str">
        <f>C4</f>
        <v>USD</v>
      </c>
      <c r="I2" t="str">
        <f>C6</f>
        <v>USD</v>
      </c>
    </row>
    <row r="3" spans="2:10">
      <c r="B3" t="str">
        <f>LCOE!C5</f>
        <v>Name</v>
      </c>
      <c r="C3" t="str">
        <f>LCOE!H5</f>
        <v>CCGT in Belgium (2020)</v>
      </c>
      <c r="F3" s="24" t="str">
        <f>LCOE!C46</f>
        <v>LCOE (LCOHeat for pure heat plants)</v>
      </c>
      <c r="G3" s="25">
        <f>SUM(AH45:AM170)/SUM(AN45:AN170)</f>
        <v>69.460823747961442</v>
      </c>
      <c r="H3" s="24" t="str">
        <f t="shared" ref="H3:H9" si="0">_xlfn.CONCAT(C$4,"/MWh")</f>
        <v>USD/MWh</v>
      </c>
      <c r="I3" s="25">
        <f>G3*C$7</f>
        <v>69.460823747961442</v>
      </c>
      <c r="J3" t="str">
        <f t="shared" ref="J3:J9" si="1">_xlfn.CONCAT(C$6,"/MWh")</f>
        <v>USD/MWh</v>
      </c>
    </row>
    <row r="4" spans="2:10">
      <c r="B4" t="str">
        <f>LCOE!C6</f>
        <v>Currency used for LCOE calculations</v>
      </c>
      <c r="C4" t="str">
        <f>LCOE!H6</f>
        <v>USD</v>
      </c>
      <c r="F4" s="24" t="str">
        <f>LCOE!C47</f>
        <v>Of which: Capital costs</v>
      </c>
      <c r="G4" s="22">
        <f>SUM(AH45:AH170)/SUM(AN45:AN170)</f>
        <v>12.014363574969575</v>
      </c>
      <c r="H4" t="str">
        <f t="shared" si="0"/>
        <v>USD/MWh</v>
      </c>
      <c r="I4" s="25">
        <f t="shared" ref="I4:I9" si="2">G4*C$7</f>
        <v>12.014363574969575</v>
      </c>
      <c r="J4" t="str">
        <f t="shared" si="1"/>
        <v>USD/MWh</v>
      </c>
    </row>
    <row r="5" spans="2:10">
      <c r="B5" t="str">
        <f>LCOE!C7</f>
        <v>Price reference year</v>
      </c>
      <c r="C5">
        <f>LCOE!H7</f>
        <v>0</v>
      </c>
      <c r="F5" s="24" t="str">
        <f>LCOE!C48</f>
        <v>O&amp;M</v>
      </c>
      <c r="G5" s="23">
        <f>SUM(AI45:AI170)/SUM(AN45:AN170)</f>
        <v>5.3739601729918123</v>
      </c>
      <c r="H5" t="str">
        <f t="shared" si="0"/>
        <v>USD/MWh</v>
      </c>
      <c r="I5" s="25">
        <f t="shared" si="2"/>
        <v>5.3739601729918123</v>
      </c>
      <c r="J5" t="str">
        <f t="shared" si="1"/>
        <v>USD/MWh</v>
      </c>
    </row>
    <row r="6" spans="2:10">
      <c r="B6" t="str">
        <f>LCOE!C8</f>
        <v>Currency used</v>
      </c>
      <c r="C6" t="str">
        <f>LCOE!H8</f>
        <v>USD</v>
      </c>
      <c r="F6" s="24" t="str">
        <f>LCOE!C49</f>
        <v>Fuel</v>
      </c>
      <c r="G6" s="23">
        <f>SUM(AJ45:AJ170)/SUM(AN45:AN170)</f>
        <v>42.660000000000004</v>
      </c>
      <c r="H6" t="str">
        <f t="shared" si="0"/>
        <v>USD/MWh</v>
      </c>
      <c r="I6" s="25">
        <f t="shared" si="2"/>
        <v>42.660000000000004</v>
      </c>
      <c r="J6" t="str">
        <f t="shared" si="1"/>
        <v>USD/MWh</v>
      </c>
    </row>
    <row r="7" spans="2:10">
      <c r="B7" t="str">
        <f>LCOE!C9</f>
        <v>Conversion rate at reference year</v>
      </c>
      <c r="C7">
        <f>LCOE!H9</f>
        <v>1</v>
      </c>
      <c r="F7" s="24" t="str">
        <f>LCOE!C50</f>
        <v>Taxes and fees</v>
      </c>
      <c r="G7" s="23">
        <f>SUM(AK45:AK170)/SUM(AN45:AN170)</f>
        <v>0</v>
      </c>
      <c r="H7" t="str">
        <f t="shared" si="0"/>
        <v>USD/MWh</v>
      </c>
      <c r="I7" s="25">
        <f t="shared" si="2"/>
        <v>0</v>
      </c>
      <c r="J7" t="str">
        <f t="shared" si="1"/>
        <v>USD/MWh</v>
      </c>
    </row>
    <row r="8" spans="2:10">
      <c r="B8" t="str">
        <f>LCOE!C10</f>
        <v>Debt %</v>
      </c>
      <c r="C8">
        <f>LCOE!H10</f>
        <v>0.9</v>
      </c>
      <c r="F8" s="24" t="str">
        <f>LCOE!C51</f>
        <v>Emission costs</v>
      </c>
      <c r="G8" s="23">
        <f>SUM(AL45:AL170)/SUM(AN45:AN170)</f>
        <v>9.4124999999999979</v>
      </c>
      <c r="H8" t="str">
        <f t="shared" si="0"/>
        <v>USD/MWh</v>
      </c>
      <c r="I8" s="25">
        <f t="shared" si="2"/>
        <v>9.4124999999999979</v>
      </c>
      <c r="J8" t="str">
        <f t="shared" si="1"/>
        <v>USD/MWh</v>
      </c>
    </row>
    <row r="9" spans="2:10">
      <c r="B9" t="str">
        <f>LCOE!C11</f>
        <v>Cost of debt (private discount rate)</v>
      </c>
      <c r="C9" s="3">
        <f>LCOE!H11</f>
        <v>0.08</v>
      </c>
      <c r="F9" s="24" t="str">
        <f>LCOE!C52</f>
        <v>Heat credit (for CHP plants)</v>
      </c>
      <c r="G9" s="18">
        <f>IF(C15&gt;0,SUM(AM45:AM170)/SUM(AN45:AN170),0)</f>
        <v>0</v>
      </c>
      <c r="H9" t="str">
        <f t="shared" si="0"/>
        <v>USD/MWh</v>
      </c>
      <c r="I9" s="25">
        <f t="shared" si="2"/>
        <v>0</v>
      </c>
      <c r="J9" t="str">
        <f t="shared" si="1"/>
        <v>USD/MWh</v>
      </c>
    </row>
    <row r="10" spans="2:10">
      <c r="B10" t="str">
        <f>LCOE!C12</f>
        <v>Cost of equity (discount rate)</v>
      </c>
      <c r="C10" s="3">
        <f>LCOE!H12</f>
        <v>0.08</v>
      </c>
      <c r="F10" s="24" t="str">
        <f>LCOE!C53</f>
        <v>WACC average over lifetime</v>
      </c>
      <c r="G10" s="12">
        <f>AVERAGE(AF70:AF170)</f>
        <v>8.0000000000000057E-2</v>
      </c>
      <c r="I10" s="14">
        <f>G10</f>
        <v>8.0000000000000057E-2</v>
      </c>
    </row>
    <row r="11" spans="2:10">
      <c r="B11" t="str">
        <f>LCOE!C13</f>
        <v>Construction cost per kW</v>
      </c>
      <c r="C11">
        <f>LCOE!H13</f>
        <v>1009</v>
      </c>
      <c r="F11" s="24" t="str">
        <f>LCOE!C54</f>
        <v>Plant type</v>
      </c>
      <c r="G11" t="str">
        <f>IF(AND(LCOE!H$14&gt;0,LCOE!H$15=0),"Electric only",IF(AND(LCOE!H$14&gt;0,LCOE!H$15&gt;0),"CHP",IF(AND(LCOE!H$14=0,LCOE!H$15&gt;0),"Heat only","Error: no generation")))</f>
        <v>Electric only</v>
      </c>
      <c r="I11" s="18" t="str">
        <f>G11</f>
        <v>Electric only</v>
      </c>
    </row>
    <row r="12" spans="2:10">
      <c r="B12" t="str">
        <f>LCOE!C14</f>
        <v>Maximum electric power, in MW_e</v>
      </c>
      <c r="C12">
        <f>LCOE!H14</f>
        <v>500</v>
      </c>
    </row>
    <row r="13" spans="2:10">
      <c r="B13" t="str">
        <f>LCOE!C15</f>
        <v>Maximum heat power, in MW_h</v>
      </c>
      <c r="C13">
        <f>LCOE!H15</f>
        <v>0</v>
      </c>
    </row>
    <row r="14" spans="2:10">
      <c r="B14" t="str">
        <f>LCOE!C16</f>
        <v>Plant lifetime</v>
      </c>
      <c r="C14">
        <f>LCOE!H16</f>
        <v>30</v>
      </c>
    </row>
    <row r="15" spans="2:10">
      <c r="B15" t="str">
        <f>LCOE!C17</f>
        <v>Construction period, years</v>
      </c>
      <c r="C15">
        <f>LCOE!H17</f>
        <v>3</v>
      </c>
    </row>
    <row r="16" spans="2:10">
      <c r="B16" t="str">
        <f>LCOE!C18</f>
        <v>Capacity factor (settled down)</v>
      </c>
      <c r="C16" s="14">
        <f>LCOE!H18</f>
        <v>0.9</v>
      </c>
    </row>
    <row r="17" spans="2:3">
      <c r="B17" t="str">
        <f>LCOE!C19</f>
        <v>Capacity factor ramp-up on startup, per year</v>
      </c>
      <c r="C17" s="14">
        <f>LCOE!H19</f>
        <v>0.6</v>
      </c>
    </row>
    <row r="18" spans="2:3">
      <c r="B18" t="str">
        <f>LCOE!C20</f>
        <v>Fixed OPEX/MW capacity at project start</v>
      </c>
      <c r="C18" s="18">
        <f>LCOE!H20</f>
        <v>40000</v>
      </c>
    </row>
    <row r="19" spans="2:3">
      <c r="B19" t="str">
        <f>LCOE!C21</f>
        <v>Variable OPEX/MWh produced at project start</v>
      </c>
      <c r="C19" s="18">
        <f>LCOE!H21</f>
        <v>0</v>
      </c>
    </row>
    <row r="20" spans="2:3">
      <c r="B20" t="str">
        <f>LCOE!C22</f>
        <v>OPEX escalator</v>
      </c>
      <c r="C20" s="14">
        <f>LCOE!H22</f>
        <v>0</v>
      </c>
    </row>
    <row r="21" spans="2:3">
      <c r="B21" t="str">
        <f>LCOE!C23</f>
        <v>FUELEX/MWh produced at project start</v>
      </c>
      <c r="C21">
        <f>LCOE!H23</f>
        <v>42.66</v>
      </c>
    </row>
    <row r="22" spans="2:3">
      <c r="B22" t="str">
        <f>LCOE!C24</f>
        <v>FUELEX escalator</v>
      </c>
      <c r="C22" s="14">
        <f>LCOE!H24</f>
        <v>0</v>
      </c>
    </row>
    <row r="23" spans="2:3">
      <c r="B23" t="str">
        <f>LCOE!C25</f>
        <v>Efficiency loss/year</v>
      </c>
      <c r="C23" s="14">
        <f>LCOE!H25</f>
        <v>0</v>
      </c>
    </row>
    <row r="24" spans="2:3">
      <c r="B24" t="str">
        <f>LCOE!C26</f>
        <v>Refurbishment year</v>
      </c>
      <c r="C24">
        <f>LCOE!H26</f>
        <v>101</v>
      </c>
    </row>
    <row r="25" spans="2:3">
      <c r="B25" t="str">
        <f>LCOE!C27</f>
        <v>Refurbishment time required, years</v>
      </c>
      <c r="C25">
        <f>LCOE!H27</f>
        <v>1</v>
      </c>
    </row>
    <row r="26" spans="2:3">
      <c r="B26" t="str">
        <f>LCOE!C28</f>
        <v>Refurbishment cost, per kW</v>
      </c>
      <c r="C26">
        <f>LCOE!H28</f>
        <v>0</v>
      </c>
    </row>
    <row r="27" spans="2:3">
      <c r="B27" t="str">
        <f>LCOE!C29</f>
        <v>Emission factor, gCO2e/kWh</v>
      </c>
      <c r="C27">
        <f>LCOE!H29</f>
        <v>313.75</v>
      </c>
    </row>
    <row r="28" spans="2:3">
      <c r="B28" t="str">
        <f>LCOE!C30</f>
        <v>Emissions taxed starting from year</v>
      </c>
      <c r="C28">
        <f>LCOE!H30</f>
        <v>0</v>
      </c>
    </row>
    <row r="29" spans="2:3">
      <c r="B29" t="str">
        <f>LCOE!C31</f>
        <v>Taxes, per MWh produced</v>
      </c>
      <c r="C29">
        <f>LCOE!H31</f>
        <v>0</v>
      </c>
    </row>
    <row r="30" spans="2:3">
      <c r="B30" t="str">
        <f>LCOE!C32</f>
        <v>Waste fee, per MWh produced</v>
      </c>
      <c r="C30">
        <f>LCOE!H32</f>
        <v>0</v>
      </c>
    </row>
    <row r="31" spans="2:3">
      <c r="B31" t="str">
        <f>LCOE!C33</f>
        <v>Heat credit, per MWh produced</v>
      </c>
      <c r="C31">
        <f>LCOE!H33</f>
        <v>30</v>
      </c>
    </row>
    <row r="32" spans="2:3">
      <c r="B32" t="str">
        <f>LCOE!C34</f>
        <v>Outage at year</v>
      </c>
      <c r="C32">
        <f>LCOE!H34</f>
        <v>101</v>
      </c>
    </row>
    <row r="33" spans="1:40">
      <c r="B33" t="str">
        <f>LCOE!C35</f>
        <v>Decommissioning costs, % of initial capital cost</v>
      </c>
      <c r="C33" s="14">
        <f>LCOE!H35</f>
        <v>0.05</v>
      </c>
    </row>
    <row r="34" spans="1:40">
      <c r="B34" t="str">
        <f>LCOE!C36</f>
        <v>Decommissioning delay, years</v>
      </c>
      <c r="C34">
        <f>LCOE!H36</f>
        <v>2</v>
      </c>
    </row>
    <row r="35" spans="1:40">
      <c r="B35" t="str">
        <f>LCOE!C37</f>
        <v>Results reference year/LC start year</v>
      </c>
      <c r="C35">
        <f>LCOE!H37</f>
        <v>2020</v>
      </c>
    </row>
    <row r="36" spans="1:40">
      <c r="B36" t="str">
        <f>LCOE!C38</f>
        <v>Total cost</v>
      </c>
      <c r="C36" s="16">
        <f>LCOE!H38</f>
        <v>504500000</v>
      </c>
    </row>
    <row r="37" spans="1:40">
      <c r="B37" t="str">
        <f>LCOE!C39</f>
        <v>Equity share</v>
      </c>
      <c r="C37">
        <f>LCOE!H39</f>
        <v>9.9999999999999978E-2</v>
      </c>
    </row>
    <row r="38" spans="1:40">
      <c r="B38" t="str">
        <f>LCOE!C40</f>
        <v>WACC (average discount rate)</v>
      </c>
      <c r="C38" s="3">
        <f>LCOE!H40</f>
        <v>0.08</v>
      </c>
    </row>
    <row r="39" spans="1:40">
      <c r="B39" t="str">
        <f>LCOE!C41</f>
        <v>Interest during construction (IDC)</v>
      </c>
      <c r="C39" s="14">
        <f>LCOE!H41</f>
        <v>0.08</v>
      </c>
    </row>
    <row r="40" spans="1:40">
      <c r="B40" t="str">
        <f>LCOE!C42</f>
        <v>Total overnight cost of refurbishment</v>
      </c>
      <c r="C40" s="16">
        <f>LCOE!H42</f>
        <v>0</v>
      </c>
    </row>
    <row r="41" spans="1:40">
      <c r="B41" t="str">
        <f>LCOE!C43</f>
        <v>Overrides</v>
      </c>
      <c r="C41">
        <f>LCOE!H43</f>
        <v>0</v>
      </c>
    </row>
    <row r="43" spans="1:40">
      <c r="Z43" s="48" t="s">
        <v>223</v>
      </c>
      <c r="AA43" s="48"/>
      <c r="AB43" s="48"/>
      <c r="AC43" s="48"/>
      <c r="AD43" s="48"/>
    </row>
    <row r="44" spans="1:40" ht="183.95">
      <c r="A44" t="s">
        <v>224</v>
      </c>
      <c r="B44" s="17" t="s">
        <v>161</v>
      </c>
      <c r="C44" s="43" t="s">
        <v>225</v>
      </c>
      <c r="D44" s="17" t="s">
        <v>226</v>
      </c>
      <c r="E44" s="17" t="s">
        <v>164</v>
      </c>
      <c r="F44" s="17" t="s">
        <v>167</v>
      </c>
      <c r="G44" s="17" t="s">
        <v>168</v>
      </c>
      <c r="H44" s="17" t="s">
        <v>169</v>
      </c>
      <c r="I44" s="17" t="s">
        <v>170</v>
      </c>
      <c r="J44" s="17" t="s">
        <v>171</v>
      </c>
      <c r="K44" s="17" t="s">
        <v>227</v>
      </c>
      <c r="L44" s="17" t="s">
        <v>173</v>
      </c>
      <c r="M44" s="17" t="s">
        <v>228</v>
      </c>
      <c r="N44" s="17" t="s">
        <v>229</v>
      </c>
      <c r="O44" s="17" t="s">
        <v>230</v>
      </c>
      <c r="P44" s="17" t="s">
        <v>177</v>
      </c>
      <c r="Q44" s="17" t="s">
        <v>231</v>
      </c>
      <c r="R44" s="17" t="s">
        <v>232</v>
      </c>
      <c r="S44" s="17" t="s">
        <v>233</v>
      </c>
      <c r="T44" s="17" t="s">
        <v>180</v>
      </c>
      <c r="U44" s="17" t="s">
        <v>181</v>
      </c>
      <c r="V44" s="17" t="s">
        <v>182</v>
      </c>
      <c r="W44" s="17" t="s">
        <v>183</v>
      </c>
      <c r="X44" s="17" t="s">
        <v>234</v>
      </c>
      <c r="Y44" s="17" t="s">
        <v>185</v>
      </c>
      <c r="Z44" s="49" t="s">
        <v>235</v>
      </c>
      <c r="AA44" s="49" t="s">
        <v>236</v>
      </c>
      <c r="AB44" s="49" t="s">
        <v>237</v>
      </c>
      <c r="AC44" s="49" t="s">
        <v>238</v>
      </c>
      <c r="AD44" s="49" t="s">
        <v>239</v>
      </c>
      <c r="AE44" s="17" t="s">
        <v>240</v>
      </c>
      <c r="AF44" s="17" t="s">
        <v>241</v>
      </c>
      <c r="AG44" s="17" t="s">
        <v>242</v>
      </c>
      <c r="AH44" s="17" t="s">
        <v>243</v>
      </c>
      <c r="AI44" s="17" t="s">
        <v>244</v>
      </c>
      <c r="AJ44" s="17" t="s">
        <v>245</v>
      </c>
      <c r="AK44" s="17" t="s">
        <v>246</v>
      </c>
      <c r="AL44" s="17" t="s">
        <v>247</v>
      </c>
      <c r="AM44" s="17" t="s">
        <v>248</v>
      </c>
      <c r="AN44" s="17" t="s">
        <v>249</v>
      </c>
    </row>
    <row r="45" spans="1:40">
      <c r="A45">
        <v>-25</v>
      </c>
      <c r="B45" s="16">
        <f>LCOE!C71+IF(A45&gt;=((LCOE!H$17*-1)+1),LCOE!H$38/LCOE!H$17,0)</f>
        <v>0</v>
      </c>
      <c r="C45" s="16"/>
      <c r="D45" s="16"/>
      <c r="E45" s="18"/>
      <c r="Z45" s="50">
        <f t="shared" ref="Z45:Z69" si="3">SUM(B45:C45)</f>
        <v>0</v>
      </c>
      <c r="AA45" s="50">
        <f t="shared" ref="AA45:AA69" si="4">SUM(I45:J45)</f>
        <v>0</v>
      </c>
      <c r="AB45" s="50">
        <f t="shared" ref="AB45:AB69" si="5">L45</f>
        <v>0</v>
      </c>
      <c r="AC45" s="50">
        <f t="shared" ref="AC45:AC69" si="6">SUM(S45:W45)</f>
        <v>0</v>
      </c>
      <c r="AD45" s="50">
        <f>S45</f>
        <v>0</v>
      </c>
      <c r="AE45">
        <v>-25</v>
      </c>
      <c r="AF45" s="12">
        <f>LCOE!E71+LCOE!H$40</f>
        <v>0.08</v>
      </c>
      <c r="AG45">
        <f>(1+AF45)^A45</f>
        <v>0.1460179049129135</v>
      </c>
      <c r="AH45" s="16">
        <f t="shared" ref="AH45:AH108" si="7">Z45/AG45</f>
        <v>0</v>
      </c>
      <c r="AI45" s="16">
        <f t="shared" ref="AI45:AI108" si="8">AA45/AG45</f>
        <v>0</v>
      </c>
      <c r="AJ45" s="16">
        <f t="shared" ref="AJ45:AJ108" si="9">AB45/AG45</f>
        <v>0</v>
      </c>
      <c r="AK45" s="16">
        <f t="shared" ref="AK45:AK108" si="10">AC45/AG45</f>
        <v>0</v>
      </c>
      <c r="AL45" s="16">
        <f>AD45/AG45</f>
        <v>0</v>
      </c>
      <c r="AM45" s="16"/>
    </row>
    <row r="46" spans="1:40">
      <c r="A46">
        <v>-24</v>
      </c>
      <c r="B46" s="16">
        <f>LCOE!C72+IF(A46&gt;=((LCOE!H$17*-1)+1),LCOE!H$38/LCOE!H$17,0)</f>
        <v>0</v>
      </c>
      <c r="C46" s="16"/>
      <c r="D46" s="16"/>
      <c r="E46" s="18"/>
      <c r="Z46" s="50">
        <f t="shared" si="3"/>
        <v>0</v>
      </c>
      <c r="AA46" s="50">
        <f t="shared" si="4"/>
        <v>0</v>
      </c>
      <c r="AB46" s="50">
        <f t="shared" si="5"/>
        <v>0</v>
      </c>
      <c r="AC46" s="50">
        <f t="shared" si="6"/>
        <v>0</v>
      </c>
      <c r="AD46" s="50">
        <f t="shared" ref="AD46:AD109" si="11">S46</f>
        <v>0</v>
      </c>
      <c r="AE46">
        <v>-24</v>
      </c>
      <c r="AF46" s="12">
        <f>LCOE!E72+LCOE!H$40</f>
        <v>0.08</v>
      </c>
      <c r="AG46">
        <f t="shared" ref="AG46:AG109" si="12">(1+AF46)^A46</f>
        <v>0.1576993373059466</v>
      </c>
      <c r="AH46" s="16">
        <f t="shared" si="7"/>
        <v>0</v>
      </c>
      <c r="AI46" s="16">
        <f t="shared" si="8"/>
        <v>0</v>
      </c>
      <c r="AJ46" s="16">
        <f t="shared" si="9"/>
        <v>0</v>
      </c>
      <c r="AK46" s="16">
        <f t="shared" si="10"/>
        <v>0</v>
      </c>
      <c r="AL46" s="16">
        <f t="shared" ref="AL46:AL109" si="13">AD46/AG46</f>
        <v>0</v>
      </c>
      <c r="AM46" s="16"/>
    </row>
    <row r="47" spans="1:40">
      <c r="A47">
        <v>-23</v>
      </c>
      <c r="B47" s="16">
        <f>LCOE!C73+IF(A47&gt;=((LCOE!H$17*-1)+1),LCOE!H$38/LCOE!H$17,0)</f>
        <v>0</v>
      </c>
      <c r="C47" s="16"/>
      <c r="D47" s="16"/>
      <c r="E47" s="18"/>
      <c r="Z47" s="50">
        <f t="shared" si="3"/>
        <v>0</v>
      </c>
      <c r="AA47" s="50">
        <f t="shared" si="4"/>
        <v>0</v>
      </c>
      <c r="AB47" s="50">
        <f t="shared" si="5"/>
        <v>0</v>
      </c>
      <c r="AC47" s="50">
        <f t="shared" si="6"/>
        <v>0</v>
      </c>
      <c r="AD47" s="50">
        <f t="shared" si="11"/>
        <v>0</v>
      </c>
      <c r="AE47">
        <v>-23</v>
      </c>
      <c r="AF47" s="12">
        <f>LCOE!E73+LCOE!H$40</f>
        <v>0.08</v>
      </c>
      <c r="AG47">
        <f t="shared" si="12"/>
        <v>0.17031528429042234</v>
      </c>
      <c r="AH47" s="16">
        <f t="shared" si="7"/>
        <v>0</v>
      </c>
      <c r="AI47" s="16">
        <f t="shared" si="8"/>
        <v>0</v>
      </c>
      <c r="AJ47" s="16">
        <f t="shared" si="9"/>
        <v>0</v>
      </c>
      <c r="AK47" s="16">
        <f t="shared" si="10"/>
        <v>0</v>
      </c>
      <c r="AL47" s="16">
        <f t="shared" si="13"/>
        <v>0</v>
      </c>
      <c r="AM47" s="16"/>
    </row>
    <row r="48" spans="1:40">
      <c r="A48">
        <v>-22</v>
      </c>
      <c r="B48" s="16">
        <f>LCOE!C74+IF(A48&gt;=((LCOE!H$17*-1)+1),LCOE!H$38/LCOE!H$17,0)</f>
        <v>0</v>
      </c>
      <c r="C48" s="16"/>
      <c r="D48" s="16"/>
      <c r="E48" s="18"/>
      <c r="Z48" s="50">
        <f t="shared" si="3"/>
        <v>0</v>
      </c>
      <c r="AA48" s="50">
        <f t="shared" si="4"/>
        <v>0</v>
      </c>
      <c r="AB48" s="50">
        <f t="shared" si="5"/>
        <v>0</v>
      </c>
      <c r="AC48" s="50">
        <f t="shared" si="6"/>
        <v>0</v>
      </c>
      <c r="AD48" s="50">
        <f t="shared" si="11"/>
        <v>0</v>
      </c>
      <c r="AE48">
        <v>-22</v>
      </c>
      <c r="AF48" s="12">
        <f>LCOE!E74+LCOE!H$40</f>
        <v>0.08</v>
      </c>
      <c r="AG48">
        <f t="shared" si="12"/>
        <v>0.18394050703365611</v>
      </c>
      <c r="AH48" s="16">
        <f t="shared" si="7"/>
        <v>0</v>
      </c>
      <c r="AI48" s="16">
        <f t="shared" si="8"/>
        <v>0</v>
      </c>
      <c r="AJ48" s="16">
        <f t="shared" si="9"/>
        <v>0</v>
      </c>
      <c r="AK48" s="16">
        <f t="shared" si="10"/>
        <v>0</v>
      </c>
      <c r="AL48" s="16">
        <f t="shared" si="13"/>
        <v>0</v>
      </c>
      <c r="AM48" s="16"/>
    </row>
    <row r="49" spans="1:39">
      <c r="A49">
        <v>-21</v>
      </c>
      <c r="B49" s="16">
        <f>LCOE!C75+IF(A49&gt;=((LCOE!H$17*-1)+1),LCOE!H$38/LCOE!H$17,0)</f>
        <v>0</v>
      </c>
      <c r="C49" s="16"/>
      <c r="D49" s="16"/>
      <c r="E49" s="18"/>
      <c r="Z49" s="50">
        <f t="shared" si="3"/>
        <v>0</v>
      </c>
      <c r="AA49" s="50">
        <f t="shared" si="4"/>
        <v>0</v>
      </c>
      <c r="AB49" s="50">
        <f t="shared" si="5"/>
        <v>0</v>
      </c>
      <c r="AC49" s="50">
        <f t="shared" si="6"/>
        <v>0</v>
      </c>
      <c r="AD49" s="50">
        <f t="shared" si="11"/>
        <v>0</v>
      </c>
      <c r="AE49">
        <v>-21</v>
      </c>
      <c r="AF49" s="12">
        <f>LCOE!E75+LCOE!H$40</f>
        <v>0.08</v>
      </c>
      <c r="AG49">
        <f t="shared" si="12"/>
        <v>0.19865574759634863</v>
      </c>
      <c r="AH49" s="16">
        <f t="shared" si="7"/>
        <v>0</v>
      </c>
      <c r="AI49" s="16">
        <f t="shared" si="8"/>
        <v>0</v>
      </c>
      <c r="AJ49" s="16">
        <f t="shared" si="9"/>
        <v>0</v>
      </c>
      <c r="AK49" s="16">
        <f t="shared" si="10"/>
        <v>0</v>
      </c>
      <c r="AL49" s="16">
        <f t="shared" si="13"/>
        <v>0</v>
      </c>
      <c r="AM49" s="16"/>
    </row>
    <row r="50" spans="1:39">
      <c r="A50">
        <v>-20</v>
      </c>
      <c r="B50" s="16">
        <f>LCOE!C76+IF(A50&gt;=((LCOE!H$17*-1)+1),LCOE!H$38/LCOE!H$17,0)</f>
        <v>0</v>
      </c>
      <c r="C50" s="16"/>
      <c r="D50" s="16"/>
      <c r="E50" s="18"/>
      <c r="Z50" s="50">
        <f t="shared" si="3"/>
        <v>0</v>
      </c>
      <c r="AA50" s="50">
        <f t="shared" si="4"/>
        <v>0</v>
      </c>
      <c r="AB50" s="50">
        <f t="shared" si="5"/>
        <v>0</v>
      </c>
      <c r="AC50" s="50">
        <f t="shared" si="6"/>
        <v>0</v>
      </c>
      <c r="AD50" s="50">
        <f t="shared" si="11"/>
        <v>0</v>
      </c>
      <c r="AE50">
        <v>-20</v>
      </c>
      <c r="AF50" s="12">
        <f>LCOE!E76+LCOE!H$40</f>
        <v>0.08</v>
      </c>
      <c r="AG50">
        <f t="shared" si="12"/>
        <v>0.21454820740405653</v>
      </c>
      <c r="AH50" s="16">
        <f t="shared" si="7"/>
        <v>0</v>
      </c>
      <c r="AI50" s="16">
        <f t="shared" si="8"/>
        <v>0</v>
      </c>
      <c r="AJ50" s="16">
        <f t="shared" si="9"/>
        <v>0</v>
      </c>
      <c r="AK50" s="16">
        <f t="shared" si="10"/>
        <v>0</v>
      </c>
      <c r="AL50" s="16">
        <f t="shared" si="13"/>
        <v>0</v>
      </c>
      <c r="AM50" s="16"/>
    </row>
    <row r="51" spans="1:39">
      <c r="A51">
        <v>-19</v>
      </c>
      <c r="B51" s="16">
        <f>LCOE!C77+IF(A51&gt;=((LCOE!H$17*-1)+1),LCOE!H$38/LCOE!H$17,0)</f>
        <v>0</v>
      </c>
      <c r="C51" s="16"/>
      <c r="D51" s="16"/>
      <c r="E51" s="18"/>
      <c r="Z51" s="50">
        <f t="shared" si="3"/>
        <v>0</v>
      </c>
      <c r="AA51" s="50">
        <f t="shared" si="4"/>
        <v>0</v>
      </c>
      <c r="AB51" s="50">
        <f t="shared" si="5"/>
        <v>0</v>
      </c>
      <c r="AC51" s="50">
        <f t="shared" si="6"/>
        <v>0</v>
      </c>
      <c r="AD51" s="50">
        <f t="shared" si="11"/>
        <v>0</v>
      </c>
      <c r="AE51">
        <v>-19</v>
      </c>
      <c r="AF51" s="12">
        <f>LCOE!E77+LCOE!H$40</f>
        <v>0.08</v>
      </c>
      <c r="AG51">
        <f t="shared" si="12"/>
        <v>0.23171206399638106</v>
      </c>
      <c r="AH51" s="16">
        <f t="shared" si="7"/>
        <v>0</v>
      </c>
      <c r="AI51" s="16">
        <f t="shared" si="8"/>
        <v>0</v>
      </c>
      <c r="AJ51" s="16">
        <f t="shared" si="9"/>
        <v>0</v>
      </c>
      <c r="AK51" s="16">
        <f t="shared" si="10"/>
        <v>0</v>
      </c>
      <c r="AL51" s="16">
        <f t="shared" si="13"/>
        <v>0</v>
      </c>
      <c r="AM51" s="16"/>
    </row>
    <row r="52" spans="1:39">
      <c r="A52">
        <v>-18</v>
      </c>
      <c r="B52" s="16">
        <f>LCOE!C78+IF(A52&gt;=((LCOE!H$17*-1)+1),LCOE!H$38/LCOE!H$17,0)</f>
        <v>0</v>
      </c>
      <c r="C52" s="16"/>
      <c r="D52" s="16"/>
      <c r="E52" s="18"/>
      <c r="Z52" s="50">
        <f t="shared" si="3"/>
        <v>0</v>
      </c>
      <c r="AA52" s="50">
        <f t="shared" si="4"/>
        <v>0</v>
      </c>
      <c r="AB52" s="50">
        <f t="shared" si="5"/>
        <v>0</v>
      </c>
      <c r="AC52" s="50">
        <f t="shared" si="6"/>
        <v>0</v>
      </c>
      <c r="AD52" s="50">
        <f t="shared" si="11"/>
        <v>0</v>
      </c>
      <c r="AE52">
        <v>-18</v>
      </c>
      <c r="AF52" s="12">
        <f>LCOE!E78+LCOE!H$40</f>
        <v>0.08</v>
      </c>
      <c r="AG52">
        <f t="shared" si="12"/>
        <v>0.25024902911609154</v>
      </c>
      <c r="AH52" s="16">
        <f t="shared" si="7"/>
        <v>0</v>
      </c>
      <c r="AI52" s="16">
        <f t="shared" si="8"/>
        <v>0</v>
      </c>
      <c r="AJ52" s="16">
        <f t="shared" si="9"/>
        <v>0</v>
      </c>
      <c r="AK52" s="16">
        <f t="shared" si="10"/>
        <v>0</v>
      </c>
      <c r="AL52" s="16">
        <f t="shared" si="13"/>
        <v>0</v>
      </c>
      <c r="AM52" s="16"/>
    </row>
    <row r="53" spans="1:39">
      <c r="A53">
        <v>-17</v>
      </c>
      <c r="B53" s="16">
        <f>LCOE!C79+IF(A53&gt;=((LCOE!H$17*-1)+1),LCOE!H$38/LCOE!H$17,0)</f>
        <v>0</v>
      </c>
      <c r="C53" s="16"/>
      <c r="D53" s="16"/>
      <c r="E53" s="18"/>
      <c r="Z53" s="50">
        <f t="shared" si="3"/>
        <v>0</v>
      </c>
      <c r="AA53" s="50">
        <f t="shared" si="4"/>
        <v>0</v>
      </c>
      <c r="AB53" s="50">
        <f t="shared" si="5"/>
        <v>0</v>
      </c>
      <c r="AC53" s="50">
        <f t="shared" si="6"/>
        <v>0</v>
      </c>
      <c r="AD53" s="50">
        <f t="shared" si="11"/>
        <v>0</v>
      </c>
      <c r="AE53">
        <v>-17</v>
      </c>
      <c r="AF53" s="12">
        <f>LCOE!E79+LCOE!H$40</f>
        <v>0.08</v>
      </c>
      <c r="AG53">
        <f t="shared" si="12"/>
        <v>0.27026895144537894</v>
      </c>
      <c r="AH53" s="16">
        <f t="shared" si="7"/>
        <v>0</v>
      </c>
      <c r="AI53" s="16">
        <f t="shared" si="8"/>
        <v>0</v>
      </c>
      <c r="AJ53" s="16">
        <f t="shared" si="9"/>
        <v>0</v>
      </c>
      <c r="AK53" s="16">
        <f t="shared" si="10"/>
        <v>0</v>
      </c>
      <c r="AL53" s="16">
        <f t="shared" si="13"/>
        <v>0</v>
      </c>
      <c r="AM53" s="16"/>
    </row>
    <row r="54" spans="1:39">
      <c r="A54">
        <v>-16</v>
      </c>
      <c r="B54" s="16">
        <f>LCOE!C80+IF(A54&gt;=((LCOE!H$17*-1)+1),LCOE!H$38/LCOE!H$17,0)</f>
        <v>0</v>
      </c>
      <c r="C54" s="16"/>
      <c r="D54" s="16"/>
      <c r="E54" s="18"/>
      <c r="Z54" s="50">
        <f t="shared" si="3"/>
        <v>0</v>
      </c>
      <c r="AA54" s="50">
        <f t="shared" si="4"/>
        <v>0</v>
      </c>
      <c r="AB54" s="50">
        <f t="shared" si="5"/>
        <v>0</v>
      </c>
      <c r="AC54" s="50">
        <f t="shared" si="6"/>
        <v>0</v>
      </c>
      <c r="AD54" s="50">
        <f t="shared" si="11"/>
        <v>0</v>
      </c>
      <c r="AE54">
        <v>-16</v>
      </c>
      <c r="AF54" s="12">
        <f>LCOE!E80+LCOE!H$40</f>
        <v>0.08</v>
      </c>
      <c r="AG54">
        <f t="shared" si="12"/>
        <v>0.29189046756100923</v>
      </c>
      <c r="AH54" s="16">
        <f t="shared" si="7"/>
        <v>0</v>
      </c>
      <c r="AI54" s="16">
        <f t="shared" si="8"/>
        <v>0</v>
      </c>
      <c r="AJ54" s="16">
        <f t="shared" si="9"/>
        <v>0</v>
      </c>
      <c r="AK54" s="16">
        <f t="shared" si="10"/>
        <v>0</v>
      </c>
      <c r="AL54" s="16">
        <f t="shared" si="13"/>
        <v>0</v>
      </c>
      <c r="AM54" s="16"/>
    </row>
    <row r="55" spans="1:39">
      <c r="A55">
        <v>-15</v>
      </c>
      <c r="B55" s="16">
        <f>LCOE!C81+IF(A55&gt;=((LCOE!H$17*-1)+1),LCOE!H$38/LCOE!H$17,0)</f>
        <v>0</v>
      </c>
      <c r="C55" s="16"/>
      <c r="D55" s="16"/>
      <c r="E55" s="18"/>
      <c r="Z55" s="50">
        <f t="shared" si="3"/>
        <v>0</v>
      </c>
      <c r="AA55" s="50">
        <f t="shared" si="4"/>
        <v>0</v>
      </c>
      <c r="AB55" s="50">
        <f t="shared" si="5"/>
        <v>0</v>
      </c>
      <c r="AC55" s="50">
        <f t="shared" si="6"/>
        <v>0</v>
      </c>
      <c r="AD55" s="50">
        <f t="shared" si="11"/>
        <v>0</v>
      </c>
      <c r="AE55">
        <v>-15</v>
      </c>
      <c r="AF55" s="12">
        <f>LCOE!E81+LCOE!H$40</f>
        <v>0.08</v>
      </c>
      <c r="AG55">
        <f t="shared" si="12"/>
        <v>0.31524170496588994</v>
      </c>
      <c r="AH55" s="16">
        <f t="shared" si="7"/>
        <v>0</v>
      </c>
      <c r="AI55" s="16">
        <f t="shared" si="8"/>
        <v>0</v>
      </c>
      <c r="AJ55" s="16">
        <f t="shared" si="9"/>
        <v>0</v>
      </c>
      <c r="AK55" s="16">
        <f t="shared" si="10"/>
        <v>0</v>
      </c>
      <c r="AL55" s="16">
        <f t="shared" si="13"/>
        <v>0</v>
      </c>
      <c r="AM55" s="16"/>
    </row>
    <row r="56" spans="1:39">
      <c r="A56">
        <v>-14</v>
      </c>
      <c r="B56" s="16">
        <f>LCOE!C82+IF(A56&gt;=((LCOE!H$17*-1)+1),LCOE!H$38/LCOE!H$17,0)</f>
        <v>0</v>
      </c>
      <c r="C56" s="16"/>
      <c r="D56" s="16"/>
      <c r="E56" s="18"/>
      <c r="Z56" s="50">
        <f t="shared" si="3"/>
        <v>0</v>
      </c>
      <c r="AA56" s="50">
        <f t="shared" si="4"/>
        <v>0</v>
      </c>
      <c r="AB56" s="50">
        <f t="shared" si="5"/>
        <v>0</v>
      </c>
      <c r="AC56" s="50">
        <f t="shared" si="6"/>
        <v>0</v>
      </c>
      <c r="AD56" s="50">
        <f t="shared" si="11"/>
        <v>0</v>
      </c>
      <c r="AE56">
        <v>-14</v>
      </c>
      <c r="AF56" s="12">
        <f>LCOE!E82+LCOE!H$40</f>
        <v>0.08</v>
      </c>
      <c r="AG56">
        <f t="shared" si="12"/>
        <v>0.34046104136316119</v>
      </c>
      <c r="AH56" s="16">
        <f t="shared" si="7"/>
        <v>0</v>
      </c>
      <c r="AI56" s="16">
        <f t="shared" si="8"/>
        <v>0</v>
      </c>
      <c r="AJ56" s="16">
        <f t="shared" si="9"/>
        <v>0</v>
      </c>
      <c r="AK56" s="16">
        <f t="shared" si="10"/>
        <v>0</v>
      </c>
      <c r="AL56" s="16">
        <f t="shared" si="13"/>
        <v>0</v>
      </c>
      <c r="AM56" s="16"/>
    </row>
    <row r="57" spans="1:39">
      <c r="A57">
        <v>-13</v>
      </c>
      <c r="B57" s="16">
        <f>LCOE!C83+IF(A57&gt;=((LCOE!H$17*-1)+1),LCOE!H$38/LCOE!H$17,0)</f>
        <v>0</v>
      </c>
      <c r="C57" s="16"/>
      <c r="D57" s="16"/>
      <c r="E57" s="18"/>
      <c r="Z57" s="50">
        <f t="shared" si="3"/>
        <v>0</v>
      </c>
      <c r="AA57" s="50">
        <f t="shared" si="4"/>
        <v>0</v>
      </c>
      <c r="AB57" s="50">
        <f t="shared" si="5"/>
        <v>0</v>
      </c>
      <c r="AC57" s="50">
        <f t="shared" si="6"/>
        <v>0</v>
      </c>
      <c r="AD57" s="50">
        <f t="shared" si="11"/>
        <v>0</v>
      </c>
      <c r="AE57">
        <v>-13</v>
      </c>
      <c r="AF57" s="12">
        <f>LCOE!E83+LCOE!H$40</f>
        <v>0.08</v>
      </c>
      <c r="AG57">
        <f t="shared" si="12"/>
        <v>0.36769792467221413</v>
      </c>
      <c r="AH57" s="16">
        <f t="shared" si="7"/>
        <v>0</v>
      </c>
      <c r="AI57" s="16">
        <f t="shared" si="8"/>
        <v>0</v>
      </c>
      <c r="AJ57" s="16">
        <f t="shared" si="9"/>
        <v>0</v>
      </c>
      <c r="AK57" s="16">
        <f t="shared" si="10"/>
        <v>0</v>
      </c>
      <c r="AL57" s="16">
        <f t="shared" si="13"/>
        <v>0</v>
      </c>
      <c r="AM57" s="16"/>
    </row>
    <row r="58" spans="1:39">
      <c r="A58">
        <v>-12</v>
      </c>
      <c r="B58" s="16">
        <f>LCOE!C84+IF(A58&gt;=((LCOE!H$17*-1)+1),LCOE!H$38/LCOE!H$17,0)</f>
        <v>0</v>
      </c>
      <c r="C58" s="16"/>
      <c r="D58" s="16"/>
      <c r="E58" s="18"/>
      <c r="Z58" s="50">
        <f t="shared" si="3"/>
        <v>0</v>
      </c>
      <c r="AA58" s="50">
        <f t="shared" si="4"/>
        <v>0</v>
      </c>
      <c r="AB58" s="50">
        <f t="shared" si="5"/>
        <v>0</v>
      </c>
      <c r="AC58" s="50">
        <f t="shared" si="6"/>
        <v>0</v>
      </c>
      <c r="AD58" s="50">
        <f t="shared" si="11"/>
        <v>0</v>
      </c>
      <c r="AE58">
        <v>-12</v>
      </c>
      <c r="AF58" s="12">
        <f>LCOE!E84+LCOE!H$40</f>
        <v>0.08</v>
      </c>
      <c r="AG58">
        <f t="shared" si="12"/>
        <v>0.39711375864599124</v>
      </c>
      <c r="AH58" s="16">
        <f t="shared" si="7"/>
        <v>0</v>
      </c>
      <c r="AI58" s="16">
        <f t="shared" si="8"/>
        <v>0</v>
      </c>
      <c r="AJ58" s="16">
        <f t="shared" si="9"/>
        <v>0</v>
      </c>
      <c r="AK58" s="16">
        <f t="shared" si="10"/>
        <v>0</v>
      </c>
      <c r="AL58" s="16">
        <f t="shared" si="13"/>
        <v>0</v>
      </c>
      <c r="AM58" s="16"/>
    </row>
    <row r="59" spans="1:39">
      <c r="A59">
        <v>-11</v>
      </c>
      <c r="B59" s="16">
        <f>LCOE!C85+IF(A59&gt;=((LCOE!H$17*-1)+1),LCOE!H$38/LCOE!H$17,0)</f>
        <v>0</v>
      </c>
      <c r="C59" s="16"/>
      <c r="D59" s="16"/>
      <c r="E59" s="18"/>
      <c r="Z59" s="50">
        <f t="shared" si="3"/>
        <v>0</v>
      </c>
      <c r="AA59" s="50">
        <f t="shared" si="4"/>
        <v>0</v>
      </c>
      <c r="AB59" s="50">
        <f t="shared" si="5"/>
        <v>0</v>
      </c>
      <c r="AC59" s="50">
        <f t="shared" si="6"/>
        <v>0</v>
      </c>
      <c r="AD59" s="50">
        <f t="shared" si="11"/>
        <v>0</v>
      </c>
      <c r="AE59">
        <v>-11</v>
      </c>
      <c r="AF59" s="12">
        <f>LCOE!E85+LCOE!H$40</f>
        <v>0.08</v>
      </c>
      <c r="AG59">
        <f t="shared" si="12"/>
        <v>0.42888285933767062</v>
      </c>
      <c r="AH59" s="16">
        <f t="shared" si="7"/>
        <v>0</v>
      </c>
      <c r="AI59" s="16">
        <f t="shared" si="8"/>
        <v>0</v>
      </c>
      <c r="AJ59" s="16">
        <f t="shared" si="9"/>
        <v>0</v>
      </c>
      <c r="AK59" s="16">
        <f t="shared" si="10"/>
        <v>0</v>
      </c>
      <c r="AL59" s="16">
        <f t="shared" si="13"/>
        <v>0</v>
      </c>
      <c r="AM59" s="16"/>
    </row>
    <row r="60" spans="1:39">
      <c r="A60">
        <v>-10</v>
      </c>
      <c r="B60" s="16">
        <f>LCOE!C86+IF(A60&gt;=((LCOE!H$17*-1)+1),LCOE!H$38/LCOE!H$17,0)</f>
        <v>0</v>
      </c>
      <c r="C60" s="16"/>
      <c r="D60" s="16"/>
      <c r="E60" s="18"/>
      <c r="Z60" s="50">
        <f t="shared" si="3"/>
        <v>0</v>
      </c>
      <c r="AA60" s="50">
        <f t="shared" si="4"/>
        <v>0</v>
      </c>
      <c r="AB60" s="50">
        <f t="shared" si="5"/>
        <v>0</v>
      </c>
      <c r="AC60" s="50">
        <f t="shared" si="6"/>
        <v>0</v>
      </c>
      <c r="AD60" s="50">
        <f t="shared" si="11"/>
        <v>0</v>
      </c>
      <c r="AE60">
        <v>-10</v>
      </c>
      <c r="AF60" s="12">
        <f>LCOE!E86+LCOE!H$40</f>
        <v>0.08</v>
      </c>
      <c r="AG60">
        <f t="shared" si="12"/>
        <v>0.46319348808468425</v>
      </c>
      <c r="AH60" s="16">
        <f t="shared" si="7"/>
        <v>0</v>
      </c>
      <c r="AI60" s="16">
        <f t="shared" si="8"/>
        <v>0</v>
      </c>
      <c r="AJ60" s="16">
        <f t="shared" si="9"/>
        <v>0</v>
      </c>
      <c r="AK60" s="16">
        <f t="shared" si="10"/>
        <v>0</v>
      </c>
      <c r="AL60" s="16">
        <f t="shared" si="13"/>
        <v>0</v>
      </c>
      <c r="AM60" s="16"/>
    </row>
    <row r="61" spans="1:39">
      <c r="A61">
        <v>-9</v>
      </c>
      <c r="B61" s="16">
        <f>LCOE!C87+IF(A61&gt;=((LCOE!H$17*-1)+1),LCOE!H$38/LCOE!H$17,0)</f>
        <v>0</v>
      </c>
      <c r="C61" s="16"/>
      <c r="D61" s="16"/>
      <c r="E61" s="18"/>
      <c r="Z61" s="50">
        <f t="shared" si="3"/>
        <v>0</v>
      </c>
      <c r="AA61" s="50">
        <f t="shared" si="4"/>
        <v>0</v>
      </c>
      <c r="AB61" s="50">
        <f t="shared" si="5"/>
        <v>0</v>
      </c>
      <c r="AC61" s="50">
        <f t="shared" si="6"/>
        <v>0</v>
      </c>
      <c r="AD61" s="50">
        <f t="shared" si="11"/>
        <v>0</v>
      </c>
      <c r="AE61">
        <v>-9</v>
      </c>
      <c r="AF61" s="12">
        <f>LCOE!E87+LCOE!H$40</f>
        <v>0.08</v>
      </c>
      <c r="AG61">
        <f t="shared" si="12"/>
        <v>0.50024896713145905</v>
      </c>
      <c r="AH61" s="16">
        <f t="shared" si="7"/>
        <v>0</v>
      </c>
      <c r="AI61" s="16">
        <f t="shared" si="8"/>
        <v>0</v>
      </c>
      <c r="AJ61" s="16">
        <f t="shared" si="9"/>
        <v>0</v>
      </c>
      <c r="AK61" s="16">
        <f t="shared" si="10"/>
        <v>0</v>
      </c>
      <c r="AL61" s="16">
        <f t="shared" si="13"/>
        <v>0</v>
      </c>
      <c r="AM61" s="16"/>
    </row>
    <row r="62" spans="1:39">
      <c r="A62">
        <v>-8</v>
      </c>
      <c r="B62" s="16">
        <f>LCOE!C88+IF(A62&gt;=((LCOE!H$17*-1)+1),LCOE!H$38/LCOE!H$17,0)</f>
        <v>0</v>
      </c>
      <c r="C62" s="16"/>
      <c r="D62" s="16"/>
      <c r="E62" s="18"/>
      <c r="Z62" s="50">
        <f t="shared" si="3"/>
        <v>0</v>
      </c>
      <c r="AA62" s="50">
        <f t="shared" si="4"/>
        <v>0</v>
      </c>
      <c r="AB62" s="50">
        <f t="shared" si="5"/>
        <v>0</v>
      </c>
      <c r="AC62" s="50">
        <f t="shared" si="6"/>
        <v>0</v>
      </c>
      <c r="AD62" s="50">
        <f t="shared" si="11"/>
        <v>0</v>
      </c>
      <c r="AE62">
        <v>-8</v>
      </c>
      <c r="AF62" s="12">
        <f>LCOE!E88+LCOE!H$40</f>
        <v>0.08</v>
      </c>
      <c r="AG62">
        <f t="shared" si="12"/>
        <v>0.54026888450197574</v>
      </c>
      <c r="AH62" s="16">
        <f t="shared" si="7"/>
        <v>0</v>
      </c>
      <c r="AI62" s="16">
        <f t="shared" si="8"/>
        <v>0</v>
      </c>
      <c r="AJ62" s="16">
        <f t="shared" si="9"/>
        <v>0</v>
      </c>
      <c r="AK62" s="16">
        <f t="shared" si="10"/>
        <v>0</v>
      </c>
      <c r="AL62" s="16">
        <f t="shared" si="13"/>
        <v>0</v>
      </c>
      <c r="AM62" s="16"/>
    </row>
    <row r="63" spans="1:39">
      <c r="A63">
        <v>-7</v>
      </c>
      <c r="B63" s="16">
        <f>LCOE!C89+IF(A63&gt;=((LCOE!H$17*-1)+1),LCOE!H$38/LCOE!H$17,0)</f>
        <v>0</v>
      </c>
      <c r="C63" s="16"/>
      <c r="D63" s="16"/>
      <c r="E63" s="18"/>
      <c r="Z63" s="50">
        <f t="shared" si="3"/>
        <v>0</v>
      </c>
      <c r="AA63" s="50">
        <f t="shared" si="4"/>
        <v>0</v>
      </c>
      <c r="AB63" s="50">
        <f t="shared" si="5"/>
        <v>0</v>
      </c>
      <c r="AC63" s="50">
        <f t="shared" si="6"/>
        <v>0</v>
      </c>
      <c r="AD63" s="50">
        <f t="shared" si="11"/>
        <v>0</v>
      </c>
      <c r="AE63">
        <v>-7</v>
      </c>
      <c r="AF63" s="12">
        <f>LCOE!E89+LCOE!H$40</f>
        <v>0.08</v>
      </c>
      <c r="AG63">
        <f t="shared" si="12"/>
        <v>0.58349039526213387</v>
      </c>
      <c r="AH63" s="16">
        <f t="shared" si="7"/>
        <v>0</v>
      </c>
      <c r="AI63" s="16">
        <f t="shared" si="8"/>
        <v>0</v>
      </c>
      <c r="AJ63" s="16">
        <f t="shared" si="9"/>
        <v>0</v>
      </c>
      <c r="AK63" s="16">
        <f t="shared" si="10"/>
        <v>0</v>
      </c>
      <c r="AL63" s="16">
        <f t="shared" si="13"/>
        <v>0</v>
      </c>
      <c r="AM63" s="16"/>
    </row>
    <row r="64" spans="1:39">
      <c r="A64">
        <v>-6</v>
      </c>
      <c r="B64" s="16">
        <f>LCOE!C90+IF(A64&gt;=((LCOE!H$17*-1)+1),LCOE!H$38/LCOE!H$17,0)</f>
        <v>0</v>
      </c>
      <c r="C64" s="16"/>
      <c r="D64" s="16"/>
      <c r="E64" s="18"/>
      <c r="Z64" s="50">
        <f t="shared" si="3"/>
        <v>0</v>
      </c>
      <c r="AA64" s="50">
        <f t="shared" si="4"/>
        <v>0</v>
      </c>
      <c r="AB64" s="50">
        <f t="shared" si="5"/>
        <v>0</v>
      </c>
      <c r="AC64" s="50">
        <f t="shared" si="6"/>
        <v>0</v>
      </c>
      <c r="AD64" s="50">
        <f t="shared" si="11"/>
        <v>0</v>
      </c>
      <c r="AE64">
        <v>-6</v>
      </c>
      <c r="AF64" s="12">
        <f>LCOE!E90+LCOE!H$40</f>
        <v>0.08</v>
      </c>
      <c r="AG64">
        <f t="shared" si="12"/>
        <v>0.63016962688310452</v>
      </c>
      <c r="AH64" s="16">
        <f t="shared" si="7"/>
        <v>0</v>
      </c>
      <c r="AI64" s="16">
        <f t="shared" si="8"/>
        <v>0</v>
      </c>
      <c r="AJ64" s="16">
        <f t="shared" si="9"/>
        <v>0</v>
      </c>
      <c r="AK64" s="16">
        <f t="shared" si="10"/>
        <v>0</v>
      </c>
      <c r="AL64" s="16">
        <f t="shared" si="13"/>
        <v>0</v>
      </c>
      <c r="AM64" s="16"/>
    </row>
    <row r="65" spans="1:40">
      <c r="A65">
        <v>-5</v>
      </c>
      <c r="B65" s="16">
        <f>LCOE!C91+IF(A65&gt;=((LCOE!H$17*-1)+1),LCOE!H$38/LCOE!H$17,0)</f>
        <v>0</v>
      </c>
      <c r="C65" s="16"/>
      <c r="D65" s="16"/>
      <c r="E65" s="18"/>
      <c r="Z65" s="50">
        <f t="shared" si="3"/>
        <v>0</v>
      </c>
      <c r="AA65" s="50">
        <f t="shared" si="4"/>
        <v>0</v>
      </c>
      <c r="AB65" s="50">
        <f t="shared" si="5"/>
        <v>0</v>
      </c>
      <c r="AC65" s="50">
        <f t="shared" si="6"/>
        <v>0</v>
      </c>
      <c r="AD65" s="50">
        <f t="shared" si="11"/>
        <v>0</v>
      </c>
      <c r="AE65">
        <v>-5</v>
      </c>
      <c r="AF65" s="12">
        <f>LCOE!E91+LCOE!H$40</f>
        <v>0.08</v>
      </c>
      <c r="AG65">
        <f t="shared" si="12"/>
        <v>0.68058319703375303</v>
      </c>
      <c r="AH65" s="16">
        <f t="shared" si="7"/>
        <v>0</v>
      </c>
      <c r="AI65" s="16">
        <f t="shared" si="8"/>
        <v>0</v>
      </c>
      <c r="AJ65" s="16">
        <f t="shared" si="9"/>
        <v>0</v>
      </c>
      <c r="AK65" s="16">
        <f t="shared" si="10"/>
        <v>0</v>
      </c>
      <c r="AL65" s="16">
        <f t="shared" si="13"/>
        <v>0</v>
      </c>
      <c r="AM65" s="16"/>
    </row>
    <row r="66" spans="1:40">
      <c r="A66">
        <v>-4</v>
      </c>
      <c r="B66" s="16">
        <f>LCOE!C92+IF(A66&gt;=((LCOE!H$17*-1)+1),LCOE!H$38/LCOE!H$17,0)</f>
        <v>0</v>
      </c>
      <c r="C66" s="16"/>
      <c r="D66" s="16"/>
      <c r="E66" s="18"/>
      <c r="Z66" s="50">
        <f t="shared" si="3"/>
        <v>0</v>
      </c>
      <c r="AA66" s="50">
        <f t="shared" si="4"/>
        <v>0</v>
      </c>
      <c r="AB66" s="50">
        <f t="shared" si="5"/>
        <v>0</v>
      </c>
      <c r="AC66" s="50">
        <f t="shared" si="6"/>
        <v>0</v>
      </c>
      <c r="AD66" s="50">
        <f t="shared" si="11"/>
        <v>0</v>
      </c>
      <c r="AE66">
        <v>-4</v>
      </c>
      <c r="AF66" s="12">
        <f>LCOE!E92+LCOE!H$40</f>
        <v>0.08</v>
      </c>
      <c r="AG66">
        <f t="shared" si="12"/>
        <v>0.73502985279645328</v>
      </c>
      <c r="AH66" s="16">
        <f t="shared" si="7"/>
        <v>0</v>
      </c>
      <c r="AI66" s="16">
        <f t="shared" si="8"/>
        <v>0</v>
      </c>
      <c r="AJ66" s="16">
        <f t="shared" si="9"/>
        <v>0</v>
      </c>
      <c r="AK66" s="16">
        <f t="shared" si="10"/>
        <v>0</v>
      </c>
      <c r="AL66" s="16">
        <f t="shared" si="13"/>
        <v>0</v>
      </c>
      <c r="AM66" s="16"/>
    </row>
    <row r="67" spans="1:40">
      <c r="A67">
        <v>-3</v>
      </c>
      <c r="B67" s="16">
        <f>LCOE!C93+IF(A67&gt;=((LCOE!H$17*-1)+1),LCOE!H$38/LCOE!H$17,0)</f>
        <v>0</v>
      </c>
      <c r="C67" s="16"/>
      <c r="D67" s="16"/>
      <c r="E67" s="18"/>
      <c r="Z67" s="50">
        <f t="shared" si="3"/>
        <v>0</v>
      </c>
      <c r="AA67" s="50">
        <f t="shared" si="4"/>
        <v>0</v>
      </c>
      <c r="AB67" s="50">
        <f t="shared" si="5"/>
        <v>0</v>
      </c>
      <c r="AC67" s="50">
        <f t="shared" si="6"/>
        <v>0</v>
      </c>
      <c r="AD67" s="50">
        <f t="shared" si="11"/>
        <v>0</v>
      </c>
      <c r="AE67">
        <v>-3</v>
      </c>
      <c r="AF67" s="12">
        <f>LCOE!E93+LCOE!H$40</f>
        <v>0.08</v>
      </c>
      <c r="AG67">
        <f t="shared" si="12"/>
        <v>0.79383224102016958</v>
      </c>
      <c r="AH67" s="16">
        <f t="shared" si="7"/>
        <v>0</v>
      </c>
      <c r="AI67" s="16">
        <f t="shared" si="8"/>
        <v>0</v>
      </c>
      <c r="AJ67" s="16">
        <f t="shared" si="9"/>
        <v>0</v>
      </c>
      <c r="AK67" s="16">
        <f t="shared" si="10"/>
        <v>0</v>
      </c>
      <c r="AL67" s="16">
        <f t="shared" si="13"/>
        <v>0</v>
      </c>
      <c r="AM67" s="16"/>
    </row>
    <row r="68" spans="1:40">
      <c r="A68">
        <v>-2</v>
      </c>
      <c r="B68" s="16">
        <f>LCOE!C94+IF(A68&gt;=((LCOE!H$17*-1)+1),LCOE!H$38/LCOE!H$17,0)</f>
        <v>168166666.66666666</v>
      </c>
      <c r="C68" s="16"/>
      <c r="D68" s="16"/>
      <c r="E68" s="18"/>
      <c r="Z68" s="50">
        <f t="shared" si="3"/>
        <v>168166666.66666666</v>
      </c>
      <c r="AA68" s="50">
        <f t="shared" si="4"/>
        <v>0</v>
      </c>
      <c r="AB68" s="50">
        <f t="shared" si="5"/>
        <v>0</v>
      </c>
      <c r="AC68" s="50">
        <f t="shared" si="6"/>
        <v>0</v>
      </c>
      <c r="AD68" s="50">
        <f t="shared" si="11"/>
        <v>0</v>
      </c>
      <c r="AE68">
        <v>-2</v>
      </c>
      <c r="AF68" s="12">
        <f>LCOE!E94+LCOE!H$40</f>
        <v>0.08</v>
      </c>
      <c r="AG68">
        <f t="shared" si="12"/>
        <v>0.85733882030178321</v>
      </c>
      <c r="AH68" s="16">
        <f t="shared" si="7"/>
        <v>196149600</v>
      </c>
      <c r="AI68" s="16">
        <f t="shared" si="8"/>
        <v>0</v>
      </c>
      <c r="AJ68" s="16">
        <f t="shared" si="9"/>
        <v>0</v>
      </c>
      <c r="AK68" s="16">
        <f t="shared" si="10"/>
        <v>0</v>
      </c>
      <c r="AL68" s="16">
        <f t="shared" si="13"/>
        <v>0</v>
      </c>
      <c r="AM68" s="16"/>
    </row>
    <row r="69" spans="1:40">
      <c r="A69">
        <v>-1</v>
      </c>
      <c r="B69" s="16">
        <f>LCOE!C95+IF(A69&gt;=((LCOE!H$17*-1)+1),LCOE!H$38/LCOE!H$17,0)</f>
        <v>168166666.66666666</v>
      </c>
      <c r="C69" s="16"/>
      <c r="D69" s="16"/>
      <c r="E69" s="18"/>
      <c r="Z69" s="50">
        <f t="shared" si="3"/>
        <v>168166666.66666666</v>
      </c>
      <c r="AA69" s="50">
        <f t="shared" si="4"/>
        <v>0</v>
      </c>
      <c r="AB69" s="50">
        <f t="shared" si="5"/>
        <v>0</v>
      </c>
      <c r="AC69" s="50">
        <f t="shared" si="6"/>
        <v>0</v>
      </c>
      <c r="AD69" s="50">
        <f t="shared" si="11"/>
        <v>0</v>
      </c>
      <c r="AE69">
        <v>-1</v>
      </c>
      <c r="AF69" s="12">
        <f>LCOE!E95+LCOE!H$40</f>
        <v>0.08</v>
      </c>
      <c r="AG69">
        <f t="shared" si="12"/>
        <v>0.92592592592592582</v>
      </c>
      <c r="AH69" s="16">
        <f t="shared" si="7"/>
        <v>181620000</v>
      </c>
      <c r="AI69" s="16">
        <f t="shared" si="8"/>
        <v>0</v>
      </c>
      <c r="AJ69" s="16">
        <f t="shared" si="9"/>
        <v>0</v>
      </c>
      <c r="AK69" s="16">
        <f t="shared" si="10"/>
        <v>0</v>
      </c>
      <c r="AL69" s="16">
        <f t="shared" si="13"/>
        <v>0</v>
      </c>
      <c r="AM69" s="16"/>
    </row>
    <row r="70" spans="1:40">
      <c r="A70">
        <v>0</v>
      </c>
      <c r="B70" s="16">
        <f>LCOE!C96+IF(A70&gt;=((LCOE!H$17*-1)+1),LCOE!H$38/LCOE!H$17,0)</f>
        <v>168166666.66666666</v>
      </c>
      <c r="C70" s="16">
        <f>LCOE!H96+IF(AND(LCOE!H$26&gt;0,A70&gt;=LCOE!H$26,A70&lt;=(LCOE!H$26+LCOE!H$27-1)),LCOE!H$42/LCOE!H$27,0)+IF(AND(D70=0,AE70&gt;=LCOE!H$16,COUNTIF(D45:D70,0)=LCOE!H$36),LCOE!H$35*LCOE!H$38,0)</f>
        <v>0</v>
      </c>
      <c r="D70" s="16">
        <f>IF(AE69&lt;LCOE!H$16,1,0)</f>
        <v>1</v>
      </c>
      <c r="E70" s="12">
        <f>LCOE!G96+IF(AND(A70&gt;=LCOE!H$26,A70&lt;=(LCOE!H$26+LCOE!H$27-1)),0,1)*IF(A70=LCOE!H$34,0,1)*D70</f>
        <v>1</v>
      </c>
      <c r="F70" s="14">
        <f>LCOE!H$18*50%+LCOE!J96</f>
        <v>0.45</v>
      </c>
      <c r="G70" s="16">
        <f>LCOE!K96+E70*F70*N70*(LCOE!H$14+LCOE!H96)*24*365*D70</f>
        <v>1971000</v>
      </c>
      <c r="H70" s="16">
        <f>LCOE!L96+F70*(LCOE!H$15+LCOE!I96)*E70*24*365*D70*N70</f>
        <v>0</v>
      </c>
      <c r="I70" s="16">
        <f>LCOE!M96+LCOE!H$20*IF(LCOE!H$14&gt;0,(LCOE!H$14+LCOE!H96),(LCOE!H$15+LCOE!I96))*K70*D70</f>
        <v>20000000</v>
      </c>
      <c r="J70" s="16">
        <f>LCOE!N96+LCOE!H$21*IF(LCOE!H$14&gt;0,G70,H70)*K70*D70</f>
        <v>0</v>
      </c>
      <c r="K70" s="15">
        <f>LCOE!O96+100%</f>
        <v>1</v>
      </c>
      <c r="L70" s="16">
        <f>LCOE!P96+LCOE!H$23*IF(LCOE!H$14&gt;0,G70,H70)*M70*D70</f>
        <v>84082860</v>
      </c>
      <c r="M70" s="15">
        <f>LCOE!Q96+100%</f>
        <v>1</v>
      </c>
      <c r="N70" s="15">
        <f>LCOE!R96+100%</f>
        <v>1</v>
      </c>
      <c r="O70" s="18">
        <f>LCOE!S96+LCOE!H$29</f>
        <v>313.75</v>
      </c>
      <c r="P70" s="12">
        <f>LCOE!T96+IF(A70&gt;=LCOE!H$30,100%,0%)</f>
        <v>1</v>
      </c>
      <c r="Q70" s="16">
        <f>LCOE!U96+O70/1000*IF(LCOE!H$14&gt;0,G70,H70)</f>
        <v>618401.25</v>
      </c>
      <c r="R70" s="16">
        <f>LCOE!B96</f>
        <v>30</v>
      </c>
      <c r="S70" s="16">
        <f>LCOE!V96+Q70*P70*R70</f>
        <v>18552037.5</v>
      </c>
      <c r="T70" s="16">
        <f>LCOE!W96+LCOE!H$31</f>
        <v>0</v>
      </c>
      <c r="U70" s="16">
        <f>LCOE!X96+T70*IF(LCOE!H$14&gt;0,G70,H70)</f>
        <v>0</v>
      </c>
      <c r="V70" s="16">
        <f>LCOE!Y96+LCOE!H$32</f>
        <v>0</v>
      </c>
      <c r="W70" s="16">
        <f>LCOE!Z96+V70*IF(LCOE!H$14&gt;0,G70,H70)</f>
        <v>0</v>
      </c>
      <c r="X70" s="16">
        <f>LCOE!AA96+LCOE!H$34</f>
        <v>101</v>
      </c>
      <c r="Y70" s="16">
        <f>X70*H70</f>
        <v>0</v>
      </c>
      <c r="Z70" s="50">
        <f>SUM(B70:C70)</f>
        <v>168166666.66666666</v>
      </c>
      <c r="AA70" s="50">
        <f>SUM(I70:J70)</f>
        <v>20000000</v>
      </c>
      <c r="AB70" s="50">
        <f>L70</f>
        <v>84082860</v>
      </c>
      <c r="AC70" s="50">
        <f>U70+W70</f>
        <v>0</v>
      </c>
      <c r="AD70" s="50">
        <f t="shared" si="11"/>
        <v>18552037.5</v>
      </c>
      <c r="AE70">
        <v>0</v>
      </c>
      <c r="AF70" s="12">
        <f>LCOE!E96+LCOE!H$40</f>
        <v>0.08</v>
      </c>
      <c r="AG70">
        <f t="shared" si="12"/>
        <v>1</v>
      </c>
      <c r="AH70" s="16">
        <f t="shared" si="7"/>
        <v>168166666.66666666</v>
      </c>
      <c r="AI70" s="16">
        <f t="shared" si="8"/>
        <v>20000000</v>
      </c>
      <c r="AJ70" s="16">
        <f t="shared" si="9"/>
        <v>84082860</v>
      </c>
      <c r="AK70" s="16">
        <f t="shared" si="10"/>
        <v>0</v>
      </c>
      <c r="AL70" s="16">
        <f t="shared" si="13"/>
        <v>18552037.5</v>
      </c>
      <c r="AM70" s="16">
        <f t="shared" ref="AM70:AM133" si="14">(-1)*Y70/AG70</f>
        <v>0</v>
      </c>
      <c r="AN70" s="16">
        <f>IF(LCOE!H$14&gt;0,G70,H70)/AG70</f>
        <v>1971000</v>
      </c>
    </row>
    <row r="71" spans="1:40">
      <c r="A71">
        <v>1</v>
      </c>
      <c r="C71" s="16">
        <f>LCOE!H97+IF(AND(LCOE!H$26&gt;0,A71&gt;=LCOE!H$26,A71&lt;=(LCOE!H$26+LCOE!H$27-1)),LCOE!H$42/LCOE!H$27,0)+IF(AND(D71=0,AE71&gt;=LCOE!H$16,COUNTIF(D46:D71,0)=LCOE!H$36),LCOE!H$35*LCOE!H$38,0)</f>
        <v>0</v>
      </c>
      <c r="D71" s="16">
        <f>IF(AE70&lt;LCOE!H$16,1,0)</f>
        <v>1</v>
      </c>
      <c r="E71" s="12">
        <f>LCOE!G97+IF(AND(A71&gt;=LCOE!H$26,A71&lt;=(LCOE!H$26+LCOE!H$27-1)),0,1)*IF(A71=LCOE!H$34,0,1)*D71</f>
        <v>1</v>
      </c>
      <c r="F71" s="12">
        <f>IF(F70&lt;LCOE!H$18,MIN(F70*(1+LCOE!H$19),LCOE!H$18),LCOE!H$18)+LCOE!J97</f>
        <v>0.72000000000000008</v>
      </c>
      <c r="G71" s="16">
        <f>LCOE!K97+E71*F71*N71*(LCOE!H$14+LCOE!H97)*24*365*D71</f>
        <v>3153600.0000000005</v>
      </c>
      <c r="H71" s="16">
        <f>LCOE!L97+F71*(LCOE!H$15+LCOE!I97)*E71*24*365*D71*N71</f>
        <v>0</v>
      </c>
      <c r="I71" s="16">
        <f>LCOE!M97+LCOE!H$20*IF(LCOE!H$14&gt;0,(LCOE!H$14+LCOE!H97),(LCOE!H$15+LCOE!I97))*K71*D71</f>
        <v>20000000</v>
      </c>
      <c r="J71" s="16">
        <f>LCOE!N97+LCOE!H$21*IF(LCOE!H$14&gt;0,G71,H71)*K71*D71</f>
        <v>0</v>
      </c>
      <c r="K71" s="15">
        <f>LCOE!O97+K70+K70*LCOE!H$22</f>
        <v>1</v>
      </c>
      <c r="L71" s="16">
        <f>LCOE!P97+LCOE!H$23*IF(LCOE!H$14&gt;0,G71,H71)*M71*D71</f>
        <v>134532576</v>
      </c>
      <c r="M71" s="15">
        <f>LCOE!Q97+M70+M70*LCOE!H$24</f>
        <v>1</v>
      </c>
      <c r="N71" s="15">
        <f>LCOE!R97+N70-N70*LCOE!H$25</f>
        <v>1</v>
      </c>
      <c r="O71" s="18">
        <f>LCOE!S97+LCOE!H$29</f>
        <v>313.75</v>
      </c>
      <c r="P71" s="12">
        <f>LCOE!T97+IF(A71&gt;=LCOE!H$30,100%,0%)</f>
        <v>1</v>
      </c>
      <c r="Q71" s="16">
        <f>LCOE!U97+O71/1000*IF(LCOE!H$14&gt;0,G71,H71)</f>
        <v>989442.00000000012</v>
      </c>
      <c r="R71" s="16">
        <f>LCOE!B97</f>
        <v>30</v>
      </c>
      <c r="S71" s="16">
        <f>LCOE!V97+Q71*P71*R71</f>
        <v>29683260.000000004</v>
      </c>
      <c r="T71" s="16">
        <f>LCOE!W97+LCOE!H$31</f>
        <v>0</v>
      </c>
      <c r="U71" s="16">
        <f>LCOE!X97+T71*IF(LCOE!H$14&gt;0,G71,H71)</f>
        <v>0</v>
      </c>
      <c r="V71" s="16">
        <f>LCOE!Y97+LCOE!H$32</f>
        <v>0</v>
      </c>
      <c r="W71" s="16">
        <f>LCOE!Z97+V71*IF(LCOE!H$14&gt;0,G71,H71)</f>
        <v>0</v>
      </c>
      <c r="X71" s="16">
        <f>LCOE!AA97+LCOE!H$34</f>
        <v>101</v>
      </c>
      <c r="Y71" s="16">
        <f t="shared" ref="Y71:Y134" si="15">X71*H71</f>
        <v>0</v>
      </c>
      <c r="Z71" s="50">
        <f>SUM(B71:C71)</f>
        <v>0</v>
      </c>
      <c r="AA71" s="50">
        <f>SUM(I71:J71)</f>
        <v>20000000</v>
      </c>
      <c r="AB71" s="50">
        <f>L71</f>
        <v>134532576</v>
      </c>
      <c r="AC71" s="50">
        <f t="shared" ref="AC71:AC134" si="16">U71+W71</f>
        <v>0</v>
      </c>
      <c r="AD71" s="50">
        <f t="shared" si="11"/>
        <v>29683260.000000004</v>
      </c>
      <c r="AE71">
        <f t="shared" ref="AE71:AE134" si="17">AE70+1*E71</f>
        <v>1</v>
      </c>
      <c r="AF71" s="12">
        <f>LCOE!E97+LCOE!H$40</f>
        <v>0.08</v>
      </c>
      <c r="AG71">
        <f t="shared" si="12"/>
        <v>1.08</v>
      </c>
      <c r="AH71" s="16">
        <f t="shared" si="7"/>
        <v>0</v>
      </c>
      <c r="AI71" s="16">
        <f t="shared" si="8"/>
        <v>18518518.518518519</v>
      </c>
      <c r="AJ71" s="16">
        <f t="shared" si="9"/>
        <v>124567199.99999999</v>
      </c>
      <c r="AK71" s="16">
        <f t="shared" si="10"/>
        <v>0</v>
      </c>
      <c r="AL71" s="16">
        <f t="shared" si="13"/>
        <v>27484500</v>
      </c>
      <c r="AM71" s="16">
        <f t="shared" si="14"/>
        <v>0</v>
      </c>
      <c r="AN71" s="16">
        <f>IF(LCOE!H$14&gt;0,G71,H71)/AG71</f>
        <v>2920000.0000000005</v>
      </c>
    </row>
    <row r="72" spans="1:40">
      <c r="A72">
        <v>2</v>
      </c>
      <c r="C72" s="16">
        <f>LCOE!H98+IF(AND(LCOE!H$26&gt;0,A72&gt;=LCOE!H$26,A72&lt;=(LCOE!H$26+LCOE!H$27-1)),LCOE!H$42/LCOE!H$27,0)+IF(AND(D72=0,AE72&gt;=LCOE!H$16,COUNTIF(D47:D72,0)=LCOE!H$36),LCOE!H$35*LCOE!H$38,0)</f>
        <v>0</v>
      </c>
      <c r="D72" s="16">
        <f>IF(AE71&lt;LCOE!H$16,1,0)</f>
        <v>1</v>
      </c>
      <c r="E72" s="12">
        <f>LCOE!G98+IF(AND(A72&gt;=LCOE!H$26,A72&lt;=(LCOE!H$26+LCOE!H$27-1)),0,1)*IF(A72=LCOE!H$34,0,1)*D72</f>
        <v>1</v>
      </c>
      <c r="F72" s="12">
        <f>IF(F71&lt;LCOE!H$18,MIN(F71*(1+LCOE!H$19),LCOE!H$18),LCOE!H$18)+LCOE!J98</f>
        <v>0.9</v>
      </c>
      <c r="G72" s="16">
        <f>LCOE!K98+E72*F72*N72*(LCOE!H$14+LCOE!H98)*24*365*D72</f>
        <v>3942000</v>
      </c>
      <c r="H72" s="16">
        <f>LCOE!L98+F72*(LCOE!H$15+LCOE!I98)*E72*24*365*D72*N72</f>
        <v>0</v>
      </c>
      <c r="I72" s="16">
        <f>LCOE!M98+LCOE!H$20*IF(LCOE!H$14&gt;0,(LCOE!H$14+LCOE!H98),(LCOE!H$15+LCOE!I98))*K72*D72</f>
        <v>20000000</v>
      </c>
      <c r="J72" s="16">
        <f>LCOE!N98+LCOE!H$21*IF(LCOE!H$14&gt;0,G72,H72)*K72*D72</f>
        <v>0</v>
      </c>
      <c r="K72" s="15">
        <f>LCOE!O98+K71+K71*LCOE!H$22</f>
        <v>1</v>
      </c>
      <c r="L72" s="16">
        <f>LCOE!P98+LCOE!H$23*IF(LCOE!H$14&gt;0,G72,H72)*M72*D72</f>
        <v>168165720</v>
      </c>
      <c r="M72" s="15">
        <f>LCOE!Q98+M71+M71*LCOE!H$24</f>
        <v>1</v>
      </c>
      <c r="N72" s="15">
        <f>LCOE!R98+N71-N71*LCOE!H$25</f>
        <v>1</v>
      </c>
      <c r="O72" s="18">
        <f>LCOE!S98+LCOE!H$29</f>
        <v>313.75</v>
      </c>
      <c r="P72" s="12">
        <f>LCOE!T98+IF(A72&gt;=LCOE!H$30,100%,0%)</f>
        <v>1</v>
      </c>
      <c r="Q72" s="16">
        <f>LCOE!U98+O72/1000*IF(LCOE!H$14&gt;0,G72,H72)</f>
        <v>1236802.5</v>
      </c>
      <c r="R72" s="16">
        <f>LCOE!B98</f>
        <v>30</v>
      </c>
      <c r="S72" s="16">
        <f>LCOE!V98+Q72*P72*R72</f>
        <v>37104075</v>
      </c>
      <c r="T72" s="16">
        <f>LCOE!W98+LCOE!H$31</f>
        <v>0</v>
      </c>
      <c r="U72" s="16">
        <f>LCOE!X98+T72*IF(LCOE!H$14&gt;0,G72,H72)</f>
        <v>0</v>
      </c>
      <c r="V72" s="16">
        <f>LCOE!Y98+LCOE!H$32</f>
        <v>0</v>
      </c>
      <c r="W72" s="16">
        <f>LCOE!Z98+V72*IF(LCOE!H$14&gt;0,G72,H72)</f>
        <v>0</v>
      </c>
      <c r="X72" s="16">
        <f>LCOE!AA98+LCOE!H$34</f>
        <v>101</v>
      </c>
      <c r="Y72" s="16">
        <f t="shared" si="15"/>
        <v>0</v>
      </c>
      <c r="Z72" s="50">
        <f t="shared" ref="Z72:Z135" si="18">SUM(B72:C72)</f>
        <v>0</v>
      </c>
      <c r="AA72" s="50">
        <f t="shared" ref="AA72:AA135" si="19">SUM(I72:J72)</f>
        <v>20000000</v>
      </c>
      <c r="AB72" s="50">
        <f t="shared" ref="AB72:AB135" si="20">L72</f>
        <v>168165720</v>
      </c>
      <c r="AC72" s="50">
        <f t="shared" si="16"/>
        <v>0</v>
      </c>
      <c r="AD72" s="50">
        <f t="shared" si="11"/>
        <v>37104075</v>
      </c>
      <c r="AE72">
        <f t="shared" si="17"/>
        <v>2</v>
      </c>
      <c r="AF72" s="12">
        <f>LCOE!E98+LCOE!H$40</f>
        <v>0.08</v>
      </c>
      <c r="AG72">
        <f t="shared" si="12"/>
        <v>1.1664000000000001</v>
      </c>
      <c r="AH72" s="16">
        <f t="shared" si="7"/>
        <v>0</v>
      </c>
      <c r="AI72" s="16">
        <f t="shared" si="8"/>
        <v>17146776.406035665</v>
      </c>
      <c r="AJ72" s="16">
        <f t="shared" si="9"/>
        <v>144175000</v>
      </c>
      <c r="AK72" s="16">
        <f t="shared" si="10"/>
        <v>0</v>
      </c>
      <c r="AL72" s="16">
        <f t="shared" si="13"/>
        <v>31810763.888888884</v>
      </c>
      <c r="AM72" s="16">
        <f t="shared" si="14"/>
        <v>0</v>
      </c>
      <c r="AN72" s="16">
        <f>IF(LCOE!H$14&gt;0,G72,H72)/AG72</f>
        <v>3379629.6296296292</v>
      </c>
    </row>
    <row r="73" spans="1:40">
      <c r="A73">
        <v>3</v>
      </c>
      <c r="C73" s="16">
        <f>LCOE!H99+IF(AND(LCOE!H$26&gt;0,A73&gt;=LCOE!H$26,A73&lt;=(LCOE!H$26+LCOE!H$27-1)),LCOE!H$42/LCOE!H$27,0)+IF(AND(D73=0,AE73&gt;=LCOE!H$16,COUNTIF(D48:D73,0)=LCOE!H$36),LCOE!H$35*LCOE!H$38,0)</f>
        <v>0</v>
      </c>
      <c r="D73" s="16">
        <f>IF(AE72&lt;LCOE!H$16,1,0)</f>
        <v>1</v>
      </c>
      <c r="E73" s="12">
        <f>LCOE!G99+IF(AND(A73&gt;=LCOE!H$26,A73&lt;=(LCOE!H$26+LCOE!H$27-1)),0,1)*IF(A73=LCOE!H$34,0,1)*D73</f>
        <v>1</v>
      </c>
      <c r="F73" s="12">
        <f>IF(F72&lt;LCOE!H$18,MIN(F72*(1+LCOE!H$19),LCOE!H$18),LCOE!H$18)+LCOE!J99</f>
        <v>0.9</v>
      </c>
      <c r="G73" s="16">
        <f>LCOE!K99+E73*F73*N73*(LCOE!H$14+LCOE!H99)*24*365*D73</f>
        <v>3942000</v>
      </c>
      <c r="H73" s="16">
        <f>LCOE!L99+F73*(LCOE!H$15+LCOE!I99)*E73*24*365*D73*N73</f>
        <v>0</v>
      </c>
      <c r="I73" s="16">
        <f>LCOE!M99+LCOE!H$20*IF(LCOE!H$14&gt;0,(LCOE!H$14+LCOE!H99),(LCOE!H$15+LCOE!I99))*K73*D73</f>
        <v>20000000</v>
      </c>
      <c r="J73" s="16">
        <f>LCOE!N99+LCOE!H$21*IF(LCOE!H$14&gt;0,G73,H73)*K73*D73</f>
        <v>0</v>
      </c>
      <c r="K73" s="15">
        <f>LCOE!O99+K72+K72*LCOE!H$22</f>
        <v>1</v>
      </c>
      <c r="L73" s="16">
        <f>LCOE!P99+LCOE!H$23*IF(LCOE!H$14&gt;0,G73,H73)*M73*D73</f>
        <v>168165720</v>
      </c>
      <c r="M73" s="15">
        <f>LCOE!Q99+M72+M72*LCOE!H$24</f>
        <v>1</v>
      </c>
      <c r="N73" s="15">
        <f>LCOE!R99+N72-N72*LCOE!H$25</f>
        <v>1</v>
      </c>
      <c r="O73" s="18">
        <f>LCOE!S99+LCOE!H$29</f>
        <v>313.75</v>
      </c>
      <c r="P73" s="12">
        <f>LCOE!T99+IF(A73&gt;=LCOE!H$30,100%,0%)</f>
        <v>1</v>
      </c>
      <c r="Q73" s="16">
        <f>LCOE!U99+O73/1000*IF(LCOE!H$14&gt;0,G73,H73)</f>
        <v>1236802.5</v>
      </c>
      <c r="R73" s="16">
        <f>LCOE!B99</f>
        <v>30</v>
      </c>
      <c r="S73" s="16">
        <f>LCOE!V99+Q73*P73*R73</f>
        <v>37104075</v>
      </c>
      <c r="T73" s="16">
        <f>LCOE!W99+LCOE!H$31</f>
        <v>0</v>
      </c>
      <c r="U73" s="16">
        <f>LCOE!X99+T73*IF(LCOE!H$14&gt;0,G73,H73)</f>
        <v>0</v>
      </c>
      <c r="V73" s="16">
        <f>LCOE!Y99+LCOE!H$32</f>
        <v>0</v>
      </c>
      <c r="W73" s="16">
        <f>LCOE!Z99+V73*IF(LCOE!H$14&gt;0,G73,H73)</f>
        <v>0</v>
      </c>
      <c r="X73" s="16">
        <f>LCOE!AA99+LCOE!H$34</f>
        <v>101</v>
      </c>
      <c r="Y73" s="16">
        <f t="shared" si="15"/>
        <v>0</v>
      </c>
      <c r="Z73" s="50">
        <f t="shared" si="18"/>
        <v>0</v>
      </c>
      <c r="AA73" s="50">
        <f t="shared" si="19"/>
        <v>20000000</v>
      </c>
      <c r="AB73" s="50">
        <f t="shared" si="20"/>
        <v>168165720</v>
      </c>
      <c r="AC73" s="50">
        <f t="shared" si="16"/>
        <v>0</v>
      </c>
      <c r="AD73" s="50">
        <f t="shared" si="11"/>
        <v>37104075</v>
      </c>
      <c r="AE73">
        <f t="shared" si="17"/>
        <v>3</v>
      </c>
      <c r="AF73" s="12">
        <f>LCOE!E99+LCOE!H$40</f>
        <v>0.08</v>
      </c>
      <c r="AG73">
        <f t="shared" si="12"/>
        <v>1.2597120000000002</v>
      </c>
      <c r="AH73" s="16">
        <f t="shared" si="7"/>
        <v>0</v>
      </c>
      <c r="AI73" s="16">
        <f t="shared" si="8"/>
        <v>15876644.820403391</v>
      </c>
      <c r="AJ73" s="16">
        <f t="shared" si="9"/>
        <v>133495370.37037036</v>
      </c>
      <c r="AK73" s="16">
        <f t="shared" si="10"/>
        <v>0</v>
      </c>
      <c r="AL73" s="16">
        <f t="shared" si="13"/>
        <v>29454411.008230448</v>
      </c>
      <c r="AM73" s="16">
        <f t="shared" si="14"/>
        <v>0</v>
      </c>
      <c r="AN73" s="16">
        <f>IF(LCOE!H$14&gt;0,G73,H73)/AG73</f>
        <v>3129286.6941015087</v>
      </c>
    </row>
    <row r="74" spans="1:40">
      <c r="A74">
        <v>4</v>
      </c>
      <c r="C74" s="16">
        <f>LCOE!H100+IF(AND(LCOE!H$26&gt;0,A74&gt;=LCOE!H$26,A74&lt;=(LCOE!H$26+LCOE!H$27-1)),LCOE!H$42/LCOE!H$27,0)+IF(AND(D74=0,AE74&gt;=LCOE!H$16,COUNTIF(D49:D74,0)=LCOE!H$36),LCOE!H$35*LCOE!H$38,0)</f>
        <v>0</v>
      </c>
      <c r="D74" s="16">
        <f>IF(AE73&lt;LCOE!H$16,1,0)</f>
        <v>1</v>
      </c>
      <c r="E74" s="12">
        <f>LCOE!G100+IF(AND(A74&gt;=LCOE!H$26,A74&lt;=(LCOE!H$26+LCOE!H$27-1)),0,1)*IF(A74=LCOE!H$34,0,1)*D74</f>
        <v>1</v>
      </c>
      <c r="F74" s="12">
        <f>IF(F73&lt;LCOE!H$18,MIN(F73*(1+LCOE!H$19),LCOE!H$18),LCOE!H$18)+LCOE!J100</f>
        <v>0.9</v>
      </c>
      <c r="G74" s="16">
        <f>LCOE!K100+E74*F74*N74*(LCOE!H$14+LCOE!H100)*24*365*D74</f>
        <v>3942000</v>
      </c>
      <c r="H74" s="16">
        <f>LCOE!L100+F74*(LCOE!H$15+LCOE!I100)*E74*24*365*D74*N74</f>
        <v>0</v>
      </c>
      <c r="I74" s="16">
        <f>LCOE!M100+LCOE!H$20*IF(LCOE!H$14&gt;0,(LCOE!H$14+LCOE!H100),(LCOE!H$15+LCOE!I100))*K74*D74</f>
        <v>20000000</v>
      </c>
      <c r="J74" s="16">
        <f>LCOE!N100+LCOE!H$21*IF(LCOE!H$14&gt;0,G74,H74)*K74*D74</f>
        <v>0</v>
      </c>
      <c r="K74" s="15">
        <f>LCOE!O100+K73+K73*LCOE!H$22</f>
        <v>1</v>
      </c>
      <c r="L74" s="16">
        <f>LCOE!P100+LCOE!H$23*IF(LCOE!H$14&gt;0,G74,H74)*M74*D74</f>
        <v>168165720</v>
      </c>
      <c r="M74" s="15">
        <f>LCOE!Q100+M73+M73*LCOE!H$24</f>
        <v>1</v>
      </c>
      <c r="N74" s="15">
        <f>LCOE!R100+N73-N73*LCOE!H$25</f>
        <v>1</v>
      </c>
      <c r="O74" s="18">
        <f>LCOE!S100+LCOE!H$29</f>
        <v>313.75</v>
      </c>
      <c r="P74" s="12">
        <f>LCOE!T100+IF(A74&gt;=LCOE!H$30,100%,0%)</f>
        <v>1</v>
      </c>
      <c r="Q74" s="16">
        <f>LCOE!U100+O74/1000*IF(LCOE!H$14&gt;0,G74,H74)</f>
        <v>1236802.5</v>
      </c>
      <c r="R74" s="16">
        <f>LCOE!B100</f>
        <v>30</v>
      </c>
      <c r="S74" s="16">
        <f>LCOE!V100+Q74*P74*R74</f>
        <v>37104075</v>
      </c>
      <c r="T74" s="16">
        <f>LCOE!W100+LCOE!H$31</f>
        <v>0</v>
      </c>
      <c r="U74" s="16">
        <f>LCOE!X100+T74*IF(LCOE!H$14&gt;0,G74,H74)</f>
        <v>0</v>
      </c>
      <c r="V74" s="16">
        <f>LCOE!Y100+LCOE!H$32</f>
        <v>0</v>
      </c>
      <c r="W74" s="16">
        <f>LCOE!Z100+V74*IF(LCOE!H$14&gt;0,G74,H74)</f>
        <v>0</v>
      </c>
      <c r="X74" s="16">
        <f>LCOE!AA100+LCOE!H$34</f>
        <v>101</v>
      </c>
      <c r="Y74" s="16">
        <f t="shared" si="15"/>
        <v>0</v>
      </c>
      <c r="Z74" s="50">
        <f t="shared" si="18"/>
        <v>0</v>
      </c>
      <c r="AA74" s="50">
        <f t="shared" si="19"/>
        <v>20000000</v>
      </c>
      <c r="AB74" s="50">
        <f t="shared" si="20"/>
        <v>168165720</v>
      </c>
      <c r="AC74" s="50">
        <f t="shared" si="16"/>
        <v>0</v>
      </c>
      <c r="AD74" s="50">
        <f t="shared" si="11"/>
        <v>37104075</v>
      </c>
      <c r="AE74">
        <f t="shared" si="17"/>
        <v>4</v>
      </c>
      <c r="AF74" s="12">
        <f>LCOE!E100+LCOE!H$40</f>
        <v>0.08</v>
      </c>
      <c r="AG74">
        <f t="shared" si="12"/>
        <v>1.3604889600000003</v>
      </c>
      <c r="AH74" s="16">
        <f t="shared" si="7"/>
        <v>0</v>
      </c>
      <c r="AI74" s="16">
        <f t="shared" si="8"/>
        <v>14700597.055929065</v>
      </c>
      <c r="AJ74" s="16">
        <f t="shared" si="9"/>
        <v>123606824.41700958</v>
      </c>
      <c r="AK74" s="16">
        <f t="shared" si="10"/>
        <v>0</v>
      </c>
      <c r="AL74" s="16">
        <f t="shared" si="13"/>
        <v>27272602.785398562</v>
      </c>
      <c r="AM74" s="16">
        <f t="shared" si="14"/>
        <v>0</v>
      </c>
      <c r="AN74" s="16">
        <f>IF(LCOE!H$14&gt;0,G74,H74)/AG74</f>
        <v>2897487.6797236186</v>
      </c>
    </row>
    <row r="75" spans="1:40">
      <c r="A75">
        <v>5</v>
      </c>
      <c r="C75" s="16">
        <f>LCOE!H101+IF(AND(LCOE!H$26&gt;0,A75&gt;=LCOE!H$26,A75&lt;=(LCOE!H$26+LCOE!H$27-1)),LCOE!H$42/LCOE!H$27,0)+IF(AND(D75=0,AE75&gt;=LCOE!H$16,COUNTIF(D50:D75,0)=LCOE!H$36),LCOE!H$35*LCOE!H$38,0)</f>
        <v>0</v>
      </c>
      <c r="D75" s="16">
        <f>IF(AE74&lt;LCOE!H$16,1,0)</f>
        <v>1</v>
      </c>
      <c r="E75" s="12">
        <f>LCOE!G101+IF(AND(A75&gt;=LCOE!H$26,A75&lt;=(LCOE!H$26+LCOE!H$27-1)),0,1)*IF(A75=LCOE!H$34,0,1)*D75</f>
        <v>1</v>
      </c>
      <c r="F75" s="12">
        <f>IF(F74&lt;LCOE!H$18,MIN(F74*(1+LCOE!H$19),LCOE!H$18),LCOE!H$18)+LCOE!J101</f>
        <v>0.9</v>
      </c>
      <c r="G75" s="16">
        <f>LCOE!K101+E75*F75*N75*(LCOE!H$14+LCOE!H101)*24*365*D75</f>
        <v>3942000</v>
      </c>
      <c r="H75" s="16">
        <f>LCOE!L101+F75*(LCOE!H$15+LCOE!I101)*E75*24*365*D75*N75</f>
        <v>0</v>
      </c>
      <c r="I75" s="16">
        <f>LCOE!M101+LCOE!H$20*IF(LCOE!H$14&gt;0,(LCOE!H$14+LCOE!H101),(LCOE!H$15+LCOE!I101))*K75*D75</f>
        <v>20000000</v>
      </c>
      <c r="J75" s="16">
        <f>LCOE!N101+LCOE!H$21*IF(LCOE!H$14&gt;0,G75,H75)*K75*D75</f>
        <v>0</v>
      </c>
      <c r="K75" s="15">
        <f>LCOE!O101+K74+K74*LCOE!H$22</f>
        <v>1</v>
      </c>
      <c r="L75" s="16">
        <f>LCOE!P101+LCOE!H$23*IF(LCOE!H$14&gt;0,G75,H75)*M75*D75</f>
        <v>168165720</v>
      </c>
      <c r="M75" s="15">
        <f>LCOE!Q101+M74+M74*LCOE!H$24</f>
        <v>1</v>
      </c>
      <c r="N75" s="15">
        <f>LCOE!R101+N74-N74*LCOE!H$25</f>
        <v>1</v>
      </c>
      <c r="O75" s="18">
        <f>LCOE!S101+LCOE!H$29</f>
        <v>313.75</v>
      </c>
      <c r="P75" s="12">
        <f>LCOE!T101+IF(A75&gt;=LCOE!H$30,100%,0%)</f>
        <v>1</v>
      </c>
      <c r="Q75" s="16">
        <f>LCOE!U101+O75/1000*IF(LCOE!H$14&gt;0,G75,H75)</f>
        <v>1236802.5</v>
      </c>
      <c r="R75" s="16">
        <f>LCOE!B101</f>
        <v>30</v>
      </c>
      <c r="S75" s="16">
        <f>LCOE!V101+Q75*P75*R75</f>
        <v>37104075</v>
      </c>
      <c r="T75" s="16">
        <f>LCOE!W101+LCOE!H$31</f>
        <v>0</v>
      </c>
      <c r="U75" s="16">
        <f>LCOE!X101+T75*IF(LCOE!H$14&gt;0,G75,H75)</f>
        <v>0</v>
      </c>
      <c r="V75" s="16">
        <f>LCOE!Y101+LCOE!H$32</f>
        <v>0</v>
      </c>
      <c r="W75" s="16">
        <f>LCOE!Z101+V75*IF(LCOE!H$14&gt;0,G75,H75)</f>
        <v>0</v>
      </c>
      <c r="X75" s="16">
        <f>LCOE!AA101+LCOE!H$34</f>
        <v>101</v>
      </c>
      <c r="Y75" s="16">
        <f t="shared" si="15"/>
        <v>0</v>
      </c>
      <c r="Z75" s="50">
        <f t="shared" si="18"/>
        <v>0</v>
      </c>
      <c r="AA75" s="50">
        <f t="shared" si="19"/>
        <v>20000000</v>
      </c>
      <c r="AB75" s="50">
        <f t="shared" si="20"/>
        <v>168165720</v>
      </c>
      <c r="AC75" s="50">
        <f t="shared" si="16"/>
        <v>0</v>
      </c>
      <c r="AD75" s="50">
        <f t="shared" si="11"/>
        <v>37104075</v>
      </c>
      <c r="AE75">
        <f t="shared" si="17"/>
        <v>5</v>
      </c>
      <c r="AF75" s="12">
        <f>LCOE!E101+LCOE!H$40</f>
        <v>0.08</v>
      </c>
      <c r="AG75">
        <f t="shared" si="12"/>
        <v>1.4693280768000003</v>
      </c>
      <c r="AH75" s="16">
        <f t="shared" si="7"/>
        <v>0</v>
      </c>
      <c r="AI75" s="16">
        <f t="shared" si="8"/>
        <v>13611663.940675059</v>
      </c>
      <c r="AJ75" s="16">
        <f t="shared" si="9"/>
        <v>114450763.34908295</v>
      </c>
      <c r="AK75" s="16">
        <f t="shared" si="10"/>
        <v>0</v>
      </c>
      <c r="AL75" s="16">
        <f t="shared" si="13"/>
        <v>25252409.98648015</v>
      </c>
      <c r="AM75" s="16">
        <f t="shared" si="14"/>
        <v>0</v>
      </c>
      <c r="AN75" s="16">
        <f>IF(LCOE!H$14&gt;0,G75,H75)/AG75</f>
        <v>2682858.9627070543</v>
      </c>
    </row>
    <row r="76" spans="1:40">
      <c r="A76">
        <v>6</v>
      </c>
      <c r="C76" s="16">
        <f>LCOE!H102+IF(AND(LCOE!H$26&gt;0,A76&gt;=LCOE!H$26,A76&lt;=(LCOE!H$26+LCOE!H$27-1)),LCOE!H$42/LCOE!H$27,0)+IF(AND(D76=0,AE76&gt;=LCOE!H$16,COUNTIF(D51:D76,0)=LCOE!H$36),LCOE!H$35*LCOE!H$38,0)</f>
        <v>0</v>
      </c>
      <c r="D76" s="16">
        <f>IF(AE75&lt;LCOE!H$16,1,0)</f>
        <v>1</v>
      </c>
      <c r="E76" s="12">
        <f>LCOE!G102+IF(AND(A76&gt;=LCOE!H$26,A76&lt;=(LCOE!H$26+LCOE!H$27-1)),0,1)*IF(A76=LCOE!H$34,0,1)*D76</f>
        <v>1</v>
      </c>
      <c r="F76" s="12">
        <f>IF(F75&lt;LCOE!H$18,MIN(F75*(1+LCOE!H$19),LCOE!H$18),LCOE!H$18)+LCOE!J102</f>
        <v>0.9</v>
      </c>
      <c r="G76" s="16">
        <f>LCOE!K102+E76*F76*N76*(LCOE!H$14+LCOE!H102)*24*365*D76</f>
        <v>3942000</v>
      </c>
      <c r="H76" s="16">
        <f>LCOE!L102+F76*(LCOE!H$15+LCOE!I102)*E76*24*365*D76*N76</f>
        <v>0</v>
      </c>
      <c r="I76" s="16">
        <f>LCOE!M102+LCOE!H$20*IF(LCOE!H$14&gt;0,(LCOE!H$14+LCOE!H102),(LCOE!H$15+LCOE!I102))*K76*D76</f>
        <v>20000000</v>
      </c>
      <c r="J76" s="16">
        <f>LCOE!N102+LCOE!H$21*IF(LCOE!H$14&gt;0,G76,H76)*K76*D76</f>
        <v>0</v>
      </c>
      <c r="K76" s="15">
        <f>LCOE!O102+K75+K75*LCOE!H$22</f>
        <v>1</v>
      </c>
      <c r="L76" s="16">
        <f>LCOE!P102+LCOE!H$23*IF(LCOE!H$14&gt;0,G76,H76)*M76*D76</f>
        <v>168165720</v>
      </c>
      <c r="M76" s="15">
        <f>LCOE!Q102+M75+M75*LCOE!H$24</f>
        <v>1</v>
      </c>
      <c r="N76" s="15">
        <f>LCOE!R102+N75-N75*LCOE!H$25</f>
        <v>1</v>
      </c>
      <c r="O76" s="18">
        <f>LCOE!S102+LCOE!H$29</f>
        <v>313.75</v>
      </c>
      <c r="P76" s="12">
        <f>LCOE!T102+IF(A76&gt;=LCOE!H$30,100%,0%)</f>
        <v>1</v>
      </c>
      <c r="Q76" s="16">
        <f>LCOE!U102+O76/1000*IF(LCOE!H$14&gt;0,G76,H76)</f>
        <v>1236802.5</v>
      </c>
      <c r="R76" s="16">
        <f>LCOE!B102</f>
        <v>30</v>
      </c>
      <c r="S76" s="16">
        <f>LCOE!V102+Q76*P76*R76</f>
        <v>37104075</v>
      </c>
      <c r="T76" s="16">
        <f>LCOE!W102+LCOE!H$31</f>
        <v>0</v>
      </c>
      <c r="U76" s="16">
        <f>LCOE!X102+T76*IF(LCOE!H$14&gt;0,G76,H76)</f>
        <v>0</v>
      </c>
      <c r="V76" s="16">
        <f>LCOE!Y102+LCOE!H$32</f>
        <v>0</v>
      </c>
      <c r="W76" s="16">
        <f>LCOE!Z102+V76*IF(LCOE!H$14&gt;0,G76,H76)</f>
        <v>0</v>
      </c>
      <c r="X76" s="16">
        <f>LCOE!AA102+LCOE!H$34</f>
        <v>101</v>
      </c>
      <c r="Y76" s="16">
        <f t="shared" si="15"/>
        <v>0</v>
      </c>
      <c r="Z76" s="50">
        <f t="shared" si="18"/>
        <v>0</v>
      </c>
      <c r="AA76" s="50">
        <f t="shared" si="19"/>
        <v>20000000</v>
      </c>
      <c r="AB76" s="50">
        <f t="shared" si="20"/>
        <v>168165720</v>
      </c>
      <c r="AC76" s="50">
        <f t="shared" si="16"/>
        <v>0</v>
      </c>
      <c r="AD76" s="50">
        <f t="shared" si="11"/>
        <v>37104075</v>
      </c>
      <c r="AE76">
        <f t="shared" si="17"/>
        <v>6</v>
      </c>
      <c r="AF76" s="12">
        <f>LCOE!E102+LCOE!H$40</f>
        <v>0.08</v>
      </c>
      <c r="AG76">
        <f t="shared" si="12"/>
        <v>1.5868743229440005</v>
      </c>
      <c r="AH76" s="16">
        <f t="shared" si="7"/>
        <v>0</v>
      </c>
      <c r="AI76" s="16">
        <f t="shared" si="8"/>
        <v>12603392.537662091</v>
      </c>
      <c r="AJ76" s="16">
        <f t="shared" si="9"/>
        <v>105972929.02692863</v>
      </c>
      <c r="AK76" s="16">
        <f t="shared" si="10"/>
        <v>0</v>
      </c>
      <c r="AL76" s="16">
        <f t="shared" si="13"/>
        <v>23381861.098592728</v>
      </c>
      <c r="AM76" s="16">
        <f t="shared" si="14"/>
        <v>0</v>
      </c>
      <c r="AN76" s="16">
        <f>IF(LCOE!H$14&gt;0,G76,H76)/AG76</f>
        <v>2484128.6691731983</v>
      </c>
    </row>
    <row r="77" spans="1:40">
      <c r="A77">
        <v>7</v>
      </c>
      <c r="C77" s="16">
        <f>LCOE!H103+IF(AND(LCOE!H$26&gt;0,A77&gt;=LCOE!H$26,A77&lt;=(LCOE!H$26+LCOE!H$27-1)),LCOE!H$42/LCOE!H$27,0)+IF(AND(D77=0,AE77&gt;=LCOE!H$16,COUNTIF(D52:D77,0)=LCOE!H$36),LCOE!H$35*LCOE!H$38,0)</f>
        <v>0</v>
      </c>
      <c r="D77" s="16">
        <f>IF(AE76&lt;LCOE!H$16,1,0)</f>
        <v>1</v>
      </c>
      <c r="E77" s="12">
        <f>LCOE!G103+IF(AND(A77&gt;=LCOE!H$26,A77&lt;=(LCOE!H$26+LCOE!H$27-1)),0,1)*IF(A77=LCOE!H$34,0,1)*D77</f>
        <v>1</v>
      </c>
      <c r="F77" s="12">
        <f>IF(F76&lt;LCOE!H$18,MIN(F76*(1+LCOE!H$19),LCOE!H$18),LCOE!H$18)+LCOE!J103</f>
        <v>0.9</v>
      </c>
      <c r="G77" s="16">
        <f>LCOE!K103+E77*F77*N77*(LCOE!H$14+LCOE!H103)*24*365*D77</f>
        <v>3942000</v>
      </c>
      <c r="H77" s="16">
        <f>LCOE!L103+F77*(LCOE!H$15+LCOE!I103)*E77*24*365*D77*N77</f>
        <v>0</v>
      </c>
      <c r="I77" s="16">
        <f>LCOE!M103+LCOE!H$20*IF(LCOE!H$14&gt;0,(LCOE!H$14+LCOE!H103),(LCOE!H$15+LCOE!I103))*K77*D77</f>
        <v>20000000</v>
      </c>
      <c r="J77" s="16">
        <f>LCOE!N103+LCOE!H$21*IF(LCOE!H$14&gt;0,G77,H77)*K77*D77</f>
        <v>0</v>
      </c>
      <c r="K77" s="15">
        <f>LCOE!O103+K76+K76*LCOE!H$22</f>
        <v>1</v>
      </c>
      <c r="L77" s="16">
        <f>LCOE!P103+LCOE!H$23*IF(LCOE!H$14&gt;0,G77,H77)*M77*D77</f>
        <v>168165720</v>
      </c>
      <c r="M77" s="15">
        <f>LCOE!Q103+M76+M76*LCOE!H$24</f>
        <v>1</v>
      </c>
      <c r="N77" s="15">
        <f>LCOE!R103+N76-N76*LCOE!H$25</f>
        <v>1</v>
      </c>
      <c r="O77" s="18">
        <f>LCOE!S103+LCOE!H$29</f>
        <v>313.75</v>
      </c>
      <c r="P77" s="12">
        <f>LCOE!T103+IF(A77&gt;=LCOE!H$30,100%,0%)</f>
        <v>1</v>
      </c>
      <c r="Q77" s="16">
        <f>LCOE!U103+O77/1000*IF(LCOE!H$14&gt;0,G77,H77)</f>
        <v>1236802.5</v>
      </c>
      <c r="R77" s="16">
        <f>LCOE!B103</f>
        <v>30</v>
      </c>
      <c r="S77" s="16">
        <f>LCOE!V103+Q77*P77*R77</f>
        <v>37104075</v>
      </c>
      <c r="T77" s="16">
        <f>LCOE!W103+LCOE!H$31</f>
        <v>0</v>
      </c>
      <c r="U77" s="16">
        <f>LCOE!X103+T77*IF(LCOE!H$14&gt;0,G77,H77)</f>
        <v>0</v>
      </c>
      <c r="V77" s="16">
        <f>LCOE!Y103+LCOE!H$32</f>
        <v>0</v>
      </c>
      <c r="W77" s="16">
        <f>LCOE!Z103+V77*IF(LCOE!H$14&gt;0,G77,H77)</f>
        <v>0</v>
      </c>
      <c r="X77" s="16">
        <f>LCOE!AA103+LCOE!H$34</f>
        <v>101</v>
      </c>
      <c r="Y77" s="16">
        <f t="shared" si="15"/>
        <v>0</v>
      </c>
      <c r="Z77" s="50">
        <f t="shared" si="18"/>
        <v>0</v>
      </c>
      <c r="AA77" s="50">
        <f t="shared" si="19"/>
        <v>20000000</v>
      </c>
      <c r="AB77" s="50">
        <f t="shared" si="20"/>
        <v>168165720</v>
      </c>
      <c r="AC77" s="50">
        <f t="shared" si="16"/>
        <v>0</v>
      </c>
      <c r="AD77" s="50">
        <f t="shared" si="11"/>
        <v>37104075</v>
      </c>
      <c r="AE77">
        <f t="shared" si="17"/>
        <v>7</v>
      </c>
      <c r="AF77" s="12">
        <f>LCOE!E103+LCOE!H$40</f>
        <v>0.08</v>
      </c>
      <c r="AG77">
        <f t="shared" si="12"/>
        <v>1.7138242687795207</v>
      </c>
      <c r="AH77" s="16">
        <f t="shared" si="7"/>
        <v>0</v>
      </c>
      <c r="AI77" s="16">
        <f t="shared" si="8"/>
        <v>11669807.905242676</v>
      </c>
      <c r="AJ77" s="16">
        <f t="shared" si="9"/>
        <v>98123082.432341322</v>
      </c>
      <c r="AK77" s="16">
        <f t="shared" si="10"/>
        <v>0</v>
      </c>
      <c r="AL77" s="16">
        <f t="shared" si="13"/>
        <v>21649871.38758586</v>
      </c>
      <c r="AM77" s="16">
        <f t="shared" si="14"/>
        <v>0</v>
      </c>
      <c r="AN77" s="16">
        <f>IF(LCOE!H$14&gt;0,G77,H77)/AG77</f>
        <v>2300119.1381233316</v>
      </c>
    </row>
    <row r="78" spans="1:40">
      <c r="A78">
        <v>8</v>
      </c>
      <c r="C78" s="16">
        <f>LCOE!H104+IF(AND(LCOE!H$26&gt;0,A78&gt;=LCOE!H$26,A78&lt;=(LCOE!H$26+LCOE!H$27-1)),LCOE!H$42/LCOE!H$27,0)+IF(AND(D78=0,AE78&gt;=LCOE!H$16,COUNTIF(D53:D78,0)=LCOE!H$36),LCOE!H$35*LCOE!H$38,0)</f>
        <v>0</v>
      </c>
      <c r="D78" s="16">
        <f>IF(AE77&lt;LCOE!H$16,1,0)</f>
        <v>1</v>
      </c>
      <c r="E78" s="12">
        <f>LCOE!G104+IF(AND(A78&gt;=LCOE!H$26,A78&lt;=(LCOE!H$26+LCOE!H$27-1)),0,1)*IF(A78=LCOE!H$34,0,1)*D78</f>
        <v>1</v>
      </c>
      <c r="F78" s="12">
        <f>IF(F77&lt;LCOE!H$18,MIN(F77*(1+LCOE!H$19),LCOE!H$18),LCOE!H$18)+LCOE!J104</f>
        <v>0.9</v>
      </c>
      <c r="G78" s="16">
        <f>LCOE!K104+E78*F78*N78*(LCOE!H$14+LCOE!H104)*24*365*D78</f>
        <v>3942000</v>
      </c>
      <c r="H78" s="16">
        <f>LCOE!L104+F78*(LCOE!H$15+LCOE!I104)*E78*24*365*D78*N78</f>
        <v>0</v>
      </c>
      <c r="I78" s="16">
        <f>LCOE!M104+LCOE!H$20*IF(LCOE!H$14&gt;0,(LCOE!H$14+LCOE!H104),(LCOE!H$15+LCOE!I104))*K78*D78</f>
        <v>20000000</v>
      </c>
      <c r="J78" s="16">
        <f>LCOE!N104+LCOE!H$21*IF(LCOE!H$14&gt;0,G78,H78)*K78*D78</f>
        <v>0</v>
      </c>
      <c r="K78" s="15">
        <f>LCOE!O104+K77+K77*LCOE!H$22</f>
        <v>1</v>
      </c>
      <c r="L78" s="16">
        <f>LCOE!P104+LCOE!H$23*IF(LCOE!H$14&gt;0,G78,H78)*M78*D78</f>
        <v>168165720</v>
      </c>
      <c r="M78" s="15">
        <f>LCOE!Q104+M77+M77*LCOE!H$24</f>
        <v>1</v>
      </c>
      <c r="N78" s="15">
        <f>LCOE!R104+N77-N77*LCOE!H$25</f>
        <v>1</v>
      </c>
      <c r="O78" s="18">
        <f>LCOE!S104+LCOE!H$29</f>
        <v>313.75</v>
      </c>
      <c r="P78" s="12">
        <f>LCOE!T104+IF(A78&gt;=LCOE!H$30,100%,0%)</f>
        <v>1</v>
      </c>
      <c r="Q78" s="16">
        <f>LCOE!U104+O78/1000*IF(LCOE!H$14&gt;0,G78,H78)</f>
        <v>1236802.5</v>
      </c>
      <c r="R78" s="16">
        <f>LCOE!B104</f>
        <v>30</v>
      </c>
      <c r="S78" s="16">
        <f>LCOE!V104+Q78*P78*R78</f>
        <v>37104075</v>
      </c>
      <c r="T78" s="16">
        <f>LCOE!W104+LCOE!H$31</f>
        <v>0</v>
      </c>
      <c r="U78" s="16">
        <f>LCOE!X104+T78*IF(LCOE!H$14&gt;0,G78,H78)</f>
        <v>0</v>
      </c>
      <c r="V78" s="16">
        <f>LCOE!Y104+LCOE!H$32</f>
        <v>0</v>
      </c>
      <c r="W78" s="16">
        <f>LCOE!Z104+V78*IF(LCOE!H$14&gt;0,G78,H78)</f>
        <v>0</v>
      </c>
      <c r="X78" s="16">
        <f>LCOE!AA104+LCOE!H$34</f>
        <v>101</v>
      </c>
      <c r="Y78" s="16">
        <f t="shared" si="15"/>
        <v>0</v>
      </c>
      <c r="Z78" s="50">
        <f t="shared" si="18"/>
        <v>0</v>
      </c>
      <c r="AA78" s="50">
        <f t="shared" si="19"/>
        <v>20000000</v>
      </c>
      <c r="AB78" s="50">
        <f t="shared" si="20"/>
        <v>168165720</v>
      </c>
      <c r="AC78" s="50">
        <f t="shared" si="16"/>
        <v>0</v>
      </c>
      <c r="AD78" s="50">
        <f t="shared" si="11"/>
        <v>37104075</v>
      </c>
      <c r="AE78">
        <f t="shared" si="17"/>
        <v>8</v>
      </c>
      <c r="AF78" s="12">
        <f>LCOE!E104+LCOE!H$40</f>
        <v>0.08</v>
      </c>
      <c r="AG78">
        <f t="shared" si="12"/>
        <v>1.8509302102818823</v>
      </c>
      <c r="AH78" s="16">
        <f t="shared" si="7"/>
        <v>0</v>
      </c>
      <c r="AI78" s="16">
        <f t="shared" si="8"/>
        <v>10805377.690039515</v>
      </c>
      <c r="AJ78" s="16">
        <f t="shared" si="9"/>
        <v>90854705.955871597</v>
      </c>
      <c r="AK78" s="16">
        <f t="shared" si="10"/>
        <v>0</v>
      </c>
      <c r="AL78" s="16">
        <f t="shared" si="13"/>
        <v>20046177.210727647</v>
      </c>
      <c r="AM78" s="16">
        <f t="shared" si="14"/>
        <v>0</v>
      </c>
      <c r="AN78" s="16">
        <f>IF(LCOE!H$14&gt;0,G78,H78)/AG78</f>
        <v>2129739.9427067884</v>
      </c>
    </row>
    <row r="79" spans="1:40">
      <c r="A79">
        <v>9</v>
      </c>
      <c r="C79" s="16">
        <f>LCOE!H105+IF(AND(LCOE!H$26&gt;0,A79&gt;=LCOE!H$26,A79&lt;=(LCOE!H$26+LCOE!H$27-1)),LCOE!H$42/LCOE!H$27,0)+IF(AND(D79=0,AE79&gt;=LCOE!H$16,COUNTIF(D54:D79,0)=LCOE!H$36),LCOE!H$35*LCOE!H$38,0)</f>
        <v>0</v>
      </c>
      <c r="D79" s="16">
        <f>IF(AE78&lt;LCOE!H$16,1,0)</f>
        <v>1</v>
      </c>
      <c r="E79" s="12">
        <f>LCOE!G105+IF(AND(A79&gt;=LCOE!H$26,A79&lt;=(LCOE!H$26+LCOE!H$27-1)),0,1)*IF(A79=LCOE!H$34,0,1)*D79</f>
        <v>1</v>
      </c>
      <c r="F79" s="12">
        <f>IF(F78&lt;LCOE!H$18,MIN(F78*(1+LCOE!H$19),LCOE!H$18),LCOE!H$18)+LCOE!J105</f>
        <v>0.9</v>
      </c>
      <c r="G79" s="16">
        <f>LCOE!K105+E79*F79*N79*(LCOE!H$14+LCOE!H105)*24*365*D79</f>
        <v>3942000</v>
      </c>
      <c r="H79" s="16">
        <f>LCOE!L105+F79*(LCOE!H$15+LCOE!I105)*E79*24*365*D79*N79</f>
        <v>0</v>
      </c>
      <c r="I79" s="16">
        <f>LCOE!M105+LCOE!H$20*IF(LCOE!H$14&gt;0,(LCOE!H$14+LCOE!H105),(LCOE!H$15+LCOE!I105))*K79*D79</f>
        <v>20000000</v>
      </c>
      <c r="J79" s="16">
        <f>LCOE!N105+LCOE!H$21*IF(LCOE!H$14&gt;0,G79,H79)*K79*D79</f>
        <v>0</v>
      </c>
      <c r="K79" s="15">
        <f>LCOE!O105+K78+K78*LCOE!H$22</f>
        <v>1</v>
      </c>
      <c r="L79" s="16">
        <f>LCOE!P105+LCOE!H$23*IF(LCOE!H$14&gt;0,G79,H79)*M79*D79</f>
        <v>168165720</v>
      </c>
      <c r="M79" s="15">
        <f>LCOE!Q105+M78+M78*LCOE!H$24</f>
        <v>1</v>
      </c>
      <c r="N79" s="15">
        <f>LCOE!R105+N78-N78*LCOE!H$25</f>
        <v>1</v>
      </c>
      <c r="O79" s="18">
        <f>LCOE!S105+LCOE!H$29</f>
        <v>313.75</v>
      </c>
      <c r="P79" s="12">
        <f>LCOE!T105+IF(A79&gt;=LCOE!H$30,100%,0%)</f>
        <v>1</v>
      </c>
      <c r="Q79" s="16">
        <f>LCOE!U105+O79/1000*IF(LCOE!H$14&gt;0,G79,H79)</f>
        <v>1236802.5</v>
      </c>
      <c r="R79" s="16">
        <f>LCOE!B105</f>
        <v>30</v>
      </c>
      <c r="S79" s="16">
        <f>LCOE!V105+Q79*P79*R79</f>
        <v>37104075</v>
      </c>
      <c r="T79" s="16">
        <f>LCOE!W105+LCOE!H$31</f>
        <v>0</v>
      </c>
      <c r="U79" s="16">
        <f>LCOE!X105+T79*IF(LCOE!H$14&gt;0,G79,H79)</f>
        <v>0</v>
      </c>
      <c r="V79" s="16">
        <f>LCOE!Y105+LCOE!H$32</f>
        <v>0</v>
      </c>
      <c r="W79" s="16">
        <f>LCOE!Z105+V79*IF(LCOE!H$14&gt;0,G79,H79)</f>
        <v>0</v>
      </c>
      <c r="X79" s="16">
        <f>LCOE!AA105+LCOE!H$34</f>
        <v>101</v>
      </c>
      <c r="Y79" s="16">
        <f t="shared" si="15"/>
        <v>0</v>
      </c>
      <c r="Z79" s="50">
        <f t="shared" si="18"/>
        <v>0</v>
      </c>
      <c r="AA79" s="50">
        <f t="shared" si="19"/>
        <v>20000000</v>
      </c>
      <c r="AB79" s="50">
        <f t="shared" si="20"/>
        <v>168165720</v>
      </c>
      <c r="AC79" s="50">
        <f t="shared" si="16"/>
        <v>0</v>
      </c>
      <c r="AD79" s="50">
        <f t="shared" si="11"/>
        <v>37104075</v>
      </c>
      <c r="AE79">
        <f t="shared" si="17"/>
        <v>9</v>
      </c>
      <c r="AF79" s="12">
        <f>LCOE!E105+LCOE!H$40</f>
        <v>0.08</v>
      </c>
      <c r="AG79">
        <f t="shared" si="12"/>
        <v>1.9990046271044331</v>
      </c>
      <c r="AH79" s="16">
        <f t="shared" si="7"/>
        <v>0</v>
      </c>
      <c r="AI79" s="16">
        <f t="shared" si="8"/>
        <v>10004979.342629179</v>
      </c>
      <c r="AJ79" s="16">
        <f t="shared" si="9"/>
        <v>84124727.736918136</v>
      </c>
      <c r="AK79" s="16">
        <f t="shared" si="10"/>
        <v>0</v>
      </c>
      <c r="AL79" s="16">
        <f t="shared" si="13"/>
        <v>18561275.195118189</v>
      </c>
      <c r="AM79" s="16">
        <f t="shared" si="14"/>
        <v>0</v>
      </c>
      <c r="AN79" s="16">
        <f>IF(LCOE!H$14&gt;0,G79,H79)/AG79</f>
        <v>1971981.4284322115</v>
      </c>
    </row>
    <row r="80" spans="1:40">
      <c r="A80">
        <v>10</v>
      </c>
      <c r="C80" s="16">
        <f>LCOE!H106+IF(AND(LCOE!H$26&gt;0,A80&gt;=LCOE!H$26,A80&lt;=(LCOE!H$26+LCOE!H$27-1)),LCOE!H$42/LCOE!H$27,0)+IF(AND(D80=0,AE80&gt;=LCOE!H$16,COUNTIF(D55:D80,0)=LCOE!H$36),LCOE!H$35*LCOE!H$38,0)</f>
        <v>0</v>
      </c>
      <c r="D80" s="16">
        <f>IF(AE79&lt;LCOE!H$16,1,0)</f>
        <v>1</v>
      </c>
      <c r="E80" s="12">
        <f>LCOE!G106+IF(AND(A80&gt;=LCOE!H$26,A80&lt;=(LCOE!H$26+LCOE!H$27-1)),0,1)*IF(A80=LCOE!H$34,0,1)*D80</f>
        <v>1</v>
      </c>
      <c r="F80" s="12">
        <f>IF(F79&lt;LCOE!H$18,MIN(F79*(1+LCOE!H$19),LCOE!H$18),LCOE!H$18)+LCOE!J106</f>
        <v>0.9</v>
      </c>
      <c r="G80" s="16">
        <f>LCOE!K106+E80*F80*N80*(LCOE!H$14+LCOE!H106)*24*365*D80</f>
        <v>3942000</v>
      </c>
      <c r="H80" s="16">
        <f>LCOE!L106+F80*(LCOE!H$15+LCOE!I106)*E80*24*365*D80*N80</f>
        <v>0</v>
      </c>
      <c r="I80" s="16">
        <f>LCOE!M106+LCOE!H$20*IF(LCOE!H$14&gt;0,(LCOE!H$14+LCOE!H106),(LCOE!H$15+LCOE!I106))*K80*D80</f>
        <v>20000000</v>
      </c>
      <c r="J80" s="16">
        <f>LCOE!N106+LCOE!H$21*IF(LCOE!H$14&gt;0,G80,H80)*K80*D80</f>
        <v>0</v>
      </c>
      <c r="K80" s="15">
        <f>LCOE!O106+K79+K79*LCOE!H$22</f>
        <v>1</v>
      </c>
      <c r="L80" s="16">
        <f>LCOE!P106+LCOE!H$23*IF(LCOE!H$14&gt;0,G80,H80)*M80*D80</f>
        <v>168165720</v>
      </c>
      <c r="M80" s="15">
        <f>LCOE!Q106+M79+M79*LCOE!H$24</f>
        <v>1</v>
      </c>
      <c r="N80" s="15">
        <f>LCOE!R106+N79-N79*LCOE!H$25</f>
        <v>1</v>
      </c>
      <c r="O80" s="18">
        <f>LCOE!S106+LCOE!H$29</f>
        <v>313.75</v>
      </c>
      <c r="P80" s="12">
        <f>LCOE!T106+IF(A80&gt;=LCOE!H$30,100%,0%)</f>
        <v>1</v>
      </c>
      <c r="Q80" s="16">
        <f>LCOE!U106+O80/1000*IF(LCOE!H$14&gt;0,G80,H80)</f>
        <v>1236802.5</v>
      </c>
      <c r="R80" s="16">
        <f>LCOE!B106</f>
        <v>30</v>
      </c>
      <c r="S80" s="16">
        <f>LCOE!V106+Q80*P80*R80</f>
        <v>37104075</v>
      </c>
      <c r="T80" s="16">
        <f>LCOE!W106+LCOE!H$31</f>
        <v>0</v>
      </c>
      <c r="U80" s="16">
        <f>LCOE!X106+T80*IF(LCOE!H$14&gt;0,G80,H80)</f>
        <v>0</v>
      </c>
      <c r="V80" s="16">
        <f>LCOE!Y106+LCOE!H$32</f>
        <v>0</v>
      </c>
      <c r="W80" s="16">
        <f>LCOE!Z106+V80*IF(LCOE!H$14&gt;0,G80,H80)</f>
        <v>0</v>
      </c>
      <c r="X80" s="16">
        <f>LCOE!AA106+LCOE!H$34</f>
        <v>101</v>
      </c>
      <c r="Y80" s="16">
        <f t="shared" si="15"/>
        <v>0</v>
      </c>
      <c r="Z80" s="50">
        <f t="shared" si="18"/>
        <v>0</v>
      </c>
      <c r="AA80" s="50">
        <f t="shared" si="19"/>
        <v>20000000</v>
      </c>
      <c r="AB80" s="50">
        <f t="shared" si="20"/>
        <v>168165720</v>
      </c>
      <c r="AC80" s="50">
        <f t="shared" si="16"/>
        <v>0</v>
      </c>
      <c r="AD80" s="50">
        <f t="shared" si="11"/>
        <v>37104075</v>
      </c>
      <c r="AE80">
        <f t="shared" si="17"/>
        <v>10</v>
      </c>
      <c r="AF80" s="12">
        <f>LCOE!E106+LCOE!H$40</f>
        <v>0.08</v>
      </c>
      <c r="AG80">
        <f t="shared" si="12"/>
        <v>2.1589249972727877</v>
      </c>
      <c r="AH80" s="16">
        <f t="shared" si="7"/>
        <v>0</v>
      </c>
      <c r="AI80" s="16">
        <f t="shared" si="8"/>
        <v>9263869.7616936844</v>
      </c>
      <c r="AJ80" s="16">
        <f t="shared" si="9"/>
        <v>77893266.423072353</v>
      </c>
      <c r="AK80" s="16">
        <f t="shared" si="10"/>
        <v>0</v>
      </c>
      <c r="AL80" s="16">
        <f t="shared" si="13"/>
        <v>17186365.921405733</v>
      </c>
      <c r="AM80" s="16">
        <f t="shared" si="14"/>
        <v>0</v>
      </c>
      <c r="AN80" s="16">
        <f>IF(LCOE!H$14&gt;0,G80,H80)/AG80</f>
        <v>1825908.7300298254</v>
      </c>
    </row>
    <row r="81" spans="1:40">
      <c r="A81">
        <v>11</v>
      </c>
      <c r="C81" s="16">
        <f>LCOE!H107+IF(AND(LCOE!H$26&gt;0,A81&gt;=LCOE!H$26,A81&lt;=(LCOE!H$26+LCOE!H$27-1)),LCOE!H$42/LCOE!H$27,0)+IF(AND(D81=0,AE81&gt;=LCOE!H$16,COUNTIF(D56:D81,0)=LCOE!H$36),LCOE!H$35*LCOE!H$38,0)</f>
        <v>0</v>
      </c>
      <c r="D81" s="16">
        <f>IF(AE80&lt;LCOE!H$16,1,0)</f>
        <v>1</v>
      </c>
      <c r="E81" s="12">
        <f>LCOE!G107+IF(AND(A81&gt;=LCOE!H$26,A81&lt;=(LCOE!H$26+LCOE!H$27-1)),0,1)*IF(A81=LCOE!H$34,0,1)*D81</f>
        <v>1</v>
      </c>
      <c r="F81" s="12">
        <f>IF(F80&lt;LCOE!H$18,MIN(F80*(1+LCOE!H$19),LCOE!H$18),LCOE!H$18)+LCOE!J107</f>
        <v>0.9</v>
      </c>
      <c r="G81" s="16">
        <f>LCOE!K107+E81*F81*N81*(LCOE!H$14+LCOE!H107)*24*365*D81</f>
        <v>3942000</v>
      </c>
      <c r="H81" s="16">
        <f>LCOE!L107+F81*(LCOE!H$15+LCOE!I107)*E81*24*365*D81*N81</f>
        <v>0</v>
      </c>
      <c r="I81" s="16">
        <f>LCOE!M107+LCOE!H$20*IF(LCOE!H$14&gt;0,(LCOE!H$14+LCOE!H107),(LCOE!H$15+LCOE!I107))*K81*D81</f>
        <v>20000000</v>
      </c>
      <c r="J81" s="16">
        <f>LCOE!N107+LCOE!H$21*IF(LCOE!H$14&gt;0,G81,H81)*K81*D81</f>
        <v>0</v>
      </c>
      <c r="K81" s="15">
        <f>LCOE!O107+K80+K80*LCOE!H$22</f>
        <v>1</v>
      </c>
      <c r="L81" s="16">
        <f>LCOE!P107+LCOE!H$23*IF(LCOE!H$14&gt;0,G81,H81)*M81*D81</f>
        <v>168165720</v>
      </c>
      <c r="M81" s="15">
        <f>LCOE!Q107+M80+M80*LCOE!H$24</f>
        <v>1</v>
      </c>
      <c r="N81" s="15">
        <f>LCOE!R107+N80-N80*LCOE!H$25</f>
        <v>1</v>
      </c>
      <c r="O81" s="18">
        <f>LCOE!S107+LCOE!H$29</f>
        <v>313.75</v>
      </c>
      <c r="P81" s="12">
        <f>LCOE!T107+IF(A81&gt;=LCOE!H$30,100%,0%)</f>
        <v>1</v>
      </c>
      <c r="Q81" s="16">
        <f>LCOE!U107+O81/1000*IF(LCOE!H$14&gt;0,G81,H81)</f>
        <v>1236802.5</v>
      </c>
      <c r="R81" s="16">
        <f>LCOE!B107</f>
        <v>30</v>
      </c>
      <c r="S81" s="16">
        <f>LCOE!V107+Q81*P81*R81</f>
        <v>37104075</v>
      </c>
      <c r="T81" s="16">
        <f>LCOE!W107+LCOE!H$31</f>
        <v>0</v>
      </c>
      <c r="U81" s="16">
        <f>LCOE!X107+T81*IF(LCOE!H$14&gt;0,G81,H81)</f>
        <v>0</v>
      </c>
      <c r="V81" s="16">
        <f>LCOE!Y107+LCOE!H$32</f>
        <v>0</v>
      </c>
      <c r="W81" s="16">
        <f>LCOE!Z107+V81*IF(LCOE!H$14&gt;0,G81,H81)</f>
        <v>0</v>
      </c>
      <c r="X81" s="16">
        <f>LCOE!AA107+LCOE!H$34</f>
        <v>101</v>
      </c>
      <c r="Y81" s="16">
        <f t="shared" si="15"/>
        <v>0</v>
      </c>
      <c r="Z81" s="50">
        <f t="shared" si="18"/>
        <v>0</v>
      </c>
      <c r="AA81" s="50">
        <f t="shared" si="19"/>
        <v>20000000</v>
      </c>
      <c r="AB81" s="50">
        <f t="shared" si="20"/>
        <v>168165720</v>
      </c>
      <c r="AC81" s="50">
        <f t="shared" si="16"/>
        <v>0</v>
      </c>
      <c r="AD81" s="50">
        <f t="shared" si="11"/>
        <v>37104075</v>
      </c>
      <c r="AE81">
        <f t="shared" si="17"/>
        <v>11</v>
      </c>
      <c r="AF81" s="12">
        <f>LCOE!E107+LCOE!H$40</f>
        <v>0.08</v>
      </c>
      <c r="AG81">
        <f t="shared" si="12"/>
        <v>2.3316389970546108</v>
      </c>
      <c r="AH81" s="16">
        <f t="shared" si="7"/>
        <v>0</v>
      </c>
      <c r="AI81" s="16">
        <f t="shared" si="8"/>
        <v>8577657.1867534127</v>
      </c>
      <c r="AJ81" s="16">
        <f t="shared" si="9"/>
        <v>72123394.836178094</v>
      </c>
      <c r="AK81" s="16">
        <f t="shared" si="10"/>
        <v>0</v>
      </c>
      <c r="AL81" s="16">
        <f t="shared" si="13"/>
        <v>15913301.779079381</v>
      </c>
      <c r="AM81" s="16">
        <f t="shared" si="14"/>
        <v>0</v>
      </c>
      <c r="AN81" s="16">
        <f>IF(LCOE!H$14&gt;0,G81,H81)/AG81</f>
        <v>1690656.2315090976</v>
      </c>
    </row>
    <row r="82" spans="1:40">
      <c r="A82">
        <v>12</v>
      </c>
      <c r="C82" s="16">
        <f>LCOE!H108+IF(AND(LCOE!H$26&gt;0,A82&gt;=LCOE!H$26,A82&lt;=(LCOE!H$26+LCOE!H$27-1)),LCOE!H$42/LCOE!H$27,0)+IF(AND(D82=0,AE82&gt;=LCOE!H$16,COUNTIF(D57:D82,0)=LCOE!H$36),LCOE!H$35*LCOE!H$38,0)</f>
        <v>0</v>
      </c>
      <c r="D82" s="16">
        <f>IF(AE81&lt;LCOE!H$16,1,0)</f>
        <v>1</v>
      </c>
      <c r="E82" s="12">
        <f>LCOE!G108+IF(AND(A82&gt;=LCOE!H$26,A82&lt;=(LCOE!H$26+LCOE!H$27-1)),0,1)*IF(A82=LCOE!H$34,0,1)*D82</f>
        <v>1</v>
      </c>
      <c r="F82" s="12">
        <f>IF(F81&lt;LCOE!H$18,MIN(F81*(1+LCOE!H$19),LCOE!H$18),LCOE!H$18)+LCOE!J108</f>
        <v>0.9</v>
      </c>
      <c r="G82" s="16">
        <f>LCOE!K108+E82*F82*N82*(LCOE!H$14+LCOE!H108)*24*365*D82</f>
        <v>3942000</v>
      </c>
      <c r="H82" s="16">
        <f>LCOE!L108+F82*(LCOE!H$15+LCOE!I108)*E82*24*365*D82*N82</f>
        <v>0</v>
      </c>
      <c r="I82" s="16">
        <f>LCOE!M108+LCOE!H$20*IF(LCOE!H$14&gt;0,(LCOE!H$14+LCOE!H108),(LCOE!H$15+LCOE!I108))*K82*D82</f>
        <v>20000000</v>
      </c>
      <c r="J82" s="16">
        <f>LCOE!N108+LCOE!H$21*IF(LCOE!H$14&gt;0,G82,H82)*K82*D82</f>
        <v>0</v>
      </c>
      <c r="K82" s="15">
        <f>LCOE!O108+K81+K81*LCOE!H$22</f>
        <v>1</v>
      </c>
      <c r="L82" s="16">
        <f>LCOE!P108+LCOE!H$23*IF(LCOE!H$14&gt;0,G82,H82)*M82*D82</f>
        <v>168165720</v>
      </c>
      <c r="M82" s="15">
        <f>LCOE!Q108+M81+M81*LCOE!H$24</f>
        <v>1</v>
      </c>
      <c r="N82" s="15">
        <f>LCOE!R108+N81-N81*LCOE!H$25</f>
        <v>1</v>
      </c>
      <c r="O82" s="18">
        <f>LCOE!S108+LCOE!H$29</f>
        <v>313.75</v>
      </c>
      <c r="P82" s="12">
        <f>LCOE!T108+IF(A82&gt;=LCOE!H$30,100%,0%)</f>
        <v>1</v>
      </c>
      <c r="Q82" s="16">
        <f>LCOE!U108+O82/1000*IF(LCOE!H$14&gt;0,G82,H82)</f>
        <v>1236802.5</v>
      </c>
      <c r="R82" s="16">
        <f>LCOE!B108</f>
        <v>30</v>
      </c>
      <c r="S82" s="16">
        <f>LCOE!V108+Q82*P82*R82</f>
        <v>37104075</v>
      </c>
      <c r="T82" s="16">
        <f>LCOE!W108+LCOE!H$31</f>
        <v>0</v>
      </c>
      <c r="U82" s="16">
        <f>LCOE!X108+T82*IF(LCOE!H$14&gt;0,G82,H82)</f>
        <v>0</v>
      </c>
      <c r="V82" s="16">
        <f>LCOE!Y108+LCOE!H$32</f>
        <v>0</v>
      </c>
      <c r="W82" s="16">
        <f>LCOE!Z108+V82*IF(LCOE!H$14&gt;0,G82,H82)</f>
        <v>0</v>
      </c>
      <c r="X82" s="16">
        <f>LCOE!AA108+LCOE!H$34</f>
        <v>101</v>
      </c>
      <c r="Y82" s="16">
        <f t="shared" si="15"/>
        <v>0</v>
      </c>
      <c r="Z82" s="50">
        <f t="shared" si="18"/>
        <v>0</v>
      </c>
      <c r="AA82" s="50">
        <f t="shared" si="19"/>
        <v>20000000</v>
      </c>
      <c r="AB82" s="50">
        <f t="shared" si="20"/>
        <v>168165720</v>
      </c>
      <c r="AC82" s="50">
        <f t="shared" si="16"/>
        <v>0</v>
      </c>
      <c r="AD82" s="50">
        <f t="shared" si="11"/>
        <v>37104075</v>
      </c>
      <c r="AE82">
        <f t="shared" si="17"/>
        <v>12</v>
      </c>
      <c r="AF82" s="12">
        <f>LCOE!E108+LCOE!H$40</f>
        <v>0.08</v>
      </c>
      <c r="AG82">
        <f t="shared" si="12"/>
        <v>2.5181701168189798</v>
      </c>
      <c r="AH82" s="16">
        <f t="shared" si="7"/>
        <v>0</v>
      </c>
      <c r="AI82" s="16">
        <f t="shared" si="8"/>
        <v>7942275.1729198257</v>
      </c>
      <c r="AJ82" s="16">
        <f t="shared" si="9"/>
        <v>66780921.144609347</v>
      </c>
      <c r="AK82" s="16">
        <f t="shared" si="10"/>
        <v>0</v>
      </c>
      <c r="AL82" s="16">
        <f t="shared" si="13"/>
        <v>14734538.684332758</v>
      </c>
      <c r="AM82" s="16">
        <f t="shared" si="14"/>
        <v>0</v>
      </c>
      <c r="AN82" s="16">
        <f>IF(LCOE!H$14&gt;0,G82,H82)/AG82</f>
        <v>1565422.4365824976</v>
      </c>
    </row>
    <row r="83" spans="1:40">
      <c r="A83">
        <v>13</v>
      </c>
      <c r="C83" s="16">
        <f>LCOE!H109+IF(AND(LCOE!H$26&gt;0,A83&gt;=LCOE!H$26,A83&lt;=(LCOE!H$26+LCOE!H$27-1)),LCOE!H$42/LCOE!H$27,0)+IF(AND(D83=0,AE83&gt;=LCOE!H$16,COUNTIF(D58:D83,0)=LCOE!H$36),LCOE!H$35*LCOE!H$38,0)</f>
        <v>0</v>
      </c>
      <c r="D83" s="16">
        <f>IF(AE82&lt;LCOE!H$16,1,0)</f>
        <v>1</v>
      </c>
      <c r="E83" s="12">
        <f>LCOE!G109+IF(AND(A83&gt;=LCOE!H$26,A83&lt;=(LCOE!H$26+LCOE!H$27-1)),0,1)*IF(A83=LCOE!H$34,0,1)*D83</f>
        <v>1</v>
      </c>
      <c r="F83" s="12">
        <f>IF(F82&lt;LCOE!H$18,MIN(F82*(1+LCOE!H$19),LCOE!H$18),LCOE!H$18)+LCOE!J109</f>
        <v>0.9</v>
      </c>
      <c r="G83" s="16">
        <f>LCOE!K109+E83*F83*N83*(LCOE!H$14+LCOE!H109)*24*365*D83</f>
        <v>3942000</v>
      </c>
      <c r="H83" s="16">
        <f>LCOE!L109+F83*(LCOE!H$15+LCOE!I109)*E83*24*365*D83*N83</f>
        <v>0</v>
      </c>
      <c r="I83" s="16">
        <f>LCOE!M109+LCOE!H$20*IF(LCOE!H$14&gt;0,(LCOE!H$14+LCOE!H109),(LCOE!H$15+LCOE!I109))*K83*D83</f>
        <v>20000000</v>
      </c>
      <c r="J83" s="16">
        <f>LCOE!N109+LCOE!H$21*IF(LCOE!H$14&gt;0,G83,H83)*K83*D83</f>
        <v>0</v>
      </c>
      <c r="K83" s="15">
        <f>LCOE!O109+K82+K82*LCOE!H$22</f>
        <v>1</v>
      </c>
      <c r="L83" s="16">
        <f>LCOE!P109+LCOE!H$23*IF(LCOE!H$14&gt;0,G83,H83)*M83*D83</f>
        <v>168165720</v>
      </c>
      <c r="M83" s="15">
        <f>LCOE!Q109+M82+M82*LCOE!H$24</f>
        <v>1</v>
      </c>
      <c r="N83" s="15">
        <f>LCOE!R109+N82-N82*LCOE!H$25</f>
        <v>1</v>
      </c>
      <c r="O83" s="18">
        <f>LCOE!S109+LCOE!H$29</f>
        <v>313.75</v>
      </c>
      <c r="P83" s="12">
        <f>LCOE!T109+IF(A83&gt;=LCOE!H$30,100%,0%)</f>
        <v>1</v>
      </c>
      <c r="Q83" s="16">
        <f>LCOE!U109+O83/1000*IF(LCOE!H$14&gt;0,G83,H83)</f>
        <v>1236802.5</v>
      </c>
      <c r="R83" s="16">
        <f>LCOE!B109</f>
        <v>30</v>
      </c>
      <c r="S83" s="16">
        <f>LCOE!V109+Q83*P83*R83</f>
        <v>37104075</v>
      </c>
      <c r="T83" s="16">
        <f>LCOE!W109+LCOE!H$31</f>
        <v>0</v>
      </c>
      <c r="U83" s="16">
        <f>LCOE!X109+T83*IF(LCOE!H$14&gt;0,G83,H83)</f>
        <v>0</v>
      </c>
      <c r="V83" s="16">
        <f>LCOE!Y109+LCOE!H$32</f>
        <v>0</v>
      </c>
      <c r="W83" s="16">
        <f>LCOE!Z109+V83*IF(LCOE!H$14&gt;0,G83,H83)</f>
        <v>0</v>
      </c>
      <c r="X83" s="16">
        <f>LCOE!AA109+LCOE!H$34</f>
        <v>101</v>
      </c>
      <c r="Y83" s="16">
        <f t="shared" si="15"/>
        <v>0</v>
      </c>
      <c r="Z83" s="50">
        <f t="shared" si="18"/>
        <v>0</v>
      </c>
      <c r="AA83" s="50">
        <f t="shared" si="19"/>
        <v>20000000</v>
      </c>
      <c r="AB83" s="50">
        <f t="shared" si="20"/>
        <v>168165720</v>
      </c>
      <c r="AC83" s="50">
        <f t="shared" si="16"/>
        <v>0</v>
      </c>
      <c r="AD83" s="50">
        <f t="shared" si="11"/>
        <v>37104075</v>
      </c>
      <c r="AE83">
        <f t="shared" si="17"/>
        <v>13</v>
      </c>
      <c r="AF83" s="12">
        <f>LCOE!E109+LCOE!H$40</f>
        <v>0.08</v>
      </c>
      <c r="AG83">
        <f t="shared" si="12"/>
        <v>2.7196237261644982</v>
      </c>
      <c r="AH83" s="16">
        <f t="shared" si="7"/>
        <v>0</v>
      </c>
      <c r="AI83" s="16">
        <f t="shared" si="8"/>
        <v>7353958.4934442826</v>
      </c>
      <c r="AJ83" s="16">
        <f t="shared" si="9"/>
        <v>61834186.245008655</v>
      </c>
      <c r="AK83" s="16">
        <f t="shared" si="10"/>
        <v>0</v>
      </c>
      <c r="AL83" s="16">
        <f t="shared" si="13"/>
        <v>13643091.374382183</v>
      </c>
      <c r="AM83" s="16">
        <f t="shared" si="14"/>
        <v>0</v>
      </c>
      <c r="AN83" s="16">
        <f>IF(LCOE!H$14&gt;0,G83,H83)/AG83</f>
        <v>1449465.2190578682</v>
      </c>
    </row>
    <row r="84" spans="1:40">
      <c r="A84">
        <v>14</v>
      </c>
      <c r="C84" s="16">
        <f>LCOE!H110+IF(AND(LCOE!H$26&gt;0,A84&gt;=LCOE!H$26,A84&lt;=(LCOE!H$26+LCOE!H$27-1)),LCOE!H$42/LCOE!H$27,0)+IF(AND(D84=0,AE84&gt;=LCOE!H$16,COUNTIF(D59:D84,0)=LCOE!H$36),LCOE!H$35*LCOE!H$38,0)</f>
        <v>0</v>
      </c>
      <c r="D84" s="16">
        <f>IF(AE83&lt;LCOE!H$16,1,0)</f>
        <v>1</v>
      </c>
      <c r="E84" s="12">
        <f>LCOE!G110+IF(AND(A84&gt;=LCOE!H$26,A84&lt;=(LCOE!H$26+LCOE!H$27-1)),0,1)*IF(A84=LCOE!H$34,0,1)*D84</f>
        <v>1</v>
      </c>
      <c r="F84" s="12">
        <f>IF(F83&lt;LCOE!H$18,MIN(F83*(1+LCOE!H$19),LCOE!H$18),LCOE!H$18)+LCOE!J110</f>
        <v>0.9</v>
      </c>
      <c r="G84" s="16">
        <f>LCOE!K110+E84*F84*N84*(LCOE!H$14+LCOE!H110)*24*365*D84</f>
        <v>3942000</v>
      </c>
      <c r="H84" s="16">
        <f>LCOE!L110+F84*(LCOE!H$15+LCOE!I110)*E84*24*365*D84*N84</f>
        <v>0</v>
      </c>
      <c r="I84" s="16">
        <f>LCOE!M110+LCOE!H$20*IF(LCOE!H$14&gt;0,(LCOE!H$14+LCOE!H110),(LCOE!H$15+LCOE!I110))*K84*D84</f>
        <v>20000000</v>
      </c>
      <c r="J84" s="16">
        <f>LCOE!N110+LCOE!H$21*IF(LCOE!H$14&gt;0,G84,H84)*K84*D84</f>
        <v>0</v>
      </c>
      <c r="K84" s="15">
        <f>LCOE!O110+K83+K83*LCOE!H$22</f>
        <v>1</v>
      </c>
      <c r="L84" s="16">
        <f>LCOE!P110+LCOE!H$23*IF(LCOE!H$14&gt;0,G84,H84)*M84*D84</f>
        <v>168165720</v>
      </c>
      <c r="M84" s="15">
        <f>LCOE!Q110+M83+M83*LCOE!H$24</f>
        <v>1</v>
      </c>
      <c r="N84" s="15">
        <f>LCOE!R110+N83-N83*LCOE!H$25</f>
        <v>1</v>
      </c>
      <c r="O84" s="18">
        <f>LCOE!S110+LCOE!H$29</f>
        <v>313.75</v>
      </c>
      <c r="P84" s="12">
        <f>LCOE!T110+IF(A84&gt;=LCOE!H$30,100%,0%)</f>
        <v>1</v>
      </c>
      <c r="Q84" s="16">
        <f>LCOE!U110+O84/1000*IF(LCOE!H$14&gt;0,G84,H84)</f>
        <v>1236802.5</v>
      </c>
      <c r="R84" s="16">
        <f>LCOE!B110</f>
        <v>30</v>
      </c>
      <c r="S84" s="16">
        <f>LCOE!V110+Q84*P84*R84</f>
        <v>37104075</v>
      </c>
      <c r="T84" s="16">
        <f>LCOE!W110+LCOE!H$31</f>
        <v>0</v>
      </c>
      <c r="U84" s="16">
        <f>LCOE!X110+T84*IF(LCOE!H$14&gt;0,G84,H84)</f>
        <v>0</v>
      </c>
      <c r="V84" s="16">
        <f>LCOE!Y110+LCOE!H$32</f>
        <v>0</v>
      </c>
      <c r="W84" s="16">
        <f>LCOE!Z110+V84*IF(LCOE!H$14&gt;0,G84,H84)</f>
        <v>0</v>
      </c>
      <c r="X84" s="16">
        <f>LCOE!AA110+LCOE!H$34</f>
        <v>101</v>
      </c>
      <c r="Y84" s="16">
        <f t="shared" si="15"/>
        <v>0</v>
      </c>
      <c r="Z84" s="50">
        <f t="shared" si="18"/>
        <v>0</v>
      </c>
      <c r="AA84" s="50">
        <f t="shared" si="19"/>
        <v>20000000</v>
      </c>
      <c r="AB84" s="50">
        <f t="shared" si="20"/>
        <v>168165720</v>
      </c>
      <c r="AC84" s="50">
        <f t="shared" si="16"/>
        <v>0</v>
      </c>
      <c r="AD84" s="50">
        <f t="shared" si="11"/>
        <v>37104075</v>
      </c>
      <c r="AE84">
        <f t="shared" si="17"/>
        <v>14</v>
      </c>
      <c r="AF84" s="12">
        <f>LCOE!E110+LCOE!H$40</f>
        <v>0.08</v>
      </c>
      <c r="AG84">
        <f t="shared" si="12"/>
        <v>2.9371936242576586</v>
      </c>
      <c r="AH84" s="16">
        <f t="shared" si="7"/>
        <v>0</v>
      </c>
      <c r="AI84" s="16">
        <f t="shared" si="8"/>
        <v>6809220.8272632239</v>
      </c>
      <c r="AJ84" s="16">
        <f t="shared" si="9"/>
        <v>57253876.152785778</v>
      </c>
      <c r="AK84" s="16">
        <f t="shared" si="10"/>
        <v>0</v>
      </c>
      <c r="AL84" s="16">
        <f t="shared" si="13"/>
        <v>12632492.013316834</v>
      </c>
      <c r="AM84" s="16">
        <f t="shared" si="14"/>
        <v>0</v>
      </c>
      <c r="AN84" s="16">
        <f>IF(LCOE!H$14&gt;0,G84,H84)/AG84</f>
        <v>1342097.4250535814</v>
      </c>
    </row>
    <row r="85" spans="1:40">
      <c r="A85">
        <v>15</v>
      </c>
      <c r="C85" s="16">
        <f>LCOE!H111+IF(AND(LCOE!H$26&gt;0,A85&gt;=LCOE!H$26,A85&lt;=(LCOE!H$26+LCOE!H$27-1)),LCOE!H$42/LCOE!H$27,0)+IF(AND(D85=0,AE85&gt;=LCOE!H$16,COUNTIF(D60:D85,0)=LCOE!H$36),LCOE!H$35*LCOE!H$38,0)</f>
        <v>0</v>
      </c>
      <c r="D85" s="16">
        <f>IF(AE84&lt;LCOE!H$16,1,0)</f>
        <v>1</v>
      </c>
      <c r="E85" s="12">
        <f>LCOE!G111+IF(AND(A85&gt;=LCOE!H$26,A85&lt;=(LCOE!H$26+LCOE!H$27-1)),0,1)*IF(A85=LCOE!H$34,0,1)*D85</f>
        <v>1</v>
      </c>
      <c r="F85" s="12">
        <f>IF(F84&lt;LCOE!H$18,MIN(F84*(1+LCOE!H$19),LCOE!H$18),LCOE!H$18)+LCOE!J111</f>
        <v>0.9</v>
      </c>
      <c r="G85" s="16">
        <f>LCOE!K111+E85*F85*N85*(LCOE!H$14+LCOE!H111)*24*365*D85</f>
        <v>3942000</v>
      </c>
      <c r="H85" s="16">
        <f>LCOE!L111+F85*(LCOE!H$15+LCOE!I111)*E85*24*365*D85*N85</f>
        <v>0</v>
      </c>
      <c r="I85" s="16">
        <f>LCOE!M111+LCOE!H$20*IF(LCOE!H$14&gt;0,(LCOE!H$14+LCOE!H111),(LCOE!H$15+LCOE!I111))*K85*D85</f>
        <v>20000000</v>
      </c>
      <c r="J85" s="16">
        <f>LCOE!N111+LCOE!H$21*IF(LCOE!H$14&gt;0,G85,H85)*K85*D85</f>
        <v>0</v>
      </c>
      <c r="K85" s="15">
        <f>LCOE!O111+K84+K84*LCOE!H$22</f>
        <v>1</v>
      </c>
      <c r="L85" s="16">
        <f>LCOE!P111+LCOE!H$23*IF(LCOE!H$14&gt;0,G85,H85)*M85*D85</f>
        <v>168165720</v>
      </c>
      <c r="M85" s="15">
        <f>LCOE!Q111+M84+M84*LCOE!H$24</f>
        <v>1</v>
      </c>
      <c r="N85" s="15">
        <f>LCOE!R111+N84-N84*LCOE!H$25</f>
        <v>1</v>
      </c>
      <c r="O85" s="18">
        <f>LCOE!S111+LCOE!H$29</f>
        <v>313.75</v>
      </c>
      <c r="P85" s="12">
        <f>LCOE!T111+IF(A85&gt;=LCOE!H$30,100%,0%)</f>
        <v>1</v>
      </c>
      <c r="Q85" s="16">
        <f>LCOE!U111+O85/1000*IF(LCOE!H$14&gt;0,G85,H85)</f>
        <v>1236802.5</v>
      </c>
      <c r="R85" s="16">
        <f>LCOE!B111</f>
        <v>30</v>
      </c>
      <c r="S85" s="16">
        <f>LCOE!V111+Q85*P85*R85</f>
        <v>37104075</v>
      </c>
      <c r="T85" s="16">
        <f>LCOE!W111+LCOE!H$31</f>
        <v>0</v>
      </c>
      <c r="U85" s="16">
        <f>LCOE!X111+T85*IF(LCOE!H$14&gt;0,G85,H85)</f>
        <v>0</v>
      </c>
      <c r="V85" s="16">
        <f>LCOE!Y111+LCOE!H$32</f>
        <v>0</v>
      </c>
      <c r="W85" s="16">
        <f>LCOE!Z111+V85*IF(LCOE!H$14&gt;0,G85,H85)</f>
        <v>0</v>
      </c>
      <c r="X85" s="16">
        <f>LCOE!AA111+LCOE!H$34</f>
        <v>101</v>
      </c>
      <c r="Y85" s="16">
        <f t="shared" si="15"/>
        <v>0</v>
      </c>
      <c r="Z85" s="50">
        <f t="shared" si="18"/>
        <v>0</v>
      </c>
      <c r="AA85" s="50">
        <f t="shared" si="19"/>
        <v>20000000</v>
      </c>
      <c r="AB85" s="50">
        <f t="shared" si="20"/>
        <v>168165720</v>
      </c>
      <c r="AC85" s="50">
        <f t="shared" si="16"/>
        <v>0</v>
      </c>
      <c r="AD85" s="50">
        <f t="shared" si="11"/>
        <v>37104075</v>
      </c>
      <c r="AE85">
        <f t="shared" si="17"/>
        <v>15</v>
      </c>
      <c r="AF85" s="12">
        <f>LCOE!E111+LCOE!H$40</f>
        <v>0.08</v>
      </c>
      <c r="AG85">
        <f t="shared" si="12"/>
        <v>3.1721691141982715</v>
      </c>
      <c r="AH85" s="16">
        <f t="shared" si="7"/>
        <v>0</v>
      </c>
      <c r="AI85" s="16">
        <f t="shared" si="8"/>
        <v>6304834.0993177993</v>
      </c>
      <c r="AJ85" s="16">
        <f t="shared" si="9"/>
        <v>53012848.289616458</v>
      </c>
      <c r="AK85" s="16">
        <f t="shared" si="10"/>
        <v>0</v>
      </c>
      <c r="AL85" s="16">
        <f t="shared" si="13"/>
        <v>11696751.864182254</v>
      </c>
      <c r="AM85" s="16">
        <f t="shared" si="14"/>
        <v>0</v>
      </c>
      <c r="AN85" s="16">
        <f>IF(LCOE!H$14&gt;0,G85,H85)/AG85</f>
        <v>1242682.8009755383</v>
      </c>
    </row>
    <row r="86" spans="1:40">
      <c r="A86">
        <v>16</v>
      </c>
      <c r="C86" s="16">
        <f>LCOE!H112+IF(AND(LCOE!H$26&gt;0,A86&gt;=LCOE!H$26,A86&lt;=(LCOE!H$26+LCOE!H$27-1)),LCOE!H$42/LCOE!H$27,0)+IF(AND(D86=0,AE86&gt;=LCOE!H$16,COUNTIF(D61:D86,0)=LCOE!H$36),LCOE!H$35*LCOE!H$38,0)</f>
        <v>0</v>
      </c>
      <c r="D86" s="16">
        <f>IF(AE85&lt;LCOE!H$16,1,0)</f>
        <v>1</v>
      </c>
      <c r="E86" s="12">
        <f>LCOE!G112+IF(AND(A86&gt;=LCOE!H$26,A86&lt;=(LCOE!H$26+LCOE!H$27-1)),0,1)*IF(A86=LCOE!H$34,0,1)*D86</f>
        <v>1</v>
      </c>
      <c r="F86" s="12">
        <f>IF(F85&lt;LCOE!H$18,MIN(F85*(1+LCOE!H$19),LCOE!H$18),LCOE!H$18)+LCOE!J112</f>
        <v>0.9</v>
      </c>
      <c r="G86" s="16">
        <f>LCOE!K112+E86*F86*N86*(LCOE!H$14+LCOE!H112)*24*365*D86</f>
        <v>3942000</v>
      </c>
      <c r="H86" s="16">
        <f>LCOE!L112+F86*(LCOE!H$15+LCOE!I112)*E86*24*365*D86*N86</f>
        <v>0</v>
      </c>
      <c r="I86" s="16">
        <f>LCOE!M112+LCOE!H$20*IF(LCOE!H$14&gt;0,(LCOE!H$14+LCOE!H112),(LCOE!H$15+LCOE!I112))*K86*D86</f>
        <v>20000000</v>
      </c>
      <c r="J86" s="16">
        <f>LCOE!N112+LCOE!H$21*IF(LCOE!H$14&gt;0,G86,H86)*K86*D86</f>
        <v>0</v>
      </c>
      <c r="K86" s="15">
        <f>LCOE!O112+K85+K85*LCOE!H$22</f>
        <v>1</v>
      </c>
      <c r="L86" s="16">
        <f>LCOE!P112+LCOE!H$23*IF(LCOE!H$14&gt;0,G86,H86)*M86*D86</f>
        <v>168165720</v>
      </c>
      <c r="M86" s="15">
        <f>LCOE!Q112+M85+M85*LCOE!H$24</f>
        <v>1</v>
      </c>
      <c r="N86" s="15">
        <f>LCOE!R112+N85-N85*LCOE!H$25</f>
        <v>1</v>
      </c>
      <c r="O86" s="18">
        <f>LCOE!S112+LCOE!H$29</f>
        <v>313.75</v>
      </c>
      <c r="P86" s="12">
        <f>LCOE!T112+IF(A86&gt;=LCOE!H$30,100%,0%)</f>
        <v>1</v>
      </c>
      <c r="Q86" s="16">
        <f>LCOE!U112+O86/1000*IF(LCOE!H$14&gt;0,G86,H86)</f>
        <v>1236802.5</v>
      </c>
      <c r="R86" s="16">
        <f>LCOE!B112</f>
        <v>30</v>
      </c>
      <c r="S86" s="16">
        <f>LCOE!V112+Q86*P86*R86</f>
        <v>37104075</v>
      </c>
      <c r="T86" s="16">
        <f>LCOE!W112+LCOE!H$31</f>
        <v>0</v>
      </c>
      <c r="U86" s="16">
        <f>LCOE!X112+T86*IF(LCOE!H$14&gt;0,G86,H86)</f>
        <v>0</v>
      </c>
      <c r="V86" s="16">
        <f>LCOE!Y112+LCOE!H$32</f>
        <v>0</v>
      </c>
      <c r="W86" s="16">
        <f>LCOE!Z112+V86*IF(LCOE!H$14&gt;0,G86,H86)</f>
        <v>0</v>
      </c>
      <c r="X86" s="16">
        <f>LCOE!AA112+LCOE!H$34</f>
        <v>101</v>
      </c>
      <c r="Y86" s="16">
        <f t="shared" si="15"/>
        <v>0</v>
      </c>
      <c r="Z86" s="50">
        <f t="shared" si="18"/>
        <v>0</v>
      </c>
      <c r="AA86" s="50">
        <f t="shared" si="19"/>
        <v>20000000</v>
      </c>
      <c r="AB86" s="50">
        <f t="shared" si="20"/>
        <v>168165720</v>
      </c>
      <c r="AC86" s="50">
        <f t="shared" si="16"/>
        <v>0</v>
      </c>
      <c r="AD86" s="50">
        <f t="shared" si="11"/>
        <v>37104075</v>
      </c>
      <c r="AE86">
        <f t="shared" si="17"/>
        <v>16</v>
      </c>
      <c r="AF86" s="12">
        <f>LCOE!E112+LCOE!H$40</f>
        <v>0.08</v>
      </c>
      <c r="AG86">
        <f t="shared" si="12"/>
        <v>3.4259426433341331</v>
      </c>
      <c r="AH86" s="16">
        <f t="shared" si="7"/>
        <v>0</v>
      </c>
      <c r="AI86" s="16">
        <f t="shared" si="8"/>
        <v>5837809.3512201849</v>
      </c>
      <c r="AJ86" s="16">
        <f t="shared" si="9"/>
        <v>49085970.638533764</v>
      </c>
      <c r="AK86" s="16">
        <f t="shared" si="10"/>
        <v>0</v>
      </c>
      <c r="AL86" s="16">
        <f t="shared" si="13"/>
        <v>10830325.800168753</v>
      </c>
      <c r="AM86" s="16">
        <f t="shared" si="14"/>
        <v>0</v>
      </c>
      <c r="AN86" s="16">
        <f>IF(LCOE!H$14&gt;0,G86,H86)/AG86</f>
        <v>1150632.2231254983</v>
      </c>
    </row>
    <row r="87" spans="1:40">
      <c r="A87">
        <v>17</v>
      </c>
      <c r="C87" s="16">
        <f>LCOE!H113+IF(AND(LCOE!H$26&gt;0,A87&gt;=LCOE!H$26,A87&lt;=(LCOE!H$26+LCOE!H$27-1)),LCOE!H$42/LCOE!H$27,0)+IF(AND(D87=0,AE87&gt;=LCOE!H$16,COUNTIF(D62:D87,0)=LCOE!H$36),LCOE!H$35*LCOE!H$38,0)</f>
        <v>0</v>
      </c>
      <c r="D87" s="16">
        <f>IF(AE86&lt;LCOE!H$16,1,0)</f>
        <v>1</v>
      </c>
      <c r="E87" s="12">
        <f>LCOE!G113+IF(AND(A87&gt;=LCOE!H$26,A87&lt;=(LCOE!H$26+LCOE!H$27-1)),0,1)*IF(A87=LCOE!H$34,0,1)*D87</f>
        <v>1</v>
      </c>
      <c r="F87" s="12">
        <f>IF(F86&lt;LCOE!H$18,MIN(F86*(1+LCOE!H$19),LCOE!H$18),LCOE!H$18)+LCOE!J113</f>
        <v>0.9</v>
      </c>
      <c r="G87" s="16">
        <f>LCOE!K113+E87*F87*N87*(LCOE!H$14+LCOE!H113)*24*365*D87</f>
        <v>3942000</v>
      </c>
      <c r="H87" s="16">
        <f>LCOE!L113+F87*(LCOE!H$15+LCOE!I113)*E87*24*365*D87*N87</f>
        <v>0</v>
      </c>
      <c r="I87" s="16">
        <f>LCOE!M113+LCOE!H$20*IF(LCOE!H$14&gt;0,(LCOE!H$14+LCOE!H113),(LCOE!H$15+LCOE!I113))*K87*D87</f>
        <v>20000000</v>
      </c>
      <c r="J87" s="16">
        <f>LCOE!N113+LCOE!H$21*IF(LCOE!H$14&gt;0,G87,H87)*K87*D87</f>
        <v>0</v>
      </c>
      <c r="K87" s="15">
        <f>LCOE!O113+K86+K86*LCOE!H$22</f>
        <v>1</v>
      </c>
      <c r="L87" s="16">
        <f>LCOE!P113+LCOE!H$23*IF(LCOE!H$14&gt;0,G87,H87)*M87*D87</f>
        <v>168165720</v>
      </c>
      <c r="M87" s="15">
        <f>LCOE!Q113+M86+M86*LCOE!H$24</f>
        <v>1</v>
      </c>
      <c r="N87" s="15">
        <f>LCOE!R113+N86-N86*LCOE!H$25</f>
        <v>1</v>
      </c>
      <c r="O87" s="18">
        <f>LCOE!S113+LCOE!H$29</f>
        <v>313.75</v>
      </c>
      <c r="P87" s="12">
        <f>LCOE!T113+IF(A87&gt;=LCOE!H$30,100%,0%)</f>
        <v>1</v>
      </c>
      <c r="Q87" s="16">
        <f>LCOE!U113+O87/1000*IF(LCOE!H$14&gt;0,G87,H87)</f>
        <v>1236802.5</v>
      </c>
      <c r="R87" s="16">
        <f>LCOE!B113</f>
        <v>30</v>
      </c>
      <c r="S87" s="16">
        <f>LCOE!V113+Q87*P87*R87</f>
        <v>37104075</v>
      </c>
      <c r="T87" s="16">
        <f>LCOE!W113+LCOE!H$31</f>
        <v>0</v>
      </c>
      <c r="U87" s="16">
        <f>LCOE!X113+T87*IF(LCOE!H$14&gt;0,G87,H87)</f>
        <v>0</v>
      </c>
      <c r="V87" s="16">
        <f>LCOE!Y113+LCOE!H$32</f>
        <v>0</v>
      </c>
      <c r="W87" s="16">
        <f>LCOE!Z113+V87*IF(LCOE!H$14&gt;0,G87,H87)</f>
        <v>0</v>
      </c>
      <c r="X87" s="16">
        <f>LCOE!AA113+LCOE!H$34</f>
        <v>101</v>
      </c>
      <c r="Y87" s="16">
        <f t="shared" si="15"/>
        <v>0</v>
      </c>
      <c r="Z87" s="50">
        <f t="shared" si="18"/>
        <v>0</v>
      </c>
      <c r="AA87" s="50">
        <f t="shared" si="19"/>
        <v>20000000</v>
      </c>
      <c r="AB87" s="50">
        <f t="shared" si="20"/>
        <v>168165720</v>
      </c>
      <c r="AC87" s="50">
        <f t="shared" si="16"/>
        <v>0</v>
      </c>
      <c r="AD87" s="50">
        <f t="shared" si="11"/>
        <v>37104075</v>
      </c>
      <c r="AE87">
        <f t="shared" si="17"/>
        <v>17</v>
      </c>
      <c r="AF87" s="12">
        <f>LCOE!E113+LCOE!H$40</f>
        <v>0.08</v>
      </c>
      <c r="AG87">
        <f t="shared" si="12"/>
        <v>3.7000180548008639</v>
      </c>
      <c r="AH87" s="16">
        <f t="shared" si="7"/>
        <v>0</v>
      </c>
      <c r="AI87" s="16">
        <f t="shared" si="8"/>
        <v>5405379.0289075784</v>
      </c>
      <c r="AJ87" s="16">
        <f t="shared" si="9"/>
        <v>45449972.813457184</v>
      </c>
      <c r="AK87" s="16">
        <f t="shared" si="10"/>
        <v>0</v>
      </c>
      <c r="AL87" s="16">
        <f t="shared" si="13"/>
        <v>10028079.444600698</v>
      </c>
      <c r="AM87" s="16">
        <f t="shared" si="14"/>
        <v>0</v>
      </c>
      <c r="AN87" s="16">
        <f>IF(LCOE!H$14&gt;0,G87,H87)/AG87</f>
        <v>1065400.2065976837</v>
      </c>
    </row>
    <row r="88" spans="1:40">
      <c r="A88">
        <v>18</v>
      </c>
      <c r="C88" s="16">
        <f>LCOE!H114+IF(AND(LCOE!H$26&gt;0,A88&gt;=LCOE!H$26,A88&lt;=(LCOE!H$26+LCOE!H$27-1)),LCOE!H$42/LCOE!H$27,0)+IF(AND(D88=0,AE88&gt;=LCOE!H$16,COUNTIF(D63:D88,0)=LCOE!H$36),LCOE!H$35*LCOE!H$38,0)</f>
        <v>0</v>
      </c>
      <c r="D88" s="16">
        <f>IF(AE87&lt;LCOE!H$16,1,0)</f>
        <v>1</v>
      </c>
      <c r="E88" s="12">
        <f>LCOE!G114+IF(AND(A88&gt;=LCOE!H$26,A88&lt;=(LCOE!H$26+LCOE!H$27-1)),0,1)*IF(A88=LCOE!H$34,0,1)*D88</f>
        <v>1</v>
      </c>
      <c r="F88" s="12">
        <f>IF(F87&lt;LCOE!H$18,MIN(F87*(1+LCOE!H$19),LCOE!H$18),LCOE!H$18)+LCOE!J114</f>
        <v>0.9</v>
      </c>
      <c r="G88" s="16">
        <f>LCOE!K114+E88*F88*N88*(LCOE!H$14+LCOE!H114)*24*365*D88</f>
        <v>3942000</v>
      </c>
      <c r="H88" s="16">
        <f>LCOE!L114+F88*(LCOE!H$15+LCOE!I114)*E88*24*365*D88*N88</f>
        <v>0</v>
      </c>
      <c r="I88" s="16">
        <f>LCOE!M114+LCOE!H$20*IF(LCOE!H$14&gt;0,(LCOE!H$14+LCOE!H114),(LCOE!H$15+LCOE!I114))*K88*D88</f>
        <v>20000000</v>
      </c>
      <c r="J88" s="16">
        <f>LCOE!N114+LCOE!H$21*IF(LCOE!H$14&gt;0,G88,H88)*K88*D88</f>
        <v>0</v>
      </c>
      <c r="K88" s="15">
        <f>LCOE!O114+K87+K87*LCOE!H$22</f>
        <v>1</v>
      </c>
      <c r="L88" s="16">
        <f>LCOE!P114+LCOE!H$23*IF(LCOE!H$14&gt;0,G88,H88)*M88*D88</f>
        <v>168165720</v>
      </c>
      <c r="M88" s="15">
        <f>LCOE!Q114+M87+M87*LCOE!H$24</f>
        <v>1</v>
      </c>
      <c r="N88" s="15">
        <f>LCOE!R114+N87-N87*LCOE!H$25</f>
        <v>1</v>
      </c>
      <c r="O88" s="18">
        <f>LCOE!S114+LCOE!H$29</f>
        <v>313.75</v>
      </c>
      <c r="P88" s="12">
        <f>LCOE!T114+IF(A88&gt;=LCOE!H$30,100%,0%)</f>
        <v>1</v>
      </c>
      <c r="Q88" s="16">
        <f>LCOE!U114+O88/1000*IF(LCOE!H$14&gt;0,G88,H88)</f>
        <v>1236802.5</v>
      </c>
      <c r="R88" s="16">
        <f>LCOE!B114</f>
        <v>30</v>
      </c>
      <c r="S88" s="16">
        <f>LCOE!V114+Q88*P88*R88</f>
        <v>37104075</v>
      </c>
      <c r="T88" s="16">
        <f>LCOE!W114+LCOE!H$31</f>
        <v>0</v>
      </c>
      <c r="U88" s="16">
        <f>LCOE!X114+T88*IF(LCOE!H$14&gt;0,G88,H88)</f>
        <v>0</v>
      </c>
      <c r="V88" s="16">
        <f>LCOE!Y114+LCOE!H$32</f>
        <v>0</v>
      </c>
      <c r="W88" s="16">
        <f>LCOE!Z114+V88*IF(LCOE!H$14&gt;0,G88,H88)</f>
        <v>0</v>
      </c>
      <c r="X88" s="16">
        <f>LCOE!AA114+LCOE!H$34</f>
        <v>101</v>
      </c>
      <c r="Y88" s="16">
        <f t="shared" si="15"/>
        <v>0</v>
      </c>
      <c r="Z88" s="50">
        <f t="shared" si="18"/>
        <v>0</v>
      </c>
      <c r="AA88" s="50">
        <f t="shared" si="19"/>
        <v>20000000</v>
      </c>
      <c r="AB88" s="50">
        <f t="shared" si="20"/>
        <v>168165720</v>
      </c>
      <c r="AC88" s="50">
        <f t="shared" si="16"/>
        <v>0</v>
      </c>
      <c r="AD88" s="50">
        <f t="shared" si="11"/>
        <v>37104075</v>
      </c>
      <c r="AE88">
        <f t="shared" si="17"/>
        <v>18</v>
      </c>
      <c r="AF88" s="12">
        <f>LCOE!E114+LCOE!H$40</f>
        <v>0.08</v>
      </c>
      <c r="AG88">
        <f t="shared" si="12"/>
        <v>3.9960194991849334</v>
      </c>
      <c r="AH88" s="16">
        <f t="shared" si="7"/>
        <v>0</v>
      </c>
      <c r="AI88" s="16">
        <f t="shared" si="8"/>
        <v>5004980.582321831</v>
      </c>
      <c r="AJ88" s="16">
        <f t="shared" si="9"/>
        <v>42083308.1606085</v>
      </c>
      <c r="AK88" s="16">
        <f t="shared" si="10"/>
        <v>0</v>
      </c>
      <c r="AL88" s="16">
        <f t="shared" si="13"/>
        <v>9285258.7450006455</v>
      </c>
      <c r="AM88" s="16">
        <f t="shared" si="14"/>
        <v>0</v>
      </c>
      <c r="AN88" s="16">
        <f>IF(LCOE!H$14&gt;0,G88,H88)/AG88</f>
        <v>986481.67277563293</v>
      </c>
    </row>
    <row r="89" spans="1:40">
      <c r="A89">
        <v>19</v>
      </c>
      <c r="C89" s="16">
        <f>LCOE!H115+IF(AND(LCOE!H$26&gt;0,A89&gt;=LCOE!H$26,A89&lt;=(LCOE!H$26+LCOE!H$27-1)),LCOE!H$42/LCOE!H$27,0)+IF(AND(D89=0,AE89&gt;=LCOE!H$16,COUNTIF(D64:D89,0)=LCOE!H$36),LCOE!H$35*LCOE!H$38,0)</f>
        <v>0</v>
      </c>
      <c r="D89" s="16">
        <f>IF(AE88&lt;LCOE!H$16,1,0)</f>
        <v>1</v>
      </c>
      <c r="E89" s="12">
        <f>LCOE!G115+IF(AND(A89&gt;=LCOE!H$26,A89&lt;=(LCOE!H$26+LCOE!H$27-1)),0,1)*IF(A89=LCOE!H$34,0,1)*D89</f>
        <v>1</v>
      </c>
      <c r="F89" s="12">
        <f>IF(F88&lt;LCOE!H$18,MIN(F88*(1+LCOE!H$19),LCOE!H$18),LCOE!H$18)+LCOE!J115</f>
        <v>0.9</v>
      </c>
      <c r="G89" s="16">
        <f>LCOE!K115+E89*F89*N89*(LCOE!H$14+LCOE!H115)*24*365*D89</f>
        <v>3942000</v>
      </c>
      <c r="H89" s="16">
        <f>LCOE!L115+F89*(LCOE!H$15+LCOE!I115)*E89*24*365*D89*N89</f>
        <v>0</v>
      </c>
      <c r="I89" s="16">
        <f>LCOE!M115+LCOE!H$20*IF(LCOE!H$14&gt;0,(LCOE!H$14+LCOE!H115),(LCOE!H$15+LCOE!I115))*K89*D89</f>
        <v>20000000</v>
      </c>
      <c r="J89" s="16">
        <f>LCOE!N115+LCOE!H$21*IF(LCOE!H$14&gt;0,G89,H89)*K89*D89</f>
        <v>0</v>
      </c>
      <c r="K89" s="15">
        <f>LCOE!O115+K88+K88*LCOE!H$22</f>
        <v>1</v>
      </c>
      <c r="L89" s="16">
        <f>LCOE!P115+LCOE!H$23*IF(LCOE!H$14&gt;0,G89,H89)*M89*D89</f>
        <v>168165720</v>
      </c>
      <c r="M89" s="15">
        <f>LCOE!Q115+M88+M88*LCOE!H$24</f>
        <v>1</v>
      </c>
      <c r="N89" s="15">
        <f>LCOE!R115+N88-N88*LCOE!H$25</f>
        <v>1</v>
      </c>
      <c r="O89" s="18">
        <f>LCOE!S115+LCOE!H$29</f>
        <v>313.75</v>
      </c>
      <c r="P89" s="12">
        <f>LCOE!T115+IF(A89&gt;=LCOE!H$30,100%,0%)</f>
        <v>1</v>
      </c>
      <c r="Q89" s="16">
        <f>LCOE!U115+O89/1000*IF(LCOE!H$14&gt;0,G89,H89)</f>
        <v>1236802.5</v>
      </c>
      <c r="R89" s="16">
        <f>LCOE!B115</f>
        <v>30</v>
      </c>
      <c r="S89" s="16">
        <f>LCOE!V115+Q89*P89*R89</f>
        <v>37104075</v>
      </c>
      <c r="T89" s="16">
        <f>LCOE!W115+LCOE!H$31</f>
        <v>0</v>
      </c>
      <c r="U89" s="16">
        <f>LCOE!X115+T89*IF(LCOE!H$14&gt;0,G89,H89)</f>
        <v>0</v>
      </c>
      <c r="V89" s="16">
        <f>LCOE!Y115+LCOE!H$32</f>
        <v>0</v>
      </c>
      <c r="W89" s="16">
        <f>LCOE!Z115+V89*IF(LCOE!H$14&gt;0,G89,H89)</f>
        <v>0</v>
      </c>
      <c r="X89" s="16">
        <f>LCOE!AA115+LCOE!H$34</f>
        <v>101</v>
      </c>
      <c r="Y89" s="16">
        <f t="shared" si="15"/>
        <v>0</v>
      </c>
      <c r="Z89" s="50">
        <f t="shared" si="18"/>
        <v>0</v>
      </c>
      <c r="AA89" s="50">
        <f t="shared" si="19"/>
        <v>20000000</v>
      </c>
      <c r="AB89" s="50">
        <f t="shared" si="20"/>
        <v>168165720</v>
      </c>
      <c r="AC89" s="50">
        <f t="shared" si="16"/>
        <v>0</v>
      </c>
      <c r="AD89" s="50">
        <f t="shared" si="11"/>
        <v>37104075</v>
      </c>
      <c r="AE89">
        <f t="shared" si="17"/>
        <v>19</v>
      </c>
      <c r="AF89" s="12">
        <f>LCOE!E115+LCOE!H$40</f>
        <v>0.08</v>
      </c>
      <c r="AG89">
        <f t="shared" si="12"/>
        <v>4.3157010591197285</v>
      </c>
      <c r="AH89" s="16">
        <f t="shared" si="7"/>
        <v>0</v>
      </c>
      <c r="AI89" s="16">
        <f t="shared" si="8"/>
        <v>4634241.2799276207</v>
      </c>
      <c r="AJ89" s="16">
        <f t="shared" si="9"/>
        <v>38966026.074637495</v>
      </c>
      <c r="AK89" s="16">
        <f t="shared" si="10"/>
        <v>0</v>
      </c>
      <c r="AL89" s="16">
        <f t="shared" si="13"/>
        <v>8597461.8009265214</v>
      </c>
      <c r="AM89" s="16">
        <f t="shared" si="14"/>
        <v>0</v>
      </c>
      <c r="AN89" s="16">
        <f>IF(LCOE!H$14&gt;0,G89,H89)/AG89</f>
        <v>913408.9562737341</v>
      </c>
    </row>
    <row r="90" spans="1:40">
      <c r="A90">
        <v>20</v>
      </c>
      <c r="C90" s="16">
        <f>LCOE!H116+IF(AND(LCOE!H$26&gt;0,A90&gt;=LCOE!H$26,A90&lt;=(LCOE!H$26+LCOE!H$27-1)),LCOE!H$42/LCOE!H$27,0)+IF(AND(D90=0,AE90&gt;=LCOE!H$16,COUNTIF(D65:D90,0)=LCOE!H$36),LCOE!H$35*LCOE!H$38,0)</f>
        <v>0</v>
      </c>
      <c r="D90" s="16">
        <f>IF(AE89&lt;LCOE!H$16,1,0)</f>
        <v>1</v>
      </c>
      <c r="E90" s="12">
        <f>LCOE!G116+IF(AND(A90&gt;=LCOE!H$26,A90&lt;=(LCOE!H$26+LCOE!H$27-1)),0,1)*IF(A90=LCOE!H$34,0,1)*D90</f>
        <v>1</v>
      </c>
      <c r="F90" s="12">
        <f>IF(F89&lt;LCOE!H$18,MIN(F89*(1+LCOE!H$19),LCOE!H$18),LCOE!H$18)+LCOE!J116</f>
        <v>0.9</v>
      </c>
      <c r="G90" s="16">
        <f>LCOE!K116+E90*F90*N90*(LCOE!H$14+LCOE!H116)*24*365*D90</f>
        <v>3942000</v>
      </c>
      <c r="H90" s="16">
        <f>LCOE!L116+F90*(LCOE!H$15+LCOE!I116)*E90*24*365*D90*N90</f>
        <v>0</v>
      </c>
      <c r="I90" s="16">
        <f>LCOE!M116+LCOE!H$20*IF(LCOE!H$14&gt;0,(LCOE!H$14+LCOE!H116),(LCOE!H$15+LCOE!I116))*K90*D90</f>
        <v>20000000</v>
      </c>
      <c r="J90" s="16">
        <f>LCOE!N116+LCOE!H$21*IF(LCOE!H$14&gt;0,G90,H90)*K90*D90</f>
        <v>0</v>
      </c>
      <c r="K90" s="15">
        <f>LCOE!O116+K89+K89*LCOE!H$22</f>
        <v>1</v>
      </c>
      <c r="L90" s="16">
        <f>LCOE!P116+LCOE!H$23*IF(LCOE!H$14&gt;0,G90,H90)*M90*D90</f>
        <v>168165720</v>
      </c>
      <c r="M90" s="15">
        <f>LCOE!Q116+M89+M89*LCOE!H$24</f>
        <v>1</v>
      </c>
      <c r="N90" s="15">
        <f>LCOE!R116+N89-N89*LCOE!H$25</f>
        <v>1</v>
      </c>
      <c r="O90" s="18">
        <f>LCOE!S116+LCOE!H$29</f>
        <v>313.75</v>
      </c>
      <c r="P90" s="12">
        <f>LCOE!T116+IF(A90&gt;=LCOE!H$30,100%,0%)</f>
        <v>1</v>
      </c>
      <c r="Q90" s="16">
        <f>LCOE!U116+O90/1000*IF(LCOE!H$14&gt;0,G90,H90)</f>
        <v>1236802.5</v>
      </c>
      <c r="R90" s="16">
        <f>LCOE!B116</f>
        <v>30</v>
      </c>
      <c r="S90" s="16">
        <f>LCOE!V116+Q90*P90*R90</f>
        <v>37104075</v>
      </c>
      <c r="T90" s="16">
        <f>LCOE!W116+LCOE!H$31</f>
        <v>0</v>
      </c>
      <c r="U90" s="16">
        <f>LCOE!X116+T90*IF(LCOE!H$14&gt;0,G90,H90)</f>
        <v>0</v>
      </c>
      <c r="V90" s="16">
        <f>LCOE!Y116+LCOE!H$32</f>
        <v>0</v>
      </c>
      <c r="W90" s="16">
        <f>LCOE!Z116+V90*IF(LCOE!H$14&gt;0,G90,H90)</f>
        <v>0</v>
      </c>
      <c r="X90" s="16">
        <f>LCOE!AA116+LCOE!H$34</f>
        <v>101</v>
      </c>
      <c r="Y90" s="16">
        <f t="shared" si="15"/>
        <v>0</v>
      </c>
      <c r="Z90" s="50">
        <f t="shared" si="18"/>
        <v>0</v>
      </c>
      <c r="AA90" s="50">
        <f t="shared" si="19"/>
        <v>20000000</v>
      </c>
      <c r="AB90" s="50">
        <f t="shared" si="20"/>
        <v>168165720</v>
      </c>
      <c r="AC90" s="50">
        <f t="shared" si="16"/>
        <v>0</v>
      </c>
      <c r="AD90" s="50">
        <f t="shared" si="11"/>
        <v>37104075</v>
      </c>
      <c r="AE90">
        <f t="shared" si="17"/>
        <v>20</v>
      </c>
      <c r="AF90" s="12">
        <f>LCOE!E116+LCOE!H$40</f>
        <v>0.08</v>
      </c>
      <c r="AG90">
        <f t="shared" si="12"/>
        <v>4.6609571438493065</v>
      </c>
      <c r="AH90" s="16">
        <f t="shared" si="7"/>
        <v>0</v>
      </c>
      <c r="AI90" s="16">
        <f t="shared" si="8"/>
        <v>4290964.1480811303</v>
      </c>
      <c r="AJ90" s="16">
        <f t="shared" si="9"/>
        <v>36079653.772812501</v>
      </c>
      <c r="AK90" s="16">
        <f t="shared" si="10"/>
        <v>0</v>
      </c>
      <c r="AL90" s="16">
        <f t="shared" si="13"/>
        <v>7960612.7786356695</v>
      </c>
      <c r="AM90" s="16">
        <f t="shared" si="14"/>
        <v>0</v>
      </c>
      <c r="AN90" s="16">
        <f>IF(LCOE!H$14&gt;0,G90,H90)/AG90</f>
        <v>845749.0335867909</v>
      </c>
    </row>
    <row r="91" spans="1:40">
      <c r="A91">
        <v>21</v>
      </c>
      <c r="C91" s="16">
        <f>LCOE!H117+IF(AND(LCOE!H$26&gt;0,A91&gt;=LCOE!H$26,A91&lt;=(LCOE!H$26+LCOE!H$27-1)),LCOE!H$42/LCOE!H$27,0)+IF(AND(D91=0,AE91&gt;=LCOE!H$16,COUNTIF(D66:D91,0)=LCOE!H$36),LCOE!H$35*LCOE!H$38,0)</f>
        <v>0</v>
      </c>
      <c r="D91" s="16">
        <f>IF(AE90&lt;LCOE!H$16,1,0)</f>
        <v>1</v>
      </c>
      <c r="E91" s="12">
        <f>LCOE!G117+IF(AND(A91&gt;=LCOE!H$26,A91&lt;=(LCOE!H$26+LCOE!H$27-1)),0,1)*IF(A91=LCOE!H$34,0,1)*D91</f>
        <v>1</v>
      </c>
      <c r="F91" s="12">
        <f>IF(F90&lt;LCOE!H$18,MIN(F90*(1+LCOE!H$19),LCOE!H$18),LCOE!H$18)+LCOE!J117</f>
        <v>0.9</v>
      </c>
      <c r="G91" s="16">
        <f>LCOE!K117+E91*F91*N91*(LCOE!H$14+LCOE!H117)*24*365*D91</f>
        <v>3942000</v>
      </c>
      <c r="H91" s="16">
        <f>LCOE!L117+F91*(LCOE!H$15+LCOE!I117)*E91*24*365*D91*N91</f>
        <v>0</v>
      </c>
      <c r="I91" s="16">
        <f>LCOE!M117+LCOE!H$20*IF(LCOE!H$14&gt;0,(LCOE!H$14+LCOE!H117),(LCOE!H$15+LCOE!I117))*K91*D91</f>
        <v>20000000</v>
      </c>
      <c r="J91" s="16">
        <f>LCOE!N117+LCOE!H$21*IF(LCOE!H$14&gt;0,G91,H91)*K91*D91</f>
        <v>0</v>
      </c>
      <c r="K91" s="15">
        <f>LCOE!O117+K90+K90*LCOE!H$22</f>
        <v>1</v>
      </c>
      <c r="L91" s="16">
        <f>LCOE!P117+LCOE!H$23*IF(LCOE!H$14&gt;0,G91,H91)*M91*D91</f>
        <v>168165720</v>
      </c>
      <c r="M91" s="15">
        <f>LCOE!Q117+M90+M90*LCOE!H$24</f>
        <v>1</v>
      </c>
      <c r="N91" s="15">
        <f>LCOE!R117+N90-N90*LCOE!H$25</f>
        <v>1</v>
      </c>
      <c r="O91" s="18">
        <f>LCOE!S117+LCOE!H$29</f>
        <v>313.75</v>
      </c>
      <c r="P91" s="12">
        <f>LCOE!T117+IF(A91&gt;=LCOE!H$30,100%,0%)</f>
        <v>1</v>
      </c>
      <c r="Q91" s="16">
        <f>LCOE!U117+O91/1000*IF(LCOE!H$14&gt;0,G91,H91)</f>
        <v>1236802.5</v>
      </c>
      <c r="R91" s="16">
        <f>LCOE!B117</f>
        <v>30</v>
      </c>
      <c r="S91" s="16">
        <f>LCOE!V117+Q91*P91*R91</f>
        <v>37104075</v>
      </c>
      <c r="T91" s="16">
        <f>LCOE!W117+LCOE!H$31</f>
        <v>0</v>
      </c>
      <c r="U91" s="16">
        <f>LCOE!X117+T91*IF(LCOE!H$14&gt;0,G91,H91)</f>
        <v>0</v>
      </c>
      <c r="V91" s="16">
        <f>LCOE!Y117+LCOE!H$32</f>
        <v>0</v>
      </c>
      <c r="W91" s="16">
        <f>LCOE!Z117+V91*IF(LCOE!H$14&gt;0,G91,H91)</f>
        <v>0</v>
      </c>
      <c r="X91" s="16">
        <f>LCOE!AA117+LCOE!H$34</f>
        <v>101</v>
      </c>
      <c r="Y91" s="16">
        <f t="shared" si="15"/>
        <v>0</v>
      </c>
      <c r="Z91" s="50">
        <f t="shared" si="18"/>
        <v>0</v>
      </c>
      <c r="AA91" s="50">
        <f t="shared" si="19"/>
        <v>20000000</v>
      </c>
      <c r="AB91" s="50">
        <f t="shared" si="20"/>
        <v>168165720</v>
      </c>
      <c r="AC91" s="50">
        <f t="shared" si="16"/>
        <v>0</v>
      </c>
      <c r="AD91" s="50">
        <f t="shared" si="11"/>
        <v>37104075</v>
      </c>
      <c r="AE91">
        <f t="shared" si="17"/>
        <v>21</v>
      </c>
      <c r="AF91" s="12">
        <f>LCOE!E117+LCOE!H$40</f>
        <v>0.08</v>
      </c>
      <c r="AG91">
        <f t="shared" si="12"/>
        <v>5.0338337153572512</v>
      </c>
      <c r="AH91" s="16">
        <f t="shared" si="7"/>
        <v>0</v>
      </c>
      <c r="AI91" s="16">
        <f t="shared" si="8"/>
        <v>3973114.9519269727</v>
      </c>
      <c r="AJ91" s="16">
        <f t="shared" si="9"/>
        <v>33407086.826678239</v>
      </c>
      <c r="AK91" s="16">
        <f t="shared" si="10"/>
        <v>0</v>
      </c>
      <c r="AL91" s="16">
        <f t="shared" si="13"/>
        <v>7370937.7579959901</v>
      </c>
      <c r="AM91" s="16">
        <f t="shared" si="14"/>
        <v>0</v>
      </c>
      <c r="AN91" s="16">
        <f>IF(LCOE!H$14&gt;0,G91,H91)/AG91</f>
        <v>783100.9570248063</v>
      </c>
    </row>
    <row r="92" spans="1:40">
      <c r="A92">
        <v>22</v>
      </c>
      <c r="C92" s="16">
        <f>LCOE!H118+IF(AND(LCOE!H$26&gt;0,A92&gt;=LCOE!H$26,A92&lt;=(LCOE!H$26+LCOE!H$27-1)),LCOE!H$42/LCOE!H$27,0)+IF(AND(D92=0,AE92&gt;=LCOE!H$16,COUNTIF(D67:D92,0)=LCOE!H$36),LCOE!H$35*LCOE!H$38,0)</f>
        <v>0</v>
      </c>
      <c r="D92" s="16">
        <f>IF(AE91&lt;LCOE!H$16,1,0)</f>
        <v>1</v>
      </c>
      <c r="E92" s="12">
        <f>LCOE!G118+IF(AND(A92&gt;=LCOE!H$26,A92&lt;=(LCOE!H$26+LCOE!H$27-1)),0,1)*IF(A92=LCOE!H$34,0,1)*D92</f>
        <v>1</v>
      </c>
      <c r="F92" s="12">
        <f>IF(F91&lt;LCOE!H$18,MIN(F91*(1+LCOE!H$19),LCOE!H$18),LCOE!H$18)+LCOE!J118</f>
        <v>0.9</v>
      </c>
      <c r="G92" s="16">
        <f>LCOE!K118+E92*F92*N92*(LCOE!H$14+LCOE!H118)*24*365*D92</f>
        <v>3942000</v>
      </c>
      <c r="H92" s="16">
        <f>LCOE!L118+F92*(LCOE!H$15+LCOE!I118)*E92*24*365*D92*N92</f>
        <v>0</v>
      </c>
      <c r="I92" s="16">
        <f>LCOE!M118+LCOE!H$20*IF(LCOE!H$14&gt;0,(LCOE!H$14+LCOE!H118),(LCOE!H$15+LCOE!I118))*K92*D92</f>
        <v>20000000</v>
      </c>
      <c r="J92" s="16">
        <f>LCOE!N118+LCOE!H$21*IF(LCOE!H$14&gt;0,G92,H92)*K92*D92</f>
        <v>0</v>
      </c>
      <c r="K92" s="15">
        <f>LCOE!O118+K91+K91*LCOE!H$22</f>
        <v>1</v>
      </c>
      <c r="L92" s="16">
        <f>LCOE!P118+LCOE!H$23*IF(LCOE!H$14&gt;0,G92,H92)*M92*D92</f>
        <v>168165720</v>
      </c>
      <c r="M92" s="15">
        <f>LCOE!Q118+M91+M91*LCOE!H$24</f>
        <v>1</v>
      </c>
      <c r="N92" s="15">
        <f>LCOE!R118+N91-N91*LCOE!H$25</f>
        <v>1</v>
      </c>
      <c r="O92" s="18">
        <f>LCOE!S118+LCOE!H$29</f>
        <v>313.75</v>
      </c>
      <c r="P92" s="12">
        <f>LCOE!T118+IF(A92&gt;=LCOE!H$30,100%,0%)</f>
        <v>1</v>
      </c>
      <c r="Q92" s="16">
        <f>LCOE!U118+O92/1000*IF(LCOE!H$14&gt;0,G92,H92)</f>
        <v>1236802.5</v>
      </c>
      <c r="R92" s="16">
        <f>LCOE!B118</f>
        <v>30</v>
      </c>
      <c r="S92" s="16">
        <f>LCOE!V118+Q92*P92*R92</f>
        <v>37104075</v>
      </c>
      <c r="T92" s="16">
        <f>LCOE!W118+LCOE!H$31</f>
        <v>0</v>
      </c>
      <c r="U92" s="16">
        <f>LCOE!X118+T92*IF(LCOE!H$14&gt;0,G92,H92)</f>
        <v>0</v>
      </c>
      <c r="V92" s="16">
        <f>LCOE!Y118+LCOE!H$32</f>
        <v>0</v>
      </c>
      <c r="W92" s="16">
        <f>LCOE!Z118+V92*IF(LCOE!H$14&gt;0,G92,H92)</f>
        <v>0</v>
      </c>
      <c r="X92" s="16">
        <f>LCOE!AA118+LCOE!H$34</f>
        <v>101</v>
      </c>
      <c r="Y92" s="16">
        <f t="shared" si="15"/>
        <v>0</v>
      </c>
      <c r="Z92" s="50">
        <f t="shared" si="18"/>
        <v>0</v>
      </c>
      <c r="AA92" s="50">
        <f t="shared" si="19"/>
        <v>20000000</v>
      </c>
      <c r="AB92" s="50">
        <f t="shared" si="20"/>
        <v>168165720</v>
      </c>
      <c r="AC92" s="50">
        <f t="shared" si="16"/>
        <v>0</v>
      </c>
      <c r="AD92" s="50">
        <f t="shared" si="11"/>
        <v>37104075</v>
      </c>
      <c r="AE92">
        <f t="shared" si="17"/>
        <v>22</v>
      </c>
      <c r="AF92" s="12">
        <f>LCOE!E118+LCOE!H$40</f>
        <v>0.08</v>
      </c>
      <c r="AG92">
        <f t="shared" si="12"/>
        <v>5.4365404125858321</v>
      </c>
      <c r="AH92" s="16">
        <f t="shared" si="7"/>
        <v>0</v>
      </c>
      <c r="AI92" s="16">
        <f t="shared" si="8"/>
        <v>3678810.1406731224</v>
      </c>
      <c r="AJ92" s="16">
        <f t="shared" si="9"/>
        <v>30932487.802479845</v>
      </c>
      <c r="AK92" s="16">
        <f t="shared" si="10"/>
        <v>0</v>
      </c>
      <c r="AL92" s="16">
        <f t="shared" si="13"/>
        <v>6824942.3685148042</v>
      </c>
      <c r="AM92" s="16">
        <f t="shared" si="14"/>
        <v>0</v>
      </c>
      <c r="AN92" s="16">
        <f>IF(LCOE!H$14&gt;0,G92,H92)/AG92</f>
        <v>725093.47872667247</v>
      </c>
    </row>
    <row r="93" spans="1:40">
      <c r="A93">
        <v>23</v>
      </c>
      <c r="C93" s="16">
        <f>LCOE!H119+IF(AND(LCOE!H$26&gt;0,A93&gt;=LCOE!H$26,A93&lt;=(LCOE!H$26+LCOE!H$27-1)),LCOE!H$42/LCOE!H$27,0)+IF(AND(D93=0,AE93&gt;=LCOE!H$16,COUNTIF(D68:D93,0)=LCOE!H$36),LCOE!H$35*LCOE!H$38,0)</f>
        <v>0</v>
      </c>
      <c r="D93" s="16">
        <f>IF(AE92&lt;LCOE!H$16,1,0)</f>
        <v>1</v>
      </c>
      <c r="E93" s="12">
        <f>LCOE!G119+IF(AND(A93&gt;=LCOE!H$26,A93&lt;=(LCOE!H$26+LCOE!H$27-1)),0,1)*IF(A93=LCOE!H$34,0,1)*D93</f>
        <v>1</v>
      </c>
      <c r="F93" s="12">
        <f>IF(F92&lt;LCOE!H$18,MIN(F92*(1+LCOE!H$19),LCOE!H$18),LCOE!H$18)+LCOE!J119</f>
        <v>0.9</v>
      </c>
      <c r="G93" s="16">
        <f>LCOE!K119+E93*F93*N93*(LCOE!H$14+LCOE!H119)*24*365*D93</f>
        <v>3942000</v>
      </c>
      <c r="H93" s="16">
        <f>LCOE!L119+F93*(LCOE!H$15+LCOE!I119)*E93*24*365*D93*N93</f>
        <v>0</v>
      </c>
      <c r="I93" s="16">
        <f>LCOE!M119+LCOE!H$20*IF(LCOE!H$14&gt;0,(LCOE!H$14+LCOE!H119),(LCOE!H$15+LCOE!I119))*K93*D93</f>
        <v>20000000</v>
      </c>
      <c r="J93" s="16">
        <f>LCOE!N119+LCOE!H$21*IF(LCOE!H$14&gt;0,G93,H93)*K93*D93</f>
        <v>0</v>
      </c>
      <c r="K93" s="15">
        <f>LCOE!O119+K92+K92*LCOE!H$22</f>
        <v>1</v>
      </c>
      <c r="L93" s="16">
        <f>LCOE!P119+LCOE!H$23*IF(LCOE!H$14&gt;0,G93,H93)*M93*D93</f>
        <v>168165720</v>
      </c>
      <c r="M93" s="15">
        <f>LCOE!Q119+M92+M92*LCOE!H$24</f>
        <v>1</v>
      </c>
      <c r="N93" s="15">
        <f>LCOE!R119+N92-N92*LCOE!H$25</f>
        <v>1</v>
      </c>
      <c r="O93" s="18">
        <f>LCOE!S119+LCOE!H$29</f>
        <v>313.75</v>
      </c>
      <c r="P93" s="12">
        <f>LCOE!T119+IF(A93&gt;=LCOE!H$30,100%,0%)</f>
        <v>1</v>
      </c>
      <c r="Q93" s="16">
        <f>LCOE!U119+O93/1000*IF(LCOE!H$14&gt;0,G93,H93)</f>
        <v>1236802.5</v>
      </c>
      <c r="R93" s="16">
        <f>LCOE!B119</f>
        <v>30</v>
      </c>
      <c r="S93" s="16">
        <f>LCOE!V119+Q93*P93*R93</f>
        <v>37104075</v>
      </c>
      <c r="T93" s="16">
        <f>LCOE!W119+LCOE!H$31</f>
        <v>0</v>
      </c>
      <c r="U93" s="16">
        <f>LCOE!X119+T93*IF(LCOE!H$14&gt;0,G93,H93)</f>
        <v>0</v>
      </c>
      <c r="V93" s="16">
        <f>LCOE!Y119+LCOE!H$32</f>
        <v>0</v>
      </c>
      <c r="W93" s="16">
        <f>LCOE!Z119+V93*IF(LCOE!H$14&gt;0,G93,H93)</f>
        <v>0</v>
      </c>
      <c r="X93" s="16">
        <f>LCOE!AA119+LCOE!H$34</f>
        <v>101</v>
      </c>
      <c r="Y93" s="16">
        <f t="shared" si="15"/>
        <v>0</v>
      </c>
      <c r="Z93" s="50">
        <f t="shared" si="18"/>
        <v>0</v>
      </c>
      <c r="AA93" s="50">
        <f t="shared" si="19"/>
        <v>20000000</v>
      </c>
      <c r="AB93" s="50">
        <f t="shared" si="20"/>
        <v>168165720</v>
      </c>
      <c r="AC93" s="50">
        <f t="shared" si="16"/>
        <v>0</v>
      </c>
      <c r="AD93" s="50">
        <f t="shared" si="11"/>
        <v>37104075</v>
      </c>
      <c r="AE93">
        <f t="shared" si="17"/>
        <v>23</v>
      </c>
      <c r="AF93" s="12">
        <f>LCOE!E119+LCOE!H$40</f>
        <v>0.08</v>
      </c>
      <c r="AG93">
        <f t="shared" si="12"/>
        <v>5.8714636455926987</v>
      </c>
      <c r="AH93" s="16">
        <f t="shared" si="7"/>
        <v>0</v>
      </c>
      <c r="AI93" s="16">
        <f t="shared" si="8"/>
        <v>3406305.6858084467</v>
      </c>
      <c r="AJ93" s="16">
        <f t="shared" si="9"/>
        <v>28641192.40970356</v>
      </c>
      <c r="AK93" s="16">
        <f t="shared" si="10"/>
        <v>0</v>
      </c>
      <c r="AL93" s="16">
        <f t="shared" si="13"/>
        <v>6319391.0819581524</v>
      </c>
      <c r="AM93" s="16">
        <f t="shared" si="14"/>
        <v>0</v>
      </c>
      <c r="AN93" s="16">
        <f>IF(LCOE!H$14&gt;0,G93,H93)/AG93</f>
        <v>671382.8506728448</v>
      </c>
    </row>
    <row r="94" spans="1:40">
      <c r="A94">
        <v>24</v>
      </c>
      <c r="C94" s="16">
        <f>LCOE!H120+IF(AND(LCOE!H$26&gt;0,A94&gt;=LCOE!H$26,A94&lt;=(LCOE!H$26+LCOE!H$27-1)),LCOE!H$42/LCOE!H$27,0)+IF(AND(D94=0,AE94&gt;=LCOE!H$16,COUNTIF(D69:D94,0)=LCOE!H$36),LCOE!H$35*LCOE!H$38,0)</f>
        <v>0</v>
      </c>
      <c r="D94" s="16">
        <f>IF(AE93&lt;LCOE!H$16,1,0)</f>
        <v>1</v>
      </c>
      <c r="E94" s="12">
        <f>LCOE!G120+IF(AND(A94&gt;=LCOE!H$26,A94&lt;=(LCOE!H$26+LCOE!H$27-1)),0,1)*IF(A94=LCOE!H$34,0,1)*D94</f>
        <v>1</v>
      </c>
      <c r="F94" s="12">
        <f>IF(F93&lt;LCOE!H$18,MIN(F93*(1+LCOE!H$19),LCOE!H$18),LCOE!H$18)+LCOE!J120</f>
        <v>0.9</v>
      </c>
      <c r="G94" s="16">
        <f>LCOE!K120+E94*F94*N94*(LCOE!H$14+LCOE!H120)*24*365*D94</f>
        <v>3942000</v>
      </c>
      <c r="H94" s="16">
        <f>LCOE!L120+F94*(LCOE!H$15+LCOE!I120)*E94*24*365*D94*N94</f>
        <v>0</v>
      </c>
      <c r="I94" s="16">
        <f>LCOE!M120+LCOE!H$20*IF(LCOE!H$14&gt;0,(LCOE!H$14+LCOE!H120),(LCOE!H$15+LCOE!I120))*K94*D94</f>
        <v>20000000</v>
      </c>
      <c r="J94" s="16">
        <f>LCOE!N120+LCOE!H$21*IF(LCOE!H$14&gt;0,G94,H94)*K94*D94</f>
        <v>0</v>
      </c>
      <c r="K94" s="15">
        <f>LCOE!O120+K93+K93*LCOE!H$22</f>
        <v>1</v>
      </c>
      <c r="L94" s="16">
        <f>LCOE!P120+LCOE!H$23*IF(LCOE!H$14&gt;0,G94,H94)*M94*D94</f>
        <v>168165720</v>
      </c>
      <c r="M94" s="15">
        <f>LCOE!Q120+M93+M93*LCOE!H$24</f>
        <v>1</v>
      </c>
      <c r="N94" s="15">
        <f>LCOE!R120+N93-N93*LCOE!H$25</f>
        <v>1</v>
      </c>
      <c r="O94" s="18">
        <f>LCOE!S120+LCOE!H$29</f>
        <v>313.75</v>
      </c>
      <c r="P94" s="12">
        <f>LCOE!T120+IF(A94&gt;=LCOE!H$30,100%,0%)</f>
        <v>1</v>
      </c>
      <c r="Q94" s="16">
        <f>LCOE!U120+O94/1000*IF(LCOE!H$14&gt;0,G94,H94)</f>
        <v>1236802.5</v>
      </c>
      <c r="R94" s="16">
        <f>LCOE!B120</f>
        <v>30</v>
      </c>
      <c r="S94" s="16">
        <f>LCOE!V120+Q94*P94*R94</f>
        <v>37104075</v>
      </c>
      <c r="T94" s="16">
        <f>LCOE!W120+LCOE!H$31</f>
        <v>0</v>
      </c>
      <c r="U94" s="16">
        <f>LCOE!X120+T94*IF(LCOE!H$14&gt;0,G94,H94)</f>
        <v>0</v>
      </c>
      <c r="V94" s="16">
        <f>LCOE!Y120+LCOE!H$32</f>
        <v>0</v>
      </c>
      <c r="W94" s="16">
        <f>LCOE!Z120+V94*IF(LCOE!H$14&gt;0,G94,H94)</f>
        <v>0</v>
      </c>
      <c r="X94" s="16">
        <f>LCOE!AA120+LCOE!H$34</f>
        <v>101</v>
      </c>
      <c r="Y94" s="16">
        <f t="shared" si="15"/>
        <v>0</v>
      </c>
      <c r="Z94" s="50">
        <f t="shared" si="18"/>
        <v>0</v>
      </c>
      <c r="AA94" s="50">
        <f t="shared" si="19"/>
        <v>20000000</v>
      </c>
      <c r="AB94" s="50">
        <f t="shared" si="20"/>
        <v>168165720</v>
      </c>
      <c r="AC94" s="50">
        <f t="shared" si="16"/>
        <v>0</v>
      </c>
      <c r="AD94" s="50">
        <f t="shared" si="11"/>
        <v>37104075</v>
      </c>
      <c r="AE94">
        <f t="shared" si="17"/>
        <v>24</v>
      </c>
      <c r="AF94" s="12">
        <f>LCOE!E120+LCOE!H$40</f>
        <v>0.08</v>
      </c>
      <c r="AG94">
        <f t="shared" si="12"/>
        <v>6.3411807372401148</v>
      </c>
      <c r="AH94" s="16">
        <f t="shared" si="7"/>
        <v>0</v>
      </c>
      <c r="AI94" s="16">
        <f t="shared" si="8"/>
        <v>3153986.746118932</v>
      </c>
      <c r="AJ94" s="16">
        <f t="shared" si="9"/>
        <v>26519622.601577371</v>
      </c>
      <c r="AK94" s="16">
        <f t="shared" si="10"/>
        <v>0</v>
      </c>
      <c r="AL94" s="16">
        <f t="shared" si="13"/>
        <v>5851288.0388501408</v>
      </c>
      <c r="AM94" s="16">
        <f t="shared" si="14"/>
        <v>0</v>
      </c>
      <c r="AN94" s="16">
        <f>IF(LCOE!H$14&gt;0,G94,H94)/AG94</f>
        <v>621650.78766004147</v>
      </c>
    </row>
    <row r="95" spans="1:40">
      <c r="A95">
        <v>25</v>
      </c>
      <c r="C95" s="16">
        <f>LCOE!H121+IF(AND(LCOE!H$26&gt;0,A95&gt;=LCOE!H$26,A95&lt;=(LCOE!H$26+LCOE!H$27-1)),LCOE!H$42/LCOE!H$27,0)+IF(AND(D95=0,AE95&gt;=LCOE!H$16,COUNTIF(D70:D95,0)=LCOE!H$36),LCOE!H$35*LCOE!H$38,0)</f>
        <v>0</v>
      </c>
      <c r="D95" s="16">
        <f>IF(AE94&lt;LCOE!H$16,1,0)</f>
        <v>1</v>
      </c>
      <c r="E95" s="12">
        <f>LCOE!G121+IF(AND(A95&gt;=LCOE!H$26,A95&lt;=(LCOE!H$26+LCOE!H$27-1)),0,1)*IF(A95=LCOE!H$34,0,1)*D95</f>
        <v>1</v>
      </c>
      <c r="F95" s="12">
        <f>IF(F94&lt;LCOE!H$18,MIN(F94*(1+LCOE!H$19),LCOE!H$18),LCOE!H$18)+LCOE!J121</f>
        <v>0.9</v>
      </c>
      <c r="G95" s="16">
        <f>LCOE!K121+E95*F95*N95*(LCOE!H$14+LCOE!H121)*24*365*D95</f>
        <v>3942000</v>
      </c>
      <c r="H95" s="16">
        <f>LCOE!L121+F95*(LCOE!H$15+LCOE!I121)*E95*24*365*D95*N95</f>
        <v>0</v>
      </c>
      <c r="I95" s="16">
        <f>LCOE!M121+LCOE!H$20*IF(LCOE!H$14&gt;0,(LCOE!H$14+LCOE!H121),(LCOE!H$15+LCOE!I121))*K95*D95</f>
        <v>20000000</v>
      </c>
      <c r="J95" s="16">
        <f>LCOE!N121+LCOE!H$21*IF(LCOE!H$14&gt;0,G95,H95)*K95*D95</f>
        <v>0</v>
      </c>
      <c r="K95" s="15">
        <f>LCOE!O121+K94+K94*LCOE!H$22</f>
        <v>1</v>
      </c>
      <c r="L95" s="16">
        <f>LCOE!P121+LCOE!H$23*IF(LCOE!H$14&gt;0,G95,H95)*M95*D95</f>
        <v>168165720</v>
      </c>
      <c r="M95" s="15">
        <f>LCOE!Q121+M94+M94*LCOE!H$24</f>
        <v>1</v>
      </c>
      <c r="N95" s="15">
        <f>LCOE!R121+N94-N94*LCOE!H$25</f>
        <v>1</v>
      </c>
      <c r="O95" s="18">
        <f>LCOE!S121+LCOE!H$29</f>
        <v>313.75</v>
      </c>
      <c r="P95" s="12">
        <f>LCOE!T121+IF(A95&gt;=LCOE!H$30,100%,0%)</f>
        <v>1</v>
      </c>
      <c r="Q95" s="16">
        <f>LCOE!U121+O95/1000*IF(LCOE!H$14&gt;0,G95,H95)</f>
        <v>1236802.5</v>
      </c>
      <c r="R95" s="16">
        <f>LCOE!B121</f>
        <v>30</v>
      </c>
      <c r="S95" s="16">
        <f>LCOE!V121+Q95*P95*R95</f>
        <v>37104075</v>
      </c>
      <c r="T95" s="16">
        <f>LCOE!W121+LCOE!H$31</f>
        <v>0</v>
      </c>
      <c r="U95" s="16">
        <f>LCOE!X121+T95*IF(LCOE!H$14&gt;0,G95,H95)</f>
        <v>0</v>
      </c>
      <c r="V95" s="16">
        <f>LCOE!Y121+LCOE!H$32</f>
        <v>0</v>
      </c>
      <c r="W95" s="16">
        <f>LCOE!Z121+V95*IF(LCOE!H$14&gt;0,G95,H95)</f>
        <v>0</v>
      </c>
      <c r="X95" s="16">
        <f>LCOE!AA121+LCOE!H$34</f>
        <v>101</v>
      </c>
      <c r="Y95" s="16">
        <f t="shared" si="15"/>
        <v>0</v>
      </c>
      <c r="Z95" s="50">
        <f t="shared" si="18"/>
        <v>0</v>
      </c>
      <c r="AA95" s="50">
        <f t="shared" si="19"/>
        <v>20000000</v>
      </c>
      <c r="AB95" s="50">
        <f t="shared" si="20"/>
        <v>168165720</v>
      </c>
      <c r="AC95" s="50">
        <f t="shared" si="16"/>
        <v>0</v>
      </c>
      <c r="AD95" s="50">
        <f t="shared" si="11"/>
        <v>37104075</v>
      </c>
      <c r="AE95">
        <f t="shared" si="17"/>
        <v>25</v>
      </c>
      <c r="AF95" s="12">
        <f>LCOE!E121+LCOE!H$40</f>
        <v>0.08</v>
      </c>
      <c r="AG95">
        <f t="shared" si="12"/>
        <v>6.8484751962193249</v>
      </c>
      <c r="AH95" s="16">
        <f t="shared" si="7"/>
        <v>0</v>
      </c>
      <c r="AI95" s="16">
        <f t="shared" si="8"/>
        <v>2920358.09825827</v>
      </c>
      <c r="AJ95" s="16">
        <f t="shared" si="9"/>
        <v>24555206.112571634</v>
      </c>
      <c r="AK95" s="16">
        <f t="shared" si="10"/>
        <v>0</v>
      </c>
      <c r="AL95" s="16">
        <f t="shared" si="13"/>
        <v>5417859.2952316105</v>
      </c>
      <c r="AM95" s="16">
        <f t="shared" si="14"/>
        <v>0</v>
      </c>
      <c r="AN95" s="16">
        <f>IF(LCOE!H$14&gt;0,G95,H95)/AG95</f>
        <v>575602.581166705</v>
      </c>
    </row>
    <row r="96" spans="1:40">
      <c r="A96">
        <v>26</v>
      </c>
      <c r="C96" s="16">
        <f>LCOE!H122+IF(AND(LCOE!H$26&gt;0,A96&gt;=LCOE!H$26,A96&lt;=(LCOE!H$26+LCOE!H$27-1)),LCOE!H$42/LCOE!H$27,0)+IF(AND(D96=0,AE96&gt;=LCOE!H$16,COUNTIF(D71:D96,0)=LCOE!H$36),LCOE!H$35*LCOE!H$38,0)</f>
        <v>0</v>
      </c>
      <c r="D96" s="16">
        <f>IF(AE95&lt;LCOE!H$16,1,0)</f>
        <v>1</v>
      </c>
      <c r="E96" s="12">
        <f>LCOE!G122+IF(AND(A96&gt;=LCOE!H$26,A96&lt;=(LCOE!H$26+LCOE!H$27-1)),0,1)*IF(A96=LCOE!H$34,0,1)*D96</f>
        <v>1</v>
      </c>
      <c r="F96" s="12">
        <f>IF(F95&lt;LCOE!H$18,MIN(F95*(1+LCOE!H$19),LCOE!H$18),LCOE!H$18)+LCOE!J122</f>
        <v>0.9</v>
      </c>
      <c r="G96" s="16">
        <f>LCOE!K122+E96*F96*N96*(LCOE!H$14+LCOE!H122)*24*365*D96</f>
        <v>3942000</v>
      </c>
      <c r="H96" s="16">
        <f>LCOE!L122+F96*(LCOE!H$15+LCOE!I122)*E96*24*365*D96*N96</f>
        <v>0</v>
      </c>
      <c r="I96" s="16">
        <f>LCOE!M122+LCOE!H$20*IF(LCOE!H$14&gt;0,(LCOE!H$14+LCOE!H122),(LCOE!H$15+LCOE!I122))*K96*D96</f>
        <v>20000000</v>
      </c>
      <c r="J96" s="16">
        <f>LCOE!N122+LCOE!H$21*IF(LCOE!H$14&gt;0,G96,H96)*K96*D96</f>
        <v>0</v>
      </c>
      <c r="K96" s="15">
        <f>LCOE!O122+K95+K95*LCOE!H$22</f>
        <v>1</v>
      </c>
      <c r="L96" s="16">
        <f>LCOE!P122+LCOE!H$23*IF(LCOE!H$14&gt;0,G96,H96)*M96*D96</f>
        <v>168165720</v>
      </c>
      <c r="M96" s="15">
        <f>LCOE!Q122+M95+M95*LCOE!H$24</f>
        <v>1</v>
      </c>
      <c r="N96" s="15">
        <f>LCOE!R122+N95-N95*LCOE!H$25</f>
        <v>1</v>
      </c>
      <c r="O96" s="18">
        <f>LCOE!S122+LCOE!H$29</f>
        <v>313.75</v>
      </c>
      <c r="P96" s="12">
        <f>LCOE!T122+IF(A96&gt;=LCOE!H$30,100%,0%)</f>
        <v>1</v>
      </c>
      <c r="Q96" s="16">
        <f>LCOE!U122+O96/1000*IF(LCOE!H$14&gt;0,G96,H96)</f>
        <v>1236802.5</v>
      </c>
      <c r="R96" s="16">
        <f>LCOE!B122</f>
        <v>30</v>
      </c>
      <c r="S96" s="16">
        <f>LCOE!V122+Q96*P96*R96</f>
        <v>37104075</v>
      </c>
      <c r="T96" s="16">
        <f>LCOE!W122+LCOE!H$31</f>
        <v>0</v>
      </c>
      <c r="U96" s="16">
        <f>LCOE!X122+T96*IF(LCOE!H$14&gt;0,G96,H96)</f>
        <v>0</v>
      </c>
      <c r="V96" s="16">
        <f>LCOE!Y122+LCOE!H$32</f>
        <v>0</v>
      </c>
      <c r="W96" s="16">
        <f>LCOE!Z122+V96*IF(LCOE!H$14&gt;0,G96,H96)</f>
        <v>0</v>
      </c>
      <c r="X96" s="16">
        <f>LCOE!AA122+LCOE!H$34</f>
        <v>101</v>
      </c>
      <c r="Y96" s="16">
        <f t="shared" si="15"/>
        <v>0</v>
      </c>
      <c r="Z96" s="50">
        <f t="shared" si="18"/>
        <v>0</v>
      </c>
      <c r="AA96" s="50">
        <f t="shared" si="19"/>
        <v>20000000</v>
      </c>
      <c r="AB96" s="50">
        <f t="shared" si="20"/>
        <v>168165720</v>
      </c>
      <c r="AC96" s="50">
        <f t="shared" si="16"/>
        <v>0</v>
      </c>
      <c r="AD96" s="50">
        <f t="shared" si="11"/>
        <v>37104075</v>
      </c>
      <c r="AE96">
        <f t="shared" si="17"/>
        <v>26</v>
      </c>
      <c r="AF96" s="12">
        <f>LCOE!E122+LCOE!H$40</f>
        <v>0.08</v>
      </c>
      <c r="AG96">
        <f t="shared" si="12"/>
        <v>7.3963532119168702</v>
      </c>
      <c r="AH96" s="16">
        <f t="shared" si="7"/>
        <v>0</v>
      </c>
      <c r="AI96" s="16">
        <f t="shared" si="8"/>
        <v>2704035.2761650649</v>
      </c>
      <c r="AJ96" s="16">
        <f t="shared" si="9"/>
        <v>22736301.956084851</v>
      </c>
      <c r="AK96" s="16">
        <f t="shared" si="10"/>
        <v>0</v>
      </c>
      <c r="AL96" s="16">
        <f t="shared" si="13"/>
        <v>5016536.384473714</v>
      </c>
      <c r="AM96" s="16">
        <f t="shared" si="14"/>
        <v>0</v>
      </c>
      <c r="AN96" s="16">
        <f>IF(LCOE!H$14&gt;0,G96,H96)/AG96</f>
        <v>532965.35293213429</v>
      </c>
    </row>
    <row r="97" spans="1:40">
      <c r="A97">
        <v>27</v>
      </c>
      <c r="C97" s="16">
        <f>LCOE!H123+IF(AND(LCOE!H$26&gt;0,A97&gt;=LCOE!H$26,A97&lt;=(LCOE!H$26+LCOE!H$27-1)),LCOE!H$42/LCOE!H$27,0)+IF(AND(D97=0,AE97&gt;=LCOE!H$16,COUNTIF(D72:D97,0)=LCOE!H$36),LCOE!H$35*LCOE!H$38,0)</f>
        <v>0</v>
      </c>
      <c r="D97" s="16">
        <f>IF(AE96&lt;LCOE!H$16,1,0)</f>
        <v>1</v>
      </c>
      <c r="E97" s="12">
        <f>LCOE!G123+IF(AND(A97&gt;=LCOE!H$26,A97&lt;=(LCOE!H$26+LCOE!H$27-1)),0,1)*IF(A97=LCOE!H$34,0,1)*D97</f>
        <v>1</v>
      </c>
      <c r="F97" s="12">
        <f>IF(F96&lt;LCOE!H$18,MIN(F96*(1+LCOE!H$19),LCOE!H$18),LCOE!H$18)+LCOE!J123</f>
        <v>0.9</v>
      </c>
      <c r="G97" s="16">
        <f>LCOE!K123+E97*F97*N97*(LCOE!H$14+LCOE!H123)*24*365*D97</f>
        <v>3942000</v>
      </c>
      <c r="H97" s="16">
        <f>LCOE!L123+F97*(LCOE!H$15+LCOE!I123)*E97*24*365*D97*N97</f>
        <v>0</v>
      </c>
      <c r="I97" s="16">
        <f>LCOE!M123+LCOE!H$20*IF(LCOE!H$14&gt;0,(LCOE!H$14+LCOE!H123),(LCOE!H$15+LCOE!I123))*K97*D97</f>
        <v>20000000</v>
      </c>
      <c r="J97" s="16">
        <f>LCOE!N123+LCOE!H$21*IF(LCOE!H$14&gt;0,G97,H97)*K97*D97</f>
        <v>0</v>
      </c>
      <c r="K97" s="15">
        <f>LCOE!O123+K96+K96*LCOE!H$22</f>
        <v>1</v>
      </c>
      <c r="L97" s="16">
        <f>LCOE!P123+LCOE!H$23*IF(LCOE!H$14&gt;0,G97,H97)*M97*D97</f>
        <v>168165720</v>
      </c>
      <c r="M97" s="15">
        <f>LCOE!Q123+M96+M96*LCOE!H$24</f>
        <v>1</v>
      </c>
      <c r="N97" s="15">
        <f>LCOE!R123+N96-N96*LCOE!H$25</f>
        <v>1</v>
      </c>
      <c r="O97" s="18">
        <f>LCOE!S123+LCOE!H$29</f>
        <v>313.75</v>
      </c>
      <c r="P97" s="12">
        <f>LCOE!T123+IF(A97&gt;=LCOE!H$30,100%,0%)</f>
        <v>1</v>
      </c>
      <c r="Q97" s="16">
        <f>LCOE!U123+O97/1000*IF(LCOE!H$14&gt;0,G97,H97)</f>
        <v>1236802.5</v>
      </c>
      <c r="R97" s="16">
        <f>LCOE!B123</f>
        <v>30</v>
      </c>
      <c r="S97" s="16">
        <f>LCOE!V123+Q97*P97*R97</f>
        <v>37104075</v>
      </c>
      <c r="T97" s="16">
        <f>LCOE!W123+LCOE!H$31</f>
        <v>0</v>
      </c>
      <c r="U97" s="16">
        <f>LCOE!X123+T97*IF(LCOE!H$14&gt;0,G97,H97)</f>
        <v>0</v>
      </c>
      <c r="V97" s="16">
        <f>LCOE!Y123+LCOE!H$32</f>
        <v>0</v>
      </c>
      <c r="W97" s="16">
        <f>LCOE!Z123+V97*IF(LCOE!H$14&gt;0,G97,H97)</f>
        <v>0</v>
      </c>
      <c r="X97" s="16">
        <f>LCOE!AA123+LCOE!H$34</f>
        <v>101</v>
      </c>
      <c r="Y97" s="16">
        <f t="shared" si="15"/>
        <v>0</v>
      </c>
      <c r="Z97" s="50">
        <f t="shared" si="18"/>
        <v>0</v>
      </c>
      <c r="AA97" s="50">
        <f t="shared" si="19"/>
        <v>20000000</v>
      </c>
      <c r="AB97" s="50">
        <f t="shared" si="20"/>
        <v>168165720</v>
      </c>
      <c r="AC97" s="50">
        <f t="shared" si="16"/>
        <v>0</v>
      </c>
      <c r="AD97" s="50">
        <f t="shared" si="11"/>
        <v>37104075</v>
      </c>
      <c r="AE97">
        <f t="shared" si="17"/>
        <v>27</v>
      </c>
      <c r="AF97" s="12">
        <f>LCOE!E123+LCOE!H$40</f>
        <v>0.08</v>
      </c>
      <c r="AG97">
        <f t="shared" si="12"/>
        <v>7.9880614688702201</v>
      </c>
      <c r="AH97" s="16">
        <f t="shared" si="7"/>
        <v>0</v>
      </c>
      <c r="AI97" s="16">
        <f t="shared" si="8"/>
        <v>2503736.3668195046</v>
      </c>
      <c r="AJ97" s="16">
        <f t="shared" si="9"/>
        <v>21052131.440819304</v>
      </c>
      <c r="AK97" s="16">
        <f t="shared" si="10"/>
        <v>0</v>
      </c>
      <c r="AL97" s="16">
        <f t="shared" si="13"/>
        <v>4644941.0967349205</v>
      </c>
      <c r="AM97" s="16">
        <f t="shared" si="14"/>
        <v>0</v>
      </c>
      <c r="AN97" s="16">
        <f>IF(LCOE!H$14&gt;0,G97,H97)/AG97</f>
        <v>493486.43790012435</v>
      </c>
    </row>
    <row r="98" spans="1:40">
      <c r="A98">
        <v>28</v>
      </c>
      <c r="C98" s="16">
        <f>LCOE!H124+IF(AND(LCOE!H$26&gt;0,A98&gt;=LCOE!H$26,A98&lt;=(LCOE!H$26+LCOE!H$27-1)),LCOE!H$42/LCOE!H$27,0)+IF(AND(D98=0,AE98&gt;=LCOE!H$16,COUNTIF(D73:D98,0)=LCOE!H$36),LCOE!H$35*LCOE!H$38,0)</f>
        <v>0</v>
      </c>
      <c r="D98" s="16">
        <f>IF(AE97&lt;LCOE!H$16,1,0)</f>
        <v>1</v>
      </c>
      <c r="E98" s="12">
        <f>LCOE!G124+IF(AND(A98&gt;=LCOE!H$26,A98&lt;=(LCOE!H$26+LCOE!H$27-1)),0,1)*IF(A98=LCOE!H$34,0,1)*D98</f>
        <v>1</v>
      </c>
      <c r="F98" s="12">
        <f>IF(F97&lt;LCOE!H$18,MIN(F97*(1+LCOE!H$19),LCOE!H$18),LCOE!H$18)+LCOE!J124</f>
        <v>0.9</v>
      </c>
      <c r="G98" s="16">
        <f>LCOE!K124+E98*F98*N98*(LCOE!H$14+LCOE!H124)*24*365*D98</f>
        <v>3942000</v>
      </c>
      <c r="H98" s="16">
        <f>LCOE!L124+F98*(LCOE!H$15+LCOE!I124)*E98*24*365*D98*N98</f>
        <v>0</v>
      </c>
      <c r="I98" s="16">
        <f>LCOE!M124+LCOE!H$20*IF(LCOE!H$14&gt;0,(LCOE!H$14+LCOE!H124),(LCOE!H$15+LCOE!I124))*K98*D98</f>
        <v>20000000</v>
      </c>
      <c r="J98" s="16">
        <f>LCOE!N124+LCOE!H$21*IF(LCOE!H$14&gt;0,G98,H98)*K98*D98</f>
        <v>0</v>
      </c>
      <c r="K98" s="15">
        <f>LCOE!O124+K97+K97*LCOE!H$22</f>
        <v>1</v>
      </c>
      <c r="L98" s="16">
        <f>LCOE!P124+LCOE!H$23*IF(LCOE!H$14&gt;0,G98,H98)*M98*D98</f>
        <v>168165720</v>
      </c>
      <c r="M98" s="15">
        <f>LCOE!Q124+M97+M97*LCOE!H$24</f>
        <v>1</v>
      </c>
      <c r="N98" s="15">
        <f>LCOE!R124+N97-N97*LCOE!H$25</f>
        <v>1</v>
      </c>
      <c r="O98" s="18">
        <f>LCOE!S124+LCOE!H$29</f>
        <v>313.75</v>
      </c>
      <c r="P98" s="12">
        <f>LCOE!T124+IF(A98&gt;=LCOE!H$30,100%,0%)</f>
        <v>1</v>
      </c>
      <c r="Q98" s="16">
        <f>LCOE!U124+O98/1000*IF(LCOE!H$14&gt;0,G98,H98)</f>
        <v>1236802.5</v>
      </c>
      <c r="R98" s="16">
        <f>LCOE!B124</f>
        <v>30</v>
      </c>
      <c r="S98" s="16">
        <f>LCOE!V124+Q98*P98*R98</f>
        <v>37104075</v>
      </c>
      <c r="T98" s="16">
        <f>LCOE!W124+LCOE!H$31</f>
        <v>0</v>
      </c>
      <c r="U98" s="16">
        <f>LCOE!X124+T98*IF(LCOE!H$14&gt;0,G98,H98)</f>
        <v>0</v>
      </c>
      <c r="V98" s="16">
        <f>LCOE!Y124+LCOE!H$32</f>
        <v>0</v>
      </c>
      <c r="W98" s="16">
        <f>LCOE!Z124+V98*IF(LCOE!H$14&gt;0,G98,H98)</f>
        <v>0</v>
      </c>
      <c r="X98" s="16">
        <f>LCOE!AA124+LCOE!H$34</f>
        <v>101</v>
      </c>
      <c r="Y98" s="16">
        <f t="shared" si="15"/>
        <v>0</v>
      </c>
      <c r="Z98" s="50">
        <f t="shared" si="18"/>
        <v>0</v>
      </c>
      <c r="AA98" s="50">
        <f t="shared" si="19"/>
        <v>20000000</v>
      </c>
      <c r="AB98" s="50">
        <f t="shared" si="20"/>
        <v>168165720</v>
      </c>
      <c r="AC98" s="50">
        <f t="shared" si="16"/>
        <v>0</v>
      </c>
      <c r="AD98" s="50">
        <f t="shared" si="11"/>
        <v>37104075</v>
      </c>
      <c r="AE98">
        <f t="shared" si="17"/>
        <v>28</v>
      </c>
      <c r="AF98" s="12">
        <f>LCOE!E124+LCOE!H$40</f>
        <v>0.08</v>
      </c>
      <c r="AG98">
        <f t="shared" si="12"/>
        <v>8.6271063863798378</v>
      </c>
      <c r="AH98" s="16">
        <f t="shared" si="7"/>
        <v>0</v>
      </c>
      <c r="AI98" s="16">
        <f t="shared" si="8"/>
        <v>2318274.4137217635</v>
      </c>
      <c r="AJ98" s="16">
        <f t="shared" si="9"/>
        <v>19492714.297054913</v>
      </c>
      <c r="AK98" s="16">
        <f t="shared" si="10"/>
        <v>0</v>
      </c>
      <c r="AL98" s="16">
        <f t="shared" si="13"/>
        <v>4300871.3858656669</v>
      </c>
      <c r="AM98" s="16">
        <f t="shared" si="14"/>
        <v>0</v>
      </c>
      <c r="AN98" s="16">
        <f>IF(LCOE!H$14&gt;0,G98,H98)/AG98</f>
        <v>456931.88694455958</v>
      </c>
    </row>
    <row r="99" spans="1:40">
      <c r="A99">
        <v>29</v>
      </c>
      <c r="C99" s="16">
        <f>LCOE!H125+IF(AND(LCOE!H$26&gt;0,A99&gt;=LCOE!H$26,A99&lt;=(LCOE!H$26+LCOE!H$27-1)),LCOE!H$42/LCOE!H$27,0)+IF(AND(D99=0,AE99&gt;=LCOE!H$16,COUNTIF(D74:D99,0)=LCOE!H$36),LCOE!H$35*LCOE!H$38,0)</f>
        <v>0</v>
      </c>
      <c r="D99" s="16">
        <f>IF(AE98&lt;LCOE!H$16,1,0)</f>
        <v>1</v>
      </c>
      <c r="E99" s="12">
        <f>LCOE!G125+IF(AND(A99&gt;=LCOE!H$26,A99&lt;=(LCOE!H$26+LCOE!H$27-1)),0,1)*IF(A99=LCOE!H$34,0,1)*D99</f>
        <v>1</v>
      </c>
      <c r="F99" s="12">
        <f>IF(F98&lt;LCOE!H$18,MIN(F98*(1+LCOE!H$19),LCOE!H$18),LCOE!H$18)+LCOE!J125</f>
        <v>0.9</v>
      </c>
      <c r="G99" s="16">
        <f>LCOE!K125+E99*F99*N99*(LCOE!H$14+LCOE!H125)*24*365*D99</f>
        <v>3942000</v>
      </c>
      <c r="H99" s="16">
        <f>LCOE!L125+F99*(LCOE!H$15+LCOE!I125)*E99*24*365*D99*N99</f>
        <v>0</v>
      </c>
      <c r="I99" s="16">
        <f>LCOE!M125+LCOE!H$20*IF(LCOE!H$14&gt;0,(LCOE!H$14+LCOE!H125),(LCOE!H$15+LCOE!I125))*K99*D99</f>
        <v>20000000</v>
      </c>
      <c r="J99" s="16">
        <f>LCOE!N125+LCOE!H$21*IF(LCOE!H$14&gt;0,G99,H99)*K99*D99</f>
        <v>0</v>
      </c>
      <c r="K99" s="15">
        <f>LCOE!O125+K98+K98*LCOE!H$22</f>
        <v>1</v>
      </c>
      <c r="L99" s="16">
        <f>LCOE!P125+LCOE!H$23*IF(LCOE!H$14&gt;0,G99,H99)*M99*D99</f>
        <v>168165720</v>
      </c>
      <c r="M99" s="15">
        <f>LCOE!Q125+M98+M98*LCOE!H$24</f>
        <v>1</v>
      </c>
      <c r="N99" s="15">
        <f>LCOE!R125+N98-N98*LCOE!H$25</f>
        <v>1</v>
      </c>
      <c r="O99" s="18">
        <f>LCOE!S125+LCOE!H$29</f>
        <v>313.75</v>
      </c>
      <c r="P99" s="12">
        <f>LCOE!T125+IF(A99&gt;=LCOE!H$30,100%,0%)</f>
        <v>1</v>
      </c>
      <c r="Q99" s="16">
        <f>LCOE!U125+O99/1000*IF(LCOE!H$14&gt;0,G99,H99)</f>
        <v>1236802.5</v>
      </c>
      <c r="R99" s="16">
        <f>LCOE!B125</f>
        <v>30</v>
      </c>
      <c r="S99" s="16">
        <f>LCOE!V125+Q99*P99*R99</f>
        <v>37104075</v>
      </c>
      <c r="T99" s="16">
        <f>LCOE!W125+LCOE!H$31</f>
        <v>0</v>
      </c>
      <c r="U99" s="16">
        <f>LCOE!X125+T99*IF(LCOE!H$14&gt;0,G99,H99)</f>
        <v>0</v>
      </c>
      <c r="V99" s="16">
        <f>LCOE!Y125+LCOE!H$32</f>
        <v>0</v>
      </c>
      <c r="W99" s="16">
        <f>LCOE!Z125+V99*IF(LCOE!H$14&gt;0,G99,H99)</f>
        <v>0</v>
      </c>
      <c r="X99" s="16">
        <f>LCOE!AA125+LCOE!H$34</f>
        <v>101</v>
      </c>
      <c r="Y99" s="16">
        <f t="shared" si="15"/>
        <v>0</v>
      </c>
      <c r="Z99" s="50">
        <f t="shared" si="18"/>
        <v>0</v>
      </c>
      <c r="AA99" s="50">
        <f t="shared" si="19"/>
        <v>20000000</v>
      </c>
      <c r="AB99" s="50">
        <f t="shared" si="20"/>
        <v>168165720</v>
      </c>
      <c r="AC99" s="50">
        <f t="shared" si="16"/>
        <v>0</v>
      </c>
      <c r="AD99" s="50">
        <f t="shared" si="11"/>
        <v>37104075</v>
      </c>
      <c r="AE99">
        <f t="shared" si="17"/>
        <v>29</v>
      </c>
      <c r="AF99" s="12">
        <f>LCOE!E125+LCOE!H$40</f>
        <v>0.08</v>
      </c>
      <c r="AG99">
        <f t="shared" si="12"/>
        <v>9.3172748972902255</v>
      </c>
      <c r="AH99" s="16">
        <f t="shared" si="7"/>
        <v>0</v>
      </c>
      <c r="AI99" s="16">
        <f t="shared" si="8"/>
        <v>2146550.3830757067</v>
      </c>
      <c r="AJ99" s="16">
        <f t="shared" si="9"/>
        <v>18048809.534310102</v>
      </c>
      <c r="AK99" s="16">
        <f t="shared" si="10"/>
        <v>0</v>
      </c>
      <c r="AL99" s="16">
        <f t="shared" si="13"/>
        <v>3982288.3202459877</v>
      </c>
      <c r="AM99" s="16">
        <f t="shared" si="14"/>
        <v>0</v>
      </c>
      <c r="AN99" s="16">
        <f>IF(LCOE!H$14&gt;0,G99,H99)/AG99</f>
        <v>423085.08050422178</v>
      </c>
    </row>
    <row r="100" spans="1:40">
      <c r="A100">
        <v>30</v>
      </c>
      <c r="C100" s="16">
        <f>LCOE!H126+IF(AND(LCOE!H$26&gt;0,A100&gt;=LCOE!H$26,A100&lt;=(LCOE!H$26+LCOE!H$27-1)),LCOE!H$42/LCOE!H$27,0)+IF(AND(D100=0,AE100&gt;=LCOE!H$16,COUNTIF(D75:D100,0)=LCOE!H$36),LCOE!H$35*LCOE!H$38,0)</f>
        <v>0</v>
      </c>
      <c r="D100" s="16">
        <f>IF(AE99&lt;LCOE!H$16,1,0)</f>
        <v>1</v>
      </c>
      <c r="E100" s="12">
        <f>LCOE!G126+IF(AND(A100&gt;=LCOE!H$26,A100&lt;=(LCOE!H$26+LCOE!H$27-1)),0,1)*IF(A100=LCOE!H$34,0,1)*D100</f>
        <v>1</v>
      </c>
      <c r="F100" s="12">
        <f>IF(F99&lt;LCOE!H$18,MIN(F99*(1+LCOE!H$19),LCOE!H$18),LCOE!H$18)+LCOE!J126</f>
        <v>0.9</v>
      </c>
      <c r="G100" s="16">
        <f>LCOE!K126+E100*F100*N100*(LCOE!H$14+LCOE!H126)*24*365*D100</f>
        <v>3942000</v>
      </c>
      <c r="H100" s="16">
        <f>LCOE!L126+F100*(LCOE!H$15+LCOE!I126)*E100*24*365*D100*N100</f>
        <v>0</v>
      </c>
      <c r="I100" s="16">
        <f>LCOE!M126+LCOE!H$20*IF(LCOE!H$14&gt;0,(LCOE!H$14+LCOE!H126),(LCOE!H$15+LCOE!I126))*K100*D100</f>
        <v>20000000</v>
      </c>
      <c r="J100" s="16">
        <f>LCOE!N126+LCOE!H$21*IF(LCOE!H$14&gt;0,G100,H100)*K100*D100</f>
        <v>0</v>
      </c>
      <c r="K100" s="15">
        <f>LCOE!O126+K99+K99*LCOE!H$22</f>
        <v>1</v>
      </c>
      <c r="L100" s="16">
        <f>LCOE!P126+LCOE!H$23*IF(LCOE!H$14&gt;0,G100,H100)*M100*D100</f>
        <v>168165720</v>
      </c>
      <c r="M100" s="15">
        <f>LCOE!Q126+M99+M99*LCOE!H$24</f>
        <v>1</v>
      </c>
      <c r="N100" s="15">
        <f>LCOE!R126+N99-N99*LCOE!H$25</f>
        <v>1</v>
      </c>
      <c r="O100" s="18">
        <f>LCOE!S126+LCOE!H$29</f>
        <v>313.75</v>
      </c>
      <c r="P100" s="12">
        <f>LCOE!T126+IF(A100&gt;=LCOE!H$30,100%,0%)</f>
        <v>1</v>
      </c>
      <c r="Q100" s="16">
        <f>LCOE!U126+O100/1000*IF(LCOE!H$14&gt;0,G100,H100)</f>
        <v>1236802.5</v>
      </c>
      <c r="R100" s="16">
        <f>LCOE!B126</f>
        <v>30</v>
      </c>
      <c r="S100" s="16">
        <f>LCOE!V126+Q100*P100*R100</f>
        <v>37104075</v>
      </c>
      <c r="T100" s="16">
        <f>LCOE!W126+LCOE!H$31</f>
        <v>0</v>
      </c>
      <c r="U100" s="16">
        <f>LCOE!X126+T100*IF(LCOE!H$14&gt;0,G100,H100)</f>
        <v>0</v>
      </c>
      <c r="V100" s="16">
        <f>LCOE!Y126+LCOE!H$32</f>
        <v>0</v>
      </c>
      <c r="W100" s="16">
        <f>LCOE!Z126+V100*IF(LCOE!H$14&gt;0,G100,H100)</f>
        <v>0</v>
      </c>
      <c r="X100" s="16">
        <f>LCOE!AA126+LCOE!H$34</f>
        <v>101</v>
      </c>
      <c r="Y100" s="16">
        <f t="shared" si="15"/>
        <v>0</v>
      </c>
      <c r="Z100" s="50">
        <f t="shared" si="18"/>
        <v>0</v>
      </c>
      <c r="AA100" s="50">
        <f t="shared" si="19"/>
        <v>20000000</v>
      </c>
      <c r="AB100" s="50">
        <f t="shared" si="20"/>
        <v>168165720</v>
      </c>
      <c r="AC100" s="50">
        <f t="shared" si="16"/>
        <v>0</v>
      </c>
      <c r="AD100" s="50">
        <f t="shared" si="11"/>
        <v>37104075</v>
      </c>
      <c r="AE100">
        <f t="shared" si="17"/>
        <v>30</v>
      </c>
      <c r="AF100" s="12">
        <f>LCOE!E126+LCOE!H$40</f>
        <v>0.08</v>
      </c>
      <c r="AG100">
        <f t="shared" si="12"/>
        <v>10.062656889073445</v>
      </c>
      <c r="AH100" s="16">
        <f t="shared" si="7"/>
        <v>0</v>
      </c>
      <c r="AI100" s="16">
        <f t="shared" si="8"/>
        <v>1987546.6509960245</v>
      </c>
      <c r="AJ100" s="16">
        <f t="shared" si="9"/>
        <v>16711860.67991676</v>
      </c>
      <c r="AK100" s="16">
        <f t="shared" si="10"/>
        <v>0</v>
      </c>
      <c r="AL100" s="16">
        <f t="shared" si="13"/>
        <v>3687304.0002277661</v>
      </c>
      <c r="AM100" s="16">
        <f t="shared" si="14"/>
        <v>0</v>
      </c>
      <c r="AN100" s="16">
        <f>IF(LCOE!H$14&gt;0,G100,H100)/AG100</f>
        <v>391745.44491131644</v>
      </c>
    </row>
    <row r="101" spans="1:40">
      <c r="A101">
        <v>31</v>
      </c>
      <c r="C101" s="16">
        <f>LCOE!H127+IF(AND(LCOE!H$26&gt;0,A101&gt;=LCOE!H$26,A101&lt;=(LCOE!H$26+LCOE!H$27-1)),LCOE!H$42/LCOE!H$27,0)+IF(AND(D101=0,AE101&gt;=LCOE!H$16,COUNTIF(D76:D101,0)=LCOE!H$36),LCOE!H$35*LCOE!H$38,0)</f>
        <v>0</v>
      </c>
      <c r="D101" s="16">
        <f>IF(AE100&lt;LCOE!H$16,1,0)</f>
        <v>0</v>
      </c>
      <c r="E101" s="12">
        <f>LCOE!G127+IF(AND(A101&gt;=LCOE!H$26,A101&lt;=(LCOE!H$26+LCOE!H$27-1)),0,1)*IF(A101=LCOE!H$34,0,1)*D101</f>
        <v>0</v>
      </c>
      <c r="F101" s="12">
        <f>IF(F100&lt;LCOE!H$18,MIN(F100*(1+LCOE!H$19),LCOE!H$18),LCOE!H$18)+LCOE!J127</f>
        <v>0.9</v>
      </c>
      <c r="G101" s="16">
        <f>LCOE!K127+E101*F101*N101*(LCOE!H$14+LCOE!H127)*24*365*D101</f>
        <v>0</v>
      </c>
      <c r="H101" s="16">
        <f>LCOE!L127+F101*(LCOE!H$15+LCOE!I127)*E101*24*365*D101*N101</f>
        <v>0</v>
      </c>
      <c r="I101" s="16">
        <f>LCOE!M127+LCOE!H$20*IF(LCOE!H$14&gt;0,(LCOE!H$14+LCOE!H127),(LCOE!H$15+LCOE!I127))*K101*D101</f>
        <v>0</v>
      </c>
      <c r="J101" s="16">
        <f>LCOE!N127+LCOE!H$21*IF(LCOE!H$14&gt;0,G101,H101)*K101*D101</f>
        <v>0</v>
      </c>
      <c r="K101" s="15">
        <f>LCOE!O127+K100+K100*LCOE!H$22</f>
        <v>1</v>
      </c>
      <c r="L101" s="16">
        <f>LCOE!P127+LCOE!H$23*IF(LCOE!H$14&gt;0,G101,H101)*M101*D101</f>
        <v>0</v>
      </c>
      <c r="M101" s="15">
        <f>LCOE!Q127+M100+M100*LCOE!H$24</f>
        <v>1</v>
      </c>
      <c r="N101" s="15">
        <f>LCOE!R127+N100-N100*LCOE!H$25</f>
        <v>1</v>
      </c>
      <c r="O101" s="18">
        <f>LCOE!S127+LCOE!H$29</f>
        <v>313.75</v>
      </c>
      <c r="P101" s="12">
        <f>LCOE!T127+IF(A101&gt;=LCOE!H$30,100%,0%)</f>
        <v>1</v>
      </c>
      <c r="Q101" s="16">
        <f>LCOE!U127+O101/1000*IF(LCOE!H$14&gt;0,G101,H101)</f>
        <v>0</v>
      </c>
      <c r="R101" s="16">
        <f>LCOE!B127</f>
        <v>30</v>
      </c>
      <c r="S101" s="16">
        <f>LCOE!V127+Q101*P101*R101</f>
        <v>0</v>
      </c>
      <c r="T101" s="16">
        <f>LCOE!W127+LCOE!H$31</f>
        <v>0</v>
      </c>
      <c r="U101" s="16">
        <f>LCOE!X127+T101*IF(LCOE!H$14&gt;0,G101,H101)</f>
        <v>0</v>
      </c>
      <c r="V101" s="16">
        <f>LCOE!Y127+LCOE!H$32</f>
        <v>0</v>
      </c>
      <c r="W101" s="16">
        <f>LCOE!Z127+V101*IF(LCOE!H$14&gt;0,G101,H101)</f>
        <v>0</v>
      </c>
      <c r="X101" s="16">
        <f>LCOE!AA127+LCOE!H$34</f>
        <v>101</v>
      </c>
      <c r="Y101" s="16">
        <f t="shared" si="15"/>
        <v>0</v>
      </c>
      <c r="Z101" s="50">
        <f t="shared" si="18"/>
        <v>0</v>
      </c>
      <c r="AA101" s="50">
        <f t="shared" si="19"/>
        <v>0</v>
      </c>
      <c r="AB101" s="50">
        <f t="shared" si="20"/>
        <v>0</v>
      </c>
      <c r="AC101" s="50">
        <f t="shared" si="16"/>
        <v>0</v>
      </c>
      <c r="AD101" s="50">
        <f t="shared" si="11"/>
        <v>0</v>
      </c>
      <c r="AE101">
        <f t="shared" si="17"/>
        <v>30</v>
      </c>
      <c r="AF101" s="12">
        <f>LCOE!E127+LCOE!H$40</f>
        <v>0.08</v>
      </c>
      <c r="AG101">
        <f t="shared" si="12"/>
        <v>10.867669440199322</v>
      </c>
      <c r="AH101" s="16">
        <f t="shared" si="7"/>
        <v>0</v>
      </c>
      <c r="AI101" s="16">
        <f t="shared" si="8"/>
        <v>0</v>
      </c>
      <c r="AJ101" s="16">
        <f t="shared" si="9"/>
        <v>0</v>
      </c>
      <c r="AK101" s="16">
        <f t="shared" si="10"/>
        <v>0</v>
      </c>
      <c r="AL101" s="16">
        <f t="shared" si="13"/>
        <v>0</v>
      </c>
      <c r="AM101" s="16">
        <f t="shared" si="14"/>
        <v>0</v>
      </c>
      <c r="AN101" s="16">
        <f>IF(LCOE!H$14&gt;0,G101,H101)/AG101</f>
        <v>0</v>
      </c>
    </row>
    <row r="102" spans="1:40">
      <c r="A102">
        <v>32</v>
      </c>
      <c r="C102" s="16">
        <f>LCOE!H128+IF(AND(LCOE!H$26&gt;0,A102&gt;=LCOE!H$26,A102&lt;=(LCOE!H$26+LCOE!H$27-1)),LCOE!H$42/LCOE!H$27,0)+IF(AND(D102=0,AE102&gt;=LCOE!H$16,COUNTIF(D77:D102,0)=LCOE!H$36),LCOE!H$35*LCOE!H$38,0)</f>
        <v>25225000</v>
      </c>
      <c r="D102" s="16">
        <f>IF(AE101&lt;LCOE!H$16,1,0)</f>
        <v>0</v>
      </c>
      <c r="E102" s="12">
        <f>LCOE!G128+IF(AND(A102&gt;=LCOE!H$26,A102&lt;=(LCOE!H$26+LCOE!H$27-1)),0,1)*IF(A102=LCOE!H$34,0,1)*D102</f>
        <v>0</v>
      </c>
      <c r="F102" s="12">
        <f>IF(F101&lt;LCOE!H$18,MIN(F101*(1+LCOE!H$19),LCOE!H$18),LCOE!H$18)+LCOE!J128</f>
        <v>0.9</v>
      </c>
      <c r="G102" s="16">
        <f>LCOE!K128+E102*F102*N102*(LCOE!H$14+LCOE!H128)*24*365*D102</f>
        <v>0</v>
      </c>
      <c r="H102" s="16">
        <f>LCOE!L128+F102*(LCOE!H$15+LCOE!I128)*E102*24*365*D102*N102</f>
        <v>0</v>
      </c>
      <c r="I102" s="16">
        <f>LCOE!M128+LCOE!H$20*IF(LCOE!H$14&gt;0,(LCOE!H$14+LCOE!H128),(LCOE!H$15+LCOE!I128))*K102*D102</f>
        <v>0</v>
      </c>
      <c r="J102" s="16">
        <f>LCOE!N128+LCOE!H$21*IF(LCOE!H$14&gt;0,G102,H102)*K102*D102</f>
        <v>0</v>
      </c>
      <c r="K102" s="15">
        <f>LCOE!O128+K101+K101*LCOE!H$22</f>
        <v>1</v>
      </c>
      <c r="L102" s="16">
        <f>LCOE!P128+LCOE!H$23*IF(LCOE!H$14&gt;0,G102,H102)*M102*D102</f>
        <v>0</v>
      </c>
      <c r="M102" s="15">
        <f>LCOE!Q128+M101+M101*LCOE!H$24</f>
        <v>1</v>
      </c>
      <c r="N102" s="15">
        <f>LCOE!R128+N101-N101*LCOE!H$25</f>
        <v>1</v>
      </c>
      <c r="O102" s="18">
        <f>LCOE!S128+LCOE!H$29</f>
        <v>313.75</v>
      </c>
      <c r="P102" s="12">
        <f>LCOE!T128+IF(A102&gt;=LCOE!H$30,100%,0%)</f>
        <v>1</v>
      </c>
      <c r="Q102" s="16">
        <f>LCOE!U128+O102/1000*IF(LCOE!H$14&gt;0,G102,H102)</f>
        <v>0</v>
      </c>
      <c r="R102" s="16">
        <f>LCOE!B128</f>
        <v>30</v>
      </c>
      <c r="S102" s="16">
        <f>LCOE!V128+Q102*P102*R102</f>
        <v>0</v>
      </c>
      <c r="T102" s="16">
        <f>LCOE!W128+LCOE!H$31</f>
        <v>0</v>
      </c>
      <c r="U102" s="16">
        <f>LCOE!X128+T102*IF(LCOE!H$14&gt;0,G102,H102)</f>
        <v>0</v>
      </c>
      <c r="V102" s="16">
        <f>LCOE!Y128+LCOE!H$32</f>
        <v>0</v>
      </c>
      <c r="W102" s="16">
        <f>LCOE!Z128+V102*IF(LCOE!H$14&gt;0,G102,H102)</f>
        <v>0</v>
      </c>
      <c r="X102" s="16">
        <f>LCOE!AA128+LCOE!H$34</f>
        <v>101</v>
      </c>
      <c r="Y102" s="16">
        <f t="shared" si="15"/>
        <v>0</v>
      </c>
      <c r="Z102" s="50">
        <f t="shared" si="18"/>
        <v>25225000</v>
      </c>
      <c r="AA102" s="50">
        <f t="shared" si="19"/>
        <v>0</v>
      </c>
      <c r="AB102" s="50">
        <f t="shared" si="20"/>
        <v>0</v>
      </c>
      <c r="AC102" s="50">
        <f t="shared" si="16"/>
        <v>0</v>
      </c>
      <c r="AD102" s="50">
        <f t="shared" si="11"/>
        <v>0</v>
      </c>
      <c r="AE102">
        <f t="shared" si="17"/>
        <v>30</v>
      </c>
      <c r="AF102" s="12">
        <f>LCOE!E128+LCOE!H$40</f>
        <v>0.08</v>
      </c>
      <c r="AG102">
        <f t="shared" si="12"/>
        <v>11.737082995415268</v>
      </c>
      <c r="AH102" s="16">
        <f t="shared" si="7"/>
        <v>2149171.1364615359</v>
      </c>
      <c r="AI102" s="16">
        <f t="shared" si="8"/>
        <v>0</v>
      </c>
      <c r="AJ102" s="16">
        <f t="shared" si="9"/>
        <v>0</v>
      </c>
      <c r="AK102" s="16">
        <f t="shared" si="10"/>
        <v>0</v>
      </c>
      <c r="AL102" s="16">
        <f t="shared" si="13"/>
        <v>0</v>
      </c>
      <c r="AM102" s="16">
        <f t="shared" si="14"/>
        <v>0</v>
      </c>
      <c r="AN102" s="16">
        <f>IF(LCOE!H$14&gt;0,G102,H102)/AG102</f>
        <v>0</v>
      </c>
    </row>
    <row r="103" spans="1:40">
      <c r="A103">
        <v>33</v>
      </c>
      <c r="C103" s="16">
        <f>LCOE!H129+IF(AND(LCOE!H$26&gt;0,A103&gt;=LCOE!H$26,A103&lt;=(LCOE!H$26+LCOE!H$27-1)),LCOE!H$42/LCOE!H$27,0)+IF(AND(D103=0,AE103&gt;=LCOE!H$16,COUNTIF(D78:D103,0)=LCOE!H$36),LCOE!H$35*LCOE!H$38,0)</f>
        <v>0</v>
      </c>
      <c r="D103" s="16">
        <f>IF(AE102&lt;LCOE!H$16,1,0)</f>
        <v>0</v>
      </c>
      <c r="E103" s="12">
        <f>LCOE!G129+IF(AND(A103&gt;=LCOE!H$26,A103&lt;=(LCOE!H$26+LCOE!H$27-1)),0,1)*IF(A103=LCOE!H$34,0,1)*D103</f>
        <v>0</v>
      </c>
      <c r="F103" s="12">
        <f>IF(F102&lt;LCOE!H$18,MIN(F102*(1+LCOE!H$19),LCOE!H$18),LCOE!H$18)+LCOE!J129</f>
        <v>0.9</v>
      </c>
      <c r="G103" s="16">
        <f>LCOE!K129+E103*F103*N103*(LCOE!H$14+LCOE!H129)*24*365*D103</f>
        <v>0</v>
      </c>
      <c r="H103" s="16">
        <f>LCOE!L129+F103*(LCOE!H$15+LCOE!I129)*E103*24*365*D103*N103</f>
        <v>0</v>
      </c>
      <c r="I103" s="16">
        <f>LCOE!M129+LCOE!H$20*IF(LCOE!H$14&gt;0,(LCOE!H$14+LCOE!H129),(LCOE!H$15+LCOE!I129))*K103*D103</f>
        <v>0</v>
      </c>
      <c r="J103" s="16">
        <f>LCOE!N129+LCOE!H$21*IF(LCOE!H$14&gt;0,G103,H103)*K103*D103</f>
        <v>0</v>
      </c>
      <c r="K103" s="15">
        <f>LCOE!O129+K102+K102*LCOE!H$22</f>
        <v>1</v>
      </c>
      <c r="L103" s="16">
        <f>LCOE!P129+LCOE!H$23*IF(LCOE!H$14&gt;0,G103,H103)*M103*D103</f>
        <v>0</v>
      </c>
      <c r="M103" s="15">
        <f>LCOE!Q129+M102+M102*LCOE!H$24</f>
        <v>1</v>
      </c>
      <c r="N103" s="15">
        <f>LCOE!R129+N102-N102*LCOE!H$25</f>
        <v>1</v>
      </c>
      <c r="O103" s="18">
        <f>LCOE!S129+LCOE!H$29</f>
        <v>313.75</v>
      </c>
      <c r="P103" s="12">
        <f>LCOE!T129+IF(A103&gt;=LCOE!H$30,100%,0%)</f>
        <v>1</v>
      </c>
      <c r="Q103" s="16">
        <f>LCOE!U129+O103/1000*IF(LCOE!H$14&gt;0,G103,H103)</f>
        <v>0</v>
      </c>
      <c r="R103" s="16">
        <f>LCOE!B129</f>
        <v>30</v>
      </c>
      <c r="S103" s="16">
        <f>LCOE!V129+Q103*P103*R103</f>
        <v>0</v>
      </c>
      <c r="T103" s="16">
        <f>LCOE!W129+LCOE!H$31</f>
        <v>0</v>
      </c>
      <c r="U103" s="16">
        <f>LCOE!X129+T103*IF(LCOE!H$14&gt;0,G103,H103)</f>
        <v>0</v>
      </c>
      <c r="V103" s="16">
        <f>LCOE!Y129+LCOE!H$32</f>
        <v>0</v>
      </c>
      <c r="W103" s="16">
        <f>LCOE!Z129+V103*IF(LCOE!H$14&gt;0,G103,H103)</f>
        <v>0</v>
      </c>
      <c r="X103" s="16">
        <f>LCOE!AA129+LCOE!H$34</f>
        <v>101</v>
      </c>
      <c r="Y103" s="16">
        <f t="shared" si="15"/>
        <v>0</v>
      </c>
      <c r="Z103" s="50">
        <f t="shared" si="18"/>
        <v>0</v>
      </c>
      <c r="AA103" s="50">
        <f t="shared" si="19"/>
        <v>0</v>
      </c>
      <c r="AB103" s="50">
        <f t="shared" si="20"/>
        <v>0</v>
      </c>
      <c r="AC103" s="50">
        <f t="shared" si="16"/>
        <v>0</v>
      </c>
      <c r="AD103" s="50">
        <f t="shared" si="11"/>
        <v>0</v>
      </c>
      <c r="AE103">
        <f t="shared" si="17"/>
        <v>30</v>
      </c>
      <c r="AF103" s="12">
        <f>LCOE!E129+LCOE!H$40</f>
        <v>0.08</v>
      </c>
      <c r="AG103">
        <f t="shared" si="12"/>
        <v>12.676049635048489</v>
      </c>
      <c r="AH103" s="16">
        <f t="shared" si="7"/>
        <v>0</v>
      </c>
      <c r="AI103" s="16">
        <f t="shared" si="8"/>
        <v>0</v>
      </c>
      <c r="AJ103" s="16">
        <f t="shared" si="9"/>
        <v>0</v>
      </c>
      <c r="AK103" s="16">
        <f t="shared" si="10"/>
        <v>0</v>
      </c>
      <c r="AL103" s="16">
        <f t="shared" si="13"/>
        <v>0</v>
      </c>
      <c r="AM103" s="16">
        <f t="shared" si="14"/>
        <v>0</v>
      </c>
      <c r="AN103" s="16">
        <f>IF(LCOE!H$14&gt;0,G103,H103)/AG103</f>
        <v>0</v>
      </c>
    </row>
    <row r="104" spans="1:40">
      <c r="A104">
        <v>34</v>
      </c>
      <c r="C104" s="16">
        <f>LCOE!H130+IF(AND(LCOE!H$26&gt;0,A104&gt;=LCOE!H$26,A104&lt;=(LCOE!H$26+LCOE!H$27-1)),LCOE!H$42/LCOE!H$27,0)+IF(AND(D104=0,AE104&gt;=LCOE!H$16,COUNTIF(D79:D104,0)=LCOE!H$36),LCOE!H$35*LCOE!H$38,0)</f>
        <v>0</v>
      </c>
      <c r="D104" s="16">
        <f>IF(AE103&lt;LCOE!H$16,1,0)</f>
        <v>0</v>
      </c>
      <c r="E104" s="12">
        <f>LCOE!G130+IF(AND(A104&gt;=LCOE!H$26,A104&lt;=(LCOE!H$26+LCOE!H$27-1)),0,1)*IF(A104=LCOE!H$34,0,1)*D104</f>
        <v>0</v>
      </c>
      <c r="F104" s="12">
        <f>IF(F103&lt;LCOE!H$18,MIN(F103*(1+LCOE!H$19),LCOE!H$18),LCOE!H$18)+LCOE!J130</f>
        <v>0.9</v>
      </c>
      <c r="G104" s="16">
        <f>LCOE!K130+E104*F104*N104*(LCOE!H$14+LCOE!H130)*24*365*D104</f>
        <v>0</v>
      </c>
      <c r="H104" s="16">
        <f>LCOE!L130+F104*(LCOE!H$15+LCOE!I130)*E104*24*365*D104*N104</f>
        <v>0</v>
      </c>
      <c r="I104" s="16">
        <f>LCOE!M130+LCOE!H$20*IF(LCOE!H$14&gt;0,(LCOE!H$14+LCOE!H130),(LCOE!H$15+LCOE!I130))*K104*D104</f>
        <v>0</v>
      </c>
      <c r="J104" s="16">
        <f>LCOE!N130+LCOE!H$21*IF(LCOE!H$14&gt;0,G104,H104)*K104*D104</f>
        <v>0</v>
      </c>
      <c r="K104" s="15">
        <f>LCOE!O130+K103+K103*LCOE!H$22</f>
        <v>1</v>
      </c>
      <c r="L104" s="16">
        <f>LCOE!P130+LCOE!H$23*IF(LCOE!H$14&gt;0,G104,H104)*M104*D104</f>
        <v>0</v>
      </c>
      <c r="M104" s="15">
        <f>LCOE!Q130+M103+M103*LCOE!H$24</f>
        <v>1</v>
      </c>
      <c r="N104" s="15">
        <f>LCOE!R130+N103-N103*LCOE!H$25</f>
        <v>1</v>
      </c>
      <c r="O104" s="18">
        <f>LCOE!S130+LCOE!H$29</f>
        <v>313.75</v>
      </c>
      <c r="P104" s="12">
        <f>LCOE!T130+IF(A104&gt;=LCOE!H$30,100%,0%)</f>
        <v>1</v>
      </c>
      <c r="Q104" s="16">
        <f>LCOE!U130+O104/1000*IF(LCOE!H$14&gt;0,G104,H104)</f>
        <v>0</v>
      </c>
      <c r="R104" s="16">
        <f>LCOE!B130</f>
        <v>30</v>
      </c>
      <c r="S104" s="16">
        <f>LCOE!V130+Q104*P104*R104</f>
        <v>0</v>
      </c>
      <c r="T104" s="16">
        <f>LCOE!W130+LCOE!H$31</f>
        <v>0</v>
      </c>
      <c r="U104" s="16">
        <f>LCOE!X130+T104*IF(LCOE!H$14&gt;0,G104,H104)</f>
        <v>0</v>
      </c>
      <c r="V104" s="16">
        <f>LCOE!Y130+LCOE!H$32</f>
        <v>0</v>
      </c>
      <c r="W104" s="16">
        <f>LCOE!Z130+V104*IF(LCOE!H$14&gt;0,G104,H104)</f>
        <v>0</v>
      </c>
      <c r="X104" s="16">
        <f>LCOE!AA130+LCOE!H$34</f>
        <v>101</v>
      </c>
      <c r="Y104" s="16">
        <f t="shared" si="15"/>
        <v>0</v>
      </c>
      <c r="Z104" s="50">
        <f t="shared" si="18"/>
        <v>0</v>
      </c>
      <c r="AA104" s="50">
        <f t="shared" si="19"/>
        <v>0</v>
      </c>
      <c r="AB104" s="50">
        <f t="shared" si="20"/>
        <v>0</v>
      </c>
      <c r="AC104" s="50">
        <f t="shared" si="16"/>
        <v>0</v>
      </c>
      <c r="AD104" s="50">
        <f t="shared" si="11"/>
        <v>0</v>
      </c>
      <c r="AE104">
        <f t="shared" si="17"/>
        <v>30</v>
      </c>
      <c r="AF104" s="12">
        <f>LCOE!E130+LCOE!H$40</f>
        <v>0.08</v>
      </c>
      <c r="AG104">
        <f t="shared" si="12"/>
        <v>13.690133605852369</v>
      </c>
      <c r="AH104" s="16">
        <f t="shared" si="7"/>
        <v>0</v>
      </c>
      <c r="AI104" s="16">
        <f t="shared" si="8"/>
        <v>0</v>
      </c>
      <c r="AJ104" s="16">
        <f t="shared" si="9"/>
        <v>0</v>
      </c>
      <c r="AK104" s="16">
        <f t="shared" si="10"/>
        <v>0</v>
      </c>
      <c r="AL104" s="16">
        <f t="shared" si="13"/>
        <v>0</v>
      </c>
      <c r="AM104" s="16">
        <f t="shared" si="14"/>
        <v>0</v>
      </c>
      <c r="AN104" s="16">
        <f>IF(LCOE!H$14&gt;0,G104,H104)/AG104</f>
        <v>0</v>
      </c>
    </row>
    <row r="105" spans="1:40">
      <c r="A105">
        <v>35</v>
      </c>
      <c r="C105" s="16">
        <f>LCOE!H131+IF(AND(LCOE!H$26&gt;0,A105&gt;=LCOE!H$26,A105&lt;=(LCOE!H$26+LCOE!H$27-1)),LCOE!H$42/LCOE!H$27,0)+IF(AND(D105=0,AE105&gt;=LCOE!H$16,COUNTIF(D80:D105,0)=LCOE!H$36),LCOE!H$35*LCOE!H$38,0)</f>
        <v>0</v>
      </c>
      <c r="D105" s="16">
        <f>IF(AE104&lt;LCOE!H$16,1,0)</f>
        <v>0</v>
      </c>
      <c r="E105" s="12">
        <f>LCOE!G131+IF(AND(A105&gt;=LCOE!H$26,A105&lt;=(LCOE!H$26+LCOE!H$27-1)),0,1)*IF(A105=LCOE!H$34,0,1)*D105</f>
        <v>0</v>
      </c>
      <c r="F105" s="12">
        <f>IF(F104&lt;LCOE!H$18,MIN(F104*(1+LCOE!H$19),LCOE!H$18),LCOE!H$18)+LCOE!J131</f>
        <v>0.9</v>
      </c>
      <c r="G105" s="16">
        <f>LCOE!K131+E105*F105*N105*(LCOE!H$14+LCOE!H131)*24*365*D105</f>
        <v>0</v>
      </c>
      <c r="H105" s="16">
        <f>LCOE!L131+F105*(LCOE!H$15+LCOE!I131)*E105*24*365*D105*N105</f>
        <v>0</v>
      </c>
      <c r="I105" s="16">
        <f>LCOE!M131+LCOE!H$20*IF(LCOE!H$14&gt;0,(LCOE!H$14+LCOE!H131),(LCOE!H$15+LCOE!I131))*K105*D105</f>
        <v>0</v>
      </c>
      <c r="J105" s="16">
        <f>LCOE!N131+LCOE!H$21*IF(LCOE!H$14&gt;0,G105,H105)*K105*D105</f>
        <v>0</v>
      </c>
      <c r="K105" s="15">
        <f>LCOE!O131+K104+K104*LCOE!H$22</f>
        <v>1</v>
      </c>
      <c r="L105" s="16">
        <f>LCOE!P131+LCOE!H$23*IF(LCOE!H$14&gt;0,G105,H105)*M105*D105</f>
        <v>0</v>
      </c>
      <c r="M105" s="15">
        <f>LCOE!Q131+M104+M104*LCOE!H$24</f>
        <v>1</v>
      </c>
      <c r="N105" s="15">
        <f>LCOE!R131+N104-N104*LCOE!H$25</f>
        <v>1</v>
      </c>
      <c r="O105" s="18">
        <f>LCOE!S131+LCOE!H$29</f>
        <v>313.75</v>
      </c>
      <c r="P105" s="12">
        <f>LCOE!T131+IF(A105&gt;=LCOE!H$30,100%,0%)</f>
        <v>1</v>
      </c>
      <c r="Q105" s="16">
        <f>LCOE!U131+O105/1000*IF(LCOE!H$14&gt;0,G105,H105)</f>
        <v>0</v>
      </c>
      <c r="R105" s="16">
        <f>LCOE!B131</f>
        <v>30</v>
      </c>
      <c r="S105" s="16">
        <f>LCOE!V131+Q105*P105*R105</f>
        <v>0</v>
      </c>
      <c r="T105" s="16">
        <f>LCOE!W131+LCOE!H$31</f>
        <v>0</v>
      </c>
      <c r="U105" s="16">
        <f>LCOE!X131+T105*IF(LCOE!H$14&gt;0,G105,H105)</f>
        <v>0</v>
      </c>
      <c r="V105" s="16">
        <f>LCOE!Y131+LCOE!H$32</f>
        <v>0</v>
      </c>
      <c r="W105" s="16">
        <f>LCOE!Z131+V105*IF(LCOE!H$14&gt;0,G105,H105)</f>
        <v>0</v>
      </c>
      <c r="X105" s="16">
        <f>LCOE!AA131+LCOE!H$34</f>
        <v>101</v>
      </c>
      <c r="Y105" s="16">
        <f t="shared" si="15"/>
        <v>0</v>
      </c>
      <c r="Z105" s="50">
        <f t="shared" si="18"/>
        <v>0</v>
      </c>
      <c r="AA105" s="50">
        <f t="shared" si="19"/>
        <v>0</v>
      </c>
      <c r="AB105" s="50">
        <f t="shared" si="20"/>
        <v>0</v>
      </c>
      <c r="AC105" s="50">
        <f t="shared" si="16"/>
        <v>0</v>
      </c>
      <c r="AD105" s="50">
        <f t="shared" si="11"/>
        <v>0</v>
      </c>
      <c r="AE105">
        <f t="shared" si="17"/>
        <v>30</v>
      </c>
      <c r="AF105" s="12">
        <f>LCOE!E131+LCOE!H$40</f>
        <v>0.08</v>
      </c>
      <c r="AG105">
        <f t="shared" si="12"/>
        <v>14.785344294320559</v>
      </c>
      <c r="AH105" s="16">
        <f t="shared" si="7"/>
        <v>0</v>
      </c>
      <c r="AI105" s="16">
        <f t="shared" si="8"/>
        <v>0</v>
      </c>
      <c r="AJ105" s="16">
        <f t="shared" si="9"/>
        <v>0</v>
      </c>
      <c r="AK105" s="16">
        <f t="shared" si="10"/>
        <v>0</v>
      </c>
      <c r="AL105" s="16">
        <f t="shared" si="13"/>
        <v>0</v>
      </c>
      <c r="AM105" s="16">
        <f t="shared" si="14"/>
        <v>0</v>
      </c>
      <c r="AN105" s="16">
        <f>IF(LCOE!H$14&gt;0,G105,H105)/AG105</f>
        <v>0</v>
      </c>
    </row>
    <row r="106" spans="1:40">
      <c r="A106">
        <v>36</v>
      </c>
      <c r="C106" s="16">
        <f>LCOE!H132+IF(AND(LCOE!H$26&gt;0,A106&gt;=LCOE!H$26,A106&lt;=(LCOE!H$26+LCOE!H$27-1)),LCOE!H$42/LCOE!H$27,0)+IF(AND(D106=0,AE106&gt;=LCOE!H$16,COUNTIF(D81:D106,0)=LCOE!H$36),LCOE!H$35*LCOE!H$38,0)</f>
        <v>0</v>
      </c>
      <c r="D106" s="16">
        <f>IF(AE105&lt;LCOE!H$16,1,0)</f>
        <v>0</v>
      </c>
      <c r="E106" s="12">
        <f>LCOE!G132+IF(AND(A106&gt;=LCOE!H$26,A106&lt;=(LCOE!H$26+LCOE!H$27-1)),0,1)*IF(A106=LCOE!H$34,0,1)*D106</f>
        <v>0</v>
      </c>
      <c r="F106" s="12">
        <f>IF(F105&lt;LCOE!H$18,MIN(F105*(1+LCOE!H$19),LCOE!H$18),LCOE!H$18)+LCOE!J132</f>
        <v>0.9</v>
      </c>
      <c r="G106" s="16">
        <f>LCOE!K132+E106*F106*N106*(LCOE!H$14+LCOE!H132)*24*365*D106</f>
        <v>0</v>
      </c>
      <c r="H106" s="16">
        <f>LCOE!L132+F106*(LCOE!H$15+LCOE!I132)*E106*24*365*D106*N106</f>
        <v>0</v>
      </c>
      <c r="I106" s="16">
        <f>LCOE!M132+LCOE!H$20*IF(LCOE!H$14&gt;0,(LCOE!H$14+LCOE!H132),(LCOE!H$15+LCOE!I132))*K106*D106</f>
        <v>0</v>
      </c>
      <c r="J106" s="16">
        <f>LCOE!N132+LCOE!H$21*IF(LCOE!H$14&gt;0,G106,H106)*K106*D106</f>
        <v>0</v>
      </c>
      <c r="K106" s="15">
        <f>LCOE!O132+K105+K105*LCOE!H$22</f>
        <v>1</v>
      </c>
      <c r="L106" s="16">
        <f>LCOE!P132+LCOE!H$23*IF(LCOE!H$14&gt;0,G106,H106)*M106*D106</f>
        <v>0</v>
      </c>
      <c r="M106" s="15">
        <f>LCOE!Q132+M105+M105*LCOE!H$24</f>
        <v>1</v>
      </c>
      <c r="N106" s="15">
        <f>LCOE!R132+N105-N105*LCOE!H$25</f>
        <v>1</v>
      </c>
      <c r="O106" s="18">
        <f>LCOE!S132+LCOE!H$29</f>
        <v>313.75</v>
      </c>
      <c r="P106" s="12">
        <f>LCOE!T132+IF(A106&gt;=LCOE!H$30,100%,0%)</f>
        <v>1</v>
      </c>
      <c r="Q106" s="16">
        <f>LCOE!U132+O106/1000*IF(LCOE!H$14&gt;0,G106,H106)</f>
        <v>0</v>
      </c>
      <c r="R106" s="16">
        <f>LCOE!B132</f>
        <v>30</v>
      </c>
      <c r="S106" s="16">
        <f>LCOE!V132+Q106*P106*R106</f>
        <v>0</v>
      </c>
      <c r="T106" s="16">
        <f>LCOE!W132+LCOE!H$31</f>
        <v>0</v>
      </c>
      <c r="U106" s="16">
        <f>LCOE!X132+T106*IF(LCOE!H$14&gt;0,G106,H106)</f>
        <v>0</v>
      </c>
      <c r="V106" s="16">
        <f>LCOE!Y132+LCOE!H$32</f>
        <v>0</v>
      </c>
      <c r="W106" s="16">
        <f>LCOE!Z132+V106*IF(LCOE!H$14&gt;0,G106,H106)</f>
        <v>0</v>
      </c>
      <c r="X106" s="16">
        <f>LCOE!AA132+LCOE!H$34</f>
        <v>101</v>
      </c>
      <c r="Y106" s="16">
        <f t="shared" si="15"/>
        <v>0</v>
      </c>
      <c r="Z106" s="50">
        <f t="shared" si="18"/>
        <v>0</v>
      </c>
      <c r="AA106" s="50">
        <f t="shared" si="19"/>
        <v>0</v>
      </c>
      <c r="AB106" s="50">
        <f t="shared" si="20"/>
        <v>0</v>
      </c>
      <c r="AC106" s="50">
        <f t="shared" si="16"/>
        <v>0</v>
      </c>
      <c r="AD106" s="50">
        <f t="shared" si="11"/>
        <v>0</v>
      </c>
      <c r="AE106">
        <f t="shared" si="17"/>
        <v>30</v>
      </c>
      <c r="AF106" s="12">
        <f>LCOE!E132+LCOE!H$40</f>
        <v>0.08</v>
      </c>
      <c r="AG106">
        <f t="shared" si="12"/>
        <v>15.968171837866207</v>
      </c>
      <c r="AH106" s="16">
        <f t="shared" si="7"/>
        <v>0</v>
      </c>
      <c r="AI106" s="16">
        <f t="shared" si="8"/>
        <v>0</v>
      </c>
      <c r="AJ106" s="16">
        <f t="shared" si="9"/>
        <v>0</v>
      </c>
      <c r="AK106" s="16">
        <f t="shared" si="10"/>
        <v>0</v>
      </c>
      <c r="AL106" s="16">
        <f t="shared" si="13"/>
        <v>0</v>
      </c>
      <c r="AM106" s="16">
        <f t="shared" si="14"/>
        <v>0</v>
      </c>
      <c r="AN106" s="16">
        <f>IF(LCOE!H$14&gt;0,G106,H106)/AG106</f>
        <v>0</v>
      </c>
    </row>
    <row r="107" spans="1:40">
      <c r="A107">
        <v>37</v>
      </c>
      <c r="C107" s="16">
        <f>LCOE!H133+IF(AND(LCOE!H$26&gt;0,A107&gt;=LCOE!H$26,A107&lt;=(LCOE!H$26+LCOE!H$27-1)),LCOE!H$42/LCOE!H$27,0)+IF(AND(D107=0,AE107&gt;=LCOE!H$16,COUNTIF(D82:D107,0)=LCOE!H$36),LCOE!H$35*LCOE!H$38,0)</f>
        <v>0</v>
      </c>
      <c r="D107" s="16">
        <f>IF(AE106&lt;LCOE!H$16,1,0)</f>
        <v>0</v>
      </c>
      <c r="E107" s="12">
        <f>LCOE!G133+IF(AND(A107&gt;=LCOE!H$26,A107&lt;=(LCOE!H$26+LCOE!H$27-1)),0,1)*IF(A107=LCOE!H$34,0,1)*D107</f>
        <v>0</v>
      </c>
      <c r="F107" s="12">
        <f>IF(F106&lt;LCOE!H$18,MIN(F106*(1+LCOE!H$19),LCOE!H$18),LCOE!H$18)+LCOE!J133</f>
        <v>0.9</v>
      </c>
      <c r="G107" s="16">
        <f>LCOE!K133+E107*F107*N107*(LCOE!H$14+LCOE!H133)*24*365*D107</f>
        <v>0</v>
      </c>
      <c r="H107" s="16">
        <f>LCOE!L133+F107*(LCOE!H$15+LCOE!I133)*E107*24*365*D107*N107</f>
        <v>0</v>
      </c>
      <c r="I107" s="16">
        <f>LCOE!M133+LCOE!H$20*IF(LCOE!H$14&gt;0,(LCOE!H$14+LCOE!H133),(LCOE!H$15+LCOE!I133))*K107*D107</f>
        <v>0</v>
      </c>
      <c r="J107" s="16">
        <f>LCOE!N133+LCOE!H$21*IF(LCOE!H$14&gt;0,G107,H107)*K107*D107</f>
        <v>0</v>
      </c>
      <c r="K107" s="15">
        <f>LCOE!O133+K106+K106*LCOE!H$22</f>
        <v>1</v>
      </c>
      <c r="L107" s="16">
        <f>LCOE!P133+LCOE!H$23*IF(LCOE!H$14&gt;0,G107,H107)*M107*D107</f>
        <v>0</v>
      </c>
      <c r="M107" s="15">
        <f>LCOE!Q133+M106+M106*LCOE!H$24</f>
        <v>1</v>
      </c>
      <c r="N107" s="15">
        <f>LCOE!R133+N106-N106*LCOE!H$25</f>
        <v>1</v>
      </c>
      <c r="O107" s="18">
        <f>LCOE!S133+LCOE!H$29</f>
        <v>313.75</v>
      </c>
      <c r="P107" s="12">
        <f>LCOE!T133+IF(A107&gt;=LCOE!H$30,100%,0%)</f>
        <v>1</v>
      </c>
      <c r="Q107" s="16">
        <f>LCOE!U133+O107/1000*IF(LCOE!H$14&gt;0,G107,H107)</f>
        <v>0</v>
      </c>
      <c r="R107" s="16">
        <f>LCOE!B133</f>
        <v>30</v>
      </c>
      <c r="S107" s="16">
        <f>LCOE!V133+Q107*P107*R107</f>
        <v>0</v>
      </c>
      <c r="T107" s="16">
        <f>LCOE!W133+LCOE!H$31</f>
        <v>0</v>
      </c>
      <c r="U107" s="16">
        <f>LCOE!X133+T107*IF(LCOE!H$14&gt;0,G107,H107)</f>
        <v>0</v>
      </c>
      <c r="V107" s="16">
        <f>LCOE!Y133+LCOE!H$32</f>
        <v>0</v>
      </c>
      <c r="W107" s="16">
        <f>LCOE!Z133+V107*IF(LCOE!H$14&gt;0,G107,H107)</f>
        <v>0</v>
      </c>
      <c r="X107" s="16">
        <f>LCOE!AA133+LCOE!H$34</f>
        <v>101</v>
      </c>
      <c r="Y107" s="16">
        <f t="shared" si="15"/>
        <v>0</v>
      </c>
      <c r="Z107" s="50">
        <f t="shared" si="18"/>
        <v>0</v>
      </c>
      <c r="AA107" s="50">
        <f t="shared" si="19"/>
        <v>0</v>
      </c>
      <c r="AB107" s="50">
        <f t="shared" si="20"/>
        <v>0</v>
      </c>
      <c r="AC107" s="50">
        <f t="shared" si="16"/>
        <v>0</v>
      </c>
      <c r="AD107" s="50">
        <f t="shared" si="11"/>
        <v>0</v>
      </c>
      <c r="AE107">
        <f t="shared" si="17"/>
        <v>30</v>
      </c>
      <c r="AF107" s="12">
        <f>LCOE!E133+LCOE!H$40</f>
        <v>0.08</v>
      </c>
      <c r="AG107">
        <f t="shared" si="12"/>
        <v>17.245625584895503</v>
      </c>
      <c r="AH107" s="16">
        <f t="shared" si="7"/>
        <v>0</v>
      </c>
      <c r="AI107" s="16">
        <f t="shared" si="8"/>
        <v>0</v>
      </c>
      <c r="AJ107" s="16">
        <f t="shared" si="9"/>
        <v>0</v>
      </c>
      <c r="AK107" s="16">
        <f t="shared" si="10"/>
        <v>0</v>
      </c>
      <c r="AL107" s="16">
        <f t="shared" si="13"/>
        <v>0</v>
      </c>
      <c r="AM107" s="16">
        <f t="shared" si="14"/>
        <v>0</v>
      </c>
      <c r="AN107" s="16">
        <f>IF(LCOE!H$14&gt;0,G107,H107)/AG107</f>
        <v>0</v>
      </c>
    </row>
    <row r="108" spans="1:40">
      <c r="A108">
        <v>38</v>
      </c>
      <c r="C108" s="16">
        <f>LCOE!H134+IF(AND(LCOE!H$26&gt;0,A108&gt;=LCOE!H$26,A108&lt;=(LCOE!H$26+LCOE!H$27-1)),LCOE!H$42/LCOE!H$27,0)+IF(AND(D108=0,AE108&gt;=LCOE!H$16,COUNTIF(D83:D108,0)=LCOE!H$36),LCOE!H$35*LCOE!H$38,0)</f>
        <v>0</v>
      </c>
      <c r="D108" s="16">
        <f>IF(AE107&lt;LCOE!H$16,1,0)</f>
        <v>0</v>
      </c>
      <c r="E108" s="12">
        <f>LCOE!G134+IF(AND(A108&gt;=LCOE!H$26,A108&lt;=(LCOE!H$26+LCOE!H$27-1)),0,1)*IF(A108=LCOE!H$34,0,1)*D108</f>
        <v>0</v>
      </c>
      <c r="F108" s="12">
        <f>IF(F107&lt;LCOE!H$18,MIN(F107*(1+LCOE!H$19),LCOE!H$18),LCOE!H$18)+LCOE!J134</f>
        <v>0.9</v>
      </c>
      <c r="G108" s="16">
        <f>LCOE!K134+E108*F108*N108*(LCOE!H$14+LCOE!H134)*24*365*D108</f>
        <v>0</v>
      </c>
      <c r="H108" s="16">
        <f>LCOE!L134+F108*(LCOE!H$15+LCOE!I134)*E108*24*365*D108*N108</f>
        <v>0</v>
      </c>
      <c r="I108" s="16">
        <f>LCOE!M134+LCOE!H$20*IF(LCOE!H$14&gt;0,(LCOE!H$14+LCOE!H134),(LCOE!H$15+LCOE!I134))*K108*D108</f>
        <v>0</v>
      </c>
      <c r="J108" s="16">
        <f>LCOE!N134+LCOE!H$21*IF(LCOE!H$14&gt;0,G108,H108)*K108*D108</f>
        <v>0</v>
      </c>
      <c r="K108" s="15">
        <f>LCOE!O134+K107+K107*LCOE!H$22</f>
        <v>1</v>
      </c>
      <c r="L108" s="16">
        <f>LCOE!P134+LCOE!H$23*IF(LCOE!H$14&gt;0,G108,H108)*M108*D108</f>
        <v>0</v>
      </c>
      <c r="M108" s="15">
        <f>LCOE!Q134+M107+M107*LCOE!H$24</f>
        <v>1</v>
      </c>
      <c r="N108" s="15">
        <f>LCOE!R134+N107-N107*LCOE!H$25</f>
        <v>1</v>
      </c>
      <c r="O108" s="18">
        <f>LCOE!S134+LCOE!H$29</f>
        <v>313.75</v>
      </c>
      <c r="P108" s="12">
        <f>LCOE!T134+IF(A108&gt;=LCOE!H$30,100%,0%)</f>
        <v>1</v>
      </c>
      <c r="Q108" s="16">
        <f>LCOE!U134+O108/1000*IF(LCOE!H$14&gt;0,G108,H108)</f>
        <v>0</v>
      </c>
      <c r="R108" s="16">
        <f>LCOE!B134</f>
        <v>30</v>
      </c>
      <c r="S108" s="16">
        <f>LCOE!V134+Q108*P108*R108</f>
        <v>0</v>
      </c>
      <c r="T108" s="16">
        <f>LCOE!W134+LCOE!H$31</f>
        <v>0</v>
      </c>
      <c r="U108" s="16">
        <f>LCOE!X134+T108*IF(LCOE!H$14&gt;0,G108,H108)</f>
        <v>0</v>
      </c>
      <c r="V108" s="16">
        <f>LCOE!Y134+LCOE!H$32</f>
        <v>0</v>
      </c>
      <c r="W108" s="16">
        <f>LCOE!Z134+V108*IF(LCOE!H$14&gt;0,G108,H108)</f>
        <v>0</v>
      </c>
      <c r="X108" s="16">
        <f>LCOE!AA134+LCOE!H$34</f>
        <v>101</v>
      </c>
      <c r="Y108" s="16">
        <f t="shared" si="15"/>
        <v>0</v>
      </c>
      <c r="Z108" s="50">
        <f t="shared" si="18"/>
        <v>0</v>
      </c>
      <c r="AA108" s="50">
        <f t="shared" si="19"/>
        <v>0</v>
      </c>
      <c r="AB108" s="50">
        <f t="shared" si="20"/>
        <v>0</v>
      </c>
      <c r="AC108" s="50">
        <f t="shared" si="16"/>
        <v>0</v>
      </c>
      <c r="AD108" s="50">
        <f t="shared" si="11"/>
        <v>0</v>
      </c>
      <c r="AE108">
        <f t="shared" si="17"/>
        <v>30</v>
      </c>
      <c r="AF108" s="12">
        <f>LCOE!E134+LCOE!H$40</f>
        <v>0.08</v>
      </c>
      <c r="AG108">
        <f t="shared" si="12"/>
        <v>18.625275631687146</v>
      </c>
      <c r="AH108" s="16">
        <f t="shared" si="7"/>
        <v>0</v>
      </c>
      <c r="AI108" s="16">
        <f t="shared" si="8"/>
        <v>0</v>
      </c>
      <c r="AJ108" s="16">
        <f t="shared" si="9"/>
        <v>0</v>
      </c>
      <c r="AK108" s="16">
        <f t="shared" si="10"/>
        <v>0</v>
      </c>
      <c r="AL108" s="16">
        <f t="shared" si="13"/>
        <v>0</v>
      </c>
      <c r="AM108" s="16">
        <f t="shared" si="14"/>
        <v>0</v>
      </c>
      <c r="AN108" s="16">
        <f>IF(LCOE!H$14&gt;0,G108,H108)/AG108</f>
        <v>0</v>
      </c>
    </row>
    <row r="109" spans="1:40">
      <c r="A109">
        <v>39</v>
      </c>
      <c r="C109" s="16">
        <f>LCOE!H135+IF(AND(LCOE!H$26&gt;0,A109&gt;=LCOE!H$26,A109&lt;=(LCOE!H$26+LCOE!H$27-1)),LCOE!H$42/LCOE!H$27,0)+IF(AND(D109=0,AE109&gt;=LCOE!H$16,COUNTIF(D84:D109,0)=LCOE!H$36),LCOE!H$35*LCOE!H$38,0)</f>
        <v>0</v>
      </c>
      <c r="D109" s="16">
        <f>IF(AE108&lt;LCOE!H$16,1,0)</f>
        <v>0</v>
      </c>
      <c r="E109" s="12">
        <f>LCOE!G135+IF(AND(A109&gt;=LCOE!H$26,A109&lt;=(LCOE!H$26+LCOE!H$27-1)),0,1)*IF(A109=LCOE!H$34,0,1)*D109</f>
        <v>0</v>
      </c>
      <c r="F109" s="12">
        <f>IF(F108&lt;LCOE!H$18,MIN(F108*(1+LCOE!H$19),LCOE!H$18),LCOE!H$18)+LCOE!J135</f>
        <v>0.9</v>
      </c>
      <c r="G109" s="16">
        <f>LCOE!K135+E109*F109*N109*(LCOE!H$14+LCOE!H135)*24*365*D109</f>
        <v>0</v>
      </c>
      <c r="H109" s="16">
        <f>LCOE!L135+F109*(LCOE!H$15+LCOE!I135)*E109*24*365*D109*N109</f>
        <v>0</v>
      </c>
      <c r="I109" s="16">
        <f>LCOE!M135+LCOE!H$20*IF(LCOE!H$14&gt;0,(LCOE!H$14+LCOE!H135),(LCOE!H$15+LCOE!I135))*K109*D109</f>
        <v>0</v>
      </c>
      <c r="J109" s="16">
        <f>LCOE!N135+LCOE!H$21*IF(LCOE!H$14&gt;0,G109,H109)*K109*D109</f>
        <v>0</v>
      </c>
      <c r="K109" s="15">
        <f>LCOE!O135+K108+K108*LCOE!H$22</f>
        <v>1</v>
      </c>
      <c r="L109" s="16">
        <f>LCOE!P135+LCOE!H$23*IF(LCOE!H$14&gt;0,G109,H109)*M109*D109</f>
        <v>0</v>
      </c>
      <c r="M109" s="15">
        <f>LCOE!Q135+M108+M108*LCOE!H$24</f>
        <v>1</v>
      </c>
      <c r="N109" s="15">
        <f>LCOE!R135+N108-N108*LCOE!H$25</f>
        <v>1</v>
      </c>
      <c r="O109" s="18">
        <f>LCOE!S135+LCOE!H$29</f>
        <v>313.75</v>
      </c>
      <c r="P109" s="12">
        <f>LCOE!T135+IF(A109&gt;=LCOE!H$30,100%,0%)</f>
        <v>1</v>
      </c>
      <c r="Q109" s="16">
        <f>LCOE!U135+O109/1000*IF(LCOE!H$14&gt;0,G109,H109)</f>
        <v>0</v>
      </c>
      <c r="R109" s="16">
        <f>LCOE!B135</f>
        <v>30</v>
      </c>
      <c r="S109" s="16">
        <f>LCOE!V135+Q109*P109*R109</f>
        <v>0</v>
      </c>
      <c r="T109" s="16">
        <f>LCOE!W135+LCOE!H$31</f>
        <v>0</v>
      </c>
      <c r="U109" s="16">
        <f>LCOE!X135+T109*IF(LCOE!H$14&gt;0,G109,H109)</f>
        <v>0</v>
      </c>
      <c r="V109" s="16">
        <f>LCOE!Y135+LCOE!H$32</f>
        <v>0</v>
      </c>
      <c r="W109" s="16">
        <f>LCOE!Z135+V109*IF(LCOE!H$14&gt;0,G109,H109)</f>
        <v>0</v>
      </c>
      <c r="X109" s="16">
        <f>LCOE!AA135+LCOE!H$34</f>
        <v>101</v>
      </c>
      <c r="Y109" s="16">
        <f t="shared" si="15"/>
        <v>0</v>
      </c>
      <c r="Z109" s="50">
        <f t="shared" si="18"/>
        <v>0</v>
      </c>
      <c r="AA109" s="50">
        <f t="shared" si="19"/>
        <v>0</v>
      </c>
      <c r="AB109" s="50">
        <f t="shared" si="20"/>
        <v>0</v>
      </c>
      <c r="AC109" s="50">
        <f t="shared" si="16"/>
        <v>0</v>
      </c>
      <c r="AD109" s="50">
        <f t="shared" si="11"/>
        <v>0</v>
      </c>
      <c r="AE109">
        <f t="shared" si="17"/>
        <v>30</v>
      </c>
      <c r="AF109" s="12">
        <f>LCOE!E135+LCOE!H$40</f>
        <v>0.08</v>
      </c>
      <c r="AG109">
        <f t="shared" si="12"/>
        <v>20.115297682222117</v>
      </c>
      <c r="AH109" s="16">
        <f t="shared" ref="AH109:AH170" si="21">Z109/AG109</f>
        <v>0</v>
      </c>
      <c r="AI109" s="16">
        <f t="shared" ref="AI109:AI170" si="22">AA109/AG109</f>
        <v>0</v>
      </c>
      <c r="AJ109" s="16">
        <f t="shared" ref="AJ109:AJ170" si="23">AB109/AG109</f>
        <v>0</v>
      </c>
      <c r="AK109" s="16">
        <f t="shared" ref="AK109:AK170" si="24">AC109/AG109</f>
        <v>0</v>
      </c>
      <c r="AL109" s="16">
        <f t="shared" si="13"/>
        <v>0</v>
      </c>
      <c r="AM109" s="16">
        <f t="shared" si="14"/>
        <v>0</v>
      </c>
      <c r="AN109" s="16">
        <f>IF(LCOE!H$14&gt;0,G109,H109)/AG109</f>
        <v>0</v>
      </c>
    </row>
    <row r="110" spans="1:40">
      <c r="A110">
        <v>40</v>
      </c>
      <c r="C110" s="16">
        <f>LCOE!H136+IF(AND(LCOE!H$26&gt;0,A110&gt;=LCOE!H$26,A110&lt;=(LCOE!H$26+LCOE!H$27-1)),LCOE!H$42/LCOE!H$27,0)+IF(AND(D110=0,AE110&gt;=LCOE!H$16,COUNTIF(D85:D110,0)=LCOE!H$36),LCOE!H$35*LCOE!H$38,0)</f>
        <v>0</v>
      </c>
      <c r="D110" s="16">
        <f>IF(AE109&lt;LCOE!H$16,1,0)</f>
        <v>0</v>
      </c>
      <c r="E110" s="12">
        <f>LCOE!G136+IF(AND(A110&gt;=LCOE!H$26,A110&lt;=(LCOE!H$26+LCOE!H$27-1)),0,1)*IF(A110=LCOE!H$34,0,1)*D110</f>
        <v>0</v>
      </c>
      <c r="F110" s="12">
        <f>IF(F109&lt;LCOE!H$18,MIN(F109*(1+LCOE!H$19),LCOE!H$18),LCOE!H$18)+LCOE!J136</f>
        <v>0.9</v>
      </c>
      <c r="G110" s="16">
        <f>LCOE!K136+E110*F110*N110*(LCOE!H$14+LCOE!H136)*24*365*D110</f>
        <v>0</v>
      </c>
      <c r="H110" s="16">
        <f>LCOE!L136+F110*(LCOE!H$15+LCOE!I136)*E110*24*365*D110*N110</f>
        <v>0</v>
      </c>
      <c r="I110" s="16">
        <f>LCOE!M136+LCOE!H$20*IF(LCOE!H$14&gt;0,(LCOE!H$14+LCOE!H136),(LCOE!H$15+LCOE!I136))*K110*D110</f>
        <v>0</v>
      </c>
      <c r="J110" s="16">
        <f>LCOE!N136+LCOE!H$21*IF(LCOE!H$14&gt;0,G110,H110)*K110*D110</f>
        <v>0</v>
      </c>
      <c r="K110" s="15">
        <f>LCOE!O136+K109+K109*LCOE!H$22</f>
        <v>1</v>
      </c>
      <c r="L110" s="16">
        <f>LCOE!P136+LCOE!H$23*IF(LCOE!H$14&gt;0,G110,H110)*M110*D110</f>
        <v>0</v>
      </c>
      <c r="M110" s="15">
        <f>LCOE!Q136+M109+M109*LCOE!H$24</f>
        <v>1</v>
      </c>
      <c r="N110" s="15">
        <f>LCOE!R136+N109-N109*LCOE!H$25</f>
        <v>1</v>
      </c>
      <c r="O110" s="18">
        <f>LCOE!S136+LCOE!H$29</f>
        <v>313.75</v>
      </c>
      <c r="P110" s="12">
        <f>LCOE!T136+IF(A110&gt;=LCOE!H$30,100%,0%)</f>
        <v>1</v>
      </c>
      <c r="Q110" s="16">
        <f>LCOE!U136+O110/1000*IF(LCOE!H$14&gt;0,G110,H110)</f>
        <v>0</v>
      </c>
      <c r="R110" s="16">
        <f>LCOE!B136</f>
        <v>30</v>
      </c>
      <c r="S110" s="16">
        <f>LCOE!V136+Q110*P110*R110</f>
        <v>0</v>
      </c>
      <c r="T110" s="16">
        <f>LCOE!W136+LCOE!H$31</f>
        <v>0</v>
      </c>
      <c r="U110" s="16">
        <f>LCOE!X136+T110*IF(LCOE!H$14&gt;0,G110,H110)</f>
        <v>0</v>
      </c>
      <c r="V110" s="16">
        <f>LCOE!Y136+LCOE!H$32</f>
        <v>0</v>
      </c>
      <c r="W110" s="16">
        <f>LCOE!Z136+V110*IF(LCOE!H$14&gt;0,G110,H110)</f>
        <v>0</v>
      </c>
      <c r="X110" s="16">
        <f>LCOE!AA136+LCOE!H$34</f>
        <v>101</v>
      </c>
      <c r="Y110" s="16">
        <f t="shared" si="15"/>
        <v>0</v>
      </c>
      <c r="Z110" s="50">
        <f t="shared" si="18"/>
        <v>0</v>
      </c>
      <c r="AA110" s="50">
        <f t="shared" si="19"/>
        <v>0</v>
      </c>
      <c r="AB110" s="50">
        <f t="shared" si="20"/>
        <v>0</v>
      </c>
      <c r="AC110" s="50">
        <f t="shared" si="16"/>
        <v>0</v>
      </c>
      <c r="AD110" s="50">
        <f t="shared" ref="AD110:AD170" si="25">S110</f>
        <v>0</v>
      </c>
      <c r="AE110">
        <f t="shared" si="17"/>
        <v>30</v>
      </c>
      <c r="AF110" s="12">
        <f>LCOE!E136+LCOE!H$40</f>
        <v>0.08</v>
      </c>
      <c r="AG110">
        <f t="shared" ref="AG110:AG170" si="26">(1+AF110)^A110</f>
        <v>21.724521496799888</v>
      </c>
      <c r="AH110" s="16">
        <f t="shared" si="21"/>
        <v>0</v>
      </c>
      <c r="AI110" s="16">
        <f t="shared" si="22"/>
        <v>0</v>
      </c>
      <c r="AJ110" s="16">
        <f t="shared" si="23"/>
        <v>0</v>
      </c>
      <c r="AK110" s="16">
        <f t="shared" si="24"/>
        <v>0</v>
      </c>
      <c r="AL110" s="16">
        <f t="shared" ref="AL110:AL170" si="27">AD110/AG110</f>
        <v>0</v>
      </c>
      <c r="AM110" s="16">
        <f t="shared" si="14"/>
        <v>0</v>
      </c>
      <c r="AN110" s="16">
        <f>IF(LCOE!H$14&gt;0,G110,H110)/AG110</f>
        <v>0</v>
      </c>
    </row>
    <row r="111" spans="1:40">
      <c r="A111">
        <v>41</v>
      </c>
      <c r="C111" s="16">
        <f>LCOE!H137+IF(AND(LCOE!H$26&gt;0,A111&gt;=LCOE!H$26,A111&lt;=(LCOE!H$26+LCOE!H$27-1)),LCOE!H$42/LCOE!H$27,0)+IF(AND(D111=0,AE111&gt;=LCOE!H$16,COUNTIF(D86:D111,0)=LCOE!H$36),LCOE!H$35*LCOE!H$38,0)</f>
        <v>0</v>
      </c>
      <c r="D111" s="16">
        <f>IF(AE110&lt;LCOE!H$16,1,0)</f>
        <v>0</v>
      </c>
      <c r="E111" s="12">
        <f>LCOE!G137+IF(AND(A111&gt;=LCOE!H$26,A111&lt;=(LCOE!H$26+LCOE!H$27-1)),0,1)*IF(A111=LCOE!H$34,0,1)*D111</f>
        <v>0</v>
      </c>
      <c r="F111" s="12">
        <f>IF(F110&lt;LCOE!H$18,MIN(F110*(1+LCOE!H$19),LCOE!H$18),LCOE!H$18)+LCOE!J137</f>
        <v>0.9</v>
      </c>
      <c r="G111" s="16">
        <f>LCOE!K137+E111*F111*N111*(LCOE!H$14+LCOE!H137)*24*365*D111</f>
        <v>0</v>
      </c>
      <c r="H111" s="16">
        <f>LCOE!L137+F111*(LCOE!H$15+LCOE!I137)*E111*24*365*D111*N111</f>
        <v>0</v>
      </c>
      <c r="I111" s="16">
        <f>LCOE!M137+LCOE!H$20*IF(LCOE!H$14&gt;0,(LCOE!H$14+LCOE!H137),(LCOE!H$15+LCOE!I137))*K111*D111</f>
        <v>0</v>
      </c>
      <c r="J111" s="16">
        <f>LCOE!N137+LCOE!H$21*IF(LCOE!H$14&gt;0,G111,H111)*K111*D111</f>
        <v>0</v>
      </c>
      <c r="K111" s="15">
        <f>LCOE!O137+K110+K110*LCOE!H$22</f>
        <v>1</v>
      </c>
      <c r="L111" s="16">
        <f>LCOE!P137+LCOE!H$23*IF(LCOE!H$14&gt;0,G111,H111)*M111*D111</f>
        <v>0</v>
      </c>
      <c r="M111" s="15">
        <f>LCOE!Q137+M110+M110*LCOE!H$24</f>
        <v>1</v>
      </c>
      <c r="N111" s="15">
        <f>LCOE!R137+N110-N110*LCOE!H$25</f>
        <v>1</v>
      </c>
      <c r="O111" s="18">
        <f>LCOE!S137+LCOE!H$29</f>
        <v>313.75</v>
      </c>
      <c r="P111" s="12">
        <f>LCOE!T137+IF(A111&gt;=LCOE!H$30,100%,0%)</f>
        <v>1</v>
      </c>
      <c r="Q111" s="16">
        <f>LCOE!U137+O111/1000*IF(LCOE!H$14&gt;0,G111,H111)</f>
        <v>0</v>
      </c>
      <c r="R111" s="16">
        <f>LCOE!B137</f>
        <v>30</v>
      </c>
      <c r="S111" s="16">
        <f>LCOE!V137+Q111*P111*R111</f>
        <v>0</v>
      </c>
      <c r="T111" s="16">
        <f>LCOE!W137+LCOE!H$31</f>
        <v>0</v>
      </c>
      <c r="U111" s="16">
        <f>LCOE!X137+T111*IF(LCOE!H$14&gt;0,G111,H111)</f>
        <v>0</v>
      </c>
      <c r="V111" s="16">
        <f>LCOE!Y137+LCOE!H$32</f>
        <v>0</v>
      </c>
      <c r="W111" s="16">
        <f>LCOE!Z137+V111*IF(LCOE!H$14&gt;0,G111,H111)</f>
        <v>0</v>
      </c>
      <c r="X111" s="16">
        <f>LCOE!AA137+LCOE!H$34</f>
        <v>101</v>
      </c>
      <c r="Y111" s="16">
        <f t="shared" si="15"/>
        <v>0</v>
      </c>
      <c r="Z111" s="50">
        <f t="shared" si="18"/>
        <v>0</v>
      </c>
      <c r="AA111" s="50">
        <f t="shared" si="19"/>
        <v>0</v>
      </c>
      <c r="AB111" s="50">
        <f t="shared" si="20"/>
        <v>0</v>
      </c>
      <c r="AC111" s="50">
        <f t="shared" si="16"/>
        <v>0</v>
      </c>
      <c r="AD111" s="50">
        <f t="shared" si="25"/>
        <v>0</v>
      </c>
      <c r="AE111">
        <f t="shared" si="17"/>
        <v>30</v>
      </c>
      <c r="AF111" s="12">
        <f>LCOE!E137+LCOE!H$40</f>
        <v>0.08</v>
      </c>
      <c r="AG111">
        <f t="shared" si="26"/>
        <v>23.46248321654388</v>
      </c>
      <c r="AH111" s="16">
        <f t="shared" si="21"/>
        <v>0</v>
      </c>
      <c r="AI111" s="16">
        <f t="shared" si="22"/>
        <v>0</v>
      </c>
      <c r="AJ111" s="16">
        <f t="shared" si="23"/>
        <v>0</v>
      </c>
      <c r="AK111" s="16">
        <f t="shared" si="24"/>
        <v>0</v>
      </c>
      <c r="AL111" s="16">
        <f t="shared" si="27"/>
        <v>0</v>
      </c>
      <c r="AM111" s="16">
        <f t="shared" si="14"/>
        <v>0</v>
      </c>
      <c r="AN111" s="16">
        <f>IF(LCOE!H$14&gt;0,G111,H111)/AG111</f>
        <v>0</v>
      </c>
    </row>
    <row r="112" spans="1:40">
      <c r="A112">
        <v>42</v>
      </c>
      <c r="C112" s="16">
        <f>LCOE!H138+IF(AND(LCOE!H$26&gt;0,A112&gt;=LCOE!H$26,A112&lt;=(LCOE!H$26+LCOE!H$27-1)),LCOE!H$42/LCOE!H$27,0)+IF(AND(D112=0,AE112&gt;=LCOE!H$16,COUNTIF(D87:D112,0)=LCOE!H$36),LCOE!H$35*LCOE!H$38,0)</f>
        <v>0</v>
      </c>
      <c r="D112" s="16">
        <f>IF(AE111&lt;LCOE!H$16,1,0)</f>
        <v>0</v>
      </c>
      <c r="E112" s="12">
        <f>LCOE!G138+IF(AND(A112&gt;=LCOE!H$26,A112&lt;=(LCOE!H$26+LCOE!H$27-1)),0,1)*IF(A112=LCOE!H$34,0,1)*D112</f>
        <v>0</v>
      </c>
      <c r="F112" s="12">
        <f>IF(F111&lt;LCOE!H$18,MIN(F111*(1+LCOE!H$19),LCOE!H$18),LCOE!H$18)+LCOE!J138</f>
        <v>0.9</v>
      </c>
      <c r="G112" s="16">
        <f>LCOE!K138+E112*F112*N112*(LCOE!H$14+LCOE!H138)*24*365*D112</f>
        <v>0</v>
      </c>
      <c r="H112" s="16">
        <f>LCOE!L138+F112*(LCOE!H$15+LCOE!I138)*E112*24*365*D112*N112</f>
        <v>0</v>
      </c>
      <c r="I112" s="16">
        <f>LCOE!M138+LCOE!H$20*IF(LCOE!H$14&gt;0,(LCOE!H$14+LCOE!H138),(LCOE!H$15+LCOE!I138))*K112*D112</f>
        <v>0</v>
      </c>
      <c r="J112" s="16">
        <f>LCOE!N138+LCOE!H$21*IF(LCOE!H$14&gt;0,G112,H112)*K112*D112</f>
        <v>0</v>
      </c>
      <c r="K112" s="15">
        <f>LCOE!O138+K111+K111*LCOE!H$22</f>
        <v>1</v>
      </c>
      <c r="L112" s="16">
        <f>LCOE!P138+LCOE!H$23*IF(LCOE!H$14&gt;0,G112,H112)*M112*D112</f>
        <v>0</v>
      </c>
      <c r="M112" s="15">
        <f>LCOE!Q138+M111+M111*LCOE!H$24</f>
        <v>1</v>
      </c>
      <c r="N112" s="15">
        <f>LCOE!R138+N111-N111*LCOE!H$25</f>
        <v>1</v>
      </c>
      <c r="O112" s="18">
        <f>LCOE!S138+LCOE!H$29</f>
        <v>313.75</v>
      </c>
      <c r="P112" s="12">
        <f>LCOE!T138+IF(A112&gt;=LCOE!H$30,100%,0%)</f>
        <v>1</v>
      </c>
      <c r="Q112" s="16">
        <f>LCOE!U138+O112/1000*IF(LCOE!H$14&gt;0,G112,H112)</f>
        <v>0</v>
      </c>
      <c r="R112" s="16">
        <f>LCOE!B138</f>
        <v>30</v>
      </c>
      <c r="S112" s="16">
        <f>LCOE!V138+Q112*P112*R112</f>
        <v>0</v>
      </c>
      <c r="T112" s="16">
        <f>LCOE!W138+LCOE!H$31</f>
        <v>0</v>
      </c>
      <c r="U112" s="16">
        <f>LCOE!X138+T112*IF(LCOE!H$14&gt;0,G112,H112)</f>
        <v>0</v>
      </c>
      <c r="V112" s="16">
        <f>LCOE!Y138+LCOE!H$32</f>
        <v>0</v>
      </c>
      <c r="W112" s="16">
        <f>LCOE!Z138+V112*IF(LCOE!H$14&gt;0,G112,H112)</f>
        <v>0</v>
      </c>
      <c r="X112" s="16">
        <f>LCOE!AA138+LCOE!H$34</f>
        <v>101</v>
      </c>
      <c r="Y112" s="16">
        <f t="shared" si="15"/>
        <v>0</v>
      </c>
      <c r="Z112" s="50">
        <f t="shared" si="18"/>
        <v>0</v>
      </c>
      <c r="AA112" s="50">
        <f t="shared" si="19"/>
        <v>0</v>
      </c>
      <c r="AB112" s="50">
        <f t="shared" si="20"/>
        <v>0</v>
      </c>
      <c r="AC112" s="50">
        <f t="shared" si="16"/>
        <v>0</v>
      </c>
      <c r="AD112" s="50">
        <f t="shared" si="25"/>
        <v>0</v>
      </c>
      <c r="AE112">
        <f t="shared" si="17"/>
        <v>30</v>
      </c>
      <c r="AF112" s="12">
        <f>LCOE!E138+LCOE!H$40</f>
        <v>0.08</v>
      </c>
      <c r="AG112">
        <f t="shared" si="26"/>
        <v>25.339481873867388</v>
      </c>
      <c r="AH112" s="16">
        <f t="shared" si="21"/>
        <v>0</v>
      </c>
      <c r="AI112" s="16">
        <f t="shared" si="22"/>
        <v>0</v>
      </c>
      <c r="AJ112" s="16">
        <f t="shared" si="23"/>
        <v>0</v>
      </c>
      <c r="AK112" s="16">
        <f t="shared" si="24"/>
        <v>0</v>
      </c>
      <c r="AL112" s="16">
        <f t="shared" si="27"/>
        <v>0</v>
      </c>
      <c r="AM112" s="16">
        <f t="shared" si="14"/>
        <v>0</v>
      </c>
      <c r="AN112" s="16">
        <f>IF(LCOE!H$14&gt;0,G112,H112)/AG112</f>
        <v>0</v>
      </c>
    </row>
    <row r="113" spans="1:40">
      <c r="A113">
        <v>43</v>
      </c>
      <c r="C113" s="16">
        <f>LCOE!H139+IF(AND(LCOE!H$26&gt;0,A113&gt;=LCOE!H$26,A113&lt;=(LCOE!H$26+LCOE!H$27-1)),LCOE!H$42/LCOE!H$27,0)+IF(AND(D113=0,AE113&gt;=LCOE!H$16,COUNTIF(D88:D113,0)=LCOE!H$36),LCOE!H$35*LCOE!H$38,0)</f>
        <v>0</v>
      </c>
      <c r="D113" s="16">
        <f>IF(AE112&lt;LCOE!H$16,1,0)</f>
        <v>0</v>
      </c>
      <c r="E113" s="12">
        <f>LCOE!G139+IF(AND(A113&gt;=LCOE!H$26,A113&lt;=(LCOE!H$26+LCOE!H$27-1)),0,1)*IF(A113=LCOE!H$34,0,1)*D113</f>
        <v>0</v>
      </c>
      <c r="F113" s="12">
        <f>IF(F112&lt;LCOE!H$18,MIN(F112*(1+LCOE!H$19),LCOE!H$18),LCOE!H$18)+LCOE!J139</f>
        <v>0.9</v>
      </c>
      <c r="G113" s="16">
        <f>LCOE!K139+E113*F113*N113*(LCOE!H$14+LCOE!H139)*24*365*D113</f>
        <v>0</v>
      </c>
      <c r="H113" s="16">
        <f>LCOE!L139+F113*(LCOE!H$15+LCOE!I139)*E113*24*365*D113*N113</f>
        <v>0</v>
      </c>
      <c r="I113" s="16">
        <f>LCOE!M139+LCOE!H$20*IF(LCOE!H$14&gt;0,(LCOE!H$14+LCOE!H139),(LCOE!H$15+LCOE!I139))*K113*D113</f>
        <v>0</v>
      </c>
      <c r="J113" s="16">
        <f>LCOE!N139+LCOE!H$21*IF(LCOE!H$14&gt;0,G113,H113)*K113*D113</f>
        <v>0</v>
      </c>
      <c r="K113" s="15">
        <f>LCOE!O139+K112+K112*LCOE!H$22</f>
        <v>1</v>
      </c>
      <c r="L113" s="16">
        <f>LCOE!P139+LCOE!H$23*IF(LCOE!H$14&gt;0,G113,H113)*M113*D113</f>
        <v>0</v>
      </c>
      <c r="M113" s="15">
        <f>LCOE!Q139+M112+M112*LCOE!H$24</f>
        <v>1</v>
      </c>
      <c r="N113" s="15">
        <f>LCOE!R139+N112-N112*LCOE!H$25</f>
        <v>1</v>
      </c>
      <c r="O113" s="18">
        <f>LCOE!S139+LCOE!H$29</f>
        <v>313.75</v>
      </c>
      <c r="P113" s="12">
        <f>LCOE!T139+IF(A113&gt;=LCOE!H$30,100%,0%)</f>
        <v>1</v>
      </c>
      <c r="Q113" s="16">
        <f>LCOE!U139+O113/1000*IF(LCOE!H$14&gt;0,G113,H113)</f>
        <v>0</v>
      </c>
      <c r="R113" s="16">
        <f>LCOE!B139</f>
        <v>30</v>
      </c>
      <c r="S113" s="16">
        <f>LCOE!V139+Q113*P113*R113</f>
        <v>0</v>
      </c>
      <c r="T113" s="16">
        <f>LCOE!W139+LCOE!H$31</f>
        <v>0</v>
      </c>
      <c r="U113" s="16">
        <f>LCOE!X139+T113*IF(LCOE!H$14&gt;0,G113,H113)</f>
        <v>0</v>
      </c>
      <c r="V113" s="16">
        <f>LCOE!Y139+LCOE!H$32</f>
        <v>0</v>
      </c>
      <c r="W113" s="16">
        <f>LCOE!Z139+V113*IF(LCOE!H$14&gt;0,G113,H113)</f>
        <v>0</v>
      </c>
      <c r="X113" s="16">
        <f>LCOE!AA139+LCOE!H$34</f>
        <v>101</v>
      </c>
      <c r="Y113" s="16">
        <f t="shared" si="15"/>
        <v>0</v>
      </c>
      <c r="Z113" s="50">
        <f t="shared" si="18"/>
        <v>0</v>
      </c>
      <c r="AA113" s="50">
        <f t="shared" si="19"/>
        <v>0</v>
      </c>
      <c r="AB113" s="50">
        <f t="shared" si="20"/>
        <v>0</v>
      </c>
      <c r="AC113" s="50">
        <f t="shared" si="16"/>
        <v>0</v>
      </c>
      <c r="AD113" s="50">
        <f t="shared" si="25"/>
        <v>0</v>
      </c>
      <c r="AE113">
        <f t="shared" si="17"/>
        <v>30</v>
      </c>
      <c r="AF113" s="12">
        <f>LCOE!E139+LCOE!H$40</f>
        <v>0.08</v>
      </c>
      <c r="AG113">
        <f t="shared" si="26"/>
        <v>27.366640423776779</v>
      </c>
      <c r="AH113" s="16">
        <f t="shared" si="21"/>
        <v>0</v>
      </c>
      <c r="AI113" s="16">
        <f t="shared" si="22"/>
        <v>0</v>
      </c>
      <c r="AJ113" s="16">
        <f t="shared" si="23"/>
        <v>0</v>
      </c>
      <c r="AK113" s="16">
        <f t="shared" si="24"/>
        <v>0</v>
      </c>
      <c r="AL113" s="16">
        <f t="shared" si="27"/>
        <v>0</v>
      </c>
      <c r="AM113" s="16">
        <f t="shared" si="14"/>
        <v>0</v>
      </c>
      <c r="AN113" s="16">
        <f>IF(LCOE!H$14&gt;0,G113,H113)/AG113</f>
        <v>0</v>
      </c>
    </row>
    <row r="114" spans="1:40">
      <c r="A114">
        <v>44</v>
      </c>
      <c r="C114" s="16">
        <f>LCOE!H140+IF(AND(LCOE!H$26&gt;0,A114&gt;=LCOE!H$26,A114&lt;=(LCOE!H$26+LCOE!H$27-1)),LCOE!H$42/LCOE!H$27,0)+IF(AND(D114=0,AE114&gt;=LCOE!H$16,COUNTIF(D89:D114,0)=LCOE!H$36),LCOE!H$35*LCOE!H$38,0)</f>
        <v>0</v>
      </c>
      <c r="D114" s="16">
        <f>IF(AE113&lt;LCOE!H$16,1,0)</f>
        <v>0</v>
      </c>
      <c r="E114" s="12">
        <f>LCOE!G140+IF(AND(A114&gt;=LCOE!H$26,A114&lt;=(LCOE!H$26+LCOE!H$27-1)),0,1)*IF(A114=LCOE!H$34,0,1)*D114</f>
        <v>0</v>
      </c>
      <c r="F114" s="12">
        <f>IF(F113&lt;LCOE!H$18,MIN(F113*(1+LCOE!H$19),LCOE!H$18),LCOE!H$18)+LCOE!J140</f>
        <v>0.9</v>
      </c>
      <c r="G114" s="16">
        <f>LCOE!K140+E114*F114*N114*(LCOE!H$14+LCOE!H140)*24*365*D114</f>
        <v>0</v>
      </c>
      <c r="H114" s="16">
        <f>LCOE!L140+F114*(LCOE!H$15+LCOE!I140)*E114*24*365*D114*N114</f>
        <v>0</v>
      </c>
      <c r="I114" s="16">
        <f>LCOE!M140+LCOE!H$20*IF(LCOE!H$14&gt;0,(LCOE!H$14+LCOE!H140),(LCOE!H$15+LCOE!I140))*K114*D114</f>
        <v>0</v>
      </c>
      <c r="J114" s="16">
        <f>LCOE!N140+LCOE!H$21*IF(LCOE!H$14&gt;0,G114,H114)*K114*D114</f>
        <v>0</v>
      </c>
      <c r="K114" s="15">
        <f>LCOE!O140+K113+K113*LCOE!H$22</f>
        <v>1</v>
      </c>
      <c r="L114" s="16">
        <f>LCOE!P140+LCOE!H$23*IF(LCOE!H$14&gt;0,G114,H114)*M114*D114</f>
        <v>0</v>
      </c>
      <c r="M114" s="15">
        <f>LCOE!Q140+M113+M113*LCOE!H$24</f>
        <v>1</v>
      </c>
      <c r="N114" s="15">
        <f>LCOE!R140+N113-N113*LCOE!H$25</f>
        <v>1</v>
      </c>
      <c r="O114" s="18">
        <f>LCOE!S140+LCOE!H$29</f>
        <v>313.75</v>
      </c>
      <c r="P114" s="12">
        <f>LCOE!T140+IF(A114&gt;=LCOE!H$30,100%,0%)</f>
        <v>1</v>
      </c>
      <c r="Q114" s="16">
        <f>LCOE!U140+O114/1000*IF(LCOE!H$14&gt;0,G114,H114)</f>
        <v>0</v>
      </c>
      <c r="R114" s="16">
        <f>LCOE!B140</f>
        <v>30</v>
      </c>
      <c r="S114" s="16">
        <f>LCOE!V140+Q114*P114*R114</f>
        <v>0</v>
      </c>
      <c r="T114" s="16">
        <f>LCOE!W140+LCOE!H$31</f>
        <v>0</v>
      </c>
      <c r="U114" s="16">
        <f>LCOE!X140+T114*IF(LCOE!H$14&gt;0,G114,H114)</f>
        <v>0</v>
      </c>
      <c r="V114" s="16">
        <f>LCOE!Y140+LCOE!H$32</f>
        <v>0</v>
      </c>
      <c r="W114" s="16">
        <f>LCOE!Z140+V114*IF(LCOE!H$14&gt;0,G114,H114)</f>
        <v>0</v>
      </c>
      <c r="X114" s="16">
        <f>LCOE!AA140+LCOE!H$34</f>
        <v>101</v>
      </c>
      <c r="Y114" s="16">
        <f t="shared" si="15"/>
        <v>0</v>
      </c>
      <c r="Z114" s="50">
        <f t="shared" si="18"/>
        <v>0</v>
      </c>
      <c r="AA114" s="50">
        <f t="shared" si="19"/>
        <v>0</v>
      </c>
      <c r="AB114" s="50">
        <f t="shared" si="20"/>
        <v>0</v>
      </c>
      <c r="AC114" s="50">
        <f t="shared" si="16"/>
        <v>0</v>
      </c>
      <c r="AD114" s="50">
        <f t="shared" si="25"/>
        <v>0</v>
      </c>
      <c r="AE114">
        <f t="shared" si="17"/>
        <v>30</v>
      </c>
      <c r="AF114" s="12">
        <f>LCOE!E140+LCOE!H$40</f>
        <v>0.08</v>
      </c>
      <c r="AG114">
        <f t="shared" si="26"/>
        <v>29.555971657678928</v>
      </c>
      <c r="AH114" s="16">
        <f t="shared" si="21"/>
        <v>0</v>
      </c>
      <c r="AI114" s="16">
        <f t="shared" si="22"/>
        <v>0</v>
      </c>
      <c r="AJ114" s="16">
        <f t="shared" si="23"/>
        <v>0</v>
      </c>
      <c r="AK114" s="16">
        <f t="shared" si="24"/>
        <v>0</v>
      </c>
      <c r="AL114" s="16">
        <f t="shared" si="27"/>
        <v>0</v>
      </c>
      <c r="AM114" s="16">
        <f t="shared" si="14"/>
        <v>0</v>
      </c>
      <c r="AN114" s="16">
        <f>IF(LCOE!H$14&gt;0,G114,H114)/AG114</f>
        <v>0</v>
      </c>
    </row>
    <row r="115" spans="1:40">
      <c r="A115">
        <v>45</v>
      </c>
      <c r="C115" s="16">
        <f>LCOE!H141+IF(AND(LCOE!H$26&gt;0,A115&gt;=LCOE!H$26,A115&lt;=(LCOE!H$26+LCOE!H$27-1)),LCOE!H$42/LCOE!H$27,0)+IF(AND(D115=0,AE115&gt;=LCOE!H$16,COUNTIF(D90:D115,0)=LCOE!H$36),LCOE!H$35*LCOE!H$38,0)</f>
        <v>0</v>
      </c>
      <c r="D115" s="16">
        <f>IF(AE114&lt;LCOE!H$16,1,0)</f>
        <v>0</v>
      </c>
      <c r="E115" s="12">
        <f>LCOE!G141+IF(AND(A115&gt;=LCOE!H$26,A115&lt;=(LCOE!H$26+LCOE!H$27-1)),0,1)*IF(A115=LCOE!H$34,0,1)*D115</f>
        <v>0</v>
      </c>
      <c r="F115" s="12">
        <f>IF(F114&lt;LCOE!H$18,MIN(F114*(1+LCOE!H$19),LCOE!H$18),LCOE!H$18)+LCOE!J141</f>
        <v>0.9</v>
      </c>
      <c r="G115" s="16">
        <f>LCOE!K141+E115*F115*N115*(LCOE!H$14+LCOE!H141)*24*365*D115</f>
        <v>0</v>
      </c>
      <c r="H115" s="16">
        <f>LCOE!L141+F115*(LCOE!H$15+LCOE!I141)*E115*24*365*D115*N115</f>
        <v>0</v>
      </c>
      <c r="I115" s="16">
        <f>LCOE!M141+LCOE!H$20*IF(LCOE!H$14&gt;0,(LCOE!H$14+LCOE!H141),(LCOE!H$15+LCOE!I141))*K115*D115</f>
        <v>0</v>
      </c>
      <c r="J115" s="16">
        <f>LCOE!N141+LCOE!H$21*IF(LCOE!H$14&gt;0,G115,H115)*K115*D115</f>
        <v>0</v>
      </c>
      <c r="K115" s="15">
        <f>LCOE!O141+K114+K114*LCOE!H$22</f>
        <v>1</v>
      </c>
      <c r="L115" s="16">
        <f>LCOE!P141+LCOE!H$23*IF(LCOE!H$14&gt;0,G115,H115)*M115*D115</f>
        <v>0</v>
      </c>
      <c r="M115" s="15">
        <f>LCOE!Q141+M114+M114*LCOE!H$24</f>
        <v>1</v>
      </c>
      <c r="N115" s="15">
        <f>LCOE!R141+N114-N114*LCOE!H$25</f>
        <v>1</v>
      </c>
      <c r="O115" s="18">
        <f>LCOE!S141+LCOE!H$29</f>
        <v>313.75</v>
      </c>
      <c r="P115" s="12">
        <f>LCOE!T141+IF(A115&gt;=LCOE!H$30,100%,0%)</f>
        <v>1</v>
      </c>
      <c r="Q115" s="16">
        <f>LCOE!U141+O115/1000*IF(LCOE!H$14&gt;0,G115,H115)</f>
        <v>0</v>
      </c>
      <c r="R115" s="16">
        <f>LCOE!B141</f>
        <v>30</v>
      </c>
      <c r="S115" s="16">
        <f>LCOE!V141+Q115*P115*R115</f>
        <v>0</v>
      </c>
      <c r="T115" s="16">
        <f>LCOE!W141+LCOE!H$31</f>
        <v>0</v>
      </c>
      <c r="U115" s="16">
        <f>LCOE!X141+T115*IF(LCOE!H$14&gt;0,G115,H115)</f>
        <v>0</v>
      </c>
      <c r="V115" s="16">
        <f>LCOE!Y141+LCOE!H$32</f>
        <v>0</v>
      </c>
      <c r="W115" s="16">
        <f>LCOE!Z141+V115*IF(LCOE!H$14&gt;0,G115,H115)</f>
        <v>0</v>
      </c>
      <c r="X115" s="16">
        <f>LCOE!AA141+LCOE!H$34</f>
        <v>101</v>
      </c>
      <c r="Y115" s="16">
        <f t="shared" si="15"/>
        <v>0</v>
      </c>
      <c r="Z115" s="50">
        <f t="shared" si="18"/>
        <v>0</v>
      </c>
      <c r="AA115" s="50">
        <f t="shared" si="19"/>
        <v>0</v>
      </c>
      <c r="AB115" s="50">
        <f t="shared" si="20"/>
        <v>0</v>
      </c>
      <c r="AC115" s="50">
        <f t="shared" si="16"/>
        <v>0</v>
      </c>
      <c r="AD115" s="50">
        <f t="shared" si="25"/>
        <v>0</v>
      </c>
      <c r="AE115">
        <f t="shared" si="17"/>
        <v>30</v>
      </c>
      <c r="AF115" s="12">
        <f>LCOE!E141+LCOE!H$40</f>
        <v>0.08</v>
      </c>
      <c r="AG115">
        <f t="shared" si="26"/>
        <v>31.920449390293239</v>
      </c>
      <c r="AH115" s="16">
        <f t="shared" si="21"/>
        <v>0</v>
      </c>
      <c r="AI115" s="16">
        <f t="shared" si="22"/>
        <v>0</v>
      </c>
      <c r="AJ115" s="16">
        <f t="shared" si="23"/>
        <v>0</v>
      </c>
      <c r="AK115" s="16">
        <f t="shared" si="24"/>
        <v>0</v>
      </c>
      <c r="AL115" s="16">
        <f t="shared" si="27"/>
        <v>0</v>
      </c>
      <c r="AM115" s="16">
        <f t="shared" si="14"/>
        <v>0</v>
      </c>
      <c r="AN115" s="16">
        <f>IF(LCOE!H$14&gt;0,G115,H115)/AG115</f>
        <v>0</v>
      </c>
    </row>
    <row r="116" spans="1:40">
      <c r="A116">
        <v>46</v>
      </c>
      <c r="C116" s="16">
        <f>LCOE!H142+IF(AND(LCOE!H$26&gt;0,A116&gt;=LCOE!H$26,A116&lt;=(LCOE!H$26+LCOE!H$27-1)),LCOE!H$42/LCOE!H$27,0)+IF(AND(D116=0,AE116&gt;=LCOE!H$16,COUNTIF(D91:D116,0)=LCOE!H$36),LCOE!H$35*LCOE!H$38,0)</f>
        <v>0</v>
      </c>
      <c r="D116" s="16">
        <f>IF(AE115&lt;LCOE!H$16,1,0)</f>
        <v>0</v>
      </c>
      <c r="E116" s="12">
        <f>LCOE!G142+IF(AND(A116&gt;=LCOE!H$26,A116&lt;=(LCOE!H$26+LCOE!H$27-1)),0,1)*IF(A116=LCOE!H$34,0,1)*D116</f>
        <v>0</v>
      </c>
      <c r="F116" s="12">
        <f>IF(F115&lt;LCOE!H$18,MIN(F115*(1+LCOE!H$19),LCOE!H$18),LCOE!H$18)+LCOE!J142</f>
        <v>0.9</v>
      </c>
      <c r="G116" s="16">
        <f>LCOE!K142+E116*F116*N116*(LCOE!H$14+LCOE!H142)*24*365*D116</f>
        <v>0</v>
      </c>
      <c r="H116" s="16">
        <f>LCOE!L142+F116*(LCOE!H$15+LCOE!I142)*E116*24*365*D116*N116</f>
        <v>0</v>
      </c>
      <c r="I116" s="16">
        <f>LCOE!M142+LCOE!H$20*IF(LCOE!H$14&gt;0,(LCOE!H$14+LCOE!H142),(LCOE!H$15+LCOE!I142))*K116*D116</f>
        <v>0</v>
      </c>
      <c r="J116" s="16">
        <f>LCOE!N142+LCOE!H$21*IF(LCOE!H$14&gt;0,G116,H116)*K116*D116</f>
        <v>0</v>
      </c>
      <c r="K116" s="15">
        <f>LCOE!O142+K115+K115*LCOE!H$22</f>
        <v>1</v>
      </c>
      <c r="L116" s="16">
        <f>LCOE!P142+LCOE!H$23*IF(LCOE!H$14&gt;0,G116,H116)*M116*D116</f>
        <v>0</v>
      </c>
      <c r="M116" s="15">
        <f>LCOE!Q142+M115+M115*LCOE!H$24</f>
        <v>1</v>
      </c>
      <c r="N116" s="15">
        <f>LCOE!R142+N115-N115*LCOE!H$25</f>
        <v>1</v>
      </c>
      <c r="O116" s="18">
        <f>LCOE!S142+LCOE!H$29</f>
        <v>313.75</v>
      </c>
      <c r="P116" s="12">
        <f>LCOE!T142+IF(A116&gt;=LCOE!H$30,100%,0%)</f>
        <v>1</v>
      </c>
      <c r="Q116" s="16">
        <f>LCOE!U142+O116/1000*IF(LCOE!H$14&gt;0,G116,H116)</f>
        <v>0</v>
      </c>
      <c r="R116" s="16">
        <f>LCOE!B142</f>
        <v>30</v>
      </c>
      <c r="S116" s="16">
        <f>LCOE!V142+Q116*P116*R116</f>
        <v>0</v>
      </c>
      <c r="T116" s="16">
        <f>LCOE!W142+LCOE!H$31</f>
        <v>0</v>
      </c>
      <c r="U116" s="16">
        <f>LCOE!X142+T116*IF(LCOE!H$14&gt;0,G116,H116)</f>
        <v>0</v>
      </c>
      <c r="V116" s="16">
        <f>LCOE!Y142+LCOE!H$32</f>
        <v>0</v>
      </c>
      <c r="W116" s="16">
        <f>LCOE!Z142+V116*IF(LCOE!H$14&gt;0,G116,H116)</f>
        <v>0</v>
      </c>
      <c r="X116" s="16">
        <f>LCOE!AA142+LCOE!H$34</f>
        <v>101</v>
      </c>
      <c r="Y116" s="16">
        <f t="shared" si="15"/>
        <v>0</v>
      </c>
      <c r="Z116" s="50">
        <f t="shared" si="18"/>
        <v>0</v>
      </c>
      <c r="AA116" s="50">
        <f t="shared" si="19"/>
        <v>0</v>
      </c>
      <c r="AB116" s="50">
        <f t="shared" si="20"/>
        <v>0</v>
      </c>
      <c r="AC116" s="50">
        <f t="shared" si="16"/>
        <v>0</v>
      </c>
      <c r="AD116" s="50">
        <f t="shared" si="25"/>
        <v>0</v>
      </c>
      <c r="AE116">
        <f t="shared" si="17"/>
        <v>30</v>
      </c>
      <c r="AF116" s="12">
        <f>LCOE!E142+LCOE!H$40</f>
        <v>0.08</v>
      </c>
      <c r="AG116">
        <f t="shared" si="26"/>
        <v>34.474085341516705</v>
      </c>
      <c r="AH116" s="16">
        <f t="shared" si="21"/>
        <v>0</v>
      </c>
      <c r="AI116" s="16">
        <f t="shared" si="22"/>
        <v>0</v>
      </c>
      <c r="AJ116" s="16">
        <f t="shared" si="23"/>
        <v>0</v>
      </c>
      <c r="AK116" s="16">
        <f t="shared" si="24"/>
        <v>0</v>
      </c>
      <c r="AL116" s="16">
        <f t="shared" si="27"/>
        <v>0</v>
      </c>
      <c r="AM116" s="16">
        <f t="shared" si="14"/>
        <v>0</v>
      </c>
      <c r="AN116" s="16">
        <f>IF(LCOE!H$14&gt;0,G116,H116)/AG116</f>
        <v>0</v>
      </c>
    </row>
    <row r="117" spans="1:40">
      <c r="A117">
        <v>47</v>
      </c>
      <c r="C117" s="16">
        <f>LCOE!H143+IF(AND(LCOE!H$26&gt;0,A117&gt;=LCOE!H$26,A117&lt;=(LCOE!H$26+LCOE!H$27-1)),LCOE!H$42/LCOE!H$27,0)+IF(AND(D117=0,AE117&gt;=LCOE!H$16,COUNTIF(D92:D117,0)=LCOE!H$36),LCOE!H$35*LCOE!H$38,0)</f>
        <v>0</v>
      </c>
      <c r="D117" s="16">
        <f>IF(AE116&lt;LCOE!H$16,1,0)</f>
        <v>0</v>
      </c>
      <c r="E117" s="12">
        <f>LCOE!G143+IF(AND(A117&gt;=LCOE!H$26,A117&lt;=(LCOE!H$26+LCOE!H$27-1)),0,1)*IF(A117=LCOE!H$34,0,1)*D117</f>
        <v>0</v>
      </c>
      <c r="F117" s="12">
        <f>IF(F116&lt;LCOE!H$18,MIN(F116*(1+LCOE!H$19),LCOE!H$18),LCOE!H$18)+LCOE!J143</f>
        <v>0.9</v>
      </c>
      <c r="G117" s="16">
        <f>LCOE!K143+E117*F117*N117*(LCOE!H$14+LCOE!H143)*24*365*D117</f>
        <v>0</v>
      </c>
      <c r="H117" s="16">
        <f>LCOE!L143+F117*(LCOE!H$15+LCOE!I143)*E117*24*365*D117*N117</f>
        <v>0</v>
      </c>
      <c r="I117" s="16">
        <f>LCOE!M143+LCOE!H$20*IF(LCOE!H$14&gt;0,(LCOE!H$14+LCOE!H143),(LCOE!H$15+LCOE!I143))*K117*D117</f>
        <v>0</v>
      </c>
      <c r="J117" s="16">
        <f>LCOE!N143+LCOE!H$21*IF(LCOE!H$14&gt;0,G117,H117)*K117*D117</f>
        <v>0</v>
      </c>
      <c r="K117" s="15">
        <f>LCOE!O143+K116+K116*LCOE!H$22</f>
        <v>1</v>
      </c>
      <c r="L117" s="16">
        <f>LCOE!P143+LCOE!H$23*IF(LCOE!H$14&gt;0,G117,H117)*M117*D117</f>
        <v>0</v>
      </c>
      <c r="M117" s="15">
        <f>LCOE!Q143+M116+M116*LCOE!H$24</f>
        <v>1</v>
      </c>
      <c r="N117" s="15">
        <f>LCOE!R143+N116-N116*LCOE!H$25</f>
        <v>1</v>
      </c>
      <c r="O117" s="18">
        <f>LCOE!S143+LCOE!H$29</f>
        <v>313.75</v>
      </c>
      <c r="P117" s="12">
        <f>LCOE!T143+IF(A117&gt;=LCOE!H$30,100%,0%)</f>
        <v>1</v>
      </c>
      <c r="Q117" s="16">
        <f>LCOE!U143+O117/1000*IF(LCOE!H$14&gt;0,G117,H117)</f>
        <v>0</v>
      </c>
      <c r="R117" s="16">
        <f>LCOE!B143</f>
        <v>30</v>
      </c>
      <c r="S117" s="16">
        <f>LCOE!V143+Q117*P117*R117</f>
        <v>0</v>
      </c>
      <c r="T117" s="16">
        <f>LCOE!W143+LCOE!H$31</f>
        <v>0</v>
      </c>
      <c r="U117" s="16">
        <f>LCOE!X143+T117*IF(LCOE!H$14&gt;0,G117,H117)</f>
        <v>0</v>
      </c>
      <c r="V117" s="16">
        <f>LCOE!Y143+LCOE!H$32</f>
        <v>0</v>
      </c>
      <c r="W117" s="16">
        <f>LCOE!Z143+V117*IF(LCOE!H$14&gt;0,G117,H117)</f>
        <v>0</v>
      </c>
      <c r="X117" s="16">
        <f>LCOE!AA143+LCOE!H$34</f>
        <v>101</v>
      </c>
      <c r="Y117" s="16">
        <f t="shared" si="15"/>
        <v>0</v>
      </c>
      <c r="Z117" s="50">
        <f t="shared" si="18"/>
        <v>0</v>
      </c>
      <c r="AA117" s="50">
        <f t="shared" si="19"/>
        <v>0</v>
      </c>
      <c r="AB117" s="50">
        <f t="shared" si="20"/>
        <v>0</v>
      </c>
      <c r="AC117" s="50">
        <f t="shared" si="16"/>
        <v>0</v>
      </c>
      <c r="AD117" s="50">
        <f t="shared" si="25"/>
        <v>0</v>
      </c>
      <c r="AE117">
        <f t="shared" si="17"/>
        <v>30</v>
      </c>
      <c r="AF117" s="12">
        <f>LCOE!E143+LCOE!H$40</f>
        <v>0.08</v>
      </c>
      <c r="AG117">
        <f t="shared" si="26"/>
        <v>37.232012168838047</v>
      </c>
      <c r="AH117" s="16">
        <f t="shared" si="21"/>
        <v>0</v>
      </c>
      <c r="AI117" s="16">
        <f t="shared" si="22"/>
        <v>0</v>
      </c>
      <c r="AJ117" s="16">
        <f t="shared" si="23"/>
        <v>0</v>
      </c>
      <c r="AK117" s="16">
        <f t="shared" si="24"/>
        <v>0</v>
      </c>
      <c r="AL117" s="16">
        <f t="shared" si="27"/>
        <v>0</v>
      </c>
      <c r="AM117" s="16">
        <f t="shared" si="14"/>
        <v>0</v>
      </c>
      <c r="AN117" s="16">
        <f>IF(LCOE!H$14&gt;0,G117,H117)/AG117</f>
        <v>0</v>
      </c>
    </row>
    <row r="118" spans="1:40">
      <c r="A118">
        <v>48</v>
      </c>
      <c r="C118" s="16">
        <f>LCOE!H144+IF(AND(LCOE!H$26&gt;0,A118&gt;=LCOE!H$26,A118&lt;=(LCOE!H$26+LCOE!H$27-1)),LCOE!H$42/LCOE!H$27,0)+IF(AND(D118=0,AE118&gt;=LCOE!H$16,COUNTIF(D93:D118,0)=LCOE!H$36),LCOE!H$35*LCOE!H$38,0)</f>
        <v>0</v>
      </c>
      <c r="D118" s="16">
        <f>IF(AE117&lt;LCOE!H$16,1,0)</f>
        <v>0</v>
      </c>
      <c r="E118" s="12">
        <f>LCOE!G144+IF(AND(A118&gt;=LCOE!H$26,A118&lt;=(LCOE!H$26+LCOE!H$27-1)),0,1)*IF(A118=LCOE!H$34,0,1)*D118</f>
        <v>0</v>
      </c>
      <c r="F118" s="12">
        <f>IF(F117&lt;LCOE!H$18,MIN(F117*(1+LCOE!H$19),LCOE!H$18),LCOE!H$18)+LCOE!J144</f>
        <v>0.9</v>
      </c>
      <c r="G118" s="16">
        <f>LCOE!K144+E118*F118*N118*(LCOE!H$14+LCOE!H144)*24*365*D118</f>
        <v>0</v>
      </c>
      <c r="H118" s="16">
        <f>LCOE!L144+F118*(LCOE!H$15+LCOE!I144)*E118*24*365*D118*N118</f>
        <v>0</v>
      </c>
      <c r="I118" s="16">
        <f>LCOE!M144+LCOE!H$20*IF(LCOE!H$14&gt;0,(LCOE!H$14+LCOE!H144),(LCOE!H$15+LCOE!I144))*K118*D118</f>
        <v>0</v>
      </c>
      <c r="J118" s="16">
        <f>LCOE!N144+LCOE!H$21*IF(LCOE!H$14&gt;0,G118,H118)*K118*D118</f>
        <v>0</v>
      </c>
      <c r="K118" s="15">
        <f>LCOE!O144+K117+K117*LCOE!H$22</f>
        <v>1</v>
      </c>
      <c r="L118" s="16">
        <f>LCOE!P144+LCOE!H$23*IF(LCOE!H$14&gt;0,G118,H118)*M118*D118</f>
        <v>0</v>
      </c>
      <c r="M118" s="15">
        <f>LCOE!Q144+M117+M117*LCOE!H$24</f>
        <v>1</v>
      </c>
      <c r="N118" s="15">
        <f>LCOE!R144+N117-N117*LCOE!H$25</f>
        <v>1</v>
      </c>
      <c r="O118" s="18">
        <f>LCOE!S144+LCOE!H$29</f>
        <v>313.75</v>
      </c>
      <c r="P118" s="12">
        <f>LCOE!T144+IF(A118&gt;=LCOE!H$30,100%,0%)</f>
        <v>1</v>
      </c>
      <c r="Q118" s="16">
        <f>LCOE!U144+O118/1000*IF(LCOE!H$14&gt;0,G118,H118)</f>
        <v>0</v>
      </c>
      <c r="R118" s="16">
        <f>LCOE!B144</f>
        <v>30</v>
      </c>
      <c r="S118" s="16">
        <f>LCOE!V144+Q118*P118*R118</f>
        <v>0</v>
      </c>
      <c r="T118" s="16">
        <f>LCOE!W144+LCOE!H$31</f>
        <v>0</v>
      </c>
      <c r="U118" s="16">
        <f>LCOE!X144+T118*IF(LCOE!H$14&gt;0,G118,H118)</f>
        <v>0</v>
      </c>
      <c r="V118" s="16">
        <f>LCOE!Y144+LCOE!H$32</f>
        <v>0</v>
      </c>
      <c r="W118" s="16">
        <f>LCOE!Z144+V118*IF(LCOE!H$14&gt;0,G118,H118)</f>
        <v>0</v>
      </c>
      <c r="X118" s="16">
        <f>LCOE!AA144+LCOE!H$34</f>
        <v>101</v>
      </c>
      <c r="Y118" s="16">
        <f t="shared" si="15"/>
        <v>0</v>
      </c>
      <c r="Z118" s="50">
        <f t="shared" si="18"/>
        <v>0</v>
      </c>
      <c r="AA118" s="50">
        <f t="shared" si="19"/>
        <v>0</v>
      </c>
      <c r="AB118" s="50">
        <f t="shared" si="20"/>
        <v>0</v>
      </c>
      <c r="AC118" s="50">
        <f t="shared" si="16"/>
        <v>0</v>
      </c>
      <c r="AD118" s="50">
        <f t="shared" si="25"/>
        <v>0</v>
      </c>
      <c r="AE118">
        <f t="shared" si="17"/>
        <v>30</v>
      </c>
      <c r="AF118" s="12">
        <f>LCOE!E144+LCOE!H$40</f>
        <v>0.08</v>
      </c>
      <c r="AG118">
        <f t="shared" si="26"/>
        <v>40.210573142345083</v>
      </c>
      <c r="AH118" s="16">
        <f t="shared" si="21"/>
        <v>0</v>
      </c>
      <c r="AI118" s="16">
        <f t="shared" si="22"/>
        <v>0</v>
      </c>
      <c r="AJ118" s="16">
        <f t="shared" si="23"/>
        <v>0</v>
      </c>
      <c r="AK118" s="16">
        <f t="shared" si="24"/>
        <v>0</v>
      </c>
      <c r="AL118" s="16">
        <f t="shared" si="27"/>
        <v>0</v>
      </c>
      <c r="AM118" s="16">
        <f t="shared" si="14"/>
        <v>0</v>
      </c>
      <c r="AN118" s="16">
        <f>IF(LCOE!H$14&gt;0,G118,H118)/AG118</f>
        <v>0</v>
      </c>
    </row>
    <row r="119" spans="1:40">
      <c r="A119">
        <v>49</v>
      </c>
      <c r="C119" s="16">
        <f>LCOE!H145+IF(AND(LCOE!H$26&gt;0,A119&gt;=LCOE!H$26,A119&lt;=(LCOE!H$26+LCOE!H$27-1)),LCOE!H$42/LCOE!H$27,0)+IF(AND(D119=0,AE119&gt;=LCOE!H$16,COUNTIF(D94:D119,0)=LCOE!H$36),LCOE!H$35*LCOE!H$38,0)</f>
        <v>0</v>
      </c>
      <c r="D119" s="16">
        <f>IF(AE118&lt;LCOE!H$16,1,0)</f>
        <v>0</v>
      </c>
      <c r="E119" s="12">
        <f>LCOE!G145+IF(AND(A119&gt;=LCOE!H$26,A119&lt;=(LCOE!H$26+LCOE!H$27-1)),0,1)*IF(A119=LCOE!H$34,0,1)*D119</f>
        <v>0</v>
      </c>
      <c r="F119" s="12">
        <f>IF(F118&lt;LCOE!H$18,MIN(F118*(1+LCOE!H$19),LCOE!H$18),LCOE!H$18)+LCOE!J145</f>
        <v>0.9</v>
      </c>
      <c r="G119" s="16">
        <f>LCOE!K145+E119*F119*N119*(LCOE!H$14+LCOE!H145)*24*365*D119</f>
        <v>0</v>
      </c>
      <c r="H119" s="16">
        <f>LCOE!L145+F119*(LCOE!H$15+LCOE!I145)*E119*24*365*D119*N119</f>
        <v>0</v>
      </c>
      <c r="I119" s="16">
        <f>LCOE!M145+LCOE!H$20*IF(LCOE!H$14&gt;0,(LCOE!H$14+LCOE!H145),(LCOE!H$15+LCOE!I145))*K119*D119</f>
        <v>0</v>
      </c>
      <c r="J119" s="16">
        <f>LCOE!N145+LCOE!H$21*IF(LCOE!H$14&gt;0,G119,H119)*K119*D119</f>
        <v>0</v>
      </c>
      <c r="K119" s="15">
        <f>LCOE!O145+K118+K118*LCOE!H$22</f>
        <v>1</v>
      </c>
      <c r="L119" s="16">
        <f>LCOE!P145+LCOE!H$23*IF(LCOE!H$14&gt;0,G119,H119)*M119*D119</f>
        <v>0</v>
      </c>
      <c r="M119" s="15">
        <f>LCOE!Q145+M118+M118*LCOE!H$24</f>
        <v>1</v>
      </c>
      <c r="N119" s="15">
        <f>LCOE!R145+N118-N118*LCOE!H$25</f>
        <v>1</v>
      </c>
      <c r="O119" s="18">
        <f>LCOE!S145+LCOE!H$29</f>
        <v>313.75</v>
      </c>
      <c r="P119" s="12">
        <f>LCOE!T145+IF(A119&gt;=LCOE!H$30,100%,0%)</f>
        <v>1</v>
      </c>
      <c r="Q119" s="16">
        <f>LCOE!U145+O119/1000*IF(LCOE!H$14&gt;0,G119,H119)</f>
        <v>0</v>
      </c>
      <c r="R119" s="16">
        <f>LCOE!B145</f>
        <v>30</v>
      </c>
      <c r="S119" s="16">
        <f>LCOE!V145+Q119*P119*R119</f>
        <v>0</v>
      </c>
      <c r="T119" s="16">
        <f>LCOE!W145+LCOE!H$31</f>
        <v>0</v>
      </c>
      <c r="U119" s="16">
        <f>LCOE!X145+T119*IF(LCOE!H$14&gt;0,G119,H119)</f>
        <v>0</v>
      </c>
      <c r="V119" s="16">
        <f>LCOE!Y145+LCOE!H$32</f>
        <v>0</v>
      </c>
      <c r="W119" s="16">
        <f>LCOE!Z145+V119*IF(LCOE!H$14&gt;0,G119,H119)</f>
        <v>0</v>
      </c>
      <c r="X119" s="16">
        <f>LCOE!AA145+LCOE!H$34</f>
        <v>101</v>
      </c>
      <c r="Y119" s="16">
        <f t="shared" si="15"/>
        <v>0</v>
      </c>
      <c r="Z119" s="50">
        <f t="shared" si="18"/>
        <v>0</v>
      </c>
      <c r="AA119" s="50">
        <f t="shared" si="19"/>
        <v>0</v>
      </c>
      <c r="AB119" s="50">
        <f t="shared" si="20"/>
        <v>0</v>
      </c>
      <c r="AC119" s="50">
        <f t="shared" si="16"/>
        <v>0</v>
      </c>
      <c r="AD119" s="50">
        <f t="shared" si="25"/>
        <v>0</v>
      </c>
      <c r="AE119">
        <f t="shared" si="17"/>
        <v>30</v>
      </c>
      <c r="AF119" s="12">
        <f>LCOE!E145+LCOE!H$40</f>
        <v>0.08</v>
      </c>
      <c r="AG119">
        <f t="shared" si="26"/>
        <v>43.427418993732694</v>
      </c>
      <c r="AH119" s="16">
        <f t="shared" si="21"/>
        <v>0</v>
      </c>
      <c r="AI119" s="16">
        <f t="shared" si="22"/>
        <v>0</v>
      </c>
      <c r="AJ119" s="16">
        <f t="shared" si="23"/>
        <v>0</v>
      </c>
      <c r="AK119" s="16">
        <f t="shared" si="24"/>
        <v>0</v>
      </c>
      <c r="AL119" s="16">
        <f t="shared" si="27"/>
        <v>0</v>
      </c>
      <c r="AM119" s="16">
        <f t="shared" si="14"/>
        <v>0</v>
      </c>
      <c r="AN119" s="16">
        <f>IF(LCOE!H$14&gt;0,G119,H119)/AG119</f>
        <v>0</v>
      </c>
    </row>
    <row r="120" spans="1:40">
      <c r="A120">
        <v>50</v>
      </c>
      <c r="C120" s="16">
        <f>LCOE!H146+IF(AND(LCOE!H$26&gt;0,A120&gt;=LCOE!H$26,A120&lt;=(LCOE!H$26+LCOE!H$27-1)),LCOE!H$42/LCOE!H$27,0)+IF(AND(D120=0,AE120&gt;=LCOE!H$16,COUNTIF(D95:D120,0)=LCOE!H$36),LCOE!H$35*LCOE!H$38,0)</f>
        <v>0</v>
      </c>
      <c r="D120" s="16">
        <f>IF(AE119&lt;LCOE!H$16,1,0)</f>
        <v>0</v>
      </c>
      <c r="E120" s="12">
        <f>LCOE!G146+IF(AND(A120&gt;=LCOE!H$26,A120&lt;=(LCOE!H$26+LCOE!H$27-1)),0,1)*IF(A120=LCOE!H$34,0,1)*D120</f>
        <v>0</v>
      </c>
      <c r="F120" s="12">
        <f>IF(F119&lt;LCOE!H$18,MIN(F119*(1+LCOE!H$19),LCOE!H$18),LCOE!H$18)+LCOE!J146</f>
        <v>0.9</v>
      </c>
      <c r="G120" s="16">
        <f>LCOE!K146+E120*F120*N120*(LCOE!H$14+LCOE!H146)*24*365*D120</f>
        <v>0</v>
      </c>
      <c r="H120" s="16">
        <f>LCOE!L146+F120*(LCOE!H$15+LCOE!I146)*E120*24*365*D120*N120</f>
        <v>0</v>
      </c>
      <c r="I120" s="16">
        <f>LCOE!M146+LCOE!H$20*IF(LCOE!H$14&gt;0,(LCOE!H$14+LCOE!H146),(LCOE!H$15+LCOE!I146))*K120*D120</f>
        <v>0</v>
      </c>
      <c r="J120" s="16">
        <f>LCOE!N146+LCOE!H$21*IF(LCOE!H$14&gt;0,G120,H120)*K120*D120</f>
        <v>0</v>
      </c>
      <c r="K120" s="15">
        <f>LCOE!O146+K119+K119*LCOE!H$22</f>
        <v>1</v>
      </c>
      <c r="L120" s="16">
        <f>LCOE!P146+LCOE!H$23*IF(LCOE!H$14&gt;0,G120,H120)*M120*D120</f>
        <v>0</v>
      </c>
      <c r="M120" s="15">
        <f>LCOE!Q146+M119+M119*LCOE!H$24</f>
        <v>1</v>
      </c>
      <c r="N120" s="15">
        <f>LCOE!R146+N119-N119*LCOE!H$25</f>
        <v>1</v>
      </c>
      <c r="O120" s="18">
        <f>LCOE!S146+LCOE!H$29</f>
        <v>313.75</v>
      </c>
      <c r="P120" s="12">
        <f>LCOE!T146+IF(A120&gt;=LCOE!H$30,100%,0%)</f>
        <v>1</v>
      </c>
      <c r="Q120" s="16">
        <f>LCOE!U146+O120/1000*IF(LCOE!H$14&gt;0,G120,H120)</f>
        <v>0</v>
      </c>
      <c r="R120" s="16">
        <f>LCOE!B146</f>
        <v>30</v>
      </c>
      <c r="S120" s="16">
        <f>LCOE!V146+Q120*P120*R120</f>
        <v>0</v>
      </c>
      <c r="T120" s="16">
        <f>LCOE!W146+LCOE!H$31</f>
        <v>0</v>
      </c>
      <c r="U120" s="16">
        <f>LCOE!X146+T120*IF(LCOE!H$14&gt;0,G120,H120)</f>
        <v>0</v>
      </c>
      <c r="V120" s="16">
        <f>LCOE!Y146+LCOE!H$32</f>
        <v>0</v>
      </c>
      <c r="W120" s="16">
        <f>LCOE!Z146+V120*IF(LCOE!H$14&gt;0,G120,H120)</f>
        <v>0</v>
      </c>
      <c r="X120" s="16">
        <f>LCOE!AA146+LCOE!H$34</f>
        <v>101</v>
      </c>
      <c r="Y120" s="16">
        <f t="shared" si="15"/>
        <v>0</v>
      </c>
      <c r="Z120" s="50">
        <f t="shared" si="18"/>
        <v>0</v>
      </c>
      <c r="AA120" s="50">
        <f t="shared" si="19"/>
        <v>0</v>
      </c>
      <c r="AB120" s="50">
        <f t="shared" si="20"/>
        <v>0</v>
      </c>
      <c r="AC120" s="50">
        <f t="shared" si="16"/>
        <v>0</v>
      </c>
      <c r="AD120" s="50">
        <f t="shared" si="25"/>
        <v>0</v>
      </c>
      <c r="AE120">
        <f t="shared" si="17"/>
        <v>30</v>
      </c>
      <c r="AF120" s="12">
        <f>LCOE!E146+LCOE!H$40</f>
        <v>0.08</v>
      </c>
      <c r="AG120">
        <f t="shared" si="26"/>
        <v>46.901612513231314</v>
      </c>
      <c r="AH120" s="16">
        <f t="shared" si="21"/>
        <v>0</v>
      </c>
      <c r="AI120" s="16">
        <f t="shared" si="22"/>
        <v>0</v>
      </c>
      <c r="AJ120" s="16">
        <f t="shared" si="23"/>
        <v>0</v>
      </c>
      <c r="AK120" s="16">
        <f t="shared" si="24"/>
        <v>0</v>
      </c>
      <c r="AL120" s="16">
        <f t="shared" si="27"/>
        <v>0</v>
      </c>
      <c r="AM120" s="16">
        <f t="shared" si="14"/>
        <v>0</v>
      </c>
      <c r="AN120" s="16">
        <f>IF(LCOE!H$14&gt;0,G120,H120)/AG120</f>
        <v>0</v>
      </c>
    </row>
    <row r="121" spans="1:40">
      <c r="A121">
        <v>51</v>
      </c>
      <c r="C121" s="16">
        <f>LCOE!H147+IF(AND(LCOE!H$26&gt;0,A121&gt;=LCOE!H$26,A121&lt;=(LCOE!H$26+LCOE!H$27-1)),LCOE!H$42/LCOE!H$27,0)+IF(AND(D121=0,AE121&gt;=LCOE!H$16,COUNTIF(D96:D121,0)=LCOE!H$36),LCOE!H$35*LCOE!H$38,0)</f>
        <v>0</v>
      </c>
      <c r="D121" s="16">
        <f>IF(AE120&lt;LCOE!H$16,1,0)</f>
        <v>0</v>
      </c>
      <c r="E121" s="12">
        <f>LCOE!G147+IF(AND(A121&gt;=LCOE!H$26,A121&lt;=(LCOE!H$26+LCOE!H$27-1)),0,1)*IF(A121=LCOE!H$34,0,1)*D121</f>
        <v>0</v>
      </c>
      <c r="F121" s="12">
        <f>IF(F120&lt;LCOE!H$18,MIN(F120*(1+LCOE!H$19),LCOE!H$18),LCOE!H$18)+LCOE!J147</f>
        <v>0.9</v>
      </c>
      <c r="G121" s="16">
        <f>LCOE!K147+E121*F121*N121*(LCOE!H$14+LCOE!H147)*24*365*D121</f>
        <v>0</v>
      </c>
      <c r="H121" s="16">
        <f>LCOE!L147+F121*(LCOE!H$15+LCOE!I147)*E121*24*365*D121*N121</f>
        <v>0</v>
      </c>
      <c r="I121" s="16">
        <f>LCOE!M147+LCOE!H$20*IF(LCOE!H$14&gt;0,(LCOE!H$14+LCOE!H147),(LCOE!H$15+LCOE!I147))*K121*D121</f>
        <v>0</v>
      </c>
      <c r="J121" s="16">
        <f>LCOE!N147+LCOE!H$21*IF(LCOE!H$14&gt;0,G121,H121)*K121*D121</f>
        <v>0</v>
      </c>
      <c r="K121" s="15">
        <f>LCOE!O147+K120+K120*LCOE!H$22</f>
        <v>1</v>
      </c>
      <c r="L121" s="16">
        <f>LCOE!P147+LCOE!H$23*IF(LCOE!H$14&gt;0,G121,H121)*M121*D121</f>
        <v>0</v>
      </c>
      <c r="M121" s="15">
        <f>LCOE!Q147+M120+M120*LCOE!H$24</f>
        <v>1</v>
      </c>
      <c r="N121" s="15">
        <f>LCOE!R147+N120-N120*LCOE!H$25</f>
        <v>1</v>
      </c>
      <c r="O121" s="18">
        <f>LCOE!S147+LCOE!H$29</f>
        <v>313.75</v>
      </c>
      <c r="P121" s="12">
        <f>LCOE!T147+IF(A121&gt;=LCOE!H$30,100%,0%)</f>
        <v>1</v>
      </c>
      <c r="Q121" s="16">
        <f>LCOE!U147+O121/1000*IF(LCOE!H$14&gt;0,G121,H121)</f>
        <v>0</v>
      </c>
      <c r="R121" s="16">
        <f>LCOE!B147</f>
        <v>30</v>
      </c>
      <c r="S121" s="16">
        <f>LCOE!V147+Q121*P121*R121</f>
        <v>0</v>
      </c>
      <c r="T121" s="16">
        <f>LCOE!W147+LCOE!H$31</f>
        <v>0</v>
      </c>
      <c r="U121" s="16">
        <f>LCOE!X147+T121*IF(LCOE!H$14&gt;0,G121,H121)</f>
        <v>0</v>
      </c>
      <c r="V121" s="16">
        <f>LCOE!Y147+LCOE!H$32</f>
        <v>0</v>
      </c>
      <c r="W121" s="16">
        <f>LCOE!Z147+V121*IF(LCOE!H$14&gt;0,G121,H121)</f>
        <v>0</v>
      </c>
      <c r="X121" s="16">
        <f>LCOE!AA147+LCOE!H$34</f>
        <v>101</v>
      </c>
      <c r="Y121" s="16">
        <f t="shared" si="15"/>
        <v>0</v>
      </c>
      <c r="Z121" s="50">
        <f t="shared" si="18"/>
        <v>0</v>
      </c>
      <c r="AA121" s="50">
        <f t="shared" si="19"/>
        <v>0</v>
      </c>
      <c r="AB121" s="50">
        <f t="shared" si="20"/>
        <v>0</v>
      </c>
      <c r="AC121" s="50">
        <f t="shared" si="16"/>
        <v>0</v>
      </c>
      <c r="AD121" s="50">
        <f t="shared" si="25"/>
        <v>0</v>
      </c>
      <c r="AE121">
        <f t="shared" si="17"/>
        <v>30</v>
      </c>
      <c r="AF121" s="12">
        <f>LCOE!E147+LCOE!H$40</f>
        <v>0.08</v>
      </c>
      <c r="AG121">
        <f t="shared" si="26"/>
        <v>50.653741514289827</v>
      </c>
      <c r="AH121" s="16">
        <f t="shared" si="21"/>
        <v>0</v>
      </c>
      <c r="AI121" s="16">
        <f t="shared" si="22"/>
        <v>0</v>
      </c>
      <c r="AJ121" s="16">
        <f t="shared" si="23"/>
        <v>0</v>
      </c>
      <c r="AK121" s="16">
        <f t="shared" si="24"/>
        <v>0</v>
      </c>
      <c r="AL121" s="16">
        <f t="shared" si="27"/>
        <v>0</v>
      </c>
      <c r="AM121" s="16">
        <f t="shared" si="14"/>
        <v>0</v>
      </c>
      <c r="AN121" s="16">
        <f>IF(LCOE!H$14&gt;0,G121,H121)/AG121</f>
        <v>0</v>
      </c>
    </row>
    <row r="122" spans="1:40">
      <c r="A122">
        <v>52</v>
      </c>
      <c r="C122" s="16">
        <f>LCOE!H148+IF(AND(LCOE!H$26&gt;0,A122&gt;=LCOE!H$26,A122&lt;=(LCOE!H$26+LCOE!H$27-1)),LCOE!H$42/LCOE!H$27,0)+IF(AND(D122=0,AE122&gt;=LCOE!H$16,COUNTIF(D97:D122,0)=LCOE!H$36),LCOE!H$35*LCOE!H$38,0)</f>
        <v>0</v>
      </c>
      <c r="D122" s="16">
        <f>IF(AE121&lt;LCOE!H$16,1,0)</f>
        <v>0</v>
      </c>
      <c r="E122" s="12">
        <f>LCOE!G148+IF(AND(A122&gt;=LCOE!H$26,A122&lt;=(LCOE!H$26+LCOE!H$27-1)),0,1)*IF(A122=LCOE!H$34,0,1)*D122</f>
        <v>0</v>
      </c>
      <c r="F122" s="12">
        <f>IF(F121&lt;LCOE!H$18,MIN(F121*(1+LCOE!H$19),LCOE!H$18),LCOE!H$18)+LCOE!J148</f>
        <v>0.9</v>
      </c>
      <c r="G122" s="16">
        <f>LCOE!K148+E122*F122*N122*(LCOE!H$14+LCOE!H148)*24*365*D122</f>
        <v>0</v>
      </c>
      <c r="H122" s="16">
        <f>LCOE!L148+F122*(LCOE!H$15+LCOE!I148)*E122*24*365*D122*N122</f>
        <v>0</v>
      </c>
      <c r="I122" s="16">
        <f>LCOE!M148+LCOE!H$20*IF(LCOE!H$14&gt;0,(LCOE!H$14+LCOE!H148),(LCOE!H$15+LCOE!I148))*K122*D122</f>
        <v>0</v>
      </c>
      <c r="J122" s="16">
        <f>LCOE!N148+LCOE!H$21*IF(LCOE!H$14&gt;0,G122,H122)*K122*D122</f>
        <v>0</v>
      </c>
      <c r="K122" s="15">
        <f>LCOE!O148+K121+K121*LCOE!H$22</f>
        <v>1</v>
      </c>
      <c r="L122" s="16">
        <f>LCOE!P148+LCOE!H$23*IF(LCOE!H$14&gt;0,G122,H122)*M122*D122</f>
        <v>0</v>
      </c>
      <c r="M122" s="15">
        <f>LCOE!Q148+M121+M121*LCOE!H$24</f>
        <v>1</v>
      </c>
      <c r="N122" s="15">
        <f>LCOE!R148+N121-N121*LCOE!H$25</f>
        <v>1</v>
      </c>
      <c r="O122" s="18">
        <f>LCOE!S148+LCOE!H$29</f>
        <v>313.75</v>
      </c>
      <c r="P122" s="12">
        <f>LCOE!T148+IF(A122&gt;=LCOE!H$30,100%,0%)</f>
        <v>1</v>
      </c>
      <c r="Q122" s="16">
        <f>LCOE!U148+O122/1000*IF(LCOE!H$14&gt;0,G122,H122)</f>
        <v>0</v>
      </c>
      <c r="R122" s="16">
        <f>LCOE!B148</f>
        <v>30</v>
      </c>
      <c r="S122" s="16">
        <f>LCOE!V148+Q122*P122*R122</f>
        <v>0</v>
      </c>
      <c r="T122" s="16">
        <f>LCOE!W148+LCOE!H$31</f>
        <v>0</v>
      </c>
      <c r="U122" s="16">
        <f>LCOE!X148+T122*IF(LCOE!H$14&gt;0,G122,H122)</f>
        <v>0</v>
      </c>
      <c r="V122" s="16">
        <f>LCOE!Y148+LCOE!H$32</f>
        <v>0</v>
      </c>
      <c r="W122" s="16">
        <f>LCOE!Z148+V122*IF(LCOE!H$14&gt;0,G122,H122)</f>
        <v>0</v>
      </c>
      <c r="X122" s="16">
        <f>LCOE!AA148+LCOE!H$34</f>
        <v>101</v>
      </c>
      <c r="Y122" s="16">
        <f t="shared" si="15"/>
        <v>0</v>
      </c>
      <c r="Z122" s="50">
        <f t="shared" si="18"/>
        <v>0</v>
      </c>
      <c r="AA122" s="50">
        <f t="shared" si="19"/>
        <v>0</v>
      </c>
      <c r="AB122" s="50">
        <f t="shared" si="20"/>
        <v>0</v>
      </c>
      <c r="AC122" s="50">
        <f t="shared" si="16"/>
        <v>0</v>
      </c>
      <c r="AD122" s="50">
        <f t="shared" si="25"/>
        <v>0</v>
      </c>
      <c r="AE122">
        <f t="shared" si="17"/>
        <v>30</v>
      </c>
      <c r="AF122" s="12">
        <f>LCOE!E148+LCOE!H$40</f>
        <v>0.08</v>
      </c>
      <c r="AG122">
        <f t="shared" si="26"/>
        <v>54.706040835433008</v>
      </c>
      <c r="AH122" s="16">
        <f t="shared" si="21"/>
        <v>0</v>
      </c>
      <c r="AI122" s="16">
        <f t="shared" si="22"/>
        <v>0</v>
      </c>
      <c r="AJ122" s="16">
        <f t="shared" si="23"/>
        <v>0</v>
      </c>
      <c r="AK122" s="16">
        <f t="shared" si="24"/>
        <v>0</v>
      </c>
      <c r="AL122" s="16">
        <f t="shared" si="27"/>
        <v>0</v>
      </c>
      <c r="AM122" s="16">
        <f t="shared" si="14"/>
        <v>0</v>
      </c>
      <c r="AN122" s="16">
        <f>IF(LCOE!H$14&gt;0,G122,H122)/AG122</f>
        <v>0</v>
      </c>
    </row>
    <row r="123" spans="1:40">
      <c r="A123">
        <v>53</v>
      </c>
      <c r="C123" s="16">
        <f>LCOE!H149+IF(AND(LCOE!H$26&gt;0,A123&gt;=LCOE!H$26,A123&lt;=(LCOE!H$26+LCOE!H$27-1)),LCOE!H$42/LCOE!H$27,0)+IF(AND(D123=0,AE123&gt;=LCOE!H$16,COUNTIF(D98:D123,0)=LCOE!H$36),LCOE!H$35*LCOE!H$38,0)</f>
        <v>0</v>
      </c>
      <c r="D123" s="16">
        <f>IF(AE122&lt;LCOE!H$16,1,0)</f>
        <v>0</v>
      </c>
      <c r="E123" s="12">
        <f>LCOE!G149+IF(AND(A123&gt;=LCOE!H$26,A123&lt;=(LCOE!H$26+LCOE!H$27-1)),0,1)*IF(A123=LCOE!H$34,0,1)*D123</f>
        <v>0</v>
      </c>
      <c r="F123" s="12">
        <f>IF(F122&lt;LCOE!H$18,MIN(F122*(1+LCOE!H$19),LCOE!H$18),LCOE!H$18)+LCOE!J149</f>
        <v>0.9</v>
      </c>
      <c r="G123" s="16">
        <f>LCOE!K149+E123*F123*N123*(LCOE!H$14+LCOE!H149)*24*365*D123</f>
        <v>0</v>
      </c>
      <c r="H123" s="16">
        <f>LCOE!L149+F123*(LCOE!H$15+LCOE!I149)*E123*24*365*D123*N123</f>
        <v>0</v>
      </c>
      <c r="I123" s="16">
        <f>LCOE!M149+LCOE!H$20*IF(LCOE!H$14&gt;0,(LCOE!H$14+LCOE!H149),(LCOE!H$15+LCOE!I149))*K123*D123</f>
        <v>0</v>
      </c>
      <c r="J123" s="16">
        <f>LCOE!N149+LCOE!H$21*IF(LCOE!H$14&gt;0,G123,H123)*K123*D123</f>
        <v>0</v>
      </c>
      <c r="K123" s="15">
        <f>LCOE!O149+K122+K122*LCOE!H$22</f>
        <v>1</v>
      </c>
      <c r="L123" s="16">
        <f>LCOE!P149+LCOE!H$23*IF(LCOE!H$14&gt;0,G123,H123)*M123*D123</f>
        <v>0</v>
      </c>
      <c r="M123" s="15">
        <f>LCOE!Q149+M122+M122*LCOE!H$24</f>
        <v>1</v>
      </c>
      <c r="N123" s="15">
        <f>LCOE!R149+N122-N122*LCOE!H$25</f>
        <v>1</v>
      </c>
      <c r="O123" s="18">
        <f>LCOE!S149+LCOE!H$29</f>
        <v>313.75</v>
      </c>
      <c r="P123" s="12">
        <f>LCOE!T149+IF(A123&gt;=LCOE!H$30,100%,0%)</f>
        <v>1</v>
      </c>
      <c r="Q123" s="16">
        <f>LCOE!U149+O123/1000*IF(LCOE!H$14&gt;0,G123,H123)</f>
        <v>0</v>
      </c>
      <c r="R123" s="16">
        <f>LCOE!B149</f>
        <v>30</v>
      </c>
      <c r="S123" s="16">
        <f>LCOE!V149+Q123*P123*R123</f>
        <v>0</v>
      </c>
      <c r="T123" s="16">
        <f>LCOE!W149+LCOE!H$31</f>
        <v>0</v>
      </c>
      <c r="U123" s="16">
        <f>LCOE!X149+T123*IF(LCOE!H$14&gt;0,G123,H123)</f>
        <v>0</v>
      </c>
      <c r="V123" s="16">
        <f>LCOE!Y149+LCOE!H$32</f>
        <v>0</v>
      </c>
      <c r="W123" s="16">
        <f>LCOE!Z149+V123*IF(LCOE!H$14&gt;0,G123,H123)</f>
        <v>0</v>
      </c>
      <c r="X123" s="16">
        <f>LCOE!AA149+LCOE!H$34</f>
        <v>101</v>
      </c>
      <c r="Y123" s="16">
        <f t="shared" si="15"/>
        <v>0</v>
      </c>
      <c r="Z123" s="50">
        <f t="shared" si="18"/>
        <v>0</v>
      </c>
      <c r="AA123" s="50">
        <f t="shared" si="19"/>
        <v>0</v>
      </c>
      <c r="AB123" s="50">
        <f t="shared" si="20"/>
        <v>0</v>
      </c>
      <c r="AC123" s="50">
        <f t="shared" si="16"/>
        <v>0</v>
      </c>
      <c r="AD123" s="50">
        <f t="shared" si="25"/>
        <v>0</v>
      </c>
      <c r="AE123">
        <f t="shared" si="17"/>
        <v>30</v>
      </c>
      <c r="AF123" s="12">
        <f>LCOE!E149+LCOE!H$40</f>
        <v>0.08</v>
      </c>
      <c r="AG123">
        <f t="shared" si="26"/>
        <v>59.082524102267648</v>
      </c>
      <c r="AH123" s="16">
        <f t="shared" si="21"/>
        <v>0</v>
      </c>
      <c r="AI123" s="16">
        <f t="shared" si="22"/>
        <v>0</v>
      </c>
      <c r="AJ123" s="16">
        <f t="shared" si="23"/>
        <v>0</v>
      </c>
      <c r="AK123" s="16">
        <f t="shared" si="24"/>
        <v>0</v>
      </c>
      <c r="AL123" s="16">
        <f t="shared" si="27"/>
        <v>0</v>
      </c>
      <c r="AM123" s="16">
        <f t="shared" si="14"/>
        <v>0</v>
      </c>
      <c r="AN123" s="16">
        <f>IF(LCOE!H$14&gt;0,G123,H123)/AG123</f>
        <v>0</v>
      </c>
    </row>
    <row r="124" spans="1:40">
      <c r="A124">
        <v>54</v>
      </c>
      <c r="C124" s="16">
        <f>LCOE!H150+IF(AND(LCOE!H$26&gt;0,A124&gt;=LCOE!H$26,A124&lt;=(LCOE!H$26+LCOE!H$27-1)),LCOE!H$42/LCOE!H$27,0)+IF(AND(D124=0,AE124&gt;=LCOE!H$16,COUNTIF(D99:D124,0)=LCOE!H$36),LCOE!H$35*LCOE!H$38,0)</f>
        <v>0</v>
      </c>
      <c r="D124" s="16">
        <f>IF(AE123&lt;LCOE!H$16,1,0)</f>
        <v>0</v>
      </c>
      <c r="E124" s="12">
        <f>LCOE!G150+IF(AND(A124&gt;=LCOE!H$26,A124&lt;=(LCOE!H$26+LCOE!H$27-1)),0,1)*IF(A124=LCOE!H$34,0,1)*D124</f>
        <v>0</v>
      </c>
      <c r="F124" s="12">
        <f>IF(F123&lt;LCOE!H$18,MIN(F123*(1+LCOE!H$19),LCOE!H$18),LCOE!H$18)+LCOE!J150</f>
        <v>0.9</v>
      </c>
      <c r="G124" s="16">
        <f>LCOE!K150+E124*F124*N124*(LCOE!H$14+LCOE!H150)*24*365*D124</f>
        <v>0</v>
      </c>
      <c r="H124" s="16">
        <f>LCOE!L150+F124*(LCOE!H$15+LCOE!I150)*E124*24*365*D124*N124</f>
        <v>0</v>
      </c>
      <c r="I124" s="16">
        <f>LCOE!M150+LCOE!H$20*IF(LCOE!H$14&gt;0,(LCOE!H$14+LCOE!H150),(LCOE!H$15+LCOE!I150))*K124*D124</f>
        <v>0</v>
      </c>
      <c r="J124" s="16">
        <f>LCOE!N150+LCOE!H$21*IF(LCOE!H$14&gt;0,G124,H124)*K124*D124</f>
        <v>0</v>
      </c>
      <c r="K124" s="15">
        <f>LCOE!O150+K123+K123*LCOE!H$22</f>
        <v>1</v>
      </c>
      <c r="L124" s="16">
        <f>LCOE!P150+LCOE!H$23*IF(LCOE!H$14&gt;0,G124,H124)*M124*D124</f>
        <v>0</v>
      </c>
      <c r="M124" s="15">
        <f>LCOE!Q150+M123+M123*LCOE!H$24</f>
        <v>1</v>
      </c>
      <c r="N124" s="15">
        <f>LCOE!R150+N123-N123*LCOE!H$25</f>
        <v>1</v>
      </c>
      <c r="O124" s="18">
        <f>LCOE!S150+LCOE!H$29</f>
        <v>313.75</v>
      </c>
      <c r="P124" s="12">
        <f>LCOE!T150+IF(A124&gt;=LCOE!H$30,100%,0%)</f>
        <v>1</v>
      </c>
      <c r="Q124" s="16">
        <f>LCOE!U150+O124/1000*IF(LCOE!H$14&gt;0,G124,H124)</f>
        <v>0</v>
      </c>
      <c r="R124" s="16">
        <f>LCOE!B150</f>
        <v>30</v>
      </c>
      <c r="S124" s="16">
        <f>LCOE!V150+Q124*P124*R124</f>
        <v>0</v>
      </c>
      <c r="T124" s="16">
        <f>LCOE!W150+LCOE!H$31</f>
        <v>0</v>
      </c>
      <c r="U124" s="16">
        <f>LCOE!X150+T124*IF(LCOE!H$14&gt;0,G124,H124)</f>
        <v>0</v>
      </c>
      <c r="V124" s="16">
        <f>LCOE!Y150+LCOE!H$32</f>
        <v>0</v>
      </c>
      <c r="W124" s="16">
        <f>LCOE!Z150+V124*IF(LCOE!H$14&gt;0,G124,H124)</f>
        <v>0</v>
      </c>
      <c r="X124" s="16">
        <f>LCOE!AA150+LCOE!H$34</f>
        <v>101</v>
      </c>
      <c r="Y124" s="16">
        <f t="shared" si="15"/>
        <v>0</v>
      </c>
      <c r="Z124" s="50">
        <f t="shared" si="18"/>
        <v>0</v>
      </c>
      <c r="AA124" s="50">
        <f t="shared" si="19"/>
        <v>0</v>
      </c>
      <c r="AB124" s="50">
        <f t="shared" si="20"/>
        <v>0</v>
      </c>
      <c r="AC124" s="50">
        <f t="shared" si="16"/>
        <v>0</v>
      </c>
      <c r="AD124" s="50">
        <f t="shared" si="25"/>
        <v>0</v>
      </c>
      <c r="AE124">
        <f t="shared" si="17"/>
        <v>30</v>
      </c>
      <c r="AF124" s="12">
        <f>LCOE!E150+LCOE!H$40</f>
        <v>0.08</v>
      </c>
      <c r="AG124">
        <f t="shared" si="26"/>
        <v>63.809126030449072</v>
      </c>
      <c r="AH124" s="16">
        <f t="shared" si="21"/>
        <v>0</v>
      </c>
      <c r="AI124" s="16">
        <f t="shared" si="22"/>
        <v>0</v>
      </c>
      <c r="AJ124" s="16">
        <f t="shared" si="23"/>
        <v>0</v>
      </c>
      <c r="AK124" s="16">
        <f t="shared" si="24"/>
        <v>0</v>
      </c>
      <c r="AL124" s="16">
        <f t="shared" si="27"/>
        <v>0</v>
      </c>
      <c r="AM124" s="16">
        <f t="shared" si="14"/>
        <v>0</v>
      </c>
      <c r="AN124" s="16">
        <f>IF(LCOE!H$14&gt;0,G124,H124)/AG124</f>
        <v>0</v>
      </c>
    </row>
    <row r="125" spans="1:40">
      <c r="A125">
        <v>55</v>
      </c>
      <c r="C125" s="16">
        <f>LCOE!H151+IF(AND(LCOE!H$26&gt;0,A125&gt;=LCOE!H$26,A125&lt;=(LCOE!H$26+LCOE!H$27-1)),LCOE!H$42/LCOE!H$27,0)+IF(AND(D125=0,AE125&gt;=LCOE!H$16,COUNTIF(D100:D125,0)=LCOE!H$36),LCOE!H$35*LCOE!H$38,0)</f>
        <v>0</v>
      </c>
      <c r="D125" s="16">
        <f>IF(AE124&lt;LCOE!H$16,1,0)</f>
        <v>0</v>
      </c>
      <c r="E125" s="12">
        <f>LCOE!G151+IF(AND(A125&gt;=LCOE!H$26,A125&lt;=(LCOE!H$26+LCOE!H$27-1)),0,1)*IF(A125=LCOE!H$34,0,1)*D125</f>
        <v>0</v>
      </c>
      <c r="F125" s="12">
        <f>IF(F124&lt;LCOE!H$18,MIN(F124*(1+LCOE!H$19),LCOE!H$18),LCOE!H$18)+LCOE!J151</f>
        <v>0.9</v>
      </c>
      <c r="G125" s="16">
        <f>LCOE!K151+E125*F125*N125*(LCOE!H$14+LCOE!H151)*24*365*D125</f>
        <v>0</v>
      </c>
      <c r="H125" s="16">
        <f>LCOE!L151+F125*(LCOE!H$15+LCOE!I151)*E125*24*365*D125*N125</f>
        <v>0</v>
      </c>
      <c r="I125" s="16">
        <f>LCOE!M151+LCOE!H$20*IF(LCOE!H$14&gt;0,(LCOE!H$14+LCOE!H151),(LCOE!H$15+LCOE!I151))*K125*D125</f>
        <v>0</v>
      </c>
      <c r="J125" s="16">
        <f>LCOE!N151+LCOE!H$21*IF(LCOE!H$14&gt;0,G125,H125)*K125*D125</f>
        <v>0</v>
      </c>
      <c r="K125" s="15">
        <f>LCOE!O151+K124+K124*LCOE!H$22</f>
        <v>1</v>
      </c>
      <c r="L125" s="16">
        <f>LCOE!P151+LCOE!H$23*IF(LCOE!H$14&gt;0,G125,H125)*M125*D125</f>
        <v>0</v>
      </c>
      <c r="M125" s="15">
        <f>LCOE!Q151+M124+M124*LCOE!H$24</f>
        <v>1</v>
      </c>
      <c r="N125" s="15">
        <f>LCOE!R151+N124-N124*LCOE!H$25</f>
        <v>1</v>
      </c>
      <c r="O125" s="18">
        <f>LCOE!S151+LCOE!H$29</f>
        <v>313.75</v>
      </c>
      <c r="P125" s="12">
        <f>LCOE!T151+IF(A125&gt;=LCOE!H$30,100%,0%)</f>
        <v>1</v>
      </c>
      <c r="Q125" s="16">
        <f>LCOE!U151+O125/1000*IF(LCOE!H$14&gt;0,G125,H125)</f>
        <v>0</v>
      </c>
      <c r="R125" s="16">
        <f>LCOE!B151</f>
        <v>30</v>
      </c>
      <c r="S125" s="16">
        <f>LCOE!V151+Q125*P125*R125</f>
        <v>0</v>
      </c>
      <c r="T125" s="16">
        <f>LCOE!W151+LCOE!H$31</f>
        <v>0</v>
      </c>
      <c r="U125" s="16">
        <f>LCOE!X151+T125*IF(LCOE!H$14&gt;0,G125,H125)</f>
        <v>0</v>
      </c>
      <c r="V125" s="16">
        <f>LCOE!Y151+LCOE!H$32</f>
        <v>0</v>
      </c>
      <c r="W125" s="16">
        <f>LCOE!Z151+V125*IF(LCOE!H$14&gt;0,G125,H125)</f>
        <v>0</v>
      </c>
      <c r="X125" s="16">
        <f>LCOE!AA151+LCOE!H$34</f>
        <v>101</v>
      </c>
      <c r="Y125" s="16">
        <f t="shared" si="15"/>
        <v>0</v>
      </c>
      <c r="Z125" s="50">
        <f t="shared" si="18"/>
        <v>0</v>
      </c>
      <c r="AA125" s="50">
        <f t="shared" si="19"/>
        <v>0</v>
      </c>
      <c r="AB125" s="50">
        <f t="shared" si="20"/>
        <v>0</v>
      </c>
      <c r="AC125" s="50">
        <f t="shared" si="16"/>
        <v>0</v>
      </c>
      <c r="AD125" s="50">
        <f t="shared" si="25"/>
        <v>0</v>
      </c>
      <c r="AE125">
        <f t="shared" si="17"/>
        <v>30</v>
      </c>
      <c r="AF125" s="12">
        <f>LCOE!E151+LCOE!H$40</f>
        <v>0.08</v>
      </c>
      <c r="AG125">
        <f t="shared" si="26"/>
        <v>68.913856112885</v>
      </c>
      <c r="AH125" s="16">
        <f t="shared" si="21"/>
        <v>0</v>
      </c>
      <c r="AI125" s="16">
        <f t="shared" si="22"/>
        <v>0</v>
      </c>
      <c r="AJ125" s="16">
        <f t="shared" si="23"/>
        <v>0</v>
      </c>
      <c r="AK125" s="16">
        <f t="shared" si="24"/>
        <v>0</v>
      </c>
      <c r="AL125" s="16">
        <f t="shared" si="27"/>
        <v>0</v>
      </c>
      <c r="AM125" s="16">
        <f t="shared" si="14"/>
        <v>0</v>
      </c>
      <c r="AN125" s="16">
        <f>IF(LCOE!H$14&gt;0,G125,H125)/AG125</f>
        <v>0</v>
      </c>
    </row>
    <row r="126" spans="1:40">
      <c r="A126">
        <v>56</v>
      </c>
      <c r="C126" s="16">
        <f>LCOE!H152+IF(AND(LCOE!H$26&gt;0,A126&gt;=LCOE!H$26,A126&lt;=(LCOE!H$26+LCOE!H$27-1)),LCOE!H$42/LCOE!H$27,0)+IF(AND(D126=0,AE126&gt;=LCOE!H$16,COUNTIF(D101:D126,0)=LCOE!H$36),LCOE!H$35*LCOE!H$38,0)</f>
        <v>0</v>
      </c>
      <c r="D126" s="16">
        <f>IF(AE125&lt;LCOE!H$16,1,0)</f>
        <v>0</v>
      </c>
      <c r="E126" s="12">
        <f>LCOE!G152+IF(AND(A126&gt;=LCOE!H$26,A126&lt;=(LCOE!H$26+LCOE!H$27-1)),0,1)*IF(A126=LCOE!H$34,0,1)*D126</f>
        <v>0</v>
      </c>
      <c r="F126" s="12">
        <f>IF(F125&lt;LCOE!H$18,MIN(F125*(1+LCOE!H$19),LCOE!H$18),LCOE!H$18)+LCOE!J152</f>
        <v>0.9</v>
      </c>
      <c r="G126" s="16">
        <f>LCOE!K152+E126*F126*N126*(LCOE!H$14+LCOE!H152)*24*365*D126</f>
        <v>0</v>
      </c>
      <c r="H126" s="16">
        <f>LCOE!L152+F126*(LCOE!H$15+LCOE!I152)*E126*24*365*D126*N126</f>
        <v>0</v>
      </c>
      <c r="I126" s="16">
        <f>LCOE!M152+LCOE!H$20*IF(LCOE!H$14&gt;0,(LCOE!H$14+LCOE!H152),(LCOE!H$15+LCOE!I152))*K126*D126</f>
        <v>0</v>
      </c>
      <c r="J126" s="16">
        <f>LCOE!N152+LCOE!H$21*IF(LCOE!H$14&gt;0,G126,H126)*K126*D126</f>
        <v>0</v>
      </c>
      <c r="K126" s="15">
        <f>LCOE!O152+K125+K125*LCOE!H$22</f>
        <v>1</v>
      </c>
      <c r="L126" s="16">
        <f>LCOE!P152+LCOE!H$23*IF(LCOE!H$14&gt;0,G126,H126)*M126*D126</f>
        <v>0</v>
      </c>
      <c r="M126" s="15">
        <f>LCOE!Q152+M125+M125*LCOE!H$24</f>
        <v>1</v>
      </c>
      <c r="N126" s="15">
        <f>LCOE!R152+N125-N125*LCOE!H$25</f>
        <v>1</v>
      </c>
      <c r="O126" s="18">
        <f>LCOE!S152+LCOE!H$29</f>
        <v>313.75</v>
      </c>
      <c r="P126" s="12">
        <f>LCOE!T152+IF(A126&gt;=LCOE!H$30,100%,0%)</f>
        <v>1</v>
      </c>
      <c r="Q126" s="16">
        <f>LCOE!U152+O126/1000*IF(LCOE!H$14&gt;0,G126,H126)</f>
        <v>0</v>
      </c>
      <c r="R126" s="16">
        <f>LCOE!B152</f>
        <v>30</v>
      </c>
      <c r="S126" s="16">
        <f>LCOE!V152+Q126*P126*R126</f>
        <v>0</v>
      </c>
      <c r="T126" s="16">
        <f>LCOE!W152+LCOE!H$31</f>
        <v>0</v>
      </c>
      <c r="U126" s="16">
        <f>LCOE!X152+T126*IF(LCOE!H$14&gt;0,G126,H126)</f>
        <v>0</v>
      </c>
      <c r="V126" s="16">
        <f>LCOE!Y152+LCOE!H$32</f>
        <v>0</v>
      </c>
      <c r="W126" s="16">
        <f>LCOE!Z152+V126*IF(LCOE!H$14&gt;0,G126,H126)</f>
        <v>0</v>
      </c>
      <c r="X126" s="16">
        <f>LCOE!AA152+LCOE!H$34</f>
        <v>101</v>
      </c>
      <c r="Y126" s="16">
        <f t="shared" si="15"/>
        <v>0</v>
      </c>
      <c r="Z126" s="50">
        <f t="shared" si="18"/>
        <v>0</v>
      </c>
      <c r="AA126" s="50">
        <f t="shared" si="19"/>
        <v>0</v>
      </c>
      <c r="AB126" s="50">
        <f t="shared" si="20"/>
        <v>0</v>
      </c>
      <c r="AC126" s="50">
        <f t="shared" si="16"/>
        <v>0</v>
      </c>
      <c r="AD126" s="50">
        <f t="shared" si="25"/>
        <v>0</v>
      </c>
      <c r="AE126">
        <f t="shared" si="17"/>
        <v>30</v>
      </c>
      <c r="AF126" s="12">
        <f>LCOE!E152+LCOE!H$40</f>
        <v>0.08</v>
      </c>
      <c r="AG126">
        <f t="shared" si="26"/>
        <v>74.426964601915799</v>
      </c>
      <c r="AH126" s="16">
        <f t="shared" si="21"/>
        <v>0</v>
      </c>
      <c r="AI126" s="16">
        <f t="shared" si="22"/>
        <v>0</v>
      </c>
      <c r="AJ126" s="16">
        <f t="shared" si="23"/>
        <v>0</v>
      </c>
      <c r="AK126" s="16">
        <f t="shared" si="24"/>
        <v>0</v>
      </c>
      <c r="AL126" s="16">
        <f t="shared" si="27"/>
        <v>0</v>
      </c>
      <c r="AM126" s="16">
        <f t="shared" si="14"/>
        <v>0</v>
      </c>
      <c r="AN126" s="16">
        <f>IF(LCOE!H$14&gt;0,G126,H126)/AG126</f>
        <v>0</v>
      </c>
    </row>
    <row r="127" spans="1:40">
      <c r="A127">
        <v>57</v>
      </c>
      <c r="C127" s="16">
        <f>LCOE!H153+IF(AND(LCOE!H$26&gt;0,A127&gt;=LCOE!H$26,A127&lt;=(LCOE!H$26+LCOE!H$27-1)),LCOE!H$42/LCOE!H$27,0)+IF(AND(D127=0,AE127&gt;=LCOE!H$16,COUNTIF(D102:D127,0)=LCOE!H$36),LCOE!H$35*LCOE!H$38,0)</f>
        <v>0</v>
      </c>
      <c r="D127" s="16">
        <f>IF(AE126&lt;LCOE!H$16,1,0)</f>
        <v>0</v>
      </c>
      <c r="E127" s="12">
        <f>LCOE!G153+IF(AND(A127&gt;=LCOE!H$26,A127&lt;=(LCOE!H$26+LCOE!H$27-1)),0,1)*IF(A127=LCOE!H$34,0,1)*D127</f>
        <v>0</v>
      </c>
      <c r="F127" s="12">
        <f>IF(F126&lt;LCOE!H$18,MIN(F126*(1+LCOE!H$19),LCOE!H$18),LCOE!H$18)+LCOE!J153</f>
        <v>0.9</v>
      </c>
      <c r="G127" s="16">
        <f>LCOE!K153+E127*F127*N127*(LCOE!H$14+LCOE!H153)*24*365*D127</f>
        <v>0</v>
      </c>
      <c r="H127" s="16">
        <f>LCOE!L153+F127*(LCOE!H$15+LCOE!I153)*E127*24*365*D127*N127</f>
        <v>0</v>
      </c>
      <c r="I127" s="16">
        <f>LCOE!M153+LCOE!H$20*IF(LCOE!H$14&gt;0,(LCOE!H$14+LCOE!H153),(LCOE!H$15+LCOE!I153))*K127*D127</f>
        <v>0</v>
      </c>
      <c r="J127" s="16">
        <f>LCOE!N153+LCOE!H$21*IF(LCOE!H$14&gt;0,G127,H127)*K127*D127</f>
        <v>0</v>
      </c>
      <c r="K127" s="15">
        <f>LCOE!O153+K126+K126*LCOE!H$22</f>
        <v>1</v>
      </c>
      <c r="L127" s="16">
        <f>LCOE!P153+LCOE!H$23*IF(LCOE!H$14&gt;0,G127,H127)*M127*D127</f>
        <v>0</v>
      </c>
      <c r="M127" s="15">
        <f>LCOE!Q153+M126+M126*LCOE!H$24</f>
        <v>1</v>
      </c>
      <c r="N127" s="15">
        <f>LCOE!R153+N126-N126*LCOE!H$25</f>
        <v>1</v>
      </c>
      <c r="O127" s="18">
        <f>LCOE!S153+LCOE!H$29</f>
        <v>313.75</v>
      </c>
      <c r="P127" s="12">
        <f>LCOE!T153+IF(A127&gt;=LCOE!H$30,100%,0%)</f>
        <v>1</v>
      </c>
      <c r="Q127" s="16">
        <f>LCOE!U153+O127/1000*IF(LCOE!H$14&gt;0,G127,H127)</f>
        <v>0</v>
      </c>
      <c r="R127" s="16">
        <f>LCOE!B153</f>
        <v>30</v>
      </c>
      <c r="S127" s="16">
        <f>LCOE!V153+Q127*P127*R127</f>
        <v>0</v>
      </c>
      <c r="T127" s="16">
        <f>LCOE!W153+LCOE!H$31</f>
        <v>0</v>
      </c>
      <c r="U127" s="16">
        <f>LCOE!X153+T127*IF(LCOE!H$14&gt;0,G127,H127)</f>
        <v>0</v>
      </c>
      <c r="V127" s="16">
        <f>LCOE!Y153+LCOE!H$32</f>
        <v>0</v>
      </c>
      <c r="W127" s="16">
        <f>LCOE!Z153+V127*IF(LCOE!H$14&gt;0,G127,H127)</f>
        <v>0</v>
      </c>
      <c r="X127" s="16">
        <f>LCOE!AA153+LCOE!H$34</f>
        <v>101</v>
      </c>
      <c r="Y127" s="16">
        <f t="shared" si="15"/>
        <v>0</v>
      </c>
      <c r="Z127" s="50">
        <f t="shared" si="18"/>
        <v>0</v>
      </c>
      <c r="AA127" s="50">
        <f t="shared" si="19"/>
        <v>0</v>
      </c>
      <c r="AB127" s="50">
        <f t="shared" si="20"/>
        <v>0</v>
      </c>
      <c r="AC127" s="50">
        <f t="shared" si="16"/>
        <v>0</v>
      </c>
      <c r="AD127" s="50">
        <f t="shared" si="25"/>
        <v>0</v>
      </c>
      <c r="AE127">
        <f t="shared" si="17"/>
        <v>30</v>
      </c>
      <c r="AF127" s="12">
        <f>LCOE!E153+LCOE!H$40</f>
        <v>0.08</v>
      </c>
      <c r="AG127">
        <f t="shared" si="26"/>
        <v>80.381121770069072</v>
      </c>
      <c r="AH127" s="16">
        <f t="shared" si="21"/>
        <v>0</v>
      </c>
      <c r="AI127" s="16">
        <f t="shared" si="22"/>
        <v>0</v>
      </c>
      <c r="AJ127" s="16">
        <f t="shared" si="23"/>
        <v>0</v>
      </c>
      <c r="AK127" s="16">
        <f t="shared" si="24"/>
        <v>0</v>
      </c>
      <c r="AL127" s="16">
        <f t="shared" si="27"/>
        <v>0</v>
      </c>
      <c r="AM127" s="16">
        <f t="shared" si="14"/>
        <v>0</v>
      </c>
      <c r="AN127" s="16">
        <f>IF(LCOE!H$14&gt;0,G127,H127)/AG127</f>
        <v>0</v>
      </c>
    </row>
    <row r="128" spans="1:40">
      <c r="A128">
        <v>58</v>
      </c>
      <c r="C128" s="16">
        <f>LCOE!H154+IF(AND(LCOE!H$26&gt;0,A128&gt;=LCOE!H$26,A128&lt;=(LCOE!H$26+LCOE!H$27-1)),LCOE!H$42/LCOE!H$27,0)+IF(AND(D128=0,AE128&gt;=LCOE!H$16,COUNTIF(D103:D128,0)=LCOE!H$36),LCOE!H$35*LCOE!H$38,0)</f>
        <v>0</v>
      </c>
      <c r="D128" s="16">
        <f>IF(AE127&lt;LCOE!H$16,1,0)</f>
        <v>0</v>
      </c>
      <c r="E128" s="12">
        <f>LCOE!G154+IF(AND(A128&gt;=LCOE!H$26,A128&lt;=(LCOE!H$26+LCOE!H$27-1)),0,1)*IF(A128=LCOE!H$34,0,1)*D128</f>
        <v>0</v>
      </c>
      <c r="F128" s="12">
        <f>IF(F127&lt;LCOE!H$18,MIN(F127*(1+LCOE!H$19),LCOE!H$18),LCOE!H$18)+LCOE!J154</f>
        <v>0.9</v>
      </c>
      <c r="G128" s="16">
        <f>LCOE!K154+E128*F128*N128*(LCOE!H$14+LCOE!H154)*24*365*D128</f>
        <v>0</v>
      </c>
      <c r="H128" s="16">
        <f>LCOE!L154+F128*(LCOE!H$15+LCOE!I154)*E128*24*365*D128*N128</f>
        <v>0</v>
      </c>
      <c r="I128" s="16">
        <f>LCOE!M154+LCOE!H$20*IF(LCOE!H$14&gt;0,(LCOE!H$14+LCOE!H154),(LCOE!H$15+LCOE!I154))*K128*D128</f>
        <v>0</v>
      </c>
      <c r="J128" s="16">
        <f>LCOE!N154+LCOE!H$21*IF(LCOE!H$14&gt;0,G128,H128)*K128*D128</f>
        <v>0</v>
      </c>
      <c r="K128" s="15">
        <f>LCOE!O154+K127+K127*LCOE!H$22</f>
        <v>1</v>
      </c>
      <c r="L128" s="16">
        <f>LCOE!P154+LCOE!H$23*IF(LCOE!H$14&gt;0,G128,H128)*M128*D128</f>
        <v>0</v>
      </c>
      <c r="M128" s="15">
        <f>LCOE!Q154+M127+M127*LCOE!H$24</f>
        <v>1</v>
      </c>
      <c r="N128" s="15">
        <f>LCOE!R154+N127-N127*LCOE!H$25</f>
        <v>1</v>
      </c>
      <c r="O128" s="18">
        <f>LCOE!S154+LCOE!H$29</f>
        <v>313.75</v>
      </c>
      <c r="P128" s="12">
        <f>LCOE!T154+IF(A128&gt;=LCOE!H$30,100%,0%)</f>
        <v>1</v>
      </c>
      <c r="Q128" s="16">
        <f>LCOE!U154+O128/1000*IF(LCOE!H$14&gt;0,G128,H128)</f>
        <v>0</v>
      </c>
      <c r="R128" s="16">
        <f>LCOE!B154</f>
        <v>30</v>
      </c>
      <c r="S128" s="16">
        <f>LCOE!V154+Q128*P128*R128</f>
        <v>0</v>
      </c>
      <c r="T128" s="16">
        <f>LCOE!W154+LCOE!H$31</f>
        <v>0</v>
      </c>
      <c r="U128" s="16">
        <f>LCOE!X154+T128*IF(LCOE!H$14&gt;0,G128,H128)</f>
        <v>0</v>
      </c>
      <c r="V128" s="16">
        <f>LCOE!Y154+LCOE!H$32</f>
        <v>0</v>
      </c>
      <c r="W128" s="16">
        <f>LCOE!Z154+V128*IF(LCOE!H$14&gt;0,G128,H128)</f>
        <v>0</v>
      </c>
      <c r="X128" s="16">
        <f>LCOE!AA154+LCOE!H$34</f>
        <v>101</v>
      </c>
      <c r="Y128" s="16">
        <f t="shared" si="15"/>
        <v>0</v>
      </c>
      <c r="Z128" s="50">
        <f t="shared" si="18"/>
        <v>0</v>
      </c>
      <c r="AA128" s="50">
        <f t="shared" si="19"/>
        <v>0</v>
      </c>
      <c r="AB128" s="50">
        <f t="shared" si="20"/>
        <v>0</v>
      </c>
      <c r="AC128" s="50">
        <f t="shared" si="16"/>
        <v>0</v>
      </c>
      <c r="AD128" s="50">
        <f t="shared" si="25"/>
        <v>0</v>
      </c>
      <c r="AE128">
        <f t="shared" si="17"/>
        <v>30</v>
      </c>
      <c r="AF128" s="12">
        <f>LCOE!E154+LCOE!H$40</f>
        <v>0.08</v>
      </c>
      <c r="AG128">
        <f t="shared" si="26"/>
        <v>86.811611511674599</v>
      </c>
      <c r="AH128" s="16">
        <f t="shared" si="21"/>
        <v>0</v>
      </c>
      <c r="AI128" s="16">
        <f t="shared" si="22"/>
        <v>0</v>
      </c>
      <c r="AJ128" s="16">
        <f t="shared" si="23"/>
        <v>0</v>
      </c>
      <c r="AK128" s="16">
        <f t="shared" si="24"/>
        <v>0</v>
      </c>
      <c r="AL128" s="16">
        <f t="shared" si="27"/>
        <v>0</v>
      </c>
      <c r="AM128" s="16">
        <f t="shared" si="14"/>
        <v>0</v>
      </c>
      <c r="AN128" s="16">
        <f>IF(LCOE!H$14&gt;0,G128,H128)/AG128</f>
        <v>0</v>
      </c>
    </row>
    <row r="129" spans="1:40">
      <c r="A129">
        <v>59</v>
      </c>
      <c r="C129" s="16">
        <f>LCOE!H155+IF(AND(LCOE!H$26&gt;0,A129&gt;=LCOE!H$26,A129&lt;=(LCOE!H$26+LCOE!H$27-1)),LCOE!H$42/LCOE!H$27,0)+IF(AND(D129=0,AE129&gt;=LCOE!H$16,COUNTIF(D104:D129,0)=LCOE!H$36),LCOE!H$35*LCOE!H$38,0)</f>
        <v>0</v>
      </c>
      <c r="D129" s="16">
        <f>IF(AE128&lt;LCOE!H$16,1,0)</f>
        <v>0</v>
      </c>
      <c r="E129" s="12">
        <f>LCOE!G155+IF(AND(A129&gt;=LCOE!H$26,A129&lt;=(LCOE!H$26+LCOE!H$27-1)),0,1)*IF(A129=LCOE!H$34,0,1)*D129</f>
        <v>0</v>
      </c>
      <c r="F129" s="12">
        <f>IF(F128&lt;LCOE!H$18,MIN(F128*(1+LCOE!H$19),LCOE!H$18),LCOE!H$18)+LCOE!J155</f>
        <v>0.9</v>
      </c>
      <c r="G129" s="16">
        <f>LCOE!K155+E129*F129*N129*(LCOE!H$14+LCOE!H155)*24*365*D129</f>
        <v>0</v>
      </c>
      <c r="H129" s="16">
        <f>LCOE!L155+F129*(LCOE!H$15+LCOE!I155)*E129*24*365*D129*N129</f>
        <v>0</v>
      </c>
      <c r="I129" s="16">
        <f>LCOE!M155+LCOE!H$20*IF(LCOE!H$14&gt;0,(LCOE!H$14+LCOE!H155),(LCOE!H$15+LCOE!I155))*K129*D129</f>
        <v>0</v>
      </c>
      <c r="J129" s="16">
        <f>LCOE!N155+LCOE!H$21*IF(LCOE!H$14&gt;0,G129,H129)*K129*D129</f>
        <v>0</v>
      </c>
      <c r="K129" s="15">
        <f>LCOE!O155+K128+K128*LCOE!H$22</f>
        <v>1</v>
      </c>
      <c r="L129" s="16">
        <f>LCOE!P155+LCOE!H$23*IF(LCOE!H$14&gt;0,G129,H129)*M129*D129</f>
        <v>0</v>
      </c>
      <c r="M129" s="15">
        <f>LCOE!Q155+M128+M128*LCOE!H$24</f>
        <v>1</v>
      </c>
      <c r="N129" s="15">
        <f>LCOE!R155+N128-N128*LCOE!H$25</f>
        <v>1</v>
      </c>
      <c r="O129" s="18">
        <f>LCOE!S155+LCOE!H$29</f>
        <v>313.75</v>
      </c>
      <c r="P129" s="12">
        <f>LCOE!T155+IF(A129&gt;=LCOE!H$30,100%,0%)</f>
        <v>1</v>
      </c>
      <c r="Q129" s="16">
        <f>LCOE!U155+O129/1000*IF(LCOE!H$14&gt;0,G129,H129)</f>
        <v>0</v>
      </c>
      <c r="R129" s="16">
        <f>LCOE!B155</f>
        <v>30</v>
      </c>
      <c r="S129" s="16">
        <f>LCOE!V155+Q129*P129*R129</f>
        <v>0</v>
      </c>
      <c r="T129" s="16">
        <f>LCOE!W155+LCOE!H$31</f>
        <v>0</v>
      </c>
      <c r="U129" s="16">
        <f>LCOE!X155+T129*IF(LCOE!H$14&gt;0,G129,H129)</f>
        <v>0</v>
      </c>
      <c r="V129" s="16">
        <f>LCOE!Y155+LCOE!H$32</f>
        <v>0</v>
      </c>
      <c r="W129" s="16">
        <f>LCOE!Z155+V129*IF(LCOE!H$14&gt;0,G129,H129)</f>
        <v>0</v>
      </c>
      <c r="X129" s="16">
        <f>LCOE!AA155+LCOE!H$34</f>
        <v>101</v>
      </c>
      <c r="Y129" s="16">
        <f t="shared" si="15"/>
        <v>0</v>
      </c>
      <c r="Z129" s="50">
        <f t="shared" si="18"/>
        <v>0</v>
      </c>
      <c r="AA129" s="50">
        <f t="shared" si="19"/>
        <v>0</v>
      </c>
      <c r="AB129" s="50">
        <f t="shared" si="20"/>
        <v>0</v>
      </c>
      <c r="AC129" s="50">
        <f t="shared" si="16"/>
        <v>0</v>
      </c>
      <c r="AD129" s="50">
        <f t="shared" si="25"/>
        <v>0</v>
      </c>
      <c r="AE129">
        <f t="shared" si="17"/>
        <v>30</v>
      </c>
      <c r="AF129" s="12">
        <f>LCOE!E155+LCOE!H$40</f>
        <v>0.08</v>
      </c>
      <c r="AG129">
        <f t="shared" si="26"/>
        <v>93.75654043260856</v>
      </c>
      <c r="AH129" s="16">
        <f t="shared" si="21"/>
        <v>0</v>
      </c>
      <c r="AI129" s="16">
        <f t="shared" si="22"/>
        <v>0</v>
      </c>
      <c r="AJ129" s="16">
        <f t="shared" si="23"/>
        <v>0</v>
      </c>
      <c r="AK129" s="16">
        <f t="shared" si="24"/>
        <v>0</v>
      </c>
      <c r="AL129" s="16">
        <f t="shared" si="27"/>
        <v>0</v>
      </c>
      <c r="AM129" s="16">
        <f t="shared" si="14"/>
        <v>0</v>
      </c>
      <c r="AN129" s="16">
        <f>IF(LCOE!H$14&gt;0,G129,H129)/AG129</f>
        <v>0</v>
      </c>
    </row>
    <row r="130" spans="1:40">
      <c r="A130">
        <v>60</v>
      </c>
      <c r="C130" s="16">
        <f>LCOE!H156+IF(AND(LCOE!H$26&gt;0,A130&gt;=LCOE!H$26,A130&lt;=(LCOE!H$26+LCOE!H$27-1)),LCOE!H$42/LCOE!H$27,0)+IF(AND(D130=0,AE130&gt;=LCOE!H$16,COUNTIF(D105:D130,0)=LCOE!H$36),LCOE!H$35*LCOE!H$38,0)</f>
        <v>0</v>
      </c>
      <c r="D130" s="16">
        <f>IF(AE129&lt;LCOE!H$16,1,0)</f>
        <v>0</v>
      </c>
      <c r="E130" s="12">
        <f>LCOE!G156+IF(AND(A130&gt;=LCOE!H$26,A130&lt;=(LCOE!H$26+LCOE!H$27-1)),0,1)*IF(A130=LCOE!H$34,0,1)*D130</f>
        <v>0</v>
      </c>
      <c r="F130" s="12">
        <f>IF(F129&lt;LCOE!H$18,MIN(F129*(1+LCOE!H$19),LCOE!H$18),LCOE!H$18)+LCOE!J156</f>
        <v>0.9</v>
      </c>
      <c r="G130" s="16">
        <f>LCOE!K156+E130*F130*N130*(LCOE!H$14+LCOE!H156)*24*365*D130</f>
        <v>0</v>
      </c>
      <c r="H130" s="16">
        <f>LCOE!L156+F130*(LCOE!H$15+LCOE!I156)*E130*24*365*D130*N130</f>
        <v>0</v>
      </c>
      <c r="I130" s="16">
        <f>LCOE!M156+LCOE!H$20*IF(LCOE!H$14&gt;0,(LCOE!H$14+LCOE!H156),(LCOE!H$15+LCOE!I156))*K130*D130</f>
        <v>0</v>
      </c>
      <c r="J130" s="16">
        <f>LCOE!N156+LCOE!H$21*IF(LCOE!H$14&gt;0,G130,H130)*K130*D130</f>
        <v>0</v>
      </c>
      <c r="K130" s="15">
        <f>LCOE!O156+K129+K129*LCOE!H$22</f>
        <v>1</v>
      </c>
      <c r="L130" s="16">
        <f>LCOE!P156+LCOE!H$23*IF(LCOE!H$14&gt;0,G130,H130)*M130*D130</f>
        <v>0</v>
      </c>
      <c r="M130" s="15">
        <f>LCOE!Q156+M129+M129*LCOE!H$24</f>
        <v>1</v>
      </c>
      <c r="N130" s="15">
        <f>LCOE!R156+N129-N129*LCOE!H$25</f>
        <v>1</v>
      </c>
      <c r="O130" s="18">
        <f>LCOE!S156+LCOE!H$29</f>
        <v>313.75</v>
      </c>
      <c r="P130" s="12">
        <f>LCOE!T156+IF(A130&gt;=LCOE!H$30,100%,0%)</f>
        <v>1</v>
      </c>
      <c r="Q130" s="16">
        <f>LCOE!U156+O130/1000*IF(LCOE!H$14&gt;0,G130,H130)</f>
        <v>0</v>
      </c>
      <c r="R130" s="16">
        <f>LCOE!B156</f>
        <v>30</v>
      </c>
      <c r="S130" s="16">
        <f>LCOE!V156+Q130*P130*R130</f>
        <v>0</v>
      </c>
      <c r="T130" s="16">
        <f>LCOE!W156+LCOE!H$31</f>
        <v>0</v>
      </c>
      <c r="U130" s="16">
        <f>LCOE!X156+T130*IF(LCOE!H$14&gt;0,G130,H130)</f>
        <v>0</v>
      </c>
      <c r="V130" s="16">
        <f>LCOE!Y156+LCOE!H$32</f>
        <v>0</v>
      </c>
      <c r="W130" s="16">
        <f>LCOE!Z156+V130*IF(LCOE!H$14&gt;0,G130,H130)</f>
        <v>0</v>
      </c>
      <c r="X130" s="16">
        <f>LCOE!AA156+LCOE!H$34</f>
        <v>101</v>
      </c>
      <c r="Y130" s="16">
        <f t="shared" si="15"/>
        <v>0</v>
      </c>
      <c r="Z130" s="50">
        <f t="shared" si="18"/>
        <v>0</v>
      </c>
      <c r="AA130" s="50">
        <f t="shared" si="19"/>
        <v>0</v>
      </c>
      <c r="AB130" s="50">
        <f t="shared" si="20"/>
        <v>0</v>
      </c>
      <c r="AC130" s="50">
        <f t="shared" si="16"/>
        <v>0</v>
      </c>
      <c r="AD130" s="50">
        <f t="shared" si="25"/>
        <v>0</v>
      </c>
      <c r="AE130">
        <f t="shared" si="17"/>
        <v>30</v>
      </c>
      <c r="AF130" s="12">
        <f>LCOE!E156+LCOE!H$40</f>
        <v>0.08</v>
      </c>
      <c r="AG130">
        <f t="shared" si="26"/>
        <v>101.25706366721725</v>
      </c>
      <c r="AH130" s="16">
        <f t="shared" si="21"/>
        <v>0</v>
      </c>
      <c r="AI130" s="16">
        <f t="shared" si="22"/>
        <v>0</v>
      </c>
      <c r="AJ130" s="16">
        <f t="shared" si="23"/>
        <v>0</v>
      </c>
      <c r="AK130" s="16">
        <f t="shared" si="24"/>
        <v>0</v>
      </c>
      <c r="AL130" s="16">
        <f t="shared" si="27"/>
        <v>0</v>
      </c>
      <c r="AM130" s="16">
        <f t="shared" si="14"/>
        <v>0</v>
      </c>
      <c r="AN130" s="16">
        <f>IF(LCOE!H$14&gt;0,G130,H130)/AG130</f>
        <v>0</v>
      </c>
    </row>
    <row r="131" spans="1:40">
      <c r="A131">
        <v>61</v>
      </c>
      <c r="C131" s="16">
        <f>LCOE!H157+IF(AND(LCOE!H$26&gt;0,A131&gt;=LCOE!H$26,A131&lt;=(LCOE!H$26+LCOE!H$27-1)),LCOE!H$42/LCOE!H$27,0)+IF(AND(D131=0,AE131&gt;=LCOE!H$16,COUNTIF(D106:D131,0)=LCOE!H$36),LCOE!H$35*LCOE!H$38,0)</f>
        <v>0</v>
      </c>
      <c r="D131" s="16">
        <f>IF(AE130&lt;LCOE!H$16,1,0)</f>
        <v>0</v>
      </c>
      <c r="E131" s="12">
        <f>LCOE!G157+IF(AND(A131&gt;=LCOE!H$26,A131&lt;=(LCOE!H$26+LCOE!H$27-1)),0,1)*IF(A131=LCOE!H$34,0,1)*D131</f>
        <v>0</v>
      </c>
      <c r="F131" s="12">
        <f>IF(F130&lt;LCOE!H$18,MIN(F130*(1+LCOE!H$19),LCOE!H$18),LCOE!H$18)+LCOE!J157</f>
        <v>0.9</v>
      </c>
      <c r="G131" s="16">
        <f>LCOE!K157+E131*F131*N131*(LCOE!H$14+LCOE!H157)*24*365*D131</f>
        <v>0</v>
      </c>
      <c r="H131" s="16">
        <f>LCOE!L157+F131*(LCOE!H$15+LCOE!I157)*E131*24*365*D131*N131</f>
        <v>0</v>
      </c>
      <c r="I131" s="16">
        <f>LCOE!M157+LCOE!H$20*IF(LCOE!H$14&gt;0,(LCOE!H$14+LCOE!H157),(LCOE!H$15+LCOE!I157))*K131*D131</f>
        <v>0</v>
      </c>
      <c r="J131" s="16">
        <f>LCOE!N157+LCOE!H$21*IF(LCOE!H$14&gt;0,G131,H131)*K131*D131</f>
        <v>0</v>
      </c>
      <c r="K131" s="15">
        <f>LCOE!O157+K130+K130*LCOE!H$22</f>
        <v>1</v>
      </c>
      <c r="L131" s="16">
        <f>LCOE!P157+LCOE!H$23*IF(LCOE!H$14&gt;0,G131,H131)*M131*D131</f>
        <v>0</v>
      </c>
      <c r="M131" s="15">
        <f>LCOE!Q157+M130+M130*LCOE!H$24</f>
        <v>1</v>
      </c>
      <c r="N131" s="15">
        <f>LCOE!R157+N130-N130*LCOE!H$25</f>
        <v>1</v>
      </c>
      <c r="O131" s="18">
        <f>LCOE!S157+LCOE!H$29</f>
        <v>313.75</v>
      </c>
      <c r="P131" s="12">
        <f>LCOE!T157+IF(A131&gt;=LCOE!H$30,100%,0%)</f>
        <v>1</v>
      </c>
      <c r="Q131" s="16">
        <f>LCOE!U157+O131/1000*IF(LCOE!H$14&gt;0,G131,H131)</f>
        <v>0</v>
      </c>
      <c r="R131" s="16">
        <f>LCOE!B157</f>
        <v>30</v>
      </c>
      <c r="S131" s="16">
        <f>LCOE!V157+Q131*P131*R131</f>
        <v>0</v>
      </c>
      <c r="T131" s="16">
        <f>LCOE!W157+LCOE!H$31</f>
        <v>0</v>
      </c>
      <c r="U131" s="16">
        <f>LCOE!X157+T131*IF(LCOE!H$14&gt;0,G131,H131)</f>
        <v>0</v>
      </c>
      <c r="V131" s="16">
        <f>LCOE!Y157+LCOE!H$32</f>
        <v>0</v>
      </c>
      <c r="W131" s="16">
        <f>LCOE!Z157+V131*IF(LCOE!H$14&gt;0,G131,H131)</f>
        <v>0</v>
      </c>
      <c r="X131" s="16">
        <f>LCOE!AA157+LCOE!H$34</f>
        <v>101</v>
      </c>
      <c r="Y131" s="16">
        <f t="shared" si="15"/>
        <v>0</v>
      </c>
      <c r="Z131" s="50">
        <f t="shared" si="18"/>
        <v>0</v>
      </c>
      <c r="AA131" s="50">
        <f t="shared" si="19"/>
        <v>0</v>
      </c>
      <c r="AB131" s="50">
        <f t="shared" si="20"/>
        <v>0</v>
      </c>
      <c r="AC131" s="50">
        <f t="shared" si="16"/>
        <v>0</v>
      </c>
      <c r="AD131" s="50">
        <f t="shared" si="25"/>
        <v>0</v>
      </c>
      <c r="AE131">
        <f t="shared" si="17"/>
        <v>30</v>
      </c>
      <c r="AF131" s="12">
        <f>LCOE!E157+LCOE!H$40</f>
        <v>0.08</v>
      </c>
      <c r="AG131">
        <f t="shared" si="26"/>
        <v>109.35762876059464</v>
      </c>
      <c r="AH131" s="16">
        <f t="shared" si="21"/>
        <v>0</v>
      </c>
      <c r="AI131" s="16">
        <f t="shared" si="22"/>
        <v>0</v>
      </c>
      <c r="AJ131" s="16">
        <f t="shared" si="23"/>
        <v>0</v>
      </c>
      <c r="AK131" s="16">
        <f t="shared" si="24"/>
        <v>0</v>
      </c>
      <c r="AL131" s="16">
        <f t="shared" si="27"/>
        <v>0</v>
      </c>
      <c r="AM131" s="16">
        <f t="shared" si="14"/>
        <v>0</v>
      </c>
      <c r="AN131" s="16">
        <f>IF(LCOE!H$14&gt;0,G131,H131)/AG131</f>
        <v>0</v>
      </c>
    </row>
    <row r="132" spans="1:40">
      <c r="A132">
        <v>62</v>
      </c>
      <c r="C132" s="16">
        <f>LCOE!H158+IF(AND(LCOE!H$26&gt;0,A132&gt;=LCOE!H$26,A132&lt;=(LCOE!H$26+LCOE!H$27-1)),LCOE!H$42/LCOE!H$27,0)+IF(AND(D132=0,AE132&gt;=LCOE!H$16,COUNTIF(D107:D132,0)=LCOE!H$36),LCOE!H$35*LCOE!H$38,0)</f>
        <v>0</v>
      </c>
      <c r="D132" s="16">
        <f>IF(AE131&lt;LCOE!H$16,1,0)</f>
        <v>0</v>
      </c>
      <c r="E132" s="12">
        <f>LCOE!G158+IF(AND(A132&gt;=LCOE!H$26,A132&lt;=(LCOE!H$26+LCOE!H$27-1)),0,1)*IF(A132=LCOE!H$34,0,1)*D132</f>
        <v>0</v>
      </c>
      <c r="F132" s="12">
        <f>IF(F131&lt;LCOE!H$18,MIN(F131*(1+LCOE!H$19),LCOE!H$18),LCOE!H$18)+LCOE!J158</f>
        <v>0.9</v>
      </c>
      <c r="G132" s="16">
        <f>LCOE!K158+E132*F132*N132*(LCOE!H$14+LCOE!H158)*24*365*D132</f>
        <v>0</v>
      </c>
      <c r="H132" s="16">
        <f>LCOE!L158+F132*(LCOE!H$15+LCOE!I158)*E132*24*365*D132*N132</f>
        <v>0</v>
      </c>
      <c r="I132" s="16">
        <f>LCOE!M158+LCOE!H$20*IF(LCOE!H$14&gt;0,(LCOE!H$14+LCOE!H158),(LCOE!H$15+LCOE!I158))*K132*D132</f>
        <v>0</v>
      </c>
      <c r="J132" s="16">
        <f>LCOE!N158+LCOE!H$21*IF(LCOE!H$14&gt;0,G132,H132)*K132*D132</f>
        <v>0</v>
      </c>
      <c r="K132" s="15">
        <f>LCOE!O158+K131+K131*LCOE!H$22</f>
        <v>1</v>
      </c>
      <c r="L132" s="16">
        <f>LCOE!P158+LCOE!H$23*IF(LCOE!H$14&gt;0,G132,H132)*M132*D132</f>
        <v>0</v>
      </c>
      <c r="M132" s="15">
        <f>LCOE!Q158+M131+M131*LCOE!H$24</f>
        <v>1</v>
      </c>
      <c r="N132" s="15">
        <f>LCOE!R158+N131-N131*LCOE!H$25</f>
        <v>1</v>
      </c>
      <c r="O132" s="18">
        <f>LCOE!S158+LCOE!H$29</f>
        <v>313.75</v>
      </c>
      <c r="P132" s="12">
        <f>LCOE!T158+IF(A132&gt;=LCOE!H$30,100%,0%)</f>
        <v>1</v>
      </c>
      <c r="Q132" s="16">
        <f>LCOE!U158+O132/1000*IF(LCOE!H$14&gt;0,G132,H132)</f>
        <v>0</v>
      </c>
      <c r="R132" s="16">
        <f>LCOE!B158</f>
        <v>30</v>
      </c>
      <c r="S132" s="16">
        <f>LCOE!V158+Q132*P132*R132</f>
        <v>0</v>
      </c>
      <c r="T132" s="16">
        <f>LCOE!W158+LCOE!H$31</f>
        <v>0</v>
      </c>
      <c r="U132" s="16">
        <f>LCOE!X158+T132*IF(LCOE!H$14&gt;0,G132,H132)</f>
        <v>0</v>
      </c>
      <c r="V132" s="16">
        <f>LCOE!Y158+LCOE!H$32</f>
        <v>0</v>
      </c>
      <c r="W132" s="16">
        <f>LCOE!Z158+V132*IF(LCOE!H$14&gt;0,G132,H132)</f>
        <v>0</v>
      </c>
      <c r="X132" s="16">
        <f>LCOE!AA158+LCOE!H$34</f>
        <v>101</v>
      </c>
      <c r="Y132" s="16">
        <f t="shared" si="15"/>
        <v>0</v>
      </c>
      <c r="Z132" s="50">
        <f t="shared" si="18"/>
        <v>0</v>
      </c>
      <c r="AA132" s="50">
        <f t="shared" si="19"/>
        <v>0</v>
      </c>
      <c r="AB132" s="50">
        <f t="shared" si="20"/>
        <v>0</v>
      </c>
      <c r="AC132" s="50">
        <f t="shared" si="16"/>
        <v>0</v>
      </c>
      <c r="AD132" s="50">
        <f t="shared" si="25"/>
        <v>0</v>
      </c>
      <c r="AE132">
        <f t="shared" si="17"/>
        <v>30</v>
      </c>
      <c r="AF132" s="12">
        <f>LCOE!E158+LCOE!H$40</f>
        <v>0.08</v>
      </c>
      <c r="AG132">
        <f t="shared" si="26"/>
        <v>118.10623906144222</v>
      </c>
      <c r="AH132" s="16">
        <f t="shared" si="21"/>
        <v>0</v>
      </c>
      <c r="AI132" s="16">
        <f t="shared" si="22"/>
        <v>0</v>
      </c>
      <c r="AJ132" s="16">
        <f t="shared" si="23"/>
        <v>0</v>
      </c>
      <c r="AK132" s="16">
        <f t="shared" si="24"/>
        <v>0</v>
      </c>
      <c r="AL132" s="16">
        <f t="shared" si="27"/>
        <v>0</v>
      </c>
      <c r="AM132" s="16">
        <f t="shared" si="14"/>
        <v>0</v>
      </c>
      <c r="AN132" s="16">
        <f>IF(LCOE!H$14&gt;0,G132,H132)/AG132</f>
        <v>0</v>
      </c>
    </row>
    <row r="133" spans="1:40">
      <c r="A133">
        <v>63</v>
      </c>
      <c r="C133" s="16">
        <f>LCOE!H159+IF(AND(LCOE!H$26&gt;0,A133&gt;=LCOE!H$26,A133&lt;=(LCOE!H$26+LCOE!H$27-1)),LCOE!H$42/LCOE!H$27,0)+IF(AND(D133=0,AE133&gt;=LCOE!H$16,COUNTIF(D108:D133,0)=LCOE!H$36),LCOE!H$35*LCOE!H$38,0)</f>
        <v>0</v>
      </c>
      <c r="D133" s="16">
        <f>IF(AE132&lt;LCOE!H$16,1,0)</f>
        <v>0</v>
      </c>
      <c r="E133" s="12">
        <f>LCOE!G159+IF(AND(A133&gt;=LCOE!H$26,A133&lt;=(LCOE!H$26+LCOE!H$27-1)),0,1)*IF(A133=LCOE!H$34,0,1)*D133</f>
        <v>0</v>
      </c>
      <c r="F133" s="12">
        <f>IF(F132&lt;LCOE!H$18,MIN(F132*(1+LCOE!H$19),LCOE!H$18),LCOE!H$18)+LCOE!J159</f>
        <v>0.9</v>
      </c>
      <c r="G133" s="16">
        <f>LCOE!K159+E133*F133*N133*(LCOE!H$14+LCOE!H159)*24*365*D133</f>
        <v>0</v>
      </c>
      <c r="H133" s="16">
        <f>LCOE!L159+F133*(LCOE!H$15+LCOE!I159)*E133*24*365*D133*N133</f>
        <v>0</v>
      </c>
      <c r="I133" s="16">
        <f>LCOE!M159+LCOE!H$20*IF(LCOE!H$14&gt;0,(LCOE!H$14+LCOE!H159),(LCOE!H$15+LCOE!I159))*K133*D133</f>
        <v>0</v>
      </c>
      <c r="J133" s="16">
        <f>LCOE!N159+LCOE!H$21*IF(LCOE!H$14&gt;0,G133,H133)*K133*D133</f>
        <v>0</v>
      </c>
      <c r="K133" s="15">
        <f>LCOE!O159+K132+K132*LCOE!H$22</f>
        <v>1</v>
      </c>
      <c r="L133" s="16">
        <f>LCOE!P159+LCOE!H$23*IF(LCOE!H$14&gt;0,G133,H133)*M133*D133</f>
        <v>0</v>
      </c>
      <c r="M133" s="15">
        <f>LCOE!Q159+M132+M132*LCOE!H$24</f>
        <v>1</v>
      </c>
      <c r="N133" s="15">
        <f>LCOE!R159+N132-N132*LCOE!H$25</f>
        <v>1</v>
      </c>
      <c r="O133" s="18">
        <f>LCOE!S159+LCOE!H$29</f>
        <v>313.75</v>
      </c>
      <c r="P133" s="12">
        <f>LCOE!T159+IF(A133&gt;=LCOE!H$30,100%,0%)</f>
        <v>1</v>
      </c>
      <c r="Q133" s="16">
        <f>LCOE!U159+O133/1000*IF(LCOE!H$14&gt;0,G133,H133)</f>
        <v>0</v>
      </c>
      <c r="R133" s="16">
        <f>LCOE!B159</f>
        <v>30</v>
      </c>
      <c r="S133" s="16">
        <f>LCOE!V159+Q133*P133*R133</f>
        <v>0</v>
      </c>
      <c r="T133" s="16">
        <f>LCOE!W159+LCOE!H$31</f>
        <v>0</v>
      </c>
      <c r="U133" s="16">
        <f>LCOE!X159+T133*IF(LCOE!H$14&gt;0,G133,H133)</f>
        <v>0</v>
      </c>
      <c r="V133" s="16">
        <f>LCOE!Y159+LCOE!H$32</f>
        <v>0</v>
      </c>
      <c r="W133" s="16">
        <f>LCOE!Z159+V133*IF(LCOE!H$14&gt;0,G133,H133)</f>
        <v>0</v>
      </c>
      <c r="X133" s="16">
        <f>LCOE!AA159+LCOE!H$34</f>
        <v>101</v>
      </c>
      <c r="Y133" s="16">
        <f t="shared" si="15"/>
        <v>0</v>
      </c>
      <c r="Z133" s="50">
        <f t="shared" si="18"/>
        <v>0</v>
      </c>
      <c r="AA133" s="50">
        <f t="shared" si="19"/>
        <v>0</v>
      </c>
      <c r="AB133" s="50">
        <f t="shared" si="20"/>
        <v>0</v>
      </c>
      <c r="AC133" s="50">
        <f t="shared" si="16"/>
        <v>0</v>
      </c>
      <c r="AD133" s="50">
        <f t="shared" si="25"/>
        <v>0</v>
      </c>
      <c r="AE133">
        <f t="shared" si="17"/>
        <v>30</v>
      </c>
      <c r="AF133" s="12">
        <f>LCOE!E159+LCOE!H$40</f>
        <v>0.08</v>
      </c>
      <c r="AG133">
        <f t="shared" si="26"/>
        <v>127.55473818635762</v>
      </c>
      <c r="AH133" s="16">
        <f t="shared" si="21"/>
        <v>0</v>
      </c>
      <c r="AI133" s="16">
        <f t="shared" si="22"/>
        <v>0</v>
      </c>
      <c r="AJ133" s="16">
        <f t="shared" si="23"/>
        <v>0</v>
      </c>
      <c r="AK133" s="16">
        <f t="shared" si="24"/>
        <v>0</v>
      </c>
      <c r="AL133" s="16">
        <f t="shared" si="27"/>
        <v>0</v>
      </c>
      <c r="AM133" s="16">
        <f t="shared" si="14"/>
        <v>0</v>
      </c>
      <c r="AN133" s="16">
        <f>IF(LCOE!H$14&gt;0,G133,H133)/AG133</f>
        <v>0</v>
      </c>
    </row>
    <row r="134" spans="1:40">
      <c r="A134">
        <v>64</v>
      </c>
      <c r="C134" s="16">
        <f>LCOE!H160+IF(AND(LCOE!H$26&gt;0,A134&gt;=LCOE!H$26,A134&lt;=(LCOE!H$26+LCOE!H$27-1)),LCOE!H$42/LCOE!H$27,0)+IF(AND(D134=0,AE134&gt;=LCOE!H$16,COUNTIF(D109:D134,0)=LCOE!H$36),LCOE!H$35*LCOE!H$38,0)</f>
        <v>0</v>
      </c>
      <c r="D134" s="16">
        <f>IF(AE133&lt;LCOE!H$16,1,0)</f>
        <v>0</v>
      </c>
      <c r="E134" s="12">
        <f>LCOE!G160+IF(AND(A134&gt;=LCOE!H$26,A134&lt;=(LCOE!H$26+LCOE!H$27-1)),0,1)*IF(A134=LCOE!H$34,0,1)*D134</f>
        <v>0</v>
      </c>
      <c r="F134" s="12">
        <f>IF(F133&lt;LCOE!H$18,MIN(F133*(1+LCOE!H$19),LCOE!H$18),LCOE!H$18)+LCOE!J160</f>
        <v>0.9</v>
      </c>
      <c r="G134" s="16">
        <f>LCOE!K160+E134*F134*N134*(LCOE!H$14+LCOE!H160)*24*365*D134</f>
        <v>0</v>
      </c>
      <c r="H134" s="16">
        <f>LCOE!L160+F134*(LCOE!H$15+LCOE!I160)*E134*24*365*D134*N134</f>
        <v>0</v>
      </c>
      <c r="I134" s="16">
        <f>LCOE!M160+LCOE!H$20*IF(LCOE!H$14&gt;0,(LCOE!H$14+LCOE!H160),(LCOE!H$15+LCOE!I160))*K134*D134</f>
        <v>0</v>
      </c>
      <c r="J134" s="16">
        <f>LCOE!N160+LCOE!H$21*IF(LCOE!H$14&gt;0,G134,H134)*K134*D134</f>
        <v>0</v>
      </c>
      <c r="K134" s="15">
        <f>LCOE!O160+K133+K133*LCOE!H$22</f>
        <v>1</v>
      </c>
      <c r="L134" s="16">
        <f>LCOE!P160+LCOE!H$23*IF(LCOE!H$14&gt;0,G134,H134)*M134*D134</f>
        <v>0</v>
      </c>
      <c r="M134" s="15">
        <f>LCOE!Q160+M133+M133*LCOE!H$24</f>
        <v>1</v>
      </c>
      <c r="N134" s="15">
        <f>LCOE!R160+N133-N133*LCOE!H$25</f>
        <v>1</v>
      </c>
      <c r="O134" s="18">
        <f>LCOE!S160+LCOE!H$29</f>
        <v>313.75</v>
      </c>
      <c r="P134" s="12">
        <f>LCOE!T160+IF(A134&gt;=LCOE!H$30,100%,0%)</f>
        <v>1</v>
      </c>
      <c r="Q134" s="16">
        <f>LCOE!U160+O134/1000*IF(LCOE!H$14&gt;0,G134,H134)</f>
        <v>0</v>
      </c>
      <c r="R134" s="16">
        <f>LCOE!B160</f>
        <v>30</v>
      </c>
      <c r="S134" s="16">
        <f>LCOE!V160+Q134*P134*R134</f>
        <v>0</v>
      </c>
      <c r="T134" s="16">
        <f>LCOE!W160+LCOE!H$31</f>
        <v>0</v>
      </c>
      <c r="U134" s="16">
        <f>LCOE!X160+T134*IF(LCOE!H$14&gt;0,G134,H134)</f>
        <v>0</v>
      </c>
      <c r="V134" s="16">
        <f>LCOE!Y160+LCOE!H$32</f>
        <v>0</v>
      </c>
      <c r="W134" s="16">
        <f>LCOE!Z160+V134*IF(LCOE!H$14&gt;0,G134,H134)</f>
        <v>0</v>
      </c>
      <c r="X134" s="16">
        <f>LCOE!AA160+LCOE!H$34</f>
        <v>101</v>
      </c>
      <c r="Y134" s="16">
        <f t="shared" si="15"/>
        <v>0</v>
      </c>
      <c r="Z134" s="50">
        <f t="shared" si="18"/>
        <v>0</v>
      </c>
      <c r="AA134" s="50">
        <f t="shared" si="19"/>
        <v>0</v>
      </c>
      <c r="AB134" s="50">
        <f t="shared" si="20"/>
        <v>0</v>
      </c>
      <c r="AC134" s="50">
        <f t="shared" si="16"/>
        <v>0</v>
      </c>
      <c r="AD134" s="50">
        <f t="shared" si="25"/>
        <v>0</v>
      </c>
      <c r="AE134">
        <f t="shared" si="17"/>
        <v>30</v>
      </c>
      <c r="AF134" s="12">
        <f>LCOE!E160+LCOE!H$40</f>
        <v>0.08</v>
      </c>
      <c r="AG134">
        <f t="shared" si="26"/>
        <v>137.75911724126624</v>
      </c>
      <c r="AH134" s="16">
        <f t="shared" si="21"/>
        <v>0</v>
      </c>
      <c r="AI134" s="16">
        <f t="shared" si="22"/>
        <v>0</v>
      </c>
      <c r="AJ134" s="16">
        <f t="shared" si="23"/>
        <v>0</v>
      </c>
      <c r="AK134" s="16">
        <f t="shared" si="24"/>
        <v>0</v>
      </c>
      <c r="AL134" s="16">
        <f t="shared" si="27"/>
        <v>0</v>
      </c>
      <c r="AM134" s="16">
        <f t="shared" ref="AM134:AM170" si="28">(-1)*Y134/AG134</f>
        <v>0</v>
      </c>
      <c r="AN134" s="16">
        <f>IF(LCOE!H$14&gt;0,G134,H134)/AG134</f>
        <v>0</v>
      </c>
    </row>
    <row r="135" spans="1:40">
      <c r="A135">
        <v>65</v>
      </c>
      <c r="C135" s="16">
        <f>LCOE!H161+IF(AND(LCOE!H$26&gt;0,A135&gt;=LCOE!H$26,A135&lt;=(LCOE!H$26+LCOE!H$27-1)),LCOE!H$42/LCOE!H$27,0)+IF(AND(D135=0,AE135&gt;=LCOE!H$16,COUNTIF(D110:D135,0)=LCOE!H$36),LCOE!H$35*LCOE!H$38,0)</f>
        <v>0</v>
      </c>
      <c r="D135" s="16">
        <f>IF(AE134&lt;LCOE!H$16,1,0)</f>
        <v>0</v>
      </c>
      <c r="E135" s="12">
        <f>LCOE!G161+IF(AND(A135&gt;=LCOE!H$26,A135&lt;=(LCOE!H$26+LCOE!H$27-1)),0,1)*IF(A135=LCOE!H$34,0,1)*D135</f>
        <v>0</v>
      </c>
      <c r="F135" s="12">
        <f>IF(F134&lt;LCOE!H$18,MIN(F134*(1+LCOE!H$19),LCOE!H$18),LCOE!H$18)+LCOE!J161</f>
        <v>0.9</v>
      </c>
      <c r="G135" s="16">
        <f>LCOE!K161+E135*F135*N135*(LCOE!H$14+LCOE!H161)*24*365*D135</f>
        <v>0</v>
      </c>
      <c r="H135" s="16">
        <f>LCOE!L161+F135*(LCOE!H$15+LCOE!I161)*E135*24*365*D135*N135</f>
        <v>0</v>
      </c>
      <c r="I135" s="16">
        <f>LCOE!M161+LCOE!H$20*IF(LCOE!H$14&gt;0,(LCOE!H$14+LCOE!H161),(LCOE!H$15+LCOE!I161))*K135*D135</f>
        <v>0</v>
      </c>
      <c r="J135" s="16">
        <f>LCOE!N161+LCOE!H$21*IF(LCOE!H$14&gt;0,G135,H135)*K135*D135</f>
        <v>0</v>
      </c>
      <c r="K135" s="15">
        <f>LCOE!O161+K134+K134*LCOE!H$22</f>
        <v>1</v>
      </c>
      <c r="L135" s="16">
        <f>LCOE!P161+LCOE!H$23*IF(LCOE!H$14&gt;0,G135,H135)*M135*D135</f>
        <v>0</v>
      </c>
      <c r="M135" s="15">
        <f>LCOE!Q161+M134+M134*LCOE!H$24</f>
        <v>1</v>
      </c>
      <c r="N135" s="15">
        <f>LCOE!R161+N134-N134*LCOE!H$25</f>
        <v>1</v>
      </c>
      <c r="O135" s="18">
        <f>LCOE!S161+LCOE!H$29</f>
        <v>313.75</v>
      </c>
      <c r="P135" s="12">
        <f>LCOE!T161+IF(A135&gt;=LCOE!H$30,100%,0%)</f>
        <v>1</v>
      </c>
      <c r="Q135" s="16">
        <f>LCOE!U161+O135/1000*IF(LCOE!H$14&gt;0,G135,H135)</f>
        <v>0</v>
      </c>
      <c r="R135" s="16">
        <f>LCOE!B161</f>
        <v>30</v>
      </c>
      <c r="S135" s="16">
        <f>LCOE!V161+Q135*P135*R135</f>
        <v>0</v>
      </c>
      <c r="T135" s="16">
        <f>LCOE!W161+LCOE!H$31</f>
        <v>0</v>
      </c>
      <c r="U135" s="16">
        <f>LCOE!X161+T135*IF(LCOE!H$14&gt;0,G135,H135)</f>
        <v>0</v>
      </c>
      <c r="V135" s="16">
        <f>LCOE!Y161+LCOE!H$32</f>
        <v>0</v>
      </c>
      <c r="W135" s="16">
        <f>LCOE!Z161+V135*IF(LCOE!H$14&gt;0,G135,H135)</f>
        <v>0</v>
      </c>
      <c r="X135" s="16">
        <f>LCOE!AA161+LCOE!H$34</f>
        <v>101</v>
      </c>
      <c r="Y135" s="16">
        <f t="shared" ref="Y135:Y170" si="29">X135*H135</f>
        <v>0</v>
      </c>
      <c r="Z135" s="50">
        <f t="shared" si="18"/>
        <v>0</v>
      </c>
      <c r="AA135" s="50">
        <f t="shared" si="19"/>
        <v>0</v>
      </c>
      <c r="AB135" s="50">
        <f t="shared" si="20"/>
        <v>0</v>
      </c>
      <c r="AC135" s="50">
        <f t="shared" ref="AC135:AC170" si="30">U135+W135</f>
        <v>0</v>
      </c>
      <c r="AD135" s="50">
        <f t="shared" si="25"/>
        <v>0</v>
      </c>
      <c r="AE135">
        <f t="shared" ref="AE135:AE170" si="31">AE134+1*E135</f>
        <v>30</v>
      </c>
      <c r="AF135" s="12">
        <f>LCOE!E161+LCOE!H$40</f>
        <v>0.08</v>
      </c>
      <c r="AG135">
        <f t="shared" si="26"/>
        <v>148.77984662056755</v>
      </c>
      <c r="AH135" s="16">
        <f t="shared" si="21"/>
        <v>0</v>
      </c>
      <c r="AI135" s="16">
        <f t="shared" si="22"/>
        <v>0</v>
      </c>
      <c r="AJ135" s="16">
        <f t="shared" si="23"/>
        <v>0</v>
      </c>
      <c r="AK135" s="16">
        <f t="shared" si="24"/>
        <v>0</v>
      </c>
      <c r="AL135" s="16">
        <f t="shared" si="27"/>
        <v>0</v>
      </c>
      <c r="AM135" s="16">
        <f t="shared" si="28"/>
        <v>0</v>
      </c>
      <c r="AN135" s="16">
        <f>IF(LCOE!H$14&gt;0,G135,H135)/AG135</f>
        <v>0</v>
      </c>
    </row>
    <row r="136" spans="1:40">
      <c r="A136">
        <v>66</v>
      </c>
      <c r="C136" s="16">
        <f>LCOE!H162+IF(AND(LCOE!H$26&gt;0,A136&gt;=LCOE!H$26,A136&lt;=(LCOE!H$26+LCOE!H$27-1)),LCOE!H$42/LCOE!H$27,0)+IF(AND(D136=0,AE136&gt;=LCOE!H$16,COUNTIF(D111:D136,0)=LCOE!H$36),LCOE!H$35*LCOE!H$38,0)</f>
        <v>0</v>
      </c>
      <c r="D136" s="16">
        <f>IF(AE135&lt;LCOE!H$16,1,0)</f>
        <v>0</v>
      </c>
      <c r="E136" s="12">
        <f>LCOE!G162+IF(AND(A136&gt;=LCOE!H$26,A136&lt;=(LCOE!H$26+LCOE!H$27-1)),0,1)*IF(A136=LCOE!H$34,0,1)*D136</f>
        <v>0</v>
      </c>
      <c r="F136" s="12">
        <f>IF(F135&lt;LCOE!H$18,MIN(F135*(1+LCOE!H$19),LCOE!H$18),LCOE!H$18)+LCOE!J162</f>
        <v>0.9</v>
      </c>
      <c r="G136" s="16">
        <f>LCOE!K162+E136*F136*N136*(LCOE!H$14+LCOE!H162)*24*365*D136</f>
        <v>0</v>
      </c>
      <c r="H136" s="16">
        <f>LCOE!L162+F136*(LCOE!H$15+LCOE!I162)*E136*24*365*D136*N136</f>
        <v>0</v>
      </c>
      <c r="I136" s="16">
        <f>LCOE!M162+LCOE!H$20*IF(LCOE!H$14&gt;0,(LCOE!H$14+LCOE!H162),(LCOE!H$15+LCOE!I162))*K136*D136</f>
        <v>0</v>
      </c>
      <c r="J136" s="16">
        <f>LCOE!N162+LCOE!H$21*IF(LCOE!H$14&gt;0,G136,H136)*K136*D136</f>
        <v>0</v>
      </c>
      <c r="K136" s="15">
        <f>LCOE!O162+K135+K135*LCOE!H$22</f>
        <v>1</v>
      </c>
      <c r="L136" s="16">
        <f>LCOE!P162+LCOE!H$23*IF(LCOE!H$14&gt;0,G136,H136)*M136*D136</f>
        <v>0</v>
      </c>
      <c r="M136" s="15">
        <f>LCOE!Q162+M135+M135*LCOE!H$24</f>
        <v>1</v>
      </c>
      <c r="N136" s="15">
        <f>LCOE!R162+N135-N135*LCOE!H$25</f>
        <v>1</v>
      </c>
      <c r="O136" s="18">
        <f>LCOE!S162+LCOE!H$29</f>
        <v>313.75</v>
      </c>
      <c r="P136" s="12">
        <f>LCOE!T162+IF(A136&gt;=LCOE!H$30,100%,0%)</f>
        <v>1</v>
      </c>
      <c r="Q136" s="16">
        <f>LCOE!U162+O136/1000*IF(LCOE!H$14&gt;0,G136,H136)</f>
        <v>0</v>
      </c>
      <c r="R136" s="16">
        <f>LCOE!B162</f>
        <v>30</v>
      </c>
      <c r="S136" s="16">
        <f>LCOE!V162+Q136*P136*R136</f>
        <v>0</v>
      </c>
      <c r="T136" s="16">
        <f>LCOE!W162+LCOE!H$31</f>
        <v>0</v>
      </c>
      <c r="U136" s="16">
        <f>LCOE!X162+T136*IF(LCOE!H$14&gt;0,G136,H136)</f>
        <v>0</v>
      </c>
      <c r="V136" s="16">
        <f>LCOE!Y162+LCOE!H$32</f>
        <v>0</v>
      </c>
      <c r="W136" s="16">
        <f>LCOE!Z162+V136*IF(LCOE!H$14&gt;0,G136,H136)</f>
        <v>0</v>
      </c>
      <c r="X136" s="16">
        <f>LCOE!AA162+LCOE!H$34</f>
        <v>101</v>
      </c>
      <c r="Y136" s="16">
        <f t="shared" si="29"/>
        <v>0</v>
      </c>
      <c r="Z136" s="50">
        <f t="shared" ref="Z136:Z170" si="32">SUM(B136:C136)</f>
        <v>0</v>
      </c>
      <c r="AA136" s="50">
        <f t="shared" ref="AA136:AA170" si="33">SUM(I136:J136)</f>
        <v>0</v>
      </c>
      <c r="AB136" s="50">
        <f t="shared" ref="AB136:AB170" si="34">L136</f>
        <v>0</v>
      </c>
      <c r="AC136" s="50">
        <f t="shared" si="30"/>
        <v>0</v>
      </c>
      <c r="AD136" s="50">
        <f t="shared" si="25"/>
        <v>0</v>
      </c>
      <c r="AE136">
        <f t="shared" si="31"/>
        <v>30</v>
      </c>
      <c r="AF136" s="12">
        <f>LCOE!E162+LCOE!H$40</f>
        <v>0.08</v>
      </c>
      <c r="AG136">
        <f t="shared" si="26"/>
        <v>160.68223435021295</v>
      </c>
      <c r="AH136" s="16">
        <f t="shared" si="21"/>
        <v>0</v>
      </c>
      <c r="AI136" s="16">
        <f t="shared" si="22"/>
        <v>0</v>
      </c>
      <c r="AJ136" s="16">
        <f t="shared" si="23"/>
        <v>0</v>
      </c>
      <c r="AK136" s="16">
        <f t="shared" si="24"/>
        <v>0</v>
      </c>
      <c r="AL136" s="16">
        <f t="shared" si="27"/>
        <v>0</v>
      </c>
      <c r="AM136" s="16">
        <f t="shared" si="28"/>
        <v>0</v>
      </c>
      <c r="AN136" s="16">
        <f>IF(LCOE!H$14&gt;0,G136,H136)/AG136</f>
        <v>0</v>
      </c>
    </row>
    <row r="137" spans="1:40">
      <c r="A137">
        <v>67</v>
      </c>
      <c r="C137" s="16">
        <f>LCOE!H163+IF(AND(LCOE!H$26&gt;0,A137&gt;=LCOE!H$26,A137&lt;=(LCOE!H$26+LCOE!H$27-1)),LCOE!H$42/LCOE!H$27,0)+IF(AND(D137=0,AE137&gt;=LCOE!H$16,COUNTIF(D112:D137,0)=LCOE!H$36),LCOE!H$35*LCOE!H$38,0)</f>
        <v>0</v>
      </c>
      <c r="D137" s="16">
        <f>IF(AE136&lt;LCOE!H$16,1,0)</f>
        <v>0</v>
      </c>
      <c r="E137" s="12">
        <f>LCOE!G163+IF(AND(A137&gt;=LCOE!H$26,A137&lt;=(LCOE!H$26+LCOE!H$27-1)),0,1)*IF(A137=LCOE!H$34,0,1)*D137</f>
        <v>0</v>
      </c>
      <c r="F137" s="12">
        <f>IF(F136&lt;LCOE!H$18,MIN(F136*(1+LCOE!H$19),LCOE!H$18),LCOE!H$18)+LCOE!J163</f>
        <v>0.9</v>
      </c>
      <c r="G137" s="16">
        <f>LCOE!K163+E137*F137*N137*(LCOE!H$14+LCOE!H163)*24*365*D137</f>
        <v>0</v>
      </c>
      <c r="H137" s="16">
        <f>LCOE!L163+F137*(LCOE!H$15+LCOE!I163)*E137*24*365*D137*N137</f>
        <v>0</v>
      </c>
      <c r="I137" s="16">
        <f>LCOE!M163+LCOE!H$20*IF(LCOE!H$14&gt;0,(LCOE!H$14+LCOE!H163),(LCOE!H$15+LCOE!I163))*K137*D137</f>
        <v>0</v>
      </c>
      <c r="J137" s="16">
        <f>LCOE!N163+LCOE!H$21*IF(LCOE!H$14&gt;0,G137,H137)*K137*D137</f>
        <v>0</v>
      </c>
      <c r="K137" s="15">
        <f>LCOE!O163+K136+K136*LCOE!H$22</f>
        <v>1</v>
      </c>
      <c r="L137" s="16">
        <f>LCOE!P163+LCOE!H$23*IF(LCOE!H$14&gt;0,G137,H137)*M137*D137</f>
        <v>0</v>
      </c>
      <c r="M137" s="15">
        <f>LCOE!Q163+M136+M136*LCOE!H$24</f>
        <v>1</v>
      </c>
      <c r="N137" s="15">
        <f>LCOE!R163+N136-N136*LCOE!H$25</f>
        <v>1</v>
      </c>
      <c r="O137" s="18">
        <f>LCOE!S163+LCOE!H$29</f>
        <v>313.75</v>
      </c>
      <c r="P137" s="12">
        <f>LCOE!T163+IF(A137&gt;=LCOE!H$30,100%,0%)</f>
        <v>1</v>
      </c>
      <c r="Q137" s="16">
        <f>LCOE!U163+O137/1000*IF(LCOE!H$14&gt;0,G137,H137)</f>
        <v>0</v>
      </c>
      <c r="R137" s="16">
        <f>LCOE!B163</f>
        <v>30</v>
      </c>
      <c r="S137" s="16">
        <f>LCOE!V163+Q137*P137*R137</f>
        <v>0</v>
      </c>
      <c r="T137" s="16">
        <f>LCOE!W163+LCOE!H$31</f>
        <v>0</v>
      </c>
      <c r="U137" s="16">
        <f>LCOE!X163+T137*IF(LCOE!H$14&gt;0,G137,H137)</f>
        <v>0</v>
      </c>
      <c r="V137" s="16">
        <f>LCOE!Y163+LCOE!H$32</f>
        <v>0</v>
      </c>
      <c r="W137" s="16">
        <f>LCOE!Z163+V137*IF(LCOE!H$14&gt;0,G137,H137)</f>
        <v>0</v>
      </c>
      <c r="X137" s="16">
        <f>LCOE!AA163+LCOE!H$34</f>
        <v>101</v>
      </c>
      <c r="Y137" s="16">
        <f t="shared" si="29"/>
        <v>0</v>
      </c>
      <c r="Z137" s="50">
        <f t="shared" si="32"/>
        <v>0</v>
      </c>
      <c r="AA137" s="50">
        <f t="shared" si="33"/>
        <v>0</v>
      </c>
      <c r="AB137" s="50">
        <f t="shared" si="34"/>
        <v>0</v>
      </c>
      <c r="AC137" s="50">
        <f t="shared" si="30"/>
        <v>0</v>
      </c>
      <c r="AD137" s="50">
        <f t="shared" si="25"/>
        <v>0</v>
      </c>
      <c r="AE137">
        <f t="shared" si="31"/>
        <v>30</v>
      </c>
      <c r="AF137" s="12">
        <f>LCOE!E163+LCOE!H$40</f>
        <v>0.08</v>
      </c>
      <c r="AG137">
        <f t="shared" si="26"/>
        <v>173.53681309823</v>
      </c>
      <c r="AH137" s="16">
        <f t="shared" si="21"/>
        <v>0</v>
      </c>
      <c r="AI137" s="16">
        <f t="shared" si="22"/>
        <v>0</v>
      </c>
      <c r="AJ137" s="16">
        <f t="shared" si="23"/>
        <v>0</v>
      </c>
      <c r="AK137" s="16">
        <f t="shared" si="24"/>
        <v>0</v>
      </c>
      <c r="AL137" s="16">
        <f t="shared" si="27"/>
        <v>0</v>
      </c>
      <c r="AM137" s="16">
        <f t="shared" si="28"/>
        <v>0</v>
      </c>
      <c r="AN137" s="16">
        <f>IF(LCOE!H$14&gt;0,G137,H137)/AG137</f>
        <v>0</v>
      </c>
    </row>
    <row r="138" spans="1:40">
      <c r="A138">
        <v>68</v>
      </c>
      <c r="C138" s="16">
        <f>LCOE!H164+IF(AND(LCOE!H$26&gt;0,A138&gt;=LCOE!H$26,A138&lt;=(LCOE!H$26+LCOE!H$27-1)),LCOE!H$42/LCOE!H$27,0)+IF(AND(D138=0,AE138&gt;=LCOE!H$16,COUNTIF(D113:D138,0)=LCOE!H$36),LCOE!H$35*LCOE!H$38,0)</f>
        <v>0</v>
      </c>
      <c r="D138" s="16">
        <f>IF(AE137&lt;LCOE!H$16,1,0)</f>
        <v>0</v>
      </c>
      <c r="E138" s="12">
        <f>LCOE!G164+IF(AND(A138&gt;=LCOE!H$26,A138&lt;=(LCOE!H$26+LCOE!H$27-1)),0,1)*IF(A138=LCOE!H$34,0,1)*D138</f>
        <v>0</v>
      </c>
      <c r="F138" s="12">
        <f>IF(F137&lt;LCOE!H$18,MIN(F137*(1+LCOE!H$19),LCOE!H$18),LCOE!H$18)+LCOE!J164</f>
        <v>0.9</v>
      </c>
      <c r="G138" s="16">
        <f>LCOE!K164+E138*F138*N138*(LCOE!H$14+LCOE!H164)*24*365*D138</f>
        <v>0</v>
      </c>
      <c r="H138" s="16">
        <f>LCOE!L164+F138*(LCOE!H$15+LCOE!I164)*E138*24*365*D138*N138</f>
        <v>0</v>
      </c>
      <c r="I138" s="16">
        <f>LCOE!M164+LCOE!H$20*IF(LCOE!H$14&gt;0,(LCOE!H$14+LCOE!H164),(LCOE!H$15+LCOE!I164))*K138*D138</f>
        <v>0</v>
      </c>
      <c r="J138" s="16">
        <f>LCOE!N164+LCOE!H$21*IF(LCOE!H$14&gt;0,G138,H138)*K138*D138</f>
        <v>0</v>
      </c>
      <c r="K138" s="15">
        <f>LCOE!O164+K137+K137*LCOE!H$22</f>
        <v>1</v>
      </c>
      <c r="L138" s="16">
        <f>LCOE!P164+LCOE!H$23*IF(LCOE!H$14&gt;0,G138,H138)*M138*D138</f>
        <v>0</v>
      </c>
      <c r="M138" s="15">
        <f>LCOE!Q164+M137+M137*LCOE!H$24</f>
        <v>1</v>
      </c>
      <c r="N138" s="15">
        <f>LCOE!R164+N137-N137*LCOE!H$25</f>
        <v>1</v>
      </c>
      <c r="O138" s="18">
        <f>LCOE!S164+LCOE!H$29</f>
        <v>313.75</v>
      </c>
      <c r="P138" s="12">
        <f>LCOE!T164+IF(A138&gt;=LCOE!H$30,100%,0%)</f>
        <v>1</v>
      </c>
      <c r="Q138" s="16">
        <f>LCOE!U164+O138/1000*IF(LCOE!H$14&gt;0,G138,H138)</f>
        <v>0</v>
      </c>
      <c r="R138" s="16">
        <f>LCOE!B164</f>
        <v>30</v>
      </c>
      <c r="S138" s="16">
        <f>LCOE!V164+Q138*P138*R138</f>
        <v>0</v>
      </c>
      <c r="T138" s="16">
        <f>LCOE!W164+LCOE!H$31</f>
        <v>0</v>
      </c>
      <c r="U138" s="16">
        <f>LCOE!X164+T138*IF(LCOE!H$14&gt;0,G138,H138)</f>
        <v>0</v>
      </c>
      <c r="V138" s="16">
        <f>LCOE!Y164+LCOE!H$32</f>
        <v>0</v>
      </c>
      <c r="W138" s="16">
        <f>LCOE!Z164+V138*IF(LCOE!H$14&gt;0,G138,H138)</f>
        <v>0</v>
      </c>
      <c r="X138" s="16">
        <f>LCOE!AA164+LCOE!H$34</f>
        <v>101</v>
      </c>
      <c r="Y138" s="16">
        <f t="shared" si="29"/>
        <v>0</v>
      </c>
      <c r="Z138" s="50">
        <f t="shared" si="32"/>
        <v>0</v>
      </c>
      <c r="AA138" s="50">
        <f t="shared" si="33"/>
        <v>0</v>
      </c>
      <c r="AB138" s="50">
        <f t="shared" si="34"/>
        <v>0</v>
      </c>
      <c r="AC138" s="50">
        <f t="shared" si="30"/>
        <v>0</v>
      </c>
      <c r="AD138" s="50">
        <f t="shared" si="25"/>
        <v>0</v>
      </c>
      <c r="AE138">
        <f t="shared" si="31"/>
        <v>30</v>
      </c>
      <c r="AF138" s="12">
        <f>LCOE!E164+LCOE!H$40</f>
        <v>0.08</v>
      </c>
      <c r="AG138">
        <f t="shared" si="26"/>
        <v>187.41975814608841</v>
      </c>
      <c r="AH138" s="16">
        <f t="shared" si="21"/>
        <v>0</v>
      </c>
      <c r="AI138" s="16">
        <f t="shared" si="22"/>
        <v>0</v>
      </c>
      <c r="AJ138" s="16">
        <f t="shared" si="23"/>
        <v>0</v>
      </c>
      <c r="AK138" s="16">
        <f t="shared" si="24"/>
        <v>0</v>
      </c>
      <c r="AL138" s="16">
        <f t="shared" si="27"/>
        <v>0</v>
      </c>
      <c r="AM138" s="16">
        <f t="shared" si="28"/>
        <v>0</v>
      </c>
      <c r="AN138" s="16">
        <f>IF(LCOE!H$14&gt;0,G138,H138)/AG138</f>
        <v>0</v>
      </c>
    </row>
    <row r="139" spans="1:40">
      <c r="A139">
        <v>69</v>
      </c>
      <c r="C139" s="16">
        <f>LCOE!H165+IF(AND(LCOE!H$26&gt;0,A139&gt;=LCOE!H$26,A139&lt;=(LCOE!H$26+LCOE!H$27-1)),LCOE!H$42/LCOE!H$27,0)+IF(AND(D139=0,AE139&gt;=LCOE!H$16,COUNTIF(D114:D139,0)=LCOE!H$36),LCOE!H$35*LCOE!H$38,0)</f>
        <v>0</v>
      </c>
      <c r="D139" s="16">
        <f>IF(AE138&lt;LCOE!H$16,1,0)</f>
        <v>0</v>
      </c>
      <c r="E139" s="12">
        <f>LCOE!G165+IF(AND(A139&gt;=LCOE!H$26,A139&lt;=(LCOE!H$26+LCOE!H$27-1)),0,1)*IF(A139=LCOE!H$34,0,1)*D139</f>
        <v>0</v>
      </c>
      <c r="F139" s="12">
        <f>IF(F138&lt;LCOE!H$18,MIN(F138*(1+LCOE!H$19),LCOE!H$18),LCOE!H$18)+LCOE!J165</f>
        <v>0.9</v>
      </c>
      <c r="G139" s="16">
        <f>LCOE!K165+E139*F139*N139*(LCOE!H$14+LCOE!H165)*24*365*D139</f>
        <v>0</v>
      </c>
      <c r="H139" s="16">
        <f>LCOE!L165+F139*(LCOE!H$15+LCOE!I165)*E139*24*365*D139*N139</f>
        <v>0</v>
      </c>
      <c r="I139" s="16">
        <f>LCOE!M165+LCOE!H$20*IF(LCOE!H$14&gt;0,(LCOE!H$14+LCOE!H165),(LCOE!H$15+LCOE!I165))*K139*D139</f>
        <v>0</v>
      </c>
      <c r="J139" s="16">
        <f>LCOE!N165+LCOE!H$21*IF(LCOE!H$14&gt;0,G139,H139)*K139*D139</f>
        <v>0</v>
      </c>
      <c r="K139" s="15">
        <f>LCOE!O165+K138+K138*LCOE!H$22</f>
        <v>1</v>
      </c>
      <c r="L139" s="16">
        <f>LCOE!P165+LCOE!H$23*IF(LCOE!H$14&gt;0,G139,H139)*M139*D139</f>
        <v>0</v>
      </c>
      <c r="M139" s="15">
        <f>LCOE!Q165+M138+M138*LCOE!H$24</f>
        <v>1</v>
      </c>
      <c r="N139" s="15">
        <f>LCOE!R165+N138-N138*LCOE!H$25</f>
        <v>1</v>
      </c>
      <c r="O139" s="18">
        <f>LCOE!S165+LCOE!H$29</f>
        <v>313.75</v>
      </c>
      <c r="P139" s="12">
        <f>LCOE!T165+IF(A139&gt;=LCOE!H$30,100%,0%)</f>
        <v>1</v>
      </c>
      <c r="Q139" s="16">
        <f>LCOE!U165+O139/1000*IF(LCOE!H$14&gt;0,G139,H139)</f>
        <v>0</v>
      </c>
      <c r="R139" s="16">
        <f>LCOE!B165</f>
        <v>30</v>
      </c>
      <c r="S139" s="16">
        <f>LCOE!V165+Q139*P139*R139</f>
        <v>0</v>
      </c>
      <c r="T139" s="16">
        <f>LCOE!W165+LCOE!H$31</f>
        <v>0</v>
      </c>
      <c r="U139" s="16">
        <f>LCOE!X165+T139*IF(LCOE!H$14&gt;0,G139,H139)</f>
        <v>0</v>
      </c>
      <c r="V139" s="16">
        <f>LCOE!Y165+LCOE!H$32</f>
        <v>0</v>
      </c>
      <c r="W139" s="16">
        <f>LCOE!Z165+V139*IF(LCOE!H$14&gt;0,G139,H139)</f>
        <v>0</v>
      </c>
      <c r="X139" s="16">
        <f>LCOE!AA165+LCOE!H$34</f>
        <v>101</v>
      </c>
      <c r="Y139" s="16">
        <f t="shared" si="29"/>
        <v>0</v>
      </c>
      <c r="Z139" s="50">
        <f t="shared" si="32"/>
        <v>0</v>
      </c>
      <c r="AA139" s="50">
        <f t="shared" si="33"/>
        <v>0</v>
      </c>
      <c r="AB139" s="50">
        <f t="shared" si="34"/>
        <v>0</v>
      </c>
      <c r="AC139" s="50">
        <f t="shared" si="30"/>
        <v>0</v>
      </c>
      <c r="AD139" s="50">
        <f t="shared" si="25"/>
        <v>0</v>
      </c>
      <c r="AE139">
        <f t="shared" si="31"/>
        <v>30</v>
      </c>
      <c r="AF139" s="12">
        <f>LCOE!E165+LCOE!H$40</f>
        <v>0.08</v>
      </c>
      <c r="AG139">
        <f t="shared" si="26"/>
        <v>202.41333879777548</v>
      </c>
      <c r="AH139" s="16">
        <f t="shared" si="21"/>
        <v>0</v>
      </c>
      <c r="AI139" s="16">
        <f t="shared" si="22"/>
        <v>0</v>
      </c>
      <c r="AJ139" s="16">
        <f t="shared" si="23"/>
        <v>0</v>
      </c>
      <c r="AK139" s="16">
        <f t="shared" si="24"/>
        <v>0</v>
      </c>
      <c r="AL139" s="16">
        <f t="shared" si="27"/>
        <v>0</v>
      </c>
      <c r="AM139" s="16">
        <f t="shared" si="28"/>
        <v>0</v>
      </c>
      <c r="AN139" s="16">
        <f>IF(LCOE!H$14&gt;0,G139,H139)/AG139</f>
        <v>0</v>
      </c>
    </row>
    <row r="140" spans="1:40">
      <c r="A140">
        <v>70</v>
      </c>
      <c r="C140" s="16">
        <f>LCOE!H166+IF(AND(LCOE!H$26&gt;0,A140&gt;=LCOE!H$26,A140&lt;=(LCOE!H$26+LCOE!H$27-1)),LCOE!H$42/LCOE!H$27,0)+IF(AND(D140=0,AE140&gt;=LCOE!H$16,COUNTIF(D115:D140,0)=LCOE!H$36),LCOE!H$35*LCOE!H$38,0)</f>
        <v>0</v>
      </c>
      <c r="D140" s="16">
        <f>IF(AE139&lt;LCOE!H$16,1,0)</f>
        <v>0</v>
      </c>
      <c r="E140" s="12">
        <f>LCOE!G166+IF(AND(A140&gt;=LCOE!H$26,A140&lt;=(LCOE!H$26+LCOE!H$27-1)),0,1)*IF(A140=LCOE!H$34,0,1)*D140</f>
        <v>0</v>
      </c>
      <c r="F140" s="12">
        <f>IF(F139&lt;LCOE!H$18,MIN(F139*(1+LCOE!H$19),LCOE!H$18),LCOE!H$18)+LCOE!J166</f>
        <v>0.9</v>
      </c>
      <c r="G140" s="16">
        <f>LCOE!K166+E140*F140*N140*(LCOE!H$14+LCOE!H166)*24*365*D140</f>
        <v>0</v>
      </c>
      <c r="H140" s="16">
        <f>LCOE!L166+F140*(LCOE!H$15+LCOE!I166)*E140*24*365*D140*N140</f>
        <v>0</v>
      </c>
      <c r="I140" s="16">
        <f>LCOE!M166+LCOE!H$20*IF(LCOE!H$14&gt;0,(LCOE!H$14+LCOE!H166),(LCOE!H$15+LCOE!I166))*K140*D140</f>
        <v>0</v>
      </c>
      <c r="J140" s="16">
        <f>LCOE!N166+LCOE!H$21*IF(LCOE!H$14&gt;0,G140,H140)*K140*D140</f>
        <v>0</v>
      </c>
      <c r="K140" s="15">
        <f>LCOE!O166+K139+K139*LCOE!H$22</f>
        <v>1</v>
      </c>
      <c r="L140" s="16">
        <f>LCOE!P166+LCOE!H$23*IF(LCOE!H$14&gt;0,G140,H140)*M140*D140</f>
        <v>0</v>
      </c>
      <c r="M140" s="15">
        <f>LCOE!Q166+M139+M139*LCOE!H$24</f>
        <v>1</v>
      </c>
      <c r="N140" s="15">
        <f>LCOE!R166+N139-N139*LCOE!H$25</f>
        <v>1</v>
      </c>
      <c r="O140" s="18">
        <f>LCOE!S166+LCOE!H$29</f>
        <v>313.75</v>
      </c>
      <c r="P140" s="12">
        <f>LCOE!T166+IF(A140&gt;=LCOE!H$30,100%,0%)</f>
        <v>1</v>
      </c>
      <c r="Q140" s="16">
        <f>LCOE!U166+O140/1000*IF(LCOE!H$14&gt;0,G140,H140)</f>
        <v>0</v>
      </c>
      <c r="R140" s="16">
        <f>LCOE!B166</f>
        <v>30</v>
      </c>
      <c r="S140" s="16">
        <f>LCOE!V166+Q140*P140*R140</f>
        <v>0</v>
      </c>
      <c r="T140" s="16">
        <f>LCOE!W166+LCOE!H$31</f>
        <v>0</v>
      </c>
      <c r="U140" s="16">
        <f>LCOE!X166+T140*IF(LCOE!H$14&gt;0,G140,H140)</f>
        <v>0</v>
      </c>
      <c r="V140" s="16">
        <f>LCOE!Y166+LCOE!H$32</f>
        <v>0</v>
      </c>
      <c r="W140" s="16">
        <f>LCOE!Z166+V140*IF(LCOE!H$14&gt;0,G140,H140)</f>
        <v>0</v>
      </c>
      <c r="X140" s="16">
        <f>LCOE!AA166+LCOE!H$34</f>
        <v>101</v>
      </c>
      <c r="Y140" s="16">
        <f t="shared" si="29"/>
        <v>0</v>
      </c>
      <c r="Z140" s="50">
        <f t="shared" si="32"/>
        <v>0</v>
      </c>
      <c r="AA140" s="50">
        <f t="shared" si="33"/>
        <v>0</v>
      </c>
      <c r="AB140" s="50">
        <f t="shared" si="34"/>
        <v>0</v>
      </c>
      <c r="AC140" s="50">
        <f t="shared" si="30"/>
        <v>0</v>
      </c>
      <c r="AD140" s="50">
        <f t="shared" si="25"/>
        <v>0</v>
      </c>
      <c r="AE140">
        <f t="shared" si="31"/>
        <v>30</v>
      </c>
      <c r="AF140" s="12">
        <f>LCOE!E166+LCOE!H$40</f>
        <v>0.08</v>
      </c>
      <c r="AG140">
        <f t="shared" si="26"/>
        <v>218.60640590159755</v>
      </c>
      <c r="AH140" s="16">
        <f t="shared" si="21"/>
        <v>0</v>
      </c>
      <c r="AI140" s="16">
        <f t="shared" si="22"/>
        <v>0</v>
      </c>
      <c r="AJ140" s="16">
        <f t="shared" si="23"/>
        <v>0</v>
      </c>
      <c r="AK140" s="16">
        <f t="shared" si="24"/>
        <v>0</v>
      </c>
      <c r="AL140" s="16">
        <f t="shared" si="27"/>
        <v>0</v>
      </c>
      <c r="AM140" s="16">
        <f t="shared" si="28"/>
        <v>0</v>
      </c>
      <c r="AN140" s="16">
        <f>IF(LCOE!H$14&gt;0,G140,H140)/AG140</f>
        <v>0</v>
      </c>
    </row>
    <row r="141" spans="1:40">
      <c r="A141">
        <v>71</v>
      </c>
      <c r="C141" s="16">
        <f>LCOE!H167+IF(AND(LCOE!H$26&gt;0,A141&gt;=LCOE!H$26,A141&lt;=(LCOE!H$26+LCOE!H$27-1)),LCOE!H$42/LCOE!H$27,0)+IF(AND(D141=0,AE141&gt;=LCOE!H$16,COUNTIF(D116:D141,0)=LCOE!H$36),LCOE!H$35*LCOE!H$38,0)</f>
        <v>0</v>
      </c>
      <c r="D141" s="16">
        <f>IF(AE140&lt;LCOE!H$16,1,0)</f>
        <v>0</v>
      </c>
      <c r="E141" s="12">
        <f>LCOE!G167+IF(AND(A141&gt;=LCOE!H$26,A141&lt;=(LCOE!H$26+LCOE!H$27-1)),0,1)*IF(A141=LCOE!H$34,0,1)*D141</f>
        <v>0</v>
      </c>
      <c r="F141" s="12">
        <f>IF(F140&lt;LCOE!H$18,MIN(F140*(1+LCOE!H$19),LCOE!H$18),LCOE!H$18)+LCOE!J167</f>
        <v>0.9</v>
      </c>
      <c r="G141" s="16">
        <f>LCOE!K167+E141*F141*N141*(LCOE!H$14+LCOE!H167)*24*365*D141</f>
        <v>0</v>
      </c>
      <c r="H141" s="16">
        <f>LCOE!L167+F141*(LCOE!H$15+LCOE!I167)*E141*24*365*D141*N141</f>
        <v>0</v>
      </c>
      <c r="I141" s="16">
        <f>LCOE!M167+LCOE!H$20*IF(LCOE!H$14&gt;0,(LCOE!H$14+LCOE!H167),(LCOE!H$15+LCOE!I167))*K141*D141</f>
        <v>0</v>
      </c>
      <c r="J141" s="16">
        <f>LCOE!N167+LCOE!H$21*IF(LCOE!H$14&gt;0,G141,H141)*K141*D141</f>
        <v>0</v>
      </c>
      <c r="K141" s="15">
        <f>LCOE!O167+K140+K140*LCOE!H$22</f>
        <v>1</v>
      </c>
      <c r="L141" s="16">
        <f>LCOE!P167+LCOE!H$23*IF(LCOE!H$14&gt;0,G141,H141)*M141*D141</f>
        <v>0</v>
      </c>
      <c r="M141" s="15">
        <f>LCOE!Q167+M140+M140*LCOE!H$24</f>
        <v>1</v>
      </c>
      <c r="N141" s="15">
        <f>LCOE!R167+N140-N140*LCOE!H$25</f>
        <v>1</v>
      </c>
      <c r="O141" s="18">
        <f>LCOE!S167+LCOE!H$29</f>
        <v>313.75</v>
      </c>
      <c r="P141" s="12">
        <f>LCOE!T167+IF(A141&gt;=LCOE!H$30,100%,0%)</f>
        <v>1</v>
      </c>
      <c r="Q141" s="16">
        <f>LCOE!U167+O141/1000*IF(LCOE!H$14&gt;0,G141,H141)</f>
        <v>0</v>
      </c>
      <c r="R141" s="16">
        <f>LCOE!B167</f>
        <v>30</v>
      </c>
      <c r="S141" s="16">
        <f>LCOE!V167+Q141*P141*R141</f>
        <v>0</v>
      </c>
      <c r="T141" s="16">
        <f>LCOE!W167+LCOE!H$31</f>
        <v>0</v>
      </c>
      <c r="U141" s="16">
        <f>LCOE!X167+T141*IF(LCOE!H$14&gt;0,G141,H141)</f>
        <v>0</v>
      </c>
      <c r="V141" s="16">
        <f>LCOE!Y167+LCOE!H$32</f>
        <v>0</v>
      </c>
      <c r="W141" s="16">
        <f>LCOE!Z167+V141*IF(LCOE!H$14&gt;0,G141,H141)</f>
        <v>0</v>
      </c>
      <c r="X141" s="16">
        <f>LCOE!AA167+LCOE!H$34</f>
        <v>101</v>
      </c>
      <c r="Y141" s="16">
        <f t="shared" si="29"/>
        <v>0</v>
      </c>
      <c r="Z141" s="50">
        <f t="shared" si="32"/>
        <v>0</v>
      </c>
      <c r="AA141" s="50">
        <f t="shared" si="33"/>
        <v>0</v>
      </c>
      <c r="AB141" s="50">
        <f t="shared" si="34"/>
        <v>0</v>
      </c>
      <c r="AC141" s="50">
        <f t="shared" si="30"/>
        <v>0</v>
      </c>
      <c r="AD141" s="50">
        <f t="shared" si="25"/>
        <v>0</v>
      </c>
      <c r="AE141">
        <f t="shared" si="31"/>
        <v>30</v>
      </c>
      <c r="AF141" s="12">
        <f>LCOE!E167+LCOE!H$40</f>
        <v>0.08</v>
      </c>
      <c r="AG141">
        <f t="shared" si="26"/>
        <v>236.09491837372536</v>
      </c>
      <c r="AH141" s="16">
        <f t="shared" si="21"/>
        <v>0</v>
      </c>
      <c r="AI141" s="16">
        <f t="shared" si="22"/>
        <v>0</v>
      </c>
      <c r="AJ141" s="16">
        <f t="shared" si="23"/>
        <v>0</v>
      </c>
      <c r="AK141" s="16">
        <f t="shared" si="24"/>
        <v>0</v>
      </c>
      <c r="AL141" s="16">
        <f t="shared" si="27"/>
        <v>0</v>
      </c>
      <c r="AM141" s="16">
        <f t="shared" si="28"/>
        <v>0</v>
      </c>
      <c r="AN141" s="16">
        <f>IF(LCOE!H$14&gt;0,G141,H141)/AG141</f>
        <v>0</v>
      </c>
    </row>
    <row r="142" spans="1:40">
      <c r="A142">
        <v>72</v>
      </c>
      <c r="C142" s="16">
        <f>LCOE!H168+IF(AND(LCOE!H$26&gt;0,A142&gt;=LCOE!H$26,A142&lt;=(LCOE!H$26+LCOE!H$27-1)),LCOE!H$42/LCOE!H$27,0)+IF(AND(D142=0,AE142&gt;=LCOE!H$16,COUNTIF(D117:D142,0)=LCOE!H$36),LCOE!H$35*LCOE!H$38,0)</f>
        <v>0</v>
      </c>
      <c r="D142" s="16">
        <f>IF(AE141&lt;LCOE!H$16,1,0)</f>
        <v>0</v>
      </c>
      <c r="E142" s="12">
        <f>LCOE!G168+IF(AND(A142&gt;=LCOE!H$26,A142&lt;=(LCOE!H$26+LCOE!H$27-1)),0,1)*IF(A142=LCOE!H$34,0,1)*D142</f>
        <v>0</v>
      </c>
      <c r="F142" s="12">
        <f>IF(F141&lt;LCOE!H$18,MIN(F141*(1+LCOE!H$19),LCOE!H$18),LCOE!H$18)+LCOE!J168</f>
        <v>0.9</v>
      </c>
      <c r="G142" s="16">
        <f>LCOE!K168+E142*F142*N142*(LCOE!H$14+LCOE!H168)*24*365*D142</f>
        <v>0</v>
      </c>
      <c r="H142" s="16">
        <f>LCOE!L168+F142*(LCOE!H$15+LCOE!I168)*E142*24*365*D142*N142</f>
        <v>0</v>
      </c>
      <c r="I142" s="16">
        <f>LCOE!M168+LCOE!H$20*IF(LCOE!H$14&gt;0,(LCOE!H$14+LCOE!H168),(LCOE!H$15+LCOE!I168))*K142*D142</f>
        <v>0</v>
      </c>
      <c r="J142" s="16">
        <f>LCOE!N168+LCOE!H$21*IF(LCOE!H$14&gt;0,G142,H142)*K142*D142</f>
        <v>0</v>
      </c>
      <c r="K142" s="15">
        <f>LCOE!O168+K141+K141*LCOE!H$22</f>
        <v>1</v>
      </c>
      <c r="L142" s="16">
        <f>LCOE!P168+LCOE!H$23*IF(LCOE!H$14&gt;0,G142,H142)*M142*D142</f>
        <v>0</v>
      </c>
      <c r="M142" s="15">
        <f>LCOE!Q168+M141+M141*LCOE!H$24</f>
        <v>1</v>
      </c>
      <c r="N142" s="15">
        <f>LCOE!R168+N141-N141*LCOE!H$25</f>
        <v>1</v>
      </c>
      <c r="O142" s="18">
        <f>LCOE!S168+LCOE!H$29</f>
        <v>313.75</v>
      </c>
      <c r="P142" s="12">
        <f>LCOE!T168+IF(A142&gt;=LCOE!H$30,100%,0%)</f>
        <v>1</v>
      </c>
      <c r="Q142" s="16">
        <f>LCOE!U168+O142/1000*IF(LCOE!H$14&gt;0,G142,H142)</f>
        <v>0</v>
      </c>
      <c r="R142" s="16">
        <f>LCOE!B168</f>
        <v>30</v>
      </c>
      <c r="S142" s="16">
        <f>LCOE!V168+Q142*P142*R142</f>
        <v>0</v>
      </c>
      <c r="T142" s="16">
        <f>LCOE!W168+LCOE!H$31</f>
        <v>0</v>
      </c>
      <c r="U142" s="16">
        <f>LCOE!X168+T142*IF(LCOE!H$14&gt;0,G142,H142)</f>
        <v>0</v>
      </c>
      <c r="V142" s="16">
        <f>LCOE!Y168+LCOE!H$32</f>
        <v>0</v>
      </c>
      <c r="W142" s="16">
        <f>LCOE!Z168+V142*IF(LCOE!H$14&gt;0,G142,H142)</f>
        <v>0</v>
      </c>
      <c r="X142" s="16">
        <f>LCOE!AA168+LCOE!H$34</f>
        <v>101</v>
      </c>
      <c r="Y142" s="16">
        <f t="shared" si="29"/>
        <v>0</v>
      </c>
      <c r="Z142" s="50">
        <f t="shared" si="32"/>
        <v>0</v>
      </c>
      <c r="AA142" s="50">
        <f t="shared" si="33"/>
        <v>0</v>
      </c>
      <c r="AB142" s="50">
        <f t="shared" si="34"/>
        <v>0</v>
      </c>
      <c r="AC142" s="50">
        <f t="shared" si="30"/>
        <v>0</v>
      </c>
      <c r="AD142" s="50">
        <f t="shared" si="25"/>
        <v>0</v>
      </c>
      <c r="AE142">
        <f t="shared" si="31"/>
        <v>30</v>
      </c>
      <c r="AF142" s="12">
        <f>LCOE!E168+LCOE!H$40</f>
        <v>0.08</v>
      </c>
      <c r="AG142">
        <f t="shared" si="26"/>
        <v>254.9825118436234</v>
      </c>
      <c r="AH142" s="16">
        <f t="shared" si="21"/>
        <v>0</v>
      </c>
      <c r="AI142" s="16">
        <f t="shared" si="22"/>
        <v>0</v>
      </c>
      <c r="AJ142" s="16">
        <f t="shared" si="23"/>
        <v>0</v>
      </c>
      <c r="AK142" s="16">
        <f t="shared" si="24"/>
        <v>0</v>
      </c>
      <c r="AL142" s="16">
        <f t="shared" si="27"/>
        <v>0</v>
      </c>
      <c r="AM142" s="16">
        <f t="shared" si="28"/>
        <v>0</v>
      </c>
      <c r="AN142" s="16">
        <f>IF(LCOE!H$14&gt;0,G142,H142)/AG142</f>
        <v>0</v>
      </c>
    </row>
    <row r="143" spans="1:40">
      <c r="A143">
        <v>73</v>
      </c>
      <c r="C143" s="16">
        <f>LCOE!H169+IF(AND(LCOE!H$26&gt;0,A143&gt;=LCOE!H$26,A143&lt;=(LCOE!H$26+LCOE!H$27-1)),LCOE!H$42/LCOE!H$27,0)+IF(AND(D143=0,AE143&gt;=LCOE!H$16,COUNTIF(D118:D143,0)=LCOE!H$36),LCOE!H$35*LCOE!H$38,0)</f>
        <v>0</v>
      </c>
      <c r="D143" s="16">
        <f>IF(AE142&lt;LCOE!H$16,1,0)</f>
        <v>0</v>
      </c>
      <c r="E143" s="12">
        <f>LCOE!G169+IF(AND(A143&gt;=LCOE!H$26,A143&lt;=(LCOE!H$26+LCOE!H$27-1)),0,1)*IF(A143=LCOE!H$34,0,1)*D143</f>
        <v>0</v>
      </c>
      <c r="F143" s="12">
        <f>IF(F142&lt;LCOE!H$18,MIN(F142*(1+LCOE!H$19),LCOE!H$18),LCOE!H$18)+LCOE!J169</f>
        <v>0.9</v>
      </c>
      <c r="G143" s="16">
        <f>LCOE!K169+E143*F143*N143*(LCOE!H$14+LCOE!H169)*24*365*D143</f>
        <v>0</v>
      </c>
      <c r="H143" s="16">
        <f>LCOE!L169+F143*(LCOE!H$15+LCOE!I169)*E143*24*365*D143*N143</f>
        <v>0</v>
      </c>
      <c r="I143" s="16">
        <f>LCOE!M169+LCOE!H$20*IF(LCOE!H$14&gt;0,(LCOE!H$14+LCOE!H169),(LCOE!H$15+LCOE!I169))*K143*D143</f>
        <v>0</v>
      </c>
      <c r="J143" s="16">
        <f>LCOE!N169+LCOE!H$21*IF(LCOE!H$14&gt;0,G143,H143)*K143*D143</f>
        <v>0</v>
      </c>
      <c r="K143" s="15">
        <f>LCOE!O169+K142+K142*LCOE!H$22</f>
        <v>1</v>
      </c>
      <c r="L143" s="16">
        <f>LCOE!P169+LCOE!H$23*IF(LCOE!H$14&gt;0,G143,H143)*M143*D143</f>
        <v>0</v>
      </c>
      <c r="M143" s="15">
        <f>LCOE!Q169+M142+M142*LCOE!H$24</f>
        <v>1</v>
      </c>
      <c r="N143" s="15">
        <f>LCOE!R169+N142-N142*LCOE!H$25</f>
        <v>1</v>
      </c>
      <c r="O143" s="18">
        <f>LCOE!S169+LCOE!H$29</f>
        <v>313.75</v>
      </c>
      <c r="P143" s="12">
        <f>LCOE!T169+IF(A143&gt;=LCOE!H$30,100%,0%)</f>
        <v>1</v>
      </c>
      <c r="Q143" s="16">
        <f>LCOE!U169+O143/1000*IF(LCOE!H$14&gt;0,G143,H143)</f>
        <v>0</v>
      </c>
      <c r="R143" s="16">
        <f>LCOE!B169</f>
        <v>30</v>
      </c>
      <c r="S143" s="16">
        <f>LCOE!V169+Q143*P143*R143</f>
        <v>0</v>
      </c>
      <c r="T143" s="16">
        <f>LCOE!W169+LCOE!H$31</f>
        <v>0</v>
      </c>
      <c r="U143" s="16">
        <f>LCOE!X169+T143*IF(LCOE!H$14&gt;0,G143,H143)</f>
        <v>0</v>
      </c>
      <c r="V143" s="16">
        <f>LCOE!Y169+LCOE!H$32</f>
        <v>0</v>
      </c>
      <c r="W143" s="16">
        <f>LCOE!Z169+V143*IF(LCOE!H$14&gt;0,G143,H143)</f>
        <v>0</v>
      </c>
      <c r="X143" s="16">
        <f>LCOE!AA169+LCOE!H$34</f>
        <v>101</v>
      </c>
      <c r="Y143" s="16">
        <f t="shared" si="29"/>
        <v>0</v>
      </c>
      <c r="Z143" s="50">
        <f t="shared" si="32"/>
        <v>0</v>
      </c>
      <c r="AA143" s="50">
        <f t="shared" si="33"/>
        <v>0</v>
      </c>
      <c r="AB143" s="50">
        <f t="shared" si="34"/>
        <v>0</v>
      </c>
      <c r="AC143" s="50">
        <f t="shared" si="30"/>
        <v>0</v>
      </c>
      <c r="AD143" s="50">
        <f t="shared" si="25"/>
        <v>0</v>
      </c>
      <c r="AE143">
        <f t="shared" si="31"/>
        <v>30</v>
      </c>
      <c r="AF143" s="12">
        <f>LCOE!E169+LCOE!H$40</f>
        <v>0.08</v>
      </c>
      <c r="AG143">
        <f t="shared" si="26"/>
        <v>275.38111279111331</v>
      </c>
      <c r="AH143" s="16">
        <f t="shared" si="21"/>
        <v>0</v>
      </c>
      <c r="AI143" s="16">
        <f t="shared" si="22"/>
        <v>0</v>
      </c>
      <c r="AJ143" s="16">
        <f t="shared" si="23"/>
        <v>0</v>
      </c>
      <c r="AK143" s="16">
        <f t="shared" si="24"/>
        <v>0</v>
      </c>
      <c r="AL143" s="16">
        <f t="shared" si="27"/>
        <v>0</v>
      </c>
      <c r="AM143" s="16">
        <f t="shared" si="28"/>
        <v>0</v>
      </c>
      <c r="AN143" s="16">
        <f>IF(LCOE!H$14&gt;0,G143,H143)/AG143</f>
        <v>0</v>
      </c>
    </row>
    <row r="144" spans="1:40">
      <c r="A144">
        <v>74</v>
      </c>
      <c r="C144" s="16">
        <f>LCOE!H170+IF(AND(LCOE!H$26&gt;0,A144&gt;=LCOE!H$26,A144&lt;=(LCOE!H$26+LCOE!H$27-1)),LCOE!H$42/LCOE!H$27,0)+IF(AND(D144=0,AE144&gt;=LCOE!H$16,COUNTIF(D119:D144,0)=LCOE!H$36),LCOE!H$35*LCOE!H$38,0)</f>
        <v>0</v>
      </c>
      <c r="D144" s="16">
        <f>IF(AE143&lt;LCOE!H$16,1,0)</f>
        <v>0</v>
      </c>
      <c r="E144" s="12">
        <f>LCOE!G170+IF(AND(A144&gt;=LCOE!H$26,A144&lt;=(LCOE!H$26+LCOE!H$27-1)),0,1)*IF(A144=LCOE!H$34,0,1)*D144</f>
        <v>0</v>
      </c>
      <c r="F144" s="12">
        <f>IF(F143&lt;LCOE!H$18,MIN(F143*(1+LCOE!H$19),LCOE!H$18),LCOE!H$18)+LCOE!J170</f>
        <v>0.9</v>
      </c>
      <c r="G144" s="16">
        <f>LCOE!K170+E144*F144*N144*(LCOE!H$14+LCOE!H170)*24*365*D144</f>
        <v>0</v>
      </c>
      <c r="H144" s="16">
        <f>LCOE!L170+F144*(LCOE!H$15+LCOE!I170)*E144*24*365*D144*N144</f>
        <v>0</v>
      </c>
      <c r="I144" s="16">
        <f>LCOE!M170+LCOE!H$20*IF(LCOE!H$14&gt;0,(LCOE!H$14+LCOE!H170),(LCOE!H$15+LCOE!I170))*K144*D144</f>
        <v>0</v>
      </c>
      <c r="J144" s="16">
        <f>LCOE!N170+LCOE!H$21*IF(LCOE!H$14&gt;0,G144,H144)*K144*D144</f>
        <v>0</v>
      </c>
      <c r="K144" s="15">
        <f>LCOE!O170+K143+K143*LCOE!H$22</f>
        <v>1</v>
      </c>
      <c r="L144" s="16">
        <f>LCOE!P170+LCOE!H$23*IF(LCOE!H$14&gt;0,G144,H144)*M144*D144</f>
        <v>0</v>
      </c>
      <c r="M144" s="15">
        <f>LCOE!Q170+M143+M143*LCOE!H$24</f>
        <v>1</v>
      </c>
      <c r="N144" s="15">
        <f>LCOE!R170+N143-N143*LCOE!H$25</f>
        <v>1</v>
      </c>
      <c r="O144" s="18">
        <f>LCOE!S170+LCOE!H$29</f>
        <v>313.75</v>
      </c>
      <c r="P144" s="12">
        <f>LCOE!T170+IF(A144&gt;=LCOE!H$30,100%,0%)</f>
        <v>1</v>
      </c>
      <c r="Q144" s="16">
        <f>LCOE!U170+O144/1000*IF(LCOE!H$14&gt;0,G144,H144)</f>
        <v>0</v>
      </c>
      <c r="R144" s="16">
        <f>LCOE!B170</f>
        <v>30</v>
      </c>
      <c r="S144" s="16">
        <f>LCOE!V170+Q144*P144*R144</f>
        <v>0</v>
      </c>
      <c r="T144" s="16">
        <f>LCOE!W170+LCOE!H$31</f>
        <v>0</v>
      </c>
      <c r="U144" s="16">
        <f>LCOE!X170+T144*IF(LCOE!H$14&gt;0,G144,H144)</f>
        <v>0</v>
      </c>
      <c r="V144" s="16">
        <f>LCOE!Y170+LCOE!H$32</f>
        <v>0</v>
      </c>
      <c r="W144" s="16">
        <f>LCOE!Z170+V144*IF(LCOE!H$14&gt;0,G144,H144)</f>
        <v>0</v>
      </c>
      <c r="X144" s="16">
        <f>LCOE!AA170+LCOE!H$34</f>
        <v>101</v>
      </c>
      <c r="Y144" s="16">
        <f t="shared" si="29"/>
        <v>0</v>
      </c>
      <c r="Z144" s="50">
        <f t="shared" si="32"/>
        <v>0</v>
      </c>
      <c r="AA144" s="50">
        <f t="shared" si="33"/>
        <v>0</v>
      </c>
      <c r="AB144" s="50">
        <f t="shared" si="34"/>
        <v>0</v>
      </c>
      <c r="AC144" s="50">
        <f t="shared" si="30"/>
        <v>0</v>
      </c>
      <c r="AD144" s="50">
        <f t="shared" si="25"/>
        <v>0</v>
      </c>
      <c r="AE144">
        <f t="shared" si="31"/>
        <v>30</v>
      </c>
      <c r="AF144" s="12">
        <f>LCOE!E170+LCOE!H$40</f>
        <v>0.08</v>
      </c>
      <c r="AG144">
        <f t="shared" si="26"/>
        <v>297.41160181440239</v>
      </c>
      <c r="AH144" s="16">
        <f t="shared" si="21"/>
        <v>0</v>
      </c>
      <c r="AI144" s="16">
        <f t="shared" si="22"/>
        <v>0</v>
      </c>
      <c r="AJ144" s="16">
        <f t="shared" si="23"/>
        <v>0</v>
      </c>
      <c r="AK144" s="16">
        <f t="shared" si="24"/>
        <v>0</v>
      </c>
      <c r="AL144" s="16">
        <f t="shared" si="27"/>
        <v>0</v>
      </c>
      <c r="AM144" s="16">
        <f t="shared" si="28"/>
        <v>0</v>
      </c>
      <c r="AN144" s="16">
        <f>IF(LCOE!H$14&gt;0,G144,H144)/AG144</f>
        <v>0</v>
      </c>
    </row>
    <row r="145" spans="1:40">
      <c r="A145">
        <v>75</v>
      </c>
      <c r="C145" s="16">
        <f>LCOE!H171+IF(AND(LCOE!H$26&gt;0,A145&gt;=LCOE!H$26,A145&lt;=(LCOE!H$26+LCOE!H$27-1)),LCOE!H$42/LCOE!H$27,0)+IF(AND(D145=0,AE145&gt;=LCOE!H$16,COUNTIF(D120:D145,0)=LCOE!H$36),LCOE!H$35*LCOE!H$38,0)</f>
        <v>0</v>
      </c>
      <c r="D145" s="16">
        <f>IF(AE144&lt;LCOE!H$16,1,0)</f>
        <v>0</v>
      </c>
      <c r="E145" s="12">
        <f>LCOE!G171+IF(AND(A145&gt;=LCOE!H$26,A145&lt;=(LCOE!H$26+LCOE!H$27-1)),0,1)*IF(A145=LCOE!H$34,0,1)*D145</f>
        <v>0</v>
      </c>
      <c r="F145" s="12">
        <f>IF(F144&lt;LCOE!H$18,MIN(F144*(1+LCOE!H$19),LCOE!H$18),LCOE!H$18)+LCOE!J171</f>
        <v>0.9</v>
      </c>
      <c r="G145" s="16">
        <f>LCOE!K171+E145*F145*N145*(LCOE!H$14+LCOE!H171)*24*365*D145</f>
        <v>0</v>
      </c>
      <c r="H145" s="16">
        <f>LCOE!L171+F145*(LCOE!H$15+LCOE!I171)*E145*24*365*D145*N145</f>
        <v>0</v>
      </c>
      <c r="I145" s="16">
        <f>LCOE!M171+LCOE!H$20*IF(LCOE!H$14&gt;0,(LCOE!H$14+LCOE!H171),(LCOE!H$15+LCOE!I171))*K145*D145</f>
        <v>0</v>
      </c>
      <c r="J145" s="16">
        <f>LCOE!N171+LCOE!H$21*IF(LCOE!H$14&gt;0,G145,H145)*K145*D145</f>
        <v>0</v>
      </c>
      <c r="K145" s="15">
        <f>LCOE!O171+K144+K144*LCOE!H$22</f>
        <v>1</v>
      </c>
      <c r="L145" s="16">
        <f>LCOE!P171+LCOE!H$23*IF(LCOE!H$14&gt;0,G145,H145)*M145*D145</f>
        <v>0</v>
      </c>
      <c r="M145" s="15">
        <f>LCOE!Q171+M144+M144*LCOE!H$24</f>
        <v>1</v>
      </c>
      <c r="N145" s="15">
        <f>LCOE!R171+N144-N144*LCOE!H$25</f>
        <v>1</v>
      </c>
      <c r="O145" s="18">
        <f>LCOE!S171+LCOE!H$29</f>
        <v>313.75</v>
      </c>
      <c r="P145" s="12">
        <f>LCOE!T171+IF(A145&gt;=LCOE!H$30,100%,0%)</f>
        <v>1</v>
      </c>
      <c r="Q145" s="16">
        <f>LCOE!U171+O145/1000*IF(LCOE!H$14&gt;0,G145,H145)</f>
        <v>0</v>
      </c>
      <c r="R145" s="16">
        <f>LCOE!B171</f>
        <v>30</v>
      </c>
      <c r="S145" s="16">
        <f>LCOE!V171+Q145*P145*R145</f>
        <v>0</v>
      </c>
      <c r="T145" s="16">
        <f>LCOE!W171+LCOE!H$31</f>
        <v>0</v>
      </c>
      <c r="U145" s="16">
        <f>LCOE!X171+T145*IF(LCOE!H$14&gt;0,G145,H145)</f>
        <v>0</v>
      </c>
      <c r="V145" s="16">
        <f>LCOE!Y171+LCOE!H$32</f>
        <v>0</v>
      </c>
      <c r="W145" s="16">
        <f>LCOE!Z171+V145*IF(LCOE!H$14&gt;0,G145,H145)</f>
        <v>0</v>
      </c>
      <c r="X145" s="16">
        <f>LCOE!AA171+LCOE!H$34</f>
        <v>101</v>
      </c>
      <c r="Y145" s="16">
        <f t="shared" si="29"/>
        <v>0</v>
      </c>
      <c r="Z145" s="50">
        <f t="shared" si="32"/>
        <v>0</v>
      </c>
      <c r="AA145" s="50">
        <f t="shared" si="33"/>
        <v>0</v>
      </c>
      <c r="AB145" s="50">
        <f t="shared" si="34"/>
        <v>0</v>
      </c>
      <c r="AC145" s="50">
        <f t="shared" si="30"/>
        <v>0</v>
      </c>
      <c r="AD145" s="50">
        <f t="shared" si="25"/>
        <v>0</v>
      </c>
      <c r="AE145">
        <f t="shared" si="31"/>
        <v>30</v>
      </c>
      <c r="AF145" s="12">
        <f>LCOE!E171+LCOE!H$40</f>
        <v>0.08</v>
      </c>
      <c r="AG145">
        <f t="shared" si="26"/>
        <v>321.20452995955458</v>
      </c>
      <c r="AH145" s="16">
        <f t="shared" si="21"/>
        <v>0</v>
      </c>
      <c r="AI145" s="16">
        <f t="shared" si="22"/>
        <v>0</v>
      </c>
      <c r="AJ145" s="16">
        <f t="shared" si="23"/>
        <v>0</v>
      </c>
      <c r="AK145" s="16">
        <f t="shared" si="24"/>
        <v>0</v>
      </c>
      <c r="AL145" s="16">
        <f t="shared" si="27"/>
        <v>0</v>
      </c>
      <c r="AM145" s="16">
        <f t="shared" si="28"/>
        <v>0</v>
      </c>
      <c r="AN145" s="16">
        <f>IF(LCOE!H$14&gt;0,G145,H145)/AG145</f>
        <v>0</v>
      </c>
    </row>
    <row r="146" spans="1:40">
      <c r="A146">
        <v>76</v>
      </c>
      <c r="C146" s="16">
        <f>LCOE!H172+IF(AND(LCOE!H$26&gt;0,A146&gt;=LCOE!H$26,A146&lt;=(LCOE!H$26+LCOE!H$27-1)),LCOE!H$42/LCOE!H$27,0)+IF(AND(D146=0,AE146&gt;=LCOE!H$16,COUNTIF(D121:D146,0)=LCOE!H$36),LCOE!H$35*LCOE!H$38,0)</f>
        <v>0</v>
      </c>
      <c r="D146" s="16">
        <f>IF(AE145&lt;LCOE!H$16,1,0)</f>
        <v>0</v>
      </c>
      <c r="E146" s="12">
        <f>LCOE!G172+IF(AND(A146&gt;=LCOE!H$26,A146&lt;=(LCOE!H$26+LCOE!H$27-1)),0,1)*IF(A146=LCOE!H$34,0,1)*D146</f>
        <v>0</v>
      </c>
      <c r="F146" s="12">
        <f>IF(F145&lt;LCOE!H$18,MIN(F145*(1+LCOE!H$19),LCOE!H$18),LCOE!H$18)+LCOE!J172</f>
        <v>0.9</v>
      </c>
      <c r="G146" s="16">
        <f>LCOE!K172+E146*F146*N146*(LCOE!H$14+LCOE!H172)*24*365*D146</f>
        <v>0</v>
      </c>
      <c r="H146" s="16">
        <f>LCOE!L172+F146*(LCOE!H$15+LCOE!I172)*E146*24*365*D146*N146</f>
        <v>0</v>
      </c>
      <c r="I146" s="16">
        <f>LCOE!M172+LCOE!H$20*IF(LCOE!H$14&gt;0,(LCOE!H$14+LCOE!H172),(LCOE!H$15+LCOE!I172))*K146*D146</f>
        <v>0</v>
      </c>
      <c r="J146" s="16">
        <f>LCOE!N172+LCOE!H$21*IF(LCOE!H$14&gt;0,G146,H146)*K146*D146</f>
        <v>0</v>
      </c>
      <c r="K146" s="15">
        <f>LCOE!O172+K145+K145*LCOE!H$22</f>
        <v>1</v>
      </c>
      <c r="L146" s="16">
        <f>LCOE!P172+LCOE!H$23*IF(LCOE!H$14&gt;0,G146,H146)*M146*D146</f>
        <v>0</v>
      </c>
      <c r="M146" s="15">
        <f>LCOE!Q172+M145+M145*LCOE!H$24</f>
        <v>1</v>
      </c>
      <c r="N146" s="15">
        <f>LCOE!R172+N145-N145*LCOE!H$25</f>
        <v>1</v>
      </c>
      <c r="O146" s="18">
        <f>LCOE!S172+LCOE!H$29</f>
        <v>313.75</v>
      </c>
      <c r="P146" s="12">
        <f>LCOE!T172+IF(A146&gt;=LCOE!H$30,100%,0%)</f>
        <v>1</v>
      </c>
      <c r="Q146" s="16">
        <f>LCOE!U172+O146/1000*IF(LCOE!H$14&gt;0,G146,H146)</f>
        <v>0</v>
      </c>
      <c r="R146" s="16">
        <f>LCOE!B172</f>
        <v>30</v>
      </c>
      <c r="S146" s="16">
        <f>LCOE!V172+Q146*P146*R146</f>
        <v>0</v>
      </c>
      <c r="T146" s="16">
        <f>LCOE!W172+LCOE!H$31</f>
        <v>0</v>
      </c>
      <c r="U146" s="16">
        <f>LCOE!X172+T146*IF(LCOE!H$14&gt;0,G146,H146)</f>
        <v>0</v>
      </c>
      <c r="V146" s="16">
        <f>LCOE!Y172+LCOE!H$32</f>
        <v>0</v>
      </c>
      <c r="W146" s="16">
        <f>LCOE!Z172+V146*IF(LCOE!H$14&gt;0,G146,H146)</f>
        <v>0</v>
      </c>
      <c r="X146" s="16">
        <f>LCOE!AA172+LCOE!H$34</f>
        <v>101</v>
      </c>
      <c r="Y146" s="16">
        <f t="shared" si="29"/>
        <v>0</v>
      </c>
      <c r="Z146" s="50">
        <f t="shared" si="32"/>
        <v>0</v>
      </c>
      <c r="AA146" s="50">
        <f t="shared" si="33"/>
        <v>0</v>
      </c>
      <c r="AB146" s="50">
        <f t="shared" si="34"/>
        <v>0</v>
      </c>
      <c r="AC146" s="50">
        <f t="shared" si="30"/>
        <v>0</v>
      </c>
      <c r="AD146" s="50">
        <f t="shared" si="25"/>
        <v>0</v>
      </c>
      <c r="AE146">
        <f t="shared" si="31"/>
        <v>30</v>
      </c>
      <c r="AF146" s="12">
        <f>LCOE!E172+LCOE!H$40</f>
        <v>0.08</v>
      </c>
      <c r="AG146">
        <f t="shared" si="26"/>
        <v>346.90089235631893</v>
      </c>
      <c r="AH146" s="16">
        <f t="shared" si="21"/>
        <v>0</v>
      </c>
      <c r="AI146" s="16">
        <f t="shared" si="22"/>
        <v>0</v>
      </c>
      <c r="AJ146" s="16">
        <f t="shared" si="23"/>
        <v>0</v>
      </c>
      <c r="AK146" s="16">
        <f t="shared" si="24"/>
        <v>0</v>
      </c>
      <c r="AL146" s="16">
        <f t="shared" si="27"/>
        <v>0</v>
      </c>
      <c r="AM146" s="16">
        <f t="shared" si="28"/>
        <v>0</v>
      </c>
      <c r="AN146" s="16">
        <f>IF(LCOE!H$14&gt;0,G146,H146)/AG146</f>
        <v>0</v>
      </c>
    </row>
    <row r="147" spans="1:40">
      <c r="A147">
        <v>77</v>
      </c>
      <c r="C147" s="16">
        <f>LCOE!H173+IF(AND(LCOE!H$26&gt;0,A147&gt;=LCOE!H$26,A147&lt;=(LCOE!H$26+LCOE!H$27-1)),LCOE!H$42/LCOE!H$27,0)+IF(AND(D147=0,AE147&gt;=LCOE!H$16,COUNTIF(D122:D147,0)=LCOE!H$36),LCOE!H$35*LCOE!H$38,0)</f>
        <v>0</v>
      </c>
      <c r="D147" s="16">
        <f>IF(AE146&lt;LCOE!H$16,1,0)</f>
        <v>0</v>
      </c>
      <c r="E147" s="12">
        <f>LCOE!G173+IF(AND(A147&gt;=LCOE!H$26,A147&lt;=(LCOE!H$26+LCOE!H$27-1)),0,1)*IF(A147=LCOE!H$34,0,1)*D147</f>
        <v>0</v>
      </c>
      <c r="F147" s="12">
        <f>IF(F146&lt;LCOE!H$18,MIN(F146*(1+LCOE!H$19),LCOE!H$18),LCOE!H$18)+LCOE!J173</f>
        <v>0.9</v>
      </c>
      <c r="G147" s="16">
        <f>LCOE!K173+E147*F147*N147*(LCOE!H$14+LCOE!H173)*24*365*D147</f>
        <v>0</v>
      </c>
      <c r="H147" s="16">
        <f>LCOE!L173+F147*(LCOE!H$15+LCOE!I173)*E147*24*365*D147*N147</f>
        <v>0</v>
      </c>
      <c r="I147" s="16">
        <f>LCOE!M173+LCOE!H$20*IF(LCOE!H$14&gt;0,(LCOE!H$14+LCOE!H173),(LCOE!H$15+LCOE!I173))*K147*D147</f>
        <v>0</v>
      </c>
      <c r="J147" s="16">
        <f>LCOE!N173+LCOE!H$21*IF(LCOE!H$14&gt;0,G147,H147)*K147*D147</f>
        <v>0</v>
      </c>
      <c r="K147" s="15">
        <f>LCOE!O173+K146+K146*LCOE!H$22</f>
        <v>1</v>
      </c>
      <c r="L147" s="16">
        <f>LCOE!P173+LCOE!H$23*IF(LCOE!H$14&gt;0,G147,H147)*M147*D147</f>
        <v>0</v>
      </c>
      <c r="M147" s="15">
        <f>LCOE!Q173+M146+M146*LCOE!H$24</f>
        <v>1</v>
      </c>
      <c r="N147" s="15">
        <f>LCOE!R173+N146-N146*LCOE!H$25</f>
        <v>1</v>
      </c>
      <c r="O147" s="18">
        <f>LCOE!S173+LCOE!H$29</f>
        <v>313.75</v>
      </c>
      <c r="P147" s="12">
        <f>LCOE!T173+IF(A147&gt;=LCOE!H$30,100%,0%)</f>
        <v>1</v>
      </c>
      <c r="Q147" s="16">
        <f>LCOE!U173+O147/1000*IF(LCOE!H$14&gt;0,G147,H147)</f>
        <v>0</v>
      </c>
      <c r="R147" s="16">
        <f>LCOE!B173</f>
        <v>30</v>
      </c>
      <c r="S147" s="16">
        <f>LCOE!V173+Q147*P147*R147</f>
        <v>0</v>
      </c>
      <c r="T147" s="16">
        <f>LCOE!W173+LCOE!H$31</f>
        <v>0</v>
      </c>
      <c r="U147" s="16">
        <f>LCOE!X173+T147*IF(LCOE!H$14&gt;0,G147,H147)</f>
        <v>0</v>
      </c>
      <c r="V147" s="16">
        <f>LCOE!Y173+LCOE!H$32</f>
        <v>0</v>
      </c>
      <c r="W147" s="16">
        <f>LCOE!Z173+V147*IF(LCOE!H$14&gt;0,G147,H147)</f>
        <v>0</v>
      </c>
      <c r="X147" s="16">
        <f>LCOE!AA173+LCOE!H$34</f>
        <v>101</v>
      </c>
      <c r="Y147" s="16">
        <f t="shared" si="29"/>
        <v>0</v>
      </c>
      <c r="Z147" s="50">
        <f t="shared" si="32"/>
        <v>0</v>
      </c>
      <c r="AA147" s="50">
        <f t="shared" si="33"/>
        <v>0</v>
      </c>
      <c r="AB147" s="50">
        <f t="shared" si="34"/>
        <v>0</v>
      </c>
      <c r="AC147" s="50">
        <f t="shared" si="30"/>
        <v>0</v>
      </c>
      <c r="AD147" s="50">
        <f t="shared" si="25"/>
        <v>0</v>
      </c>
      <c r="AE147">
        <f t="shared" si="31"/>
        <v>30</v>
      </c>
      <c r="AF147" s="12">
        <f>LCOE!E173+LCOE!H$40</f>
        <v>0.08</v>
      </c>
      <c r="AG147">
        <f t="shared" si="26"/>
        <v>374.65296374482443</v>
      </c>
      <c r="AH147" s="16">
        <f t="shared" si="21"/>
        <v>0</v>
      </c>
      <c r="AI147" s="16">
        <f t="shared" si="22"/>
        <v>0</v>
      </c>
      <c r="AJ147" s="16">
        <f t="shared" si="23"/>
        <v>0</v>
      </c>
      <c r="AK147" s="16">
        <f t="shared" si="24"/>
        <v>0</v>
      </c>
      <c r="AL147" s="16">
        <f t="shared" si="27"/>
        <v>0</v>
      </c>
      <c r="AM147" s="16">
        <f t="shared" si="28"/>
        <v>0</v>
      </c>
      <c r="AN147" s="16">
        <f>IF(LCOE!H$14&gt;0,G147,H147)/AG147</f>
        <v>0</v>
      </c>
    </row>
    <row r="148" spans="1:40">
      <c r="A148">
        <v>78</v>
      </c>
      <c r="C148" s="16">
        <f>LCOE!H174+IF(AND(LCOE!H$26&gt;0,A148&gt;=LCOE!H$26,A148&lt;=(LCOE!H$26+LCOE!H$27-1)),LCOE!H$42/LCOE!H$27,0)+IF(AND(D148=0,AE148&gt;=LCOE!H$16,COUNTIF(D123:D148,0)=LCOE!H$36),LCOE!H$35*LCOE!H$38,0)</f>
        <v>0</v>
      </c>
      <c r="D148" s="16">
        <f>IF(AE147&lt;LCOE!H$16,1,0)</f>
        <v>0</v>
      </c>
      <c r="E148" s="12">
        <f>LCOE!G174+IF(AND(A148&gt;=LCOE!H$26,A148&lt;=(LCOE!H$26+LCOE!H$27-1)),0,1)*IF(A148=LCOE!H$34,0,1)*D148</f>
        <v>0</v>
      </c>
      <c r="F148" s="12">
        <f>IF(F147&lt;LCOE!H$18,MIN(F147*(1+LCOE!H$19),LCOE!H$18),LCOE!H$18)+LCOE!J174</f>
        <v>0.9</v>
      </c>
      <c r="G148" s="16">
        <f>LCOE!K174+E148*F148*N148*(LCOE!H$14+LCOE!H174)*24*365*D148</f>
        <v>0</v>
      </c>
      <c r="H148" s="16">
        <f>LCOE!L174+F148*(LCOE!H$15+LCOE!I174)*E148*24*365*D148*N148</f>
        <v>0</v>
      </c>
      <c r="I148" s="16">
        <f>LCOE!M174+LCOE!H$20*IF(LCOE!H$14&gt;0,(LCOE!H$14+LCOE!H174),(LCOE!H$15+LCOE!I174))*K148*D148</f>
        <v>0</v>
      </c>
      <c r="J148" s="16">
        <f>LCOE!N174+LCOE!H$21*IF(LCOE!H$14&gt;0,G148,H148)*K148*D148</f>
        <v>0</v>
      </c>
      <c r="K148" s="15">
        <f>LCOE!O174+K147+K147*LCOE!H$22</f>
        <v>1</v>
      </c>
      <c r="L148" s="16">
        <f>LCOE!P174+LCOE!H$23*IF(LCOE!H$14&gt;0,G148,H148)*M148*D148</f>
        <v>0</v>
      </c>
      <c r="M148" s="15">
        <f>LCOE!Q174+M147+M147*LCOE!H$24</f>
        <v>1</v>
      </c>
      <c r="N148" s="15">
        <f>LCOE!R174+N147-N147*LCOE!H$25</f>
        <v>1</v>
      </c>
      <c r="O148" s="18">
        <f>LCOE!S174+LCOE!H$29</f>
        <v>313.75</v>
      </c>
      <c r="P148" s="12">
        <f>LCOE!T174+IF(A148&gt;=LCOE!H$30,100%,0%)</f>
        <v>1</v>
      </c>
      <c r="Q148" s="16">
        <f>LCOE!U174+O148/1000*IF(LCOE!H$14&gt;0,G148,H148)</f>
        <v>0</v>
      </c>
      <c r="R148" s="16">
        <f>LCOE!B174</f>
        <v>30</v>
      </c>
      <c r="S148" s="16">
        <f>LCOE!V174+Q148*P148*R148</f>
        <v>0</v>
      </c>
      <c r="T148" s="16">
        <f>LCOE!W174+LCOE!H$31</f>
        <v>0</v>
      </c>
      <c r="U148" s="16">
        <f>LCOE!X174+T148*IF(LCOE!H$14&gt;0,G148,H148)</f>
        <v>0</v>
      </c>
      <c r="V148" s="16">
        <f>LCOE!Y174+LCOE!H$32</f>
        <v>0</v>
      </c>
      <c r="W148" s="16">
        <f>LCOE!Z174+V148*IF(LCOE!H$14&gt;0,G148,H148)</f>
        <v>0</v>
      </c>
      <c r="X148" s="16">
        <f>LCOE!AA174+LCOE!H$34</f>
        <v>101</v>
      </c>
      <c r="Y148" s="16">
        <f t="shared" si="29"/>
        <v>0</v>
      </c>
      <c r="Z148" s="50">
        <f t="shared" si="32"/>
        <v>0</v>
      </c>
      <c r="AA148" s="50">
        <f t="shared" si="33"/>
        <v>0</v>
      </c>
      <c r="AB148" s="50">
        <f t="shared" si="34"/>
        <v>0</v>
      </c>
      <c r="AC148" s="50">
        <f t="shared" si="30"/>
        <v>0</v>
      </c>
      <c r="AD148" s="50">
        <f t="shared" si="25"/>
        <v>0</v>
      </c>
      <c r="AE148">
        <f t="shared" si="31"/>
        <v>30</v>
      </c>
      <c r="AF148" s="12">
        <f>LCOE!E174+LCOE!H$40</f>
        <v>0.08</v>
      </c>
      <c r="AG148">
        <f t="shared" si="26"/>
        <v>404.62520084441047</v>
      </c>
      <c r="AH148" s="16">
        <f t="shared" si="21"/>
        <v>0</v>
      </c>
      <c r="AI148" s="16">
        <f t="shared" si="22"/>
        <v>0</v>
      </c>
      <c r="AJ148" s="16">
        <f t="shared" si="23"/>
        <v>0</v>
      </c>
      <c r="AK148" s="16">
        <f t="shared" si="24"/>
        <v>0</v>
      </c>
      <c r="AL148" s="16">
        <f t="shared" si="27"/>
        <v>0</v>
      </c>
      <c r="AM148" s="16">
        <f t="shared" si="28"/>
        <v>0</v>
      </c>
      <c r="AN148" s="16">
        <f>IF(LCOE!H$14&gt;0,G148,H148)/AG148</f>
        <v>0</v>
      </c>
    </row>
    <row r="149" spans="1:40">
      <c r="A149">
        <v>79</v>
      </c>
      <c r="C149" s="16">
        <f>LCOE!H175+IF(AND(LCOE!H$26&gt;0,A149&gt;=LCOE!H$26,A149&lt;=(LCOE!H$26+LCOE!H$27-1)),LCOE!H$42/LCOE!H$27,0)+IF(AND(D149=0,AE149&gt;=LCOE!H$16,COUNTIF(D124:D149,0)=LCOE!H$36),LCOE!H$35*LCOE!H$38,0)</f>
        <v>0</v>
      </c>
      <c r="D149" s="16">
        <f>IF(AE148&lt;LCOE!H$16,1,0)</f>
        <v>0</v>
      </c>
      <c r="E149" s="12">
        <f>LCOE!G175+IF(AND(A149&gt;=LCOE!H$26,A149&lt;=(LCOE!H$26+LCOE!H$27-1)),0,1)*IF(A149=LCOE!H$34,0,1)*D149</f>
        <v>0</v>
      </c>
      <c r="F149" s="12">
        <f>IF(F148&lt;LCOE!H$18,MIN(F148*(1+LCOE!H$19),LCOE!H$18),LCOE!H$18)+LCOE!J175</f>
        <v>0.9</v>
      </c>
      <c r="G149" s="16">
        <f>LCOE!K175+E149*F149*N149*(LCOE!H$14+LCOE!H175)*24*365*D149</f>
        <v>0</v>
      </c>
      <c r="H149" s="16">
        <f>LCOE!L175+F149*(LCOE!H$15+LCOE!I175)*E149*24*365*D149*N149</f>
        <v>0</v>
      </c>
      <c r="I149" s="16">
        <f>LCOE!M175+LCOE!H$20*IF(LCOE!H$14&gt;0,(LCOE!H$14+LCOE!H175),(LCOE!H$15+LCOE!I175))*K149*D149</f>
        <v>0</v>
      </c>
      <c r="J149" s="16">
        <f>LCOE!N175+LCOE!H$21*IF(LCOE!H$14&gt;0,G149,H149)*K149*D149</f>
        <v>0</v>
      </c>
      <c r="K149" s="15">
        <f>LCOE!O175+K148+K148*LCOE!H$22</f>
        <v>1</v>
      </c>
      <c r="L149" s="16">
        <f>LCOE!P175+LCOE!H$23*IF(LCOE!H$14&gt;0,G149,H149)*M149*D149</f>
        <v>0</v>
      </c>
      <c r="M149" s="15">
        <f>LCOE!Q175+M148+M148*LCOE!H$24</f>
        <v>1</v>
      </c>
      <c r="N149" s="15">
        <f>LCOE!R175+N148-N148*LCOE!H$25</f>
        <v>1</v>
      </c>
      <c r="O149" s="18">
        <f>LCOE!S175+LCOE!H$29</f>
        <v>313.75</v>
      </c>
      <c r="P149" s="12">
        <f>LCOE!T175+IF(A149&gt;=LCOE!H$30,100%,0%)</f>
        <v>1</v>
      </c>
      <c r="Q149" s="16">
        <f>LCOE!U175+O149/1000*IF(LCOE!H$14&gt;0,G149,H149)</f>
        <v>0</v>
      </c>
      <c r="R149" s="16">
        <f>LCOE!B175</f>
        <v>30</v>
      </c>
      <c r="S149" s="16">
        <f>LCOE!V175+Q149*P149*R149</f>
        <v>0</v>
      </c>
      <c r="T149" s="16">
        <f>LCOE!W175+LCOE!H$31</f>
        <v>0</v>
      </c>
      <c r="U149" s="16">
        <f>LCOE!X175+T149*IF(LCOE!H$14&gt;0,G149,H149)</f>
        <v>0</v>
      </c>
      <c r="V149" s="16">
        <f>LCOE!Y175+LCOE!H$32</f>
        <v>0</v>
      </c>
      <c r="W149" s="16">
        <f>LCOE!Z175+V149*IF(LCOE!H$14&gt;0,G149,H149)</f>
        <v>0</v>
      </c>
      <c r="X149" s="16">
        <f>LCOE!AA175+LCOE!H$34</f>
        <v>101</v>
      </c>
      <c r="Y149" s="16">
        <f t="shared" si="29"/>
        <v>0</v>
      </c>
      <c r="Z149" s="50">
        <f t="shared" si="32"/>
        <v>0</v>
      </c>
      <c r="AA149" s="50">
        <f t="shared" si="33"/>
        <v>0</v>
      </c>
      <c r="AB149" s="50">
        <f t="shared" si="34"/>
        <v>0</v>
      </c>
      <c r="AC149" s="50">
        <f t="shared" si="30"/>
        <v>0</v>
      </c>
      <c r="AD149" s="50">
        <f t="shared" si="25"/>
        <v>0</v>
      </c>
      <c r="AE149">
        <f t="shared" si="31"/>
        <v>30</v>
      </c>
      <c r="AF149" s="12">
        <f>LCOE!E175+LCOE!H$40</f>
        <v>0.08</v>
      </c>
      <c r="AG149">
        <f t="shared" si="26"/>
        <v>436.99521691196338</v>
      </c>
      <c r="AH149" s="16">
        <f t="shared" si="21"/>
        <v>0</v>
      </c>
      <c r="AI149" s="16">
        <f t="shared" si="22"/>
        <v>0</v>
      </c>
      <c r="AJ149" s="16">
        <f t="shared" si="23"/>
        <v>0</v>
      </c>
      <c r="AK149" s="16">
        <f t="shared" si="24"/>
        <v>0</v>
      </c>
      <c r="AL149" s="16">
        <f t="shared" si="27"/>
        <v>0</v>
      </c>
      <c r="AM149" s="16">
        <f t="shared" si="28"/>
        <v>0</v>
      </c>
      <c r="AN149" s="16">
        <f>IF(LCOE!H$14&gt;0,G149,H149)/AG149</f>
        <v>0</v>
      </c>
    </row>
    <row r="150" spans="1:40">
      <c r="A150">
        <v>80</v>
      </c>
      <c r="C150" s="16">
        <f>LCOE!H176+IF(AND(LCOE!H$26&gt;0,A150&gt;=LCOE!H$26,A150&lt;=(LCOE!H$26+LCOE!H$27-1)),LCOE!H$42/LCOE!H$27,0)+IF(AND(D150=0,AE150&gt;=LCOE!H$16,COUNTIF(D125:D150,0)=LCOE!H$36),LCOE!H$35*LCOE!H$38,0)</f>
        <v>0</v>
      </c>
      <c r="D150" s="16">
        <f>IF(AE149&lt;LCOE!H$16,1,0)</f>
        <v>0</v>
      </c>
      <c r="E150" s="12">
        <f>LCOE!G176+IF(AND(A150&gt;=LCOE!H$26,A150&lt;=(LCOE!H$26+LCOE!H$27-1)),0,1)*IF(A150=LCOE!H$34,0,1)*D150</f>
        <v>0</v>
      </c>
      <c r="F150" s="12">
        <f>IF(F149&lt;LCOE!H$18,MIN(F149*(1+LCOE!H$19),LCOE!H$18),LCOE!H$18)+LCOE!J176</f>
        <v>0.9</v>
      </c>
      <c r="G150" s="16">
        <f>LCOE!K176+E150*F150*N150*(LCOE!H$14+LCOE!H176)*24*365*D150</f>
        <v>0</v>
      </c>
      <c r="H150" s="16">
        <f>LCOE!L176+F150*(LCOE!H$15+LCOE!I176)*E150*24*365*D150*N150</f>
        <v>0</v>
      </c>
      <c r="I150" s="16">
        <f>LCOE!M176+LCOE!H$20*IF(LCOE!H$14&gt;0,(LCOE!H$14+LCOE!H176),(LCOE!H$15+LCOE!I176))*K150*D150</f>
        <v>0</v>
      </c>
      <c r="J150" s="16">
        <f>LCOE!N176+LCOE!H$21*IF(LCOE!H$14&gt;0,G150,H150)*K150*D150</f>
        <v>0</v>
      </c>
      <c r="K150" s="15">
        <f>LCOE!O176+K149+K149*LCOE!H$22</f>
        <v>1</v>
      </c>
      <c r="L150" s="16">
        <f>LCOE!P176+LCOE!H$23*IF(LCOE!H$14&gt;0,G150,H150)*M150*D150</f>
        <v>0</v>
      </c>
      <c r="M150" s="15">
        <f>LCOE!Q176+M149+M149*LCOE!H$24</f>
        <v>1</v>
      </c>
      <c r="N150" s="15">
        <f>LCOE!R176+N149-N149*LCOE!H$25</f>
        <v>1</v>
      </c>
      <c r="O150" s="18">
        <f>LCOE!S176+LCOE!H$29</f>
        <v>313.75</v>
      </c>
      <c r="P150" s="12">
        <f>LCOE!T176+IF(A150&gt;=LCOE!H$30,100%,0%)</f>
        <v>1</v>
      </c>
      <c r="Q150" s="16">
        <f>LCOE!U176+O150/1000*IF(LCOE!H$14&gt;0,G150,H150)</f>
        <v>0</v>
      </c>
      <c r="R150" s="16">
        <f>LCOE!B176</f>
        <v>30</v>
      </c>
      <c r="S150" s="16">
        <f>LCOE!V176+Q150*P150*R150</f>
        <v>0</v>
      </c>
      <c r="T150" s="16">
        <f>LCOE!W176+LCOE!H$31</f>
        <v>0</v>
      </c>
      <c r="U150" s="16">
        <f>LCOE!X176+T150*IF(LCOE!H$14&gt;0,G150,H150)</f>
        <v>0</v>
      </c>
      <c r="V150" s="16">
        <f>LCOE!Y176+LCOE!H$32</f>
        <v>0</v>
      </c>
      <c r="W150" s="16">
        <f>LCOE!Z176+V150*IF(LCOE!H$14&gt;0,G150,H150)</f>
        <v>0</v>
      </c>
      <c r="X150" s="16">
        <f>LCOE!AA176+LCOE!H$34</f>
        <v>101</v>
      </c>
      <c r="Y150" s="16">
        <f t="shared" si="29"/>
        <v>0</v>
      </c>
      <c r="Z150" s="50">
        <f t="shared" si="32"/>
        <v>0</v>
      </c>
      <c r="AA150" s="50">
        <f t="shared" si="33"/>
        <v>0</v>
      </c>
      <c r="AB150" s="50">
        <f t="shared" si="34"/>
        <v>0</v>
      </c>
      <c r="AC150" s="50">
        <f t="shared" si="30"/>
        <v>0</v>
      </c>
      <c r="AD150" s="50">
        <f t="shared" si="25"/>
        <v>0</v>
      </c>
      <c r="AE150">
        <f t="shared" si="31"/>
        <v>30</v>
      </c>
      <c r="AF150" s="12">
        <f>LCOE!E176+LCOE!H$40</f>
        <v>0.08</v>
      </c>
      <c r="AG150">
        <f t="shared" si="26"/>
        <v>471.95483426492041</v>
      </c>
      <c r="AH150" s="16">
        <f t="shared" si="21"/>
        <v>0</v>
      </c>
      <c r="AI150" s="16">
        <f t="shared" si="22"/>
        <v>0</v>
      </c>
      <c r="AJ150" s="16">
        <f t="shared" si="23"/>
        <v>0</v>
      </c>
      <c r="AK150" s="16">
        <f t="shared" si="24"/>
        <v>0</v>
      </c>
      <c r="AL150" s="16">
        <f t="shared" si="27"/>
        <v>0</v>
      </c>
      <c r="AM150" s="16">
        <f t="shared" si="28"/>
        <v>0</v>
      </c>
      <c r="AN150" s="16">
        <f>IF(LCOE!H$14&gt;0,G150,H150)/AG150</f>
        <v>0</v>
      </c>
    </row>
    <row r="151" spans="1:40">
      <c r="A151">
        <v>81</v>
      </c>
      <c r="C151" s="16">
        <f>LCOE!H177+IF(AND(LCOE!H$26&gt;0,A151&gt;=LCOE!H$26,A151&lt;=(LCOE!H$26+LCOE!H$27-1)),LCOE!H$42/LCOE!H$27,0)+IF(AND(D151=0,AE151&gt;=LCOE!H$16,COUNTIF(D126:D151,0)=LCOE!H$36),LCOE!H$35*LCOE!H$38,0)</f>
        <v>0</v>
      </c>
      <c r="D151" s="16">
        <f>IF(AE150&lt;LCOE!H$16,1,0)</f>
        <v>0</v>
      </c>
      <c r="E151" s="12">
        <f>LCOE!G177+IF(AND(A151&gt;=LCOE!H$26,A151&lt;=(LCOE!H$26+LCOE!H$27-1)),0,1)*IF(A151=LCOE!H$34,0,1)*D151</f>
        <v>0</v>
      </c>
      <c r="F151" s="12">
        <f>IF(F150&lt;LCOE!H$18,MIN(F150*(1+LCOE!H$19),LCOE!H$18),LCOE!H$18)+LCOE!J177</f>
        <v>0.9</v>
      </c>
      <c r="G151" s="16">
        <f>LCOE!K177+E151*F151*N151*(LCOE!H$14+LCOE!H177)*24*365*D151</f>
        <v>0</v>
      </c>
      <c r="H151" s="16">
        <f>LCOE!L177+F151*(LCOE!H$15+LCOE!I177)*E151*24*365*D151*N151</f>
        <v>0</v>
      </c>
      <c r="I151" s="16">
        <f>LCOE!M177+LCOE!H$20*IF(LCOE!H$14&gt;0,(LCOE!H$14+LCOE!H177),(LCOE!H$15+LCOE!I177))*K151*D151</f>
        <v>0</v>
      </c>
      <c r="J151" s="16">
        <f>LCOE!N177+LCOE!H$21*IF(LCOE!H$14&gt;0,G151,H151)*K151*D151</f>
        <v>0</v>
      </c>
      <c r="K151" s="15">
        <f>LCOE!O177+K150+K150*LCOE!H$22</f>
        <v>1</v>
      </c>
      <c r="L151" s="16">
        <f>LCOE!P177+LCOE!H$23*IF(LCOE!H$14&gt;0,G151,H151)*M151*D151</f>
        <v>0</v>
      </c>
      <c r="M151" s="15">
        <f>LCOE!Q177+M150+M150*LCOE!H$24</f>
        <v>1</v>
      </c>
      <c r="N151" s="15">
        <f>LCOE!R177+N150-N150*LCOE!H$25</f>
        <v>1</v>
      </c>
      <c r="O151" s="18">
        <f>LCOE!S177+LCOE!H$29</f>
        <v>313.75</v>
      </c>
      <c r="P151" s="12">
        <f>LCOE!T177+IF(A151&gt;=LCOE!H$30,100%,0%)</f>
        <v>1</v>
      </c>
      <c r="Q151" s="16">
        <f>LCOE!U177+O151/1000*IF(LCOE!H$14&gt;0,G151,H151)</f>
        <v>0</v>
      </c>
      <c r="R151" s="16">
        <f>LCOE!B177</f>
        <v>30</v>
      </c>
      <c r="S151" s="16">
        <f>LCOE!V177+Q151*P151*R151</f>
        <v>0</v>
      </c>
      <c r="T151" s="16">
        <f>LCOE!W177+LCOE!H$31</f>
        <v>0</v>
      </c>
      <c r="U151" s="16">
        <f>LCOE!X177+T151*IF(LCOE!H$14&gt;0,G151,H151)</f>
        <v>0</v>
      </c>
      <c r="V151" s="16">
        <f>LCOE!Y177+LCOE!H$32</f>
        <v>0</v>
      </c>
      <c r="W151" s="16">
        <f>LCOE!Z177+V151*IF(LCOE!H$14&gt;0,G151,H151)</f>
        <v>0</v>
      </c>
      <c r="X151" s="16">
        <f>LCOE!AA177+LCOE!H$34</f>
        <v>101</v>
      </c>
      <c r="Y151" s="16">
        <f t="shared" si="29"/>
        <v>0</v>
      </c>
      <c r="Z151" s="50">
        <f t="shared" si="32"/>
        <v>0</v>
      </c>
      <c r="AA151" s="50">
        <f t="shared" si="33"/>
        <v>0</v>
      </c>
      <c r="AB151" s="50">
        <f t="shared" si="34"/>
        <v>0</v>
      </c>
      <c r="AC151" s="50">
        <f t="shared" si="30"/>
        <v>0</v>
      </c>
      <c r="AD151" s="50">
        <f t="shared" si="25"/>
        <v>0</v>
      </c>
      <c r="AE151">
        <f t="shared" si="31"/>
        <v>30</v>
      </c>
      <c r="AF151" s="12">
        <f>LCOE!E177+LCOE!H$40</f>
        <v>0.08</v>
      </c>
      <c r="AG151">
        <f t="shared" si="26"/>
        <v>509.71122100611404</v>
      </c>
      <c r="AH151" s="16">
        <f t="shared" si="21"/>
        <v>0</v>
      </c>
      <c r="AI151" s="16">
        <f t="shared" si="22"/>
        <v>0</v>
      </c>
      <c r="AJ151" s="16">
        <f t="shared" si="23"/>
        <v>0</v>
      </c>
      <c r="AK151" s="16">
        <f t="shared" si="24"/>
        <v>0</v>
      </c>
      <c r="AL151" s="16">
        <f t="shared" si="27"/>
        <v>0</v>
      </c>
      <c r="AM151" s="16">
        <f t="shared" si="28"/>
        <v>0</v>
      </c>
      <c r="AN151" s="16">
        <f>IF(LCOE!H$14&gt;0,G151,H151)/AG151</f>
        <v>0</v>
      </c>
    </row>
    <row r="152" spans="1:40">
      <c r="A152">
        <v>82</v>
      </c>
      <c r="C152" s="16">
        <f>LCOE!H178+IF(AND(LCOE!H$26&gt;0,A152&gt;=LCOE!H$26,A152&lt;=(LCOE!H$26+LCOE!H$27-1)),LCOE!H$42/LCOE!H$27,0)+IF(AND(D152=0,AE152&gt;=LCOE!H$16,COUNTIF(D127:D152,0)=LCOE!H$36),LCOE!H$35*LCOE!H$38,0)</f>
        <v>0</v>
      </c>
      <c r="D152" s="16">
        <f>IF(AE151&lt;LCOE!H$16,1,0)</f>
        <v>0</v>
      </c>
      <c r="E152" s="12">
        <f>LCOE!G178+IF(AND(A152&gt;=LCOE!H$26,A152&lt;=(LCOE!H$26+LCOE!H$27-1)),0,1)*IF(A152=LCOE!H$34,0,1)*D152</f>
        <v>0</v>
      </c>
      <c r="F152" s="12">
        <f>IF(F151&lt;LCOE!H$18,MIN(F151*(1+LCOE!H$19),LCOE!H$18),LCOE!H$18)+LCOE!J178</f>
        <v>0.9</v>
      </c>
      <c r="G152" s="16">
        <f>LCOE!K178+E152*F152*N152*(LCOE!H$14+LCOE!H178)*24*365*D152</f>
        <v>0</v>
      </c>
      <c r="H152" s="16">
        <f>LCOE!L178+F152*(LCOE!H$15+LCOE!I178)*E152*24*365*D152*N152</f>
        <v>0</v>
      </c>
      <c r="I152" s="16">
        <f>LCOE!M178+LCOE!H$20*IF(LCOE!H$14&gt;0,(LCOE!H$14+LCOE!H178),(LCOE!H$15+LCOE!I178))*K152*D152</f>
        <v>0</v>
      </c>
      <c r="J152" s="16">
        <f>LCOE!N178+LCOE!H$21*IF(LCOE!H$14&gt;0,G152,H152)*K152*D152</f>
        <v>0</v>
      </c>
      <c r="K152" s="15">
        <f>LCOE!O178+K151+K151*LCOE!H$22</f>
        <v>1</v>
      </c>
      <c r="L152" s="16">
        <f>LCOE!P178+LCOE!H$23*IF(LCOE!H$14&gt;0,G152,H152)*M152*D152</f>
        <v>0</v>
      </c>
      <c r="M152" s="15">
        <f>LCOE!Q178+M151+M151*LCOE!H$24</f>
        <v>1</v>
      </c>
      <c r="N152" s="15">
        <f>LCOE!R178+N151-N151*LCOE!H$25</f>
        <v>1</v>
      </c>
      <c r="O152" s="18">
        <f>LCOE!S178+LCOE!H$29</f>
        <v>313.75</v>
      </c>
      <c r="P152" s="12">
        <f>LCOE!T178+IF(A152&gt;=LCOE!H$30,100%,0%)</f>
        <v>1</v>
      </c>
      <c r="Q152" s="16">
        <f>LCOE!U178+O152/1000*IF(LCOE!H$14&gt;0,G152,H152)</f>
        <v>0</v>
      </c>
      <c r="R152" s="16">
        <f>LCOE!B178</f>
        <v>30</v>
      </c>
      <c r="S152" s="16">
        <f>LCOE!V178+Q152*P152*R152</f>
        <v>0</v>
      </c>
      <c r="T152" s="16">
        <f>LCOE!W178+LCOE!H$31</f>
        <v>0</v>
      </c>
      <c r="U152" s="16">
        <f>LCOE!X178+T152*IF(LCOE!H$14&gt;0,G152,H152)</f>
        <v>0</v>
      </c>
      <c r="V152" s="16">
        <f>LCOE!Y178+LCOE!H$32</f>
        <v>0</v>
      </c>
      <c r="W152" s="16">
        <f>LCOE!Z178+V152*IF(LCOE!H$14&gt;0,G152,H152)</f>
        <v>0</v>
      </c>
      <c r="X152" s="16">
        <f>LCOE!AA178+LCOE!H$34</f>
        <v>101</v>
      </c>
      <c r="Y152" s="16">
        <f t="shared" si="29"/>
        <v>0</v>
      </c>
      <c r="Z152" s="50">
        <f t="shared" si="32"/>
        <v>0</v>
      </c>
      <c r="AA152" s="50">
        <f t="shared" si="33"/>
        <v>0</v>
      </c>
      <c r="AB152" s="50">
        <f t="shared" si="34"/>
        <v>0</v>
      </c>
      <c r="AC152" s="50">
        <f t="shared" si="30"/>
        <v>0</v>
      </c>
      <c r="AD152" s="50">
        <f t="shared" si="25"/>
        <v>0</v>
      </c>
      <c r="AE152">
        <f t="shared" si="31"/>
        <v>30</v>
      </c>
      <c r="AF152" s="12">
        <f>LCOE!E178+LCOE!H$40</f>
        <v>0.08</v>
      </c>
      <c r="AG152">
        <f t="shared" si="26"/>
        <v>550.48811868660323</v>
      </c>
      <c r="AH152" s="16">
        <f t="shared" si="21"/>
        <v>0</v>
      </c>
      <c r="AI152" s="16">
        <f t="shared" si="22"/>
        <v>0</v>
      </c>
      <c r="AJ152" s="16">
        <f t="shared" si="23"/>
        <v>0</v>
      </c>
      <c r="AK152" s="16">
        <f t="shared" si="24"/>
        <v>0</v>
      </c>
      <c r="AL152" s="16">
        <f t="shared" si="27"/>
        <v>0</v>
      </c>
      <c r="AM152" s="16">
        <f t="shared" si="28"/>
        <v>0</v>
      </c>
      <c r="AN152" s="16">
        <f>IF(LCOE!H$14&gt;0,G152,H152)/AG152</f>
        <v>0</v>
      </c>
    </row>
    <row r="153" spans="1:40">
      <c r="A153">
        <v>83</v>
      </c>
      <c r="C153" s="16">
        <f>LCOE!H179+IF(AND(LCOE!H$26&gt;0,A153&gt;=LCOE!H$26,A153&lt;=(LCOE!H$26+LCOE!H$27-1)),LCOE!H$42/LCOE!H$27,0)+IF(AND(D153=0,AE153&gt;=LCOE!H$16,COUNTIF(D128:D153,0)=LCOE!H$36),LCOE!H$35*LCOE!H$38,0)</f>
        <v>0</v>
      </c>
      <c r="D153" s="16">
        <f>IF(AE152&lt;LCOE!H$16,1,0)</f>
        <v>0</v>
      </c>
      <c r="E153" s="12">
        <f>LCOE!G179+IF(AND(A153&gt;=LCOE!H$26,A153&lt;=(LCOE!H$26+LCOE!H$27-1)),0,1)*IF(A153=LCOE!H$34,0,1)*D153</f>
        <v>0</v>
      </c>
      <c r="F153" s="12">
        <f>IF(F152&lt;LCOE!H$18,MIN(F152*(1+LCOE!H$19),LCOE!H$18),LCOE!H$18)+LCOE!J179</f>
        <v>0.9</v>
      </c>
      <c r="G153" s="16">
        <f>LCOE!K179+E153*F153*N153*(LCOE!H$14+LCOE!H179)*24*365*D153</f>
        <v>0</v>
      </c>
      <c r="H153" s="16">
        <f>LCOE!L179+F153*(LCOE!H$15+LCOE!I179)*E153*24*365*D153*N153</f>
        <v>0</v>
      </c>
      <c r="I153" s="16">
        <f>LCOE!M179+LCOE!H$20*IF(LCOE!H$14&gt;0,(LCOE!H$14+LCOE!H179),(LCOE!H$15+LCOE!I179))*K153*D153</f>
        <v>0</v>
      </c>
      <c r="J153" s="16">
        <f>LCOE!N179+LCOE!H$21*IF(LCOE!H$14&gt;0,G153,H153)*K153*D153</f>
        <v>0</v>
      </c>
      <c r="K153" s="15">
        <f>LCOE!O179+K152+K152*LCOE!H$22</f>
        <v>1</v>
      </c>
      <c r="L153" s="16">
        <f>LCOE!P179+LCOE!H$23*IF(LCOE!H$14&gt;0,G153,H153)*M153*D153</f>
        <v>0</v>
      </c>
      <c r="M153" s="15">
        <f>LCOE!Q179+M152+M152*LCOE!H$24</f>
        <v>1</v>
      </c>
      <c r="N153" s="15">
        <f>LCOE!R179+N152-N152*LCOE!H$25</f>
        <v>1</v>
      </c>
      <c r="O153" s="18">
        <f>LCOE!S179+LCOE!H$29</f>
        <v>313.75</v>
      </c>
      <c r="P153" s="12">
        <f>LCOE!T179+IF(A153&gt;=LCOE!H$30,100%,0%)</f>
        <v>1</v>
      </c>
      <c r="Q153" s="16">
        <f>LCOE!U179+O153/1000*IF(LCOE!H$14&gt;0,G153,H153)</f>
        <v>0</v>
      </c>
      <c r="R153" s="16">
        <f>LCOE!B179</f>
        <v>30</v>
      </c>
      <c r="S153" s="16">
        <f>LCOE!V179+Q153*P153*R153</f>
        <v>0</v>
      </c>
      <c r="T153" s="16">
        <f>LCOE!W179+LCOE!H$31</f>
        <v>0</v>
      </c>
      <c r="U153" s="16">
        <f>LCOE!X179+T153*IF(LCOE!H$14&gt;0,G153,H153)</f>
        <v>0</v>
      </c>
      <c r="V153" s="16">
        <f>LCOE!Y179+LCOE!H$32</f>
        <v>0</v>
      </c>
      <c r="W153" s="16">
        <f>LCOE!Z179+V153*IF(LCOE!H$14&gt;0,G153,H153)</f>
        <v>0</v>
      </c>
      <c r="X153" s="16">
        <f>LCOE!AA179+LCOE!H$34</f>
        <v>101</v>
      </c>
      <c r="Y153" s="16">
        <f t="shared" si="29"/>
        <v>0</v>
      </c>
      <c r="Z153" s="50">
        <f t="shared" si="32"/>
        <v>0</v>
      </c>
      <c r="AA153" s="50">
        <f t="shared" si="33"/>
        <v>0</v>
      </c>
      <c r="AB153" s="50">
        <f t="shared" si="34"/>
        <v>0</v>
      </c>
      <c r="AC153" s="50">
        <f t="shared" si="30"/>
        <v>0</v>
      </c>
      <c r="AD153" s="50">
        <f t="shared" si="25"/>
        <v>0</v>
      </c>
      <c r="AE153">
        <f t="shared" si="31"/>
        <v>30</v>
      </c>
      <c r="AF153" s="12">
        <f>LCOE!E179+LCOE!H$40</f>
        <v>0.08</v>
      </c>
      <c r="AG153">
        <f t="shared" si="26"/>
        <v>594.52716818153158</v>
      </c>
      <c r="AH153" s="16">
        <f t="shared" si="21"/>
        <v>0</v>
      </c>
      <c r="AI153" s="16">
        <f t="shared" si="22"/>
        <v>0</v>
      </c>
      <c r="AJ153" s="16">
        <f t="shared" si="23"/>
        <v>0</v>
      </c>
      <c r="AK153" s="16">
        <f t="shared" si="24"/>
        <v>0</v>
      </c>
      <c r="AL153" s="16">
        <f t="shared" si="27"/>
        <v>0</v>
      </c>
      <c r="AM153" s="16">
        <f t="shared" si="28"/>
        <v>0</v>
      </c>
      <c r="AN153" s="16">
        <f>IF(LCOE!H$14&gt;0,G153,H153)/AG153</f>
        <v>0</v>
      </c>
    </row>
    <row r="154" spans="1:40">
      <c r="A154">
        <v>84</v>
      </c>
      <c r="C154" s="16">
        <f>LCOE!H180+IF(AND(LCOE!H$26&gt;0,A154&gt;=LCOE!H$26,A154&lt;=(LCOE!H$26+LCOE!H$27-1)),LCOE!H$42/LCOE!H$27,0)+IF(AND(D154=0,AE154&gt;=LCOE!H$16,COUNTIF(D129:D154,0)=LCOE!H$36),LCOE!H$35*LCOE!H$38,0)</f>
        <v>0</v>
      </c>
      <c r="D154" s="16">
        <f>IF(AE153&lt;LCOE!H$16,1,0)</f>
        <v>0</v>
      </c>
      <c r="E154" s="12">
        <f>LCOE!G180+IF(AND(A154&gt;=LCOE!H$26,A154&lt;=(LCOE!H$26+LCOE!H$27-1)),0,1)*IF(A154=LCOE!H$34,0,1)*D154</f>
        <v>0</v>
      </c>
      <c r="F154" s="12">
        <f>IF(F153&lt;LCOE!H$18,MIN(F153*(1+LCOE!H$19),LCOE!H$18),LCOE!H$18)+LCOE!J180</f>
        <v>0.9</v>
      </c>
      <c r="G154" s="16">
        <f>LCOE!K180+E154*F154*N154*(LCOE!H$14+LCOE!H180)*24*365*D154</f>
        <v>0</v>
      </c>
      <c r="H154" s="16">
        <f>LCOE!L180+F154*(LCOE!H$15+LCOE!I180)*E154*24*365*D154*N154</f>
        <v>0</v>
      </c>
      <c r="I154" s="16">
        <f>LCOE!M180+LCOE!H$20*IF(LCOE!H$14&gt;0,(LCOE!H$14+LCOE!H180),(LCOE!H$15+LCOE!I180))*K154*D154</f>
        <v>0</v>
      </c>
      <c r="J154" s="16">
        <f>LCOE!N180+LCOE!H$21*IF(LCOE!H$14&gt;0,G154,H154)*K154*D154</f>
        <v>0</v>
      </c>
      <c r="K154" s="15">
        <f>LCOE!O180+K153+K153*LCOE!H$22</f>
        <v>1</v>
      </c>
      <c r="L154" s="16">
        <f>LCOE!P180+LCOE!H$23*IF(LCOE!H$14&gt;0,G154,H154)*M154*D154</f>
        <v>0</v>
      </c>
      <c r="M154" s="15">
        <f>LCOE!Q180+M153+M153*LCOE!H$24</f>
        <v>1</v>
      </c>
      <c r="N154" s="15">
        <f>LCOE!R180+N153-N153*LCOE!H$25</f>
        <v>1</v>
      </c>
      <c r="O154" s="18">
        <f>LCOE!S180+LCOE!H$29</f>
        <v>313.75</v>
      </c>
      <c r="P154" s="12">
        <f>LCOE!T180+IF(A154&gt;=LCOE!H$30,100%,0%)</f>
        <v>1</v>
      </c>
      <c r="Q154" s="16">
        <f>LCOE!U180+O154/1000*IF(LCOE!H$14&gt;0,G154,H154)</f>
        <v>0</v>
      </c>
      <c r="R154" s="16">
        <f>LCOE!B180</f>
        <v>30</v>
      </c>
      <c r="S154" s="16">
        <f>LCOE!V180+Q154*P154*R154</f>
        <v>0</v>
      </c>
      <c r="T154" s="16">
        <f>LCOE!W180+LCOE!H$31</f>
        <v>0</v>
      </c>
      <c r="U154" s="16">
        <f>LCOE!X180+T154*IF(LCOE!H$14&gt;0,G154,H154)</f>
        <v>0</v>
      </c>
      <c r="V154" s="16">
        <f>LCOE!Y180+LCOE!H$32</f>
        <v>0</v>
      </c>
      <c r="W154" s="16">
        <f>LCOE!Z180+V154*IF(LCOE!H$14&gt;0,G154,H154)</f>
        <v>0</v>
      </c>
      <c r="X154" s="16">
        <f>LCOE!AA180+LCOE!H$34</f>
        <v>101</v>
      </c>
      <c r="Y154" s="16">
        <f t="shared" si="29"/>
        <v>0</v>
      </c>
      <c r="Z154" s="50">
        <f t="shared" si="32"/>
        <v>0</v>
      </c>
      <c r="AA154" s="50">
        <f t="shared" si="33"/>
        <v>0</v>
      </c>
      <c r="AB154" s="50">
        <f t="shared" si="34"/>
        <v>0</v>
      </c>
      <c r="AC154" s="50">
        <f t="shared" si="30"/>
        <v>0</v>
      </c>
      <c r="AD154" s="50">
        <f t="shared" si="25"/>
        <v>0</v>
      </c>
      <c r="AE154">
        <f t="shared" si="31"/>
        <v>30</v>
      </c>
      <c r="AF154" s="12">
        <f>LCOE!E180+LCOE!H$40</f>
        <v>0.08</v>
      </c>
      <c r="AG154">
        <f t="shared" si="26"/>
        <v>642.08934163605409</v>
      </c>
      <c r="AH154" s="16">
        <f t="shared" si="21"/>
        <v>0</v>
      </c>
      <c r="AI154" s="16">
        <f t="shared" si="22"/>
        <v>0</v>
      </c>
      <c r="AJ154" s="16">
        <f t="shared" si="23"/>
        <v>0</v>
      </c>
      <c r="AK154" s="16">
        <f t="shared" si="24"/>
        <v>0</v>
      </c>
      <c r="AL154" s="16">
        <f t="shared" si="27"/>
        <v>0</v>
      </c>
      <c r="AM154" s="16">
        <f t="shared" si="28"/>
        <v>0</v>
      </c>
      <c r="AN154" s="16">
        <f>IF(LCOE!H$14&gt;0,G154,H154)/AG154</f>
        <v>0</v>
      </c>
    </row>
    <row r="155" spans="1:40">
      <c r="A155">
        <v>85</v>
      </c>
      <c r="C155" s="16">
        <f>LCOE!H181+IF(AND(LCOE!H$26&gt;0,A155&gt;=LCOE!H$26,A155&lt;=(LCOE!H$26+LCOE!H$27-1)),LCOE!H$42/LCOE!H$27,0)+IF(AND(D155=0,AE155&gt;=LCOE!H$16,COUNTIF(D130:D155,0)=LCOE!H$36),LCOE!H$35*LCOE!H$38,0)</f>
        <v>0</v>
      </c>
      <c r="D155" s="16">
        <f>IF(AE154&lt;LCOE!H$16,1,0)</f>
        <v>0</v>
      </c>
      <c r="E155" s="12">
        <f>LCOE!G181+IF(AND(A155&gt;=LCOE!H$26,A155&lt;=(LCOE!H$26+LCOE!H$27-1)),0,1)*IF(A155=LCOE!H$34,0,1)*D155</f>
        <v>0</v>
      </c>
      <c r="F155" s="12">
        <f>IF(F154&lt;LCOE!H$18,MIN(F154*(1+LCOE!H$19),LCOE!H$18),LCOE!H$18)+LCOE!J181</f>
        <v>0.9</v>
      </c>
      <c r="G155" s="16">
        <f>LCOE!K181+E155*F155*N155*(LCOE!H$14+LCOE!H181)*24*365*D155</f>
        <v>0</v>
      </c>
      <c r="H155" s="16">
        <f>LCOE!L181+F155*(LCOE!H$15+LCOE!I181)*E155*24*365*D155*N155</f>
        <v>0</v>
      </c>
      <c r="I155" s="16">
        <f>LCOE!M181+LCOE!H$20*IF(LCOE!H$14&gt;0,(LCOE!H$14+LCOE!H181),(LCOE!H$15+LCOE!I181))*K155*D155</f>
        <v>0</v>
      </c>
      <c r="J155" s="16">
        <f>LCOE!N181+LCOE!H$21*IF(LCOE!H$14&gt;0,G155,H155)*K155*D155</f>
        <v>0</v>
      </c>
      <c r="K155" s="15">
        <f>LCOE!O181+K154+K154*LCOE!H$22</f>
        <v>1</v>
      </c>
      <c r="L155" s="16">
        <f>LCOE!P181+LCOE!H$23*IF(LCOE!H$14&gt;0,G155,H155)*M155*D155</f>
        <v>0</v>
      </c>
      <c r="M155" s="15">
        <f>LCOE!Q181+M154+M154*LCOE!H$24</f>
        <v>1</v>
      </c>
      <c r="N155" s="15">
        <f>LCOE!R181+N154-N154*LCOE!H$25</f>
        <v>1</v>
      </c>
      <c r="O155" s="18">
        <f>LCOE!S181+LCOE!H$29</f>
        <v>313.75</v>
      </c>
      <c r="P155" s="12">
        <f>LCOE!T181+IF(A155&gt;=LCOE!H$30,100%,0%)</f>
        <v>1</v>
      </c>
      <c r="Q155" s="16">
        <f>LCOE!U181+O155/1000*IF(LCOE!H$14&gt;0,G155,H155)</f>
        <v>0</v>
      </c>
      <c r="R155" s="16">
        <f>LCOE!B181</f>
        <v>30</v>
      </c>
      <c r="S155" s="16">
        <f>LCOE!V181+Q155*P155*R155</f>
        <v>0</v>
      </c>
      <c r="T155" s="16">
        <f>LCOE!W181+LCOE!H$31</f>
        <v>0</v>
      </c>
      <c r="U155" s="16">
        <f>LCOE!X181+T155*IF(LCOE!H$14&gt;0,G155,H155)</f>
        <v>0</v>
      </c>
      <c r="V155" s="16">
        <f>LCOE!Y181+LCOE!H$32</f>
        <v>0</v>
      </c>
      <c r="W155" s="16">
        <f>LCOE!Z181+V155*IF(LCOE!H$14&gt;0,G155,H155)</f>
        <v>0</v>
      </c>
      <c r="X155" s="16">
        <f>LCOE!AA181+LCOE!H$34</f>
        <v>101</v>
      </c>
      <c r="Y155" s="16">
        <f t="shared" si="29"/>
        <v>0</v>
      </c>
      <c r="Z155" s="50">
        <f t="shared" si="32"/>
        <v>0</v>
      </c>
      <c r="AA155" s="50">
        <f t="shared" si="33"/>
        <v>0</v>
      </c>
      <c r="AB155" s="50">
        <f t="shared" si="34"/>
        <v>0</v>
      </c>
      <c r="AC155" s="50">
        <f t="shared" si="30"/>
        <v>0</v>
      </c>
      <c r="AD155" s="50">
        <f t="shared" si="25"/>
        <v>0</v>
      </c>
      <c r="AE155">
        <f t="shared" si="31"/>
        <v>30</v>
      </c>
      <c r="AF155" s="12">
        <f>LCOE!E181+LCOE!H$40</f>
        <v>0.08</v>
      </c>
      <c r="AG155">
        <f t="shared" si="26"/>
        <v>693.45648896693842</v>
      </c>
      <c r="AH155" s="16">
        <f t="shared" si="21"/>
        <v>0</v>
      </c>
      <c r="AI155" s="16">
        <f t="shared" si="22"/>
        <v>0</v>
      </c>
      <c r="AJ155" s="16">
        <f t="shared" si="23"/>
        <v>0</v>
      </c>
      <c r="AK155" s="16">
        <f t="shared" si="24"/>
        <v>0</v>
      </c>
      <c r="AL155" s="16">
        <f t="shared" si="27"/>
        <v>0</v>
      </c>
      <c r="AM155" s="16">
        <f t="shared" si="28"/>
        <v>0</v>
      </c>
      <c r="AN155" s="16">
        <f>IF(LCOE!H$14&gt;0,G155,H155)/AG155</f>
        <v>0</v>
      </c>
    </row>
    <row r="156" spans="1:40">
      <c r="A156">
        <v>86</v>
      </c>
      <c r="C156" s="16">
        <f>LCOE!H182+IF(AND(LCOE!H$26&gt;0,A156&gt;=LCOE!H$26,A156&lt;=(LCOE!H$26+LCOE!H$27-1)),LCOE!H$42/LCOE!H$27,0)+IF(AND(D156=0,AE156&gt;=LCOE!H$16,COUNTIF(D131:D156,0)=LCOE!H$36),LCOE!H$35*LCOE!H$38,0)</f>
        <v>0</v>
      </c>
      <c r="D156" s="16">
        <f>IF(AE155&lt;LCOE!H$16,1,0)</f>
        <v>0</v>
      </c>
      <c r="E156" s="12">
        <f>LCOE!G182+IF(AND(A156&gt;=LCOE!H$26,A156&lt;=(LCOE!H$26+LCOE!H$27-1)),0,1)*IF(A156=LCOE!H$34,0,1)*D156</f>
        <v>0</v>
      </c>
      <c r="F156" s="12">
        <f>IF(F155&lt;LCOE!H$18,MIN(F155*(1+LCOE!H$19),LCOE!H$18),LCOE!H$18)+LCOE!J182</f>
        <v>0.9</v>
      </c>
      <c r="G156" s="16">
        <f>LCOE!K182+E156*F156*N156*(LCOE!H$14+LCOE!H182)*24*365*D156</f>
        <v>0</v>
      </c>
      <c r="H156" s="16">
        <f>LCOE!L182+F156*(LCOE!H$15+LCOE!I182)*E156*24*365*D156*N156</f>
        <v>0</v>
      </c>
      <c r="I156" s="16">
        <f>LCOE!M182+LCOE!H$20*IF(LCOE!H$14&gt;0,(LCOE!H$14+LCOE!H182),(LCOE!H$15+LCOE!I182))*K156*D156</f>
        <v>0</v>
      </c>
      <c r="J156" s="16">
        <f>LCOE!N182+LCOE!H$21*IF(LCOE!H$14&gt;0,G156,H156)*K156*D156</f>
        <v>0</v>
      </c>
      <c r="K156" s="15">
        <f>LCOE!O182+K155+K155*LCOE!H$22</f>
        <v>1</v>
      </c>
      <c r="L156" s="16">
        <f>LCOE!P182+LCOE!H$23*IF(LCOE!H$14&gt;0,G156,H156)*M156*D156</f>
        <v>0</v>
      </c>
      <c r="M156" s="15">
        <f>LCOE!Q182+M155+M155*LCOE!H$24</f>
        <v>1</v>
      </c>
      <c r="N156" s="15">
        <f>LCOE!R182+N155-N155*LCOE!H$25</f>
        <v>1</v>
      </c>
      <c r="O156" s="18">
        <f>LCOE!S182+LCOE!H$29</f>
        <v>313.75</v>
      </c>
      <c r="P156" s="12">
        <f>LCOE!T182+IF(A156&gt;=LCOE!H$30,100%,0%)</f>
        <v>1</v>
      </c>
      <c r="Q156" s="16">
        <f>LCOE!U182+O156/1000*IF(LCOE!H$14&gt;0,G156,H156)</f>
        <v>0</v>
      </c>
      <c r="R156" s="16">
        <f>LCOE!B182</f>
        <v>30</v>
      </c>
      <c r="S156" s="16">
        <f>LCOE!V182+Q156*P156*R156</f>
        <v>0</v>
      </c>
      <c r="T156" s="16">
        <f>LCOE!W182+LCOE!H$31</f>
        <v>0</v>
      </c>
      <c r="U156" s="16">
        <f>LCOE!X182+T156*IF(LCOE!H$14&gt;0,G156,H156)</f>
        <v>0</v>
      </c>
      <c r="V156" s="16">
        <f>LCOE!Y182+LCOE!H$32</f>
        <v>0</v>
      </c>
      <c r="W156" s="16">
        <f>LCOE!Z182+V156*IF(LCOE!H$14&gt;0,G156,H156)</f>
        <v>0</v>
      </c>
      <c r="X156" s="16">
        <f>LCOE!AA182+LCOE!H$34</f>
        <v>101</v>
      </c>
      <c r="Y156" s="16">
        <f t="shared" si="29"/>
        <v>0</v>
      </c>
      <c r="Z156" s="50">
        <f t="shared" si="32"/>
        <v>0</v>
      </c>
      <c r="AA156" s="50">
        <f t="shared" si="33"/>
        <v>0</v>
      </c>
      <c r="AB156" s="50">
        <f t="shared" si="34"/>
        <v>0</v>
      </c>
      <c r="AC156" s="50">
        <f t="shared" si="30"/>
        <v>0</v>
      </c>
      <c r="AD156" s="50">
        <f t="shared" si="25"/>
        <v>0</v>
      </c>
      <c r="AE156">
        <f t="shared" si="31"/>
        <v>30</v>
      </c>
      <c r="AF156" s="12">
        <f>LCOE!E182+LCOE!H$40</f>
        <v>0.08</v>
      </c>
      <c r="AG156">
        <f t="shared" si="26"/>
        <v>748.93300808429353</v>
      </c>
      <c r="AH156" s="16">
        <f t="shared" si="21"/>
        <v>0</v>
      </c>
      <c r="AI156" s="16">
        <f t="shared" si="22"/>
        <v>0</v>
      </c>
      <c r="AJ156" s="16">
        <f t="shared" si="23"/>
        <v>0</v>
      </c>
      <c r="AK156" s="16">
        <f t="shared" si="24"/>
        <v>0</v>
      </c>
      <c r="AL156" s="16">
        <f t="shared" si="27"/>
        <v>0</v>
      </c>
      <c r="AM156" s="16">
        <f t="shared" si="28"/>
        <v>0</v>
      </c>
      <c r="AN156" s="16">
        <f>IF(LCOE!H$14&gt;0,G156,H156)/AG156</f>
        <v>0</v>
      </c>
    </row>
    <row r="157" spans="1:40">
      <c r="A157">
        <v>87</v>
      </c>
      <c r="C157" s="16">
        <f>LCOE!H183+IF(AND(LCOE!H$26&gt;0,A157&gt;=LCOE!H$26,A157&lt;=(LCOE!H$26+LCOE!H$27-1)),LCOE!H$42/LCOE!H$27,0)+IF(AND(D157=0,AE157&gt;=LCOE!H$16,COUNTIF(D132:D157,0)=LCOE!H$36),LCOE!H$35*LCOE!H$38,0)</f>
        <v>0</v>
      </c>
      <c r="D157" s="16">
        <f>IF(AE156&lt;LCOE!H$16,1,0)</f>
        <v>0</v>
      </c>
      <c r="E157" s="12">
        <f>LCOE!G183+IF(AND(A157&gt;=LCOE!H$26,A157&lt;=(LCOE!H$26+LCOE!H$27-1)),0,1)*IF(A157=LCOE!H$34,0,1)*D157</f>
        <v>0</v>
      </c>
      <c r="F157" s="12">
        <f>IF(F156&lt;LCOE!H$18,MIN(F156*(1+LCOE!H$19),LCOE!H$18),LCOE!H$18)+LCOE!J183</f>
        <v>0.9</v>
      </c>
      <c r="G157" s="16">
        <f>LCOE!K183+E157*F157*N157*(LCOE!H$14+LCOE!H183)*24*365*D157</f>
        <v>0</v>
      </c>
      <c r="H157" s="16">
        <f>LCOE!L183+F157*(LCOE!H$15+LCOE!I183)*E157*24*365*D157*N157</f>
        <v>0</v>
      </c>
      <c r="I157" s="16">
        <f>LCOE!M183+LCOE!H$20*IF(LCOE!H$14&gt;0,(LCOE!H$14+LCOE!H183),(LCOE!H$15+LCOE!I183))*K157*D157</f>
        <v>0</v>
      </c>
      <c r="J157" s="16">
        <f>LCOE!N183+LCOE!H$21*IF(LCOE!H$14&gt;0,G157,H157)*K157*D157</f>
        <v>0</v>
      </c>
      <c r="K157" s="15">
        <f>LCOE!O183+K156+K156*LCOE!H$22</f>
        <v>1</v>
      </c>
      <c r="L157" s="16">
        <f>LCOE!P183+LCOE!H$23*IF(LCOE!H$14&gt;0,G157,H157)*M157*D157</f>
        <v>0</v>
      </c>
      <c r="M157" s="15">
        <f>LCOE!Q183+M156+M156*LCOE!H$24</f>
        <v>1</v>
      </c>
      <c r="N157" s="15">
        <f>LCOE!R183+N156-N156*LCOE!H$25</f>
        <v>1</v>
      </c>
      <c r="O157" s="18">
        <f>LCOE!S183+LCOE!H$29</f>
        <v>313.75</v>
      </c>
      <c r="P157" s="12">
        <f>LCOE!T183+IF(A157&gt;=LCOE!H$30,100%,0%)</f>
        <v>1</v>
      </c>
      <c r="Q157" s="16">
        <f>LCOE!U183+O157/1000*IF(LCOE!H$14&gt;0,G157,H157)</f>
        <v>0</v>
      </c>
      <c r="R157" s="16">
        <f>LCOE!B183</f>
        <v>30</v>
      </c>
      <c r="S157" s="16">
        <f>LCOE!V183+Q157*P157*R157</f>
        <v>0</v>
      </c>
      <c r="T157" s="16">
        <f>LCOE!W183+LCOE!H$31</f>
        <v>0</v>
      </c>
      <c r="U157" s="16">
        <f>LCOE!X183+T157*IF(LCOE!H$14&gt;0,G157,H157)</f>
        <v>0</v>
      </c>
      <c r="V157" s="16">
        <f>LCOE!Y183+LCOE!H$32</f>
        <v>0</v>
      </c>
      <c r="W157" s="16">
        <f>LCOE!Z183+V157*IF(LCOE!H$14&gt;0,G157,H157)</f>
        <v>0</v>
      </c>
      <c r="X157" s="16">
        <f>LCOE!AA183+LCOE!H$34</f>
        <v>101</v>
      </c>
      <c r="Y157" s="16">
        <f t="shared" si="29"/>
        <v>0</v>
      </c>
      <c r="Z157" s="50">
        <f t="shared" si="32"/>
        <v>0</v>
      </c>
      <c r="AA157" s="50">
        <f t="shared" si="33"/>
        <v>0</v>
      </c>
      <c r="AB157" s="50">
        <f t="shared" si="34"/>
        <v>0</v>
      </c>
      <c r="AC157" s="50">
        <f t="shared" si="30"/>
        <v>0</v>
      </c>
      <c r="AD157" s="50">
        <f t="shared" si="25"/>
        <v>0</v>
      </c>
      <c r="AE157">
        <f t="shared" si="31"/>
        <v>30</v>
      </c>
      <c r="AF157" s="12">
        <f>LCOE!E183+LCOE!H$40</f>
        <v>0.08</v>
      </c>
      <c r="AG157">
        <f t="shared" si="26"/>
        <v>808.84764873103711</v>
      </c>
      <c r="AH157" s="16">
        <f t="shared" si="21"/>
        <v>0</v>
      </c>
      <c r="AI157" s="16">
        <f t="shared" si="22"/>
        <v>0</v>
      </c>
      <c r="AJ157" s="16">
        <f t="shared" si="23"/>
        <v>0</v>
      </c>
      <c r="AK157" s="16">
        <f t="shared" si="24"/>
        <v>0</v>
      </c>
      <c r="AL157" s="16">
        <f t="shared" si="27"/>
        <v>0</v>
      </c>
      <c r="AM157" s="16">
        <f t="shared" si="28"/>
        <v>0</v>
      </c>
      <c r="AN157" s="16">
        <f>IF(LCOE!H$14&gt;0,G157,H157)/AG157</f>
        <v>0</v>
      </c>
    </row>
    <row r="158" spans="1:40">
      <c r="A158">
        <v>88</v>
      </c>
      <c r="C158" s="16">
        <f>LCOE!H184+IF(AND(LCOE!H$26&gt;0,A158&gt;=LCOE!H$26,A158&lt;=(LCOE!H$26+LCOE!H$27-1)),LCOE!H$42/LCOE!H$27,0)+IF(AND(D158=0,AE158&gt;=LCOE!H$16,COUNTIF(D133:D158,0)=LCOE!H$36),LCOE!H$35*LCOE!H$38,0)</f>
        <v>0</v>
      </c>
      <c r="D158" s="16">
        <f>IF(AE157&lt;LCOE!H$16,1,0)</f>
        <v>0</v>
      </c>
      <c r="E158" s="12">
        <f>LCOE!G184+IF(AND(A158&gt;=LCOE!H$26,A158&lt;=(LCOE!H$26+LCOE!H$27-1)),0,1)*IF(A158=LCOE!H$34,0,1)*D158</f>
        <v>0</v>
      </c>
      <c r="F158" s="12">
        <f>IF(F157&lt;LCOE!H$18,MIN(F157*(1+LCOE!H$19),LCOE!H$18),LCOE!H$18)+LCOE!J184</f>
        <v>0.9</v>
      </c>
      <c r="G158" s="16">
        <f>LCOE!K184+E158*F158*N158*(LCOE!H$14+LCOE!H184)*24*365*D158</f>
        <v>0</v>
      </c>
      <c r="H158" s="16">
        <f>LCOE!L184+F158*(LCOE!H$15+LCOE!I184)*E158*24*365*D158*N158</f>
        <v>0</v>
      </c>
      <c r="I158" s="16">
        <f>LCOE!M184+LCOE!H$20*IF(LCOE!H$14&gt;0,(LCOE!H$14+LCOE!H184),(LCOE!H$15+LCOE!I184))*K158*D158</f>
        <v>0</v>
      </c>
      <c r="J158" s="16">
        <f>LCOE!N184+LCOE!H$21*IF(LCOE!H$14&gt;0,G158,H158)*K158*D158</f>
        <v>0</v>
      </c>
      <c r="K158" s="15">
        <f>LCOE!O184+K157+K157*LCOE!H$22</f>
        <v>1</v>
      </c>
      <c r="L158" s="16">
        <f>LCOE!P184+LCOE!H$23*IF(LCOE!H$14&gt;0,G158,H158)*M158*D158</f>
        <v>0</v>
      </c>
      <c r="M158" s="15">
        <f>LCOE!Q184+M157+M157*LCOE!H$24</f>
        <v>1</v>
      </c>
      <c r="N158" s="15">
        <f>LCOE!R184+N157-N157*LCOE!H$25</f>
        <v>1</v>
      </c>
      <c r="O158" s="18">
        <f>LCOE!S184+LCOE!H$29</f>
        <v>313.75</v>
      </c>
      <c r="P158" s="12">
        <f>LCOE!T184+IF(A158&gt;=LCOE!H$30,100%,0%)</f>
        <v>1</v>
      </c>
      <c r="Q158" s="16">
        <f>LCOE!U184+O158/1000*IF(LCOE!H$14&gt;0,G158,H158)</f>
        <v>0</v>
      </c>
      <c r="R158" s="16">
        <f>LCOE!B184</f>
        <v>30</v>
      </c>
      <c r="S158" s="16">
        <f>LCOE!V184+Q158*P158*R158</f>
        <v>0</v>
      </c>
      <c r="T158" s="16">
        <f>LCOE!W184+LCOE!H$31</f>
        <v>0</v>
      </c>
      <c r="U158" s="16">
        <f>LCOE!X184+T158*IF(LCOE!H$14&gt;0,G158,H158)</f>
        <v>0</v>
      </c>
      <c r="V158" s="16">
        <f>LCOE!Y184+LCOE!H$32</f>
        <v>0</v>
      </c>
      <c r="W158" s="16">
        <f>LCOE!Z184+V158*IF(LCOE!H$14&gt;0,G158,H158)</f>
        <v>0</v>
      </c>
      <c r="X158" s="16">
        <f>LCOE!AA184+LCOE!H$34</f>
        <v>101</v>
      </c>
      <c r="Y158" s="16">
        <f t="shared" si="29"/>
        <v>0</v>
      </c>
      <c r="Z158" s="50">
        <f t="shared" si="32"/>
        <v>0</v>
      </c>
      <c r="AA158" s="50">
        <f t="shared" si="33"/>
        <v>0</v>
      </c>
      <c r="AB158" s="50">
        <f t="shared" si="34"/>
        <v>0</v>
      </c>
      <c r="AC158" s="50">
        <f t="shared" si="30"/>
        <v>0</v>
      </c>
      <c r="AD158" s="50">
        <f t="shared" si="25"/>
        <v>0</v>
      </c>
      <c r="AE158">
        <f t="shared" si="31"/>
        <v>30</v>
      </c>
      <c r="AF158" s="12">
        <f>LCOE!E184+LCOE!H$40</f>
        <v>0.08</v>
      </c>
      <c r="AG158">
        <f t="shared" si="26"/>
        <v>873.5554606295201</v>
      </c>
      <c r="AH158" s="16">
        <f t="shared" si="21"/>
        <v>0</v>
      </c>
      <c r="AI158" s="16">
        <f t="shared" si="22"/>
        <v>0</v>
      </c>
      <c r="AJ158" s="16">
        <f t="shared" si="23"/>
        <v>0</v>
      </c>
      <c r="AK158" s="16">
        <f t="shared" si="24"/>
        <v>0</v>
      </c>
      <c r="AL158" s="16">
        <f t="shared" si="27"/>
        <v>0</v>
      </c>
      <c r="AM158" s="16">
        <f t="shared" si="28"/>
        <v>0</v>
      </c>
      <c r="AN158" s="16">
        <f>IF(LCOE!H$14&gt;0,G158,H158)/AG158</f>
        <v>0</v>
      </c>
    </row>
    <row r="159" spans="1:40">
      <c r="A159">
        <v>89</v>
      </c>
      <c r="C159" s="16">
        <f>LCOE!H185+IF(AND(LCOE!H$26&gt;0,A159&gt;=LCOE!H$26,A159&lt;=(LCOE!H$26+LCOE!H$27-1)),LCOE!H$42/LCOE!H$27,0)+IF(AND(D159=0,AE159&gt;=LCOE!H$16,COUNTIF(D134:D159,0)=LCOE!H$36),LCOE!H$35*LCOE!H$38,0)</f>
        <v>0</v>
      </c>
      <c r="D159" s="16">
        <f>IF(AE158&lt;LCOE!H$16,1,0)</f>
        <v>0</v>
      </c>
      <c r="E159" s="12">
        <f>LCOE!G185+IF(AND(A159&gt;=LCOE!H$26,A159&lt;=(LCOE!H$26+LCOE!H$27-1)),0,1)*IF(A159=LCOE!H$34,0,1)*D159</f>
        <v>0</v>
      </c>
      <c r="F159" s="12">
        <f>IF(F158&lt;LCOE!H$18,MIN(F158*(1+LCOE!H$19),LCOE!H$18),LCOE!H$18)+LCOE!J185</f>
        <v>0.9</v>
      </c>
      <c r="G159" s="16">
        <f>LCOE!K185+E159*F159*N159*(LCOE!H$14+LCOE!H185)*24*365*D159</f>
        <v>0</v>
      </c>
      <c r="H159" s="16">
        <f>LCOE!L185+F159*(LCOE!H$15+LCOE!I185)*E159*24*365*D159*N159</f>
        <v>0</v>
      </c>
      <c r="I159" s="16">
        <f>LCOE!M185+LCOE!H$20*IF(LCOE!H$14&gt;0,(LCOE!H$14+LCOE!H185),(LCOE!H$15+LCOE!I185))*K159*D159</f>
        <v>0</v>
      </c>
      <c r="J159" s="16">
        <f>LCOE!N185+LCOE!H$21*IF(LCOE!H$14&gt;0,G159,H159)*K159*D159</f>
        <v>0</v>
      </c>
      <c r="K159" s="15">
        <f>LCOE!O185+K158+K158*LCOE!H$22</f>
        <v>1</v>
      </c>
      <c r="L159" s="16">
        <f>LCOE!P185+LCOE!H$23*IF(LCOE!H$14&gt;0,G159,H159)*M159*D159</f>
        <v>0</v>
      </c>
      <c r="M159" s="15">
        <f>LCOE!Q185+M158+M158*LCOE!H$24</f>
        <v>1</v>
      </c>
      <c r="N159" s="15">
        <f>LCOE!R185+N158-N158*LCOE!H$25</f>
        <v>1</v>
      </c>
      <c r="O159" s="18">
        <f>LCOE!S185+LCOE!H$29</f>
        <v>313.75</v>
      </c>
      <c r="P159" s="12">
        <f>LCOE!T185+IF(A159&gt;=LCOE!H$30,100%,0%)</f>
        <v>1</v>
      </c>
      <c r="Q159" s="16">
        <f>LCOE!U185+O159/1000*IF(LCOE!H$14&gt;0,G159,H159)</f>
        <v>0</v>
      </c>
      <c r="R159" s="16">
        <f>LCOE!B185</f>
        <v>30</v>
      </c>
      <c r="S159" s="16">
        <f>LCOE!V185+Q159*P159*R159</f>
        <v>0</v>
      </c>
      <c r="T159" s="16">
        <f>LCOE!W185+LCOE!H$31</f>
        <v>0</v>
      </c>
      <c r="U159" s="16">
        <f>LCOE!X185+T159*IF(LCOE!H$14&gt;0,G159,H159)</f>
        <v>0</v>
      </c>
      <c r="V159" s="16">
        <f>LCOE!Y185+LCOE!H$32</f>
        <v>0</v>
      </c>
      <c r="W159" s="16">
        <f>LCOE!Z185+V159*IF(LCOE!H$14&gt;0,G159,H159)</f>
        <v>0</v>
      </c>
      <c r="X159" s="16">
        <f>LCOE!AA185+LCOE!H$34</f>
        <v>101</v>
      </c>
      <c r="Y159" s="16">
        <f t="shared" si="29"/>
        <v>0</v>
      </c>
      <c r="Z159" s="50">
        <f t="shared" si="32"/>
        <v>0</v>
      </c>
      <c r="AA159" s="50">
        <f t="shared" si="33"/>
        <v>0</v>
      </c>
      <c r="AB159" s="50">
        <f t="shared" si="34"/>
        <v>0</v>
      </c>
      <c r="AC159" s="50">
        <f t="shared" si="30"/>
        <v>0</v>
      </c>
      <c r="AD159" s="50">
        <f t="shared" si="25"/>
        <v>0</v>
      </c>
      <c r="AE159">
        <f t="shared" si="31"/>
        <v>30</v>
      </c>
      <c r="AF159" s="12">
        <f>LCOE!E185+LCOE!H$40</f>
        <v>0.08</v>
      </c>
      <c r="AG159">
        <f t="shared" si="26"/>
        <v>943.43989747988178</v>
      </c>
      <c r="AH159" s="16">
        <f t="shared" si="21"/>
        <v>0</v>
      </c>
      <c r="AI159" s="16">
        <f t="shared" si="22"/>
        <v>0</v>
      </c>
      <c r="AJ159" s="16">
        <f t="shared" si="23"/>
        <v>0</v>
      </c>
      <c r="AK159" s="16">
        <f t="shared" si="24"/>
        <v>0</v>
      </c>
      <c r="AL159" s="16">
        <f t="shared" si="27"/>
        <v>0</v>
      </c>
      <c r="AM159" s="16">
        <f t="shared" si="28"/>
        <v>0</v>
      </c>
      <c r="AN159" s="16">
        <f>IF(LCOE!H$14&gt;0,G159,H159)/AG159</f>
        <v>0</v>
      </c>
    </row>
    <row r="160" spans="1:40">
      <c r="A160">
        <v>90</v>
      </c>
      <c r="C160" s="16">
        <f>LCOE!H186+IF(AND(LCOE!H$26&gt;0,A160&gt;=LCOE!H$26,A160&lt;=(LCOE!H$26+LCOE!H$27-1)),LCOE!H$42/LCOE!H$27,0)+IF(AND(D160=0,AE160&gt;=LCOE!H$16,COUNTIF(D135:D160,0)=LCOE!H$36),LCOE!H$35*LCOE!H$38,0)</f>
        <v>0</v>
      </c>
      <c r="D160" s="16">
        <f>IF(AE159&lt;LCOE!H$16,1,0)</f>
        <v>0</v>
      </c>
      <c r="E160" s="12">
        <f>LCOE!G186+IF(AND(A160&gt;=LCOE!H$26,A160&lt;=(LCOE!H$26+LCOE!H$27-1)),0,1)*IF(A160=LCOE!H$34,0,1)*D160</f>
        <v>0</v>
      </c>
      <c r="F160" s="12">
        <f>IF(F159&lt;LCOE!H$18,MIN(F159*(1+LCOE!H$19),LCOE!H$18),LCOE!H$18)+LCOE!J186</f>
        <v>0.9</v>
      </c>
      <c r="G160" s="16">
        <f>LCOE!K186+E160*F160*N160*(LCOE!H$14+LCOE!H186)*24*365*D160</f>
        <v>0</v>
      </c>
      <c r="H160" s="16">
        <f>LCOE!L186+F160*(LCOE!H$15+LCOE!I186)*E160*24*365*D160*N160</f>
        <v>0</v>
      </c>
      <c r="I160" s="16">
        <f>LCOE!M186+LCOE!H$20*IF(LCOE!H$14&gt;0,(LCOE!H$14+LCOE!H186),(LCOE!H$15+LCOE!I186))*K160*D160</f>
        <v>0</v>
      </c>
      <c r="J160" s="16">
        <f>LCOE!N186+LCOE!H$21*IF(LCOE!H$14&gt;0,G160,H160)*K160*D160</f>
        <v>0</v>
      </c>
      <c r="K160" s="15">
        <f>LCOE!O186+K159+K159*LCOE!H$22</f>
        <v>1</v>
      </c>
      <c r="L160" s="16">
        <f>LCOE!P186+LCOE!H$23*IF(LCOE!H$14&gt;0,G160,H160)*M160*D160</f>
        <v>0</v>
      </c>
      <c r="M160" s="15">
        <f>LCOE!Q186+M159+M159*LCOE!H$24</f>
        <v>1</v>
      </c>
      <c r="N160" s="15">
        <f>LCOE!R186+N159-N159*LCOE!H$25</f>
        <v>1</v>
      </c>
      <c r="O160" s="18">
        <f>LCOE!S186+LCOE!H$29</f>
        <v>313.75</v>
      </c>
      <c r="P160" s="12">
        <f>LCOE!T186+IF(A160&gt;=LCOE!H$30,100%,0%)</f>
        <v>1</v>
      </c>
      <c r="Q160" s="16">
        <f>LCOE!U186+O160/1000*IF(LCOE!H$14&gt;0,G160,H160)</f>
        <v>0</v>
      </c>
      <c r="R160" s="16">
        <f>LCOE!B186</f>
        <v>30</v>
      </c>
      <c r="S160" s="16">
        <f>LCOE!V186+Q160*P160*R160</f>
        <v>0</v>
      </c>
      <c r="T160" s="16">
        <f>LCOE!W186+LCOE!H$31</f>
        <v>0</v>
      </c>
      <c r="U160" s="16">
        <f>LCOE!X186+T160*IF(LCOE!H$14&gt;0,G160,H160)</f>
        <v>0</v>
      </c>
      <c r="V160" s="16">
        <f>LCOE!Y186+LCOE!H$32</f>
        <v>0</v>
      </c>
      <c r="W160" s="16">
        <f>LCOE!Z186+V160*IF(LCOE!H$14&gt;0,G160,H160)</f>
        <v>0</v>
      </c>
      <c r="X160" s="16">
        <f>LCOE!AA186+LCOE!H$34</f>
        <v>101</v>
      </c>
      <c r="Y160" s="16">
        <f t="shared" si="29"/>
        <v>0</v>
      </c>
      <c r="Z160" s="50">
        <f t="shared" si="32"/>
        <v>0</v>
      </c>
      <c r="AA160" s="50">
        <f t="shared" si="33"/>
        <v>0</v>
      </c>
      <c r="AB160" s="50">
        <f t="shared" si="34"/>
        <v>0</v>
      </c>
      <c r="AC160" s="50">
        <f t="shared" si="30"/>
        <v>0</v>
      </c>
      <c r="AD160" s="50">
        <f t="shared" si="25"/>
        <v>0</v>
      </c>
      <c r="AE160">
        <f t="shared" si="31"/>
        <v>30</v>
      </c>
      <c r="AF160" s="12">
        <f>LCOE!E186+LCOE!H$40</f>
        <v>0.08</v>
      </c>
      <c r="AG160">
        <f t="shared" si="26"/>
        <v>1018.9150892782723</v>
      </c>
      <c r="AH160" s="16">
        <f t="shared" si="21"/>
        <v>0</v>
      </c>
      <c r="AI160" s="16">
        <f t="shared" si="22"/>
        <v>0</v>
      </c>
      <c r="AJ160" s="16">
        <f t="shared" si="23"/>
        <v>0</v>
      </c>
      <c r="AK160" s="16">
        <f t="shared" si="24"/>
        <v>0</v>
      </c>
      <c r="AL160" s="16">
        <f t="shared" si="27"/>
        <v>0</v>
      </c>
      <c r="AM160" s="16">
        <f t="shared" si="28"/>
        <v>0</v>
      </c>
      <c r="AN160" s="16">
        <f>IF(LCOE!H$14&gt;0,G160,H160)/AG160</f>
        <v>0</v>
      </c>
    </row>
    <row r="161" spans="1:40">
      <c r="A161">
        <v>91</v>
      </c>
      <c r="C161" s="16">
        <f>LCOE!H187+IF(AND(LCOE!H$26&gt;0,A161&gt;=LCOE!H$26,A161&lt;=(LCOE!H$26+LCOE!H$27-1)),LCOE!H$42/LCOE!H$27,0)+IF(AND(D161=0,AE161&gt;=LCOE!H$16,COUNTIF(D136:D161,0)=LCOE!H$36),LCOE!H$35*LCOE!H$38,0)</f>
        <v>0</v>
      </c>
      <c r="D161" s="16">
        <f>IF(AE160&lt;LCOE!H$16,1,0)</f>
        <v>0</v>
      </c>
      <c r="E161" s="12">
        <f>LCOE!G187+IF(AND(A161&gt;=LCOE!H$26,A161&lt;=(LCOE!H$26+LCOE!H$27-1)),0,1)*IF(A161=LCOE!H$34,0,1)*D161</f>
        <v>0</v>
      </c>
      <c r="F161" s="12">
        <f>IF(F160&lt;LCOE!H$18,MIN(F160*(1+LCOE!H$19),LCOE!H$18),LCOE!H$18)+LCOE!J187</f>
        <v>0.9</v>
      </c>
      <c r="G161" s="16">
        <f>LCOE!K187+E161*F161*N161*(LCOE!H$14+LCOE!H187)*24*365*D161</f>
        <v>0</v>
      </c>
      <c r="H161" s="16">
        <f>LCOE!L187+F161*(LCOE!H$15+LCOE!I187)*E161*24*365*D161*N161</f>
        <v>0</v>
      </c>
      <c r="I161" s="16">
        <f>LCOE!M187+LCOE!H$20*IF(LCOE!H$14&gt;0,(LCOE!H$14+LCOE!H187),(LCOE!H$15+LCOE!I187))*K161*D161</f>
        <v>0</v>
      </c>
      <c r="J161" s="16">
        <f>LCOE!N187+LCOE!H$21*IF(LCOE!H$14&gt;0,G161,H161)*K161*D161</f>
        <v>0</v>
      </c>
      <c r="K161" s="15">
        <f>LCOE!O187+K160+K160*LCOE!H$22</f>
        <v>1</v>
      </c>
      <c r="L161" s="16">
        <f>LCOE!P187+LCOE!H$23*IF(LCOE!H$14&gt;0,G161,H161)*M161*D161</f>
        <v>0</v>
      </c>
      <c r="M161" s="15">
        <f>LCOE!Q187+M160+M160*LCOE!H$24</f>
        <v>1</v>
      </c>
      <c r="N161" s="15">
        <f>LCOE!R187+N160-N160*LCOE!H$25</f>
        <v>1</v>
      </c>
      <c r="O161" s="18">
        <f>LCOE!S187+LCOE!H$29</f>
        <v>313.75</v>
      </c>
      <c r="P161" s="12">
        <f>LCOE!T187+IF(A161&gt;=LCOE!H$30,100%,0%)</f>
        <v>1</v>
      </c>
      <c r="Q161" s="16">
        <f>LCOE!U187+O161/1000*IF(LCOE!H$14&gt;0,G161,H161)</f>
        <v>0</v>
      </c>
      <c r="R161" s="16">
        <f>LCOE!B187</f>
        <v>30</v>
      </c>
      <c r="S161" s="16">
        <f>LCOE!V187+Q161*P161*R161</f>
        <v>0</v>
      </c>
      <c r="T161" s="16">
        <f>LCOE!W187+LCOE!H$31</f>
        <v>0</v>
      </c>
      <c r="U161" s="16">
        <f>LCOE!X187+T161*IF(LCOE!H$14&gt;0,G161,H161)</f>
        <v>0</v>
      </c>
      <c r="V161" s="16">
        <f>LCOE!Y187+LCOE!H$32</f>
        <v>0</v>
      </c>
      <c r="W161" s="16">
        <f>LCOE!Z187+V161*IF(LCOE!H$14&gt;0,G161,H161)</f>
        <v>0</v>
      </c>
      <c r="X161" s="16">
        <f>LCOE!AA187+LCOE!H$34</f>
        <v>101</v>
      </c>
      <c r="Y161" s="16">
        <f t="shared" si="29"/>
        <v>0</v>
      </c>
      <c r="Z161" s="50">
        <f t="shared" si="32"/>
        <v>0</v>
      </c>
      <c r="AA161" s="50">
        <f t="shared" si="33"/>
        <v>0</v>
      </c>
      <c r="AB161" s="50">
        <f t="shared" si="34"/>
        <v>0</v>
      </c>
      <c r="AC161" s="50">
        <f t="shared" si="30"/>
        <v>0</v>
      </c>
      <c r="AD161" s="50">
        <f t="shared" si="25"/>
        <v>0</v>
      </c>
      <c r="AE161">
        <f t="shared" si="31"/>
        <v>30</v>
      </c>
      <c r="AF161" s="12">
        <f>LCOE!E187+LCOE!H$40</f>
        <v>0.08</v>
      </c>
      <c r="AG161">
        <f t="shared" si="26"/>
        <v>1100.428296420534</v>
      </c>
      <c r="AH161" s="16">
        <f t="shared" si="21"/>
        <v>0</v>
      </c>
      <c r="AI161" s="16">
        <f t="shared" si="22"/>
        <v>0</v>
      </c>
      <c r="AJ161" s="16">
        <f t="shared" si="23"/>
        <v>0</v>
      </c>
      <c r="AK161" s="16">
        <f t="shared" si="24"/>
        <v>0</v>
      </c>
      <c r="AL161" s="16">
        <f t="shared" si="27"/>
        <v>0</v>
      </c>
      <c r="AM161" s="16">
        <f t="shared" si="28"/>
        <v>0</v>
      </c>
      <c r="AN161" s="16">
        <f>IF(LCOE!H$14&gt;0,G161,H161)/AG161</f>
        <v>0</v>
      </c>
    </row>
    <row r="162" spans="1:40">
      <c r="A162">
        <v>92</v>
      </c>
      <c r="C162" s="16">
        <f>LCOE!H188+IF(AND(LCOE!H$26&gt;0,A162&gt;=LCOE!H$26,A162&lt;=(LCOE!H$26+LCOE!H$27-1)),LCOE!H$42/LCOE!H$27,0)+IF(AND(D162=0,AE162&gt;=LCOE!H$16,COUNTIF(D137:D162,0)=LCOE!H$36),LCOE!H$35*LCOE!H$38,0)</f>
        <v>0</v>
      </c>
      <c r="D162" s="16">
        <f>IF(AE161&lt;LCOE!H$16,1,0)</f>
        <v>0</v>
      </c>
      <c r="E162" s="12">
        <f>LCOE!G188+IF(AND(A162&gt;=LCOE!H$26,A162&lt;=(LCOE!H$26+LCOE!H$27-1)),0,1)*IF(A162=LCOE!H$34,0,1)*D162</f>
        <v>0</v>
      </c>
      <c r="F162" s="12">
        <f>IF(F161&lt;LCOE!H$18,MIN(F161*(1+LCOE!H$19),LCOE!H$18),LCOE!H$18)+LCOE!J188</f>
        <v>0.9</v>
      </c>
      <c r="G162" s="16">
        <f>LCOE!K188+E162*F162*N162*(LCOE!H$14+LCOE!H188)*24*365*D162</f>
        <v>0</v>
      </c>
      <c r="H162" s="16">
        <f>LCOE!L188+F162*(LCOE!H$15+LCOE!I188)*E162*24*365*D162*N162</f>
        <v>0</v>
      </c>
      <c r="I162" s="16">
        <f>LCOE!M188+LCOE!H$20*IF(LCOE!H$14&gt;0,(LCOE!H$14+LCOE!H188),(LCOE!H$15+LCOE!I188))*K162*D162</f>
        <v>0</v>
      </c>
      <c r="J162" s="16">
        <f>LCOE!N188+LCOE!H$21*IF(LCOE!H$14&gt;0,G162,H162)*K162*D162</f>
        <v>0</v>
      </c>
      <c r="K162" s="15">
        <f>LCOE!O188+K161+K161*LCOE!H$22</f>
        <v>1</v>
      </c>
      <c r="L162" s="16">
        <f>LCOE!P188+LCOE!H$23*IF(LCOE!H$14&gt;0,G162,H162)*M162*D162</f>
        <v>0</v>
      </c>
      <c r="M162" s="15">
        <f>LCOE!Q188+M161+M161*LCOE!H$24</f>
        <v>1</v>
      </c>
      <c r="N162" s="15">
        <f>LCOE!R188+N161-N161*LCOE!H$25</f>
        <v>1</v>
      </c>
      <c r="O162" s="18">
        <f>LCOE!S188+LCOE!H$29</f>
        <v>313.75</v>
      </c>
      <c r="P162" s="12">
        <f>LCOE!T188+IF(A162&gt;=LCOE!H$30,100%,0%)</f>
        <v>1</v>
      </c>
      <c r="Q162" s="16">
        <f>LCOE!U188+O162/1000*IF(LCOE!H$14&gt;0,G162,H162)</f>
        <v>0</v>
      </c>
      <c r="R162" s="16">
        <f>LCOE!B188</f>
        <v>30</v>
      </c>
      <c r="S162" s="16">
        <f>LCOE!V188+Q162*P162*R162</f>
        <v>0</v>
      </c>
      <c r="T162" s="16">
        <f>LCOE!W188+LCOE!H$31</f>
        <v>0</v>
      </c>
      <c r="U162" s="16">
        <f>LCOE!X188+T162*IF(LCOE!H$14&gt;0,G162,H162)</f>
        <v>0</v>
      </c>
      <c r="V162" s="16">
        <f>LCOE!Y188+LCOE!H$32</f>
        <v>0</v>
      </c>
      <c r="W162" s="16">
        <f>LCOE!Z188+V162*IF(LCOE!H$14&gt;0,G162,H162)</f>
        <v>0</v>
      </c>
      <c r="X162" s="16">
        <f>LCOE!AA188+LCOE!H$34</f>
        <v>101</v>
      </c>
      <c r="Y162" s="16">
        <f t="shared" si="29"/>
        <v>0</v>
      </c>
      <c r="Z162" s="50">
        <f t="shared" si="32"/>
        <v>0</v>
      </c>
      <c r="AA162" s="50">
        <f t="shared" si="33"/>
        <v>0</v>
      </c>
      <c r="AB162" s="50">
        <f t="shared" si="34"/>
        <v>0</v>
      </c>
      <c r="AC162" s="50">
        <f t="shared" si="30"/>
        <v>0</v>
      </c>
      <c r="AD162" s="50">
        <f t="shared" si="25"/>
        <v>0</v>
      </c>
      <c r="AE162">
        <f t="shared" si="31"/>
        <v>30</v>
      </c>
      <c r="AF162" s="12">
        <f>LCOE!E188+LCOE!H$40</f>
        <v>0.08</v>
      </c>
      <c r="AG162">
        <f t="shared" si="26"/>
        <v>1188.4625601341768</v>
      </c>
      <c r="AH162" s="16">
        <f t="shared" si="21"/>
        <v>0</v>
      </c>
      <c r="AI162" s="16">
        <f t="shared" si="22"/>
        <v>0</v>
      </c>
      <c r="AJ162" s="16">
        <f t="shared" si="23"/>
        <v>0</v>
      </c>
      <c r="AK162" s="16">
        <f t="shared" si="24"/>
        <v>0</v>
      </c>
      <c r="AL162" s="16">
        <f t="shared" si="27"/>
        <v>0</v>
      </c>
      <c r="AM162" s="16">
        <f t="shared" si="28"/>
        <v>0</v>
      </c>
      <c r="AN162" s="16">
        <f>IF(LCOE!H$14&gt;0,G162,H162)/AG162</f>
        <v>0</v>
      </c>
    </row>
    <row r="163" spans="1:40">
      <c r="A163">
        <v>93</v>
      </c>
      <c r="C163" s="16">
        <f>LCOE!H189+IF(AND(LCOE!H$26&gt;0,A163&gt;=LCOE!H$26,A163&lt;=(LCOE!H$26+LCOE!H$27-1)),LCOE!H$42/LCOE!H$27,0)+IF(AND(D163=0,AE163&gt;=LCOE!H$16,COUNTIF(D138:D163,0)=LCOE!H$36),LCOE!H$35*LCOE!H$38,0)</f>
        <v>0</v>
      </c>
      <c r="D163" s="16">
        <f>IF(AE162&lt;LCOE!H$16,1,0)</f>
        <v>0</v>
      </c>
      <c r="E163" s="12">
        <f>LCOE!G189+IF(AND(A163&gt;=LCOE!H$26,A163&lt;=(LCOE!H$26+LCOE!H$27-1)),0,1)*IF(A163=LCOE!H$34,0,1)*D163</f>
        <v>0</v>
      </c>
      <c r="F163" s="12">
        <f>IF(F162&lt;LCOE!H$18,MIN(F162*(1+LCOE!H$19),LCOE!H$18),LCOE!H$18)+LCOE!J189</f>
        <v>0.9</v>
      </c>
      <c r="G163" s="16">
        <f>LCOE!K189+E163*F163*N163*(LCOE!H$14+LCOE!H189)*24*365*D163</f>
        <v>0</v>
      </c>
      <c r="H163" s="16">
        <f>LCOE!L189+F163*(LCOE!H$15+LCOE!I189)*E163*24*365*D163*N163</f>
        <v>0</v>
      </c>
      <c r="I163" s="16">
        <f>LCOE!M189+LCOE!H$20*IF(LCOE!H$14&gt;0,(LCOE!H$14+LCOE!H189),(LCOE!H$15+LCOE!I189))*K163*D163</f>
        <v>0</v>
      </c>
      <c r="J163" s="16">
        <f>LCOE!N189+LCOE!H$21*IF(LCOE!H$14&gt;0,G163,H163)*K163*D163</f>
        <v>0</v>
      </c>
      <c r="K163" s="15">
        <f>LCOE!O189+K162+K162*LCOE!H$22</f>
        <v>1</v>
      </c>
      <c r="L163" s="16">
        <f>LCOE!P189+LCOE!H$23*IF(LCOE!H$14&gt;0,G163,H163)*M163*D163</f>
        <v>0</v>
      </c>
      <c r="M163" s="15">
        <f>LCOE!Q189+M162+M162*LCOE!H$24</f>
        <v>1</v>
      </c>
      <c r="N163" s="15">
        <f>LCOE!R189+N162-N162*LCOE!H$25</f>
        <v>1</v>
      </c>
      <c r="O163" s="18">
        <f>LCOE!S189+LCOE!H$29</f>
        <v>313.75</v>
      </c>
      <c r="P163" s="12">
        <f>LCOE!T189+IF(A163&gt;=LCOE!H$30,100%,0%)</f>
        <v>1</v>
      </c>
      <c r="Q163" s="16">
        <f>LCOE!U189+O163/1000*IF(LCOE!H$14&gt;0,G163,H163)</f>
        <v>0</v>
      </c>
      <c r="R163" s="16">
        <f>LCOE!B189</f>
        <v>30</v>
      </c>
      <c r="S163" s="16">
        <f>LCOE!V189+Q163*P163*R163</f>
        <v>0</v>
      </c>
      <c r="T163" s="16">
        <f>LCOE!W189+LCOE!H$31</f>
        <v>0</v>
      </c>
      <c r="U163" s="16">
        <f>LCOE!X189+T163*IF(LCOE!H$14&gt;0,G163,H163)</f>
        <v>0</v>
      </c>
      <c r="V163" s="16">
        <f>LCOE!Y189+LCOE!H$32</f>
        <v>0</v>
      </c>
      <c r="W163" s="16">
        <f>LCOE!Z189+V163*IF(LCOE!H$14&gt;0,G163,H163)</f>
        <v>0</v>
      </c>
      <c r="X163" s="16">
        <f>LCOE!AA189+LCOE!H$34</f>
        <v>101</v>
      </c>
      <c r="Y163" s="16">
        <f t="shared" si="29"/>
        <v>0</v>
      </c>
      <c r="Z163" s="50">
        <f t="shared" si="32"/>
        <v>0</v>
      </c>
      <c r="AA163" s="50">
        <f t="shared" si="33"/>
        <v>0</v>
      </c>
      <c r="AB163" s="50">
        <f t="shared" si="34"/>
        <v>0</v>
      </c>
      <c r="AC163" s="50">
        <f t="shared" si="30"/>
        <v>0</v>
      </c>
      <c r="AD163" s="50">
        <f t="shared" si="25"/>
        <v>0</v>
      </c>
      <c r="AE163">
        <f t="shared" si="31"/>
        <v>30</v>
      </c>
      <c r="AF163" s="12">
        <f>LCOE!E189+LCOE!H$40</f>
        <v>0.08</v>
      </c>
      <c r="AG163">
        <f t="shared" si="26"/>
        <v>1283.539564944911</v>
      </c>
      <c r="AH163" s="16">
        <f t="shared" si="21"/>
        <v>0</v>
      </c>
      <c r="AI163" s="16">
        <f t="shared" si="22"/>
        <v>0</v>
      </c>
      <c r="AJ163" s="16">
        <f t="shared" si="23"/>
        <v>0</v>
      </c>
      <c r="AK163" s="16">
        <f t="shared" si="24"/>
        <v>0</v>
      </c>
      <c r="AL163" s="16">
        <f t="shared" si="27"/>
        <v>0</v>
      </c>
      <c r="AM163" s="16">
        <f t="shared" si="28"/>
        <v>0</v>
      </c>
      <c r="AN163" s="16">
        <f>IF(LCOE!H$14&gt;0,G163,H163)/AG163</f>
        <v>0</v>
      </c>
    </row>
    <row r="164" spans="1:40">
      <c r="A164">
        <v>94</v>
      </c>
      <c r="C164" s="16">
        <f>LCOE!H190+IF(AND(LCOE!H$26&gt;0,A164&gt;=LCOE!H$26,A164&lt;=(LCOE!H$26+LCOE!H$27-1)),LCOE!H$42/LCOE!H$27,0)+IF(AND(D164=0,AE164&gt;=LCOE!H$16,COUNTIF(D139:D164,0)=LCOE!H$36),LCOE!H$35*LCOE!H$38,0)</f>
        <v>0</v>
      </c>
      <c r="D164" s="16">
        <f>IF(AE163&lt;LCOE!H$16,1,0)</f>
        <v>0</v>
      </c>
      <c r="E164" s="12">
        <f>LCOE!G190+IF(AND(A164&gt;=LCOE!H$26,A164&lt;=(LCOE!H$26+LCOE!H$27-1)),0,1)*IF(A164=LCOE!H$34,0,1)*D164</f>
        <v>0</v>
      </c>
      <c r="F164" s="12">
        <f>IF(F163&lt;LCOE!H$18,MIN(F163*(1+LCOE!H$19),LCOE!H$18),LCOE!H$18)+LCOE!J190</f>
        <v>0.9</v>
      </c>
      <c r="G164" s="16">
        <f>LCOE!K190+E164*F164*N164*(LCOE!H$14+LCOE!H190)*24*365*D164</f>
        <v>0</v>
      </c>
      <c r="H164" s="16">
        <f>LCOE!L190+F164*(LCOE!H$15+LCOE!I190)*E164*24*365*D164*N164</f>
        <v>0</v>
      </c>
      <c r="I164" s="16">
        <f>LCOE!M190+LCOE!H$20*IF(LCOE!H$14&gt;0,(LCOE!H$14+LCOE!H190),(LCOE!H$15+LCOE!I190))*K164*D164</f>
        <v>0</v>
      </c>
      <c r="J164" s="16">
        <f>LCOE!N190+LCOE!H$21*IF(LCOE!H$14&gt;0,G164,H164)*K164*D164</f>
        <v>0</v>
      </c>
      <c r="K164" s="15">
        <f>LCOE!O190+K163+K163*LCOE!H$22</f>
        <v>1</v>
      </c>
      <c r="L164" s="16">
        <f>LCOE!P190+LCOE!H$23*IF(LCOE!H$14&gt;0,G164,H164)*M164*D164</f>
        <v>0</v>
      </c>
      <c r="M164" s="15">
        <f>LCOE!Q190+M163+M163*LCOE!H$24</f>
        <v>1</v>
      </c>
      <c r="N164" s="15">
        <f>LCOE!R190+N163-N163*LCOE!H$25</f>
        <v>1</v>
      </c>
      <c r="O164" s="18">
        <f>LCOE!S190+LCOE!H$29</f>
        <v>313.75</v>
      </c>
      <c r="P164" s="12">
        <f>LCOE!T190+IF(A164&gt;=LCOE!H$30,100%,0%)</f>
        <v>1</v>
      </c>
      <c r="Q164" s="16">
        <f>LCOE!U190+O164/1000*IF(LCOE!H$14&gt;0,G164,H164)</f>
        <v>0</v>
      </c>
      <c r="R164" s="16">
        <f>LCOE!B190</f>
        <v>30</v>
      </c>
      <c r="S164" s="16">
        <f>LCOE!V190+Q164*P164*R164</f>
        <v>0</v>
      </c>
      <c r="T164" s="16">
        <f>LCOE!W190+LCOE!H$31</f>
        <v>0</v>
      </c>
      <c r="U164" s="16">
        <f>LCOE!X190+T164*IF(LCOE!H$14&gt;0,G164,H164)</f>
        <v>0</v>
      </c>
      <c r="V164" s="16">
        <f>LCOE!Y190+LCOE!H$32</f>
        <v>0</v>
      </c>
      <c r="W164" s="16">
        <f>LCOE!Z190+V164*IF(LCOE!H$14&gt;0,G164,H164)</f>
        <v>0</v>
      </c>
      <c r="X164" s="16">
        <f>LCOE!AA190+LCOE!H$34</f>
        <v>101</v>
      </c>
      <c r="Y164" s="16">
        <f t="shared" si="29"/>
        <v>0</v>
      </c>
      <c r="Z164" s="50">
        <f t="shared" si="32"/>
        <v>0</v>
      </c>
      <c r="AA164" s="50">
        <f t="shared" si="33"/>
        <v>0</v>
      </c>
      <c r="AB164" s="50">
        <f t="shared" si="34"/>
        <v>0</v>
      </c>
      <c r="AC164" s="50">
        <f t="shared" si="30"/>
        <v>0</v>
      </c>
      <c r="AD164" s="50">
        <f t="shared" si="25"/>
        <v>0</v>
      </c>
      <c r="AE164">
        <f t="shared" si="31"/>
        <v>30</v>
      </c>
      <c r="AF164" s="12">
        <f>LCOE!E190+LCOE!H$40</f>
        <v>0.08</v>
      </c>
      <c r="AG164">
        <f t="shared" si="26"/>
        <v>1386.2227301405042</v>
      </c>
      <c r="AH164" s="16">
        <f t="shared" si="21"/>
        <v>0</v>
      </c>
      <c r="AI164" s="16">
        <f t="shared" si="22"/>
        <v>0</v>
      </c>
      <c r="AJ164" s="16">
        <f t="shared" si="23"/>
        <v>0</v>
      </c>
      <c r="AK164" s="16">
        <f t="shared" si="24"/>
        <v>0</v>
      </c>
      <c r="AL164" s="16">
        <f t="shared" si="27"/>
        <v>0</v>
      </c>
      <c r="AM164" s="16">
        <f t="shared" si="28"/>
        <v>0</v>
      </c>
      <c r="AN164" s="16">
        <f>IF(LCOE!H$14&gt;0,G164,H164)/AG164</f>
        <v>0</v>
      </c>
    </row>
    <row r="165" spans="1:40">
      <c r="A165">
        <v>95</v>
      </c>
      <c r="C165" s="16">
        <f>LCOE!H191+IF(AND(LCOE!H$26&gt;0,A165&gt;=LCOE!H$26,A165&lt;=(LCOE!H$26+LCOE!H$27-1)),LCOE!H$42/LCOE!H$27,0)+IF(AND(D165=0,AE165&gt;=LCOE!H$16,COUNTIF(D140:D165,0)=LCOE!H$36),LCOE!H$35*LCOE!H$38,0)</f>
        <v>0</v>
      </c>
      <c r="D165" s="16">
        <f>IF(AE164&lt;LCOE!H$16,1,0)</f>
        <v>0</v>
      </c>
      <c r="E165" s="12">
        <f>LCOE!G191+IF(AND(A165&gt;=LCOE!H$26,A165&lt;=(LCOE!H$26+LCOE!H$27-1)),0,1)*IF(A165=LCOE!H$34,0,1)*D165</f>
        <v>0</v>
      </c>
      <c r="F165" s="12">
        <f>IF(F164&lt;LCOE!H$18,MIN(F164*(1+LCOE!H$19),LCOE!H$18),LCOE!H$18)+LCOE!J191</f>
        <v>0.9</v>
      </c>
      <c r="G165" s="16">
        <f>LCOE!K191+E165*F165*N165*(LCOE!H$14+LCOE!H191)*24*365*D165</f>
        <v>0</v>
      </c>
      <c r="H165" s="16">
        <f>LCOE!L191+F165*(LCOE!H$15+LCOE!I191)*E165*24*365*D165*N165</f>
        <v>0</v>
      </c>
      <c r="I165" s="16">
        <f>LCOE!M191+LCOE!H$20*IF(LCOE!H$14&gt;0,(LCOE!H$14+LCOE!H191),(LCOE!H$15+LCOE!I191))*K165*D165</f>
        <v>0</v>
      </c>
      <c r="J165" s="16">
        <f>LCOE!N191+LCOE!H$21*IF(LCOE!H$14&gt;0,G165,H165)*K165*D165</f>
        <v>0</v>
      </c>
      <c r="K165" s="15">
        <f>LCOE!O191+K164+K164*LCOE!H$22</f>
        <v>1</v>
      </c>
      <c r="L165" s="16">
        <f>LCOE!P191+LCOE!H$23*IF(LCOE!H$14&gt;0,G165,H165)*M165*D165</f>
        <v>0</v>
      </c>
      <c r="M165" s="15">
        <f>LCOE!Q191+M164+M164*LCOE!H$24</f>
        <v>1</v>
      </c>
      <c r="N165" s="15">
        <f>LCOE!R191+N164-N164*LCOE!H$25</f>
        <v>1</v>
      </c>
      <c r="O165" s="18">
        <f>LCOE!S191+LCOE!H$29</f>
        <v>313.75</v>
      </c>
      <c r="P165" s="12">
        <f>LCOE!T191+IF(A165&gt;=LCOE!H$30,100%,0%)</f>
        <v>1</v>
      </c>
      <c r="Q165" s="16">
        <f>LCOE!U191+O165/1000*IF(LCOE!H$14&gt;0,G165,H165)</f>
        <v>0</v>
      </c>
      <c r="R165" s="16">
        <f>LCOE!B191</f>
        <v>30</v>
      </c>
      <c r="S165" s="16">
        <f>LCOE!V191+Q165*P165*R165</f>
        <v>0</v>
      </c>
      <c r="T165" s="16">
        <f>LCOE!W191+LCOE!H$31</f>
        <v>0</v>
      </c>
      <c r="U165" s="16">
        <f>LCOE!X191+T165*IF(LCOE!H$14&gt;0,G165,H165)</f>
        <v>0</v>
      </c>
      <c r="V165" s="16">
        <f>LCOE!Y191+LCOE!H$32</f>
        <v>0</v>
      </c>
      <c r="W165" s="16">
        <f>LCOE!Z191+V165*IF(LCOE!H$14&gt;0,G165,H165)</f>
        <v>0</v>
      </c>
      <c r="X165" s="16">
        <f>LCOE!AA191+LCOE!H$34</f>
        <v>101</v>
      </c>
      <c r="Y165" s="16">
        <f t="shared" si="29"/>
        <v>0</v>
      </c>
      <c r="Z165" s="50">
        <f t="shared" si="32"/>
        <v>0</v>
      </c>
      <c r="AA165" s="50">
        <f t="shared" si="33"/>
        <v>0</v>
      </c>
      <c r="AB165" s="50">
        <f t="shared" si="34"/>
        <v>0</v>
      </c>
      <c r="AC165" s="50">
        <f t="shared" si="30"/>
        <v>0</v>
      </c>
      <c r="AD165" s="50">
        <f t="shared" si="25"/>
        <v>0</v>
      </c>
      <c r="AE165">
        <f t="shared" si="31"/>
        <v>30</v>
      </c>
      <c r="AF165" s="12">
        <f>LCOE!E191+LCOE!H$40</f>
        <v>0.08</v>
      </c>
      <c r="AG165">
        <f t="shared" si="26"/>
        <v>1497.1205485517446</v>
      </c>
      <c r="AH165" s="16">
        <f t="shared" si="21"/>
        <v>0</v>
      </c>
      <c r="AI165" s="16">
        <f t="shared" si="22"/>
        <v>0</v>
      </c>
      <c r="AJ165" s="16">
        <f t="shared" si="23"/>
        <v>0</v>
      </c>
      <c r="AK165" s="16">
        <f t="shared" si="24"/>
        <v>0</v>
      </c>
      <c r="AL165" s="16">
        <f t="shared" si="27"/>
        <v>0</v>
      </c>
      <c r="AM165" s="16">
        <f t="shared" si="28"/>
        <v>0</v>
      </c>
      <c r="AN165" s="16">
        <f>IF(LCOE!H$14&gt;0,G165,H165)/AG165</f>
        <v>0</v>
      </c>
    </row>
    <row r="166" spans="1:40">
      <c r="A166">
        <v>96</v>
      </c>
      <c r="C166" s="16">
        <f>LCOE!H192+IF(AND(LCOE!H$26&gt;0,A166&gt;=LCOE!H$26,A166&lt;=(LCOE!H$26+LCOE!H$27-1)),LCOE!H$42/LCOE!H$27,0)+IF(AND(D166=0,AE166&gt;=LCOE!H$16,COUNTIF(D141:D166,0)=LCOE!H$36),LCOE!H$35*LCOE!H$38,0)</f>
        <v>0</v>
      </c>
      <c r="D166" s="16">
        <f>IF(AE165&lt;LCOE!H$16,1,0)</f>
        <v>0</v>
      </c>
      <c r="E166" s="12">
        <f>LCOE!G192+IF(AND(A166&gt;=LCOE!H$26,A166&lt;=(LCOE!H$26+LCOE!H$27-1)),0,1)*IF(A166=LCOE!H$34,0,1)*D166</f>
        <v>0</v>
      </c>
      <c r="F166" s="12">
        <f>IF(F165&lt;LCOE!H$18,MIN(F165*(1+LCOE!H$19),LCOE!H$18),LCOE!H$18)+LCOE!J192</f>
        <v>0.9</v>
      </c>
      <c r="G166" s="16">
        <f>LCOE!K192+E166*F166*N166*(LCOE!H$14+LCOE!H192)*24*365*D166</f>
        <v>0</v>
      </c>
      <c r="H166" s="16">
        <f>LCOE!L192+F166*(LCOE!H$15+LCOE!I192)*E166*24*365*D166*N166</f>
        <v>0</v>
      </c>
      <c r="I166" s="16">
        <f>LCOE!M192+LCOE!H$20*IF(LCOE!H$14&gt;0,(LCOE!H$14+LCOE!H192),(LCOE!H$15+LCOE!I192))*K166*D166</f>
        <v>0</v>
      </c>
      <c r="J166" s="16">
        <f>LCOE!N192+LCOE!H$21*IF(LCOE!H$14&gt;0,G166,H166)*K166*D166</f>
        <v>0</v>
      </c>
      <c r="K166" s="15">
        <f>LCOE!O192+K165+K165*LCOE!H$22</f>
        <v>1</v>
      </c>
      <c r="L166" s="16">
        <f>LCOE!P192+LCOE!H$23*IF(LCOE!H$14&gt;0,G166,H166)*M166*D166</f>
        <v>0</v>
      </c>
      <c r="M166" s="15">
        <f>LCOE!Q192+M165+M165*LCOE!H$24</f>
        <v>1</v>
      </c>
      <c r="N166" s="15">
        <f>LCOE!R192+N165-N165*LCOE!H$25</f>
        <v>1</v>
      </c>
      <c r="O166" s="18">
        <f>LCOE!S192+LCOE!H$29</f>
        <v>313.75</v>
      </c>
      <c r="P166" s="12">
        <f>LCOE!T192+IF(A166&gt;=LCOE!H$30,100%,0%)</f>
        <v>1</v>
      </c>
      <c r="Q166" s="16">
        <f>LCOE!U192+O166/1000*IF(LCOE!H$14&gt;0,G166,H166)</f>
        <v>0</v>
      </c>
      <c r="R166" s="16">
        <f>LCOE!B192</f>
        <v>30</v>
      </c>
      <c r="S166" s="16">
        <f>LCOE!V192+Q166*P166*R166</f>
        <v>0</v>
      </c>
      <c r="T166" s="16">
        <f>LCOE!W192+LCOE!H$31</f>
        <v>0</v>
      </c>
      <c r="U166" s="16">
        <f>LCOE!X192+T166*IF(LCOE!H$14&gt;0,G166,H166)</f>
        <v>0</v>
      </c>
      <c r="V166" s="16">
        <f>LCOE!Y192+LCOE!H$32</f>
        <v>0</v>
      </c>
      <c r="W166" s="16">
        <f>LCOE!Z192+V166*IF(LCOE!H$14&gt;0,G166,H166)</f>
        <v>0</v>
      </c>
      <c r="X166" s="16">
        <f>LCOE!AA192+LCOE!H$34</f>
        <v>101</v>
      </c>
      <c r="Y166" s="16">
        <f t="shared" si="29"/>
        <v>0</v>
      </c>
      <c r="Z166" s="50">
        <f t="shared" si="32"/>
        <v>0</v>
      </c>
      <c r="AA166" s="50">
        <f t="shared" si="33"/>
        <v>0</v>
      </c>
      <c r="AB166" s="50">
        <f t="shared" si="34"/>
        <v>0</v>
      </c>
      <c r="AC166" s="50">
        <f t="shared" si="30"/>
        <v>0</v>
      </c>
      <c r="AD166" s="50">
        <f t="shared" si="25"/>
        <v>0</v>
      </c>
      <c r="AE166">
        <f t="shared" si="31"/>
        <v>30</v>
      </c>
      <c r="AF166" s="12">
        <f>LCOE!E192+LCOE!H$40</f>
        <v>0.08</v>
      </c>
      <c r="AG166">
        <f t="shared" si="26"/>
        <v>1616.8901924358843</v>
      </c>
      <c r="AH166" s="16">
        <f t="shared" si="21"/>
        <v>0</v>
      </c>
      <c r="AI166" s="16">
        <f t="shared" si="22"/>
        <v>0</v>
      </c>
      <c r="AJ166" s="16">
        <f t="shared" si="23"/>
        <v>0</v>
      </c>
      <c r="AK166" s="16">
        <f t="shared" si="24"/>
        <v>0</v>
      </c>
      <c r="AL166" s="16">
        <f t="shared" si="27"/>
        <v>0</v>
      </c>
      <c r="AM166" s="16">
        <f t="shared" si="28"/>
        <v>0</v>
      </c>
      <c r="AN166" s="16">
        <f>IF(LCOE!H$14&gt;0,G166,H166)/AG166</f>
        <v>0</v>
      </c>
    </row>
    <row r="167" spans="1:40">
      <c r="A167">
        <v>97</v>
      </c>
      <c r="C167" s="16">
        <f>LCOE!H193+IF(AND(LCOE!H$26&gt;0,A167&gt;=LCOE!H$26,A167&lt;=(LCOE!H$26+LCOE!H$27-1)),LCOE!H$42/LCOE!H$27,0)+IF(AND(D167=0,AE167&gt;=LCOE!H$16,COUNTIF(D142:D167,0)=LCOE!H$36),LCOE!H$35*LCOE!H$38,0)</f>
        <v>0</v>
      </c>
      <c r="D167" s="16">
        <f>IF(AE166&lt;LCOE!H$16,1,0)</f>
        <v>0</v>
      </c>
      <c r="E167" s="12">
        <f>LCOE!G193+IF(AND(A167&gt;=LCOE!H$26,A167&lt;=(LCOE!H$26+LCOE!H$27-1)),0,1)*IF(A167=LCOE!H$34,0,1)*D167</f>
        <v>0</v>
      </c>
      <c r="F167" s="12">
        <f>IF(F166&lt;LCOE!H$18,MIN(F166*(1+LCOE!H$19),LCOE!H$18),LCOE!H$18)+LCOE!J193</f>
        <v>0.9</v>
      </c>
      <c r="G167" s="16">
        <f>LCOE!K193+E167*F167*N167*(LCOE!H$14+LCOE!H193)*24*365*D167</f>
        <v>0</v>
      </c>
      <c r="H167" s="16">
        <f>LCOE!L193+F167*(LCOE!H$15+LCOE!I193)*E167*24*365*D167*N167</f>
        <v>0</v>
      </c>
      <c r="I167" s="16">
        <f>LCOE!M193+LCOE!H$20*IF(LCOE!H$14&gt;0,(LCOE!H$14+LCOE!H193),(LCOE!H$15+LCOE!I193))*K167*D167</f>
        <v>0</v>
      </c>
      <c r="J167" s="16">
        <f>LCOE!N193+LCOE!H$21*IF(LCOE!H$14&gt;0,G167,H167)*K167*D167</f>
        <v>0</v>
      </c>
      <c r="K167" s="15">
        <f>LCOE!O193+K166+K166*LCOE!H$22</f>
        <v>1</v>
      </c>
      <c r="L167" s="16">
        <f>LCOE!P193+LCOE!H$23*IF(LCOE!H$14&gt;0,G167,H167)*M167*D167</f>
        <v>0</v>
      </c>
      <c r="M167" s="15">
        <f>LCOE!Q193+M166+M166*LCOE!H$24</f>
        <v>1</v>
      </c>
      <c r="N167" s="15">
        <f>LCOE!R193+N166-N166*LCOE!H$25</f>
        <v>1</v>
      </c>
      <c r="O167" s="18">
        <f>LCOE!S193+LCOE!H$29</f>
        <v>313.75</v>
      </c>
      <c r="P167" s="12">
        <f>LCOE!T193+IF(A167&gt;=LCOE!H$30,100%,0%)</f>
        <v>1</v>
      </c>
      <c r="Q167" s="16">
        <f>LCOE!U193+O167/1000*IF(LCOE!H$14&gt;0,G167,H167)</f>
        <v>0</v>
      </c>
      <c r="R167" s="16">
        <f>LCOE!B193</f>
        <v>30</v>
      </c>
      <c r="S167" s="16">
        <f>LCOE!V193+Q167*P167*R167</f>
        <v>0</v>
      </c>
      <c r="T167" s="16">
        <f>LCOE!W193+LCOE!H$31</f>
        <v>0</v>
      </c>
      <c r="U167" s="16">
        <f>LCOE!X193+T167*IF(LCOE!H$14&gt;0,G167,H167)</f>
        <v>0</v>
      </c>
      <c r="V167" s="16">
        <f>LCOE!Y193+LCOE!H$32</f>
        <v>0</v>
      </c>
      <c r="W167" s="16">
        <f>LCOE!Z193+V167*IF(LCOE!H$14&gt;0,G167,H167)</f>
        <v>0</v>
      </c>
      <c r="X167" s="16">
        <f>LCOE!AA193+LCOE!H$34</f>
        <v>101</v>
      </c>
      <c r="Y167" s="16">
        <f t="shared" si="29"/>
        <v>0</v>
      </c>
      <c r="Z167" s="50">
        <f t="shared" si="32"/>
        <v>0</v>
      </c>
      <c r="AA167" s="50">
        <f t="shared" si="33"/>
        <v>0</v>
      </c>
      <c r="AB167" s="50">
        <f t="shared" si="34"/>
        <v>0</v>
      </c>
      <c r="AC167" s="50">
        <f t="shared" si="30"/>
        <v>0</v>
      </c>
      <c r="AD167" s="50">
        <f t="shared" si="25"/>
        <v>0</v>
      </c>
      <c r="AE167">
        <f t="shared" si="31"/>
        <v>30</v>
      </c>
      <c r="AF167" s="12">
        <f>LCOE!E193+LCOE!H$40</f>
        <v>0.08</v>
      </c>
      <c r="AG167">
        <f t="shared" si="26"/>
        <v>1746.241407830755</v>
      </c>
      <c r="AH167" s="16">
        <f t="shared" si="21"/>
        <v>0</v>
      </c>
      <c r="AI167" s="16">
        <f t="shared" si="22"/>
        <v>0</v>
      </c>
      <c r="AJ167" s="16">
        <f t="shared" si="23"/>
        <v>0</v>
      </c>
      <c r="AK167" s="16">
        <f t="shared" si="24"/>
        <v>0</v>
      </c>
      <c r="AL167" s="16">
        <f t="shared" si="27"/>
        <v>0</v>
      </c>
      <c r="AM167" s="16">
        <f t="shared" si="28"/>
        <v>0</v>
      </c>
      <c r="AN167" s="16">
        <f>IF(LCOE!H$14&gt;0,G167,H167)/AG167</f>
        <v>0</v>
      </c>
    </row>
    <row r="168" spans="1:40">
      <c r="A168">
        <v>98</v>
      </c>
      <c r="C168" s="16">
        <f>LCOE!H194+IF(AND(LCOE!H$26&gt;0,A168&gt;=LCOE!H$26,A168&lt;=(LCOE!H$26+LCOE!H$27-1)),LCOE!H$42/LCOE!H$27,0)+IF(AND(D168=0,AE168&gt;=LCOE!H$16,COUNTIF(D143:D168,0)=LCOE!H$36),LCOE!H$35*LCOE!H$38,0)</f>
        <v>0</v>
      </c>
      <c r="D168" s="16">
        <f>IF(AE167&lt;LCOE!H$16,1,0)</f>
        <v>0</v>
      </c>
      <c r="E168" s="12">
        <f>LCOE!G194+IF(AND(A168&gt;=LCOE!H$26,A168&lt;=(LCOE!H$26+LCOE!H$27-1)),0,1)*IF(A168=LCOE!H$34,0,1)*D168</f>
        <v>0</v>
      </c>
      <c r="F168" s="12">
        <f>IF(F167&lt;LCOE!H$18,MIN(F167*(1+LCOE!H$19),LCOE!H$18),LCOE!H$18)+LCOE!J194</f>
        <v>0.9</v>
      </c>
      <c r="G168" s="16">
        <f>LCOE!K194+E168*F168*N168*(LCOE!H$14+LCOE!H194)*24*365*D168</f>
        <v>0</v>
      </c>
      <c r="H168" s="16">
        <f>LCOE!L194+F168*(LCOE!H$15+LCOE!I194)*E168*24*365*D168*N168</f>
        <v>0</v>
      </c>
      <c r="I168" s="16">
        <f>LCOE!M194+LCOE!H$20*IF(LCOE!H$14&gt;0,(LCOE!H$14+LCOE!H194),(LCOE!H$15+LCOE!I194))*K168*D168</f>
        <v>0</v>
      </c>
      <c r="J168" s="16">
        <f>LCOE!N194+LCOE!H$21*IF(LCOE!H$14&gt;0,G168,H168)*K168*D168</f>
        <v>0</v>
      </c>
      <c r="K168" s="15">
        <f>LCOE!O194+K167+K167*LCOE!H$22</f>
        <v>1</v>
      </c>
      <c r="L168" s="16">
        <f>LCOE!P194+LCOE!H$23*IF(LCOE!H$14&gt;0,G168,H168)*M168*D168</f>
        <v>0</v>
      </c>
      <c r="M168" s="15">
        <f>LCOE!Q194+M167+M167*LCOE!H$24</f>
        <v>1</v>
      </c>
      <c r="N168" s="15">
        <f>LCOE!R194+N167-N167*LCOE!H$25</f>
        <v>1</v>
      </c>
      <c r="O168" s="18">
        <f>LCOE!S194+LCOE!H$29</f>
        <v>313.75</v>
      </c>
      <c r="P168" s="12">
        <f>LCOE!T194+IF(A168&gt;=LCOE!H$30,100%,0%)</f>
        <v>1</v>
      </c>
      <c r="Q168" s="16">
        <f>LCOE!U194+O168/1000*IF(LCOE!H$14&gt;0,G168,H168)</f>
        <v>0</v>
      </c>
      <c r="R168" s="16">
        <f>LCOE!B194</f>
        <v>30</v>
      </c>
      <c r="S168" s="16">
        <f>LCOE!V194+Q168*P168*R168</f>
        <v>0</v>
      </c>
      <c r="T168" s="16">
        <f>LCOE!W194+LCOE!H$31</f>
        <v>0</v>
      </c>
      <c r="U168" s="16">
        <f>LCOE!X194+T168*IF(LCOE!H$14&gt;0,G168,H168)</f>
        <v>0</v>
      </c>
      <c r="V168" s="16">
        <f>LCOE!Y194+LCOE!H$32</f>
        <v>0</v>
      </c>
      <c r="W168" s="16">
        <f>LCOE!Z194+V168*IF(LCOE!H$14&gt;0,G168,H168)</f>
        <v>0</v>
      </c>
      <c r="X168" s="16">
        <f>LCOE!AA194+LCOE!H$34</f>
        <v>101</v>
      </c>
      <c r="Y168" s="16">
        <f t="shared" si="29"/>
        <v>0</v>
      </c>
      <c r="Z168" s="50">
        <f t="shared" si="32"/>
        <v>0</v>
      </c>
      <c r="AA168" s="50">
        <f t="shared" si="33"/>
        <v>0</v>
      </c>
      <c r="AB168" s="50">
        <f t="shared" si="34"/>
        <v>0</v>
      </c>
      <c r="AC168" s="50">
        <f t="shared" si="30"/>
        <v>0</v>
      </c>
      <c r="AD168" s="50">
        <f t="shared" si="25"/>
        <v>0</v>
      </c>
      <c r="AE168">
        <f t="shared" si="31"/>
        <v>30</v>
      </c>
      <c r="AF168" s="12">
        <f>LCOE!E194+LCOE!H$40</f>
        <v>0.08</v>
      </c>
      <c r="AG168">
        <f t="shared" si="26"/>
        <v>1885.9407204572153</v>
      </c>
      <c r="AH168" s="16">
        <f t="shared" si="21"/>
        <v>0</v>
      </c>
      <c r="AI168" s="16">
        <f t="shared" si="22"/>
        <v>0</v>
      </c>
      <c r="AJ168" s="16">
        <f t="shared" si="23"/>
        <v>0</v>
      </c>
      <c r="AK168" s="16">
        <f t="shared" si="24"/>
        <v>0</v>
      </c>
      <c r="AL168" s="16">
        <f t="shared" si="27"/>
        <v>0</v>
      </c>
      <c r="AM168" s="16">
        <f t="shared" si="28"/>
        <v>0</v>
      </c>
      <c r="AN168" s="16">
        <f>IF(LCOE!H$14&gt;0,G168,H168)/AG168</f>
        <v>0</v>
      </c>
    </row>
    <row r="169" spans="1:40">
      <c r="A169">
        <v>99</v>
      </c>
      <c r="C169" s="16">
        <f>LCOE!H195+IF(AND(LCOE!H$26&gt;0,A169&gt;=LCOE!H$26,A169&lt;=(LCOE!H$26+LCOE!H$27-1)),LCOE!H$42/LCOE!H$27,0)+IF(AND(D169=0,AE169&gt;=LCOE!H$16,COUNTIF(D144:D169,0)=LCOE!H$36),LCOE!H$35*LCOE!H$38,0)</f>
        <v>0</v>
      </c>
      <c r="D169" s="16">
        <f>IF(AE168&lt;LCOE!H$16,1,0)</f>
        <v>0</v>
      </c>
      <c r="E169" s="12">
        <f>LCOE!G195+IF(AND(A169&gt;=LCOE!H$26,A169&lt;=(LCOE!H$26+LCOE!H$27-1)),0,1)*IF(A169=LCOE!H$34,0,1)*D169</f>
        <v>0</v>
      </c>
      <c r="F169" s="12">
        <f>IF(F168&lt;LCOE!H$18,MIN(F168*(1+LCOE!H$19),LCOE!H$18),LCOE!H$18)+LCOE!J195</f>
        <v>0.9</v>
      </c>
      <c r="G169" s="16">
        <f>LCOE!K195+E169*F169*N169*(LCOE!H$14+LCOE!H195)*24*365*D169</f>
        <v>0</v>
      </c>
      <c r="H169" s="16">
        <f>LCOE!L195+F169*(LCOE!H$15+LCOE!I195)*E169*24*365*D169*N169</f>
        <v>0</v>
      </c>
      <c r="I169" s="16">
        <f>LCOE!M195+LCOE!H$20*IF(LCOE!H$14&gt;0,(LCOE!H$14+LCOE!H195),(LCOE!H$15+LCOE!I195))*K169*D169</f>
        <v>0</v>
      </c>
      <c r="J169" s="16">
        <f>LCOE!N195+LCOE!H$21*IF(LCOE!H$14&gt;0,G169,H169)*K169*D169</f>
        <v>0</v>
      </c>
      <c r="K169" s="15">
        <f>LCOE!O195+K168+K168*LCOE!H$22</f>
        <v>1</v>
      </c>
      <c r="L169" s="16">
        <f>LCOE!P195+LCOE!H$23*IF(LCOE!H$14&gt;0,G169,H169)*M169*D169</f>
        <v>0</v>
      </c>
      <c r="M169" s="15">
        <f>LCOE!Q195+M168+M168*LCOE!H$24</f>
        <v>1</v>
      </c>
      <c r="N169" s="15">
        <f>LCOE!R195+N168-N168*LCOE!H$25</f>
        <v>1</v>
      </c>
      <c r="O169" s="18">
        <f>LCOE!S195+LCOE!H$29</f>
        <v>313.75</v>
      </c>
      <c r="P169" s="12">
        <f>LCOE!T195+IF(A169&gt;=LCOE!H$30,100%,0%)</f>
        <v>1</v>
      </c>
      <c r="Q169" s="16">
        <f>LCOE!U195+O169/1000*IF(LCOE!H$14&gt;0,G169,H169)</f>
        <v>0</v>
      </c>
      <c r="R169" s="16">
        <f>LCOE!B195</f>
        <v>30</v>
      </c>
      <c r="S169" s="16">
        <f>LCOE!V195+Q169*P169*R169</f>
        <v>0</v>
      </c>
      <c r="T169" s="16">
        <f>LCOE!W195+LCOE!H$31</f>
        <v>0</v>
      </c>
      <c r="U169" s="16">
        <f>LCOE!X195+T169*IF(LCOE!H$14&gt;0,G169,H169)</f>
        <v>0</v>
      </c>
      <c r="V169" s="16">
        <f>LCOE!Y195+LCOE!H$32</f>
        <v>0</v>
      </c>
      <c r="W169" s="16">
        <f>LCOE!Z195+V169*IF(LCOE!H$14&gt;0,G169,H169)</f>
        <v>0</v>
      </c>
      <c r="X169" s="16">
        <f>LCOE!AA195+LCOE!H$34</f>
        <v>101</v>
      </c>
      <c r="Y169" s="16">
        <f t="shared" si="29"/>
        <v>0</v>
      </c>
      <c r="Z169" s="50">
        <f t="shared" si="32"/>
        <v>0</v>
      </c>
      <c r="AA169" s="50">
        <f t="shared" si="33"/>
        <v>0</v>
      </c>
      <c r="AB169" s="50">
        <f t="shared" si="34"/>
        <v>0</v>
      </c>
      <c r="AC169" s="50">
        <f t="shared" si="30"/>
        <v>0</v>
      </c>
      <c r="AD169" s="50">
        <f t="shared" si="25"/>
        <v>0</v>
      </c>
      <c r="AE169">
        <f t="shared" si="31"/>
        <v>30</v>
      </c>
      <c r="AF169" s="12">
        <f>LCOE!E195+LCOE!H$40</f>
        <v>0.08</v>
      </c>
      <c r="AG169">
        <f t="shared" si="26"/>
        <v>2036.8159780937929</v>
      </c>
      <c r="AH169" s="16">
        <f t="shared" si="21"/>
        <v>0</v>
      </c>
      <c r="AI169" s="16">
        <f t="shared" si="22"/>
        <v>0</v>
      </c>
      <c r="AJ169" s="16">
        <f t="shared" si="23"/>
        <v>0</v>
      </c>
      <c r="AK169" s="16">
        <f t="shared" si="24"/>
        <v>0</v>
      </c>
      <c r="AL169" s="16">
        <f t="shared" si="27"/>
        <v>0</v>
      </c>
      <c r="AM169" s="16">
        <f t="shared" si="28"/>
        <v>0</v>
      </c>
      <c r="AN169" s="16">
        <f>IF(LCOE!H$14&gt;0,G169,H169)/AG169</f>
        <v>0</v>
      </c>
    </row>
    <row r="170" spans="1:40">
      <c r="A170">
        <v>100</v>
      </c>
      <c r="C170" s="16">
        <f>LCOE!H196+IF(AND(LCOE!H$26&gt;0,A170&gt;=LCOE!H$26,A170&lt;=(LCOE!H$26+LCOE!H$27-1)),LCOE!H$42/LCOE!H$27,0)+IF(AND(D170=0,AE170&gt;=LCOE!H$16,COUNTIF(D145:D170,0)=LCOE!H$36),LCOE!H$35*LCOE!H$38,0)</f>
        <v>0</v>
      </c>
      <c r="D170" s="16">
        <f>IF(AE169&lt;LCOE!H$16,1,0)</f>
        <v>0</v>
      </c>
      <c r="E170" s="12">
        <f>LCOE!G196+IF(AND(A170&gt;=LCOE!H$26,A170&lt;=(LCOE!H$26+LCOE!H$27-1)),0,1)*IF(A170=LCOE!H$34,0,1)*D170</f>
        <v>0</v>
      </c>
      <c r="F170" s="12">
        <f>IF(F169&lt;LCOE!H$18,MIN(F169*(1+LCOE!H$19),LCOE!H$18),LCOE!H$18)+LCOE!J196</f>
        <v>0.9</v>
      </c>
      <c r="G170" s="16">
        <f>LCOE!K196+E170*F170*N170*(LCOE!H$14+LCOE!H196)*24*365*D170</f>
        <v>0</v>
      </c>
      <c r="H170" s="16">
        <f>LCOE!L196+F170*(LCOE!H$15+LCOE!I196)*E170*24*365*D170*N170</f>
        <v>0</v>
      </c>
      <c r="I170" s="16">
        <f>LCOE!M196+LCOE!H$20*IF(LCOE!H$14&gt;0,(LCOE!H$14+LCOE!H196),(LCOE!H$15+LCOE!I196))*K170*D170</f>
        <v>0</v>
      </c>
      <c r="J170" s="16">
        <f>LCOE!N196+LCOE!H$21*IF(LCOE!H$14&gt;0,G170,H170)*K170*D170</f>
        <v>0</v>
      </c>
      <c r="K170" s="15">
        <f>LCOE!O196+K169+K169*LCOE!H$22</f>
        <v>1</v>
      </c>
      <c r="L170" s="16">
        <f>LCOE!P196+LCOE!H$23*IF(LCOE!H$14&gt;0,G170,H170)*M170*D170</f>
        <v>0</v>
      </c>
      <c r="M170" s="15">
        <f>LCOE!Q196+M169+M169*LCOE!H$24</f>
        <v>1</v>
      </c>
      <c r="N170" s="15">
        <f>LCOE!R196+N169-N169*LCOE!H$25</f>
        <v>1</v>
      </c>
      <c r="O170" s="18">
        <f>LCOE!S196+LCOE!H$29</f>
        <v>313.75</v>
      </c>
      <c r="P170" s="12">
        <f>LCOE!T196+IF(A170&gt;=LCOE!H$30,100%,0%)</f>
        <v>1</v>
      </c>
      <c r="Q170" s="16">
        <f>LCOE!U196+O170/1000*IF(LCOE!H$14&gt;0,G170,H170)</f>
        <v>0</v>
      </c>
      <c r="R170" s="16">
        <f>LCOE!B196</f>
        <v>30</v>
      </c>
      <c r="S170" s="16">
        <f>LCOE!V196+Q170*P170*R170</f>
        <v>0</v>
      </c>
      <c r="T170" s="16">
        <f>LCOE!W196+LCOE!H$31</f>
        <v>0</v>
      </c>
      <c r="U170" s="16">
        <f>LCOE!X196+T170*IF(LCOE!H$14&gt;0,G170,H170)</f>
        <v>0</v>
      </c>
      <c r="V170" s="16">
        <f>LCOE!Y196+LCOE!H$32</f>
        <v>0</v>
      </c>
      <c r="W170" s="16">
        <f>LCOE!Z196+V170*IF(LCOE!H$14&gt;0,G170,H170)</f>
        <v>0</v>
      </c>
      <c r="X170" s="16">
        <f>LCOE!AA196+LCOE!H$34</f>
        <v>101</v>
      </c>
      <c r="Y170" s="16">
        <f t="shared" si="29"/>
        <v>0</v>
      </c>
      <c r="Z170" s="50">
        <f t="shared" si="32"/>
        <v>0</v>
      </c>
      <c r="AA170" s="50">
        <f t="shared" si="33"/>
        <v>0</v>
      </c>
      <c r="AB170" s="50">
        <f t="shared" si="34"/>
        <v>0</v>
      </c>
      <c r="AC170" s="50">
        <f t="shared" si="30"/>
        <v>0</v>
      </c>
      <c r="AD170" s="50">
        <f t="shared" si="25"/>
        <v>0</v>
      </c>
      <c r="AE170">
        <f t="shared" si="31"/>
        <v>30</v>
      </c>
      <c r="AF170" s="12">
        <f>LCOE!E196+LCOE!H$40</f>
        <v>0.08</v>
      </c>
      <c r="AG170">
        <f t="shared" si="26"/>
        <v>2199.7612563412968</v>
      </c>
      <c r="AH170" s="16">
        <f t="shared" si="21"/>
        <v>0</v>
      </c>
      <c r="AI170" s="16">
        <f t="shared" si="22"/>
        <v>0</v>
      </c>
      <c r="AJ170" s="16">
        <f t="shared" si="23"/>
        <v>0</v>
      </c>
      <c r="AK170" s="16">
        <f t="shared" si="24"/>
        <v>0</v>
      </c>
      <c r="AL170" s="16">
        <f t="shared" si="27"/>
        <v>0</v>
      </c>
      <c r="AM170" s="16">
        <f t="shared" si="28"/>
        <v>0</v>
      </c>
      <c r="AN170" s="16">
        <f>IF(LCOE!H$14&gt;0,G170,H170)/AG170</f>
        <v>0</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95A6-7DF8-D844-AA16-D31B95F1B42F}">
  <dimension ref="A2:AN170"/>
  <sheetViews>
    <sheetView topLeftCell="A15" workbookViewId="0">
      <pane xSplit="1760" ySplit="5160" topLeftCell="A52" activePane="bottomRight"/>
      <selection pane="bottomRight" activeCell="H70" sqref="H70"/>
      <selection pane="bottomLeft" activeCell="A41" sqref="A41:D41"/>
      <selection pane="topRight" activeCell="G33" sqref="G33"/>
    </sheetView>
    <sheetView workbookViewId="1"/>
  </sheetViews>
  <sheetFormatPr defaultColWidth="11" defaultRowHeight="15.95"/>
  <cols>
    <col min="2" max="2" width="40.875" bestFit="1" customWidth="1"/>
    <col min="3" max="3" width="14.625" bestFit="1" customWidth="1"/>
    <col min="4" max="5" width="14.625" customWidth="1"/>
    <col min="6" max="6" width="18.125" customWidth="1"/>
    <col min="7" max="8" width="15.625" customWidth="1"/>
    <col min="9" max="9" width="11.125" bestFit="1" customWidth="1"/>
    <col min="10" max="10" width="11.625" bestFit="1" customWidth="1"/>
    <col min="11" max="11" width="12.625" bestFit="1" customWidth="1"/>
    <col min="12" max="12" width="11.125" bestFit="1" customWidth="1"/>
    <col min="17" max="17" width="13.625" bestFit="1" customWidth="1"/>
    <col min="18" max="18" width="13.625" customWidth="1"/>
    <col min="19" max="20" width="12.125" customWidth="1"/>
    <col min="26" max="26" width="12.875" bestFit="1" customWidth="1"/>
    <col min="27" max="28" width="11.125" bestFit="1" customWidth="1"/>
    <col min="29" max="30" width="11" bestFit="1" customWidth="1"/>
    <col min="34" max="34" width="17.625" customWidth="1"/>
    <col min="35" max="37" width="11.625" bestFit="1" customWidth="1"/>
    <col min="38" max="38" width="11.625" customWidth="1"/>
  </cols>
  <sheetData>
    <row r="2" spans="2:10" ht="21">
      <c r="B2" s="26" t="s">
        <v>221</v>
      </c>
      <c r="C2" s="26" t="str">
        <f>LCOE!I3</f>
        <v>LCOE 6</v>
      </c>
      <c r="D2" s="26"/>
      <c r="E2" s="26"/>
      <c r="F2" s="26" t="s">
        <v>222</v>
      </c>
      <c r="G2" t="str">
        <f>C4</f>
        <v>USD</v>
      </c>
      <c r="I2" t="str">
        <f>C6</f>
        <v>USD</v>
      </c>
    </row>
    <row r="3" spans="2:10">
      <c r="B3" t="str">
        <f>LCOE!C5</f>
        <v>Name</v>
      </c>
      <c r="C3" t="str">
        <f>LCOE!I5</f>
        <v>CCGT in Belgium (2020)</v>
      </c>
      <c r="F3" s="24" t="str">
        <f>LCOE!C46</f>
        <v>LCOE (LCOHeat for pure heat plants)</v>
      </c>
      <c r="G3" s="25">
        <f>SUM(AH45:AM170)/SUM(AN45:AN170)</f>
        <v>72.022032500546203</v>
      </c>
      <c r="H3" s="24" t="str">
        <f t="shared" ref="H3:H9" si="0">_xlfn.CONCAT(C$4,"/MWh")</f>
        <v>USD/MWh</v>
      </c>
      <c r="I3" s="25">
        <f>G3*C$7</f>
        <v>72.022032500546203</v>
      </c>
      <c r="J3" t="str">
        <f t="shared" ref="J3:J9" si="1">_xlfn.CONCAT(C$6,"/MWh")</f>
        <v>USD/MWh</v>
      </c>
    </row>
    <row r="4" spans="2:10">
      <c r="B4" t="str">
        <f>LCOE!C6</f>
        <v>Currency used for LCOE calculations</v>
      </c>
      <c r="C4" t="str">
        <f>LCOE!I6</f>
        <v>USD</v>
      </c>
      <c r="F4" s="24" t="str">
        <f>LCOE!C47</f>
        <v>Of which: Capital costs</v>
      </c>
      <c r="G4" s="22">
        <f>SUM(AH45:AH170)/SUM(AN45:AN170)</f>
        <v>14.520992375661274</v>
      </c>
      <c r="H4" t="str">
        <f t="shared" si="0"/>
        <v>USD/MWh</v>
      </c>
      <c r="I4" s="25">
        <f t="shared" ref="I4:I9" si="2">G4*C$7</f>
        <v>14.520992375661274</v>
      </c>
      <c r="J4" t="str">
        <f t="shared" si="1"/>
        <v>USD/MWh</v>
      </c>
    </row>
    <row r="5" spans="2:10">
      <c r="B5" t="str">
        <f>LCOE!C7</f>
        <v>Price reference year</v>
      </c>
      <c r="C5">
        <f>LCOE!I7</f>
        <v>0</v>
      </c>
      <c r="F5" s="24" t="str">
        <f>LCOE!C48</f>
        <v>O&amp;M</v>
      </c>
      <c r="G5" s="23">
        <f>SUM(AI45:AI170)/SUM(AN45:AN170)</f>
        <v>5.4285401248848979</v>
      </c>
      <c r="H5" t="str">
        <f t="shared" si="0"/>
        <v>USD/MWh</v>
      </c>
      <c r="I5" s="25">
        <f t="shared" si="2"/>
        <v>5.4285401248848979</v>
      </c>
      <c r="J5" t="str">
        <f t="shared" si="1"/>
        <v>USD/MWh</v>
      </c>
    </row>
    <row r="6" spans="2:10">
      <c r="B6" t="str">
        <f>LCOE!C8</f>
        <v>Currency used</v>
      </c>
      <c r="C6" t="str">
        <f>LCOE!I8</f>
        <v>USD</v>
      </c>
      <c r="F6" s="24" t="str">
        <f>LCOE!C49</f>
        <v>Fuel</v>
      </c>
      <c r="G6" s="23">
        <f>SUM(AJ45:AJ170)/SUM(AN45:AN170)</f>
        <v>42.660000000000032</v>
      </c>
      <c r="H6" t="str">
        <f t="shared" si="0"/>
        <v>USD/MWh</v>
      </c>
      <c r="I6" s="25">
        <f t="shared" si="2"/>
        <v>42.660000000000032</v>
      </c>
      <c r="J6" t="str">
        <f t="shared" si="1"/>
        <v>USD/MWh</v>
      </c>
    </row>
    <row r="7" spans="2:10">
      <c r="B7" t="str">
        <f>LCOE!C9</f>
        <v>Conversion rate at reference year</v>
      </c>
      <c r="C7">
        <f>LCOE!I9</f>
        <v>1</v>
      </c>
      <c r="F7" s="24" t="str">
        <f>LCOE!C50</f>
        <v>Taxes and fees</v>
      </c>
      <c r="G7" s="23">
        <f>SUM(AK45:AK170)/SUM(AN45:AN170)</f>
        <v>0</v>
      </c>
      <c r="H7" t="str">
        <f t="shared" si="0"/>
        <v>USD/MWh</v>
      </c>
      <c r="I7" s="25">
        <f t="shared" si="2"/>
        <v>0</v>
      </c>
      <c r="J7" t="str">
        <f t="shared" si="1"/>
        <v>USD/MWh</v>
      </c>
    </row>
    <row r="8" spans="2:10">
      <c r="B8" t="str">
        <f>LCOE!C10</f>
        <v>Debt %</v>
      </c>
      <c r="C8">
        <f>LCOE!I10</f>
        <v>0.9</v>
      </c>
      <c r="F8" s="24" t="str">
        <f>LCOE!C51</f>
        <v>Emission costs</v>
      </c>
      <c r="G8" s="23">
        <f>SUM(AL45:AL170)/SUM(AN45:AN170)</f>
        <v>9.4125000000000068</v>
      </c>
      <c r="H8" t="str">
        <f t="shared" si="0"/>
        <v>USD/MWh</v>
      </c>
      <c r="I8" s="25">
        <f t="shared" si="2"/>
        <v>9.4125000000000068</v>
      </c>
      <c r="J8" t="str">
        <f t="shared" si="1"/>
        <v>USD/MWh</v>
      </c>
    </row>
    <row r="9" spans="2:10">
      <c r="B9" t="str">
        <f>LCOE!C11</f>
        <v>Cost of debt (private discount rate)</v>
      </c>
      <c r="C9" s="3">
        <f>LCOE!I11</f>
        <v>0.1</v>
      </c>
      <c r="F9" s="24" t="str">
        <f>LCOE!C52</f>
        <v>Heat credit (for CHP plants)</v>
      </c>
      <c r="G9" s="18">
        <f>IF(C15&gt;0,SUM(AM45:AM170)/SUM(AN45:AN170),0)</f>
        <v>0</v>
      </c>
      <c r="H9" t="str">
        <f t="shared" si="0"/>
        <v>USD/MWh</v>
      </c>
      <c r="I9" s="25">
        <f t="shared" si="2"/>
        <v>0</v>
      </c>
      <c r="J9" t="str">
        <f t="shared" si="1"/>
        <v>USD/MWh</v>
      </c>
    </row>
    <row r="10" spans="2:10">
      <c r="B10" t="str">
        <f>LCOE!C12</f>
        <v>Cost of equity (discount rate)</v>
      </c>
      <c r="C10" s="3">
        <f>LCOE!I12</f>
        <v>0.1</v>
      </c>
      <c r="F10" s="24" t="str">
        <f>LCOE!C53</f>
        <v>WACC average over lifetime</v>
      </c>
      <c r="G10" s="12">
        <f>AVERAGE(AF70:AF170)</f>
        <v>9.9999999999999797E-2</v>
      </c>
      <c r="I10" s="14">
        <f>G10</f>
        <v>9.9999999999999797E-2</v>
      </c>
    </row>
    <row r="11" spans="2:10">
      <c r="B11" t="str">
        <f>LCOE!C13</f>
        <v>Construction cost per kW</v>
      </c>
      <c r="C11">
        <f>LCOE!I13</f>
        <v>1009</v>
      </c>
      <c r="F11" s="24" t="str">
        <f>LCOE!C54</f>
        <v>Plant type</v>
      </c>
      <c r="G11" t="str">
        <f>IF(AND(LCOE!I$14&gt;0,LCOE!I$15=0),"Electric only",IF(AND(LCOE!I$14&gt;0,LCOE!I$15&gt;0),"CHP",IF(AND(LCOE!I$14=0,LCOE!I$15&gt;0),"Heat only","Error: no generation")))</f>
        <v>Electric only</v>
      </c>
      <c r="I11" s="18" t="str">
        <f>G11</f>
        <v>Electric only</v>
      </c>
    </row>
    <row r="12" spans="2:10">
      <c r="B12" t="str">
        <f>LCOE!C14</f>
        <v>Maximum electric power, in MW_e</v>
      </c>
      <c r="C12">
        <f>LCOE!I14</f>
        <v>500</v>
      </c>
    </row>
    <row r="13" spans="2:10">
      <c r="B13" t="str">
        <f>LCOE!C15</f>
        <v>Maximum heat power, in MW_h</v>
      </c>
      <c r="C13">
        <f>LCOE!I15</f>
        <v>0</v>
      </c>
    </row>
    <row r="14" spans="2:10">
      <c r="B14" t="str">
        <f>LCOE!C16</f>
        <v>Plant lifetime</v>
      </c>
      <c r="C14">
        <f>LCOE!I16</f>
        <v>30</v>
      </c>
    </row>
    <row r="15" spans="2:10">
      <c r="B15" t="str">
        <f>LCOE!C17</f>
        <v>Construction period, years</v>
      </c>
      <c r="C15">
        <f>LCOE!I17</f>
        <v>3</v>
      </c>
    </row>
    <row r="16" spans="2:10">
      <c r="B16" t="str">
        <f>LCOE!C18</f>
        <v>Capacity factor (settled down)</v>
      </c>
      <c r="C16" s="14">
        <f>LCOE!I18</f>
        <v>0.9</v>
      </c>
    </row>
    <row r="17" spans="2:3">
      <c r="B17" t="str">
        <f>LCOE!C19</f>
        <v>Capacity factor ramp-up on startup, per year</v>
      </c>
      <c r="C17" s="14">
        <f>LCOE!I19</f>
        <v>0.6</v>
      </c>
    </row>
    <row r="18" spans="2:3">
      <c r="B18" t="str">
        <f>LCOE!C20</f>
        <v>Fixed OPEX/MW capacity at project start</v>
      </c>
      <c r="C18" s="18">
        <f>LCOE!I20</f>
        <v>40000</v>
      </c>
    </row>
    <row r="19" spans="2:3">
      <c r="B19" t="str">
        <f>LCOE!C21</f>
        <v>Variable OPEX/MWh produced at project start</v>
      </c>
      <c r="C19" s="18">
        <f>LCOE!I21</f>
        <v>0</v>
      </c>
    </row>
    <row r="20" spans="2:3">
      <c r="B20" t="str">
        <f>LCOE!C22</f>
        <v>OPEX escalator</v>
      </c>
      <c r="C20" s="14">
        <f>LCOE!I22</f>
        <v>0</v>
      </c>
    </row>
    <row r="21" spans="2:3">
      <c r="B21" t="str">
        <f>LCOE!C23</f>
        <v>FUELEX/MWh produced at project start</v>
      </c>
      <c r="C21">
        <f>LCOE!I23</f>
        <v>42.66</v>
      </c>
    </row>
    <row r="22" spans="2:3">
      <c r="B22" t="str">
        <f>LCOE!C24</f>
        <v>FUELEX escalator</v>
      </c>
      <c r="C22" s="14">
        <f>LCOE!I24</f>
        <v>0</v>
      </c>
    </row>
    <row r="23" spans="2:3">
      <c r="B23" t="str">
        <f>LCOE!C25</f>
        <v>Efficiency loss/year</v>
      </c>
      <c r="C23" s="14">
        <f>LCOE!I25</f>
        <v>0</v>
      </c>
    </row>
    <row r="24" spans="2:3">
      <c r="B24" t="str">
        <f>LCOE!C26</f>
        <v>Refurbishment year</v>
      </c>
      <c r="C24">
        <f>LCOE!I26</f>
        <v>101</v>
      </c>
    </row>
    <row r="25" spans="2:3">
      <c r="B25" t="str">
        <f>LCOE!C27</f>
        <v>Refurbishment time required, years</v>
      </c>
      <c r="C25">
        <f>LCOE!I27</f>
        <v>1</v>
      </c>
    </row>
    <row r="26" spans="2:3">
      <c r="B26" t="str">
        <f>LCOE!C28</f>
        <v>Refurbishment cost, per kW</v>
      </c>
      <c r="C26">
        <f>LCOE!I28</f>
        <v>0</v>
      </c>
    </row>
    <row r="27" spans="2:3">
      <c r="B27" t="str">
        <f>LCOE!C29</f>
        <v>Emission factor, gCO2e/kWh</v>
      </c>
      <c r="C27">
        <f>LCOE!I29</f>
        <v>313.75</v>
      </c>
    </row>
    <row r="28" spans="2:3">
      <c r="B28" t="str">
        <f>LCOE!C30</f>
        <v>Emissions taxed starting from year</v>
      </c>
      <c r="C28">
        <f>LCOE!I30</f>
        <v>0</v>
      </c>
    </row>
    <row r="29" spans="2:3">
      <c r="B29" t="str">
        <f>LCOE!C31</f>
        <v>Taxes, per MWh produced</v>
      </c>
      <c r="C29">
        <f>LCOE!I31</f>
        <v>0</v>
      </c>
    </row>
    <row r="30" spans="2:3">
      <c r="B30" t="str">
        <f>LCOE!C32</f>
        <v>Waste fee, per MWh produced</v>
      </c>
      <c r="C30">
        <f>LCOE!I32</f>
        <v>0</v>
      </c>
    </row>
    <row r="31" spans="2:3">
      <c r="B31" t="str">
        <f>LCOE!C33</f>
        <v>Heat credit, per MWh produced</v>
      </c>
      <c r="C31">
        <f>LCOE!I33</f>
        <v>30</v>
      </c>
    </row>
    <row r="32" spans="2:3">
      <c r="B32" t="str">
        <f>LCOE!C34</f>
        <v>Outage at year</v>
      </c>
      <c r="C32">
        <f>LCOE!I34</f>
        <v>101</v>
      </c>
    </row>
    <row r="33" spans="1:40">
      <c r="B33" t="str">
        <f>LCOE!C35</f>
        <v>Decommissioning costs, % of initial capital cost</v>
      </c>
      <c r="C33" s="14">
        <f>LCOE!I35</f>
        <v>0.05</v>
      </c>
    </row>
    <row r="34" spans="1:40">
      <c r="B34" t="str">
        <f>LCOE!C36</f>
        <v>Decommissioning delay, years</v>
      </c>
      <c r="C34">
        <f>LCOE!I36</f>
        <v>2</v>
      </c>
    </row>
    <row r="35" spans="1:40">
      <c r="B35" t="str">
        <f>LCOE!C37</f>
        <v>Results reference year/LC start year</v>
      </c>
      <c r="C35">
        <f>LCOE!I37</f>
        <v>2020</v>
      </c>
    </row>
    <row r="36" spans="1:40">
      <c r="B36" t="str">
        <f>LCOE!C38</f>
        <v>Total cost</v>
      </c>
      <c r="C36" s="16">
        <f>LCOE!I38</f>
        <v>504500000</v>
      </c>
    </row>
    <row r="37" spans="1:40">
      <c r="B37" t="str">
        <f>LCOE!C39</f>
        <v>Equity share</v>
      </c>
      <c r="C37">
        <f>LCOE!I39</f>
        <v>9.9999999999999978E-2</v>
      </c>
    </row>
    <row r="38" spans="1:40">
      <c r="B38" t="str">
        <f>LCOE!C40</f>
        <v>WACC (average discount rate)</v>
      </c>
      <c r="C38" s="3">
        <f>LCOE!I40</f>
        <v>0.1</v>
      </c>
    </row>
    <row r="39" spans="1:40">
      <c r="B39" t="str">
        <f>LCOE!C41</f>
        <v>Interest during construction (IDC)</v>
      </c>
      <c r="C39" s="14">
        <f>LCOE!I41</f>
        <v>0.1</v>
      </c>
    </row>
    <row r="40" spans="1:40">
      <c r="B40" t="str">
        <f>LCOE!C42</f>
        <v>Total overnight cost of refurbishment</v>
      </c>
      <c r="C40" s="16">
        <f>LCOE!I42</f>
        <v>0</v>
      </c>
    </row>
    <row r="41" spans="1:40">
      <c r="B41" t="str">
        <f>LCOE!C43</f>
        <v>Overrides</v>
      </c>
      <c r="C41">
        <f>LCOE!I43</f>
        <v>0</v>
      </c>
    </row>
    <row r="43" spans="1:40">
      <c r="Z43" s="48" t="s">
        <v>223</v>
      </c>
      <c r="AA43" s="48"/>
      <c r="AB43" s="48"/>
      <c r="AC43" s="48"/>
      <c r="AD43" s="48"/>
    </row>
    <row r="44" spans="1:40" ht="183.95">
      <c r="A44" t="s">
        <v>224</v>
      </c>
      <c r="B44" s="17" t="s">
        <v>161</v>
      </c>
      <c r="C44" s="43" t="s">
        <v>225</v>
      </c>
      <c r="D44" s="17" t="s">
        <v>226</v>
      </c>
      <c r="E44" s="17" t="s">
        <v>164</v>
      </c>
      <c r="F44" s="17" t="s">
        <v>167</v>
      </c>
      <c r="G44" s="17" t="s">
        <v>168</v>
      </c>
      <c r="H44" s="17" t="s">
        <v>169</v>
      </c>
      <c r="I44" s="17" t="s">
        <v>170</v>
      </c>
      <c r="J44" s="17" t="s">
        <v>171</v>
      </c>
      <c r="K44" s="17" t="s">
        <v>227</v>
      </c>
      <c r="L44" s="17" t="s">
        <v>173</v>
      </c>
      <c r="M44" s="17" t="s">
        <v>228</v>
      </c>
      <c r="N44" s="17" t="s">
        <v>229</v>
      </c>
      <c r="O44" s="17" t="s">
        <v>230</v>
      </c>
      <c r="P44" s="17" t="s">
        <v>177</v>
      </c>
      <c r="Q44" s="17" t="s">
        <v>231</v>
      </c>
      <c r="R44" s="17" t="s">
        <v>232</v>
      </c>
      <c r="S44" s="17" t="s">
        <v>233</v>
      </c>
      <c r="T44" s="17" t="s">
        <v>180</v>
      </c>
      <c r="U44" s="17" t="s">
        <v>181</v>
      </c>
      <c r="V44" s="17" t="s">
        <v>182</v>
      </c>
      <c r="W44" s="17" t="s">
        <v>183</v>
      </c>
      <c r="X44" s="17" t="s">
        <v>234</v>
      </c>
      <c r="Y44" s="17" t="s">
        <v>185</v>
      </c>
      <c r="Z44" s="49" t="s">
        <v>235</v>
      </c>
      <c r="AA44" s="49" t="s">
        <v>236</v>
      </c>
      <c r="AB44" s="49" t="s">
        <v>237</v>
      </c>
      <c r="AC44" s="49" t="s">
        <v>238</v>
      </c>
      <c r="AD44" s="49" t="s">
        <v>239</v>
      </c>
      <c r="AE44" s="17" t="s">
        <v>240</v>
      </c>
      <c r="AF44" s="17" t="s">
        <v>241</v>
      </c>
      <c r="AG44" s="17" t="s">
        <v>242</v>
      </c>
      <c r="AH44" s="17" t="s">
        <v>243</v>
      </c>
      <c r="AI44" s="17" t="s">
        <v>244</v>
      </c>
      <c r="AJ44" s="17" t="s">
        <v>245</v>
      </c>
      <c r="AK44" s="17" t="s">
        <v>246</v>
      </c>
      <c r="AL44" s="17" t="s">
        <v>247</v>
      </c>
      <c r="AM44" s="17" t="s">
        <v>248</v>
      </c>
      <c r="AN44" s="17" t="s">
        <v>249</v>
      </c>
    </row>
    <row r="45" spans="1:40">
      <c r="A45">
        <v>-25</v>
      </c>
      <c r="B45" s="16">
        <f>LCOE!C71+IF(A45&gt;=((LCOE!I$17*-1)+1),LCOE!I$38/LCOE!I$17,0)</f>
        <v>0</v>
      </c>
      <c r="C45" s="16"/>
      <c r="D45" s="16"/>
      <c r="E45" s="18"/>
      <c r="Z45" s="50">
        <f t="shared" ref="Z45:Z69" si="3">SUM(B45:C45)</f>
        <v>0</v>
      </c>
      <c r="AA45" s="50">
        <f t="shared" ref="AA45:AA69" si="4">SUM(I45:J45)</f>
        <v>0</v>
      </c>
      <c r="AB45" s="50">
        <f t="shared" ref="AB45:AB69" si="5">L45</f>
        <v>0</v>
      </c>
      <c r="AC45" s="50">
        <f t="shared" ref="AC45:AC69" si="6">SUM(S45:W45)</f>
        <v>0</v>
      </c>
      <c r="AD45" s="50">
        <f>S45</f>
        <v>0</v>
      </c>
      <c r="AE45">
        <v>-25</v>
      </c>
      <c r="AF45" s="12">
        <f>LCOE!E71+LCOE!I$40</f>
        <v>0.1</v>
      </c>
      <c r="AG45">
        <f>(1+AF45)^A45</f>
        <v>9.2295998177064048E-2</v>
      </c>
      <c r="AH45" s="16">
        <f t="shared" ref="AH45:AH108" si="7">Z45/AG45</f>
        <v>0</v>
      </c>
      <c r="AI45" s="16">
        <f t="shared" ref="AI45:AI108" si="8">AA45/AG45</f>
        <v>0</v>
      </c>
      <c r="AJ45" s="16">
        <f t="shared" ref="AJ45:AJ108" si="9">AB45/AG45</f>
        <v>0</v>
      </c>
      <c r="AK45" s="16">
        <f t="shared" ref="AK45:AK108" si="10">AC45/AG45</f>
        <v>0</v>
      </c>
      <c r="AL45" s="16">
        <f>AD45/AG45</f>
        <v>0</v>
      </c>
      <c r="AM45" s="16"/>
    </row>
    <row r="46" spans="1:40">
      <c r="A46">
        <v>-24</v>
      </c>
      <c r="B46" s="16">
        <f>LCOE!C72+IF(A46&gt;=((LCOE!I$17*-1)+1),LCOE!I$38/LCOE!I$17,0)</f>
        <v>0</v>
      </c>
      <c r="C46" s="16"/>
      <c r="D46" s="16"/>
      <c r="E46" s="18"/>
      <c r="Z46" s="50">
        <f t="shared" si="3"/>
        <v>0</v>
      </c>
      <c r="AA46" s="50">
        <f t="shared" si="4"/>
        <v>0</v>
      </c>
      <c r="AB46" s="50">
        <f t="shared" si="5"/>
        <v>0</v>
      </c>
      <c r="AC46" s="50">
        <f t="shared" si="6"/>
        <v>0</v>
      </c>
      <c r="AD46" s="50">
        <f t="shared" ref="AD46:AD109" si="11">S46</f>
        <v>0</v>
      </c>
      <c r="AE46">
        <v>-24</v>
      </c>
      <c r="AF46" s="12">
        <f>LCOE!E72+LCOE!I$40</f>
        <v>0.1</v>
      </c>
      <c r="AG46">
        <f t="shared" ref="AG46:AG109" si="12">(1+AF46)^A46</f>
        <v>0.10152559799477048</v>
      </c>
      <c r="AH46" s="16">
        <f t="shared" si="7"/>
        <v>0</v>
      </c>
      <c r="AI46" s="16">
        <f t="shared" si="8"/>
        <v>0</v>
      </c>
      <c r="AJ46" s="16">
        <f t="shared" si="9"/>
        <v>0</v>
      </c>
      <c r="AK46" s="16">
        <f t="shared" si="10"/>
        <v>0</v>
      </c>
      <c r="AL46" s="16">
        <f t="shared" ref="AL46:AL109" si="13">AD46/AG46</f>
        <v>0</v>
      </c>
      <c r="AM46" s="16"/>
    </row>
    <row r="47" spans="1:40">
      <c r="A47">
        <v>-23</v>
      </c>
      <c r="B47" s="16">
        <f>LCOE!C73+IF(A47&gt;=((LCOE!I$17*-1)+1),LCOE!I$38/LCOE!I$17,0)</f>
        <v>0</v>
      </c>
      <c r="C47" s="16"/>
      <c r="D47" s="16"/>
      <c r="E47" s="18"/>
      <c r="Z47" s="50">
        <f t="shared" si="3"/>
        <v>0</v>
      </c>
      <c r="AA47" s="50">
        <f t="shared" si="4"/>
        <v>0</v>
      </c>
      <c r="AB47" s="50">
        <f t="shared" si="5"/>
        <v>0</v>
      </c>
      <c r="AC47" s="50">
        <f t="shared" si="6"/>
        <v>0</v>
      </c>
      <c r="AD47" s="50">
        <f t="shared" si="11"/>
        <v>0</v>
      </c>
      <c r="AE47">
        <v>-23</v>
      </c>
      <c r="AF47" s="12">
        <f>LCOE!E73+LCOE!I$40</f>
        <v>0.1</v>
      </c>
      <c r="AG47">
        <f t="shared" si="12"/>
        <v>0.11167815779424752</v>
      </c>
      <c r="AH47" s="16">
        <f t="shared" si="7"/>
        <v>0</v>
      </c>
      <c r="AI47" s="16">
        <f t="shared" si="8"/>
        <v>0</v>
      </c>
      <c r="AJ47" s="16">
        <f t="shared" si="9"/>
        <v>0</v>
      </c>
      <c r="AK47" s="16">
        <f t="shared" si="10"/>
        <v>0</v>
      </c>
      <c r="AL47" s="16">
        <f t="shared" si="13"/>
        <v>0</v>
      </c>
      <c r="AM47" s="16"/>
    </row>
    <row r="48" spans="1:40">
      <c r="A48">
        <v>-22</v>
      </c>
      <c r="B48" s="16">
        <f>LCOE!C74+IF(A48&gt;=((LCOE!I$17*-1)+1),LCOE!I$38/LCOE!I$17,0)</f>
        <v>0</v>
      </c>
      <c r="C48" s="16"/>
      <c r="D48" s="16"/>
      <c r="E48" s="18"/>
      <c r="Z48" s="50">
        <f t="shared" si="3"/>
        <v>0</v>
      </c>
      <c r="AA48" s="50">
        <f t="shared" si="4"/>
        <v>0</v>
      </c>
      <c r="AB48" s="50">
        <f t="shared" si="5"/>
        <v>0</v>
      </c>
      <c r="AC48" s="50">
        <f t="shared" si="6"/>
        <v>0</v>
      </c>
      <c r="AD48" s="50">
        <f t="shared" si="11"/>
        <v>0</v>
      </c>
      <c r="AE48">
        <v>-22</v>
      </c>
      <c r="AF48" s="12">
        <f>LCOE!E74+LCOE!I$40</f>
        <v>0.1</v>
      </c>
      <c r="AG48">
        <f t="shared" si="12"/>
        <v>0.12284597357367227</v>
      </c>
      <c r="AH48" s="16">
        <f t="shared" si="7"/>
        <v>0</v>
      </c>
      <c r="AI48" s="16">
        <f t="shared" si="8"/>
        <v>0</v>
      </c>
      <c r="AJ48" s="16">
        <f t="shared" si="9"/>
        <v>0</v>
      </c>
      <c r="AK48" s="16">
        <f t="shared" si="10"/>
        <v>0</v>
      </c>
      <c r="AL48" s="16">
        <f t="shared" si="13"/>
        <v>0</v>
      </c>
      <c r="AM48" s="16"/>
    </row>
    <row r="49" spans="1:39">
      <c r="A49">
        <v>-21</v>
      </c>
      <c r="B49" s="16">
        <f>LCOE!C75+IF(A49&gt;=((LCOE!I$17*-1)+1),LCOE!I$38/LCOE!I$17,0)</f>
        <v>0</v>
      </c>
      <c r="C49" s="16"/>
      <c r="D49" s="16"/>
      <c r="E49" s="18"/>
      <c r="Z49" s="50">
        <f t="shared" si="3"/>
        <v>0</v>
      </c>
      <c r="AA49" s="50">
        <f t="shared" si="4"/>
        <v>0</v>
      </c>
      <c r="AB49" s="50">
        <f t="shared" si="5"/>
        <v>0</v>
      </c>
      <c r="AC49" s="50">
        <f t="shared" si="6"/>
        <v>0</v>
      </c>
      <c r="AD49" s="50">
        <f t="shared" si="11"/>
        <v>0</v>
      </c>
      <c r="AE49">
        <v>-21</v>
      </c>
      <c r="AF49" s="12">
        <f>LCOE!E75+LCOE!I$40</f>
        <v>0.1</v>
      </c>
      <c r="AG49">
        <f t="shared" si="12"/>
        <v>0.13513057093103953</v>
      </c>
      <c r="AH49" s="16">
        <f t="shared" si="7"/>
        <v>0</v>
      </c>
      <c r="AI49" s="16">
        <f t="shared" si="8"/>
        <v>0</v>
      </c>
      <c r="AJ49" s="16">
        <f t="shared" si="9"/>
        <v>0</v>
      </c>
      <c r="AK49" s="16">
        <f t="shared" si="10"/>
        <v>0</v>
      </c>
      <c r="AL49" s="16">
        <f t="shared" si="13"/>
        <v>0</v>
      </c>
      <c r="AM49" s="16"/>
    </row>
    <row r="50" spans="1:39">
      <c r="A50">
        <v>-20</v>
      </c>
      <c r="B50" s="16">
        <f>LCOE!C76+IF(A50&gt;=((LCOE!I$17*-1)+1),LCOE!I$38/LCOE!I$17,0)</f>
        <v>0</v>
      </c>
      <c r="C50" s="16"/>
      <c r="D50" s="16"/>
      <c r="E50" s="18"/>
      <c r="Z50" s="50">
        <f t="shared" si="3"/>
        <v>0</v>
      </c>
      <c r="AA50" s="50">
        <f t="shared" si="4"/>
        <v>0</v>
      </c>
      <c r="AB50" s="50">
        <f t="shared" si="5"/>
        <v>0</v>
      </c>
      <c r="AC50" s="50">
        <f t="shared" si="6"/>
        <v>0</v>
      </c>
      <c r="AD50" s="50">
        <f t="shared" si="11"/>
        <v>0</v>
      </c>
      <c r="AE50">
        <v>-20</v>
      </c>
      <c r="AF50" s="12">
        <f>LCOE!E76+LCOE!I$40</f>
        <v>0.1</v>
      </c>
      <c r="AG50">
        <f t="shared" si="12"/>
        <v>0.14864362802414349</v>
      </c>
      <c r="AH50" s="16">
        <f t="shared" si="7"/>
        <v>0</v>
      </c>
      <c r="AI50" s="16">
        <f t="shared" si="8"/>
        <v>0</v>
      </c>
      <c r="AJ50" s="16">
        <f t="shared" si="9"/>
        <v>0</v>
      </c>
      <c r="AK50" s="16">
        <f t="shared" si="10"/>
        <v>0</v>
      </c>
      <c r="AL50" s="16">
        <f t="shared" si="13"/>
        <v>0</v>
      </c>
      <c r="AM50" s="16"/>
    </row>
    <row r="51" spans="1:39">
      <c r="A51">
        <v>-19</v>
      </c>
      <c r="B51" s="16">
        <f>LCOE!C77+IF(A51&gt;=((LCOE!I$17*-1)+1),LCOE!I$38/LCOE!I$17,0)</f>
        <v>0</v>
      </c>
      <c r="C51" s="16"/>
      <c r="D51" s="16"/>
      <c r="E51" s="18"/>
      <c r="Z51" s="50">
        <f t="shared" si="3"/>
        <v>0</v>
      </c>
      <c r="AA51" s="50">
        <f t="shared" si="4"/>
        <v>0</v>
      </c>
      <c r="AB51" s="50">
        <f t="shared" si="5"/>
        <v>0</v>
      </c>
      <c r="AC51" s="50">
        <f t="shared" si="6"/>
        <v>0</v>
      </c>
      <c r="AD51" s="50">
        <f t="shared" si="11"/>
        <v>0</v>
      </c>
      <c r="AE51">
        <v>-19</v>
      </c>
      <c r="AF51" s="12">
        <f>LCOE!E77+LCOE!I$40</f>
        <v>0.1</v>
      </c>
      <c r="AG51">
        <f t="shared" si="12"/>
        <v>0.16350799082655781</v>
      </c>
      <c r="AH51" s="16">
        <f t="shared" si="7"/>
        <v>0</v>
      </c>
      <c r="AI51" s="16">
        <f t="shared" si="8"/>
        <v>0</v>
      </c>
      <c r="AJ51" s="16">
        <f t="shared" si="9"/>
        <v>0</v>
      </c>
      <c r="AK51" s="16">
        <f t="shared" si="10"/>
        <v>0</v>
      </c>
      <c r="AL51" s="16">
        <f t="shared" si="13"/>
        <v>0</v>
      </c>
      <c r="AM51" s="16"/>
    </row>
    <row r="52" spans="1:39">
      <c r="A52">
        <v>-18</v>
      </c>
      <c r="B52" s="16">
        <f>LCOE!C78+IF(A52&gt;=((LCOE!I$17*-1)+1),LCOE!I$38/LCOE!I$17,0)</f>
        <v>0</v>
      </c>
      <c r="C52" s="16"/>
      <c r="D52" s="16"/>
      <c r="E52" s="18"/>
      <c r="Z52" s="50">
        <f t="shared" si="3"/>
        <v>0</v>
      </c>
      <c r="AA52" s="50">
        <f t="shared" si="4"/>
        <v>0</v>
      </c>
      <c r="AB52" s="50">
        <f t="shared" si="5"/>
        <v>0</v>
      </c>
      <c r="AC52" s="50">
        <f t="shared" si="6"/>
        <v>0</v>
      </c>
      <c r="AD52" s="50">
        <f t="shared" si="11"/>
        <v>0</v>
      </c>
      <c r="AE52">
        <v>-18</v>
      </c>
      <c r="AF52" s="12">
        <f>LCOE!E78+LCOE!I$40</f>
        <v>0.1</v>
      </c>
      <c r="AG52">
        <f t="shared" si="12"/>
        <v>0.17985878990921364</v>
      </c>
      <c r="AH52" s="16">
        <f t="shared" si="7"/>
        <v>0</v>
      </c>
      <c r="AI52" s="16">
        <f t="shared" si="8"/>
        <v>0</v>
      </c>
      <c r="AJ52" s="16">
        <f t="shared" si="9"/>
        <v>0</v>
      </c>
      <c r="AK52" s="16">
        <f t="shared" si="10"/>
        <v>0</v>
      </c>
      <c r="AL52" s="16">
        <f t="shared" si="13"/>
        <v>0</v>
      </c>
      <c r="AM52" s="16"/>
    </row>
    <row r="53" spans="1:39">
      <c r="A53">
        <v>-17</v>
      </c>
      <c r="B53" s="16">
        <f>LCOE!C79+IF(A53&gt;=((LCOE!I$17*-1)+1),LCOE!I$38/LCOE!I$17,0)</f>
        <v>0</v>
      </c>
      <c r="C53" s="16"/>
      <c r="D53" s="16"/>
      <c r="E53" s="18"/>
      <c r="Z53" s="50">
        <f t="shared" si="3"/>
        <v>0</v>
      </c>
      <c r="AA53" s="50">
        <f t="shared" si="4"/>
        <v>0</v>
      </c>
      <c r="AB53" s="50">
        <f t="shared" si="5"/>
        <v>0</v>
      </c>
      <c r="AC53" s="50">
        <f t="shared" si="6"/>
        <v>0</v>
      </c>
      <c r="AD53" s="50">
        <f t="shared" si="11"/>
        <v>0</v>
      </c>
      <c r="AE53">
        <v>-17</v>
      </c>
      <c r="AF53" s="12">
        <f>LCOE!E79+LCOE!I$40</f>
        <v>0.1</v>
      </c>
      <c r="AG53">
        <f t="shared" si="12"/>
        <v>0.19784466890013502</v>
      </c>
      <c r="AH53" s="16">
        <f t="shared" si="7"/>
        <v>0</v>
      </c>
      <c r="AI53" s="16">
        <f t="shared" si="8"/>
        <v>0</v>
      </c>
      <c r="AJ53" s="16">
        <f t="shared" si="9"/>
        <v>0</v>
      </c>
      <c r="AK53" s="16">
        <f t="shared" si="10"/>
        <v>0</v>
      </c>
      <c r="AL53" s="16">
        <f t="shared" si="13"/>
        <v>0</v>
      </c>
      <c r="AM53" s="16"/>
    </row>
    <row r="54" spans="1:39">
      <c r="A54">
        <v>-16</v>
      </c>
      <c r="B54" s="16">
        <f>LCOE!C80+IF(A54&gt;=((LCOE!I$17*-1)+1),LCOE!I$38/LCOE!I$17,0)</f>
        <v>0</v>
      </c>
      <c r="C54" s="16"/>
      <c r="D54" s="16"/>
      <c r="E54" s="18"/>
      <c r="Z54" s="50">
        <f t="shared" si="3"/>
        <v>0</v>
      </c>
      <c r="AA54" s="50">
        <f t="shared" si="4"/>
        <v>0</v>
      </c>
      <c r="AB54" s="50">
        <f t="shared" si="5"/>
        <v>0</v>
      </c>
      <c r="AC54" s="50">
        <f t="shared" si="6"/>
        <v>0</v>
      </c>
      <c r="AD54" s="50">
        <f t="shared" si="11"/>
        <v>0</v>
      </c>
      <c r="AE54">
        <v>-16</v>
      </c>
      <c r="AF54" s="12">
        <f>LCOE!E80+LCOE!I$40</f>
        <v>0.1</v>
      </c>
      <c r="AG54">
        <f t="shared" si="12"/>
        <v>0.21762913579014853</v>
      </c>
      <c r="AH54" s="16">
        <f t="shared" si="7"/>
        <v>0</v>
      </c>
      <c r="AI54" s="16">
        <f t="shared" si="8"/>
        <v>0</v>
      </c>
      <c r="AJ54" s="16">
        <f t="shared" si="9"/>
        <v>0</v>
      </c>
      <c r="AK54" s="16">
        <f t="shared" si="10"/>
        <v>0</v>
      </c>
      <c r="AL54" s="16">
        <f t="shared" si="13"/>
        <v>0</v>
      </c>
      <c r="AM54" s="16"/>
    </row>
    <row r="55" spans="1:39">
      <c r="A55">
        <v>-15</v>
      </c>
      <c r="B55" s="16">
        <f>LCOE!C81+IF(A55&gt;=((LCOE!I$17*-1)+1),LCOE!I$38/LCOE!I$17,0)</f>
        <v>0</v>
      </c>
      <c r="C55" s="16"/>
      <c r="D55" s="16"/>
      <c r="E55" s="18"/>
      <c r="Z55" s="50">
        <f t="shared" si="3"/>
        <v>0</v>
      </c>
      <c r="AA55" s="50">
        <f t="shared" si="4"/>
        <v>0</v>
      </c>
      <c r="AB55" s="50">
        <f t="shared" si="5"/>
        <v>0</v>
      </c>
      <c r="AC55" s="50">
        <f t="shared" si="6"/>
        <v>0</v>
      </c>
      <c r="AD55" s="50">
        <f t="shared" si="11"/>
        <v>0</v>
      </c>
      <c r="AE55">
        <v>-15</v>
      </c>
      <c r="AF55" s="12">
        <f>LCOE!E81+LCOE!I$40</f>
        <v>0.1</v>
      </c>
      <c r="AG55">
        <f t="shared" si="12"/>
        <v>0.23939204936916339</v>
      </c>
      <c r="AH55" s="16">
        <f t="shared" si="7"/>
        <v>0</v>
      </c>
      <c r="AI55" s="16">
        <f t="shared" si="8"/>
        <v>0</v>
      </c>
      <c r="AJ55" s="16">
        <f t="shared" si="9"/>
        <v>0</v>
      </c>
      <c r="AK55" s="16">
        <f t="shared" si="10"/>
        <v>0</v>
      </c>
      <c r="AL55" s="16">
        <f t="shared" si="13"/>
        <v>0</v>
      </c>
      <c r="AM55" s="16"/>
    </row>
    <row r="56" spans="1:39">
      <c r="A56">
        <v>-14</v>
      </c>
      <c r="B56" s="16">
        <f>LCOE!C82+IF(A56&gt;=((LCOE!I$17*-1)+1),LCOE!I$38/LCOE!I$17,0)</f>
        <v>0</v>
      </c>
      <c r="C56" s="16"/>
      <c r="D56" s="16"/>
      <c r="E56" s="18"/>
      <c r="Z56" s="50">
        <f t="shared" si="3"/>
        <v>0</v>
      </c>
      <c r="AA56" s="50">
        <f t="shared" si="4"/>
        <v>0</v>
      </c>
      <c r="AB56" s="50">
        <f t="shared" si="5"/>
        <v>0</v>
      </c>
      <c r="AC56" s="50">
        <f t="shared" si="6"/>
        <v>0</v>
      </c>
      <c r="AD56" s="50">
        <f t="shared" si="11"/>
        <v>0</v>
      </c>
      <c r="AE56">
        <v>-14</v>
      </c>
      <c r="AF56" s="12">
        <f>LCOE!E82+LCOE!I$40</f>
        <v>0.1</v>
      </c>
      <c r="AG56">
        <f t="shared" si="12"/>
        <v>0.26333125430607973</v>
      </c>
      <c r="AH56" s="16">
        <f t="shared" si="7"/>
        <v>0</v>
      </c>
      <c r="AI56" s="16">
        <f t="shared" si="8"/>
        <v>0</v>
      </c>
      <c r="AJ56" s="16">
        <f t="shared" si="9"/>
        <v>0</v>
      </c>
      <c r="AK56" s="16">
        <f t="shared" si="10"/>
        <v>0</v>
      </c>
      <c r="AL56" s="16">
        <f t="shared" si="13"/>
        <v>0</v>
      </c>
      <c r="AM56" s="16"/>
    </row>
    <row r="57" spans="1:39">
      <c r="A57">
        <v>-13</v>
      </c>
      <c r="B57" s="16">
        <f>LCOE!C83+IF(A57&gt;=((LCOE!I$17*-1)+1),LCOE!I$38/LCOE!I$17,0)</f>
        <v>0</v>
      </c>
      <c r="C57" s="16"/>
      <c r="D57" s="16"/>
      <c r="E57" s="18"/>
      <c r="Z57" s="50">
        <f t="shared" si="3"/>
        <v>0</v>
      </c>
      <c r="AA57" s="50">
        <f t="shared" si="4"/>
        <v>0</v>
      </c>
      <c r="AB57" s="50">
        <f t="shared" si="5"/>
        <v>0</v>
      </c>
      <c r="AC57" s="50">
        <f t="shared" si="6"/>
        <v>0</v>
      </c>
      <c r="AD57" s="50">
        <f t="shared" si="11"/>
        <v>0</v>
      </c>
      <c r="AE57">
        <v>-13</v>
      </c>
      <c r="AF57" s="12">
        <f>LCOE!E83+LCOE!I$40</f>
        <v>0.1</v>
      </c>
      <c r="AG57">
        <f t="shared" si="12"/>
        <v>0.28966437973668779</v>
      </c>
      <c r="AH57" s="16">
        <f t="shared" si="7"/>
        <v>0</v>
      </c>
      <c r="AI57" s="16">
        <f t="shared" si="8"/>
        <v>0</v>
      </c>
      <c r="AJ57" s="16">
        <f t="shared" si="9"/>
        <v>0</v>
      </c>
      <c r="AK57" s="16">
        <f t="shared" si="10"/>
        <v>0</v>
      </c>
      <c r="AL57" s="16">
        <f t="shared" si="13"/>
        <v>0</v>
      </c>
      <c r="AM57" s="16"/>
    </row>
    <row r="58" spans="1:39">
      <c r="A58">
        <v>-12</v>
      </c>
      <c r="B58" s="16">
        <f>LCOE!C84+IF(A58&gt;=((LCOE!I$17*-1)+1),LCOE!I$38/LCOE!I$17,0)</f>
        <v>0</v>
      </c>
      <c r="C58" s="16"/>
      <c r="D58" s="16"/>
      <c r="E58" s="18"/>
      <c r="Z58" s="50">
        <f t="shared" si="3"/>
        <v>0</v>
      </c>
      <c r="AA58" s="50">
        <f t="shared" si="4"/>
        <v>0</v>
      </c>
      <c r="AB58" s="50">
        <f t="shared" si="5"/>
        <v>0</v>
      </c>
      <c r="AC58" s="50">
        <f t="shared" si="6"/>
        <v>0</v>
      </c>
      <c r="AD58" s="50">
        <f t="shared" si="11"/>
        <v>0</v>
      </c>
      <c r="AE58">
        <v>-12</v>
      </c>
      <c r="AF58" s="12">
        <f>LCOE!E84+LCOE!I$40</f>
        <v>0.1</v>
      </c>
      <c r="AG58">
        <f t="shared" si="12"/>
        <v>0.31863081771035656</v>
      </c>
      <c r="AH58" s="16">
        <f t="shared" si="7"/>
        <v>0</v>
      </c>
      <c r="AI58" s="16">
        <f t="shared" si="8"/>
        <v>0</v>
      </c>
      <c r="AJ58" s="16">
        <f t="shared" si="9"/>
        <v>0</v>
      </c>
      <c r="AK58" s="16">
        <f t="shared" si="10"/>
        <v>0</v>
      </c>
      <c r="AL58" s="16">
        <f t="shared" si="13"/>
        <v>0</v>
      </c>
      <c r="AM58" s="16"/>
    </row>
    <row r="59" spans="1:39">
      <c r="A59">
        <v>-11</v>
      </c>
      <c r="B59" s="16">
        <f>LCOE!C85+IF(A59&gt;=((LCOE!I$17*-1)+1),LCOE!I$38/LCOE!I$17,0)</f>
        <v>0</v>
      </c>
      <c r="C59" s="16"/>
      <c r="D59" s="16"/>
      <c r="E59" s="18"/>
      <c r="Z59" s="50">
        <f t="shared" si="3"/>
        <v>0</v>
      </c>
      <c r="AA59" s="50">
        <f t="shared" si="4"/>
        <v>0</v>
      </c>
      <c r="AB59" s="50">
        <f t="shared" si="5"/>
        <v>0</v>
      </c>
      <c r="AC59" s="50">
        <f t="shared" si="6"/>
        <v>0</v>
      </c>
      <c r="AD59" s="50">
        <f t="shared" si="11"/>
        <v>0</v>
      </c>
      <c r="AE59">
        <v>-11</v>
      </c>
      <c r="AF59" s="12">
        <f>LCOE!E85+LCOE!I$40</f>
        <v>0.1</v>
      </c>
      <c r="AG59">
        <f t="shared" si="12"/>
        <v>0.3504938994813922</v>
      </c>
      <c r="AH59" s="16">
        <f t="shared" si="7"/>
        <v>0</v>
      </c>
      <c r="AI59" s="16">
        <f t="shared" si="8"/>
        <v>0</v>
      </c>
      <c r="AJ59" s="16">
        <f t="shared" si="9"/>
        <v>0</v>
      </c>
      <c r="AK59" s="16">
        <f t="shared" si="10"/>
        <v>0</v>
      </c>
      <c r="AL59" s="16">
        <f t="shared" si="13"/>
        <v>0</v>
      </c>
      <c r="AM59" s="16"/>
    </row>
    <row r="60" spans="1:39">
      <c r="A60">
        <v>-10</v>
      </c>
      <c r="B60" s="16">
        <f>LCOE!C86+IF(A60&gt;=((LCOE!I$17*-1)+1),LCOE!I$38/LCOE!I$17,0)</f>
        <v>0</v>
      </c>
      <c r="C60" s="16"/>
      <c r="D60" s="16"/>
      <c r="E60" s="18"/>
      <c r="Z60" s="50">
        <f t="shared" si="3"/>
        <v>0</v>
      </c>
      <c r="AA60" s="50">
        <f t="shared" si="4"/>
        <v>0</v>
      </c>
      <c r="AB60" s="50">
        <f t="shared" si="5"/>
        <v>0</v>
      </c>
      <c r="AC60" s="50">
        <f t="shared" si="6"/>
        <v>0</v>
      </c>
      <c r="AD60" s="50">
        <f t="shared" si="11"/>
        <v>0</v>
      </c>
      <c r="AE60">
        <v>-10</v>
      </c>
      <c r="AF60" s="12">
        <f>LCOE!E86+LCOE!I$40</f>
        <v>0.1</v>
      </c>
      <c r="AG60">
        <f t="shared" si="12"/>
        <v>0.38554328942953148</v>
      </c>
      <c r="AH60" s="16">
        <f t="shared" si="7"/>
        <v>0</v>
      </c>
      <c r="AI60" s="16">
        <f t="shared" si="8"/>
        <v>0</v>
      </c>
      <c r="AJ60" s="16">
        <f t="shared" si="9"/>
        <v>0</v>
      </c>
      <c r="AK60" s="16">
        <f t="shared" si="10"/>
        <v>0</v>
      </c>
      <c r="AL60" s="16">
        <f t="shared" si="13"/>
        <v>0</v>
      </c>
      <c r="AM60" s="16"/>
    </row>
    <row r="61" spans="1:39">
      <c r="A61">
        <v>-9</v>
      </c>
      <c r="B61" s="16">
        <f>LCOE!C87+IF(A61&gt;=((LCOE!I$17*-1)+1),LCOE!I$38/LCOE!I$17,0)</f>
        <v>0</v>
      </c>
      <c r="C61" s="16"/>
      <c r="D61" s="16"/>
      <c r="E61" s="18"/>
      <c r="Z61" s="50">
        <f t="shared" si="3"/>
        <v>0</v>
      </c>
      <c r="AA61" s="50">
        <f t="shared" si="4"/>
        <v>0</v>
      </c>
      <c r="AB61" s="50">
        <f t="shared" si="5"/>
        <v>0</v>
      </c>
      <c r="AC61" s="50">
        <f t="shared" si="6"/>
        <v>0</v>
      </c>
      <c r="AD61" s="50">
        <f t="shared" si="11"/>
        <v>0</v>
      </c>
      <c r="AE61">
        <v>-9</v>
      </c>
      <c r="AF61" s="12">
        <f>LCOE!E87+LCOE!I$40</f>
        <v>0.1</v>
      </c>
      <c r="AG61">
        <f t="shared" si="12"/>
        <v>0.42409761837248466</v>
      </c>
      <c r="AH61" s="16">
        <f t="shared" si="7"/>
        <v>0</v>
      </c>
      <c r="AI61" s="16">
        <f t="shared" si="8"/>
        <v>0</v>
      </c>
      <c r="AJ61" s="16">
        <f t="shared" si="9"/>
        <v>0</v>
      </c>
      <c r="AK61" s="16">
        <f t="shared" si="10"/>
        <v>0</v>
      </c>
      <c r="AL61" s="16">
        <f t="shared" si="13"/>
        <v>0</v>
      </c>
      <c r="AM61" s="16"/>
    </row>
    <row r="62" spans="1:39">
      <c r="A62">
        <v>-8</v>
      </c>
      <c r="B62" s="16">
        <f>LCOE!C88+IF(A62&gt;=((LCOE!I$17*-1)+1),LCOE!I$38/LCOE!I$17,0)</f>
        <v>0</v>
      </c>
      <c r="C62" s="16"/>
      <c r="D62" s="16"/>
      <c r="E62" s="18"/>
      <c r="Z62" s="50">
        <f t="shared" si="3"/>
        <v>0</v>
      </c>
      <c r="AA62" s="50">
        <f t="shared" si="4"/>
        <v>0</v>
      </c>
      <c r="AB62" s="50">
        <f t="shared" si="5"/>
        <v>0</v>
      </c>
      <c r="AC62" s="50">
        <f t="shared" si="6"/>
        <v>0</v>
      </c>
      <c r="AD62" s="50">
        <f t="shared" si="11"/>
        <v>0</v>
      </c>
      <c r="AE62">
        <v>-8</v>
      </c>
      <c r="AF62" s="12">
        <f>LCOE!E88+LCOE!I$40</f>
        <v>0.1</v>
      </c>
      <c r="AG62">
        <f t="shared" si="12"/>
        <v>0.46650738020973315</v>
      </c>
      <c r="AH62" s="16">
        <f t="shared" si="7"/>
        <v>0</v>
      </c>
      <c r="AI62" s="16">
        <f t="shared" si="8"/>
        <v>0</v>
      </c>
      <c r="AJ62" s="16">
        <f t="shared" si="9"/>
        <v>0</v>
      </c>
      <c r="AK62" s="16">
        <f t="shared" si="10"/>
        <v>0</v>
      </c>
      <c r="AL62" s="16">
        <f t="shared" si="13"/>
        <v>0</v>
      </c>
      <c r="AM62" s="16"/>
    </row>
    <row r="63" spans="1:39">
      <c r="A63">
        <v>-7</v>
      </c>
      <c r="B63" s="16">
        <f>LCOE!C89+IF(A63&gt;=((LCOE!I$17*-1)+1),LCOE!I$38/LCOE!I$17,0)</f>
        <v>0</v>
      </c>
      <c r="C63" s="16"/>
      <c r="D63" s="16"/>
      <c r="E63" s="18"/>
      <c r="Z63" s="50">
        <f t="shared" si="3"/>
        <v>0</v>
      </c>
      <c r="AA63" s="50">
        <f t="shared" si="4"/>
        <v>0</v>
      </c>
      <c r="AB63" s="50">
        <f t="shared" si="5"/>
        <v>0</v>
      </c>
      <c r="AC63" s="50">
        <f t="shared" si="6"/>
        <v>0</v>
      </c>
      <c r="AD63" s="50">
        <f t="shared" si="11"/>
        <v>0</v>
      </c>
      <c r="AE63">
        <v>-7</v>
      </c>
      <c r="AF63" s="12">
        <f>LCOE!E89+LCOE!I$40</f>
        <v>0.1</v>
      </c>
      <c r="AG63">
        <f t="shared" si="12"/>
        <v>0.51315811823070645</v>
      </c>
      <c r="AH63" s="16">
        <f t="shared" si="7"/>
        <v>0</v>
      </c>
      <c r="AI63" s="16">
        <f t="shared" si="8"/>
        <v>0</v>
      </c>
      <c r="AJ63" s="16">
        <f t="shared" si="9"/>
        <v>0</v>
      </c>
      <c r="AK63" s="16">
        <f t="shared" si="10"/>
        <v>0</v>
      </c>
      <c r="AL63" s="16">
        <f t="shared" si="13"/>
        <v>0</v>
      </c>
      <c r="AM63" s="16"/>
    </row>
    <row r="64" spans="1:39">
      <c r="A64">
        <v>-6</v>
      </c>
      <c r="B64" s="16">
        <f>LCOE!C90+IF(A64&gt;=((LCOE!I$17*-1)+1),LCOE!I$38/LCOE!I$17,0)</f>
        <v>0</v>
      </c>
      <c r="C64" s="16"/>
      <c r="D64" s="16"/>
      <c r="E64" s="18"/>
      <c r="Z64" s="50">
        <f t="shared" si="3"/>
        <v>0</v>
      </c>
      <c r="AA64" s="50">
        <f t="shared" si="4"/>
        <v>0</v>
      </c>
      <c r="AB64" s="50">
        <f t="shared" si="5"/>
        <v>0</v>
      </c>
      <c r="AC64" s="50">
        <f t="shared" si="6"/>
        <v>0</v>
      </c>
      <c r="AD64" s="50">
        <f t="shared" si="11"/>
        <v>0</v>
      </c>
      <c r="AE64">
        <v>-6</v>
      </c>
      <c r="AF64" s="12">
        <f>LCOE!E90+LCOE!I$40</f>
        <v>0.1</v>
      </c>
      <c r="AG64">
        <f t="shared" si="12"/>
        <v>0.56447393005377722</v>
      </c>
      <c r="AH64" s="16">
        <f t="shared" si="7"/>
        <v>0</v>
      </c>
      <c r="AI64" s="16">
        <f t="shared" si="8"/>
        <v>0</v>
      </c>
      <c r="AJ64" s="16">
        <f t="shared" si="9"/>
        <v>0</v>
      </c>
      <c r="AK64" s="16">
        <f t="shared" si="10"/>
        <v>0</v>
      </c>
      <c r="AL64" s="16">
        <f t="shared" si="13"/>
        <v>0</v>
      </c>
      <c r="AM64" s="16"/>
    </row>
    <row r="65" spans="1:40">
      <c r="A65">
        <v>-5</v>
      </c>
      <c r="B65" s="16">
        <f>LCOE!C91+IF(A65&gt;=((LCOE!I$17*-1)+1),LCOE!I$38/LCOE!I$17,0)</f>
        <v>0</v>
      </c>
      <c r="C65" s="16"/>
      <c r="D65" s="16"/>
      <c r="E65" s="18"/>
      <c r="Z65" s="50">
        <f t="shared" si="3"/>
        <v>0</v>
      </c>
      <c r="AA65" s="50">
        <f t="shared" si="4"/>
        <v>0</v>
      </c>
      <c r="AB65" s="50">
        <f t="shared" si="5"/>
        <v>0</v>
      </c>
      <c r="AC65" s="50">
        <f t="shared" si="6"/>
        <v>0</v>
      </c>
      <c r="AD65" s="50">
        <f t="shared" si="11"/>
        <v>0</v>
      </c>
      <c r="AE65">
        <v>-5</v>
      </c>
      <c r="AF65" s="12">
        <f>LCOE!E91+LCOE!I$40</f>
        <v>0.1</v>
      </c>
      <c r="AG65">
        <f t="shared" si="12"/>
        <v>0.62092132305915493</v>
      </c>
      <c r="AH65" s="16">
        <f t="shared" si="7"/>
        <v>0</v>
      </c>
      <c r="AI65" s="16">
        <f t="shared" si="8"/>
        <v>0</v>
      </c>
      <c r="AJ65" s="16">
        <f t="shared" si="9"/>
        <v>0</v>
      </c>
      <c r="AK65" s="16">
        <f t="shared" si="10"/>
        <v>0</v>
      </c>
      <c r="AL65" s="16">
        <f t="shared" si="13"/>
        <v>0</v>
      </c>
      <c r="AM65" s="16"/>
    </row>
    <row r="66" spans="1:40">
      <c r="A66">
        <v>-4</v>
      </c>
      <c r="B66" s="16">
        <f>LCOE!C92+IF(A66&gt;=((LCOE!I$17*-1)+1),LCOE!I$38/LCOE!I$17,0)</f>
        <v>0</v>
      </c>
      <c r="C66" s="16"/>
      <c r="D66" s="16"/>
      <c r="E66" s="18"/>
      <c r="Z66" s="50">
        <f t="shared" si="3"/>
        <v>0</v>
      </c>
      <c r="AA66" s="50">
        <f t="shared" si="4"/>
        <v>0</v>
      </c>
      <c r="AB66" s="50">
        <f t="shared" si="5"/>
        <v>0</v>
      </c>
      <c r="AC66" s="50">
        <f t="shared" si="6"/>
        <v>0</v>
      </c>
      <c r="AD66" s="50">
        <f t="shared" si="11"/>
        <v>0</v>
      </c>
      <c r="AE66">
        <v>-4</v>
      </c>
      <c r="AF66" s="12">
        <f>LCOE!E92+LCOE!I$40</f>
        <v>0.1</v>
      </c>
      <c r="AG66">
        <f t="shared" si="12"/>
        <v>0.68301345536507052</v>
      </c>
      <c r="AH66" s="16">
        <f t="shared" si="7"/>
        <v>0</v>
      </c>
      <c r="AI66" s="16">
        <f t="shared" si="8"/>
        <v>0</v>
      </c>
      <c r="AJ66" s="16">
        <f t="shared" si="9"/>
        <v>0</v>
      </c>
      <c r="AK66" s="16">
        <f t="shared" si="10"/>
        <v>0</v>
      </c>
      <c r="AL66" s="16">
        <f t="shared" si="13"/>
        <v>0</v>
      </c>
      <c r="AM66" s="16"/>
    </row>
    <row r="67" spans="1:40">
      <c r="A67">
        <v>-3</v>
      </c>
      <c r="B67" s="16">
        <f>LCOE!C93+IF(A67&gt;=((LCOE!I$17*-1)+1),LCOE!I$38/LCOE!I$17,0)</f>
        <v>0</v>
      </c>
      <c r="C67" s="16"/>
      <c r="D67" s="16"/>
      <c r="E67" s="18"/>
      <c r="Z67" s="50">
        <f t="shared" si="3"/>
        <v>0</v>
      </c>
      <c r="AA67" s="50">
        <f t="shared" si="4"/>
        <v>0</v>
      </c>
      <c r="AB67" s="50">
        <f t="shared" si="5"/>
        <v>0</v>
      </c>
      <c r="AC67" s="50">
        <f t="shared" si="6"/>
        <v>0</v>
      </c>
      <c r="AD67" s="50">
        <f t="shared" si="11"/>
        <v>0</v>
      </c>
      <c r="AE67">
        <v>-3</v>
      </c>
      <c r="AF67" s="12">
        <f>LCOE!E93+LCOE!I$40</f>
        <v>0.1</v>
      </c>
      <c r="AG67">
        <f t="shared" si="12"/>
        <v>0.75131480090157754</v>
      </c>
      <c r="AH67" s="16">
        <f t="shared" si="7"/>
        <v>0</v>
      </c>
      <c r="AI67" s="16">
        <f t="shared" si="8"/>
        <v>0</v>
      </c>
      <c r="AJ67" s="16">
        <f t="shared" si="9"/>
        <v>0</v>
      </c>
      <c r="AK67" s="16">
        <f t="shared" si="10"/>
        <v>0</v>
      </c>
      <c r="AL67" s="16">
        <f t="shared" si="13"/>
        <v>0</v>
      </c>
      <c r="AM67" s="16"/>
    </row>
    <row r="68" spans="1:40">
      <c r="A68">
        <v>-2</v>
      </c>
      <c r="B68" s="16">
        <f>LCOE!C94+IF(A68&gt;=((LCOE!I$17*-1)+1),LCOE!I$38/LCOE!I$17,0)</f>
        <v>168166666.66666666</v>
      </c>
      <c r="C68" s="16"/>
      <c r="D68" s="16"/>
      <c r="E68" s="18"/>
      <c r="Z68" s="50">
        <f t="shared" si="3"/>
        <v>168166666.66666666</v>
      </c>
      <c r="AA68" s="50">
        <f t="shared" si="4"/>
        <v>0</v>
      </c>
      <c r="AB68" s="50">
        <f t="shared" si="5"/>
        <v>0</v>
      </c>
      <c r="AC68" s="50">
        <f t="shared" si="6"/>
        <v>0</v>
      </c>
      <c r="AD68" s="50">
        <f t="shared" si="11"/>
        <v>0</v>
      </c>
      <c r="AE68">
        <v>-2</v>
      </c>
      <c r="AF68" s="12">
        <f>LCOE!E94+LCOE!I$40</f>
        <v>0.1</v>
      </c>
      <c r="AG68">
        <f t="shared" si="12"/>
        <v>0.82644628099173545</v>
      </c>
      <c r="AH68" s="16">
        <f t="shared" si="7"/>
        <v>203481666.66666669</v>
      </c>
      <c r="AI68" s="16">
        <f t="shared" si="8"/>
        <v>0</v>
      </c>
      <c r="AJ68" s="16">
        <f t="shared" si="9"/>
        <v>0</v>
      </c>
      <c r="AK68" s="16">
        <f t="shared" si="10"/>
        <v>0</v>
      </c>
      <c r="AL68" s="16">
        <f t="shared" si="13"/>
        <v>0</v>
      </c>
      <c r="AM68" s="16"/>
    </row>
    <row r="69" spans="1:40">
      <c r="A69">
        <v>-1</v>
      </c>
      <c r="B69" s="16">
        <f>LCOE!C95+IF(A69&gt;=((LCOE!I$17*-1)+1),LCOE!I$38/LCOE!I$17,0)</f>
        <v>168166666.66666666</v>
      </c>
      <c r="C69" s="16"/>
      <c r="D69" s="16"/>
      <c r="E69" s="18"/>
      <c r="Z69" s="50">
        <f t="shared" si="3"/>
        <v>168166666.66666666</v>
      </c>
      <c r="AA69" s="50">
        <f t="shared" si="4"/>
        <v>0</v>
      </c>
      <c r="AB69" s="50">
        <f t="shared" si="5"/>
        <v>0</v>
      </c>
      <c r="AC69" s="50">
        <f t="shared" si="6"/>
        <v>0</v>
      </c>
      <c r="AD69" s="50">
        <f t="shared" si="11"/>
        <v>0</v>
      </c>
      <c r="AE69">
        <v>-1</v>
      </c>
      <c r="AF69" s="12">
        <f>LCOE!E95+LCOE!I$40</f>
        <v>0.1</v>
      </c>
      <c r="AG69">
        <f t="shared" si="12"/>
        <v>0.90909090909090906</v>
      </c>
      <c r="AH69" s="16">
        <f t="shared" si="7"/>
        <v>184983333.33333334</v>
      </c>
      <c r="AI69" s="16">
        <f t="shared" si="8"/>
        <v>0</v>
      </c>
      <c r="AJ69" s="16">
        <f t="shared" si="9"/>
        <v>0</v>
      </c>
      <c r="AK69" s="16">
        <f t="shared" si="10"/>
        <v>0</v>
      </c>
      <c r="AL69" s="16">
        <f t="shared" si="13"/>
        <v>0</v>
      </c>
      <c r="AM69" s="16"/>
    </row>
    <row r="70" spans="1:40">
      <c r="A70">
        <v>0</v>
      </c>
      <c r="B70" s="16">
        <f>LCOE!C96+IF(A70&gt;=((LCOE!I$17*-1)+1),LCOE!I$38/LCOE!I$17,0)</f>
        <v>168166666.66666666</v>
      </c>
      <c r="C70" s="16">
        <f>LCOE!I96+IF(AND(LCOE!I$26&gt;0,A70&gt;=LCOE!I$26,A70&lt;=(LCOE!I$26+LCOE!I$27-1)),LCOE!I$42/LCOE!I$27,0)+IF(AND(D70=0,AE70&gt;=LCOE!I$16,COUNTIF(D45:D70,0)=LCOE!I$36),LCOE!I$35*LCOE!I$38,0)</f>
        <v>0</v>
      </c>
      <c r="D70" s="16">
        <f>IF(AE69&lt;LCOE!I$16,1,0)</f>
        <v>1</v>
      </c>
      <c r="E70" s="12">
        <f>LCOE!G96+IF(AND(A70&gt;=LCOE!I$26,A70&lt;=(LCOE!I$26+LCOE!I$27-1)),0,1)*IF(A70=LCOE!I$34,0,1)*D70</f>
        <v>1</v>
      </c>
      <c r="F70" s="14">
        <f>LCOE!I$18*50%+LCOE!J96</f>
        <v>0.45</v>
      </c>
      <c r="G70" s="16">
        <f>LCOE!K96+E70*F70*N70*(LCOE!I$14+LCOE!H96)*24*365*D70</f>
        <v>1971000</v>
      </c>
      <c r="H70" s="16">
        <f>LCOE!L96+F70*(LCOE!I$15+LCOE!I96)*E70*24*365*D70*N70</f>
        <v>0</v>
      </c>
      <c r="I70" s="16">
        <f>LCOE!M96+LCOE!I$20*IF(LCOE!I$14&gt;0,(LCOE!I$14+LCOE!H96),(LCOE!I$15+LCOE!I96))*K70*D70</f>
        <v>20000000</v>
      </c>
      <c r="J70" s="16">
        <f>LCOE!N96+LCOE!I$21*IF(LCOE!I$14&gt;0,G70,H70)*K70*D70</f>
        <v>0</v>
      </c>
      <c r="K70" s="15">
        <f>LCOE!O96+100%</f>
        <v>1</v>
      </c>
      <c r="L70" s="16">
        <f>LCOE!P96+LCOE!I$23*IF(LCOE!I$14&gt;0,G70,H70)*M70*D70</f>
        <v>84082860</v>
      </c>
      <c r="M70" s="15">
        <f>LCOE!Q96+100%</f>
        <v>1</v>
      </c>
      <c r="N70" s="15">
        <f>LCOE!R96+100%</f>
        <v>1</v>
      </c>
      <c r="O70" s="18">
        <f>LCOE!S96+LCOE!I$29</f>
        <v>313.75</v>
      </c>
      <c r="P70" s="12">
        <f>LCOE!T96+IF(A70&gt;=LCOE!I$30,100%,0%)</f>
        <v>1</v>
      </c>
      <c r="Q70" s="16">
        <f>LCOE!U96+O70/1000*IF(LCOE!I$14&gt;0,G70,H70)</f>
        <v>618401.25</v>
      </c>
      <c r="R70" s="16">
        <f>LCOE!B96</f>
        <v>30</v>
      </c>
      <c r="S70" s="16">
        <f>LCOE!V96+Q70*P70*R70</f>
        <v>18552037.5</v>
      </c>
      <c r="T70" s="16">
        <f>LCOE!W96+LCOE!I$31</f>
        <v>0</v>
      </c>
      <c r="U70" s="16">
        <f>LCOE!X96+T70*IF(LCOE!I$14&gt;0,G70,H70)</f>
        <v>0</v>
      </c>
      <c r="V70" s="16">
        <f>LCOE!Y96+LCOE!I$32</f>
        <v>0</v>
      </c>
      <c r="W70" s="16">
        <f>LCOE!Z96+V70*IF(LCOE!I$14&gt;0,G70,H70)</f>
        <v>0</v>
      </c>
      <c r="X70" s="16">
        <f>LCOE!AA96+LCOE!I$34</f>
        <v>101</v>
      </c>
      <c r="Y70" s="16">
        <f>X70*H70</f>
        <v>0</v>
      </c>
      <c r="Z70" s="50">
        <f>SUM(B70:C70)</f>
        <v>168166666.66666666</v>
      </c>
      <c r="AA70" s="50">
        <f>SUM(I70:J70)</f>
        <v>20000000</v>
      </c>
      <c r="AB70" s="50">
        <f>L70</f>
        <v>84082860</v>
      </c>
      <c r="AC70" s="50">
        <f>U70+W70</f>
        <v>0</v>
      </c>
      <c r="AD70" s="50">
        <f t="shared" si="11"/>
        <v>18552037.5</v>
      </c>
      <c r="AE70">
        <v>0</v>
      </c>
      <c r="AF70" s="12">
        <f>LCOE!E96+LCOE!I$40</f>
        <v>0.1</v>
      </c>
      <c r="AG70">
        <f t="shared" si="12"/>
        <v>1</v>
      </c>
      <c r="AH70" s="16">
        <f t="shared" si="7"/>
        <v>168166666.66666666</v>
      </c>
      <c r="AI70" s="16">
        <f t="shared" si="8"/>
        <v>20000000</v>
      </c>
      <c r="AJ70" s="16">
        <f t="shared" si="9"/>
        <v>84082860</v>
      </c>
      <c r="AK70" s="16">
        <f t="shared" si="10"/>
        <v>0</v>
      </c>
      <c r="AL70" s="16">
        <f t="shared" si="13"/>
        <v>18552037.5</v>
      </c>
      <c r="AM70" s="16">
        <f t="shared" ref="AM70:AM133" si="14">(-1)*Y70/AG70</f>
        <v>0</v>
      </c>
      <c r="AN70" s="16">
        <f>IF(LCOE!I$14&gt;0,G70,H70)/AG70</f>
        <v>1971000</v>
      </c>
    </row>
    <row r="71" spans="1:40">
      <c r="A71">
        <v>1</v>
      </c>
      <c r="C71" s="16">
        <f>LCOE!I97+IF(AND(LCOE!I$26&gt;0,A71&gt;=LCOE!I$26,A71&lt;=(LCOE!I$26+LCOE!I$27-1)),LCOE!I$42/LCOE!I$27,0)+IF(AND(D71=0,AE71&gt;=LCOE!I$16,COUNTIF(D46:D71,0)=LCOE!I$36),LCOE!I$35*LCOE!I$38,0)</f>
        <v>0</v>
      </c>
      <c r="D71" s="16">
        <f>IF(AE70&lt;LCOE!I$16,1,0)</f>
        <v>1</v>
      </c>
      <c r="E71" s="12">
        <f>LCOE!G97+IF(AND(A71&gt;=LCOE!I$26,A71&lt;=(LCOE!I$26+LCOE!I$27-1)),0,1)*IF(A71=LCOE!I$34,0,1)*D71</f>
        <v>1</v>
      </c>
      <c r="F71" s="12">
        <f>IF(F70&lt;LCOE!I$18,MIN(F70*(1+LCOE!I$19),LCOE!I$18),LCOE!I$18)+LCOE!J97</f>
        <v>0.72000000000000008</v>
      </c>
      <c r="G71" s="16">
        <f>LCOE!K97+E71*F71*N71*(LCOE!I$14+LCOE!H97)*24*365*D71</f>
        <v>3153600.0000000005</v>
      </c>
      <c r="H71" s="16">
        <f>LCOE!L97+F71*(LCOE!I$15+LCOE!I97)*E71*24*365*D71*N71</f>
        <v>0</v>
      </c>
      <c r="I71" s="16">
        <f>LCOE!M97+LCOE!I$20*IF(LCOE!I$14&gt;0,(LCOE!I$14+LCOE!H97),(LCOE!I$15+LCOE!I97))*K71*D71</f>
        <v>20000000</v>
      </c>
      <c r="J71" s="16">
        <f>LCOE!N97+LCOE!I$21*IF(LCOE!I$14&gt;0,G71,H71)*K71*D71</f>
        <v>0</v>
      </c>
      <c r="K71" s="15">
        <f>LCOE!O97+K70+K70*LCOE!I$22</f>
        <v>1</v>
      </c>
      <c r="L71" s="16">
        <f>LCOE!P97+LCOE!I$23*IF(LCOE!I$14&gt;0,G71,H71)*M71*D71</f>
        <v>134532576</v>
      </c>
      <c r="M71" s="15">
        <f>LCOE!Q97+M70+M70*LCOE!I$24</f>
        <v>1</v>
      </c>
      <c r="N71" s="15">
        <f>LCOE!R97+N70-N70*LCOE!I$25</f>
        <v>1</v>
      </c>
      <c r="O71" s="18">
        <f>LCOE!S97+LCOE!I$29</f>
        <v>313.75</v>
      </c>
      <c r="P71" s="12">
        <f>LCOE!T97+IF(A71&gt;=LCOE!I$30,100%,0%)</f>
        <v>1</v>
      </c>
      <c r="Q71" s="16">
        <f>LCOE!U97+O71/1000*IF(LCOE!I$14&gt;0,G71,H71)</f>
        <v>989442.00000000012</v>
      </c>
      <c r="R71" s="16">
        <f>LCOE!B97</f>
        <v>30</v>
      </c>
      <c r="S71" s="16">
        <f>LCOE!V97+Q71*P71*R71</f>
        <v>29683260.000000004</v>
      </c>
      <c r="T71" s="16">
        <f>LCOE!W97+LCOE!I$31</f>
        <v>0</v>
      </c>
      <c r="U71" s="16">
        <f>LCOE!X97+T71*IF(LCOE!I$14&gt;0,G71,H71)</f>
        <v>0</v>
      </c>
      <c r="V71" s="16">
        <f>LCOE!Y97+LCOE!I$32</f>
        <v>0</v>
      </c>
      <c r="W71" s="16">
        <f>LCOE!Z97+V71*IF(LCOE!I$14&gt;0,G71,H71)</f>
        <v>0</v>
      </c>
      <c r="X71" s="16">
        <f>LCOE!AA97+LCOE!I$34</f>
        <v>101</v>
      </c>
      <c r="Y71" s="16">
        <f t="shared" ref="Y71:Y134" si="15">X71*H71</f>
        <v>0</v>
      </c>
      <c r="Z71" s="50">
        <f>SUM(B71:C71)</f>
        <v>0</v>
      </c>
      <c r="AA71" s="50">
        <f>SUM(I71:J71)</f>
        <v>20000000</v>
      </c>
      <c r="AB71" s="50">
        <f>L71</f>
        <v>134532576</v>
      </c>
      <c r="AC71" s="50">
        <f t="shared" ref="AC71:AC134" si="16">U71+W71</f>
        <v>0</v>
      </c>
      <c r="AD71" s="50">
        <f t="shared" si="11"/>
        <v>29683260.000000004</v>
      </c>
      <c r="AE71">
        <f t="shared" ref="AE71:AE134" si="17">AE70+1*E71</f>
        <v>1</v>
      </c>
      <c r="AF71" s="12">
        <f>LCOE!E97+LCOE!I$40</f>
        <v>0.1</v>
      </c>
      <c r="AG71">
        <f t="shared" si="12"/>
        <v>1.1000000000000001</v>
      </c>
      <c r="AH71" s="16">
        <f t="shared" si="7"/>
        <v>0</v>
      </c>
      <c r="AI71" s="16">
        <f t="shared" si="8"/>
        <v>18181818.18181818</v>
      </c>
      <c r="AJ71" s="16">
        <f t="shared" si="9"/>
        <v>122302341.81818181</v>
      </c>
      <c r="AK71" s="16">
        <f t="shared" si="10"/>
        <v>0</v>
      </c>
      <c r="AL71" s="16">
        <f t="shared" si="13"/>
        <v>26984781.81818182</v>
      </c>
      <c r="AM71" s="16">
        <f t="shared" si="14"/>
        <v>0</v>
      </c>
      <c r="AN71" s="16">
        <f>IF(LCOE!I$14&gt;0,G71,H71)/AG71</f>
        <v>2866909.0909090913</v>
      </c>
    </row>
    <row r="72" spans="1:40">
      <c r="A72">
        <v>2</v>
      </c>
      <c r="C72" s="16">
        <f>LCOE!I98+IF(AND(LCOE!I$26&gt;0,A72&gt;=LCOE!I$26,A72&lt;=(LCOE!I$26+LCOE!I$27-1)),LCOE!I$42/LCOE!I$27,0)+IF(AND(D72=0,AE72&gt;=LCOE!I$16,COUNTIF(D47:D72,0)=LCOE!I$36),LCOE!I$35*LCOE!I$38,0)</f>
        <v>0</v>
      </c>
      <c r="D72" s="16">
        <f>IF(AE71&lt;LCOE!I$16,1,0)</f>
        <v>1</v>
      </c>
      <c r="E72" s="12">
        <f>LCOE!G98+IF(AND(A72&gt;=LCOE!I$26,A72&lt;=(LCOE!I$26+LCOE!I$27-1)),0,1)*IF(A72=LCOE!I$34,0,1)*D72</f>
        <v>1</v>
      </c>
      <c r="F72" s="12">
        <f>IF(F71&lt;LCOE!I$18,MIN(F71*(1+LCOE!I$19),LCOE!I$18),LCOE!I$18)+LCOE!J98</f>
        <v>0.9</v>
      </c>
      <c r="G72" s="16">
        <f>LCOE!K98+E72*F72*N72*(LCOE!I$14+LCOE!H98)*24*365*D72</f>
        <v>3942000</v>
      </c>
      <c r="H72" s="16">
        <f>LCOE!L98+F72*(LCOE!I$15+LCOE!I98)*E72*24*365*D72*N72</f>
        <v>0</v>
      </c>
      <c r="I72" s="16">
        <f>LCOE!M98+LCOE!I$20*IF(LCOE!I$14&gt;0,(LCOE!I$14+LCOE!H98),(LCOE!I$15+LCOE!I98))*K72*D72</f>
        <v>20000000</v>
      </c>
      <c r="J72" s="16">
        <f>LCOE!N98+LCOE!I$21*IF(LCOE!I$14&gt;0,G72,H72)*K72*D72</f>
        <v>0</v>
      </c>
      <c r="K72" s="15">
        <f>LCOE!O98+K71+K71*LCOE!I$22</f>
        <v>1</v>
      </c>
      <c r="L72" s="16">
        <f>LCOE!P98+LCOE!I$23*IF(LCOE!I$14&gt;0,G72,H72)*M72*D72</f>
        <v>168165720</v>
      </c>
      <c r="M72" s="15">
        <f>LCOE!Q98+M71+M71*LCOE!I$24</f>
        <v>1</v>
      </c>
      <c r="N72" s="15">
        <f>LCOE!R98+N71-N71*LCOE!I$25</f>
        <v>1</v>
      </c>
      <c r="O72" s="18">
        <f>LCOE!S98+LCOE!I$29</f>
        <v>313.75</v>
      </c>
      <c r="P72" s="12">
        <f>LCOE!T98+IF(A72&gt;=LCOE!I$30,100%,0%)</f>
        <v>1</v>
      </c>
      <c r="Q72" s="16">
        <f>LCOE!U98+O72/1000*IF(LCOE!I$14&gt;0,G72,H72)</f>
        <v>1236802.5</v>
      </c>
      <c r="R72" s="16">
        <f>LCOE!B98</f>
        <v>30</v>
      </c>
      <c r="S72" s="16">
        <f>LCOE!V98+Q72*P72*R72</f>
        <v>37104075</v>
      </c>
      <c r="T72" s="16">
        <f>LCOE!W98+LCOE!I$31</f>
        <v>0</v>
      </c>
      <c r="U72" s="16">
        <f>LCOE!X98+T72*IF(LCOE!I$14&gt;0,G72,H72)</f>
        <v>0</v>
      </c>
      <c r="V72" s="16">
        <f>LCOE!Y98+LCOE!I$32</f>
        <v>0</v>
      </c>
      <c r="W72" s="16">
        <f>LCOE!Z98+V72*IF(LCOE!I$14&gt;0,G72,H72)</f>
        <v>0</v>
      </c>
      <c r="X72" s="16">
        <f>LCOE!AA98+LCOE!I$34</f>
        <v>101</v>
      </c>
      <c r="Y72" s="16">
        <f t="shared" si="15"/>
        <v>0</v>
      </c>
      <c r="Z72" s="50">
        <f t="shared" ref="Z72:Z135" si="18">SUM(B72:C72)</f>
        <v>0</v>
      </c>
      <c r="AA72" s="50">
        <f t="shared" ref="AA72:AA135" si="19">SUM(I72:J72)</f>
        <v>20000000</v>
      </c>
      <c r="AB72" s="50">
        <f t="shared" ref="AB72:AB135" si="20">L72</f>
        <v>168165720</v>
      </c>
      <c r="AC72" s="50">
        <f t="shared" si="16"/>
        <v>0</v>
      </c>
      <c r="AD72" s="50">
        <f t="shared" si="11"/>
        <v>37104075</v>
      </c>
      <c r="AE72">
        <f t="shared" si="17"/>
        <v>2</v>
      </c>
      <c r="AF72" s="12">
        <f>LCOE!E98+LCOE!I$40</f>
        <v>0.1</v>
      </c>
      <c r="AG72">
        <f t="shared" si="12"/>
        <v>1.2100000000000002</v>
      </c>
      <c r="AH72" s="16">
        <f t="shared" si="7"/>
        <v>0</v>
      </c>
      <c r="AI72" s="16">
        <f t="shared" si="8"/>
        <v>16528925.619834708</v>
      </c>
      <c r="AJ72" s="16">
        <f t="shared" si="9"/>
        <v>138979933.88429749</v>
      </c>
      <c r="AK72" s="16">
        <f t="shared" si="10"/>
        <v>0</v>
      </c>
      <c r="AL72" s="16">
        <f t="shared" si="13"/>
        <v>30664524.793388426</v>
      </c>
      <c r="AM72" s="16">
        <f t="shared" si="14"/>
        <v>0</v>
      </c>
      <c r="AN72" s="16">
        <f>IF(LCOE!I$14&gt;0,G72,H72)/AG72</f>
        <v>3257851.2396694208</v>
      </c>
    </row>
    <row r="73" spans="1:40">
      <c r="A73">
        <v>3</v>
      </c>
      <c r="C73" s="16">
        <f>LCOE!I99+IF(AND(LCOE!I$26&gt;0,A73&gt;=LCOE!I$26,A73&lt;=(LCOE!I$26+LCOE!I$27-1)),LCOE!I$42/LCOE!I$27,0)+IF(AND(D73=0,AE73&gt;=LCOE!I$16,COUNTIF(D48:D73,0)=LCOE!I$36),LCOE!I$35*LCOE!I$38,0)</f>
        <v>0</v>
      </c>
      <c r="D73" s="16">
        <f>IF(AE72&lt;LCOE!I$16,1,0)</f>
        <v>1</v>
      </c>
      <c r="E73" s="12">
        <f>LCOE!G99+IF(AND(A73&gt;=LCOE!I$26,A73&lt;=(LCOE!I$26+LCOE!I$27-1)),0,1)*IF(A73=LCOE!I$34,0,1)*D73</f>
        <v>1</v>
      </c>
      <c r="F73" s="12">
        <f>IF(F72&lt;LCOE!I$18,MIN(F72*(1+LCOE!I$19),LCOE!I$18),LCOE!I$18)+LCOE!J99</f>
        <v>0.9</v>
      </c>
      <c r="G73" s="16">
        <f>LCOE!K99+E73*F73*N73*(LCOE!I$14+LCOE!H99)*24*365*D73</f>
        <v>3942000</v>
      </c>
      <c r="H73" s="16">
        <f>LCOE!L99+F73*(LCOE!I$15+LCOE!I99)*E73*24*365*D73*N73</f>
        <v>0</v>
      </c>
      <c r="I73" s="16">
        <f>LCOE!M99+LCOE!I$20*IF(LCOE!I$14&gt;0,(LCOE!I$14+LCOE!H99),(LCOE!I$15+LCOE!I99))*K73*D73</f>
        <v>20000000</v>
      </c>
      <c r="J73" s="16">
        <f>LCOE!N99+LCOE!I$21*IF(LCOE!I$14&gt;0,G73,H73)*K73*D73</f>
        <v>0</v>
      </c>
      <c r="K73" s="15">
        <f>LCOE!O99+K72+K72*LCOE!I$22</f>
        <v>1</v>
      </c>
      <c r="L73" s="16">
        <f>LCOE!P99+LCOE!I$23*IF(LCOE!I$14&gt;0,G73,H73)*M73*D73</f>
        <v>168165720</v>
      </c>
      <c r="M73" s="15">
        <f>LCOE!Q99+M72+M72*LCOE!I$24</f>
        <v>1</v>
      </c>
      <c r="N73" s="15">
        <f>LCOE!R99+N72-N72*LCOE!I$25</f>
        <v>1</v>
      </c>
      <c r="O73" s="18">
        <f>LCOE!S99+LCOE!I$29</f>
        <v>313.75</v>
      </c>
      <c r="P73" s="12">
        <f>LCOE!T99+IF(A73&gt;=LCOE!I$30,100%,0%)</f>
        <v>1</v>
      </c>
      <c r="Q73" s="16">
        <f>LCOE!U99+O73/1000*IF(LCOE!I$14&gt;0,G73,H73)</f>
        <v>1236802.5</v>
      </c>
      <c r="R73" s="16">
        <f>LCOE!B99</f>
        <v>30</v>
      </c>
      <c r="S73" s="16">
        <f>LCOE!V99+Q73*P73*R73</f>
        <v>37104075</v>
      </c>
      <c r="T73" s="16">
        <f>LCOE!W99+LCOE!I$31</f>
        <v>0</v>
      </c>
      <c r="U73" s="16">
        <f>LCOE!X99+T73*IF(LCOE!I$14&gt;0,G73,H73)</f>
        <v>0</v>
      </c>
      <c r="V73" s="16">
        <f>LCOE!Y99+LCOE!I$32</f>
        <v>0</v>
      </c>
      <c r="W73" s="16">
        <f>LCOE!Z99+V73*IF(LCOE!I$14&gt;0,G73,H73)</f>
        <v>0</v>
      </c>
      <c r="X73" s="16">
        <f>LCOE!AA99+LCOE!I$34</f>
        <v>101</v>
      </c>
      <c r="Y73" s="16">
        <f t="shared" si="15"/>
        <v>0</v>
      </c>
      <c r="Z73" s="50">
        <f t="shared" si="18"/>
        <v>0</v>
      </c>
      <c r="AA73" s="50">
        <f t="shared" si="19"/>
        <v>20000000</v>
      </c>
      <c r="AB73" s="50">
        <f t="shared" si="20"/>
        <v>168165720</v>
      </c>
      <c r="AC73" s="50">
        <f t="shared" si="16"/>
        <v>0</v>
      </c>
      <c r="AD73" s="50">
        <f t="shared" si="11"/>
        <v>37104075</v>
      </c>
      <c r="AE73">
        <f t="shared" si="17"/>
        <v>3</v>
      </c>
      <c r="AF73" s="12">
        <f>LCOE!E99+LCOE!I$40</f>
        <v>0.1</v>
      </c>
      <c r="AG73">
        <f t="shared" si="12"/>
        <v>1.3310000000000004</v>
      </c>
      <c r="AH73" s="16">
        <f t="shared" si="7"/>
        <v>0</v>
      </c>
      <c r="AI73" s="16">
        <f t="shared" si="8"/>
        <v>15026296.018031551</v>
      </c>
      <c r="AJ73" s="16">
        <f t="shared" si="9"/>
        <v>126345394.44027044</v>
      </c>
      <c r="AK73" s="16">
        <f t="shared" si="10"/>
        <v>0</v>
      </c>
      <c r="AL73" s="16">
        <f t="shared" si="13"/>
        <v>27876840.721262202</v>
      </c>
      <c r="AM73" s="16">
        <f t="shared" si="14"/>
        <v>0</v>
      </c>
      <c r="AN73" s="16">
        <f>IF(LCOE!I$14&gt;0,G73,H73)/AG73</f>
        <v>2961682.9451540187</v>
      </c>
    </row>
    <row r="74" spans="1:40">
      <c r="A74">
        <v>4</v>
      </c>
      <c r="C74" s="16">
        <f>LCOE!I100+IF(AND(LCOE!I$26&gt;0,A74&gt;=LCOE!I$26,A74&lt;=(LCOE!I$26+LCOE!I$27-1)),LCOE!I$42/LCOE!I$27,0)+IF(AND(D74=0,AE74&gt;=LCOE!I$16,COUNTIF(D49:D74,0)=LCOE!I$36),LCOE!I$35*LCOE!I$38,0)</f>
        <v>0</v>
      </c>
      <c r="D74" s="16">
        <f>IF(AE73&lt;LCOE!I$16,1,0)</f>
        <v>1</v>
      </c>
      <c r="E74" s="12">
        <f>LCOE!G100+IF(AND(A74&gt;=LCOE!I$26,A74&lt;=(LCOE!I$26+LCOE!I$27-1)),0,1)*IF(A74=LCOE!I$34,0,1)*D74</f>
        <v>1</v>
      </c>
      <c r="F74" s="12">
        <f>IF(F73&lt;LCOE!I$18,MIN(F73*(1+LCOE!I$19),LCOE!I$18),LCOE!I$18)+LCOE!J100</f>
        <v>0.9</v>
      </c>
      <c r="G74" s="16">
        <f>LCOE!K100+E74*F74*N74*(LCOE!I$14+LCOE!H100)*24*365*D74</f>
        <v>3942000</v>
      </c>
      <c r="H74" s="16">
        <f>LCOE!L100+F74*(LCOE!I$15+LCOE!I100)*E74*24*365*D74*N74</f>
        <v>0</v>
      </c>
      <c r="I74" s="16">
        <f>LCOE!M100+LCOE!I$20*IF(LCOE!I$14&gt;0,(LCOE!I$14+LCOE!H100),(LCOE!I$15+LCOE!I100))*K74*D74</f>
        <v>20000000</v>
      </c>
      <c r="J74" s="16">
        <f>LCOE!N100+LCOE!I$21*IF(LCOE!I$14&gt;0,G74,H74)*K74*D74</f>
        <v>0</v>
      </c>
      <c r="K74" s="15">
        <f>LCOE!O100+K73+K73*LCOE!I$22</f>
        <v>1</v>
      </c>
      <c r="L74" s="16">
        <f>LCOE!P100+LCOE!I$23*IF(LCOE!I$14&gt;0,G74,H74)*M74*D74</f>
        <v>168165720</v>
      </c>
      <c r="M74" s="15">
        <f>LCOE!Q100+M73+M73*LCOE!I$24</f>
        <v>1</v>
      </c>
      <c r="N74" s="15">
        <f>LCOE!R100+N73-N73*LCOE!I$25</f>
        <v>1</v>
      </c>
      <c r="O74" s="18">
        <f>LCOE!S100+LCOE!I$29</f>
        <v>313.75</v>
      </c>
      <c r="P74" s="12">
        <f>LCOE!T100+IF(A74&gt;=LCOE!I$30,100%,0%)</f>
        <v>1</v>
      </c>
      <c r="Q74" s="16">
        <f>LCOE!U100+O74/1000*IF(LCOE!I$14&gt;0,G74,H74)</f>
        <v>1236802.5</v>
      </c>
      <c r="R74" s="16">
        <f>LCOE!B100</f>
        <v>30</v>
      </c>
      <c r="S74" s="16">
        <f>LCOE!V100+Q74*P74*R74</f>
        <v>37104075</v>
      </c>
      <c r="T74" s="16">
        <f>LCOE!W100+LCOE!I$31</f>
        <v>0</v>
      </c>
      <c r="U74" s="16">
        <f>LCOE!X100+T74*IF(LCOE!I$14&gt;0,G74,H74)</f>
        <v>0</v>
      </c>
      <c r="V74" s="16">
        <f>LCOE!Y100+LCOE!I$32</f>
        <v>0</v>
      </c>
      <c r="W74" s="16">
        <f>LCOE!Z100+V74*IF(LCOE!I$14&gt;0,G74,H74)</f>
        <v>0</v>
      </c>
      <c r="X74" s="16">
        <f>LCOE!AA100+LCOE!I$34</f>
        <v>101</v>
      </c>
      <c r="Y74" s="16">
        <f t="shared" si="15"/>
        <v>0</v>
      </c>
      <c r="Z74" s="50">
        <f t="shared" si="18"/>
        <v>0</v>
      </c>
      <c r="AA74" s="50">
        <f t="shared" si="19"/>
        <v>20000000</v>
      </c>
      <c r="AB74" s="50">
        <f t="shared" si="20"/>
        <v>168165720</v>
      </c>
      <c r="AC74" s="50">
        <f t="shared" si="16"/>
        <v>0</v>
      </c>
      <c r="AD74" s="50">
        <f t="shared" si="11"/>
        <v>37104075</v>
      </c>
      <c r="AE74">
        <f t="shared" si="17"/>
        <v>4</v>
      </c>
      <c r="AF74" s="12">
        <f>LCOE!E100+LCOE!I$40</f>
        <v>0.1</v>
      </c>
      <c r="AG74">
        <f t="shared" si="12"/>
        <v>1.4641000000000004</v>
      </c>
      <c r="AH74" s="16">
        <f t="shared" si="7"/>
        <v>0</v>
      </c>
      <c r="AI74" s="16">
        <f t="shared" si="8"/>
        <v>13660269.10730141</v>
      </c>
      <c r="AJ74" s="16">
        <f t="shared" si="9"/>
        <v>114859449.49115494</v>
      </c>
      <c r="AK74" s="16">
        <f t="shared" si="10"/>
        <v>0</v>
      </c>
      <c r="AL74" s="16">
        <f t="shared" si="13"/>
        <v>25342582.473874729</v>
      </c>
      <c r="AM74" s="16">
        <f t="shared" si="14"/>
        <v>0</v>
      </c>
      <c r="AN74" s="16">
        <f>IF(LCOE!I$14&gt;0,G74,H74)/AG74</f>
        <v>2692439.0410491079</v>
      </c>
    </row>
    <row r="75" spans="1:40">
      <c r="A75">
        <v>5</v>
      </c>
      <c r="C75" s="16">
        <f>LCOE!I101+IF(AND(LCOE!I$26&gt;0,A75&gt;=LCOE!I$26,A75&lt;=(LCOE!I$26+LCOE!I$27-1)),LCOE!I$42/LCOE!I$27,0)+IF(AND(D75=0,AE75&gt;=LCOE!I$16,COUNTIF(D50:D75,0)=LCOE!I$36),LCOE!I$35*LCOE!I$38,0)</f>
        <v>0</v>
      </c>
      <c r="D75" s="16">
        <f>IF(AE74&lt;LCOE!I$16,1,0)</f>
        <v>1</v>
      </c>
      <c r="E75" s="12">
        <f>LCOE!G101+IF(AND(A75&gt;=LCOE!I$26,A75&lt;=(LCOE!I$26+LCOE!I$27-1)),0,1)*IF(A75=LCOE!I$34,0,1)*D75</f>
        <v>1</v>
      </c>
      <c r="F75" s="12">
        <f>IF(F74&lt;LCOE!I$18,MIN(F74*(1+LCOE!I$19),LCOE!I$18),LCOE!I$18)+LCOE!J101</f>
        <v>0.9</v>
      </c>
      <c r="G75" s="16">
        <f>LCOE!K101+E75*F75*N75*(LCOE!I$14+LCOE!H101)*24*365*D75</f>
        <v>3942000</v>
      </c>
      <c r="H75" s="16">
        <f>LCOE!L101+F75*(LCOE!I$15+LCOE!I101)*E75*24*365*D75*N75</f>
        <v>0</v>
      </c>
      <c r="I75" s="16">
        <f>LCOE!M101+LCOE!I$20*IF(LCOE!I$14&gt;0,(LCOE!I$14+LCOE!H101),(LCOE!I$15+LCOE!I101))*K75*D75</f>
        <v>20000000</v>
      </c>
      <c r="J75" s="16">
        <f>LCOE!N101+LCOE!I$21*IF(LCOE!I$14&gt;0,G75,H75)*K75*D75</f>
        <v>0</v>
      </c>
      <c r="K75" s="15">
        <f>LCOE!O101+K74+K74*LCOE!I$22</f>
        <v>1</v>
      </c>
      <c r="L75" s="16">
        <f>LCOE!P101+LCOE!I$23*IF(LCOE!I$14&gt;0,G75,H75)*M75*D75</f>
        <v>168165720</v>
      </c>
      <c r="M75" s="15">
        <f>LCOE!Q101+M74+M74*LCOE!I$24</f>
        <v>1</v>
      </c>
      <c r="N75" s="15">
        <f>LCOE!R101+N74-N74*LCOE!I$25</f>
        <v>1</v>
      </c>
      <c r="O75" s="18">
        <f>LCOE!S101+LCOE!I$29</f>
        <v>313.75</v>
      </c>
      <c r="P75" s="12">
        <f>LCOE!T101+IF(A75&gt;=LCOE!I$30,100%,0%)</f>
        <v>1</v>
      </c>
      <c r="Q75" s="16">
        <f>LCOE!U101+O75/1000*IF(LCOE!I$14&gt;0,G75,H75)</f>
        <v>1236802.5</v>
      </c>
      <c r="R75" s="16">
        <f>LCOE!B101</f>
        <v>30</v>
      </c>
      <c r="S75" s="16">
        <f>LCOE!V101+Q75*P75*R75</f>
        <v>37104075</v>
      </c>
      <c r="T75" s="16">
        <f>LCOE!W101+LCOE!I$31</f>
        <v>0</v>
      </c>
      <c r="U75" s="16">
        <f>LCOE!X101+T75*IF(LCOE!I$14&gt;0,G75,H75)</f>
        <v>0</v>
      </c>
      <c r="V75" s="16">
        <f>LCOE!Y101+LCOE!I$32</f>
        <v>0</v>
      </c>
      <c r="W75" s="16">
        <f>LCOE!Z101+V75*IF(LCOE!I$14&gt;0,G75,H75)</f>
        <v>0</v>
      </c>
      <c r="X75" s="16">
        <f>LCOE!AA101+LCOE!I$34</f>
        <v>101</v>
      </c>
      <c r="Y75" s="16">
        <f t="shared" si="15"/>
        <v>0</v>
      </c>
      <c r="Z75" s="50">
        <f t="shared" si="18"/>
        <v>0</v>
      </c>
      <c r="AA75" s="50">
        <f t="shared" si="19"/>
        <v>20000000</v>
      </c>
      <c r="AB75" s="50">
        <f t="shared" si="20"/>
        <v>168165720</v>
      </c>
      <c r="AC75" s="50">
        <f t="shared" si="16"/>
        <v>0</v>
      </c>
      <c r="AD75" s="50">
        <f t="shared" si="11"/>
        <v>37104075</v>
      </c>
      <c r="AE75">
        <f t="shared" si="17"/>
        <v>5</v>
      </c>
      <c r="AF75" s="12">
        <f>LCOE!E101+LCOE!I$40</f>
        <v>0.1</v>
      </c>
      <c r="AG75">
        <f t="shared" si="12"/>
        <v>1.6105100000000006</v>
      </c>
      <c r="AH75" s="16">
        <f t="shared" si="7"/>
        <v>0</v>
      </c>
      <c r="AI75" s="16">
        <f t="shared" si="8"/>
        <v>12418426.461183099</v>
      </c>
      <c r="AJ75" s="16">
        <f t="shared" si="9"/>
        <v>104417681.35559539</v>
      </c>
      <c r="AK75" s="16">
        <f t="shared" si="10"/>
        <v>0</v>
      </c>
      <c r="AL75" s="16">
        <f t="shared" si="13"/>
        <v>23038711.339886114</v>
      </c>
      <c r="AM75" s="16">
        <f t="shared" si="14"/>
        <v>0</v>
      </c>
      <c r="AN75" s="16">
        <f>IF(LCOE!I$14&gt;0,G75,H75)/AG75</f>
        <v>2447671.8554991889</v>
      </c>
    </row>
    <row r="76" spans="1:40">
      <c r="A76">
        <v>6</v>
      </c>
      <c r="C76" s="16">
        <f>LCOE!I102+IF(AND(LCOE!I$26&gt;0,A76&gt;=LCOE!I$26,A76&lt;=(LCOE!I$26+LCOE!I$27-1)),LCOE!I$42/LCOE!I$27,0)+IF(AND(D76=0,AE76&gt;=LCOE!I$16,COUNTIF(D51:D76,0)=LCOE!I$36),LCOE!I$35*LCOE!I$38,0)</f>
        <v>0</v>
      </c>
      <c r="D76" s="16">
        <f>IF(AE75&lt;LCOE!I$16,1,0)</f>
        <v>1</v>
      </c>
      <c r="E76" s="12">
        <f>LCOE!G102+IF(AND(A76&gt;=LCOE!I$26,A76&lt;=(LCOE!I$26+LCOE!I$27-1)),0,1)*IF(A76=LCOE!I$34,0,1)*D76</f>
        <v>1</v>
      </c>
      <c r="F76" s="12">
        <f>IF(F75&lt;LCOE!I$18,MIN(F75*(1+LCOE!I$19),LCOE!I$18),LCOE!I$18)+LCOE!J102</f>
        <v>0.9</v>
      </c>
      <c r="G76" s="16">
        <f>LCOE!K102+E76*F76*N76*(LCOE!I$14+LCOE!H102)*24*365*D76</f>
        <v>3942000</v>
      </c>
      <c r="H76" s="16">
        <f>LCOE!L102+F76*(LCOE!I$15+LCOE!I102)*E76*24*365*D76*N76</f>
        <v>0</v>
      </c>
      <c r="I76" s="16">
        <f>LCOE!M102+LCOE!I$20*IF(LCOE!I$14&gt;0,(LCOE!I$14+LCOE!H102),(LCOE!I$15+LCOE!I102))*K76*D76</f>
        <v>20000000</v>
      </c>
      <c r="J76" s="16">
        <f>LCOE!N102+LCOE!I$21*IF(LCOE!I$14&gt;0,G76,H76)*K76*D76</f>
        <v>0</v>
      </c>
      <c r="K76" s="15">
        <f>LCOE!O102+K75+K75*LCOE!I$22</f>
        <v>1</v>
      </c>
      <c r="L76" s="16">
        <f>LCOE!P102+LCOE!I$23*IF(LCOE!I$14&gt;0,G76,H76)*M76*D76</f>
        <v>168165720</v>
      </c>
      <c r="M76" s="15">
        <f>LCOE!Q102+M75+M75*LCOE!I$24</f>
        <v>1</v>
      </c>
      <c r="N76" s="15">
        <f>LCOE!R102+N75-N75*LCOE!I$25</f>
        <v>1</v>
      </c>
      <c r="O76" s="18">
        <f>LCOE!S102+LCOE!I$29</f>
        <v>313.75</v>
      </c>
      <c r="P76" s="12">
        <f>LCOE!T102+IF(A76&gt;=LCOE!I$30,100%,0%)</f>
        <v>1</v>
      </c>
      <c r="Q76" s="16">
        <f>LCOE!U102+O76/1000*IF(LCOE!I$14&gt;0,G76,H76)</f>
        <v>1236802.5</v>
      </c>
      <c r="R76" s="16">
        <f>LCOE!B102</f>
        <v>30</v>
      </c>
      <c r="S76" s="16">
        <f>LCOE!V102+Q76*P76*R76</f>
        <v>37104075</v>
      </c>
      <c r="T76" s="16">
        <f>LCOE!W102+LCOE!I$31</f>
        <v>0</v>
      </c>
      <c r="U76" s="16">
        <f>LCOE!X102+T76*IF(LCOE!I$14&gt;0,G76,H76)</f>
        <v>0</v>
      </c>
      <c r="V76" s="16">
        <f>LCOE!Y102+LCOE!I$32</f>
        <v>0</v>
      </c>
      <c r="W76" s="16">
        <f>LCOE!Z102+V76*IF(LCOE!I$14&gt;0,G76,H76)</f>
        <v>0</v>
      </c>
      <c r="X76" s="16">
        <f>LCOE!AA102+LCOE!I$34</f>
        <v>101</v>
      </c>
      <c r="Y76" s="16">
        <f t="shared" si="15"/>
        <v>0</v>
      </c>
      <c r="Z76" s="50">
        <f t="shared" si="18"/>
        <v>0</v>
      </c>
      <c r="AA76" s="50">
        <f t="shared" si="19"/>
        <v>20000000</v>
      </c>
      <c r="AB76" s="50">
        <f t="shared" si="20"/>
        <v>168165720</v>
      </c>
      <c r="AC76" s="50">
        <f t="shared" si="16"/>
        <v>0</v>
      </c>
      <c r="AD76" s="50">
        <f t="shared" si="11"/>
        <v>37104075</v>
      </c>
      <c r="AE76">
        <f t="shared" si="17"/>
        <v>6</v>
      </c>
      <c r="AF76" s="12">
        <f>LCOE!E102+LCOE!I$40</f>
        <v>0.1</v>
      </c>
      <c r="AG76">
        <f t="shared" si="12"/>
        <v>1.7715610000000008</v>
      </c>
      <c r="AH76" s="16">
        <f t="shared" si="7"/>
        <v>0</v>
      </c>
      <c r="AI76" s="16">
        <f t="shared" si="8"/>
        <v>11289478.601075543</v>
      </c>
      <c r="AJ76" s="16">
        <f t="shared" si="9"/>
        <v>94925164.86872308</v>
      </c>
      <c r="AK76" s="16">
        <f t="shared" si="10"/>
        <v>0</v>
      </c>
      <c r="AL76" s="16">
        <f t="shared" si="13"/>
        <v>20944283.036260102</v>
      </c>
      <c r="AM76" s="16">
        <f t="shared" si="14"/>
        <v>0</v>
      </c>
      <c r="AN76" s="16">
        <f>IF(LCOE!I$14&gt;0,G76,H76)/AG76</f>
        <v>2225156.2322719898</v>
      </c>
    </row>
    <row r="77" spans="1:40">
      <c r="A77">
        <v>7</v>
      </c>
      <c r="C77" s="16">
        <f>LCOE!I103+IF(AND(LCOE!I$26&gt;0,A77&gt;=LCOE!I$26,A77&lt;=(LCOE!I$26+LCOE!I$27-1)),LCOE!I$42/LCOE!I$27,0)+IF(AND(D77=0,AE77&gt;=LCOE!I$16,COUNTIF(D52:D77,0)=LCOE!I$36),LCOE!I$35*LCOE!I$38,0)</f>
        <v>0</v>
      </c>
      <c r="D77" s="16">
        <f>IF(AE76&lt;LCOE!I$16,1,0)</f>
        <v>1</v>
      </c>
      <c r="E77" s="12">
        <f>LCOE!G103+IF(AND(A77&gt;=LCOE!I$26,A77&lt;=(LCOE!I$26+LCOE!I$27-1)),0,1)*IF(A77=LCOE!I$34,0,1)*D77</f>
        <v>1</v>
      </c>
      <c r="F77" s="12">
        <f>IF(F76&lt;LCOE!I$18,MIN(F76*(1+LCOE!I$19),LCOE!I$18),LCOE!I$18)+LCOE!J103</f>
        <v>0.9</v>
      </c>
      <c r="G77" s="16">
        <f>LCOE!K103+E77*F77*N77*(LCOE!I$14+LCOE!H103)*24*365*D77</f>
        <v>3942000</v>
      </c>
      <c r="H77" s="16">
        <f>LCOE!L103+F77*(LCOE!I$15+LCOE!I103)*E77*24*365*D77*N77</f>
        <v>0</v>
      </c>
      <c r="I77" s="16">
        <f>LCOE!M103+LCOE!I$20*IF(LCOE!I$14&gt;0,(LCOE!I$14+LCOE!H103),(LCOE!I$15+LCOE!I103))*K77*D77</f>
        <v>20000000</v>
      </c>
      <c r="J77" s="16">
        <f>LCOE!N103+LCOE!I$21*IF(LCOE!I$14&gt;0,G77,H77)*K77*D77</f>
        <v>0</v>
      </c>
      <c r="K77" s="15">
        <f>LCOE!O103+K76+K76*LCOE!I$22</f>
        <v>1</v>
      </c>
      <c r="L77" s="16">
        <f>LCOE!P103+LCOE!I$23*IF(LCOE!I$14&gt;0,G77,H77)*M77*D77</f>
        <v>168165720</v>
      </c>
      <c r="M77" s="15">
        <f>LCOE!Q103+M76+M76*LCOE!I$24</f>
        <v>1</v>
      </c>
      <c r="N77" s="15">
        <f>LCOE!R103+N76-N76*LCOE!I$25</f>
        <v>1</v>
      </c>
      <c r="O77" s="18">
        <f>LCOE!S103+LCOE!I$29</f>
        <v>313.75</v>
      </c>
      <c r="P77" s="12">
        <f>LCOE!T103+IF(A77&gt;=LCOE!I$30,100%,0%)</f>
        <v>1</v>
      </c>
      <c r="Q77" s="16">
        <f>LCOE!U103+O77/1000*IF(LCOE!I$14&gt;0,G77,H77)</f>
        <v>1236802.5</v>
      </c>
      <c r="R77" s="16">
        <f>LCOE!B103</f>
        <v>30</v>
      </c>
      <c r="S77" s="16">
        <f>LCOE!V103+Q77*P77*R77</f>
        <v>37104075</v>
      </c>
      <c r="T77" s="16">
        <f>LCOE!W103+LCOE!I$31</f>
        <v>0</v>
      </c>
      <c r="U77" s="16">
        <f>LCOE!X103+T77*IF(LCOE!I$14&gt;0,G77,H77)</f>
        <v>0</v>
      </c>
      <c r="V77" s="16">
        <f>LCOE!Y103+LCOE!I$32</f>
        <v>0</v>
      </c>
      <c r="W77" s="16">
        <f>LCOE!Z103+V77*IF(LCOE!I$14&gt;0,G77,H77)</f>
        <v>0</v>
      </c>
      <c r="X77" s="16">
        <f>LCOE!AA103+LCOE!I$34</f>
        <v>101</v>
      </c>
      <c r="Y77" s="16">
        <f t="shared" si="15"/>
        <v>0</v>
      </c>
      <c r="Z77" s="50">
        <f t="shared" si="18"/>
        <v>0</v>
      </c>
      <c r="AA77" s="50">
        <f t="shared" si="19"/>
        <v>20000000</v>
      </c>
      <c r="AB77" s="50">
        <f t="shared" si="20"/>
        <v>168165720</v>
      </c>
      <c r="AC77" s="50">
        <f t="shared" si="16"/>
        <v>0</v>
      </c>
      <c r="AD77" s="50">
        <f t="shared" si="11"/>
        <v>37104075</v>
      </c>
      <c r="AE77">
        <f t="shared" si="17"/>
        <v>7</v>
      </c>
      <c r="AF77" s="12">
        <f>LCOE!E103+LCOE!I$40</f>
        <v>0.1</v>
      </c>
      <c r="AG77">
        <f t="shared" si="12"/>
        <v>1.9487171000000012</v>
      </c>
      <c r="AH77" s="16">
        <f t="shared" si="7"/>
        <v>0</v>
      </c>
      <c r="AI77" s="16">
        <f t="shared" si="8"/>
        <v>10263162.364614129</v>
      </c>
      <c r="AJ77" s="16">
        <f t="shared" si="9"/>
        <v>86295604.426111877</v>
      </c>
      <c r="AK77" s="16">
        <f t="shared" si="10"/>
        <v>0</v>
      </c>
      <c r="AL77" s="16">
        <f t="shared" si="13"/>
        <v>19040257.305691</v>
      </c>
      <c r="AM77" s="16">
        <f t="shared" si="14"/>
        <v>0</v>
      </c>
      <c r="AN77" s="16">
        <f>IF(LCOE!I$14&gt;0,G77,H77)/AG77</f>
        <v>2022869.3020654449</v>
      </c>
    </row>
    <row r="78" spans="1:40">
      <c r="A78">
        <v>8</v>
      </c>
      <c r="C78" s="16">
        <f>LCOE!I104+IF(AND(LCOE!I$26&gt;0,A78&gt;=LCOE!I$26,A78&lt;=(LCOE!I$26+LCOE!I$27-1)),LCOE!I$42/LCOE!I$27,0)+IF(AND(D78=0,AE78&gt;=LCOE!I$16,COUNTIF(D53:D78,0)=LCOE!I$36),LCOE!I$35*LCOE!I$38,0)</f>
        <v>0</v>
      </c>
      <c r="D78" s="16">
        <f>IF(AE77&lt;LCOE!I$16,1,0)</f>
        <v>1</v>
      </c>
      <c r="E78" s="12">
        <f>LCOE!G104+IF(AND(A78&gt;=LCOE!I$26,A78&lt;=(LCOE!I$26+LCOE!I$27-1)),0,1)*IF(A78=LCOE!I$34,0,1)*D78</f>
        <v>1</v>
      </c>
      <c r="F78" s="12">
        <f>IF(F77&lt;LCOE!I$18,MIN(F77*(1+LCOE!I$19),LCOE!I$18),LCOE!I$18)+LCOE!J104</f>
        <v>0.9</v>
      </c>
      <c r="G78" s="16">
        <f>LCOE!K104+E78*F78*N78*(LCOE!I$14+LCOE!H104)*24*365*D78</f>
        <v>3942000</v>
      </c>
      <c r="H78" s="16">
        <f>LCOE!L104+F78*(LCOE!I$15+LCOE!I104)*E78*24*365*D78*N78</f>
        <v>0</v>
      </c>
      <c r="I78" s="16">
        <f>LCOE!M104+LCOE!I$20*IF(LCOE!I$14&gt;0,(LCOE!I$14+LCOE!H104),(LCOE!I$15+LCOE!I104))*K78*D78</f>
        <v>20000000</v>
      </c>
      <c r="J78" s="16">
        <f>LCOE!N104+LCOE!I$21*IF(LCOE!I$14&gt;0,G78,H78)*K78*D78</f>
        <v>0</v>
      </c>
      <c r="K78" s="15">
        <f>LCOE!O104+K77+K77*LCOE!I$22</f>
        <v>1</v>
      </c>
      <c r="L78" s="16">
        <f>LCOE!P104+LCOE!I$23*IF(LCOE!I$14&gt;0,G78,H78)*M78*D78</f>
        <v>168165720</v>
      </c>
      <c r="M78" s="15">
        <f>LCOE!Q104+M77+M77*LCOE!I$24</f>
        <v>1</v>
      </c>
      <c r="N78" s="15">
        <f>LCOE!R104+N77-N77*LCOE!I$25</f>
        <v>1</v>
      </c>
      <c r="O78" s="18">
        <f>LCOE!S104+LCOE!I$29</f>
        <v>313.75</v>
      </c>
      <c r="P78" s="12">
        <f>LCOE!T104+IF(A78&gt;=LCOE!I$30,100%,0%)</f>
        <v>1</v>
      </c>
      <c r="Q78" s="16">
        <f>LCOE!U104+O78/1000*IF(LCOE!I$14&gt;0,G78,H78)</f>
        <v>1236802.5</v>
      </c>
      <c r="R78" s="16">
        <f>LCOE!B104</f>
        <v>30</v>
      </c>
      <c r="S78" s="16">
        <f>LCOE!V104+Q78*P78*R78</f>
        <v>37104075</v>
      </c>
      <c r="T78" s="16">
        <f>LCOE!W104+LCOE!I$31</f>
        <v>0</v>
      </c>
      <c r="U78" s="16">
        <f>LCOE!X104+T78*IF(LCOE!I$14&gt;0,G78,H78)</f>
        <v>0</v>
      </c>
      <c r="V78" s="16">
        <f>LCOE!Y104+LCOE!I$32</f>
        <v>0</v>
      </c>
      <c r="W78" s="16">
        <f>LCOE!Z104+V78*IF(LCOE!I$14&gt;0,G78,H78)</f>
        <v>0</v>
      </c>
      <c r="X78" s="16">
        <f>LCOE!AA104+LCOE!I$34</f>
        <v>101</v>
      </c>
      <c r="Y78" s="16">
        <f t="shared" si="15"/>
        <v>0</v>
      </c>
      <c r="Z78" s="50">
        <f t="shared" si="18"/>
        <v>0</v>
      </c>
      <c r="AA78" s="50">
        <f t="shared" si="19"/>
        <v>20000000</v>
      </c>
      <c r="AB78" s="50">
        <f t="shared" si="20"/>
        <v>168165720</v>
      </c>
      <c r="AC78" s="50">
        <f t="shared" si="16"/>
        <v>0</v>
      </c>
      <c r="AD78" s="50">
        <f t="shared" si="11"/>
        <v>37104075</v>
      </c>
      <c r="AE78">
        <f t="shared" si="17"/>
        <v>8</v>
      </c>
      <c r="AF78" s="12">
        <f>LCOE!E104+LCOE!I$40</f>
        <v>0.1</v>
      </c>
      <c r="AG78">
        <f t="shared" si="12"/>
        <v>2.1435888100000011</v>
      </c>
      <c r="AH78" s="16">
        <f t="shared" si="7"/>
        <v>0</v>
      </c>
      <c r="AI78" s="16">
        <f t="shared" si="8"/>
        <v>9330147.6041946635</v>
      </c>
      <c r="AJ78" s="16">
        <f t="shared" si="9"/>
        <v>78450549.478283525</v>
      </c>
      <c r="AK78" s="16">
        <f t="shared" si="10"/>
        <v>0</v>
      </c>
      <c r="AL78" s="16">
        <f t="shared" si="13"/>
        <v>17309324.823355455</v>
      </c>
      <c r="AM78" s="16">
        <f t="shared" si="14"/>
        <v>0</v>
      </c>
      <c r="AN78" s="16">
        <f>IF(LCOE!I$14&gt;0,G78,H78)/AG78</f>
        <v>1838972.0927867682</v>
      </c>
    </row>
    <row r="79" spans="1:40">
      <c r="A79">
        <v>9</v>
      </c>
      <c r="C79" s="16">
        <f>LCOE!I105+IF(AND(LCOE!I$26&gt;0,A79&gt;=LCOE!I$26,A79&lt;=(LCOE!I$26+LCOE!I$27-1)),LCOE!I$42/LCOE!I$27,0)+IF(AND(D79=0,AE79&gt;=LCOE!I$16,COUNTIF(D54:D79,0)=LCOE!I$36),LCOE!I$35*LCOE!I$38,0)</f>
        <v>0</v>
      </c>
      <c r="D79" s="16">
        <f>IF(AE78&lt;LCOE!I$16,1,0)</f>
        <v>1</v>
      </c>
      <c r="E79" s="12">
        <f>LCOE!G105+IF(AND(A79&gt;=LCOE!I$26,A79&lt;=(LCOE!I$26+LCOE!I$27-1)),0,1)*IF(A79=LCOE!I$34,0,1)*D79</f>
        <v>1</v>
      </c>
      <c r="F79" s="12">
        <f>IF(F78&lt;LCOE!I$18,MIN(F78*(1+LCOE!I$19),LCOE!I$18),LCOE!I$18)+LCOE!J105</f>
        <v>0.9</v>
      </c>
      <c r="G79" s="16">
        <f>LCOE!K105+E79*F79*N79*(LCOE!I$14+LCOE!H105)*24*365*D79</f>
        <v>3942000</v>
      </c>
      <c r="H79" s="16">
        <f>LCOE!L105+F79*(LCOE!I$15+LCOE!I105)*E79*24*365*D79*N79</f>
        <v>0</v>
      </c>
      <c r="I79" s="16">
        <f>LCOE!M105+LCOE!I$20*IF(LCOE!I$14&gt;0,(LCOE!I$14+LCOE!H105),(LCOE!I$15+LCOE!I105))*K79*D79</f>
        <v>20000000</v>
      </c>
      <c r="J79" s="16">
        <f>LCOE!N105+LCOE!I$21*IF(LCOE!I$14&gt;0,G79,H79)*K79*D79</f>
        <v>0</v>
      </c>
      <c r="K79" s="15">
        <f>LCOE!O105+K78+K78*LCOE!I$22</f>
        <v>1</v>
      </c>
      <c r="L79" s="16">
        <f>LCOE!P105+LCOE!I$23*IF(LCOE!I$14&gt;0,G79,H79)*M79*D79</f>
        <v>168165720</v>
      </c>
      <c r="M79" s="15">
        <f>LCOE!Q105+M78+M78*LCOE!I$24</f>
        <v>1</v>
      </c>
      <c r="N79" s="15">
        <f>LCOE!R105+N78-N78*LCOE!I$25</f>
        <v>1</v>
      </c>
      <c r="O79" s="18">
        <f>LCOE!S105+LCOE!I$29</f>
        <v>313.75</v>
      </c>
      <c r="P79" s="12">
        <f>LCOE!T105+IF(A79&gt;=LCOE!I$30,100%,0%)</f>
        <v>1</v>
      </c>
      <c r="Q79" s="16">
        <f>LCOE!U105+O79/1000*IF(LCOE!I$14&gt;0,G79,H79)</f>
        <v>1236802.5</v>
      </c>
      <c r="R79" s="16">
        <f>LCOE!B105</f>
        <v>30</v>
      </c>
      <c r="S79" s="16">
        <f>LCOE!V105+Q79*P79*R79</f>
        <v>37104075</v>
      </c>
      <c r="T79" s="16">
        <f>LCOE!W105+LCOE!I$31</f>
        <v>0</v>
      </c>
      <c r="U79" s="16">
        <f>LCOE!X105+T79*IF(LCOE!I$14&gt;0,G79,H79)</f>
        <v>0</v>
      </c>
      <c r="V79" s="16">
        <f>LCOE!Y105+LCOE!I$32</f>
        <v>0</v>
      </c>
      <c r="W79" s="16">
        <f>LCOE!Z105+V79*IF(LCOE!I$14&gt;0,G79,H79)</f>
        <v>0</v>
      </c>
      <c r="X79" s="16">
        <f>LCOE!AA105+LCOE!I$34</f>
        <v>101</v>
      </c>
      <c r="Y79" s="16">
        <f t="shared" si="15"/>
        <v>0</v>
      </c>
      <c r="Z79" s="50">
        <f t="shared" si="18"/>
        <v>0</v>
      </c>
      <c r="AA79" s="50">
        <f t="shared" si="19"/>
        <v>20000000</v>
      </c>
      <c r="AB79" s="50">
        <f t="shared" si="20"/>
        <v>168165720</v>
      </c>
      <c r="AC79" s="50">
        <f t="shared" si="16"/>
        <v>0</v>
      </c>
      <c r="AD79" s="50">
        <f t="shared" si="11"/>
        <v>37104075</v>
      </c>
      <c r="AE79">
        <f t="shared" si="17"/>
        <v>9</v>
      </c>
      <c r="AF79" s="12">
        <f>LCOE!E105+LCOE!I$40</f>
        <v>0.1</v>
      </c>
      <c r="AG79">
        <f t="shared" si="12"/>
        <v>2.3579476910000015</v>
      </c>
      <c r="AH79" s="16">
        <f t="shared" si="7"/>
        <v>0</v>
      </c>
      <c r="AI79" s="16">
        <f t="shared" si="8"/>
        <v>8481952.3674496934</v>
      </c>
      <c r="AJ79" s="16">
        <f t="shared" si="9"/>
        <v>71318681.343894109</v>
      </c>
      <c r="AK79" s="16">
        <f t="shared" si="10"/>
        <v>0</v>
      </c>
      <c r="AL79" s="16">
        <f t="shared" si="13"/>
        <v>15735749.839414049</v>
      </c>
      <c r="AM79" s="16">
        <f t="shared" si="14"/>
        <v>0</v>
      </c>
      <c r="AN79" s="16">
        <f>IF(LCOE!I$14&gt;0,G79,H79)/AG79</f>
        <v>1671792.8116243344</v>
      </c>
    </row>
    <row r="80" spans="1:40">
      <c r="A80">
        <v>10</v>
      </c>
      <c r="C80" s="16">
        <f>LCOE!I106+IF(AND(LCOE!I$26&gt;0,A80&gt;=LCOE!I$26,A80&lt;=(LCOE!I$26+LCOE!I$27-1)),LCOE!I$42/LCOE!I$27,0)+IF(AND(D80=0,AE80&gt;=LCOE!I$16,COUNTIF(D55:D80,0)=LCOE!I$36),LCOE!I$35*LCOE!I$38,0)</f>
        <v>0</v>
      </c>
      <c r="D80" s="16">
        <f>IF(AE79&lt;LCOE!I$16,1,0)</f>
        <v>1</v>
      </c>
      <c r="E80" s="12">
        <f>LCOE!G106+IF(AND(A80&gt;=LCOE!I$26,A80&lt;=(LCOE!I$26+LCOE!I$27-1)),0,1)*IF(A80=LCOE!I$34,0,1)*D80</f>
        <v>1</v>
      </c>
      <c r="F80" s="12">
        <f>IF(F79&lt;LCOE!I$18,MIN(F79*(1+LCOE!I$19),LCOE!I$18),LCOE!I$18)+LCOE!J106</f>
        <v>0.9</v>
      </c>
      <c r="G80" s="16">
        <f>LCOE!K106+E80*F80*N80*(LCOE!I$14+LCOE!H106)*24*365*D80</f>
        <v>3942000</v>
      </c>
      <c r="H80" s="16">
        <f>LCOE!L106+F80*(LCOE!I$15+LCOE!I106)*E80*24*365*D80*N80</f>
        <v>0</v>
      </c>
      <c r="I80" s="16">
        <f>LCOE!M106+LCOE!I$20*IF(LCOE!I$14&gt;0,(LCOE!I$14+LCOE!H106),(LCOE!I$15+LCOE!I106))*K80*D80</f>
        <v>20000000</v>
      </c>
      <c r="J80" s="16">
        <f>LCOE!N106+LCOE!I$21*IF(LCOE!I$14&gt;0,G80,H80)*K80*D80</f>
        <v>0</v>
      </c>
      <c r="K80" s="15">
        <f>LCOE!O106+K79+K79*LCOE!I$22</f>
        <v>1</v>
      </c>
      <c r="L80" s="16">
        <f>LCOE!P106+LCOE!I$23*IF(LCOE!I$14&gt;0,G80,H80)*M80*D80</f>
        <v>168165720</v>
      </c>
      <c r="M80" s="15">
        <f>LCOE!Q106+M79+M79*LCOE!I$24</f>
        <v>1</v>
      </c>
      <c r="N80" s="15">
        <f>LCOE!R106+N79-N79*LCOE!I$25</f>
        <v>1</v>
      </c>
      <c r="O80" s="18">
        <f>LCOE!S106+LCOE!I$29</f>
        <v>313.75</v>
      </c>
      <c r="P80" s="12">
        <f>LCOE!T106+IF(A80&gt;=LCOE!I$30,100%,0%)</f>
        <v>1</v>
      </c>
      <c r="Q80" s="16">
        <f>LCOE!U106+O80/1000*IF(LCOE!I$14&gt;0,G80,H80)</f>
        <v>1236802.5</v>
      </c>
      <c r="R80" s="16">
        <f>LCOE!B106</f>
        <v>30</v>
      </c>
      <c r="S80" s="16">
        <f>LCOE!V106+Q80*P80*R80</f>
        <v>37104075</v>
      </c>
      <c r="T80" s="16">
        <f>LCOE!W106+LCOE!I$31</f>
        <v>0</v>
      </c>
      <c r="U80" s="16">
        <f>LCOE!X106+T80*IF(LCOE!I$14&gt;0,G80,H80)</f>
        <v>0</v>
      </c>
      <c r="V80" s="16">
        <f>LCOE!Y106+LCOE!I$32</f>
        <v>0</v>
      </c>
      <c r="W80" s="16">
        <f>LCOE!Z106+V80*IF(LCOE!I$14&gt;0,G80,H80)</f>
        <v>0</v>
      </c>
      <c r="X80" s="16">
        <f>LCOE!AA106+LCOE!I$34</f>
        <v>101</v>
      </c>
      <c r="Y80" s="16">
        <f t="shared" si="15"/>
        <v>0</v>
      </c>
      <c r="Z80" s="50">
        <f t="shared" si="18"/>
        <v>0</v>
      </c>
      <c r="AA80" s="50">
        <f t="shared" si="19"/>
        <v>20000000</v>
      </c>
      <c r="AB80" s="50">
        <f t="shared" si="20"/>
        <v>168165720</v>
      </c>
      <c r="AC80" s="50">
        <f t="shared" si="16"/>
        <v>0</v>
      </c>
      <c r="AD80" s="50">
        <f t="shared" si="11"/>
        <v>37104075</v>
      </c>
      <c r="AE80">
        <f t="shared" si="17"/>
        <v>10</v>
      </c>
      <c r="AF80" s="12">
        <f>LCOE!E106+LCOE!I$40</f>
        <v>0.1</v>
      </c>
      <c r="AG80">
        <f t="shared" si="12"/>
        <v>2.5937424601000019</v>
      </c>
      <c r="AH80" s="16">
        <f t="shared" si="7"/>
        <v>0</v>
      </c>
      <c r="AI80" s="16">
        <f t="shared" si="8"/>
        <v>7710865.7885906296</v>
      </c>
      <c r="AJ80" s="16">
        <f t="shared" si="9"/>
        <v>64835164.85808555</v>
      </c>
      <c r="AK80" s="16">
        <f t="shared" si="10"/>
        <v>0</v>
      </c>
      <c r="AL80" s="16">
        <f t="shared" si="13"/>
        <v>14305227.126740042</v>
      </c>
      <c r="AM80" s="16">
        <f t="shared" si="14"/>
        <v>0</v>
      </c>
      <c r="AN80" s="16">
        <f>IF(LCOE!I$14&gt;0,G80,H80)/AG80</f>
        <v>1519811.6469312131</v>
      </c>
    </row>
    <row r="81" spans="1:40">
      <c r="A81">
        <v>11</v>
      </c>
      <c r="C81" s="16">
        <f>LCOE!I107+IF(AND(LCOE!I$26&gt;0,A81&gt;=LCOE!I$26,A81&lt;=(LCOE!I$26+LCOE!I$27-1)),LCOE!I$42/LCOE!I$27,0)+IF(AND(D81=0,AE81&gt;=LCOE!I$16,COUNTIF(D56:D81,0)=LCOE!I$36),LCOE!I$35*LCOE!I$38,0)</f>
        <v>0</v>
      </c>
      <c r="D81" s="16">
        <f>IF(AE80&lt;LCOE!I$16,1,0)</f>
        <v>1</v>
      </c>
      <c r="E81" s="12">
        <f>LCOE!G107+IF(AND(A81&gt;=LCOE!I$26,A81&lt;=(LCOE!I$26+LCOE!I$27-1)),0,1)*IF(A81=LCOE!I$34,0,1)*D81</f>
        <v>1</v>
      </c>
      <c r="F81" s="12">
        <f>IF(F80&lt;LCOE!I$18,MIN(F80*(1+LCOE!I$19),LCOE!I$18),LCOE!I$18)+LCOE!J107</f>
        <v>0.9</v>
      </c>
      <c r="G81" s="16">
        <f>LCOE!K107+E81*F81*N81*(LCOE!I$14+LCOE!H107)*24*365*D81</f>
        <v>3942000</v>
      </c>
      <c r="H81" s="16">
        <f>LCOE!L107+F81*(LCOE!I$15+LCOE!I107)*E81*24*365*D81*N81</f>
        <v>0</v>
      </c>
      <c r="I81" s="16">
        <f>LCOE!M107+LCOE!I$20*IF(LCOE!I$14&gt;0,(LCOE!I$14+LCOE!H107),(LCOE!I$15+LCOE!I107))*K81*D81</f>
        <v>20000000</v>
      </c>
      <c r="J81" s="16">
        <f>LCOE!N107+LCOE!I$21*IF(LCOE!I$14&gt;0,G81,H81)*K81*D81</f>
        <v>0</v>
      </c>
      <c r="K81" s="15">
        <f>LCOE!O107+K80+K80*LCOE!I$22</f>
        <v>1</v>
      </c>
      <c r="L81" s="16">
        <f>LCOE!P107+LCOE!I$23*IF(LCOE!I$14&gt;0,G81,H81)*M81*D81</f>
        <v>168165720</v>
      </c>
      <c r="M81" s="15">
        <f>LCOE!Q107+M80+M80*LCOE!I$24</f>
        <v>1</v>
      </c>
      <c r="N81" s="15">
        <f>LCOE!R107+N80-N80*LCOE!I$25</f>
        <v>1</v>
      </c>
      <c r="O81" s="18">
        <f>LCOE!S107+LCOE!I$29</f>
        <v>313.75</v>
      </c>
      <c r="P81" s="12">
        <f>LCOE!T107+IF(A81&gt;=LCOE!I$30,100%,0%)</f>
        <v>1</v>
      </c>
      <c r="Q81" s="16">
        <f>LCOE!U107+O81/1000*IF(LCOE!I$14&gt;0,G81,H81)</f>
        <v>1236802.5</v>
      </c>
      <c r="R81" s="16">
        <f>LCOE!B107</f>
        <v>30</v>
      </c>
      <c r="S81" s="16">
        <f>LCOE!V107+Q81*P81*R81</f>
        <v>37104075</v>
      </c>
      <c r="T81" s="16">
        <f>LCOE!W107+LCOE!I$31</f>
        <v>0</v>
      </c>
      <c r="U81" s="16">
        <f>LCOE!X107+T81*IF(LCOE!I$14&gt;0,G81,H81)</f>
        <v>0</v>
      </c>
      <c r="V81" s="16">
        <f>LCOE!Y107+LCOE!I$32</f>
        <v>0</v>
      </c>
      <c r="W81" s="16">
        <f>LCOE!Z107+V81*IF(LCOE!I$14&gt;0,G81,H81)</f>
        <v>0</v>
      </c>
      <c r="X81" s="16">
        <f>LCOE!AA107+LCOE!I$34</f>
        <v>101</v>
      </c>
      <c r="Y81" s="16">
        <f t="shared" si="15"/>
        <v>0</v>
      </c>
      <c r="Z81" s="50">
        <f t="shared" si="18"/>
        <v>0</v>
      </c>
      <c r="AA81" s="50">
        <f t="shared" si="19"/>
        <v>20000000</v>
      </c>
      <c r="AB81" s="50">
        <f t="shared" si="20"/>
        <v>168165720</v>
      </c>
      <c r="AC81" s="50">
        <f t="shared" si="16"/>
        <v>0</v>
      </c>
      <c r="AD81" s="50">
        <f t="shared" si="11"/>
        <v>37104075</v>
      </c>
      <c r="AE81">
        <f t="shared" si="17"/>
        <v>11</v>
      </c>
      <c r="AF81" s="12">
        <f>LCOE!E107+LCOE!I$40</f>
        <v>0.1</v>
      </c>
      <c r="AG81">
        <f t="shared" si="12"/>
        <v>2.8531167061100025</v>
      </c>
      <c r="AH81" s="16">
        <f t="shared" si="7"/>
        <v>0</v>
      </c>
      <c r="AI81" s="16">
        <f t="shared" si="8"/>
        <v>7009877.9896278437</v>
      </c>
      <c r="AJ81" s="16">
        <f t="shared" si="9"/>
        <v>58941058.961895943</v>
      </c>
      <c r="AK81" s="16">
        <f t="shared" si="10"/>
        <v>0</v>
      </c>
      <c r="AL81" s="16">
        <f t="shared" si="13"/>
        <v>13004751.933400037</v>
      </c>
      <c r="AM81" s="16">
        <f t="shared" si="14"/>
        <v>0</v>
      </c>
      <c r="AN81" s="16">
        <f>IF(LCOE!I$14&gt;0,G81,H81)/AG81</f>
        <v>1381646.951755648</v>
      </c>
    </row>
    <row r="82" spans="1:40">
      <c r="A82">
        <v>12</v>
      </c>
      <c r="C82" s="16">
        <f>LCOE!I108+IF(AND(LCOE!I$26&gt;0,A82&gt;=LCOE!I$26,A82&lt;=(LCOE!I$26+LCOE!I$27-1)),LCOE!I$42/LCOE!I$27,0)+IF(AND(D82=0,AE82&gt;=LCOE!I$16,COUNTIF(D57:D82,0)=LCOE!I$36),LCOE!I$35*LCOE!I$38,0)</f>
        <v>0</v>
      </c>
      <c r="D82" s="16">
        <f>IF(AE81&lt;LCOE!I$16,1,0)</f>
        <v>1</v>
      </c>
      <c r="E82" s="12">
        <f>LCOE!G108+IF(AND(A82&gt;=LCOE!I$26,A82&lt;=(LCOE!I$26+LCOE!I$27-1)),0,1)*IF(A82=LCOE!I$34,0,1)*D82</f>
        <v>1</v>
      </c>
      <c r="F82" s="12">
        <f>IF(F81&lt;LCOE!I$18,MIN(F81*(1+LCOE!I$19),LCOE!I$18),LCOE!I$18)+LCOE!J108</f>
        <v>0.9</v>
      </c>
      <c r="G82" s="16">
        <f>LCOE!K108+E82*F82*N82*(LCOE!I$14+LCOE!H108)*24*365*D82</f>
        <v>3942000</v>
      </c>
      <c r="H82" s="16">
        <f>LCOE!L108+F82*(LCOE!I$15+LCOE!I108)*E82*24*365*D82*N82</f>
        <v>0</v>
      </c>
      <c r="I82" s="16">
        <f>LCOE!M108+LCOE!I$20*IF(LCOE!I$14&gt;0,(LCOE!I$14+LCOE!H108),(LCOE!I$15+LCOE!I108))*K82*D82</f>
        <v>20000000</v>
      </c>
      <c r="J82" s="16">
        <f>LCOE!N108+LCOE!I$21*IF(LCOE!I$14&gt;0,G82,H82)*K82*D82</f>
        <v>0</v>
      </c>
      <c r="K82" s="15">
        <f>LCOE!O108+K81+K81*LCOE!I$22</f>
        <v>1</v>
      </c>
      <c r="L82" s="16">
        <f>LCOE!P108+LCOE!I$23*IF(LCOE!I$14&gt;0,G82,H82)*M82*D82</f>
        <v>168165720</v>
      </c>
      <c r="M82" s="15">
        <f>LCOE!Q108+M81+M81*LCOE!I$24</f>
        <v>1</v>
      </c>
      <c r="N82" s="15">
        <f>LCOE!R108+N81-N81*LCOE!I$25</f>
        <v>1</v>
      </c>
      <c r="O82" s="18">
        <f>LCOE!S108+LCOE!I$29</f>
        <v>313.75</v>
      </c>
      <c r="P82" s="12">
        <f>LCOE!T108+IF(A82&gt;=LCOE!I$30,100%,0%)</f>
        <v>1</v>
      </c>
      <c r="Q82" s="16">
        <f>LCOE!U108+O82/1000*IF(LCOE!I$14&gt;0,G82,H82)</f>
        <v>1236802.5</v>
      </c>
      <c r="R82" s="16">
        <f>LCOE!B108</f>
        <v>30</v>
      </c>
      <c r="S82" s="16">
        <f>LCOE!V108+Q82*P82*R82</f>
        <v>37104075</v>
      </c>
      <c r="T82" s="16">
        <f>LCOE!W108+LCOE!I$31</f>
        <v>0</v>
      </c>
      <c r="U82" s="16">
        <f>LCOE!X108+T82*IF(LCOE!I$14&gt;0,G82,H82)</f>
        <v>0</v>
      </c>
      <c r="V82" s="16">
        <f>LCOE!Y108+LCOE!I$32</f>
        <v>0</v>
      </c>
      <c r="W82" s="16">
        <f>LCOE!Z108+V82*IF(LCOE!I$14&gt;0,G82,H82)</f>
        <v>0</v>
      </c>
      <c r="X82" s="16">
        <f>LCOE!AA108+LCOE!I$34</f>
        <v>101</v>
      </c>
      <c r="Y82" s="16">
        <f t="shared" si="15"/>
        <v>0</v>
      </c>
      <c r="Z82" s="50">
        <f t="shared" si="18"/>
        <v>0</v>
      </c>
      <c r="AA82" s="50">
        <f t="shared" si="19"/>
        <v>20000000</v>
      </c>
      <c r="AB82" s="50">
        <f t="shared" si="20"/>
        <v>168165720</v>
      </c>
      <c r="AC82" s="50">
        <f t="shared" si="16"/>
        <v>0</v>
      </c>
      <c r="AD82" s="50">
        <f t="shared" si="11"/>
        <v>37104075</v>
      </c>
      <c r="AE82">
        <f t="shared" si="17"/>
        <v>12</v>
      </c>
      <c r="AF82" s="12">
        <f>LCOE!E108+LCOE!I$40</f>
        <v>0.1</v>
      </c>
      <c r="AG82">
        <f t="shared" si="12"/>
        <v>3.1384283767210026</v>
      </c>
      <c r="AH82" s="16">
        <f t="shared" si="7"/>
        <v>0</v>
      </c>
      <c r="AI82" s="16">
        <f t="shared" si="8"/>
        <v>6372616.3542071311</v>
      </c>
      <c r="AJ82" s="16">
        <f t="shared" si="9"/>
        <v>53582780.874450862</v>
      </c>
      <c r="AK82" s="16">
        <f t="shared" si="10"/>
        <v>0</v>
      </c>
      <c r="AL82" s="16">
        <f t="shared" si="13"/>
        <v>11822501.757636398</v>
      </c>
      <c r="AM82" s="16">
        <f t="shared" si="14"/>
        <v>0</v>
      </c>
      <c r="AN82" s="16">
        <f>IF(LCOE!I$14&gt;0,G82,H82)/AG82</f>
        <v>1256042.6834142255</v>
      </c>
    </row>
    <row r="83" spans="1:40">
      <c r="A83">
        <v>13</v>
      </c>
      <c r="C83" s="16">
        <f>LCOE!I109+IF(AND(LCOE!I$26&gt;0,A83&gt;=LCOE!I$26,A83&lt;=(LCOE!I$26+LCOE!I$27-1)),LCOE!I$42/LCOE!I$27,0)+IF(AND(D83=0,AE83&gt;=LCOE!I$16,COUNTIF(D58:D83,0)=LCOE!I$36),LCOE!I$35*LCOE!I$38,0)</f>
        <v>0</v>
      </c>
      <c r="D83" s="16">
        <f>IF(AE82&lt;LCOE!I$16,1,0)</f>
        <v>1</v>
      </c>
      <c r="E83" s="12">
        <f>LCOE!G109+IF(AND(A83&gt;=LCOE!I$26,A83&lt;=(LCOE!I$26+LCOE!I$27-1)),0,1)*IF(A83=LCOE!I$34,0,1)*D83</f>
        <v>1</v>
      </c>
      <c r="F83" s="12">
        <f>IF(F82&lt;LCOE!I$18,MIN(F82*(1+LCOE!I$19),LCOE!I$18),LCOE!I$18)+LCOE!J109</f>
        <v>0.9</v>
      </c>
      <c r="G83" s="16">
        <f>LCOE!K109+E83*F83*N83*(LCOE!I$14+LCOE!H109)*24*365*D83</f>
        <v>3942000</v>
      </c>
      <c r="H83" s="16">
        <f>LCOE!L109+F83*(LCOE!I$15+LCOE!I109)*E83*24*365*D83*N83</f>
        <v>0</v>
      </c>
      <c r="I83" s="16">
        <f>LCOE!M109+LCOE!I$20*IF(LCOE!I$14&gt;0,(LCOE!I$14+LCOE!H109),(LCOE!I$15+LCOE!I109))*K83*D83</f>
        <v>20000000</v>
      </c>
      <c r="J83" s="16">
        <f>LCOE!N109+LCOE!I$21*IF(LCOE!I$14&gt;0,G83,H83)*K83*D83</f>
        <v>0</v>
      </c>
      <c r="K83" s="15">
        <f>LCOE!O109+K82+K82*LCOE!I$22</f>
        <v>1</v>
      </c>
      <c r="L83" s="16">
        <f>LCOE!P109+LCOE!I$23*IF(LCOE!I$14&gt;0,G83,H83)*M83*D83</f>
        <v>168165720</v>
      </c>
      <c r="M83" s="15">
        <f>LCOE!Q109+M82+M82*LCOE!I$24</f>
        <v>1</v>
      </c>
      <c r="N83" s="15">
        <f>LCOE!R109+N82-N82*LCOE!I$25</f>
        <v>1</v>
      </c>
      <c r="O83" s="18">
        <f>LCOE!S109+LCOE!I$29</f>
        <v>313.75</v>
      </c>
      <c r="P83" s="12">
        <f>LCOE!T109+IF(A83&gt;=LCOE!I$30,100%,0%)</f>
        <v>1</v>
      </c>
      <c r="Q83" s="16">
        <f>LCOE!U109+O83/1000*IF(LCOE!I$14&gt;0,G83,H83)</f>
        <v>1236802.5</v>
      </c>
      <c r="R83" s="16">
        <f>LCOE!B109</f>
        <v>30</v>
      </c>
      <c r="S83" s="16">
        <f>LCOE!V109+Q83*P83*R83</f>
        <v>37104075</v>
      </c>
      <c r="T83" s="16">
        <f>LCOE!W109+LCOE!I$31</f>
        <v>0</v>
      </c>
      <c r="U83" s="16">
        <f>LCOE!X109+T83*IF(LCOE!I$14&gt;0,G83,H83)</f>
        <v>0</v>
      </c>
      <c r="V83" s="16">
        <f>LCOE!Y109+LCOE!I$32</f>
        <v>0</v>
      </c>
      <c r="W83" s="16">
        <f>LCOE!Z109+V83*IF(LCOE!I$14&gt;0,G83,H83)</f>
        <v>0</v>
      </c>
      <c r="X83" s="16">
        <f>LCOE!AA109+LCOE!I$34</f>
        <v>101</v>
      </c>
      <c r="Y83" s="16">
        <f t="shared" si="15"/>
        <v>0</v>
      </c>
      <c r="Z83" s="50">
        <f t="shared" si="18"/>
        <v>0</v>
      </c>
      <c r="AA83" s="50">
        <f t="shared" si="19"/>
        <v>20000000</v>
      </c>
      <c r="AB83" s="50">
        <f t="shared" si="20"/>
        <v>168165720</v>
      </c>
      <c r="AC83" s="50">
        <f t="shared" si="16"/>
        <v>0</v>
      </c>
      <c r="AD83" s="50">
        <f t="shared" si="11"/>
        <v>37104075</v>
      </c>
      <c r="AE83">
        <f t="shared" si="17"/>
        <v>13</v>
      </c>
      <c r="AF83" s="12">
        <f>LCOE!E109+LCOE!I$40</f>
        <v>0.1</v>
      </c>
      <c r="AG83">
        <f t="shared" si="12"/>
        <v>3.4522712143931029</v>
      </c>
      <c r="AH83" s="16">
        <f t="shared" si="7"/>
        <v>0</v>
      </c>
      <c r="AI83" s="16">
        <f t="shared" si="8"/>
        <v>5793287.5947337551</v>
      </c>
      <c r="AJ83" s="16">
        <f t="shared" si="9"/>
        <v>48711618.976773508</v>
      </c>
      <c r="AK83" s="16">
        <f t="shared" si="10"/>
        <v>0</v>
      </c>
      <c r="AL83" s="16">
        <f t="shared" si="13"/>
        <v>10747728.870578542</v>
      </c>
      <c r="AM83" s="16">
        <f t="shared" si="14"/>
        <v>0</v>
      </c>
      <c r="AN83" s="16">
        <f>IF(LCOE!I$14&gt;0,G83,H83)/AG83</f>
        <v>1141856.9849220233</v>
      </c>
    </row>
    <row r="84" spans="1:40">
      <c r="A84">
        <v>14</v>
      </c>
      <c r="C84" s="16">
        <f>LCOE!I110+IF(AND(LCOE!I$26&gt;0,A84&gt;=LCOE!I$26,A84&lt;=(LCOE!I$26+LCOE!I$27-1)),LCOE!I$42/LCOE!I$27,0)+IF(AND(D84=0,AE84&gt;=LCOE!I$16,COUNTIF(D59:D84,0)=LCOE!I$36),LCOE!I$35*LCOE!I$38,0)</f>
        <v>0</v>
      </c>
      <c r="D84" s="16">
        <f>IF(AE83&lt;LCOE!I$16,1,0)</f>
        <v>1</v>
      </c>
      <c r="E84" s="12">
        <f>LCOE!G110+IF(AND(A84&gt;=LCOE!I$26,A84&lt;=(LCOE!I$26+LCOE!I$27-1)),0,1)*IF(A84=LCOE!I$34,0,1)*D84</f>
        <v>1</v>
      </c>
      <c r="F84" s="12">
        <f>IF(F83&lt;LCOE!I$18,MIN(F83*(1+LCOE!I$19),LCOE!I$18),LCOE!I$18)+LCOE!J110</f>
        <v>0.9</v>
      </c>
      <c r="G84" s="16">
        <f>LCOE!K110+E84*F84*N84*(LCOE!I$14+LCOE!H110)*24*365*D84</f>
        <v>3942000</v>
      </c>
      <c r="H84" s="16">
        <f>LCOE!L110+F84*(LCOE!I$15+LCOE!I110)*E84*24*365*D84*N84</f>
        <v>0</v>
      </c>
      <c r="I84" s="16">
        <f>LCOE!M110+LCOE!I$20*IF(LCOE!I$14&gt;0,(LCOE!I$14+LCOE!H110),(LCOE!I$15+LCOE!I110))*K84*D84</f>
        <v>20000000</v>
      </c>
      <c r="J84" s="16">
        <f>LCOE!N110+LCOE!I$21*IF(LCOE!I$14&gt;0,G84,H84)*K84*D84</f>
        <v>0</v>
      </c>
      <c r="K84" s="15">
        <f>LCOE!O110+K83+K83*LCOE!I$22</f>
        <v>1</v>
      </c>
      <c r="L84" s="16">
        <f>LCOE!P110+LCOE!I$23*IF(LCOE!I$14&gt;0,G84,H84)*M84*D84</f>
        <v>168165720</v>
      </c>
      <c r="M84" s="15">
        <f>LCOE!Q110+M83+M83*LCOE!I$24</f>
        <v>1</v>
      </c>
      <c r="N84" s="15">
        <f>LCOE!R110+N83-N83*LCOE!I$25</f>
        <v>1</v>
      </c>
      <c r="O84" s="18">
        <f>LCOE!S110+LCOE!I$29</f>
        <v>313.75</v>
      </c>
      <c r="P84" s="12">
        <f>LCOE!T110+IF(A84&gt;=LCOE!I$30,100%,0%)</f>
        <v>1</v>
      </c>
      <c r="Q84" s="16">
        <f>LCOE!U110+O84/1000*IF(LCOE!I$14&gt;0,G84,H84)</f>
        <v>1236802.5</v>
      </c>
      <c r="R84" s="16">
        <f>LCOE!B110</f>
        <v>30</v>
      </c>
      <c r="S84" s="16">
        <f>LCOE!V110+Q84*P84*R84</f>
        <v>37104075</v>
      </c>
      <c r="T84" s="16">
        <f>LCOE!W110+LCOE!I$31</f>
        <v>0</v>
      </c>
      <c r="U84" s="16">
        <f>LCOE!X110+T84*IF(LCOE!I$14&gt;0,G84,H84)</f>
        <v>0</v>
      </c>
      <c r="V84" s="16">
        <f>LCOE!Y110+LCOE!I$32</f>
        <v>0</v>
      </c>
      <c r="W84" s="16">
        <f>LCOE!Z110+V84*IF(LCOE!I$14&gt;0,G84,H84)</f>
        <v>0</v>
      </c>
      <c r="X84" s="16">
        <f>LCOE!AA110+LCOE!I$34</f>
        <v>101</v>
      </c>
      <c r="Y84" s="16">
        <f t="shared" si="15"/>
        <v>0</v>
      </c>
      <c r="Z84" s="50">
        <f t="shared" si="18"/>
        <v>0</v>
      </c>
      <c r="AA84" s="50">
        <f t="shared" si="19"/>
        <v>20000000</v>
      </c>
      <c r="AB84" s="50">
        <f t="shared" si="20"/>
        <v>168165720</v>
      </c>
      <c r="AC84" s="50">
        <f t="shared" si="16"/>
        <v>0</v>
      </c>
      <c r="AD84" s="50">
        <f t="shared" si="11"/>
        <v>37104075</v>
      </c>
      <c r="AE84">
        <f t="shared" si="17"/>
        <v>14</v>
      </c>
      <c r="AF84" s="12">
        <f>LCOE!E110+LCOE!I$40</f>
        <v>0.1</v>
      </c>
      <c r="AG84">
        <f t="shared" si="12"/>
        <v>3.7974983358324139</v>
      </c>
      <c r="AH84" s="16">
        <f t="shared" si="7"/>
        <v>0</v>
      </c>
      <c r="AI84" s="16">
        <f t="shared" si="8"/>
        <v>5266625.0861215945</v>
      </c>
      <c r="AJ84" s="16">
        <f t="shared" si="9"/>
        <v>44283289.978885002</v>
      </c>
      <c r="AK84" s="16">
        <f t="shared" si="10"/>
        <v>0</v>
      </c>
      <c r="AL84" s="16">
        <f t="shared" si="13"/>
        <v>9770662.6096168552</v>
      </c>
      <c r="AM84" s="16">
        <f t="shared" si="14"/>
        <v>0</v>
      </c>
      <c r="AN84" s="16">
        <f>IF(LCOE!I$14&gt;0,G84,H84)/AG84</f>
        <v>1038051.8044745664</v>
      </c>
    </row>
    <row r="85" spans="1:40">
      <c r="A85">
        <v>15</v>
      </c>
      <c r="C85" s="16">
        <f>LCOE!I111+IF(AND(LCOE!I$26&gt;0,A85&gt;=LCOE!I$26,A85&lt;=(LCOE!I$26+LCOE!I$27-1)),LCOE!I$42/LCOE!I$27,0)+IF(AND(D85=0,AE85&gt;=LCOE!I$16,COUNTIF(D60:D85,0)=LCOE!I$36),LCOE!I$35*LCOE!I$38,0)</f>
        <v>0</v>
      </c>
      <c r="D85" s="16">
        <f>IF(AE84&lt;LCOE!I$16,1,0)</f>
        <v>1</v>
      </c>
      <c r="E85" s="12">
        <f>LCOE!G111+IF(AND(A85&gt;=LCOE!I$26,A85&lt;=(LCOE!I$26+LCOE!I$27-1)),0,1)*IF(A85=LCOE!I$34,0,1)*D85</f>
        <v>1</v>
      </c>
      <c r="F85" s="12">
        <f>IF(F84&lt;LCOE!I$18,MIN(F84*(1+LCOE!I$19),LCOE!I$18),LCOE!I$18)+LCOE!J111</f>
        <v>0.9</v>
      </c>
      <c r="G85" s="16">
        <f>LCOE!K111+E85*F85*N85*(LCOE!I$14+LCOE!H111)*24*365*D85</f>
        <v>3942000</v>
      </c>
      <c r="H85" s="16">
        <f>LCOE!L111+F85*(LCOE!I$15+LCOE!I111)*E85*24*365*D85*N85</f>
        <v>0</v>
      </c>
      <c r="I85" s="16">
        <f>LCOE!M111+LCOE!I$20*IF(LCOE!I$14&gt;0,(LCOE!I$14+LCOE!H111),(LCOE!I$15+LCOE!I111))*K85*D85</f>
        <v>20000000</v>
      </c>
      <c r="J85" s="16">
        <f>LCOE!N111+LCOE!I$21*IF(LCOE!I$14&gt;0,G85,H85)*K85*D85</f>
        <v>0</v>
      </c>
      <c r="K85" s="15">
        <f>LCOE!O111+K84+K84*LCOE!I$22</f>
        <v>1</v>
      </c>
      <c r="L85" s="16">
        <f>LCOE!P111+LCOE!I$23*IF(LCOE!I$14&gt;0,G85,H85)*M85*D85</f>
        <v>168165720</v>
      </c>
      <c r="M85" s="15">
        <f>LCOE!Q111+M84+M84*LCOE!I$24</f>
        <v>1</v>
      </c>
      <c r="N85" s="15">
        <f>LCOE!R111+N84-N84*LCOE!I$25</f>
        <v>1</v>
      </c>
      <c r="O85" s="18">
        <f>LCOE!S111+LCOE!I$29</f>
        <v>313.75</v>
      </c>
      <c r="P85" s="12">
        <f>LCOE!T111+IF(A85&gt;=LCOE!I$30,100%,0%)</f>
        <v>1</v>
      </c>
      <c r="Q85" s="16">
        <f>LCOE!U111+O85/1000*IF(LCOE!I$14&gt;0,G85,H85)</f>
        <v>1236802.5</v>
      </c>
      <c r="R85" s="16">
        <f>LCOE!B111</f>
        <v>30</v>
      </c>
      <c r="S85" s="16">
        <f>LCOE!V111+Q85*P85*R85</f>
        <v>37104075</v>
      </c>
      <c r="T85" s="16">
        <f>LCOE!W111+LCOE!I$31</f>
        <v>0</v>
      </c>
      <c r="U85" s="16">
        <f>LCOE!X111+T85*IF(LCOE!I$14&gt;0,G85,H85)</f>
        <v>0</v>
      </c>
      <c r="V85" s="16">
        <f>LCOE!Y111+LCOE!I$32</f>
        <v>0</v>
      </c>
      <c r="W85" s="16">
        <f>LCOE!Z111+V85*IF(LCOE!I$14&gt;0,G85,H85)</f>
        <v>0</v>
      </c>
      <c r="X85" s="16">
        <f>LCOE!AA111+LCOE!I$34</f>
        <v>101</v>
      </c>
      <c r="Y85" s="16">
        <f t="shared" si="15"/>
        <v>0</v>
      </c>
      <c r="Z85" s="50">
        <f t="shared" si="18"/>
        <v>0</v>
      </c>
      <c r="AA85" s="50">
        <f t="shared" si="19"/>
        <v>20000000</v>
      </c>
      <c r="AB85" s="50">
        <f t="shared" si="20"/>
        <v>168165720</v>
      </c>
      <c r="AC85" s="50">
        <f t="shared" si="16"/>
        <v>0</v>
      </c>
      <c r="AD85" s="50">
        <f t="shared" si="11"/>
        <v>37104075</v>
      </c>
      <c r="AE85">
        <f t="shared" si="17"/>
        <v>15</v>
      </c>
      <c r="AF85" s="12">
        <f>LCOE!E111+LCOE!I$40</f>
        <v>0.1</v>
      </c>
      <c r="AG85">
        <f t="shared" si="12"/>
        <v>4.1772481694156554</v>
      </c>
      <c r="AH85" s="16">
        <f t="shared" si="7"/>
        <v>0</v>
      </c>
      <c r="AI85" s="16">
        <f t="shared" si="8"/>
        <v>4787840.9873832678</v>
      </c>
      <c r="AJ85" s="16">
        <f t="shared" si="9"/>
        <v>40257536.344440907</v>
      </c>
      <c r="AK85" s="16">
        <f t="shared" si="10"/>
        <v>0</v>
      </c>
      <c r="AL85" s="16">
        <f t="shared" si="13"/>
        <v>8882420.5541971419</v>
      </c>
      <c r="AM85" s="16">
        <f t="shared" si="14"/>
        <v>0</v>
      </c>
      <c r="AN85" s="16">
        <f>IF(LCOE!I$14&gt;0,G85,H85)/AG85</f>
        <v>943683.45861324214</v>
      </c>
    </row>
    <row r="86" spans="1:40">
      <c r="A86">
        <v>16</v>
      </c>
      <c r="C86" s="16">
        <f>LCOE!I112+IF(AND(LCOE!I$26&gt;0,A86&gt;=LCOE!I$26,A86&lt;=(LCOE!I$26+LCOE!I$27-1)),LCOE!I$42/LCOE!I$27,0)+IF(AND(D86=0,AE86&gt;=LCOE!I$16,COUNTIF(D61:D86,0)=LCOE!I$36),LCOE!I$35*LCOE!I$38,0)</f>
        <v>0</v>
      </c>
      <c r="D86" s="16">
        <f>IF(AE85&lt;LCOE!I$16,1,0)</f>
        <v>1</v>
      </c>
      <c r="E86" s="12">
        <f>LCOE!G112+IF(AND(A86&gt;=LCOE!I$26,A86&lt;=(LCOE!I$26+LCOE!I$27-1)),0,1)*IF(A86=LCOE!I$34,0,1)*D86</f>
        <v>1</v>
      </c>
      <c r="F86" s="12">
        <f>IF(F85&lt;LCOE!I$18,MIN(F85*(1+LCOE!I$19),LCOE!I$18),LCOE!I$18)+LCOE!J112</f>
        <v>0.9</v>
      </c>
      <c r="G86" s="16">
        <f>LCOE!K112+E86*F86*N86*(LCOE!I$14+LCOE!H112)*24*365*D86</f>
        <v>3942000</v>
      </c>
      <c r="H86" s="16">
        <f>LCOE!L112+F86*(LCOE!I$15+LCOE!I112)*E86*24*365*D86*N86</f>
        <v>0</v>
      </c>
      <c r="I86" s="16">
        <f>LCOE!M112+LCOE!I$20*IF(LCOE!I$14&gt;0,(LCOE!I$14+LCOE!H112),(LCOE!I$15+LCOE!I112))*K86*D86</f>
        <v>20000000</v>
      </c>
      <c r="J86" s="16">
        <f>LCOE!N112+LCOE!I$21*IF(LCOE!I$14&gt;0,G86,H86)*K86*D86</f>
        <v>0</v>
      </c>
      <c r="K86" s="15">
        <f>LCOE!O112+K85+K85*LCOE!I$22</f>
        <v>1</v>
      </c>
      <c r="L86" s="16">
        <f>LCOE!P112+LCOE!I$23*IF(LCOE!I$14&gt;0,G86,H86)*M86*D86</f>
        <v>168165720</v>
      </c>
      <c r="M86" s="15">
        <f>LCOE!Q112+M85+M85*LCOE!I$24</f>
        <v>1</v>
      </c>
      <c r="N86" s="15">
        <f>LCOE!R112+N85-N85*LCOE!I$25</f>
        <v>1</v>
      </c>
      <c r="O86" s="18">
        <f>LCOE!S112+LCOE!I$29</f>
        <v>313.75</v>
      </c>
      <c r="P86" s="12">
        <f>LCOE!T112+IF(A86&gt;=LCOE!I$30,100%,0%)</f>
        <v>1</v>
      </c>
      <c r="Q86" s="16">
        <f>LCOE!U112+O86/1000*IF(LCOE!I$14&gt;0,G86,H86)</f>
        <v>1236802.5</v>
      </c>
      <c r="R86" s="16">
        <f>LCOE!B112</f>
        <v>30</v>
      </c>
      <c r="S86" s="16">
        <f>LCOE!V112+Q86*P86*R86</f>
        <v>37104075</v>
      </c>
      <c r="T86" s="16">
        <f>LCOE!W112+LCOE!I$31</f>
        <v>0</v>
      </c>
      <c r="U86" s="16">
        <f>LCOE!X112+T86*IF(LCOE!I$14&gt;0,G86,H86)</f>
        <v>0</v>
      </c>
      <c r="V86" s="16">
        <f>LCOE!Y112+LCOE!I$32</f>
        <v>0</v>
      </c>
      <c r="W86" s="16">
        <f>LCOE!Z112+V86*IF(LCOE!I$14&gt;0,G86,H86)</f>
        <v>0</v>
      </c>
      <c r="X86" s="16">
        <f>LCOE!AA112+LCOE!I$34</f>
        <v>101</v>
      </c>
      <c r="Y86" s="16">
        <f t="shared" si="15"/>
        <v>0</v>
      </c>
      <c r="Z86" s="50">
        <f t="shared" si="18"/>
        <v>0</v>
      </c>
      <c r="AA86" s="50">
        <f t="shared" si="19"/>
        <v>20000000</v>
      </c>
      <c r="AB86" s="50">
        <f t="shared" si="20"/>
        <v>168165720</v>
      </c>
      <c r="AC86" s="50">
        <f t="shared" si="16"/>
        <v>0</v>
      </c>
      <c r="AD86" s="50">
        <f t="shared" si="11"/>
        <v>37104075</v>
      </c>
      <c r="AE86">
        <f t="shared" si="17"/>
        <v>16</v>
      </c>
      <c r="AF86" s="12">
        <f>LCOE!E112+LCOE!I$40</f>
        <v>0.1</v>
      </c>
      <c r="AG86">
        <f t="shared" si="12"/>
        <v>4.5949729863572211</v>
      </c>
      <c r="AH86" s="16">
        <f t="shared" si="7"/>
        <v>0</v>
      </c>
      <c r="AI86" s="16">
        <f t="shared" si="8"/>
        <v>4352582.7158029703</v>
      </c>
      <c r="AJ86" s="16">
        <f t="shared" si="9"/>
        <v>36597760.313128099</v>
      </c>
      <c r="AK86" s="16">
        <f t="shared" si="10"/>
        <v>0</v>
      </c>
      <c r="AL86" s="16">
        <f t="shared" si="13"/>
        <v>8074927.7765428554</v>
      </c>
      <c r="AM86" s="16">
        <f t="shared" si="14"/>
        <v>0</v>
      </c>
      <c r="AN86" s="16">
        <f>IF(LCOE!I$14&gt;0,G86,H86)/AG86</f>
        <v>857894.05328476557</v>
      </c>
    </row>
    <row r="87" spans="1:40">
      <c r="A87">
        <v>17</v>
      </c>
      <c r="C87" s="16">
        <f>LCOE!I113+IF(AND(LCOE!I$26&gt;0,A87&gt;=LCOE!I$26,A87&lt;=(LCOE!I$26+LCOE!I$27-1)),LCOE!I$42/LCOE!I$27,0)+IF(AND(D87=0,AE87&gt;=LCOE!I$16,COUNTIF(D62:D87,0)=LCOE!I$36),LCOE!I$35*LCOE!I$38,0)</f>
        <v>0</v>
      </c>
      <c r="D87" s="16">
        <f>IF(AE86&lt;LCOE!I$16,1,0)</f>
        <v>1</v>
      </c>
      <c r="E87" s="12">
        <f>LCOE!G113+IF(AND(A87&gt;=LCOE!I$26,A87&lt;=(LCOE!I$26+LCOE!I$27-1)),0,1)*IF(A87=LCOE!I$34,0,1)*D87</f>
        <v>1</v>
      </c>
      <c r="F87" s="12">
        <f>IF(F86&lt;LCOE!I$18,MIN(F86*(1+LCOE!I$19),LCOE!I$18),LCOE!I$18)+LCOE!J113</f>
        <v>0.9</v>
      </c>
      <c r="G87" s="16">
        <f>LCOE!K113+E87*F87*N87*(LCOE!I$14+LCOE!H113)*24*365*D87</f>
        <v>3942000</v>
      </c>
      <c r="H87" s="16">
        <f>LCOE!L113+F87*(LCOE!I$15+LCOE!I113)*E87*24*365*D87*N87</f>
        <v>0</v>
      </c>
      <c r="I87" s="16">
        <f>LCOE!M113+LCOE!I$20*IF(LCOE!I$14&gt;0,(LCOE!I$14+LCOE!H113),(LCOE!I$15+LCOE!I113))*K87*D87</f>
        <v>20000000</v>
      </c>
      <c r="J87" s="16">
        <f>LCOE!N113+LCOE!I$21*IF(LCOE!I$14&gt;0,G87,H87)*K87*D87</f>
        <v>0</v>
      </c>
      <c r="K87" s="15">
        <f>LCOE!O113+K86+K86*LCOE!I$22</f>
        <v>1</v>
      </c>
      <c r="L87" s="16">
        <f>LCOE!P113+LCOE!I$23*IF(LCOE!I$14&gt;0,G87,H87)*M87*D87</f>
        <v>168165720</v>
      </c>
      <c r="M87" s="15">
        <f>LCOE!Q113+M86+M86*LCOE!I$24</f>
        <v>1</v>
      </c>
      <c r="N87" s="15">
        <f>LCOE!R113+N86-N86*LCOE!I$25</f>
        <v>1</v>
      </c>
      <c r="O87" s="18">
        <f>LCOE!S113+LCOE!I$29</f>
        <v>313.75</v>
      </c>
      <c r="P87" s="12">
        <f>LCOE!T113+IF(A87&gt;=LCOE!I$30,100%,0%)</f>
        <v>1</v>
      </c>
      <c r="Q87" s="16">
        <f>LCOE!U113+O87/1000*IF(LCOE!I$14&gt;0,G87,H87)</f>
        <v>1236802.5</v>
      </c>
      <c r="R87" s="16">
        <f>LCOE!B113</f>
        <v>30</v>
      </c>
      <c r="S87" s="16">
        <f>LCOE!V113+Q87*P87*R87</f>
        <v>37104075</v>
      </c>
      <c r="T87" s="16">
        <f>LCOE!W113+LCOE!I$31</f>
        <v>0</v>
      </c>
      <c r="U87" s="16">
        <f>LCOE!X113+T87*IF(LCOE!I$14&gt;0,G87,H87)</f>
        <v>0</v>
      </c>
      <c r="V87" s="16">
        <f>LCOE!Y113+LCOE!I$32</f>
        <v>0</v>
      </c>
      <c r="W87" s="16">
        <f>LCOE!Z113+V87*IF(LCOE!I$14&gt;0,G87,H87)</f>
        <v>0</v>
      </c>
      <c r="X87" s="16">
        <f>LCOE!AA113+LCOE!I$34</f>
        <v>101</v>
      </c>
      <c r="Y87" s="16">
        <f t="shared" si="15"/>
        <v>0</v>
      </c>
      <c r="Z87" s="50">
        <f t="shared" si="18"/>
        <v>0</v>
      </c>
      <c r="AA87" s="50">
        <f t="shared" si="19"/>
        <v>20000000</v>
      </c>
      <c r="AB87" s="50">
        <f t="shared" si="20"/>
        <v>168165720</v>
      </c>
      <c r="AC87" s="50">
        <f t="shared" si="16"/>
        <v>0</v>
      </c>
      <c r="AD87" s="50">
        <f t="shared" si="11"/>
        <v>37104075</v>
      </c>
      <c r="AE87">
        <f t="shared" si="17"/>
        <v>17</v>
      </c>
      <c r="AF87" s="12">
        <f>LCOE!E113+LCOE!I$40</f>
        <v>0.1</v>
      </c>
      <c r="AG87">
        <f t="shared" si="12"/>
        <v>5.0544702849929433</v>
      </c>
      <c r="AH87" s="16">
        <f t="shared" si="7"/>
        <v>0</v>
      </c>
      <c r="AI87" s="16">
        <f t="shared" si="8"/>
        <v>3956893.3780027004</v>
      </c>
      <c r="AJ87" s="16">
        <f t="shared" si="9"/>
        <v>33270691.193752814</v>
      </c>
      <c r="AK87" s="16">
        <f t="shared" si="10"/>
        <v>0</v>
      </c>
      <c r="AL87" s="16">
        <f t="shared" si="13"/>
        <v>7340843.4332207777</v>
      </c>
      <c r="AM87" s="16">
        <f t="shared" si="14"/>
        <v>0</v>
      </c>
      <c r="AN87" s="16">
        <f>IF(LCOE!I$14&gt;0,G87,H87)/AG87</f>
        <v>779903.68480433233</v>
      </c>
    </row>
    <row r="88" spans="1:40">
      <c r="A88">
        <v>18</v>
      </c>
      <c r="C88" s="16">
        <f>LCOE!I114+IF(AND(LCOE!I$26&gt;0,A88&gt;=LCOE!I$26,A88&lt;=(LCOE!I$26+LCOE!I$27-1)),LCOE!I$42/LCOE!I$27,0)+IF(AND(D88=0,AE88&gt;=LCOE!I$16,COUNTIF(D63:D88,0)=LCOE!I$36),LCOE!I$35*LCOE!I$38,0)</f>
        <v>0</v>
      </c>
      <c r="D88" s="16">
        <f>IF(AE87&lt;LCOE!I$16,1,0)</f>
        <v>1</v>
      </c>
      <c r="E88" s="12">
        <f>LCOE!G114+IF(AND(A88&gt;=LCOE!I$26,A88&lt;=(LCOE!I$26+LCOE!I$27-1)),0,1)*IF(A88=LCOE!I$34,0,1)*D88</f>
        <v>1</v>
      </c>
      <c r="F88" s="12">
        <f>IF(F87&lt;LCOE!I$18,MIN(F87*(1+LCOE!I$19),LCOE!I$18),LCOE!I$18)+LCOE!J114</f>
        <v>0.9</v>
      </c>
      <c r="G88" s="16">
        <f>LCOE!K114+E88*F88*N88*(LCOE!I$14+LCOE!H114)*24*365*D88</f>
        <v>3942000</v>
      </c>
      <c r="H88" s="16">
        <f>LCOE!L114+F88*(LCOE!I$15+LCOE!I114)*E88*24*365*D88*N88</f>
        <v>0</v>
      </c>
      <c r="I88" s="16">
        <f>LCOE!M114+LCOE!I$20*IF(LCOE!I$14&gt;0,(LCOE!I$14+LCOE!H114),(LCOE!I$15+LCOE!I114))*K88*D88</f>
        <v>20000000</v>
      </c>
      <c r="J88" s="16">
        <f>LCOE!N114+LCOE!I$21*IF(LCOE!I$14&gt;0,G88,H88)*K88*D88</f>
        <v>0</v>
      </c>
      <c r="K88" s="15">
        <f>LCOE!O114+K87+K87*LCOE!I$22</f>
        <v>1</v>
      </c>
      <c r="L88" s="16">
        <f>LCOE!P114+LCOE!I$23*IF(LCOE!I$14&gt;0,G88,H88)*M88*D88</f>
        <v>168165720</v>
      </c>
      <c r="M88" s="15">
        <f>LCOE!Q114+M87+M87*LCOE!I$24</f>
        <v>1</v>
      </c>
      <c r="N88" s="15">
        <f>LCOE!R114+N87-N87*LCOE!I$25</f>
        <v>1</v>
      </c>
      <c r="O88" s="18">
        <f>LCOE!S114+LCOE!I$29</f>
        <v>313.75</v>
      </c>
      <c r="P88" s="12">
        <f>LCOE!T114+IF(A88&gt;=LCOE!I$30,100%,0%)</f>
        <v>1</v>
      </c>
      <c r="Q88" s="16">
        <f>LCOE!U114+O88/1000*IF(LCOE!I$14&gt;0,G88,H88)</f>
        <v>1236802.5</v>
      </c>
      <c r="R88" s="16">
        <f>LCOE!B114</f>
        <v>30</v>
      </c>
      <c r="S88" s="16">
        <f>LCOE!V114+Q88*P88*R88</f>
        <v>37104075</v>
      </c>
      <c r="T88" s="16">
        <f>LCOE!W114+LCOE!I$31</f>
        <v>0</v>
      </c>
      <c r="U88" s="16">
        <f>LCOE!X114+T88*IF(LCOE!I$14&gt;0,G88,H88)</f>
        <v>0</v>
      </c>
      <c r="V88" s="16">
        <f>LCOE!Y114+LCOE!I$32</f>
        <v>0</v>
      </c>
      <c r="W88" s="16">
        <f>LCOE!Z114+V88*IF(LCOE!I$14&gt;0,G88,H88)</f>
        <v>0</v>
      </c>
      <c r="X88" s="16">
        <f>LCOE!AA114+LCOE!I$34</f>
        <v>101</v>
      </c>
      <c r="Y88" s="16">
        <f t="shared" si="15"/>
        <v>0</v>
      </c>
      <c r="Z88" s="50">
        <f t="shared" si="18"/>
        <v>0</v>
      </c>
      <c r="AA88" s="50">
        <f t="shared" si="19"/>
        <v>20000000</v>
      </c>
      <c r="AB88" s="50">
        <f t="shared" si="20"/>
        <v>168165720</v>
      </c>
      <c r="AC88" s="50">
        <f t="shared" si="16"/>
        <v>0</v>
      </c>
      <c r="AD88" s="50">
        <f t="shared" si="11"/>
        <v>37104075</v>
      </c>
      <c r="AE88">
        <f t="shared" si="17"/>
        <v>18</v>
      </c>
      <c r="AF88" s="12">
        <f>LCOE!E114+LCOE!I$40</f>
        <v>0.1</v>
      </c>
      <c r="AG88">
        <f t="shared" si="12"/>
        <v>5.5599173134922379</v>
      </c>
      <c r="AH88" s="16">
        <f t="shared" si="7"/>
        <v>0</v>
      </c>
      <c r="AI88" s="16">
        <f t="shared" si="8"/>
        <v>3597175.7981842728</v>
      </c>
      <c r="AJ88" s="16">
        <f t="shared" si="9"/>
        <v>30246082.903411649</v>
      </c>
      <c r="AK88" s="16">
        <f t="shared" si="10"/>
        <v>0</v>
      </c>
      <c r="AL88" s="16">
        <f t="shared" si="13"/>
        <v>6673494.0302007068</v>
      </c>
      <c r="AM88" s="16">
        <f t="shared" si="14"/>
        <v>0</v>
      </c>
      <c r="AN88" s="16">
        <f>IF(LCOE!I$14&gt;0,G88,H88)/AG88</f>
        <v>709003.34982212016</v>
      </c>
    </row>
    <row r="89" spans="1:40">
      <c r="A89">
        <v>19</v>
      </c>
      <c r="C89" s="16">
        <f>LCOE!I115+IF(AND(LCOE!I$26&gt;0,A89&gt;=LCOE!I$26,A89&lt;=(LCOE!I$26+LCOE!I$27-1)),LCOE!I$42/LCOE!I$27,0)+IF(AND(D89=0,AE89&gt;=LCOE!I$16,COUNTIF(D64:D89,0)=LCOE!I$36),LCOE!I$35*LCOE!I$38,0)</f>
        <v>0</v>
      </c>
      <c r="D89" s="16">
        <f>IF(AE88&lt;LCOE!I$16,1,0)</f>
        <v>1</v>
      </c>
      <c r="E89" s="12">
        <f>LCOE!G115+IF(AND(A89&gt;=LCOE!I$26,A89&lt;=(LCOE!I$26+LCOE!I$27-1)),0,1)*IF(A89=LCOE!I$34,0,1)*D89</f>
        <v>1</v>
      </c>
      <c r="F89" s="12">
        <f>IF(F88&lt;LCOE!I$18,MIN(F88*(1+LCOE!I$19),LCOE!I$18),LCOE!I$18)+LCOE!J115</f>
        <v>0.9</v>
      </c>
      <c r="G89" s="16">
        <f>LCOE!K115+E89*F89*N89*(LCOE!I$14+LCOE!H115)*24*365*D89</f>
        <v>3942000</v>
      </c>
      <c r="H89" s="16">
        <f>LCOE!L115+F89*(LCOE!I$15+LCOE!I115)*E89*24*365*D89*N89</f>
        <v>0</v>
      </c>
      <c r="I89" s="16">
        <f>LCOE!M115+LCOE!I$20*IF(LCOE!I$14&gt;0,(LCOE!I$14+LCOE!H115),(LCOE!I$15+LCOE!I115))*K89*D89</f>
        <v>20000000</v>
      </c>
      <c r="J89" s="16">
        <f>LCOE!N115+LCOE!I$21*IF(LCOE!I$14&gt;0,G89,H89)*K89*D89</f>
        <v>0</v>
      </c>
      <c r="K89" s="15">
        <f>LCOE!O115+K88+K88*LCOE!I$22</f>
        <v>1</v>
      </c>
      <c r="L89" s="16">
        <f>LCOE!P115+LCOE!I$23*IF(LCOE!I$14&gt;0,G89,H89)*M89*D89</f>
        <v>168165720</v>
      </c>
      <c r="M89" s="15">
        <f>LCOE!Q115+M88+M88*LCOE!I$24</f>
        <v>1</v>
      </c>
      <c r="N89" s="15">
        <f>LCOE!R115+N88-N88*LCOE!I$25</f>
        <v>1</v>
      </c>
      <c r="O89" s="18">
        <f>LCOE!S115+LCOE!I$29</f>
        <v>313.75</v>
      </c>
      <c r="P89" s="12">
        <f>LCOE!T115+IF(A89&gt;=LCOE!I$30,100%,0%)</f>
        <v>1</v>
      </c>
      <c r="Q89" s="16">
        <f>LCOE!U115+O89/1000*IF(LCOE!I$14&gt;0,G89,H89)</f>
        <v>1236802.5</v>
      </c>
      <c r="R89" s="16">
        <f>LCOE!B115</f>
        <v>30</v>
      </c>
      <c r="S89" s="16">
        <f>LCOE!V115+Q89*P89*R89</f>
        <v>37104075</v>
      </c>
      <c r="T89" s="16">
        <f>LCOE!W115+LCOE!I$31</f>
        <v>0</v>
      </c>
      <c r="U89" s="16">
        <f>LCOE!X115+T89*IF(LCOE!I$14&gt;0,G89,H89)</f>
        <v>0</v>
      </c>
      <c r="V89" s="16">
        <f>LCOE!Y115+LCOE!I$32</f>
        <v>0</v>
      </c>
      <c r="W89" s="16">
        <f>LCOE!Z115+V89*IF(LCOE!I$14&gt;0,G89,H89)</f>
        <v>0</v>
      </c>
      <c r="X89" s="16">
        <f>LCOE!AA115+LCOE!I$34</f>
        <v>101</v>
      </c>
      <c r="Y89" s="16">
        <f t="shared" si="15"/>
        <v>0</v>
      </c>
      <c r="Z89" s="50">
        <f t="shared" si="18"/>
        <v>0</v>
      </c>
      <c r="AA89" s="50">
        <f t="shared" si="19"/>
        <v>20000000</v>
      </c>
      <c r="AB89" s="50">
        <f t="shared" si="20"/>
        <v>168165720</v>
      </c>
      <c r="AC89" s="50">
        <f t="shared" si="16"/>
        <v>0</v>
      </c>
      <c r="AD89" s="50">
        <f t="shared" si="11"/>
        <v>37104075</v>
      </c>
      <c r="AE89">
        <f t="shared" si="17"/>
        <v>19</v>
      </c>
      <c r="AF89" s="12">
        <f>LCOE!E115+LCOE!I$40</f>
        <v>0.1</v>
      </c>
      <c r="AG89">
        <f t="shared" si="12"/>
        <v>6.1159090448414632</v>
      </c>
      <c r="AH89" s="16">
        <f t="shared" si="7"/>
        <v>0</v>
      </c>
      <c r="AI89" s="16">
        <f t="shared" si="8"/>
        <v>3270159.8165311567</v>
      </c>
      <c r="AJ89" s="16">
        <f t="shared" si="9"/>
        <v>27496439.00310149</v>
      </c>
      <c r="AK89" s="16">
        <f t="shared" si="10"/>
        <v>0</v>
      </c>
      <c r="AL89" s="16">
        <f t="shared" si="13"/>
        <v>6066812.7547279131</v>
      </c>
      <c r="AM89" s="16">
        <f t="shared" si="14"/>
        <v>0</v>
      </c>
      <c r="AN89" s="16">
        <f>IF(LCOE!I$14&gt;0,G89,H89)/AG89</f>
        <v>644548.49983829097</v>
      </c>
    </row>
    <row r="90" spans="1:40">
      <c r="A90">
        <v>20</v>
      </c>
      <c r="C90" s="16">
        <f>LCOE!I116+IF(AND(LCOE!I$26&gt;0,A90&gt;=LCOE!I$26,A90&lt;=(LCOE!I$26+LCOE!I$27-1)),LCOE!I$42/LCOE!I$27,0)+IF(AND(D90=0,AE90&gt;=LCOE!I$16,COUNTIF(D65:D90,0)=LCOE!I$36),LCOE!I$35*LCOE!I$38,0)</f>
        <v>0</v>
      </c>
      <c r="D90" s="16">
        <f>IF(AE89&lt;LCOE!I$16,1,0)</f>
        <v>1</v>
      </c>
      <c r="E90" s="12">
        <f>LCOE!G116+IF(AND(A90&gt;=LCOE!I$26,A90&lt;=(LCOE!I$26+LCOE!I$27-1)),0,1)*IF(A90=LCOE!I$34,0,1)*D90</f>
        <v>1</v>
      </c>
      <c r="F90" s="12">
        <f>IF(F89&lt;LCOE!I$18,MIN(F89*(1+LCOE!I$19),LCOE!I$18),LCOE!I$18)+LCOE!J116</f>
        <v>0.9</v>
      </c>
      <c r="G90" s="16">
        <f>LCOE!K116+E90*F90*N90*(LCOE!I$14+LCOE!H116)*24*365*D90</f>
        <v>3942000</v>
      </c>
      <c r="H90" s="16">
        <f>LCOE!L116+F90*(LCOE!I$15+LCOE!I116)*E90*24*365*D90*N90</f>
        <v>0</v>
      </c>
      <c r="I90" s="16">
        <f>LCOE!M116+LCOE!I$20*IF(LCOE!I$14&gt;0,(LCOE!I$14+LCOE!H116),(LCOE!I$15+LCOE!I116))*K90*D90</f>
        <v>20000000</v>
      </c>
      <c r="J90" s="16">
        <f>LCOE!N116+LCOE!I$21*IF(LCOE!I$14&gt;0,G90,H90)*K90*D90</f>
        <v>0</v>
      </c>
      <c r="K90" s="15">
        <f>LCOE!O116+K89+K89*LCOE!I$22</f>
        <v>1</v>
      </c>
      <c r="L90" s="16">
        <f>LCOE!P116+LCOE!I$23*IF(LCOE!I$14&gt;0,G90,H90)*M90*D90</f>
        <v>168165720</v>
      </c>
      <c r="M90" s="15">
        <f>LCOE!Q116+M89+M89*LCOE!I$24</f>
        <v>1</v>
      </c>
      <c r="N90" s="15">
        <f>LCOE!R116+N89-N89*LCOE!I$25</f>
        <v>1</v>
      </c>
      <c r="O90" s="18">
        <f>LCOE!S116+LCOE!I$29</f>
        <v>313.75</v>
      </c>
      <c r="P90" s="12">
        <f>LCOE!T116+IF(A90&gt;=LCOE!I$30,100%,0%)</f>
        <v>1</v>
      </c>
      <c r="Q90" s="16">
        <f>LCOE!U116+O90/1000*IF(LCOE!I$14&gt;0,G90,H90)</f>
        <v>1236802.5</v>
      </c>
      <c r="R90" s="16">
        <f>LCOE!B116</f>
        <v>30</v>
      </c>
      <c r="S90" s="16">
        <f>LCOE!V116+Q90*P90*R90</f>
        <v>37104075</v>
      </c>
      <c r="T90" s="16">
        <f>LCOE!W116+LCOE!I$31</f>
        <v>0</v>
      </c>
      <c r="U90" s="16">
        <f>LCOE!X116+T90*IF(LCOE!I$14&gt;0,G90,H90)</f>
        <v>0</v>
      </c>
      <c r="V90" s="16">
        <f>LCOE!Y116+LCOE!I$32</f>
        <v>0</v>
      </c>
      <c r="W90" s="16">
        <f>LCOE!Z116+V90*IF(LCOE!I$14&gt;0,G90,H90)</f>
        <v>0</v>
      </c>
      <c r="X90" s="16">
        <f>LCOE!AA116+LCOE!I$34</f>
        <v>101</v>
      </c>
      <c r="Y90" s="16">
        <f t="shared" si="15"/>
        <v>0</v>
      </c>
      <c r="Z90" s="50">
        <f t="shared" si="18"/>
        <v>0</v>
      </c>
      <c r="AA90" s="50">
        <f t="shared" si="19"/>
        <v>20000000</v>
      </c>
      <c r="AB90" s="50">
        <f t="shared" si="20"/>
        <v>168165720</v>
      </c>
      <c r="AC90" s="50">
        <f t="shared" si="16"/>
        <v>0</v>
      </c>
      <c r="AD90" s="50">
        <f t="shared" si="11"/>
        <v>37104075</v>
      </c>
      <c r="AE90">
        <f t="shared" si="17"/>
        <v>20</v>
      </c>
      <c r="AF90" s="12">
        <f>LCOE!E116+LCOE!I$40</f>
        <v>0.1</v>
      </c>
      <c r="AG90">
        <f t="shared" si="12"/>
        <v>6.7274999493256091</v>
      </c>
      <c r="AH90" s="16">
        <f t="shared" si="7"/>
        <v>0</v>
      </c>
      <c r="AI90" s="16">
        <f t="shared" si="8"/>
        <v>2972872.5604828699</v>
      </c>
      <c r="AJ90" s="16">
        <f t="shared" si="9"/>
        <v>24996762.730092268</v>
      </c>
      <c r="AK90" s="16">
        <f t="shared" si="10"/>
        <v>0</v>
      </c>
      <c r="AL90" s="16">
        <f t="shared" si="13"/>
        <v>5515284.3224799214</v>
      </c>
      <c r="AM90" s="16">
        <f t="shared" si="14"/>
        <v>0</v>
      </c>
      <c r="AN90" s="16">
        <f>IF(LCOE!I$14&gt;0,G90,H90)/AG90</f>
        <v>585953.18167117366</v>
      </c>
    </row>
    <row r="91" spans="1:40">
      <c r="A91">
        <v>21</v>
      </c>
      <c r="C91" s="16">
        <f>LCOE!I117+IF(AND(LCOE!I$26&gt;0,A91&gt;=LCOE!I$26,A91&lt;=(LCOE!I$26+LCOE!I$27-1)),LCOE!I$42/LCOE!I$27,0)+IF(AND(D91=0,AE91&gt;=LCOE!I$16,COUNTIF(D66:D91,0)=LCOE!I$36),LCOE!I$35*LCOE!I$38,0)</f>
        <v>0</v>
      </c>
      <c r="D91" s="16">
        <f>IF(AE90&lt;LCOE!I$16,1,0)</f>
        <v>1</v>
      </c>
      <c r="E91" s="12">
        <f>LCOE!G117+IF(AND(A91&gt;=LCOE!I$26,A91&lt;=(LCOE!I$26+LCOE!I$27-1)),0,1)*IF(A91=LCOE!I$34,0,1)*D91</f>
        <v>1</v>
      </c>
      <c r="F91" s="12">
        <f>IF(F90&lt;LCOE!I$18,MIN(F90*(1+LCOE!I$19),LCOE!I$18),LCOE!I$18)+LCOE!J117</f>
        <v>0.9</v>
      </c>
      <c r="G91" s="16">
        <f>LCOE!K117+E91*F91*N91*(LCOE!I$14+LCOE!H117)*24*365*D91</f>
        <v>3942000</v>
      </c>
      <c r="H91" s="16">
        <f>LCOE!L117+F91*(LCOE!I$15+LCOE!I117)*E91*24*365*D91*N91</f>
        <v>0</v>
      </c>
      <c r="I91" s="16">
        <f>LCOE!M117+LCOE!I$20*IF(LCOE!I$14&gt;0,(LCOE!I$14+LCOE!H117),(LCOE!I$15+LCOE!I117))*K91*D91</f>
        <v>20000000</v>
      </c>
      <c r="J91" s="16">
        <f>LCOE!N117+LCOE!I$21*IF(LCOE!I$14&gt;0,G91,H91)*K91*D91</f>
        <v>0</v>
      </c>
      <c r="K91" s="15">
        <f>LCOE!O117+K90+K90*LCOE!I$22</f>
        <v>1</v>
      </c>
      <c r="L91" s="16">
        <f>LCOE!P117+LCOE!I$23*IF(LCOE!I$14&gt;0,G91,H91)*M91*D91</f>
        <v>168165720</v>
      </c>
      <c r="M91" s="15">
        <f>LCOE!Q117+M90+M90*LCOE!I$24</f>
        <v>1</v>
      </c>
      <c r="N91" s="15">
        <f>LCOE!R117+N90-N90*LCOE!I$25</f>
        <v>1</v>
      </c>
      <c r="O91" s="18">
        <f>LCOE!S117+LCOE!I$29</f>
        <v>313.75</v>
      </c>
      <c r="P91" s="12">
        <f>LCOE!T117+IF(A91&gt;=LCOE!I$30,100%,0%)</f>
        <v>1</v>
      </c>
      <c r="Q91" s="16">
        <f>LCOE!U117+O91/1000*IF(LCOE!I$14&gt;0,G91,H91)</f>
        <v>1236802.5</v>
      </c>
      <c r="R91" s="16">
        <f>LCOE!B117</f>
        <v>30</v>
      </c>
      <c r="S91" s="16">
        <f>LCOE!V117+Q91*P91*R91</f>
        <v>37104075</v>
      </c>
      <c r="T91" s="16">
        <f>LCOE!W117+LCOE!I$31</f>
        <v>0</v>
      </c>
      <c r="U91" s="16">
        <f>LCOE!X117+T91*IF(LCOE!I$14&gt;0,G91,H91)</f>
        <v>0</v>
      </c>
      <c r="V91" s="16">
        <f>LCOE!Y117+LCOE!I$32</f>
        <v>0</v>
      </c>
      <c r="W91" s="16">
        <f>LCOE!Z117+V91*IF(LCOE!I$14&gt;0,G91,H91)</f>
        <v>0</v>
      </c>
      <c r="X91" s="16">
        <f>LCOE!AA117+LCOE!I$34</f>
        <v>101</v>
      </c>
      <c r="Y91" s="16">
        <f t="shared" si="15"/>
        <v>0</v>
      </c>
      <c r="Z91" s="50">
        <f t="shared" si="18"/>
        <v>0</v>
      </c>
      <c r="AA91" s="50">
        <f t="shared" si="19"/>
        <v>20000000</v>
      </c>
      <c r="AB91" s="50">
        <f t="shared" si="20"/>
        <v>168165720</v>
      </c>
      <c r="AC91" s="50">
        <f t="shared" si="16"/>
        <v>0</v>
      </c>
      <c r="AD91" s="50">
        <f t="shared" si="11"/>
        <v>37104075</v>
      </c>
      <c r="AE91">
        <f t="shared" si="17"/>
        <v>21</v>
      </c>
      <c r="AF91" s="12">
        <f>LCOE!E117+LCOE!I$40</f>
        <v>0.1</v>
      </c>
      <c r="AG91">
        <f t="shared" si="12"/>
        <v>7.4002499442581708</v>
      </c>
      <c r="AH91" s="16">
        <f t="shared" si="7"/>
        <v>0</v>
      </c>
      <c r="AI91" s="16">
        <f t="shared" si="8"/>
        <v>2702611.4186207904</v>
      </c>
      <c r="AJ91" s="16">
        <f t="shared" si="9"/>
        <v>22724329.754629333</v>
      </c>
      <c r="AK91" s="16">
        <f t="shared" si="10"/>
        <v>0</v>
      </c>
      <c r="AL91" s="16">
        <f t="shared" si="13"/>
        <v>5013894.8386181099</v>
      </c>
      <c r="AM91" s="16">
        <f t="shared" si="14"/>
        <v>0</v>
      </c>
      <c r="AN91" s="16">
        <f>IF(LCOE!I$14&gt;0,G91,H91)/AG91</f>
        <v>532684.71061015781</v>
      </c>
    </row>
    <row r="92" spans="1:40">
      <c r="A92">
        <v>22</v>
      </c>
      <c r="C92" s="16">
        <f>LCOE!I118+IF(AND(LCOE!I$26&gt;0,A92&gt;=LCOE!I$26,A92&lt;=(LCOE!I$26+LCOE!I$27-1)),LCOE!I$42/LCOE!I$27,0)+IF(AND(D92=0,AE92&gt;=LCOE!I$16,COUNTIF(D67:D92,0)=LCOE!I$36),LCOE!I$35*LCOE!I$38,0)</f>
        <v>0</v>
      </c>
      <c r="D92" s="16">
        <f>IF(AE91&lt;LCOE!I$16,1,0)</f>
        <v>1</v>
      </c>
      <c r="E92" s="12">
        <f>LCOE!G118+IF(AND(A92&gt;=LCOE!I$26,A92&lt;=(LCOE!I$26+LCOE!I$27-1)),0,1)*IF(A92=LCOE!I$34,0,1)*D92</f>
        <v>1</v>
      </c>
      <c r="F92" s="12">
        <f>IF(F91&lt;LCOE!I$18,MIN(F91*(1+LCOE!I$19),LCOE!I$18),LCOE!I$18)+LCOE!J118</f>
        <v>0.9</v>
      </c>
      <c r="G92" s="16">
        <f>LCOE!K118+E92*F92*N92*(LCOE!I$14+LCOE!H118)*24*365*D92</f>
        <v>3942000</v>
      </c>
      <c r="H92" s="16">
        <f>LCOE!L118+F92*(LCOE!I$15+LCOE!I118)*E92*24*365*D92*N92</f>
        <v>0</v>
      </c>
      <c r="I92" s="16">
        <f>LCOE!M118+LCOE!I$20*IF(LCOE!I$14&gt;0,(LCOE!I$14+LCOE!H118),(LCOE!I$15+LCOE!I118))*K92*D92</f>
        <v>20000000</v>
      </c>
      <c r="J92" s="16">
        <f>LCOE!N118+LCOE!I$21*IF(LCOE!I$14&gt;0,G92,H92)*K92*D92</f>
        <v>0</v>
      </c>
      <c r="K92" s="15">
        <f>LCOE!O118+K91+K91*LCOE!I$22</f>
        <v>1</v>
      </c>
      <c r="L92" s="16">
        <f>LCOE!P118+LCOE!I$23*IF(LCOE!I$14&gt;0,G92,H92)*M92*D92</f>
        <v>168165720</v>
      </c>
      <c r="M92" s="15">
        <f>LCOE!Q118+M91+M91*LCOE!I$24</f>
        <v>1</v>
      </c>
      <c r="N92" s="15">
        <f>LCOE!R118+N91-N91*LCOE!I$25</f>
        <v>1</v>
      </c>
      <c r="O92" s="18">
        <f>LCOE!S118+LCOE!I$29</f>
        <v>313.75</v>
      </c>
      <c r="P92" s="12">
        <f>LCOE!T118+IF(A92&gt;=LCOE!I$30,100%,0%)</f>
        <v>1</v>
      </c>
      <c r="Q92" s="16">
        <f>LCOE!U118+O92/1000*IF(LCOE!I$14&gt;0,G92,H92)</f>
        <v>1236802.5</v>
      </c>
      <c r="R92" s="16">
        <f>LCOE!B118</f>
        <v>30</v>
      </c>
      <c r="S92" s="16">
        <f>LCOE!V118+Q92*P92*R92</f>
        <v>37104075</v>
      </c>
      <c r="T92" s="16">
        <f>LCOE!W118+LCOE!I$31</f>
        <v>0</v>
      </c>
      <c r="U92" s="16">
        <f>LCOE!X118+T92*IF(LCOE!I$14&gt;0,G92,H92)</f>
        <v>0</v>
      </c>
      <c r="V92" s="16">
        <f>LCOE!Y118+LCOE!I$32</f>
        <v>0</v>
      </c>
      <c r="W92" s="16">
        <f>LCOE!Z118+V92*IF(LCOE!I$14&gt;0,G92,H92)</f>
        <v>0</v>
      </c>
      <c r="X92" s="16">
        <f>LCOE!AA118+LCOE!I$34</f>
        <v>101</v>
      </c>
      <c r="Y92" s="16">
        <f t="shared" si="15"/>
        <v>0</v>
      </c>
      <c r="Z92" s="50">
        <f t="shared" si="18"/>
        <v>0</v>
      </c>
      <c r="AA92" s="50">
        <f t="shared" si="19"/>
        <v>20000000</v>
      </c>
      <c r="AB92" s="50">
        <f t="shared" si="20"/>
        <v>168165720</v>
      </c>
      <c r="AC92" s="50">
        <f t="shared" si="16"/>
        <v>0</v>
      </c>
      <c r="AD92" s="50">
        <f t="shared" si="11"/>
        <v>37104075</v>
      </c>
      <c r="AE92">
        <f t="shared" si="17"/>
        <v>22</v>
      </c>
      <c r="AF92" s="12">
        <f>LCOE!E118+LCOE!I$40</f>
        <v>0.1</v>
      </c>
      <c r="AG92">
        <f t="shared" si="12"/>
        <v>8.140274938683989</v>
      </c>
      <c r="AH92" s="16">
        <f t="shared" si="7"/>
        <v>0</v>
      </c>
      <c r="AI92" s="16">
        <f t="shared" si="8"/>
        <v>2456919.4714734457</v>
      </c>
      <c r="AJ92" s="16">
        <f t="shared" si="9"/>
        <v>20658481.595117573</v>
      </c>
      <c r="AK92" s="16">
        <f t="shared" si="10"/>
        <v>0</v>
      </c>
      <c r="AL92" s="16">
        <f t="shared" si="13"/>
        <v>4558086.216925554</v>
      </c>
      <c r="AM92" s="16">
        <f t="shared" si="14"/>
        <v>0</v>
      </c>
      <c r="AN92" s="16">
        <f>IF(LCOE!I$14&gt;0,G92,H92)/AG92</f>
        <v>484258.82782741613</v>
      </c>
    </row>
    <row r="93" spans="1:40">
      <c r="A93">
        <v>23</v>
      </c>
      <c r="C93" s="16">
        <f>LCOE!I119+IF(AND(LCOE!I$26&gt;0,A93&gt;=LCOE!I$26,A93&lt;=(LCOE!I$26+LCOE!I$27-1)),LCOE!I$42/LCOE!I$27,0)+IF(AND(D93=0,AE93&gt;=LCOE!I$16,COUNTIF(D68:D93,0)=LCOE!I$36),LCOE!I$35*LCOE!I$38,0)</f>
        <v>0</v>
      </c>
      <c r="D93" s="16">
        <f>IF(AE92&lt;LCOE!I$16,1,0)</f>
        <v>1</v>
      </c>
      <c r="E93" s="12">
        <f>LCOE!G119+IF(AND(A93&gt;=LCOE!I$26,A93&lt;=(LCOE!I$26+LCOE!I$27-1)),0,1)*IF(A93=LCOE!I$34,0,1)*D93</f>
        <v>1</v>
      </c>
      <c r="F93" s="12">
        <f>IF(F92&lt;LCOE!I$18,MIN(F92*(1+LCOE!I$19),LCOE!I$18),LCOE!I$18)+LCOE!J119</f>
        <v>0.9</v>
      </c>
      <c r="G93" s="16">
        <f>LCOE!K119+E93*F93*N93*(LCOE!I$14+LCOE!H119)*24*365*D93</f>
        <v>3942000</v>
      </c>
      <c r="H93" s="16">
        <f>LCOE!L119+F93*(LCOE!I$15+LCOE!I119)*E93*24*365*D93*N93</f>
        <v>0</v>
      </c>
      <c r="I93" s="16">
        <f>LCOE!M119+LCOE!I$20*IF(LCOE!I$14&gt;0,(LCOE!I$14+LCOE!H119),(LCOE!I$15+LCOE!I119))*K93*D93</f>
        <v>20000000</v>
      </c>
      <c r="J93" s="16">
        <f>LCOE!N119+LCOE!I$21*IF(LCOE!I$14&gt;0,G93,H93)*K93*D93</f>
        <v>0</v>
      </c>
      <c r="K93" s="15">
        <f>LCOE!O119+K92+K92*LCOE!I$22</f>
        <v>1</v>
      </c>
      <c r="L93" s="16">
        <f>LCOE!P119+LCOE!I$23*IF(LCOE!I$14&gt;0,G93,H93)*M93*D93</f>
        <v>168165720</v>
      </c>
      <c r="M93" s="15">
        <f>LCOE!Q119+M92+M92*LCOE!I$24</f>
        <v>1</v>
      </c>
      <c r="N93" s="15">
        <f>LCOE!R119+N92-N92*LCOE!I$25</f>
        <v>1</v>
      </c>
      <c r="O93" s="18">
        <f>LCOE!S119+LCOE!I$29</f>
        <v>313.75</v>
      </c>
      <c r="P93" s="12">
        <f>LCOE!T119+IF(A93&gt;=LCOE!I$30,100%,0%)</f>
        <v>1</v>
      </c>
      <c r="Q93" s="16">
        <f>LCOE!U119+O93/1000*IF(LCOE!I$14&gt;0,G93,H93)</f>
        <v>1236802.5</v>
      </c>
      <c r="R93" s="16">
        <f>LCOE!B119</f>
        <v>30</v>
      </c>
      <c r="S93" s="16">
        <f>LCOE!V119+Q93*P93*R93</f>
        <v>37104075</v>
      </c>
      <c r="T93" s="16">
        <f>LCOE!W119+LCOE!I$31</f>
        <v>0</v>
      </c>
      <c r="U93" s="16">
        <f>LCOE!X119+T93*IF(LCOE!I$14&gt;0,G93,H93)</f>
        <v>0</v>
      </c>
      <c r="V93" s="16">
        <f>LCOE!Y119+LCOE!I$32</f>
        <v>0</v>
      </c>
      <c r="W93" s="16">
        <f>LCOE!Z119+V93*IF(LCOE!I$14&gt;0,G93,H93)</f>
        <v>0</v>
      </c>
      <c r="X93" s="16">
        <f>LCOE!AA119+LCOE!I$34</f>
        <v>101</v>
      </c>
      <c r="Y93" s="16">
        <f t="shared" si="15"/>
        <v>0</v>
      </c>
      <c r="Z93" s="50">
        <f t="shared" si="18"/>
        <v>0</v>
      </c>
      <c r="AA93" s="50">
        <f t="shared" si="19"/>
        <v>20000000</v>
      </c>
      <c r="AB93" s="50">
        <f t="shared" si="20"/>
        <v>168165720</v>
      </c>
      <c r="AC93" s="50">
        <f t="shared" si="16"/>
        <v>0</v>
      </c>
      <c r="AD93" s="50">
        <f t="shared" si="11"/>
        <v>37104075</v>
      </c>
      <c r="AE93">
        <f t="shared" si="17"/>
        <v>23</v>
      </c>
      <c r="AF93" s="12">
        <f>LCOE!E119+LCOE!I$40</f>
        <v>0.1</v>
      </c>
      <c r="AG93">
        <f t="shared" si="12"/>
        <v>8.9543024325523888</v>
      </c>
      <c r="AH93" s="16">
        <f t="shared" si="7"/>
        <v>0</v>
      </c>
      <c r="AI93" s="16">
        <f t="shared" si="8"/>
        <v>2233563.1558849504</v>
      </c>
      <c r="AJ93" s="16">
        <f t="shared" si="9"/>
        <v>18780437.813743245</v>
      </c>
      <c r="AK93" s="16">
        <f t="shared" si="10"/>
        <v>0</v>
      </c>
      <c r="AL93" s="16">
        <f t="shared" si="13"/>
        <v>4143714.7426595944</v>
      </c>
      <c r="AM93" s="16">
        <f t="shared" si="14"/>
        <v>0</v>
      </c>
      <c r="AN93" s="16">
        <f>IF(LCOE!I$14&gt;0,G93,H93)/AG93</f>
        <v>440235.29802492372</v>
      </c>
    </row>
    <row r="94" spans="1:40">
      <c r="A94">
        <v>24</v>
      </c>
      <c r="C94" s="16">
        <f>LCOE!I120+IF(AND(LCOE!I$26&gt;0,A94&gt;=LCOE!I$26,A94&lt;=(LCOE!I$26+LCOE!I$27-1)),LCOE!I$42/LCOE!I$27,0)+IF(AND(D94=0,AE94&gt;=LCOE!I$16,COUNTIF(D69:D94,0)=LCOE!I$36),LCOE!I$35*LCOE!I$38,0)</f>
        <v>0</v>
      </c>
      <c r="D94" s="16">
        <f>IF(AE93&lt;LCOE!I$16,1,0)</f>
        <v>1</v>
      </c>
      <c r="E94" s="12">
        <f>LCOE!G120+IF(AND(A94&gt;=LCOE!I$26,A94&lt;=(LCOE!I$26+LCOE!I$27-1)),0,1)*IF(A94=LCOE!I$34,0,1)*D94</f>
        <v>1</v>
      </c>
      <c r="F94" s="12">
        <f>IF(F93&lt;LCOE!I$18,MIN(F93*(1+LCOE!I$19),LCOE!I$18),LCOE!I$18)+LCOE!J120</f>
        <v>0.9</v>
      </c>
      <c r="G94" s="16">
        <f>LCOE!K120+E94*F94*N94*(LCOE!I$14+LCOE!H120)*24*365*D94</f>
        <v>3942000</v>
      </c>
      <c r="H94" s="16">
        <f>LCOE!L120+F94*(LCOE!I$15+LCOE!I120)*E94*24*365*D94*N94</f>
        <v>0</v>
      </c>
      <c r="I94" s="16">
        <f>LCOE!M120+LCOE!I$20*IF(LCOE!I$14&gt;0,(LCOE!I$14+LCOE!H120),(LCOE!I$15+LCOE!I120))*K94*D94</f>
        <v>20000000</v>
      </c>
      <c r="J94" s="16">
        <f>LCOE!N120+LCOE!I$21*IF(LCOE!I$14&gt;0,G94,H94)*K94*D94</f>
        <v>0</v>
      </c>
      <c r="K94" s="15">
        <f>LCOE!O120+K93+K93*LCOE!I$22</f>
        <v>1</v>
      </c>
      <c r="L94" s="16">
        <f>LCOE!P120+LCOE!I$23*IF(LCOE!I$14&gt;0,G94,H94)*M94*D94</f>
        <v>168165720</v>
      </c>
      <c r="M94" s="15">
        <f>LCOE!Q120+M93+M93*LCOE!I$24</f>
        <v>1</v>
      </c>
      <c r="N94" s="15">
        <f>LCOE!R120+N93-N93*LCOE!I$25</f>
        <v>1</v>
      </c>
      <c r="O94" s="18">
        <f>LCOE!S120+LCOE!I$29</f>
        <v>313.75</v>
      </c>
      <c r="P94" s="12">
        <f>LCOE!T120+IF(A94&gt;=LCOE!I$30,100%,0%)</f>
        <v>1</v>
      </c>
      <c r="Q94" s="16">
        <f>LCOE!U120+O94/1000*IF(LCOE!I$14&gt;0,G94,H94)</f>
        <v>1236802.5</v>
      </c>
      <c r="R94" s="16">
        <f>LCOE!B120</f>
        <v>30</v>
      </c>
      <c r="S94" s="16">
        <f>LCOE!V120+Q94*P94*R94</f>
        <v>37104075</v>
      </c>
      <c r="T94" s="16">
        <f>LCOE!W120+LCOE!I$31</f>
        <v>0</v>
      </c>
      <c r="U94" s="16">
        <f>LCOE!X120+T94*IF(LCOE!I$14&gt;0,G94,H94)</f>
        <v>0</v>
      </c>
      <c r="V94" s="16">
        <f>LCOE!Y120+LCOE!I$32</f>
        <v>0</v>
      </c>
      <c r="W94" s="16">
        <f>LCOE!Z120+V94*IF(LCOE!I$14&gt;0,G94,H94)</f>
        <v>0</v>
      </c>
      <c r="X94" s="16">
        <f>LCOE!AA120+LCOE!I$34</f>
        <v>101</v>
      </c>
      <c r="Y94" s="16">
        <f t="shared" si="15"/>
        <v>0</v>
      </c>
      <c r="Z94" s="50">
        <f t="shared" si="18"/>
        <v>0</v>
      </c>
      <c r="AA94" s="50">
        <f t="shared" si="19"/>
        <v>20000000</v>
      </c>
      <c r="AB94" s="50">
        <f t="shared" si="20"/>
        <v>168165720</v>
      </c>
      <c r="AC94" s="50">
        <f t="shared" si="16"/>
        <v>0</v>
      </c>
      <c r="AD94" s="50">
        <f t="shared" si="11"/>
        <v>37104075</v>
      </c>
      <c r="AE94">
        <f t="shared" si="17"/>
        <v>24</v>
      </c>
      <c r="AF94" s="12">
        <f>LCOE!E120+LCOE!I$40</f>
        <v>0.1</v>
      </c>
      <c r="AG94">
        <f t="shared" si="12"/>
        <v>9.8497326758076262</v>
      </c>
      <c r="AH94" s="16">
        <f t="shared" si="7"/>
        <v>0</v>
      </c>
      <c r="AI94" s="16">
        <f t="shared" si="8"/>
        <v>2030511.9598954096</v>
      </c>
      <c r="AJ94" s="16">
        <f t="shared" si="9"/>
        <v>17073125.285221133</v>
      </c>
      <c r="AK94" s="16">
        <f t="shared" si="10"/>
        <v>0</v>
      </c>
      <c r="AL94" s="16">
        <f t="shared" si="13"/>
        <v>3767013.4024178134</v>
      </c>
      <c r="AM94" s="16">
        <f t="shared" si="14"/>
        <v>0</v>
      </c>
      <c r="AN94" s="16">
        <f>IF(LCOE!I$14&gt;0,G94,H94)/AG94</f>
        <v>400213.9072953852</v>
      </c>
    </row>
    <row r="95" spans="1:40">
      <c r="A95">
        <v>25</v>
      </c>
      <c r="C95" s="16">
        <f>LCOE!I121+IF(AND(LCOE!I$26&gt;0,A95&gt;=LCOE!I$26,A95&lt;=(LCOE!I$26+LCOE!I$27-1)),LCOE!I$42/LCOE!I$27,0)+IF(AND(D95=0,AE95&gt;=LCOE!I$16,COUNTIF(D70:D95,0)=LCOE!I$36),LCOE!I$35*LCOE!I$38,0)</f>
        <v>0</v>
      </c>
      <c r="D95" s="16">
        <f>IF(AE94&lt;LCOE!I$16,1,0)</f>
        <v>1</v>
      </c>
      <c r="E95" s="12">
        <f>LCOE!G121+IF(AND(A95&gt;=LCOE!I$26,A95&lt;=(LCOE!I$26+LCOE!I$27-1)),0,1)*IF(A95=LCOE!I$34,0,1)*D95</f>
        <v>1</v>
      </c>
      <c r="F95" s="12">
        <f>IF(F94&lt;LCOE!I$18,MIN(F94*(1+LCOE!I$19),LCOE!I$18),LCOE!I$18)+LCOE!J121</f>
        <v>0.9</v>
      </c>
      <c r="G95" s="16">
        <f>LCOE!K121+E95*F95*N95*(LCOE!I$14+LCOE!H121)*24*365*D95</f>
        <v>3942000</v>
      </c>
      <c r="H95" s="16">
        <f>LCOE!L121+F95*(LCOE!I$15+LCOE!I121)*E95*24*365*D95*N95</f>
        <v>0</v>
      </c>
      <c r="I95" s="16">
        <f>LCOE!M121+LCOE!I$20*IF(LCOE!I$14&gt;0,(LCOE!I$14+LCOE!H121),(LCOE!I$15+LCOE!I121))*K95*D95</f>
        <v>20000000</v>
      </c>
      <c r="J95" s="16">
        <f>LCOE!N121+LCOE!I$21*IF(LCOE!I$14&gt;0,G95,H95)*K95*D95</f>
        <v>0</v>
      </c>
      <c r="K95" s="15">
        <f>LCOE!O121+K94+K94*LCOE!I$22</f>
        <v>1</v>
      </c>
      <c r="L95" s="16">
        <f>LCOE!P121+LCOE!I$23*IF(LCOE!I$14&gt;0,G95,H95)*M95*D95</f>
        <v>168165720</v>
      </c>
      <c r="M95" s="15">
        <f>LCOE!Q121+M94+M94*LCOE!I$24</f>
        <v>1</v>
      </c>
      <c r="N95" s="15">
        <f>LCOE!R121+N94-N94*LCOE!I$25</f>
        <v>1</v>
      </c>
      <c r="O95" s="18">
        <f>LCOE!S121+LCOE!I$29</f>
        <v>313.75</v>
      </c>
      <c r="P95" s="12">
        <f>LCOE!T121+IF(A95&gt;=LCOE!I$30,100%,0%)</f>
        <v>1</v>
      </c>
      <c r="Q95" s="16">
        <f>LCOE!U121+O95/1000*IF(LCOE!I$14&gt;0,G95,H95)</f>
        <v>1236802.5</v>
      </c>
      <c r="R95" s="16">
        <f>LCOE!B121</f>
        <v>30</v>
      </c>
      <c r="S95" s="16">
        <f>LCOE!V121+Q95*P95*R95</f>
        <v>37104075</v>
      </c>
      <c r="T95" s="16">
        <f>LCOE!W121+LCOE!I$31</f>
        <v>0</v>
      </c>
      <c r="U95" s="16">
        <f>LCOE!X121+T95*IF(LCOE!I$14&gt;0,G95,H95)</f>
        <v>0</v>
      </c>
      <c r="V95" s="16">
        <f>LCOE!Y121+LCOE!I$32</f>
        <v>0</v>
      </c>
      <c r="W95" s="16">
        <f>LCOE!Z121+V95*IF(LCOE!I$14&gt;0,G95,H95)</f>
        <v>0</v>
      </c>
      <c r="X95" s="16">
        <f>LCOE!AA121+LCOE!I$34</f>
        <v>101</v>
      </c>
      <c r="Y95" s="16">
        <f t="shared" si="15"/>
        <v>0</v>
      </c>
      <c r="Z95" s="50">
        <f t="shared" si="18"/>
        <v>0</v>
      </c>
      <c r="AA95" s="50">
        <f t="shared" si="19"/>
        <v>20000000</v>
      </c>
      <c r="AB95" s="50">
        <f t="shared" si="20"/>
        <v>168165720</v>
      </c>
      <c r="AC95" s="50">
        <f t="shared" si="16"/>
        <v>0</v>
      </c>
      <c r="AD95" s="50">
        <f t="shared" si="11"/>
        <v>37104075</v>
      </c>
      <c r="AE95">
        <f t="shared" si="17"/>
        <v>25</v>
      </c>
      <c r="AF95" s="12">
        <f>LCOE!E121+LCOE!I$40</f>
        <v>0.1</v>
      </c>
      <c r="AG95">
        <f t="shared" si="12"/>
        <v>10.834705943388391</v>
      </c>
      <c r="AH95" s="16">
        <f t="shared" si="7"/>
        <v>0</v>
      </c>
      <c r="AI95" s="16">
        <f t="shared" si="8"/>
        <v>1845919.9635412812</v>
      </c>
      <c r="AJ95" s="16">
        <f t="shared" si="9"/>
        <v>15521022.986564664</v>
      </c>
      <c r="AK95" s="16">
        <f t="shared" si="10"/>
        <v>0</v>
      </c>
      <c r="AL95" s="16">
        <f t="shared" si="13"/>
        <v>3424557.6385616479</v>
      </c>
      <c r="AM95" s="16">
        <f t="shared" si="14"/>
        <v>0</v>
      </c>
      <c r="AN95" s="16">
        <f>IF(LCOE!I$14&gt;0,G95,H95)/AG95</f>
        <v>363830.82481398649</v>
      </c>
    </row>
    <row r="96" spans="1:40">
      <c r="A96">
        <v>26</v>
      </c>
      <c r="C96" s="16">
        <f>LCOE!I122+IF(AND(LCOE!I$26&gt;0,A96&gt;=LCOE!I$26,A96&lt;=(LCOE!I$26+LCOE!I$27-1)),LCOE!I$42/LCOE!I$27,0)+IF(AND(D96=0,AE96&gt;=LCOE!I$16,COUNTIF(D71:D96,0)=LCOE!I$36),LCOE!I$35*LCOE!I$38,0)</f>
        <v>0</v>
      </c>
      <c r="D96" s="16">
        <f>IF(AE95&lt;LCOE!I$16,1,0)</f>
        <v>1</v>
      </c>
      <c r="E96" s="12">
        <f>LCOE!G122+IF(AND(A96&gt;=LCOE!I$26,A96&lt;=(LCOE!I$26+LCOE!I$27-1)),0,1)*IF(A96=LCOE!I$34,0,1)*D96</f>
        <v>1</v>
      </c>
      <c r="F96" s="12">
        <f>IF(F95&lt;LCOE!I$18,MIN(F95*(1+LCOE!I$19),LCOE!I$18),LCOE!I$18)+LCOE!J122</f>
        <v>0.9</v>
      </c>
      <c r="G96" s="16">
        <f>LCOE!K122+E96*F96*N96*(LCOE!I$14+LCOE!H122)*24*365*D96</f>
        <v>3942000</v>
      </c>
      <c r="H96" s="16">
        <f>LCOE!L122+F96*(LCOE!I$15+LCOE!I122)*E96*24*365*D96*N96</f>
        <v>0</v>
      </c>
      <c r="I96" s="16">
        <f>LCOE!M122+LCOE!I$20*IF(LCOE!I$14&gt;0,(LCOE!I$14+LCOE!H122),(LCOE!I$15+LCOE!I122))*K96*D96</f>
        <v>20000000</v>
      </c>
      <c r="J96" s="16">
        <f>LCOE!N122+LCOE!I$21*IF(LCOE!I$14&gt;0,G96,H96)*K96*D96</f>
        <v>0</v>
      </c>
      <c r="K96" s="15">
        <f>LCOE!O122+K95+K95*LCOE!I$22</f>
        <v>1</v>
      </c>
      <c r="L96" s="16">
        <f>LCOE!P122+LCOE!I$23*IF(LCOE!I$14&gt;0,G96,H96)*M96*D96</f>
        <v>168165720</v>
      </c>
      <c r="M96" s="15">
        <f>LCOE!Q122+M95+M95*LCOE!I$24</f>
        <v>1</v>
      </c>
      <c r="N96" s="15">
        <f>LCOE!R122+N95-N95*LCOE!I$25</f>
        <v>1</v>
      </c>
      <c r="O96" s="18">
        <f>LCOE!S122+LCOE!I$29</f>
        <v>313.75</v>
      </c>
      <c r="P96" s="12">
        <f>LCOE!T122+IF(A96&gt;=LCOE!I$30,100%,0%)</f>
        <v>1</v>
      </c>
      <c r="Q96" s="16">
        <f>LCOE!U122+O96/1000*IF(LCOE!I$14&gt;0,G96,H96)</f>
        <v>1236802.5</v>
      </c>
      <c r="R96" s="16">
        <f>LCOE!B122</f>
        <v>30</v>
      </c>
      <c r="S96" s="16">
        <f>LCOE!V122+Q96*P96*R96</f>
        <v>37104075</v>
      </c>
      <c r="T96" s="16">
        <f>LCOE!W122+LCOE!I$31</f>
        <v>0</v>
      </c>
      <c r="U96" s="16">
        <f>LCOE!X122+T96*IF(LCOE!I$14&gt;0,G96,H96)</f>
        <v>0</v>
      </c>
      <c r="V96" s="16">
        <f>LCOE!Y122+LCOE!I$32</f>
        <v>0</v>
      </c>
      <c r="W96" s="16">
        <f>LCOE!Z122+V96*IF(LCOE!I$14&gt;0,G96,H96)</f>
        <v>0</v>
      </c>
      <c r="X96" s="16">
        <f>LCOE!AA122+LCOE!I$34</f>
        <v>101</v>
      </c>
      <c r="Y96" s="16">
        <f t="shared" si="15"/>
        <v>0</v>
      </c>
      <c r="Z96" s="50">
        <f t="shared" si="18"/>
        <v>0</v>
      </c>
      <c r="AA96" s="50">
        <f t="shared" si="19"/>
        <v>20000000</v>
      </c>
      <c r="AB96" s="50">
        <f t="shared" si="20"/>
        <v>168165720</v>
      </c>
      <c r="AC96" s="50">
        <f t="shared" si="16"/>
        <v>0</v>
      </c>
      <c r="AD96" s="50">
        <f t="shared" si="11"/>
        <v>37104075</v>
      </c>
      <c r="AE96">
        <f t="shared" si="17"/>
        <v>26</v>
      </c>
      <c r="AF96" s="12">
        <f>LCOE!E122+LCOE!I$40</f>
        <v>0.1</v>
      </c>
      <c r="AG96">
        <f t="shared" si="12"/>
        <v>11.918176537727231</v>
      </c>
      <c r="AH96" s="16">
        <f t="shared" si="7"/>
        <v>0</v>
      </c>
      <c r="AI96" s="16">
        <f t="shared" si="8"/>
        <v>1678109.057764801</v>
      </c>
      <c r="AJ96" s="16">
        <f t="shared" si="9"/>
        <v>14110020.896876967</v>
      </c>
      <c r="AK96" s="16">
        <f t="shared" si="10"/>
        <v>0</v>
      </c>
      <c r="AL96" s="16">
        <f t="shared" si="13"/>
        <v>3113234.2168742251</v>
      </c>
      <c r="AM96" s="16">
        <f t="shared" si="14"/>
        <v>0</v>
      </c>
      <c r="AN96" s="16">
        <f>IF(LCOE!I$14&gt;0,G96,H96)/AG96</f>
        <v>330755.29528544226</v>
      </c>
    </row>
    <row r="97" spans="1:40">
      <c r="A97">
        <v>27</v>
      </c>
      <c r="C97" s="16">
        <f>LCOE!I123+IF(AND(LCOE!I$26&gt;0,A97&gt;=LCOE!I$26,A97&lt;=(LCOE!I$26+LCOE!I$27-1)),LCOE!I$42/LCOE!I$27,0)+IF(AND(D97=0,AE97&gt;=LCOE!I$16,COUNTIF(D72:D97,0)=LCOE!I$36),LCOE!I$35*LCOE!I$38,0)</f>
        <v>0</v>
      </c>
      <c r="D97" s="16">
        <f>IF(AE96&lt;LCOE!I$16,1,0)</f>
        <v>1</v>
      </c>
      <c r="E97" s="12">
        <f>LCOE!G123+IF(AND(A97&gt;=LCOE!I$26,A97&lt;=(LCOE!I$26+LCOE!I$27-1)),0,1)*IF(A97=LCOE!I$34,0,1)*D97</f>
        <v>1</v>
      </c>
      <c r="F97" s="12">
        <f>IF(F96&lt;LCOE!I$18,MIN(F96*(1+LCOE!I$19),LCOE!I$18),LCOE!I$18)+LCOE!J123</f>
        <v>0.9</v>
      </c>
      <c r="G97" s="16">
        <f>LCOE!K123+E97*F97*N97*(LCOE!I$14+LCOE!H123)*24*365*D97</f>
        <v>3942000</v>
      </c>
      <c r="H97" s="16">
        <f>LCOE!L123+F97*(LCOE!I$15+LCOE!I123)*E97*24*365*D97*N97</f>
        <v>0</v>
      </c>
      <c r="I97" s="16">
        <f>LCOE!M123+LCOE!I$20*IF(LCOE!I$14&gt;0,(LCOE!I$14+LCOE!H123),(LCOE!I$15+LCOE!I123))*K97*D97</f>
        <v>20000000</v>
      </c>
      <c r="J97" s="16">
        <f>LCOE!N123+LCOE!I$21*IF(LCOE!I$14&gt;0,G97,H97)*K97*D97</f>
        <v>0</v>
      </c>
      <c r="K97" s="15">
        <f>LCOE!O123+K96+K96*LCOE!I$22</f>
        <v>1</v>
      </c>
      <c r="L97" s="16">
        <f>LCOE!P123+LCOE!I$23*IF(LCOE!I$14&gt;0,G97,H97)*M97*D97</f>
        <v>168165720</v>
      </c>
      <c r="M97" s="15">
        <f>LCOE!Q123+M96+M96*LCOE!I$24</f>
        <v>1</v>
      </c>
      <c r="N97" s="15">
        <f>LCOE!R123+N96-N96*LCOE!I$25</f>
        <v>1</v>
      </c>
      <c r="O97" s="18">
        <f>LCOE!S123+LCOE!I$29</f>
        <v>313.75</v>
      </c>
      <c r="P97" s="12">
        <f>LCOE!T123+IF(A97&gt;=LCOE!I$30,100%,0%)</f>
        <v>1</v>
      </c>
      <c r="Q97" s="16">
        <f>LCOE!U123+O97/1000*IF(LCOE!I$14&gt;0,G97,H97)</f>
        <v>1236802.5</v>
      </c>
      <c r="R97" s="16">
        <f>LCOE!B123</f>
        <v>30</v>
      </c>
      <c r="S97" s="16">
        <f>LCOE!V123+Q97*P97*R97</f>
        <v>37104075</v>
      </c>
      <c r="T97" s="16">
        <f>LCOE!W123+LCOE!I$31</f>
        <v>0</v>
      </c>
      <c r="U97" s="16">
        <f>LCOE!X123+T97*IF(LCOE!I$14&gt;0,G97,H97)</f>
        <v>0</v>
      </c>
      <c r="V97" s="16">
        <f>LCOE!Y123+LCOE!I$32</f>
        <v>0</v>
      </c>
      <c r="W97" s="16">
        <f>LCOE!Z123+V97*IF(LCOE!I$14&gt;0,G97,H97)</f>
        <v>0</v>
      </c>
      <c r="X97" s="16">
        <f>LCOE!AA123+LCOE!I$34</f>
        <v>101</v>
      </c>
      <c r="Y97" s="16">
        <f t="shared" si="15"/>
        <v>0</v>
      </c>
      <c r="Z97" s="50">
        <f t="shared" si="18"/>
        <v>0</v>
      </c>
      <c r="AA97" s="50">
        <f t="shared" si="19"/>
        <v>20000000</v>
      </c>
      <c r="AB97" s="50">
        <f t="shared" si="20"/>
        <v>168165720</v>
      </c>
      <c r="AC97" s="50">
        <f t="shared" si="16"/>
        <v>0</v>
      </c>
      <c r="AD97" s="50">
        <f t="shared" si="11"/>
        <v>37104075</v>
      </c>
      <c r="AE97">
        <f t="shared" si="17"/>
        <v>27</v>
      </c>
      <c r="AF97" s="12">
        <f>LCOE!E123+LCOE!I$40</f>
        <v>0.1</v>
      </c>
      <c r="AG97">
        <f t="shared" si="12"/>
        <v>13.109994191499956</v>
      </c>
      <c r="AH97" s="16">
        <f t="shared" si="7"/>
        <v>0</v>
      </c>
      <c r="AI97" s="16">
        <f t="shared" si="8"/>
        <v>1525553.6888770915</v>
      </c>
      <c r="AJ97" s="16">
        <f t="shared" si="9"/>
        <v>12827291.724433605</v>
      </c>
      <c r="AK97" s="16">
        <f t="shared" si="10"/>
        <v>0</v>
      </c>
      <c r="AL97" s="16">
        <f t="shared" si="13"/>
        <v>2830212.9244311135</v>
      </c>
      <c r="AM97" s="16">
        <f t="shared" si="14"/>
        <v>0</v>
      </c>
      <c r="AN97" s="16">
        <f>IF(LCOE!I$14&gt;0,G97,H97)/AG97</f>
        <v>300686.63207767473</v>
      </c>
    </row>
    <row r="98" spans="1:40">
      <c r="A98">
        <v>28</v>
      </c>
      <c r="C98" s="16">
        <f>LCOE!I124+IF(AND(LCOE!I$26&gt;0,A98&gt;=LCOE!I$26,A98&lt;=(LCOE!I$26+LCOE!I$27-1)),LCOE!I$42/LCOE!I$27,0)+IF(AND(D98=0,AE98&gt;=LCOE!I$16,COUNTIF(D73:D98,0)=LCOE!I$36),LCOE!I$35*LCOE!I$38,0)</f>
        <v>0</v>
      </c>
      <c r="D98" s="16">
        <f>IF(AE97&lt;LCOE!I$16,1,0)</f>
        <v>1</v>
      </c>
      <c r="E98" s="12">
        <f>LCOE!G124+IF(AND(A98&gt;=LCOE!I$26,A98&lt;=(LCOE!I$26+LCOE!I$27-1)),0,1)*IF(A98=LCOE!I$34,0,1)*D98</f>
        <v>1</v>
      </c>
      <c r="F98" s="12">
        <f>IF(F97&lt;LCOE!I$18,MIN(F97*(1+LCOE!I$19),LCOE!I$18),LCOE!I$18)+LCOE!J124</f>
        <v>0.9</v>
      </c>
      <c r="G98" s="16">
        <f>LCOE!K124+E98*F98*N98*(LCOE!I$14+LCOE!H124)*24*365*D98</f>
        <v>3942000</v>
      </c>
      <c r="H98" s="16">
        <f>LCOE!L124+F98*(LCOE!I$15+LCOE!I124)*E98*24*365*D98*N98</f>
        <v>0</v>
      </c>
      <c r="I98" s="16">
        <f>LCOE!M124+LCOE!I$20*IF(LCOE!I$14&gt;0,(LCOE!I$14+LCOE!H124),(LCOE!I$15+LCOE!I124))*K98*D98</f>
        <v>20000000</v>
      </c>
      <c r="J98" s="16">
        <f>LCOE!N124+LCOE!I$21*IF(LCOE!I$14&gt;0,G98,H98)*K98*D98</f>
        <v>0</v>
      </c>
      <c r="K98" s="15">
        <f>LCOE!O124+K97+K97*LCOE!I$22</f>
        <v>1</v>
      </c>
      <c r="L98" s="16">
        <f>LCOE!P124+LCOE!I$23*IF(LCOE!I$14&gt;0,G98,H98)*M98*D98</f>
        <v>168165720</v>
      </c>
      <c r="M98" s="15">
        <f>LCOE!Q124+M97+M97*LCOE!I$24</f>
        <v>1</v>
      </c>
      <c r="N98" s="15">
        <f>LCOE!R124+N97-N97*LCOE!I$25</f>
        <v>1</v>
      </c>
      <c r="O98" s="18">
        <f>LCOE!S124+LCOE!I$29</f>
        <v>313.75</v>
      </c>
      <c r="P98" s="12">
        <f>LCOE!T124+IF(A98&gt;=LCOE!I$30,100%,0%)</f>
        <v>1</v>
      </c>
      <c r="Q98" s="16">
        <f>LCOE!U124+O98/1000*IF(LCOE!I$14&gt;0,G98,H98)</f>
        <v>1236802.5</v>
      </c>
      <c r="R98" s="16">
        <f>LCOE!B124</f>
        <v>30</v>
      </c>
      <c r="S98" s="16">
        <f>LCOE!V124+Q98*P98*R98</f>
        <v>37104075</v>
      </c>
      <c r="T98" s="16">
        <f>LCOE!W124+LCOE!I$31</f>
        <v>0</v>
      </c>
      <c r="U98" s="16">
        <f>LCOE!X124+T98*IF(LCOE!I$14&gt;0,G98,H98)</f>
        <v>0</v>
      </c>
      <c r="V98" s="16">
        <f>LCOE!Y124+LCOE!I$32</f>
        <v>0</v>
      </c>
      <c r="W98" s="16">
        <f>LCOE!Z124+V98*IF(LCOE!I$14&gt;0,G98,H98)</f>
        <v>0</v>
      </c>
      <c r="X98" s="16">
        <f>LCOE!AA124+LCOE!I$34</f>
        <v>101</v>
      </c>
      <c r="Y98" s="16">
        <f t="shared" si="15"/>
        <v>0</v>
      </c>
      <c r="Z98" s="50">
        <f t="shared" si="18"/>
        <v>0</v>
      </c>
      <c r="AA98" s="50">
        <f t="shared" si="19"/>
        <v>20000000</v>
      </c>
      <c r="AB98" s="50">
        <f t="shared" si="20"/>
        <v>168165720</v>
      </c>
      <c r="AC98" s="50">
        <f t="shared" si="16"/>
        <v>0</v>
      </c>
      <c r="AD98" s="50">
        <f t="shared" si="11"/>
        <v>37104075</v>
      </c>
      <c r="AE98">
        <f t="shared" si="17"/>
        <v>28</v>
      </c>
      <c r="AF98" s="12">
        <f>LCOE!E124+LCOE!I$40</f>
        <v>0.1</v>
      </c>
      <c r="AG98">
        <f t="shared" si="12"/>
        <v>14.420993610649951</v>
      </c>
      <c r="AH98" s="16">
        <f t="shared" si="7"/>
        <v>0</v>
      </c>
      <c r="AI98" s="16">
        <f t="shared" si="8"/>
        <v>1386866.989888265</v>
      </c>
      <c r="AJ98" s="16">
        <f t="shared" si="9"/>
        <v>11661174.294939641</v>
      </c>
      <c r="AK98" s="16">
        <f t="shared" si="10"/>
        <v>0</v>
      </c>
      <c r="AL98" s="16">
        <f t="shared" si="13"/>
        <v>2572920.8403919213</v>
      </c>
      <c r="AM98" s="16">
        <f t="shared" si="14"/>
        <v>0</v>
      </c>
      <c r="AN98" s="16">
        <f>IF(LCOE!I$14&gt;0,G98,H98)/AG98</f>
        <v>273351.48370697704</v>
      </c>
    </row>
    <row r="99" spans="1:40">
      <c r="A99">
        <v>29</v>
      </c>
      <c r="C99" s="16">
        <f>LCOE!I125+IF(AND(LCOE!I$26&gt;0,A99&gt;=LCOE!I$26,A99&lt;=(LCOE!I$26+LCOE!I$27-1)),LCOE!I$42/LCOE!I$27,0)+IF(AND(D99=0,AE99&gt;=LCOE!I$16,COUNTIF(D74:D99,0)=LCOE!I$36),LCOE!I$35*LCOE!I$38,0)</f>
        <v>0</v>
      </c>
      <c r="D99" s="16">
        <f>IF(AE98&lt;LCOE!I$16,1,0)</f>
        <v>1</v>
      </c>
      <c r="E99" s="12">
        <f>LCOE!G125+IF(AND(A99&gt;=LCOE!I$26,A99&lt;=(LCOE!I$26+LCOE!I$27-1)),0,1)*IF(A99=LCOE!I$34,0,1)*D99</f>
        <v>1</v>
      </c>
      <c r="F99" s="12">
        <f>IF(F98&lt;LCOE!I$18,MIN(F98*(1+LCOE!I$19),LCOE!I$18),LCOE!I$18)+LCOE!J125</f>
        <v>0.9</v>
      </c>
      <c r="G99" s="16">
        <f>LCOE!K125+E99*F99*N99*(LCOE!I$14+LCOE!H125)*24*365*D99</f>
        <v>3942000</v>
      </c>
      <c r="H99" s="16">
        <f>LCOE!L125+F99*(LCOE!I$15+LCOE!I125)*E99*24*365*D99*N99</f>
        <v>0</v>
      </c>
      <c r="I99" s="16">
        <f>LCOE!M125+LCOE!I$20*IF(LCOE!I$14&gt;0,(LCOE!I$14+LCOE!H125),(LCOE!I$15+LCOE!I125))*K99*D99</f>
        <v>20000000</v>
      </c>
      <c r="J99" s="16">
        <f>LCOE!N125+LCOE!I$21*IF(LCOE!I$14&gt;0,G99,H99)*K99*D99</f>
        <v>0</v>
      </c>
      <c r="K99" s="15">
        <f>LCOE!O125+K98+K98*LCOE!I$22</f>
        <v>1</v>
      </c>
      <c r="L99" s="16">
        <f>LCOE!P125+LCOE!I$23*IF(LCOE!I$14&gt;0,G99,H99)*M99*D99</f>
        <v>168165720</v>
      </c>
      <c r="M99" s="15">
        <f>LCOE!Q125+M98+M98*LCOE!I$24</f>
        <v>1</v>
      </c>
      <c r="N99" s="15">
        <f>LCOE!R125+N98-N98*LCOE!I$25</f>
        <v>1</v>
      </c>
      <c r="O99" s="18">
        <f>LCOE!S125+LCOE!I$29</f>
        <v>313.75</v>
      </c>
      <c r="P99" s="12">
        <f>LCOE!T125+IF(A99&gt;=LCOE!I$30,100%,0%)</f>
        <v>1</v>
      </c>
      <c r="Q99" s="16">
        <f>LCOE!U125+O99/1000*IF(LCOE!I$14&gt;0,G99,H99)</f>
        <v>1236802.5</v>
      </c>
      <c r="R99" s="16">
        <f>LCOE!B125</f>
        <v>30</v>
      </c>
      <c r="S99" s="16">
        <f>LCOE!V125+Q99*P99*R99</f>
        <v>37104075</v>
      </c>
      <c r="T99" s="16">
        <f>LCOE!W125+LCOE!I$31</f>
        <v>0</v>
      </c>
      <c r="U99" s="16">
        <f>LCOE!X125+T99*IF(LCOE!I$14&gt;0,G99,H99)</f>
        <v>0</v>
      </c>
      <c r="V99" s="16">
        <f>LCOE!Y125+LCOE!I$32</f>
        <v>0</v>
      </c>
      <c r="W99" s="16">
        <f>LCOE!Z125+V99*IF(LCOE!I$14&gt;0,G99,H99)</f>
        <v>0</v>
      </c>
      <c r="X99" s="16">
        <f>LCOE!AA125+LCOE!I$34</f>
        <v>101</v>
      </c>
      <c r="Y99" s="16">
        <f t="shared" si="15"/>
        <v>0</v>
      </c>
      <c r="Z99" s="50">
        <f t="shared" si="18"/>
        <v>0</v>
      </c>
      <c r="AA99" s="50">
        <f t="shared" si="19"/>
        <v>20000000</v>
      </c>
      <c r="AB99" s="50">
        <f t="shared" si="20"/>
        <v>168165720</v>
      </c>
      <c r="AC99" s="50">
        <f t="shared" si="16"/>
        <v>0</v>
      </c>
      <c r="AD99" s="50">
        <f t="shared" si="11"/>
        <v>37104075</v>
      </c>
      <c r="AE99">
        <f t="shared" si="17"/>
        <v>29</v>
      </c>
      <c r="AF99" s="12">
        <f>LCOE!E125+LCOE!I$40</f>
        <v>0.1</v>
      </c>
      <c r="AG99">
        <f t="shared" si="12"/>
        <v>15.863092971714947</v>
      </c>
      <c r="AH99" s="16">
        <f t="shared" si="7"/>
        <v>0</v>
      </c>
      <c r="AI99" s="16">
        <f t="shared" si="8"/>
        <v>1260788.1726256954</v>
      </c>
      <c r="AJ99" s="16">
        <f t="shared" si="9"/>
        <v>10601067.540854217</v>
      </c>
      <c r="AK99" s="16">
        <f t="shared" si="10"/>
        <v>0</v>
      </c>
      <c r="AL99" s="16">
        <f t="shared" si="13"/>
        <v>2339018.9458108377</v>
      </c>
      <c r="AM99" s="16">
        <f t="shared" si="14"/>
        <v>0</v>
      </c>
      <c r="AN99" s="16">
        <f>IF(LCOE!I$14&gt;0,G99,H99)/AG99</f>
        <v>248501.34882452455</v>
      </c>
    </row>
    <row r="100" spans="1:40">
      <c r="A100">
        <v>30</v>
      </c>
      <c r="C100" s="16">
        <f>LCOE!I126+IF(AND(LCOE!I$26&gt;0,A100&gt;=LCOE!I$26,A100&lt;=(LCOE!I$26+LCOE!I$27-1)),LCOE!I$42/LCOE!I$27,0)+IF(AND(D100=0,AE100&gt;=LCOE!I$16,COUNTIF(D75:D100,0)=LCOE!I$36),LCOE!I$35*LCOE!I$38,0)</f>
        <v>0</v>
      </c>
      <c r="D100" s="16">
        <f>IF(AE99&lt;LCOE!I$16,1,0)</f>
        <v>1</v>
      </c>
      <c r="E100" s="12">
        <f>LCOE!G126+IF(AND(A100&gt;=LCOE!I$26,A100&lt;=(LCOE!I$26+LCOE!I$27-1)),0,1)*IF(A100=LCOE!I$34,0,1)*D100</f>
        <v>1</v>
      </c>
      <c r="F100" s="12">
        <f>IF(F99&lt;LCOE!I$18,MIN(F99*(1+LCOE!I$19),LCOE!I$18),LCOE!I$18)+LCOE!J126</f>
        <v>0.9</v>
      </c>
      <c r="G100" s="16">
        <f>LCOE!K126+E100*F100*N100*(LCOE!I$14+LCOE!H126)*24*365*D100</f>
        <v>3942000</v>
      </c>
      <c r="H100" s="16">
        <f>LCOE!L126+F100*(LCOE!I$15+LCOE!I126)*E100*24*365*D100*N100</f>
        <v>0</v>
      </c>
      <c r="I100" s="16">
        <f>LCOE!M126+LCOE!I$20*IF(LCOE!I$14&gt;0,(LCOE!I$14+LCOE!H126),(LCOE!I$15+LCOE!I126))*K100*D100</f>
        <v>20000000</v>
      </c>
      <c r="J100" s="16">
        <f>LCOE!N126+LCOE!I$21*IF(LCOE!I$14&gt;0,G100,H100)*K100*D100</f>
        <v>0</v>
      </c>
      <c r="K100" s="15">
        <f>LCOE!O126+K99+K99*LCOE!I$22</f>
        <v>1</v>
      </c>
      <c r="L100" s="16">
        <f>LCOE!P126+LCOE!I$23*IF(LCOE!I$14&gt;0,G100,H100)*M100*D100</f>
        <v>168165720</v>
      </c>
      <c r="M100" s="15">
        <f>LCOE!Q126+M99+M99*LCOE!I$24</f>
        <v>1</v>
      </c>
      <c r="N100" s="15">
        <f>LCOE!R126+N99-N99*LCOE!I$25</f>
        <v>1</v>
      </c>
      <c r="O100" s="18">
        <f>LCOE!S126+LCOE!I$29</f>
        <v>313.75</v>
      </c>
      <c r="P100" s="12">
        <f>LCOE!T126+IF(A100&gt;=LCOE!I$30,100%,0%)</f>
        <v>1</v>
      </c>
      <c r="Q100" s="16">
        <f>LCOE!U126+O100/1000*IF(LCOE!I$14&gt;0,G100,H100)</f>
        <v>1236802.5</v>
      </c>
      <c r="R100" s="16">
        <f>LCOE!B126</f>
        <v>30</v>
      </c>
      <c r="S100" s="16">
        <f>LCOE!V126+Q100*P100*R100</f>
        <v>37104075</v>
      </c>
      <c r="T100" s="16">
        <f>LCOE!W126+LCOE!I$31</f>
        <v>0</v>
      </c>
      <c r="U100" s="16">
        <f>LCOE!X126+T100*IF(LCOE!I$14&gt;0,G100,H100)</f>
        <v>0</v>
      </c>
      <c r="V100" s="16">
        <f>LCOE!Y126+LCOE!I$32</f>
        <v>0</v>
      </c>
      <c r="W100" s="16">
        <f>LCOE!Z126+V100*IF(LCOE!I$14&gt;0,G100,H100)</f>
        <v>0</v>
      </c>
      <c r="X100" s="16">
        <f>LCOE!AA126+LCOE!I$34</f>
        <v>101</v>
      </c>
      <c r="Y100" s="16">
        <f t="shared" si="15"/>
        <v>0</v>
      </c>
      <c r="Z100" s="50">
        <f t="shared" si="18"/>
        <v>0</v>
      </c>
      <c r="AA100" s="50">
        <f t="shared" si="19"/>
        <v>20000000</v>
      </c>
      <c r="AB100" s="50">
        <f t="shared" si="20"/>
        <v>168165720</v>
      </c>
      <c r="AC100" s="50">
        <f t="shared" si="16"/>
        <v>0</v>
      </c>
      <c r="AD100" s="50">
        <f t="shared" si="11"/>
        <v>37104075</v>
      </c>
      <c r="AE100">
        <f t="shared" si="17"/>
        <v>30</v>
      </c>
      <c r="AF100" s="12">
        <f>LCOE!E126+LCOE!I$40</f>
        <v>0.1</v>
      </c>
      <c r="AG100">
        <f t="shared" si="12"/>
        <v>17.449402268886445</v>
      </c>
      <c r="AH100" s="16">
        <f t="shared" si="7"/>
        <v>0</v>
      </c>
      <c r="AI100" s="16">
        <f t="shared" si="8"/>
        <v>1146171.0660233593</v>
      </c>
      <c r="AJ100" s="16">
        <f t="shared" si="9"/>
        <v>9637334.1280492879</v>
      </c>
      <c r="AK100" s="16">
        <f t="shared" si="10"/>
        <v>0</v>
      </c>
      <c r="AL100" s="16">
        <f t="shared" si="13"/>
        <v>2126380.8598280335</v>
      </c>
      <c r="AM100" s="16">
        <f t="shared" si="14"/>
        <v>0</v>
      </c>
      <c r="AN100" s="16">
        <f>IF(LCOE!I$14&gt;0,G100,H100)/AG100</f>
        <v>225910.3171132041</v>
      </c>
    </row>
    <row r="101" spans="1:40">
      <c r="A101">
        <v>31</v>
      </c>
      <c r="C101" s="16">
        <f>LCOE!I127+IF(AND(LCOE!I$26&gt;0,A101&gt;=LCOE!I$26,A101&lt;=(LCOE!I$26+LCOE!I$27-1)),LCOE!I$42/LCOE!I$27,0)+IF(AND(D101=0,AE101&gt;=LCOE!I$16,COUNTIF(D76:D101,0)=LCOE!I$36),LCOE!I$35*LCOE!I$38,0)</f>
        <v>0</v>
      </c>
      <c r="D101" s="16">
        <f>IF(AE100&lt;LCOE!I$16,1,0)</f>
        <v>0</v>
      </c>
      <c r="E101" s="12">
        <f>LCOE!G127+IF(AND(A101&gt;=LCOE!I$26,A101&lt;=(LCOE!I$26+LCOE!I$27-1)),0,1)*IF(A101=LCOE!I$34,0,1)*D101</f>
        <v>0</v>
      </c>
      <c r="F101" s="12">
        <f>IF(F100&lt;LCOE!I$18,MIN(F100*(1+LCOE!I$19),LCOE!I$18),LCOE!I$18)+LCOE!J127</f>
        <v>0.9</v>
      </c>
      <c r="G101" s="16">
        <f>LCOE!K127+E101*F101*N101*(LCOE!I$14+LCOE!H127)*24*365*D101</f>
        <v>0</v>
      </c>
      <c r="H101" s="16">
        <f>LCOE!L127+F101*(LCOE!I$15+LCOE!I127)*E101*24*365*D101*N101</f>
        <v>0</v>
      </c>
      <c r="I101" s="16">
        <f>LCOE!M127+LCOE!I$20*IF(LCOE!I$14&gt;0,(LCOE!I$14+LCOE!H127),(LCOE!I$15+LCOE!I127))*K101*D101</f>
        <v>0</v>
      </c>
      <c r="J101" s="16">
        <f>LCOE!N127+LCOE!I$21*IF(LCOE!I$14&gt;0,G101,H101)*K101*D101</f>
        <v>0</v>
      </c>
      <c r="K101" s="15">
        <f>LCOE!O127+K100+K100*LCOE!I$22</f>
        <v>1</v>
      </c>
      <c r="L101" s="16">
        <f>LCOE!P127+LCOE!I$23*IF(LCOE!I$14&gt;0,G101,H101)*M101*D101</f>
        <v>0</v>
      </c>
      <c r="M101" s="15">
        <f>LCOE!Q127+M100+M100*LCOE!I$24</f>
        <v>1</v>
      </c>
      <c r="N101" s="15">
        <f>LCOE!R127+N100-N100*LCOE!I$25</f>
        <v>1</v>
      </c>
      <c r="O101" s="18">
        <f>LCOE!S127+LCOE!I$29</f>
        <v>313.75</v>
      </c>
      <c r="P101" s="12">
        <f>LCOE!T127+IF(A101&gt;=LCOE!I$30,100%,0%)</f>
        <v>1</v>
      </c>
      <c r="Q101" s="16">
        <f>LCOE!U127+O101/1000*IF(LCOE!I$14&gt;0,G101,H101)</f>
        <v>0</v>
      </c>
      <c r="R101" s="16">
        <f>LCOE!B127</f>
        <v>30</v>
      </c>
      <c r="S101" s="16">
        <f>LCOE!V127+Q101*P101*R101</f>
        <v>0</v>
      </c>
      <c r="T101" s="16">
        <f>LCOE!W127+LCOE!I$31</f>
        <v>0</v>
      </c>
      <c r="U101" s="16">
        <f>LCOE!X127+T101*IF(LCOE!I$14&gt;0,G101,H101)</f>
        <v>0</v>
      </c>
      <c r="V101" s="16">
        <f>LCOE!Y127+LCOE!I$32</f>
        <v>0</v>
      </c>
      <c r="W101" s="16">
        <f>LCOE!Z127+V101*IF(LCOE!I$14&gt;0,G101,H101)</f>
        <v>0</v>
      </c>
      <c r="X101" s="16">
        <f>LCOE!AA127+LCOE!I$34</f>
        <v>101</v>
      </c>
      <c r="Y101" s="16">
        <f t="shared" si="15"/>
        <v>0</v>
      </c>
      <c r="Z101" s="50">
        <f t="shared" si="18"/>
        <v>0</v>
      </c>
      <c r="AA101" s="50">
        <f t="shared" si="19"/>
        <v>0</v>
      </c>
      <c r="AB101" s="50">
        <f t="shared" si="20"/>
        <v>0</v>
      </c>
      <c r="AC101" s="50">
        <f t="shared" si="16"/>
        <v>0</v>
      </c>
      <c r="AD101" s="50">
        <f t="shared" si="11"/>
        <v>0</v>
      </c>
      <c r="AE101">
        <f t="shared" si="17"/>
        <v>30</v>
      </c>
      <c r="AF101" s="12">
        <f>LCOE!E127+LCOE!I$40</f>
        <v>0.1</v>
      </c>
      <c r="AG101">
        <f t="shared" si="12"/>
        <v>19.194342495775089</v>
      </c>
      <c r="AH101" s="16">
        <f t="shared" si="7"/>
        <v>0</v>
      </c>
      <c r="AI101" s="16">
        <f t="shared" si="8"/>
        <v>0</v>
      </c>
      <c r="AJ101" s="16">
        <f t="shared" si="9"/>
        <v>0</v>
      </c>
      <c r="AK101" s="16">
        <f t="shared" si="10"/>
        <v>0</v>
      </c>
      <c r="AL101" s="16">
        <f t="shared" si="13"/>
        <v>0</v>
      </c>
      <c r="AM101" s="16">
        <f t="shared" si="14"/>
        <v>0</v>
      </c>
      <c r="AN101" s="16">
        <f>IF(LCOE!I$14&gt;0,G101,H101)/AG101</f>
        <v>0</v>
      </c>
    </row>
    <row r="102" spans="1:40">
      <c r="A102">
        <v>32</v>
      </c>
      <c r="C102" s="16">
        <f>LCOE!I128+IF(AND(LCOE!I$26&gt;0,A102&gt;=LCOE!I$26,A102&lt;=(LCOE!I$26+LCOE!I$27-1)),LCOE!I$42/LCOE!I$27,0)+IF(AND(D102=0,AE102&gt;=LCOE!I$16,COUNTIF(D77:D102,0)=LCOE!I$36),LCOE!I$35*LCOE!I$38,0)</f>
        <v>25225000</v>
      </c>
      <c r="D102" s="16">
        <f>IF(AE101&lt;LCOE!I$16,1,0)</f>
        <v>0</v>
      </c>
      <c r="E102" s="12">
        <f>LCOE!G128+IF(AND(A102&gt;=LCOE!I$26,A102&lt;=(LCOE!I$26+LCOE!I$27-1)),0,1)*IF(A102=LCOE!I$34,0,1)*D102</f>
        <v>0</v>
      </c>
      <c r="F102" s="12">
        <f>IF(F101&lt;LCOE!I$18,MIN(F101*(1+LCOE!I$19),LCOE!I$18),LCOE!I$18)+LCOE!J128</f>
        <v>0.9</v>
      </c>
      <c r="G102" s="16">
        <f>LCOE!K128+E102*F102*N102*(LCOE!I$14+LCOE!H128)*24*365*D102</f>
        <v>0</v>
      </c>
      <c r="H102" s="16">
        <f>LCOE!L128+F102*(LCOE!I$15+LCOE!I128)*E102*24*365*D102*N102</f>
        <v>0</v>
      </c>
      <c r="I102" s="16">
        <f>LCOE!M128+LCOE!I$20*IF(LCOE!I$14&gt;0,(LCOE!I$14+LCOE!H128),(LCOE!I$15+LCOE!I128))*K102*D102</f>
        <v>0</v>
      </c>
      <c r="J102" s="16">
        <f>LCOE!N128+LCOE!I$21*IF(LCOE!I$14&gt;0,G102,H102)*K102*D102</f>
        <v>0</v>
      </c>
      <c r="K102" s="15">
        <f>LCOE!O128+K101+K101*LCOE!I$22</f>
        <v>1</v>
      </c>
      <c r="L102" s="16">
        <f>LCOE!P128+LCOE!I$23*IF(LCOE!I$14&gt;0,G102,H102)*M102*D102</f>
        <v>0</v>
      </c>
      <c r="M102" s="15">
        <f>LCOE!Q128+M101+M101*LCOE!I$24</f>
        <v>1</v>
      </c>
      <c r="N102" s="15">
        <f>LCOE!R128+N101-N101*LCOE!I$25</f>
        <v>1</v>
      </c>
      <c r="O102" s="18">
        <f>LCOE!S128+LCOE!I$29</f>
        <v>313.75</v>
      </c>
      <c r="P102" s="12">
        <f>LCOE!T128+IF(A102&gt;=LCOE!I$30,100%,0%)</f>
        <v>1</v>
      </c>
      <c r="Q102" s="16">
        <f>LCOE!U128+O102/1000*IF(LCOE!I$14&gt;0,G102,H102)</f>
        <v>0</v>
      </c>
      <c r="R102" s="16">
        <f>LCOE!B128</f>
        <v>30</v>
      </c>
      <c r="S102" s="16">
        <f>LCOE!V128+Q102*P102*R102</f>
        <v>0</v>
      </c>
      <c r="T102" s="16">
        <f>LCOE!W128+LCOE!I$31</f>
        <v>0</v>
      </c>
      <c r="U102" s="16">
        <f>LCOE!X128+T102*IF(LCOE!I$14&gt;0,G102,H102)</f>
        <v>0</v>
      </c>
      <c r="V102" s="16">
        <f>LCOE!Y128+LCOE!I$32</f>
        <v>0</v>
      </c>
      <c r="W102" s="16">
        <f>LCOE!Z128+V102*IF(LCOE!I$14&gt;0,G102,H102)</f>
        <v>0</v>
      </c>
      <c r="X102" s="16">
        <f>LCOE!AA128+LCOE!I$34</f>
        <v>101</v>
      </c>
      <c r="Y102" s="16">
        <f t="shared" si="15"/>
        <v>0</v>
      </c>
      <c r="Z102" s="50">
        <f t="shared" si="18"/>
        <v>25225000</v>
      </c>
      <c r="AA102" s="50">
        <f t="shared" si="19"/>
        <v>0</v>
      </c>
      <c r="AB102" s="50">
        <f t="shared" si="20"/>
        <v>0</v>
      </c>
      <c r="AC102" s="50">
        <f t="shared" si="16"/>
        <v>0</v>
      </c>
      <c r="AD102" s="50">
        <f t="shared" si="11"/>
        <v>0</v>
      </c>
      <c r="AE102">
        <f t="shared" si="17"/>
        <v>30</v>
      </c>
      <c r="AF102" s="12">
        <f>LCOE!E128+LCOE!I$40</f>
        <v>0.1</v>
      </c>
      <c r="AG102">
        <f t="shared" si="12"/>
        <v>21.113776745352599</v>
      </c>
      <c r="AH102" s="16">
        <f t="shared" si="7"/>
        <v>1194717.5677867453</v>
      </c>
      <c r="AI102" s="16">
        <f t="shared" si="8"/>
        <v>0</v>
      </c>
      <c r="AJ102" s="16">
        <f t="shared" si="9"/>
        <v>0</v>
      </c>
      <c r="AK102" s="16">
        <f t="shared" si="10"/>
        <v>0</v>
      </c>
      <c r="AL102" s="16">
        <f t="shared" si="13"/>
        <v>0</v>
      </c>
      <c r="AM102" s="16">
        <f t="shared" si="14"/>
        <v>0</v>
      </c>
      <c r="AN102" s="16">
        <f>IF(LCOE!I$14&gt;0,G102,H102)/AG102</f>
        <v>0</v>
      </c>
    </row>
    <row r="103" spans="1:40">
      <c r="A103">
        <v>33</v>
      </c>
      <c r="C103" s="16">
        <f>LCOE!I129+IF(AND(LCOE!I$26&gt;0,A103&gt;=LCOE!I$26,A103&lt;=(LCOE!I$26+LCOE!I$27-1)),LCOE!I$42/LCOE!I$27,0)+IF(AND(D103=0,AE103&gt;=LCOE!I$16,COUNTIF(D78:D103,0)=LCOE!I$36),LCOE!I$35*LCOE!I$38,0)</f>
        <v>0</v>
      </c>
      <c r="D103" s="16">
        <f>IF(AE102&lt;LCOE!I$16,1,0)</f>
        <v>0</v>
      </c>
      <c r="E103" s="12">
        <f>LCOE!G129+IF(AND(A103&gt;=LCOE!I$26,A103&lt;=(LCOE!I$26+LCOE!I$27-1)),0,1)*IF(A103=LCOE!I$34,0,1)*D103</f>
        <v>0</v>
      </c>
      <c r="F103" s="12">
        <f>IF(F102&lt;LCOE!I$18,MIN(F102*(1+LCOE!I$19),LCOE!I$18),LCOE!I$18)+LCOE!J129</f>
        <v>0.9</v>
      </c>
      <c r="G103" s="16">
        <f>LCOE!K129+E103*F103*N103*(LCOE!I$14+LCOE!H129)*24*365*D103</f>
        <v>0</v>
      </c>
      <c r="H103" s="16">
        <f>LCOE!L129+F103*(LCOE!I$15+LCOE!I129)*E103*24*365*D103*N103</f>
        <v>0</v>
      </c>
      <c r="I103" s="16">
        <f>LCOE!M129+LCOE!I$20*IF(LCOE!I$14&gt;0,(LCOE!I$14+LCOE!H129),(LCOE!I$15+LCOE!I129))*K103*D103</f>
        <v>0</v>
      </c>
      <c r="J103" s="16">
        <f>LCOE!N129+LCOE!I$21*IF(LCOE!I$14&gt;0,G103,H103)*K103*D103</f>
        <v>0</v>
      </c>
      <c r="K103" s="15">
        <f>LCOE!O129+K102+K102*LCOE!I$22</f>
        <v>1</v>
      </c>
      <c r="L103" s="16">
        <f>LCOE!P129+LCOE!I$23*IF(LCOE!I$14&gt;0,G103,H103)*M103*D103</f>
        <v>0</v>
      </c>
      <c r="M103" s="15">
        <f>LCOE!Q129+M102+M102*LCOE!I$24</f>
        <v>1</v>
      </c>
      <c r="N103" s="15">
        <f>LCOE!R129+N102-N102*LCOE!I$25</f>
        <v>1</v>
      </c>
      <c r="O103" s="18">
        <f>LCOE!S129+LCOE!I$29</f>
        <v>313.75</v>
      </c>
      <c r="P103" s="12">
        <f>LCOE!T129+IF(A103&gt;=LCOE!I$30,100%,0%)</f>
        <v>1</v>
      </c>
      <c r="Q103" s="16">
        <f>LCOE!U129+O103/1000*IF(LCOE!I$14&gt;0,G103,H103)</f>
        <v>0</v>
      </c>
      <c r="R103" s="16">
        <f>LCOE!B129</f>
        <v>30</v>
      </c>
      <c r="S103" s="16">
        <f>LCOE!V129+Q103*P103*R103</f>
        <v>0</v>
      </c>
      <c r="T103" s="16">
        <f>LCOE!W129+LCOE!I$31</f>
        <v>0</v>
      </c>
      <c r="U103" s="16">
        <f>LCOE!X129+T103*IF(LCOE!I$14&gt;0,G103,H103)</f>
        <v>0</v>
      </c>
      <c r="V103" s="16">
        <f>LCOE!Y129+LCOE!I$32</f>
        <v>0</v>
      </c>
      <c r="W103" s="16">
        <f>LCOE!Z129+V103*IF(LCOE!I$14&gt;0,G103,H103)</f>
        <v>0</v>
      </c>
      <c r="X103" s="16">
        <f>LCOE!AA129+LCOE!I$34</f>
        <v>101</v>
      </c>
      <c r="Y103" s="16">
        <f t="shared" si="15"/>
        <v>0</v>
      </c>
      <c r="Z103" s="50">
        <f t="shared" si="18"/>
        <v>0</v>
      </c>
      <c r="AA103" s="50">
        <f t="shared" si="19"/>
        <v>0</v>
      </c>
      <c r="AB103" s="50">
        <f t="shared" si="20"/>
        <v>0</v>
      </c>
      <c r="AC103" s="50">
        <f t="shared" si="16"/>
        <v>0</v>
      </c>
      <c r="AD103" s="50">
        <f t="shared" si="11"/>
        <v>0</v>
      </c>
      <c r="AE103">
        <f t="shared" si="17"/>
        <v>30</v>
      </c>
      <c r="AF103" s="12">
        <f>LCOE!E129+LCOE!I$40</f>
        <v>0.1</v>
      </c>
      <c r="AG103">
        <f t="shared" si="12"/>
        <v>23.225154419887861</v>
      </c>
      <c r="AH103" s="16">
        <f t="shared" si="7"/>
        <v>0</v>
      </c>
      <c r="AI103" s="16">
        <f t="shared" si="8"/>
        <v>0</v>
      </c>
      <c r="AJ103" s="16">
        <f t="shared" si="9"/>
        <v>0</v>
      </c>
      <c r="AK103" s="16">
        <f t="shared" si="10"/>
        <v>0</v>
      </c>
      <c r="AL103" s="16">
        <f t="shared" si="13"/>
        <v>0</v>
      </c>
      <c r="AM103" s="16">
        <f t="shared" si="14"/>
        <v>0</v>
      </c>
      <c r="AN103" s="16">
        <f>IF(LCOE!I$14&gt;0,G103,H103)/AG103</f>
        <v>0</v>
      </c>
    </row>
    <row r="104" spans="1:40">
      <c r="A104">
        <v>34</v>
      </c>
      <c r="C104" s="16">
        <f>LCOE!I130+IF(AND(LCOE!I$26&gt;0,A104&gt;=LCOE!I$26,A104&lt;=(LCOE!I$26+LCOE!I$27-1)),LCOE!I$42/LCOE!I$27,0)+IF(AND(D104=0,AE104&gt;=LCOE!I$16,COUNTIF(D79:D104,0)=LCOE!I$36),LCOE!I$35*LCOE!I$38,0)</f>
        <v>0</v>
      </c>
      <c r="D104" s="16">
        <f>IF(AE103&lt;LCOE!I$16,1,0)</f>
        <v>0</v>
      </c>
      <c r="E104" s="12">
        <f>LCOE!G130+IF(AND(A104&gt;=LCOE!I$26,A104&lt;=(LCOE!I$26+LCOE!I$27-1)),0,1)*IF(A104=LCOE!I$34,0,1)*D104</f>
        <v>0</v>
      </c>
      <c r="F104" s="12">
        <f>IF(F103&lt;LCOE!I$18,MIN(F103*(1+LCOE!I$19),LCOE!I$18),LCOE!I$18)+LCOE!J130</f>
        <v>0.9</v>
      </c>
      <c r="G104" s="16">
        <f>LCOE!K130+E104*F104*N104*(LCOE!I$14+LCOE!H130)*24*365*D104</f>
        <v>0</v>
      </c>
      <c r="H104" s="16">
        <f>LCOE!L130+F104*(LCOE!I$15+LCOE!I130)*E104*24*365*D104*N104</f>
        <v>0</v>
      </c>
      <c r="I104" s="16">
        <f>LCOE!M130+LCOE!I$20*IF(LCOE!I$14&gt;0,(LCOE!I$14+LCOE!H130),(LCOE!I$15+LCOE!I130))*K104*D104</f>
        <v>0</v>
      </c>
      <c r="J104" s="16">
        <f>LCOE!N130+LCOE!I$21*IF(LCOE!I$14&gt;0,G104,H104)*K104*D104</f>
        <v>0</v>
      </c>
      <c r="K104" s="15">
        <f>LCOE!O130+K103+K103*LCOE!I$22</f>
        <v>1</v>
      </c>
      <c r="L104" s="16">
        <f>LCOE!P130+LCOE!I$23*IF(LCOE!I$14&gt;0,G104,H104)*M104*D104</f>
        <v>0</v>
      </c>
      <c r="M104" s="15">
        <f>LCOE!Q130+M103+M103*LCOE!I$24</f>
        <v>1</v>
      </c>
      <c r="N104" s="15">
        <f>LCOE!R130+N103-N103*LCOE!I$25</f>
        <v>1</v>
      </c>
      <c r="O104" s="18">
        <f>LCOE!S130+LCOE!I$29</f>
        <v>313.75</v>
      </c>
      <c r="P104" s="12">
        <f>LCOE!T130+IF(A104&gt;=LCOE!I$30,100%,0%)</f>
        <v>1</v>
      </c>
      <c r="Q104" s="16">
        <f>LCOE!U130+O104/1000*IF(LCOE!I$14&gt;0,G104,H104)</f>
        <v>0</v>
      </c>
      <c r="R104" s="16">
        <f>LCOE!B130</f>
        <v>30</v>
      </c>
      <c r="S104" s="16">
        <f>LCOE!V130+Q104*P104*R104</f>
        <v>0</v>
      </c>
      <c r="T104" s="16">
        <f>LCOE!W130+LCOE!I$31</f>
        <v>0</v>
      </c>
      <c r="U104" s="16">
        <f>LCOE!X130+T104*IF(LCOE!I$14&gt;0,G104,H104)</f>
        <v>0</v>
      </c>
      <c r="V104" s="16">
        <f>LCOE!Y130+LCOE!I$32</f>
        <v>0</v>
      </c>
      <c r="W104" s="16">
        <f>LCOE!Z130+V104*IF(LCOE!I$14&gt;0,G104,H104)</f>
        <v>0</v>
      </c>
      <c r="X104" s="16">
        <f>LCOE!AA130+LCOE!I$34</f>
        <v>101</v>
      </c>
      <c r="Y104" s="16">
        <f t="shared" si="15"/>
        <v>0</v>
      </c>
      <c r="Z104" s="50">
        <f t="shared" si="18"/>
        <v>0</v>
      </c>
      <c r="AA104" s="50">
        <f t="shared" si="19"/>
        <v>0</v>
      </c>
      <c r="AB104" s="50">
        <f t="shared" si="20"/>
        <v>0</v>
      </c>
      <c r="AC104" s="50">
        <f t="shared" si="16"/>
        <v>0</v>
      </c>
      <c r="AD104" s="50">
        <f t="shared" si="11"/>
        <v>0</v>
      </c>
      <c r="AE104">
        <f t="shared" si="17"/>
        <v>30</v>
      </c>
      <c r="AF104" s="12">
        <f>LCOE!E130+LCOE!I$40</f>
        <v>0.1</v>
      </c>
      <c r="AG104">
        <f t="shared" si="12"/>
        <v>25.547669861876649</v>
      </c>
      <c r="AH104" s="16">
        <f t="shared" si="7"/>
        <v>0</v>
      </c>
      <c r="AI104" s="16">
        <f t="shared" si="8"/>
        <v>0</v>
      </c>
      <c r="AJ104" s="16">
        <f t="shared" si="9"/>
        <v>0</v>
      </c>
      <c r="AK104" s="16">
        <f t="shared" si="10"/>
        <v>0</v>
      </c>
      <c r="AL104" s="16">
        <f t="shared" si="13"/>
        <v>0</v>
      </c>
      <c r="AM104" s="16">
        <f t="shared" si="14"/>
        <v>0</v>
      </c>
      <c r="AN104" s="16">
        <f>IF(LCOE!I$14&gt;0,G104,H104)/AG104</f>
        <v>0</v>
      </c>
    </row>
    <row r="105" spans="1:40">
      <c r="A105">
        <v>35</v>
      </c>
      <c r="C105" s="16">
        <f>LCOE!I131+IF(AND(LCOE!I$26&gt;0,A105&gt;=LCOE!I$26,A105&lt;=(LCOE!I$26+LCOE!I$27-1)),LCOE!I$42/LCOE!I$27,0)+IF(AND(D105=0,AE105&gt;=LCOE!I$16,COUNTIF(D80:D105,0)=LCOE!I$36),LCOE!I$35*LCOE!I$38,0)</f>
        <v>0</v>
      </c>
      <c r="D105" s="16">
        <f>IF(AE104&lt;LCOE!I$16,1,0)</f>
        <v>0</v>
      </c>
      <c r="E105" s="12">
        <f>LCOE!G131+IF(AND(A105&gt;=LCOE!I$26,A105&lt;=(LCOE!I$26+LCOE!I$27-1)),0,1)*IF(A105=LCOE!I$34,0,1)*D105</f>
        <v>0</v>
      </c>
      <c r="F105" s="12">
        <f>IF(F104&lt;LCOE!I$18,MIN(F104*(1+LCOE!I$19),LCOE!I$18),LCOE!I$18)+LCOE!J131</f>
        <v>0.9</v>
      </c>
      <c r="G105" s="16">
        <f>LCOE!K131+E105*F105*N105*(LCOE!I$14+LCOE!H131)*24*365*D105</f>
        <v>0</v>
      </c>
      <c r="H105" s="16">
        <f>LCOE!L131+F105*(LCOE!I$15+LCOE!I131)*E105*24*365*D105*N105</f>
        <v>0</v>
      </c>
      <c r="I105" s="16">
        <f>LCOE!M131+LCOE!I$20*IF(LCOE!I$14&gt;0,(LCOE!I$14+LCOE!H131),(LCOE!I$15+LCOE!I131))*K105*D105</f>
        <v>0</v>
      </c>
      <c r="J105" s="16">
        <f>LCOE!N131+LCOE!I$21*IF(LCOE!I$14&gt;0,G105,H105)*K105*D105</f>
        <v>0</v>
      </c>
      <c r="K105" s="15">
        <f>LCOE!O131+K104+K104*LCOE!I$22</f>
        <v>1</v>
      </c>
      <c r="L105" s="16">
        <f>LCOE!P131+LCOE!I$23*IF(LCOE!I$14&gt;0,G105,H105)*M105*D105</f>
        <v>0</v>
      </c>
      <c r="M105" s="15">
        <f>LCOE!Q131+M104+M104*LCOE!I$24</f>
        <v>1</v>
      </c>
      <c r="N105" s="15">
        <f>LCOE!R131+N104-N104*LCOE!I$25</f>
        <v>1</v>
      </c>
      <c r="O105" s="18">
        <f>LCOE!S131+LCOE!I$29</f>
        <v>313.75</v>
      </c>
      <c r="P105" s="12">
        <f>LCOE!T131+IF(A105&gt;=LCOE!I$30,100%,0%)</f>
        <v>1</v>
      </c>
      <c r="Q105" s="16">
        <f>LCOE!U131+O105/1000*IF(LCOE!I$14&gt;0,G105,H105)</f>
        <v>0</v>
      </c>
      <c r="R105" s="16">
        <f>LCOE!B131</f>
        <v>30</v>
      </c>
      <c r="S105" s="16">
        <f>LCOE!V131+Q105*P105*R105</f>
        <v>0</v>
      </c>
      <c r="T105" s="16">
        <f>LCOE!W131+LCOE!I$31</f>
        <v>0</v>
      </c>
      <c r="U105" s="16">
        <f>LCOE!X131+T105*IF(LCOE!I$14&gt;0,G105,H105)</f>
        <v>0</v>
      </c>
      <c r="V105" s="16">
        <f>LCOE!Y131+LCOE!I$32</f>
        <v>0</v>
      </c>
      <c r="W105" s="16">
        <f>LCOE!Z131+V105*IF(LCOE!I$14&gt;0,G105,H105)</f>
        <v>0</v>
      </c>
      <c r="X105" s="16">
        <f>LCOE!AA131+LCOE!I$34</f>
        <v>101</v>
      </c>
      <c r="Y105" s="16">
        <f t="shared" si="15"/>
        <v>0</v>
      </c>
      <c r="Z105" s="50">
        <f t="shared" si="18"/>
        <v>0</v>
      </c>
      <c r="AA105" s="50">
        <f t="shared" si="19"/>
        <v>0</v>
      </c>
      <c r="AB105" s="50">
        <f t="shared" si="20"/>
        <v>0</v>
      </c>
      <c r="AC105" s="50">
        <f t="shared" si="16"/>
        <v>0</v>
      </c>
      <c r="AD105" s="50">
        <f t="shared" si="11"/>
        <v>0</v>
      </c>
      <c r="AE105">
        <f t="shared" si="17"/>
        <v>30</v>
      </c>
      <c r="AF105" s="12">
        <f>LCOE!E131+LCOE!I$40</f>
        <v>0.1</v>
      </c>
      <c r="AG105">
        <f t="shared" si="12"/>
        <v>28.102436848064318</v>
      </c>
      <c r="AH105" s="16">
        <f t="shared" si="7"/>
        <v>0</v>
      </c>
      <c r="AI105" s="16">
        <f t="shared" si="8"/>
        <v>0</v>
      </c>
      <c r="AJ105" s="16">
        <f t="shared" si="9"/>
        <v>0</v>
      </c>
      <c r="AK105" s="16">
        <f t="shared" si="10"/>
        <v>0</v>
      </c>
      <c r="AL105" s="16">
        <f t="shared" si="13"/>
        <v>0</v>
      </c>
      <c r="AM105" s="16">
        <f t="shared" si="14"/>
        <v>0</v>
      </c>
      <c r="AN105" s="16">
        <f>IF(LCOE!I$14&gt;0,G105,H105)/AG105</f>
        <v>0</v>
      </c>
    </row>
    <row r="106" spans="1:40">
      <c r="A106">
        <v>36</v>
      </c>
      <c r="C106" s="16">
        <f>LCOE!I132+IF(AND(LCOE!I$26&gt;0,A106&gt;=LCOE!I$26,A106&lt;=(LCOE!I$26+LCOE!I$27-1)),LCOE!I$42/LCOE!I$27,0)+IF(AND(D106=0,AE106&gt;=LCOE!I$16,COUNTIF(D81:D106,0)=LCOE!I$36),LCOE!I$35*LCOE!I$38,0)</f>
        <v>0</v>
      </c>
      <c r="D106" s="16">
        <f>IF(AE105&lt;LCOE!I$16,1,0)</f>
        <v>0</v>
      </c>
      <c r="E106" s="12">
        <f>LCOE!G132+IF(AND(A106&gt;=LCOE!I$26,A106&lt;=(LCOE!I$26+LCOE!I$27-1)),0,1)*IF(A106=LCOE!I$34,0,1)*D106</f>
        <v>0</v>
      </c>
      <c r="F106" s="12">
        <f>IF(F105&lt;LCOE!I$18,MIN(F105*(1+LCOE!I$19),LCOE!I$18),LCOE!I$18)+LCOE!J132</f>
        <v>0.9</v>
      </c>
      <c r="G106" s="16">
        <f>LCOE!K132+E106*F106*N106*(LCOE!I$14+LCOE!H132)*24*365*D106</f>
        <v>0</v>
      </c>
      <c r="H106" s="16">
        <f>LCOE!L132+F106*(LCOE!I$15+LCOE!I132)*E106*24*365*D106*N106</f>
        <v>0</v>
      </c>
      <c r="I106" s="16">
        <f>LCOE!M132+LCOE!I$20*IF(LCOE!I$14&gt;0,(LCOE!I$14+LCOE!H132),(LCOE!I$15+LCOE!I132))*K106*D106</f>
        <v>0</v>
      </c>
      <c r="J106" s="16">
        <f>LCOE!N132+LCOE!I$21*IF(LCOE!I$14&gt;0,G106,H106)*K106*D106</f>
        <v>0</v>
      </c>
      <c r="K106" s="15">
        <f>LCOE!O132+K105+K105*LCOE!I$22</f>
        <v>1</v>
      </c>
      <c r="L106" s="16">
        <f>LCOE!P132+LCOE!I$23*IF(LCOE!I$14&gt;0,G106,H106)*M106*D106</f>
        <v>0</v>
      </c>
      <c r="M106" s="15">
        <f>LCOE!Q132+M105+M105*LCOE!I$24</f>
        <v>1</v>
      </c>
      <c r="N106" s="15">
        <f>LCOE!R132+N105-N105*LCOE!I$25</f>
        <v>1</v>
      </c>
      <c r="O106" s="18">
        <f>LCOE!S132+LCOE!I$29</f>
        <v>313.75</v>
      </c>
      <c r="P106" s="12">
        <f>LCOE!T132+IF(A106&gt;=LCOE!I$30,100%,0%)</f>
        <v>1</v>
      </c>
      <c r="Q106" s="16">
        <f>LCOE!U132+O106/1000*IF(LCOE!I$14&gt;0,G106,H106)</f>
        <v>0</v>
      </c>
      <c r="R106" s="16">
        <f>LCOE!B132</f>
        <v>30</v>
      </c>
      <c r="S106" s="16">
        <f>LCOE!V132+Q106*P106*R106</f>
        <v>0</v>
      </c>
      <c r="T106" s="16">
        <f>LCOE!W132+LCOE!I$31</f>
        <v>0</v>
      </c>
      <c r="U106" s="16">
        <f>LCOE!X132+T106*IF(LCOE!I$14&gt;0,G106,H106)</f>
        <v>0</v>
      </c>
      <c r="V106" s="16">
        <f>LCOE!Y132+LCOE!I$32</f>
        <v>0</v>
      </c>
      <c r="W106" s="16">
        <f>LCOE!Z132+V106*IF(LCOE!I$14&gt;0,G106,H106)</f>
        <v>0</v>
      </c>
      <c r="X106" s="16">
        <f>LCOE!AA132+LCOE!I$34</f>
        <v>101</v>
      </c>
      <c r="Y106" s="16">
        <f t="shared" si="15"/>
        <v>0</v>
      </c>
      <c r="Z106" s="50">
        <f t="shared" si="18"/>
        <v>0</v>
      </c>
      <c r="AA106" s="50">
        <f t="shared" si="19"/>
        <v>0</v>
      </c>
      <c r="AB106" s="50">
        <f t="shared" si="20"/>
        <v>0</v>
      </c>
      <c r="AC106" s="50">
        <f t="shared" si="16"/>
        <v>0</v>
      </c>
      <c r="AD106" s="50">
        <f t="shared" si="11"/>
        <v>0</v>
      </c>
      <c r="AE106">
        <f t="shared" si="17"/>
        <v>30</v>
      </c>
      <c r="AF106" s="12">
        <f>LCOE!E132+LCOE!I$40</f>
        <v>0.1</v>
      </c>
      <c r="AG106">
        <f t="shared" si="12"/>
        <v>30.912680532870748</v>
      </c>
      <c r="AH106" s="16">
        <f t="shared" si="7"/>
        <v>0</v>
      </c>
      <c r="AI106" s="16">
        <f t="shared" si="8"/>
        <v>0</v>
      </c>
      <c r="AJ106" s="16">
        <f t="shared" si="9"/>
        <v>0</v>
      </c>
      <c r="AK106" s="16">
        <f t="shared" si="10"/>
        <v>0</v>
      </c>
      <c r="AL106" s="16">
        <f t="shared" si="13"/>
        <v>0</v>
      </c>
      <c r="AM106" s="16">
        <f t="shared" si="14"/>
        <v>0</v>
      </c>
      <c r="AN106" s="16">
        <f>IF(LCOE!I$14&gt;0,G106,H106)/AG106</f>
        <v>0</v>
      </c>
    </row>
    <row r="107" spans="1:40">
      <c r="A107">
        <v>37</v>
      </c>
      <c r="C107" s="16">
        <f>LCOE!I133+IF(AND(LCOE!I$26&gt;0,A107&gt;=LCOE!I$26,A107&lt;=(LCOE!I$26+LCOE!I$27-1)),LCOE!I$42/LCOE!I$27,0)+IF(AND(D107=0,AE107&gt;=LCOE!I$16,COUNTIF(D82:D107,0)=LCOE!I$36),LCOE!I$35*LCOE!I$38,0)</f>
        <v>0</v>
      </c>
      <c r="D107" s="16">
        <f>IF(AE106&lt;LCOE!I$16,1,0)</f>
        <v>0</v>
      </c>
      <c r="E107" s="12">
        <f>LCOE!G133+IF(AND(A107&gt;=LCOE!I$26,A107&lt;=(LCOE!I$26+LCOE!I$27-1)),0,1)*IF(A107=LCOE!I$34,0,1)*D107</f>
        <v>0</v>
      </c>
      <c r="F107" s="12">
        <f>IF(F106&lt;LCOE!I$18,MIN(F106*(1+LCOE!I$19),LCOE!I$18),LCOE!I$18)+LCOE!J133</f>
        <v>0.9</v>
      </c>
      <c r="G107" s="16">
        <f>LCOE!K133+E107*F107*N107*(LCOE!I$14+LCOE!H133)*24*365*D107</f>
        <v>0</v>
      </c>
      <c r="H107" s="16">
        <f>LCOE!L133+F107*(LCOE!I$15+LCOE!I133)*E107*24*365*D107*N107</f>
        <v>0</v>
      </c>
      <c r="I107" s="16">
        <f>LCOE!M133+LCOE!I$20*IF(LCOE!I$14&gt;0,(LCOE!I$14+LCOE!H133),(LCOE!I$15+LCOE!I133))*K107*D107</f>
        <v>0</v>
      </c>
      <c r="J107" s="16">
        <f>LCOE!N133+LCOE!I$21*IF(LCOE!I$14&gt;0,G107,H107)*K107*D107</f>
        <v>0</v>
      </c>
      <c r="K107" s="15">
        <f>LCOE!O133+K106+K106*LCOE!I$22</f>
        <v>1</v>
      </c>
      <c r="L107" s="16">
        <f>LCOE!P133+LCOE!I$23*IF(LCOE!I$14&gt;0,G107,H107)*M107*D107</f>
        <v>0</v>
      </c>
      <c r="M107" s="15">
        <f>LCOE!Q133+M106+M106*LCOE!I$24</f>
        <v>1</v>
      </c>
      <c r="N107" s="15">
        <f>LCOE!R133+N106-N106*LCOE!I$25</f>
        <v>1</v>
      </c>
      <c r="O107" s="18">
        <f>LCOE!S133+LCOE!I$29</f>
        <v>313.75</v>
      </c>
      <c r="P107" s="12">
        <f>LCOE!T133+IF(A107&gt;=LCOE!I$30,100%,0%)</f>
        <v>1</v>
      </c>
      <c r="Q107" s="16">
        <f>LCOE!U133+O107/1000*IF(LCOE!I$14&gt;0,G107,H107)</f>
        <v>0</v>
      </c>
      <c r="R107" s="16">
        <f>LCOE!B133</f>
        <v>30</v>
      </c>
      <c r="S107" s="16">
        <f>LCOE!V133+Q107*P107*R107</f>
        <v>0</v>
      </c>
      <c r="T107" s="16">
        <f>LCOE!W133+LCOE!I$31</f>
        <v>0</v>
      </c>
      <c r="U107" s="16">
        <f>LCOE!X133+T107*IF(LCOE!I$14&gt;0,G107,H107)</f>
        <v>0</v>
      </c>
      <c r="V107" s="16">
        <f>LCOE!Y133+LCOE!I$32</f>
        <v>0</v>
      </c>
      <c r="W107" s="16">
        <f>LCOE!Z133+V107*IF(LCOE!I$14&gt;0,G107,H107)</f>
        <v>0</v>
      </c>
      <c r="X107" s="16">
        <f>LCOE!AA133+LCOE!I$34</f>
        <v>101</v>
      </c>
      <c r="Y107" s="16">
        <f t="shared" si="15"/>
        <v>0</v>
      </c>
      <c r="Z107" s="50">
        <f t="shared" si="18"/>
        <v>0</v>
      </c>
      <c r="AA107" s="50">
        <f t="shared" si="19"/>
        <v>0</v>
      </c>
      <c r="AB107" s="50">
        <f t="shared" si="20"/>
        <v>0</v>
      </c>
      <c r="AC107" s="50">
        <f t="shared" si="16"/>
        <v>0</v>
      </c>
      <c r="AD107" s="50">
        <f t="shared" si="11"/>
        <v>0</v>
      </c>
      <c r="AE107">
        <f t="shared" si="17"/>
        <v>30</v>
      </c>
      <c r="AF107" s="12">
        <f>LCOE!E133+LCOE!I$40</f>
        <v>0.1</v>
      </c>
      <c r="AG107">
        <f t="shared" si="12"/>
        <v>34.003948586157826</v>
      </c>
      <c r="AH107" s="16">
        <f t="shared" si="7"/>
        <v>0</v>
      </c>
      <c r="AI107" s="16">
        <f t="shared" si="8"/>
        <v>0</v>
      </c>
      <c r="AJ107" s="16">
        <f t="shared" si="9"/>
        <v>0</v>
      </c>
      <c r="AK107" s="16">
        <f t="shared" si="10"/>
        <v>0</v>
      </c>
      <c r="AL107" s="16">
        <f t="shared" si="13"/>
        <v>0</v>
      </c>
      <c r="AM107" s="16">
        <f t="shared" si="14"/>
        <v>0</v>
      </c>
      <c r="AN107" s="16">
        <f>IF(LCOE!I$14&gt;0,G107,H107)/AG107</f>
        <v>0</v>
      </c>
    </row>
    <row r="108" spans="1:40">
      <c r="A108">
        <v>38</v>
      </c>
      <c r="C108" s="16">
        <f>LCOE!I134+IF(AND(LCOE!I$26&gt;0,A108&gt;=LCOE!I$26,A108&lt;=(LCOE!I$26+LCOE!I$27-1)),LCOE!I$42/LCOE!I$27,0)+IF(AND(D108=0,AE108&gt;=LCOE!I$16,COUNTIF(D83:D108,0)=LCOE!I$36),LCOE!I$35*LCOE!I$38,0)</f>
        <v>0</v>
      </c>
      <c r="D108" s="16">
        <f>IF(AE107&lt;LCOE!I$16,1,0)</f>
        <v>0</v>
      </c>
      <c r="E108" s="12">
        <f>LCOE!G134+IF(AND(A108&gt;=LCOE!I$26,A108&lt;=(LCOE!I$26+LCOE!I$27-1)),0,1)*IF(A108=LCOE!I$34,0,1)*D108</f>
        <v>0</v>
      </c>
      <c r="F108" s="12">
        <f>IF(F107&lt;LCOE!I$18,MIN(F107*(1+LCOE!I$19),LCOE!I$18),LCOE!I$18)+LCOE!J134</f>
        <v>0.9</v>
      </c>
      <c r="G108" s="16">
        <f>LCOE!K134+E108*F108*N108*(LCOE!I$14+LCOE!H134)*24*365*D108</f>
        <v>0</v>
      </c>
      <c r="H108" s="16">
        <f>LCOE!L134+F108*(LCOE!I$15+LCOE!I134)*E108*24*365*D108*N108</f>
        <v>0</v>
      </c>
      <c r="I108" s="16">
        <f>LCOE!M134+LCOE!I$20*IF(LCOE!I$14&gt;0,(LCOE!I$14+LCOE!H134),(LCOE!I$15+LCOE!I134))*K108*D108</f>
        <v>0</v>
      </c>
      <c r="J108" s="16">
        <f>LCOE!N134+LCOE!I$21*IF(LCOE!I$14&gt;0,G108,H108)*K108*D108</f>
        <v>0</v>
      </c>
      <c r="K108" s="15">
        <f>LCOE!O134+K107+K107*LCOE!I$22</f>
        <v>1</v>
      </c>
      <c r="L108" s="16">
        <f>LCOE!P134+LCOE!I$23*IF(LCOE!I$14&gt;0,G108,H108)*M108*D108</f>
        <v>0</v>
      </c>
      <c r="M108" s="15">
        <f>LCOE!Q134+M107+M107*LCOE!I$24</f>
        <v>1</v>
      </c>
      <c r="N108" s="15">
        <f>LCOE!R134+N107-N107*LCOE!I$25</f>
        <v>1</v>
      </c>
      <c r="O108" s="18">
        <f>LCOE!S134+LCOE!I$29</f>
        <v>313.75</v>
      </c>
      <c r="P108" s="12">
        <f>LCOE!T134+IF(A108&gt;=LCOE!I$30,100%,0%)</f>
        <v>1</v>
      </c>
      <c r="Q108" s="16">
        <f>LCOE!U134+O108/1000*IF(LCOE!I$14&gt;0,G108,H108)</f>
        <v>0</v>
      </c>
      <c r="R108" s="16">
        <f>LCOE!B134</f>
        <v>30</v>
      </c>
      <c r="S108" s="16">
        <f>LCOE!V134+Q108*P108*R108</f>
        <v>0</v>
      </c>
      <c r="T108" s="16">
        <f>LCOE!W134+LCOE!I$31</f>
        <v>0</v>
      </c>
      <c r="U108" s="16">
        <f>LCOE!X134+T108*IF(LCOE!I$14&gt;0,G108,H108)</f>
        <v>0</v>
      </c>
      <c r="V108" s="16">
        <f>LCOE!Y134+LCOE!I$32</f>
        <v>0</v>
      </c>
      <c r="W108" s="16">
        <f>LCOE!Z134+V108*IF(LCOE!I$14&gt;0,G108,H108)</f>
        <v>0</v>
      </c>
      <c r="X108" s="16">
        <f>LCOE!AA134+LCOE!I$34</f>
        <v>101</v>
      </c>
      <c r="Y108" s="16">
        <f t="shared" si="15"/>
        <v>0</v>
      </c>
      <c r="Z108" s="50">
        <f t="shared" si="18"/>
        <v>0</v>
      </c>
      <c r="AA108" s="50">
        <f t="shared" si="19"/>
        <v>0</v>
      </c>
      <c r="AB108" s="50">
        <f t="shared" si="20"/>
        <v>0</v>
      </c>
      <c r="AC108" s="50">
        <f t="shared" si="16"/>
        <v>0</v>
      </c>
      <c r="AD108" s="50">
        <f t="shared" si="11"/>
        <v>0</v>
      </c>
      <c r="AE108">
        <f t="shared" si="17"/>
        <v>30</v>
      </c>
      <c r="AF108" s="12">
        <f>LCOE!E134+LCOE!I$40</f>
        <v>0.1</v>
      </c>
      <c r="AG108">
        <f t="shared" si="12"/>
        <v>37.404343444773616</v>
      </c>
      <c r="AH108" s="16">
        <f t="shared" si="7"/>
        <v>0</v>
      </c>
      <c r="AI108" s="16">
        <f t="shared" si="8"/>
        <v>0</v>
      </c>
      <c r="AJ108" s="16">
        <f t="shared" si="9"/>
        <v>0</v>
      </c>
      <c r="AK108" s="16">
        <f t="shared" si="10"/>
        <v>0</v>
      </c>
      <c r="AL108" s="16">
        <f t="shared" si="13"/>
        <v>0</v>
      </c>
      <c r="AM108" s="16">
        <f t="shared" si="14"/>
        <v>0</v>
      </c>
      <c r="AN108" s="16">
        <f>IF(LCOE!I$14&gt;0,G108,H108)/AG108</f>
        <v>0</v>
      </c>
    </row>
    <row r="109" spans="1:40">
      <c r="A109">
        <v>39</v>
      </c>
      <c r="C109" s="16">
        <f>LCOE!I135+IF(AND(LCOE!I$26&gt;0,A109&gt;=LCOE!I$26,A109&lt;=(LCOE!I$26+LCOE!I$27-1)),LCOE!I$42/LCOE!I$27,0)+IF(AND(D109=0,AE109&gt;=LCOE!I$16,COUNTIF(D84:D109,0)=LCOE!I$36),LCOE!I$35*LCOE!I$38,0)</f>
        <v>0</v>
      </c>
      <c r="D109" s="16">
        <f>IF(AE108&lt;LCOE!I$16,1,0)</f>
        <v>0</v>
      </c>
      <c r="E109" s="12">
        <f>LCOE!G135+IF(AND(A109&gt;=LCOE!I$26,A109&lt;=(LCOE!I$26+LCOE!I$27-1)),0,1)*IF(A109=LCOE!I$34,0,1)*D109</f>
        <v>0</v>
      </c>
      <c r="F109" s="12">
        <f>IF(F108&lt;LCOE!I$18,MIN(F108*(1+LCOE!I$19),LCOE!I$18),LCOE!I$18)+LCOE!J135</f>
        <v>0.9</v>
      </c>
      <c r="G109" s="16">
        <f>LCOE!K135+E109*F109*N109*(LCOE!I$14+LCOE!H135)*24*365*D109</f>
        <v>0</v>
      </c>
      <c r="H109" s="16">
        <f>LCOE!L135+F109*(LCOE!I$15+LCOE!I135)*E109*24*365*D109*N109</f>
        <v>0</v>
      </c>
      <c r="I109" s="16">
        <f>LCOE!M135+LCOE!I$20*IF(LCOE!I$14&gt;0,(LCOE!I$14+LCOE!H135),(LCOE!I$15+LCOE!I135))*K109*D109</f>
        <v>0</v>
      </c>
      <c r="J109" s="16">
        <f>LCOE!N135+LCOE!I$21*IF(LCOE!I$14&gt;0,G109,H109)*K109*D109</f>
        <v>0</v>
      </c>
      <c r="K109" s="15">
        <f>LCOE!O135+K108+K108*LCOE!I$22</f>
        <v>1</v>
      </c>
      <c r="L109" s="16">
        <f>LCOE!P135+LCOE!I$23*IF(LCOE!I$14&gt;0,G109,H109)*M109*D109</f>
        <v>0</v>
      </c>
      <c r="M109" s="15">
        <f>LCOE!Q135+M108+M108*LCOE!I$24</f>
        <v>1</v>
      </c>
      <c r="N109" s="15">
        <f>LCOE!R135+N108-N108*LCOE!I$25</f>
        <v>1</v>
      </c>
      <c r="O109" s="18">
        <f>LCOE!S135+LCOE!I$29</f>
        <v>313.75</v>
      </c>
      <c r="P109" s="12">
        <f>LCOE!T135+IF(A109&gt;=LCOE!I$30,100%,0%)</f>
        <v>1</v>
      </c>
      <c r="Q109" s="16">
        <f>LCOE!U135+O109/1000*IF(LCOE!I$14&gt;0,G109,H109)</f>
        <v>0</v>
      </c>
      <c r="R109" s="16">
        <f>LCOE!B135</f>
        <v>30</v>
      </c>
      <c r="S109" s="16">
        <f>LCOE!V135+Q109*P109*R109</f>
        <v>0</v>
      </c>
      <c r="T109" s="16">
        <f>LCOE!W135+LCOE!I$31</f>
        <v>0</v>
      </c>
      <c r="U109" s="16">
        <f>LCOE!X135+T109*IF(LCOE!I$14&gt;0,G109,H109)</f>
        <v>0</v>
      </c>
      <c r="V109" s="16">
        <f>LCOE!Y135+LCOE!I$32</f>
        <v>0</v>
      </c>
      <c r="W109" s="16">
        <f>LCOE!Z135+V109*IF(LCOE!I$14&gt;0,G109,H109)</f>
        <v>0</v>
      </c>
      <c r="X109" s="16">
        <f>LCOE!AA135+LCOE!I$34</f>
        <v>101</v>
      </c>
      <c r="Y109" s="16">
        <f t="shared" si="15"/>
        <v>0</v>
      </c>
      <c r="Z109" s="50">
        <f t="shared" si="18"/>
        <v>0</v>
      </c>
      <c r="AA109" s="50">
        <f t="shared" si="19"/>
        <v>0</v>
      </c>
      <c r="AB109" s="50">
        <f t="shared" si="20"/>
        <v>0</v>
      </c>
      <c r="AC109" s="50">
        <f t="shared" si="16"/>
        <v>0</v>
      </c>
      <c r="AD109" s="50">
        <f t="shared" si="11"/>
        <v>0</v>
      </c>
      <c r="AE109">
        <f t="shared" si="17"/>
        <v>30</v>
      </c>
      <c r="AF109" s="12">
        <f>LCOE!E135+LCOE!I$40</f>
        <v>0.1</v>
      </c>
      <c r="AG109">
        <f t="shared" si="12"/>
        <v>41.144777789250981</v>
      </c>
      <c r="AH109" s="16">
        <f t="shared" ref="AH109:AH170" si="21">Z109/AG109</f>
        <v>0</v>
      </c>
      <c r="AI109" s="16">
        <f t="shared" ref="AI109:AI170" si="22">AA109/AG109</f>
        <v>0</v>
      </c>
      <c r="AJ109" s="16">
        <f t="shared" ref="AJ109:AJ170" si="23">AB109/AG109</f>
        <v>0</v>
      </c>
      <c r="AK109" s="16">
        <f t="shared" ref="AK109:AK170" si="24">AC109/AG109</f>
        <v>0</v>
      </c>
      <c r="AL109" s="16">
        <f t="shared" si="13"/>
        <v>0</v>
      </c>
      <c r="AM109" s="16">
        <f t="shared" si="14"/>
        <v>0</v>
      </c>
      <c r="AN109" s="16">
        <f>IF(LCOE!I$14&gt;0,G109,H109)/AG109</f>
        <v>0</v>
      </c>
    </row>
    <row r="110" spans="1:40">
      <c r="A110">
        <v>40</v>
      </c>
      <c r="C110" s="16">
        <f>LCOE!I136+IF(AND(LCOE!I$26&gt;0,A110&gt;=LCOE!I$26,A110&lt;=(LCOE!I$26+LCOE!I$27-1)),LCOE!I$42/LCOE!I$27,0)+IF(AND(D110=0,AE110&gt;=LCOE!I$16,COUNTIF(D85:D110,0)=LCOE!I$36),LCOE!I$35*LCOE!I$38,0)</f>
        <v>0</v>
      </c>
      <c r="D110" s="16">
        <f>IF(AE109&lt;LCOE!I$16,1,0)</f>
        <v>0</v>
      </c>
      <c r="E110" s="12">
        <f>LCOE!G136+IF(AND(A110&gt;=LCOE!I$26,A110&lt;=(LCOE!I$26+LCOE!I$27-1)),0,1)*IF(A110=LCOE!I$34,0,1)*D110</f>
        <v>0</v>
      </c>
      <c r="F110" s="12">
        <f>IF(F109&lt;LCOE!I$18,MIN(F109*(1+LCOE!I$19),LCOE!I$18),LCOE!I$18)+LCOE!J136</f>
        <v>0.9</v>
      </c>
      <c r="G110" s="16">
        <f>LCOE!K136+E110*F110*N110*(LCOE!I$14+LCOE!H136)*24*365*D110</f>
        <v>0</v>
      </c>
      <c r="H110" s="16">
        <f>LCOE!L136+F110*(LCOE!I$15+LCOE!I136)*E110*24*365*D110*N110</f>
        <v>0</v>
      </c>
      <c r="I110" s="16">
        <f>LCOE!M136+LCOE!I$20*IF(LCOE!I$14&gt;0,(LCOE!I$14+LCOE!H136),(LCOE!I$15+LCOE!I136))*K110*D110</f>
        <v>0</v>
      </c>
      <c r="J110" s="16">
        <f>LCOE!N136+LCOE!I$21*IF(LCOE!I$14&gt;0,G110,H110)*K110*D110</f>
        <v>0</v>
      </c>
      <c r="K110" s="15">
        <f>LCOE!O136+K109+K109*LCOE!I$22</f>
        <v>1</v>
      </c>
      <c r="L110" s="16">
        <f>LCOE!P136+LCOE!I$23*IF(LCOE!I$14&gt;0,G110,H110)*M110*D110</f>
        <v>0</v>
      </c>
      <c r="M110" s="15">
        <f>LCOE!Q136+M109+M109*LCOE!I$24</f>
        <v>1</v>
      </c>
      <c r="N110" s="15">
        <f>LCOE!R136+N109-N109*LCOE!I$25</f>
        <v>1</v>
      </c>
      <c r="O110" s="18">
        <f>LCOE!S136+LCOE!I$29</f>
        <v>313.75</v>
      </c>
      <c r="P110" s="12">
        <f>LCOE!T136+IF(A110&gt;=LCOE!I$30,100%,0%)</f>
        <v>1</v>
      </c>
      <c r="Q110" s="16">
        <f>LCOE!U136+O110/1000*IF(LCOE!I$14&gt;0,G110,H110)</f>
        <v>0</v>
      </c>
      <c r="R110" s="16">
        <f>LCOE!B136</f>
        <v>30</v>
      </c>
      <c r="S110" s="16">
        <f>LCOE!V136+Q110*P110*R110</f>
        <v>0</v>
      </c>
      <c r="T110" s="16">
        <f>LCOE!W136+LCOE!I$31</f>
        <v>0</v>
      </c>
      <c r="U110" s="16">
        <f>LCOE!X136+T110*IF(LCOE!I$14&gt;0,G110,H110)</f>
        <v>0</v>
      </c>
      <c r="V110" s="16">
        <f>LCOE!Y136+LCOE!I$32</f>
        <v>0</v>
      </c>
      <c r="W110" s="16">
        <f>LCOE!Z136+V110*IF(LCOE!I$14&gt;0,G110,H110)</f>
        <v>0</v>
      </c>
      <c r="X110" s="16">
        <f>LCOE!AA136+LCOE!I$34</f>
        <v>101</v>
      </c>
      <c r="Y110" s="16">
        <f t="shared" si="15"/>
        <v>0</v>
      </c>
      <c r="Z110" s="50">
        <f t="shared" si="18"/>
        <v>0</v>
      </c>
      <c r="AA110" s="50">
        <f t="shared" si="19"/>
        <v>0</v>
      </c>
      <c r="AB110" s="50">
        <f t="shared" si="20"/>
        <v>0</v>
      </c>
      <c r="AC110" s="50">
        <f t="shared" si="16"/>
        <v>0</v>
      </c>
      <c r="AD110" s="50">
        <f t="shared" ref="AD110:AD170" si="25">S110</f>
        <v>0</v>
      </c>
      <c r="AE110">
        <f t="shared" si="17"/>
        <v>30</v>
      </c>
      <c r="AF110" s="12">
        <f>LCOE!E136+LCOE!I$40</f>
        <v>0.1</v>
      </c>
      <c r="AG110">
        <f t="shared" ref="AG110:AG170" si="26">(1+AF110)^A110</f>
        <v>45.259255568176073</v>
      </c>
      <c r="AH110" s="16">
        <f t="shared" si="21"/>
        <v>0</v>
      </c>
      <c r="AI110" s="16">
        <f t="shared" si="22"/>
        <v>0</v>
      </c>
      <c r="AJ110" s="16">
        <f t="shared" si="23"/>
        <v>0</v>
      </c>
      <c r="AK110" s="16">
        <f t="shared" si="24"/>
        <v>0</v>
      </c>
      <c r="AL110" s="16">
        <f t="shared" ref="AL110:AL170" si="27">AD110/AG110</f>
        <v>0</v>
      </c>
      <c r="AM110" s="16">
        <f t="shared" si="14"/>
        <v>0</v>
      </c>
      <c r="AN110" s="16">
        <f>IF(LCOE!I$14&gt;0,G110,H110)/AG110</f>
        <v>0</v>
      </c>
    </row>
    <row r="111" spans="1:40">
      <c r="A111">
        <v>41</v>
      </c>
      <c r="C111" s="16">
        <f>LCOE!I137+IF(AND(LCOE!I$26&gt;0,A111&gt;=LCOE!I$26,A111&lt;=(LCOE!I$26+LCOE!I$27-1)),LCOE!I$42/LCOE!I$27,0)+IF(AND(D111=0,AE111&gt;=LCOE!I$16,COUNTIF(D86:D111,0)=LCOE!I$36),LCOE!I$35*LCOE!I$38,0)</f>
        <v>0</v>
      </c>
      <c r="D111" s="16">
        <f>IF(AE110&lt;LCOE!I$16,1,0)</f>
        <v>0</v>
      </c>
      <c r="E111" s="12">
        <f>LCOE!G137+IF(AND(A111&gt;=LCOE!I$26,A111&lt;=(LCOE!I$26+LCOE!I$27-1)),0,1)*IF(A111=LCOE!I$34,0,1)*D111</f>
        <v>0</v>
      </c>
      <c r="F111" s="12">
        <f>IF(F110&lt;LCOE!I$18,MIN(F110*(1+LCOE!I$19),LCOE!I$18),LCOE!I$18)+LCOE!J137</f>
        <v>0.9</v>
      </c>
      <c r="G111" s="16">
        <f>LCOE!K137+E111*F111*N111*(LCOE!I$14+LCOE!H137)*24*365*D111</f>
        <v>0</v>
      </c>
      <c r="H111" s="16">
        <f>LCOE!L137+F111*(LCOE!I$15+LCOE!I137)*E111*24*365*D111*N111</f>
        <v>0</v>
      </c>
      <c r="I111" s="16">
        <f>LCOE!M137+LCOE!I$20*IF(LCOE!I$14&gt;0,(LCOE!I$14+LCOE!H137),(LCOE!I$15+LCOE!I137))*K111*D111</f>
        <v>0</v>
      </c>
      <c r="J111" s="16">
        <f>LCOE!N137+LCOE!I$21*IF(LCOE!I$14&gt;0,G111,H111)*K111*D111</f>
        <v>0</v>
      </c>
      <c r="K111" s="15">
        <f>LCOE!O137+K110+K110*LCOE!I$22</f>
        <v>1</v>
      </c>
      <c r="L111" s="16">
        <f>LCOE!P137+LCOE!I$23*IF(LCOE!I$14&gt;0,G111,H111)*M111*D111</f>
        <v>0</v>
      </c>
      <c r="M111" s="15">
        <f>LCOE!Q137+M110+M110*LCOE!I$24</f>
        <v>1</v>
      </c>
      <c r="N111" s="15">
        <f>LCOE!R137+N110-N110*LCOE!I$25</f>
        <v>1</v>
      </c>
      <c r="O111" s="18">
        <f>LCOE!S137+LCOE!I$29</f>
        <v>313.75</v>
      </c>
      <c r="P111" s="12">
        <f>LCOE!T137+IF(A111&gt;=LCOE!I$30,100%,0%)</f>
        <v>1</v>
      </c>
      <c r="Q111" s="16">
        <f>LCOE!U137+O111/1000*IF(LCOE!I$14&gt;0,G111,H111)</f>
        <v>0</v>
      </c>
      <c r="R111" s="16">
        <f>LCOE!B137</f>
        <v>30</v>
      </c>
      <c r="S111" s="16">
        <f>LCOE!V137+Q111*P111*R111</f>
        <v>0</v>
      </c>
      <c r="T111" s="16">
        <f>LCOE!W137+LCOE!I$31</f>
        <v>0</v>
      </c>
      <c r="U111" s="16">
        <f>LCOE!X137+T111*IF(LCOE!I$14&gt;0,G111,H111)</f>
        <v>0</v>
      </c>
      <c r="V111" s="16">
        <f>LCOE!Y137+LCOE!I$32</f>
        <v>0</v>
      </c>
      <c r="W111" s="16">
        <f>LCOE!Z137+V111*IF(LCOE!I$14&gt;0,G111,H111)</f>
        <v>0</v>
      </c>
      <c r="X111" s="16">
        <f>LCOE!AA137+LCOE!I$34</f>
        <v>101</v>
      </c>
      <c r="Y111" s="16">
        <f t="shared" si="15"/>
        <v>0</v>
      </c>
      <c r="Z111" s="50">
        <f t="shared" si="18"/>
        <v>0</v>
      </c>
      <c r="AA111" s="50">
        <f t="shared" si="19"/>
        <v>0</v>
      </c>
      <c r="AB111" s="50">
        <f t="shared" si="20"/>
        <v>0</v>
      </c>
      <c r="AC111" s="50">
        <f t="shared" si="16"/>
        <v>0</v>
      </c>
      <c r="AD111" s="50">
        <f t="shared" si="25"/>
        <v>0</v>
      </c>
      <c r="AE111">
        <f t="shared" si="17"/>
        <v>30</v>
      </c>
      <c r="AF111" s="12">
        <f>LCOE!E137+LCOE!I$40</f>
        <v>0.1</v>
      </c>
      <c r="AG111">
        <f t="shared" si="26"/>
        <v>49.785181124993684</v>
      </c>
      <c r="AH111" s="16">
        <f t="shared" si="21"/>
        <v>0</v>
      </c>
      <c r="AI111" s="16">
        <f t="shared" si="22"/>
        <v>0</v>
      </c>
      <c r="AJ111" s="16">
        <f t="shared" si="23"/>
        <v>0</v>
      </c>
      <c r="AK111" s="16">
        <f t="shared" si="24"/>
        <v>0</v>
      </c>
      <c r="AL111" s="16">
        <f t="shared" si="27"/>
        <v>0</v>
      </c>
      <c r="AM111" s="16">
        <f t="shared" si="14"/>
        <v>0</v>
      </c>
      <c r="AN111" s="16">
        <f>IF(LCOE!I$14&gt;0,G111,H111)/AG111</f>
        <v>0</v>
      </c>
    </row>
    <row r="112" spans="1:40">
      <c r="A112">
        <v>42</v>
      </c>
      <c r="C112" s="16">
        <f>LCOE!I138+IF(AND(LCOE!I$26&gt;0,A112&gt;=LCOE!I$26,A112&lt;=(LCOE!I$26+LCOE!I$27-1)),LCOE!I$42/LCOE!I$27,0)+IF(AND(D112=0,AE112&gt;=LCOE!I$16,COUNTIF(D87:D112,0)=LCOE!I$36),LCOE!I$35*LCOE!I$38,0)</f>
        <v>0</v>
      </c>
      <c r="D112" s="16">
        <f>IF(AE111&lt;LCOE!I$16,1,0)</f>
        <v>0</v>
      </c>
      <c r="E112" s="12">
        <f>LCOE!G138+IF(AND(A112&gt;=LCOE!I$26,A112&lt;=(LCOE!I$26+LCOE!I$27-1)),0,1)*IF(A112=LCOE!I$34,0,1)*D112</f>
        <v>0</v>
      </c>
      <c r="F112" s="12">
        <f>IF(F111&lt;LCOE!I$18,MIN(F111*(1+LCOE!I$19),LCOE!I$18),LCOE!I$18)+LCOE!J138</f>
        <v>0.9</v>
      </c>
      <c r="G112" s="16">
        <f>LCOE!K138+E112*F112*N112*(LCOE!I$14+LCOE!H138)*24*365*D112</f>
        <v>0</v>
      </c>
      <c r="H112" s="16">
        <f>LCOE!L138+F112*(LCOE!I$15+LCOE!I138)*E112*24*365*D112*N112</f>
        <v>0</v>
      </c>
      <c r="I112" s="16">
        <f>LCOE!M138+LCOE!I$20*IF(LCOE!I$14&gt;0,(LCOE!I$14+LCOE!H138),(LCOE!I$15+LCOE!I138))*K112*D112</f>
        <v>0</v>
      </c>
      <c r="J112" s="16">
        <f>LCOE!N138+LCOE!I$21*IF(LCOE!I$14&gt;0,G112,H112)*K112*D112</f>
        <v>0</v>
      </c>
      <c r="K112" s="15">
        <f>LCOE!O138+K111+K111*LCOE!I$22</f>
        <v>1</v>
      </c>
      <c r="L112" s="16">
        <f>LCOE!P138+LCOE!I$23*IF(LCOE!I$14&gt;0,G112,H112)*M112*D112</f>
        <v>0</v>
      </c>
      <c r="M112" s="15">
        <f>LCOE!Q138+M111+M111*LCOE!I$24</f>
        <v>1</v>
      </c>
      <c r="N112" s="15">
        <f>LCOE!R138+N111-N111*LCOE!I$25</f>
        <v>1</v>
      </c>
      <c r="O112" s="18">
        <f>LCOE!S138+LCOE!I$29</f>
        <v>313.75</v>
      </c>
      <c r="P112" s="12">
        <f>LCOE!T138+IF(A112&gt;=LCOE!I$30,100%,0%)</f>
        <v>1</v>
      </c>
      <c r="Q112" s="16">
        <f>LCOE!U138+O112/1000*IF(LCOE!I$14&gt;0,G112,H112)</f>
        <v>0</v>
      </c>
      <c r="R112" s="16">
        <f>LCOE!B138</f>
        <v>30</v>
      </c>
      <c r="S112" s="16">
        <f>LCOE!V138+Q112*P112*R112</f>
        <v>0</v>
      </c>
      <c r="T112" s="16">
        <f>LCOE!W138+LCOE!I$31</f>
        <v>0</v>
      </c>
      <c r="U112" s="16">
        <f>LCOE!X138+T112*IF(LCOE!I$14&gt;0,G112,H112)</f>
        <v>0</v>
      </c>
      <c r="V112" s="16">
        <f>LCOE!Y138+LCOE!I$32</f>
        <v>0</v>
      </c>
      <c r="W112" s="16">
        <f>LCOE!Z138+V112*IF(LCOE!I$14&gt;0,G112,H112)</f>
        <v>0</v>
      </c>
      <c r="X112" s="16">
        <f>LCOE!AA138+LCOE!I$34</f>
        <v>101</v>
      </c>
      <c r="Y112" s="16">
        <f t="shared" si="15"/>
        <v>0</v>
      </c>
      <c r="Z112" s="50">
        <f t="shared" si="18"/>
        <v>0</v>
      </c>
      <c r="AA112" s="50">
        <f t="shared" si="19"/>
        <v>0</v>
      </c>
      <c r="AB112" s="50">
        <f t="shared" si="20"/>
        <v>0</v>
      </c>
      <c r="AC112" s="50">
        <f t="shared" si="16"/>
        <v>0</v>
      </c>
      <c r="AD112" s="50">
        <f t="shared" si="25"/>
        <v>0</v>
      </c>
      <c r="AE112">
        <f t="shared" si="17"/>
        <v>30</v>
      </c>
      <c r="AF112" s="12">
        <f>LCOE!E138+LCOE!I$40</f>
        <v>0.1</v>
      </c>
      <c r="AG112">
        <f t="shared" si="26"/>
        <v>54.763699237493057</v>
      </c>
      <c r="AH112" s="16">
        <f t="shared" si="21"/>
        <v>0</v>
      </c>
      <c r="AI112" s="16">
        <f t="shared" si="22"/>
        <v>0</v>
      </c>
      <c r="AJ112" s="16">
        <f t="shared" si="23"/>
        <v>0</v>
      </c>
      <c r="AK112" s="16">
        <f t="shared" si="24"/>
        <v>0</v>
      </c>
      <c r="AL112" s="16">
        <f t="shared" si="27"/>
        <v>0</v>
      </c>
      <c r="AM112" s="16">
        <f t="shared" si="14"/>
        <v>0</v>
      </c>
      <c r="AN112" s="16">
        <f>IF(LCOE!I$14&gt;0,G112,H112)/AG112</f>
        <v>0</v>
      </c>
    </row>
    <row r="113" spans="1:40">
      <c r="A113">
        <v>43</v>
      </c>
      <c r="C113" s="16">
        <f>LCOE!I139+IF(AND(LCOE!I$26&gt;0,A113&gt;=LCOE!I$26,A113&lt;=(LCOE!I$26+LCOE!I$27-1)),LCOE!I$42/LCOE!I$27,0)+IF(AND(D113=0,AE113&gt;=LCOE!I$16,COUNTIF(D88:D113,0)=LCOE!I$36),LCOE!I$35*LCOE!I$38,0)</f>
        <v>0</v>
      </c>
      <c r="D113" s="16">
        <f>IF(AE112&lt;LCOE!I$16,1,0)</f>
        <v>0</v>
      </c>
      <c r="E113" s="12">
        <f>LCOE!G139+IF(AND(A113&gt;=LCOE!I$26,A113&lt;=(LCOE!I$26+LCOE!I$27-1)),0,1)*IF(A113=LCOE!I$34,0,1)*D113</f>
        <v>0</v>
      </c>
      <c r="F113" s="12">
        <f>IF(F112&lt;LCOE!I$18,MIN(F112*(1+LCOE!I$19),LCOE!I$18),LCOE!I$18)+LCOE!J139</f>
        <v>0.9</v>
      </c>
      <c r="G113" s="16">
        <f>LCOE!K139+E113*F113*N113*(LCOE!I$14+LCOE!H139)*24*365*D113</f>
        <v>0</v>
      </c>
      <c r="H113" s="16">
        <f>LCOE!L139+F113*(LCOE!I$15+LCOE!I139)*E113*24*365*D113*N113</f>
        <v>0</v>
      </c>
      <c r="I113" s="16">
        <f>LCOE!M139+LCOE!I$20*IF(LCOE!I$14&gt;0,(LCOE!I$14+LCOE!H139),(LCOE!I$15+LCOE!I139))*K113*D113</f>
        <v>0</v>
      </c>
      <c r="J113" s="16">
        <f>LCOE!N139+LCOE!I$21*IF(LCOE!I$14&gt;0,G113,H113)*K113*D113</f>
        <v>0</v>
      </c>
      <c r="K113" s="15">
        <f>LCOE!O139+K112+K112*LCOE!I$22</f>
        <v>1</v>
      </c>
      <c r="L113" s="16">
        <f>LCOE!P139+LCOE!I$23*IF(LCOE!I$14&gt;0,G113,H113)*M113*D113</f>
        <v>0</v>
      </c>
      <c r="M113" s="15">
        <f>LCOE!Q139+M112+M112*LCOE!I$24</f>
        <v>1</v>
      </c>
      <c r="N113" s="15">
        <f>LCOE!R139+N112-N112*LCOE!I$25</f>
        <v>1</v>
      </c>
      <c r="O113" s="18">
        <f>LCOE!S139+LCOE!I$29</f>
        <v>313.75</v>
      </c>
      <c r="P113" s="12">
        <f>LCOE!T139+IF(A113&gt;=LCOE!I$30,100%,0%)</f>
        <v>1</v>
      </c>
      <c r="Q113" s="16">
        <f>LCOE!U139+O113/1000*IF(LCOE!I$14&gt;0,G113,H113)</f>
        <v>0</v>
      </c>
      <c r="R113" s="16">
        <f>LCOE!B139</f>
        <v>30</v>
      </c>
      <c r="S113" s="16">
        <f>LCOE!V139+Q113*P113*R113</f>
        <v>0</v>
      </c>
      <c r="T113" s="16">
        <f>LCOE!W139+LCOE!I$31</f>
        <v>0</v>
      </c>
      <c r="U113" s="16">
        <f>LCOE!X139+T113*IF(LCOE!I$14&gt;0,G113,H113)</f>
        <v>0</v>
      </c>
      <c r="V113" s="16">
        <f>LCOE!Y139+LCOE!I$32</f>
        <v>0</v>
      </c>
      <c r="W113" s="16">
        <f>LCOE!Z139+V113*IF(LCOE!I$14&gt;0,G113,H113)</f>
        <v>0</v>
      </c>
      <c r="X113" s="16">
        <f>LCOE!AA139+LCOE!I$34</f>
        <v>101</v>
      </c>
      <c r="Y113" s="16">
        <f t="shared" si="15"/>
        <v>0</v>
      </c>
      <c r="Z113" s="50">
        <f t="shared" si="18"/>
        <v>0</v>
      </c>
      <c r="AA113" s="50">
        <f t="shared" si="19"/>
        <v>0</v>
      </c>
      <c r="AB113" s="50">
        <f t="shared" si="20"/>
        <v>0</v>
      </c>
      <c r="AC113" s="50">
        <f t="shared" si="16"/>
        <v>0</v>
      </c>
      <c r="AD113" s="50">
        <f t="shared" si="25"/>
        <v>0</v>
      </c>
      <c r="AE113">
        <f t="shared" si="17"/>
        <v>30</v>
      </c>
      <c r="AF113" s="12">
        <f>LCOE!E139+LCOE!I$40</f>
        <v>0.1</v>
      </c>
      <c r="AG113">
        <f t="shared" si="26"/>
        <v>60.240069161242374</v>
      </c>
      <c r="AH113" s="16">
        <f t="shared" si="21"/>
        <v>0</v>
      </c>
      <c r="AI113" s="16">
        <f t="shared" si="22"/>
        <v>0</v>
      </c>
      <c r="AJ113" s="16">
        <f t="shared" si="23"/>
        <v>0</v>
      </c>
      <c r="AK113" s="16">
        <f t="shared" si="24"/>
        <v>0</v>
      </c>
      <c r="AL113" s="16">
        <f t="shared" si="27"/>
        <v>0</v>
      </c>
      <c r="AM113" s="16">
        <f t="shared" si="14"/>
        <v>0</v>
      </c>
      <c r="AN113" s="16">
        <f>IF(LCOE!I$14&gt;0,G113,H113)/AG113</f>
        <v>0</v>
      </c>
    </row>
    <row r="114" spans="1:40">
      <c r="A114">
        <v>44</v>
      </c>
      <c r="C114" s="16">
        <f>LCOE!I140+IF(AND(LCOE!I$26&gt;0,A114&gt;=LCOE!I$26,A114&lt;=(LCOE!I$26+LCOE!I$27-1)),LCOE!I$42/LCOE!I$27,0)+IF(AND(D114=0,AE114&gt;=LCOE!I$16,COUNTIF(D89:D114,0)=LCOE!I$36),LCOE!I$35*LCOE!I$38,0)</f>
        <v>0</v>
      </c>
      <c r="D114" s="16">
        <f>IF(AE113&lt;LCOE!I$16,1,0)</f>
        <v>0</v>
      </c>
      <c r="E114" s="12">
        <f>LCOE!G140+IF(AND(A114&gt;=LCOE!I$26,A114&lt;=(LCOE!I$26+LCOE!I$27-1)),0,1)*IF(A114=LCOE!I$34,0,1)*D114</f>
        <v>0</v>
      </c>
      <c r="F114" s="12">
        <f>IF(F113&lt;LCOE!I$18,MIN(F113*(1+LCOE!I$19),LCOE!I$18),LCOE!I$18)+LCOE!J140</f>
        <v>0.9</v>
      </c>
      <c r="G114" s="16">
        <f>LCOE!K140+E114*F114*N114*(LCOE!I$14+LCOE!H140)*24*365*D114</f>
        <v>0</v>
      </c>
      <c r="H114" s="16">
        <f>LCOE!L140+F114*(LCOE!I$15+LCOE!I140)*E114*24*365*D114*N114</f>
        <v>0</v>
      </c>
      <c r="I114" s="16">
        <f>LCOE!M140+LCOE!I$20*IF(LCOE!I$14&gt;0,(LCOE!I$14+LCOE!H140),(LCOE!I$15+LCOE!I140))*K114*D114</f>
        <v>0</v>
      </c>
      <c r="J114" s="16">
        <f>LCOE!N140+LCOE!I$21*IF(LCOE!I$14&gt;0,G114,H114)*K114*D114</f>
        <v>0</v>
      </c>
      <c r="K114" s="15">
        <f>LCOE!O140+K113+K113*LCOE!I$22</f>
        <v>1</v>
      </c>
      <c r="L114" s="16">
        <f>LCOE!P140+LCOE!I$23*IF(LCOE!I$14&gt;0,G114,H114)*M114*D114</f>
        <v>0</v>
      </c>
      <c r="M114" s="15">
        <f>LCOE!Q140+M113+M113*LCOE!I$24</f>
        <v>1</v>
      </c>
      <c r="N114" s="15">
        <f>LCOE!R140+N113-N113*LCOE!I$25</f>
        <v>1</v>
      </c>
      <c r="O114" s="18">
        <f>LCOE!S140+LCOE!I$29</f>
        <v>313.75</v>
      </c>
      <c r="P114" s="12">
        <f>LCOE!T140+IF(A114&gt;=LCOE!I$30,100%,0%)</f>
        <v>1</v>
      </c>
      <c r="Q114" s="16">
        <f>LCOE!U140+O114/1000*IF(LCOE!I$14&gt;0,G114,H114)</f>
        <v>0</v>
      </c>
      <c r="R114" s="16">
        <f>LCOE!B140</f>
        <v>30</v>
      </c>
      <c r="S114" s="16">
        <f>LCOE!V140+Q114*P114*R114</f>
        <v>0</v>
      </c>
      <c r="T114" s="16">
        <f>LCOE!W140+LCOE!I$31</f>
        <v>0</v>
      </c>
      <c r="U114" s="16">
        <f>LCOE!X140+T114*IF(LCOE!I$14&gt;0,G114,H114)</f>
        <v>0</v>
      </c>
      <c r="V114" s="16">
        <f>LCOE!Y140+LCOE!I$32</f>
        <v>0</v>
      </c>
      <c r="W114" s="16">
        <f>LCOE!Z140+V114*IF(LCOE!I$14&gt;0,G114,H114)</f>
        <v>0</v>
      </c>
      <c r="X114" s="16">
        <f>LCOE!AA140+LCOE!I$34</f>
        <v>101</v>
      </c>
      <c r="Y114" s="16">
        <f t="shared" si="15"/>
        <v>0</v>
      </c>
      <c r="Z114" s="50">
        <f t="shared" si="18"/>
        <v>0</v>
      </c>
      <c r="AA114" s="50">
        <f t="shared" si="19"/>
        <v>0</v>
      </c>
      <c r="AB114" s="50">
        <f t="shared" si="20"/>
        <v>0</v>
      </c>
      <c r="AC114" s="50">
        <f t="shared" si="16"/>
        <v>0</v>
      </c>
      <c r="AD114" s="50">
        <f t="shared" si="25"/>
        <v>0</v>
      </c>
      <c r="AE114">
        <f t="shared" si="17"/>
        <v>30</v>
      </c>
      <c r="AF114" s="12">
        <f>LCOE!E140+LCOE!I$40</f>
        <v>0.1</v>
      </c>
      <c r="AG114">
        <f t="shared" si="26"/>
        <v>66.26407607736661</v>
      </c>
      <c r="AH114" s="16">
        <f t="shared" si="21"/>
        <v>0</v>
      </c>
      <c r="AI114" s="16">
        <f t="shared" si="22"/>
        <v>0</v>
      </c>
      <c r="AJ114" s="16">
        <f t="shared" si="23"/>
        <v>0</v>
      </c>
      <c r="AK114" s="16">
        <f t="shared" si="24"/>
        <v>0</v>
      </c>
      <c r="AL114" s="16">
        <f t="shared" si="27"/>
        <v>0</v>
      </c>
      <c r="AM114" s="16">
        <f t="shared" si="14"/>
        <v>0</v>
      </c>
      <c r="AN114" s="16">
        <f>IF(LCOE!I$14&gt;0,G114,H114)/AG114</f>
        <v>0</v>
      </c>
    </row>
    <row r="115" spans="1:40">
      <c r="A115">
        <v>45</v>
      </c>
      <c r="C115" s="16">
        <f>LCOE!I141+IF(AND(LCOE!I$26&gt;0,A115&gt;=LCOE!I$26,A115&lt;=(LCOE!I$26+LCOE!I$27-1)),LCOE!I$42/LCOE!I$27,0)+IF(AND(D115=0,AE115&gt;=LCOE!I$16,COUNTIF(D90:D115,0)=LCOE!I$36),LCOE!I$35*LCOE!I$38,0)</f>
        <v>0</v>
      </c>
      <c r="D115" s="16">
        <f>IF(AE114&lt;LCOE!I$16,1,0)</f>
        <v>0</v>
      </c>
      <c r="E115" s="12">
        <f>LCOE!G141+IF(AND(A115&gt;=LCOE!I$26,A115&lt;=(LCOE!I$26+LCOE!I$27-1)),0,1)*IF(A115=LCOE!I$34,0,1)*D115</f>
        <v>0</v>
      </c>
      <c r="F115" s="12">
        <f>IF(F114&lt;LCOE!I$18,MIN(F114*(1+LCOE!I$19),LCOE!I$18),LCOE!I$18)+LCOE!J141</f>
        <v>0.9</v>
      </c>
      <c r="G115" s="16">
        <f>LCOE!K141+E115*F115*N115*(LCOE!I$14+LCOE!H141)*24*365*D115</f>
        <v>0</v>
      </c>
      <c r="H115" s="16">
        <f>LCOE!L141+F115*(LCOE!I$15+LCOE!I141)*E115*24*365*D115*N115</f>
        <v>0</v>
      </c>
      <c r="I115" s="16">
        <f>LCOE!M141+LCOE!I$20*IF(LCOE!I$14&gt;0,(LCOE!I$14+LCOE!H141),(LCOE!I$15+LCOE!I141))*K115*D115</f>
        <v>0</v>
      </c>
      <c r="J115" s="16">
        <f>LCOE!N141+LCOE!I$21*IF(LCOE!I$14&gt;0,G115,H115)*K115*D115</f>
        <v>0</v>
      </c>
      <c r="K115" s="15">
        <f>LCOE!O141+K114+K114*LCOE!I$22</f>
        <v>1</v>
      </c>
      <c r="L115" s="16">
        <f>LCOE!P141+LCOE!I$23*IF(LCOE!I$14&gt;0,G115,H115)*M115*D115</f>
        <v>0</v>
      </c>
      <c r="M115" s="15">
        <f>LCOE!Q141+M114+M114*LCOE!I$24</f>
        <v>1</v>
      </c>
      <c r="N115" s="15">
        <f>LCOE!R141+N114-N114*LCOE!I$25</f>
        <v>1</v>
      </c>
      <c r="O115" s="18">
        <f>LCOE!S141+LCOE!I$29</f>
        <v>313.75</v>
      </c>
      <c r="P115" s="12">
        <f>LCOE!T141+IF(A115&gt;=LCOE!I$30,100%,0%)</f>
        <v>1</v>
      </c>
      <c r="Q115" s="16">
        <f>LCOE!U141+O115/1000*IF(LCOE!I$14&gt;0,G115,H115)</f>
        <v>0</v>
      </c>
      <c r="R115" s="16">
        <f>LCOE!B141</f>
        <v>30</v>
      </c>
      <c r="S115" s="16">
        <f>LCOE!V141+Q115*P115*R115</f>
        <v>0</v>
      </c>
      <c r="T115" s="16">
        <f>LCOE!W141+LCOE!I$31</f>
        <v>0</v>
      </c>
      <c r="U115" s="16">
        <f>LCOE!X141+T115*IF(LCOE!I$14&gt;0,G115,H115)</f>
        <v>0</v>
      </c>
      <c r="V115" s="16">
        <f>LCOE!Y141+LCOE!I$32</f>
        <v>0</v>
      </c>
      <c r="W115" s="16">
        <f>LCOE!Z141+V115*IF(LCOE!I$14&gt;0,G115,H115)</f>
        <v>0</v>
      </c>
      <c r="X115" s="16">
        <f>LCOE!AA141+LCOE!I$34</f>
        <v>101</v>
      </c>
      <c r="Y115" s="16">
        <f t="shared" si="15"/>
        <v>0</v>
      </c>
      <c r="Z115" s="50">
        <f t="shared" si="18"/>
        <v>0</v>
      </c>
      <c r="AA115" s="50">
        <f t="shared" si="19"/>
        <v>0</v>
      </c>
      <c r="AB115" s="50">
        <f t="shared" si="20"/>
        <v>0</v>
      </c>
      <c r="AC115" s="50">
        <f t="shared" si="16"/>
        <v>0</v>
      </c>
      <c r="AD115" s="50">
        <f t="shared" si="25"/>
        <v>0</v>
      </c>
      <c r="AE115">
        <f t="shared" si="17"/>
        <v>30</v>
      </c>
      <c r="AF115" s="12">
        <f>LCOE!E141+LCOE!I$40</f>
        <v>0.1</v>
      </c>
      <c r="AG115">
        <f t="shared" si="26"/>
        <v>72.890483685103277</v>
      </c>
      <c r="AH115" s="16">
        <f t="shared" si="21"/>
        <v>0</v>
      </c>
      <c r="AI115" s="16">
        <f t="shared" si="22"/>
        <v>0</v>
      </c>
      <c r="AJ115" s="16">
        <f t="shared" si="23"/>
        <v>0</v>
      </c>
      <c r="AK115" s="16">
        <f t="shared" si="24"/>
        <v>0</v>
      </c>
      <c r="AL115" s="16">
        <f t="shared" si="27"/>
        <v>0</v>
      </c>
      <c r="AM115" s="16">
        <f t="shared" si="14"/>
        <v>0</v>
      </c>
      <c r="AN115" s="16">
        <f>IF(LCOE!I$14&gt;0,G115,H115)/AG115</f>
        <v>0</v>
      </c>
    </row>
    <row r="116" spans="1:40">
      <c r="A116">
        <v>46</v>
      </c>
      <c r="C116" s="16">
        <f>LCOE!I142+IF(AND(LCOE!I$26&gt;0,A116&gt;=LCOE!I$26,A116&lt;=(LCOE!I$26+LCOE!I$27-1)),LCOE!I$42/LCOE!I$27,0)+IF(AND(D116=0,AE116&gt;=LCOE!I$16,COUNTIF(D91:D116,0)=LCOE!I$36),LCOE!I$35*LCOE!I$38,0)</f>
        <v>0</v>
      </c>
      <c r="D116" s="16">
        <f>IF(AE115&lt;LCOE!I$16,1,0)</f>
        <v>0</v>
      </c>
      <c r="E116" s="12">
        <f>LCOE!G142+IF(AND(A116&gt;=LCOE!I$26,A116&lt;=(LCOE!I$26+LCOE!I$27-1)),0,1)*IF(A116=LCOE!I$34,0,1)*D116</f>
        <v>0</v>
      </c>
      <c r="F116" s="12">
        <f>IF(F115&lt;LCOE!I$18,MIN(F115*(1+LCOE!I$19),LCOE!I$18),LCOE!I$18)+LCOE!J142</f>
        <v>0.9</v>
      </c>
      <c r="G116" s="16">
        <f>LCOE!K142+E116*F116*N116*(LCOE!I$14+LCOE!H142)*24*365*D116</f>
        <v>0</v>
      </c>
      <c r="H116" s="16">
        <f>LCOE!L142+F116*(LCOE!I$15+LCOE!I142)*E116*24*365*D116*N116</f>
        <v>0</v>
      </c>
      <c r="I116" s="16">
        <f>LCOE!M142+LCOE!I$20*IF(LCOE!I$14&gt;0,(LCOE!I$14+LCOE!H142),(LCOE!I$15+LCOE!I142))*K116*D116</f>
        <v>0</v>
      </c>
      <c r="J116" s="16">
        <f>LCOE!N142+LCOE!I$21*IF(LCOE!I$14&gt;0,G116,H116)*K116*D116</f>
        <v>0</v>
      </c>
      <c r="K116" s="15">
        <f>LCOE!O142+K115+K115*LCOE!I$22</f>
        <v>1</v>
      </c>
      <c r="L116" s="16">
        <f>LCOE!P142+LCOE!I$23*IF(LCOE!I$14&gt;0,G116,H116)*M116*D116</f>
        <v>0</v>
      </c>
      <c r="M116" s="15">
        <f>LCOE!Q142+M115+M115*LCOE!I$24</f>
        <v>1</v>
      </c>
      <c r="N116" s="15">
        <f>LCOE!R142+N115-N115*LCOE!I$25</f>
        <v>1</v>
      </c>
      <c r="O116" s="18">
        <f>LCOE!S142+LCOE!I$29</f>
        <v>313.75</v>
      </c>
      <c r="P116" s="12">
        <f>LCOE!T142+IF(A116&gt;=LCOE!I$30,100%,0%)</f>
        <v>1</v>
      </c>
      <c r="Q116" s="16">
        <f>LCOE!U142+O116/1000*IF(LCOE!I$14&gt;0,G116,H116)</f>
        <v>0</v>
      </c>
      <c r="R116" s="16">
        <f>LCOE!B142</f>
        <v>30</v>
      </c>
      <c r="S116" s="16">
        <f>LCOE!V142+Q116*P116*R116</f>
        <v>0</v>
      </c>
      <c r="T116" s="16">
        <f>LCOE!W142+LCOE!I$31</f>
        <v>0</v>
      </c>
      <c r="U116" s="16">
        <f>LCOE!X142+T116*IF(LCOE!I$14&gt;0,G116,H116)</f>
        <v>0</v>
      </c>
      <c r="V116" s="16">
        <f>LCOE!Y142+LCOE!I$32</f>
        <v>0</v>
      </c>
      <c r="W116" s="16">
        <f>LCOE!Z142+V116*IF(LCOE!I$14&gt;0,G116,H116)</f>
        <v>0</v>
      </c>
      <c r="X116" s="16">
        <f>LCOE!AA142+LCOE!I$34</f>
        <v>101</v>
      </c>
      <c r="Y116" s="16">
        <f t="shared" si="15"/>
        <v>0</v>
      </c>
      <c r="Z116" s="50">
        <f t="shared" si="18"/>
        <v>0</v>
      </c>
      <c r="AA116" s="50">
        <f t="shared" si="19"/>
        <v>0</v>
      </c>
      <c r="AB116" s="50">
        <f t="shared" si="20"/>
        <v>0</v>
      </c>
      <c r="AC116" s="50">
        <f t="shared" si="16"/>
        <v>0</v>
      </c>
      <c r="AD116" s="50">
        <f t="shared" si="25"/>
        <v>0</v>
      </c>
      <c r="AE116">
        <f t="shared" si="17"/>
        <v>30</v>
      </c>
      <c r="AF116" s="12">
        <f>LCOE!E142+LCOE!I$40</f>
        <v>0.1</v>
      </c>
      <c r="AG116">
        <f t="shared" si="26"/>
        <v>80.179532053613613</v>
      </c>
      <c r="AH116" s="16">
        <f t="shared" si="21"/>
        <v>0</v>
      </c>
      <c r="AI116" s="16">
        <f t="shared" si="22"/>
        <v>0</v>
      </c>
      <c r="AJ116" s="16">
        <f t="shared" si="23"/>
        <v>0</v>
      </c>
      <c r="AK116" s="16">
        <f t="shared" si="24"/>
        <v>0</v>
      </c>
      <c r="AL116" s="16">
        <f t="shared" si="27"/>
        <v>0</v>
      </c>
      <c r="AM116" s="16">
        <f t="shared" si="14"/>
        <v>0</v>
      </c>
      <c r="AN116" s="16">
        <f>IF(LCOE!I$14&gt;0,G116,H116)/AG116</f>
        <v>0</v>
      </c>
    </row>
    <row r="117" spans="1:40">
      <c r="A117">
        <v>47</v>
      </c>
      <c r="C117" s="16">
        <f>LCOE!I143+IF(AND(LCOE!I$26&gt;0,A117&gt;=LCOE!I$26,A117&lt;=(LCOE!I$26+LCOE!I$27-1)),LCOE!I$42/LCOE!I$27,0)+IF(AND(D117=0,AE117&gt;=LCOE!I$16,COUNTIF(D92:D117,0)=LCOE!I$36),LCOE!I$35*LCOE!I$38,0)</f>
        <v>0</v>
      </c>
      <c r="D117" s="16">
        <f>IF(AE116&lt;LCOE!I$16,1,0)</f>
        <v>0</v>
      </c>
      <c r="E117" s="12">
        <f>LCOE!G143+IF(AND(A117&gt;=LCOE!I$26,A117&lt;=(LCOE!I$26+LCOE!I$27-1)),0,1)*IF(A117=LCOE!I$34,0,1)*D117</f>
        <v>0</v>
      </c>
      <c r="F117" s="12">
        <f>IF(F116&lt;LCOE!I$18,MIN(F116*(1+LCOE!I$19),LCOE!I$18),LCOE!I$18)+LCOE!J143</f>
        <v>0.9</v>
      </c>
      <c r="G117" s="16">
        <f>LCOE!K143+E117*F117*N117*(LCOE!I$14+LCOE!H143)*24*365*D117</f>
        <v>0</v>
      </c>
      <c r="H117" s="16">
        <f>LCOE!L143+F117*(LCOE!I$15+LCOE!I143)*E117*24*365*D117*N117</f>
        <v>0</v>
      </c>
      <c r="I117" s="16">
        <f>LCOE!M143+LCOE!I$20*IF(LCOE!I$14&gt;0,(LCOE!I$14+LCOE!H143),(LCOE!I$15+LCOE!I143))*K117*D117</f>
        <v>0</v>
      </c>
      <c r="J117" s="16">
        <f>LCOE!N143+LCOE!I$21*IF(LCOE!I$14&gt;0,G117,H117)*K117*D117</f>
        <v>0</v>
      </c>
      <c r="K117" s="15">
        <f>LCOE!O143+K116+K116*LCOE!I$22</f>
        <v>1</v>
      </c>
      <c r="L117" s="16">
        <f>LCOE!P143+LCOE!I$23*IF(LCOE!I$14&gt;0,G117,H117)*M117*D117</f>
        <v>0</v>
      </c>
      <c r="M117" s="15">
        <f>LCOE!Q143+M116+M116*LCOE!I$24</f>
        <v>1</v>
      </c>
      <c r="N117" s="15">
        <f>LCOE!R143+N116-N116*LCOE!I$25</f>
        <v>1</v>
      </c>
      <c r="O117" s="18">
        <f>LCOE!S143+LCOE!I$29</f>
        <v>313.75</v>
      </c>
      <c r="P117" s="12">
        <f>LCOE!T143+IF(A117&gt;=LCOE!I$30,100%,0%)</f>
        <v>1</v>
      </c>
      <c r="Q117" s="16">
        <f>LCOE!U143+O117/1000*IF(LCOE!I$14&gt;0,G117,H117)</f>
        <v>0</v>
      </c>
      <c r="R117" s="16">
        <f>LCOE!B143</f>
        <v>30</v>
      </c>
      <c r="S117" s="16">
        <f>LCOE!V143+Q117*P117*R117</f>
        <v>0</v>
      </c>
      <c r="T117" s="16">
        <f>LCOE!W143+LCOE!I$31</f>
        <v>0</v>
      </c>
      <c r="U117" s="16">
        <f>LCOE!X143+T117*IF(LCOE!I$14&gt;0,G117,H117)</f>
        <v>0</v>
      </c>
      <c r="V117" s="16">
        <f>LCOE!Y143+LCOE!I$32</f>
        <v>0</v>
      </c>
      <c r="W117" s="16">
        <f>LCOE!Z143+V117*IF(LCOE!I$14&gt;0,G117,H117)</f>
        <v>0</v>
      </c>
      <c r="X117" s="16">
        <f>LCOE!AA143+LCOE!I$34</f>
        <v>101</v>
      </c>
      <c r="Y117" s="16">
        <f t="shared" si="15"/>
        <v>0</v>
      </c>
      <c r="Z117" s="50">
        <f t="shared" si="18"/>
        <v>0</v>
      </c>
      <c r="AA117" s="50">
        <f t="shared" si="19"/>
        <v>0</v>
      </c>
      <c r="AB117" s="50">
        <f t="shared" si="20"/>
        <v>0</v>
      </c>
      <c r="AC117" s="50">
        <f t="shared" si="16"/>
        <v>0</v>
      </c>
      <c r="AD117" s="50">
        <f t="shared" si="25"/>
        <v>0</v>
      </c>
      <c r="AE117">
        <f t="shared" si="17"/>
        <v>30</v>
      </c>
      <c r="AF117" s="12">
        <f>LCOE!E143+LCOE!I$40</f>
        <v>0.1</v>
      </c>
      <c r="AG117">
        <f t="shared" si="26"/>
        <v>88.197485258974979</v>
      </c>
      <c r="AH117" s="16">
        <f t="shared" si="21"/>
        <v>0</v>
      </c>
      <c r="AI117" s="16">
        <f t="shared" si="22"/>
        <v>0</v>
      </c>
      <c r="AJ117" s="16">
        <f t="shared" si="23"/>
        <v>0</v>
      </c>
      <c r="AK117" s="16">
        <f t="shared" si="24"/>
        <v>0</v>
      </c>
      <c r="AL117" s="16">
        <f t="shared" si="27"/>
        <v>0</v>
      </c>
      <c r="AM117" s="16">
        <f t="shared" si="14"/>
        <v>0</v>
      </c>
      <c r="AN117" s="16">
        <f>IF(LCOE!I$14&gt;0,G117,H117)/AG117</f>
        <v>0</v>
      </c>
    </row>
    <row r="118" spans="1:40">
      <c r="A118">
        <v>48</v>
      </c>
      <c r="C118" s="16">
        <f>LCOE!I144+IF(AND(LCOE!I$26&gt;0,A118&gt;=LCOE!I$26,A118&lt;=(LCOE!I$26+LCOE!I$27-1)),LCOE!I$42/LCOE!I$27,0)+IF(AND(D118=0,AE118&gt;=LCOE!I$16,COUNTIF(D93:D118,0)=LCOE!I$36),LCOE!I$35*LCOE!I$38,0)</f>
        <v>0</v>
      </c>
      <c r="D118" s="16">
        <f>IF(AE117&lt;LCOE!I$16,1,0)</f>
        <v>0</v>
      </c>
      <c r="E118" s="12">
        <f>LCOE!G144+IF(AND(A118&gt;=LCOE!I$26,A118&lt;=(LCOE!I$26+LCOE!I$27-1)),0,1)*IF(A118=LCOE!I$34,0,1)*D118</f>
        <v>0</v>
      </c>
      <c r="F118" s="12">
        <f>IF(F117&lt;LCOE!I$18,MIN(F117*(1+LCOE!I$19),LCOE!I$18),LCOE!I$18)+LCOE!J144</f>
        <v>0.9</v>
      </c>
      <c r="G118" s="16">
        <f>LCOE!K144+E118*F118*N118*(LCOE!I$14+LCOE!H144)*24*365*D118</f>
        <v>0</v>
      </c>
      <c r="H118" s="16">
        <f>LCOE!L144+F118*(LCOE!I$15+LCOE!I144)*E118*24*365*D118*N118</f>
        <v>0</v>
      </c>
      <c r="I118" s="16">
        <f>LCOE!M144+LCOE!I$20*IF(LCOE!I$14&gt;0,(LCOE!I$14+LCOE!H144),(LCOE!I$15+LCOE!I144))*K118*D118</f>
        <v>0</v>
      </c>
      <c r="J118" s="16">
        <f>LCOE!N144+LCOE!I$21*IF(LCOE!I$14&gt;0,G118,H118)*K118*D118</f>
        <v>0</v>
      </c>
      <c r="K118" s="15">
        <f>LCOE!O144+K117+K117*LCOE!I$22</f>
        <v>1</v>
      </c>
      <c r="L118" s="16">
        <f>LCOE!P144+LCOE!I$23*IF(LCOE!I$14&gt;0,G118,H118)*M118*D118</f>
        <v>0</v>
      </c>
      <c r="M118" s="15">
        <f>LCOE!Q144+M117+M117*LCOE!I$24</f>
        <v>1</v>
      </c>
      <c r="N118" s="15">
        <f>LCOE!R144+N117-N117*LCOE!I$25</f>
        <v>1</v>
      </c>
      <c r="O118" s="18">
        <f>LCOE!S144+LCOE!I$29</f>
        <v>313.75</v>
      </c>
      <c r="P118" s="12">
        <f>LCOE!T144+IF(A118&gt;=LCOE!I$30,100%,0%)</f>
        <v>1</v>
      </c>
      <c r="Q118" s="16">
        <f>LCOE!U144+O118/1000*IF(LCOE!I$14&gt;0,G118,H118)</f>
        <v>0</v>
      </c>
      <c r="R118" s="16">
        <f>LCOE!B144</f>
        <v>30</v>
      </c>
      <c r="S118" s="16">
        <f>LCOE!V144+Q118*P118*R118</f>
        <v>0</v>
      </c>
      <c r="T118" s="16">
        <f>LCOE!W144+LCOE!I$31</f>
        <v>0</v>
      </c>
      <c r="U118" s="16">
        <f>LCOE!X144+T118*IF(LCOE!I$14&gt;0,G118,H118)</f>
        <v>0</v>
      </c>
      <c r="V118" s="16">
        <f>LCOE!Y144+LCOE!I$32</f>
        <v>0</v>
      </c>
      <c r="W118" s="16">
        <f>LCOE!Z144+V118*IF(LCOE!I$14&gt;0,G118,H118)</f>
        <v>0</v>
      </c>
      <c r="X118" s="16">
        <f>LCOE!AA144+LCOE!I$34</f>
        <v>101</v>
      </c>
      <c r="Y118" s="16">
        <f t="shared" si="15"/>
        <v>0</v>
      </c>
      <c r="Z118" s="50">
        <f t="shared" si="18"/>
        <v>0</v>
      </c>
      <c r="AA118" s="50">
        <f t="shared" si="19"/>
        <v>0</v>
      </c>
      <c r="AB118" s="50">
        <f t="shared" si="20"/>
        <v>0</v>
      </c>
      <c r="AC118" s="50">
        <f t="shared" si="16"/>
        <v>0</v>
      </c>
      <c r="AD118" s="50">
        <f t="shared" si="25"/>
        <v>0</v>
      </c>
      <c r="AE118">
        <f t="shared" si="17"/>
        <v>30</v>
      </c>
      <c r="AF118" s="12">
        <f>LCOE!E144+LCOE!I$40</f>
        <v>0.1</v>
      </c>
      <c r="AG118">
        <f t="shared" si="26"/>
        <v>97.017233784872474</v>
      </c>
      <c r="AH118" s="16">
        <f t="shared" si="21"/>
        <v>0</v>
      </c>
      <c r="AI118" s="16">
        <f t="shared" si="22"/>
        <v>0</v>
      </c>
      <c r="AJ118" s="16">
        <f t="shared" si="23"/>
        <v>0</v>
      </c>
      <c r="AK118" s="16">
        <f t="shared" si="24"/>
        <v>0</v>
      </c>
      <c r="AL118" s="16">
        <f t="shared" si="27"/>
        <v>0</v>
      </c>
      <c r="AM118" s="16">
        <f t="shared" si="14"/>
        <v>0</v>
      </c>
      <c r="AN118" s="16">
        <f>IF(LCOE!I$14&gt;0,G118,H118)/AG118</f>
        <v>0</v>
      </c>
    </row>
    <row r="119" spans="1:40">
      <c r="A119">
        <v>49</v>
      </c>
      <c r="C119" s="16">
        <f>LCOE!I145+IF(AND(LCOE!I$26&gt;0,A119&gt;=LCOE!I$26,A119&lt;=(LCOE!I$26+LCOE!I$27-1)),LCOE!I$42/LCOE!I$27,0)+IF(AND(D119=0,AE119&gt;=LCOE!I$16,COUNTIF(D94:D119,0)=LCOE!I$36),LCOE!I$35*LCOE!I$38,0)</f>
        <v>0</v>
      </c>
      <c r="D119" s="16">
        <f>IF(AE118&lt;LCOE!I$16,1,0)</f>
        <v>0</v>
      </c>
      <c r="E119" s="12">
        <f>LCOE!G145+IF(AND(A119&gt;=LCOE!I$26,A119&lt;=(LCOE!I$26+LCOE!I$27-1)),0,1)*IF(A119=LCOE!I$34,0,1)*D119</f>
        <v>0</v>
      </c>
      <c r="F119" s="12">
        <f>IF(F118&lt;LCOE!I$18,MIN(F118*(1+LCOE!I$19),LCOE!I$18),LCOE!I$18)+LCOE!J145</f>
        <v>0.9</v>
      </c>
      <c r="G119" s="16">
        <f>LCOE!K145+E119*F119*N119*(LCOE!I$14+LCOE!H145)*24*365*D119</f>
        <v>0</v>
      </c>
      <c r="H119" s="16">
        <f>LCOE!L145+F119*(LCOE!I$15+LCOE!I145)*E119*24*365*D119*N119</f>
        <v>0</v>
      </c>
      <c r="I119" s="16">
        <f>LCOE!M145+LCOE!I$20*IF(LCOE!I$14&gt;0,(LCOE!I$14+LCOE!H145),(LCOE!I$15+LCOE!I145))*K119*D119</f>
        <v>0</v>
      </c>
      <c r="J119" s="16">
        <f>LCOE!N145+LCOE!I$21*IF(LCOE!I$14&gt;0,G119,H119)*K119*D119</f>
        <v>0</v>
      </c>
      <c r="K119" s="15">
        <f>LCOE!O145+K118+K118*LCOE!I$22</f>
        <v>1</v>
      </c>
      <c r="L119" s="16">
        <f>LCOE!P145+LCOE!I$23*IF(LCOE!I$14&gt;0,G119,H119)*M119*D119</f>
        <v>0</v>
      </c>
      <c r="M119" s="15">
        <f>LCOE!Q145+M118+M118*LCOE!I$24</f>
        <v>1</v>
      </c>
      <c r="N119" s="15">
        <f>LCOE!R145+N118-N118*LCOE!I$25</f>
        <v>1</v>
      </c>
      <c r="O119" s="18">
        <f>LCOE!S145+LCOE!I$29</f>
        <v>313.75</v>
      </c>
      <c r="P119" s="12">
        <f>LCOE!T145+IF(A119&gt;=LCOE!I$30,100%,0%)</f>
        <v>1</v>
      </c>
      <c r="Q119" s="16">
        <f>LCOE!U145+O119/1000*IF(LCOE!I$14&gt;0,G119,H119)</f>
        <v>0</v>
      </c>
      <c r="R119" s="16">
        <f>LCOE!B145</f>
        <v>30</v>
      </c>
      <c r="S119" s="16">
        <f>LCOE!V145+Q119*P119*R119</f>
        <v>0</v>
      </c>
      <c r="T119" s="16">
        <f>LCOE!W145+LCOE!I$31</f>
        <v>0</v>
      </c>
      <c r="U119" s="16">
        <f>LCOE!X145+T119*IF(LCOE!I$14&gt;0,G119,H119)</f>
        <v>0</v>
      </c>
      <c r="V119" s="16">
        <f>LCOE!Y145+LCOE!I$32</f>
        <v>0</v>
      </c>
      <c r="W119" s="16">
        <f>LCOE!Z145+V119*IF(LCOE!I$14&gt;0,G119,H119)</f>
        <v>0</v>
      </c>
      <c r="X119" s="16">
        <f>LCOE!AA145+LCOE!I$34</f>
        <v>101</v>
      </c>
      <c r="Y119" s="16">
        <f t="shared" si="15"/>
        <v>0</v>
      </c>
      <c r="Z119" s="50">
        <f t="shared" si="18"/>
        <v>0</v>
      </c>
      <c r="AA119" s="50">
        <f t="shared" si="19"/>
        <v>0</v>
      </c>
      <c r="AB119" s="50">
        <f t="shared" si="20"/>
        <v>0</v>
      </c>
      <c r="AC119" s="50">
        <f t="shared" si="16"/>
        <v>0</v>
      </c>
      <c r="AD119" s="50">
        <f t="shared" si="25"/>
        <v>0</v>
      </c>
      <c r="AE119">
        <f t="shared" si="17"/>
        <v>30</v>
      </c>
      <c r="AF119" s="12">
        <f>LCOE!E145+LCOE!I$40</f>
        <v>0.1</v>
      </c>
      <c r="AG119">
        <f t="shared" si="26"/>
        <v>106.71895716335973</v>
      </c>
      <c r="AH119" s="16">
        <f t="shared" si="21"/>
        <v>0</v>
      </c>
      <c r="AI119" s="16">
        <f t="shared" si="22"/>
        <v>0</v>
      </c>
      <c r="AJ119" s="16">
        <f t="shared" si="23"/>
        <v>0</v>
      </c>
      <c r="AK119" s="16">
        <f t="shared" si="24"/>
        <v>0</v>
      </c>
      <c r="AL119" s="16">
        <f t="shared" si="27"/>
        <v>0</v>
      </c>
      <c r="AM119" s="16">
        <f t="shared" si="14"/>
        <v>0</v>
      </c>
      <c r="AN119" s="16">
        <f>IF(LCOE!I$14&gt;0,G119,H119)/AG119</f>
        <v>0</v>
      </c>
    </row>
    <row r="120" spans="1:40">
      <c r="A120">
        <v>50</v>
      </c>
      <c r="C120" s="16">
        <f>LCOE!I146+IF(AND(LCOE!I$26&gt;0,A120&gt;=LCOE!I$26,A120&lt;=(LCOE!I$26+LCOE!I$27-1)),LCOE!I$42/LCOE!I$27,0)+IF(AND(D120=0,AE120&gt;=LCOE!I$16,COUNTIF(D95:D120,0)=LCOE!I$36),LCOE!I$35*LCOE!I$38,0)</f>
        <v>0</v>
      </c>
      <c r="D120" s="16">
        <f>IF(AE119&lt;LCOE!I$16,1,0)</f>
        <v>0</v>
      </c>
      <c r="E120" s="12">
        <f>LCOE!G146+IF(AND(A120&gt;=LCOE!I$26,A120&lt;=(LCOE!I$26+LCOE!I$27-1)),0,1)*IF(A120=LCOE!I$34,0,1)*D120</f>
        <v>0</v>
      </c>
      <c r="F120" s="12">
        <f>IF(F119&lt;LCOE!I$18,MIN(F119*(1+LCOE!I$19),LCOE!I$18),LCOE!I$18)+LCOE!J146</f>
        <v>0.9</v>
      </c>
      <c r="G120" s="16">
        <f>LCOE!K146+E120*F120*N120*(LCOE!I$14+LCOE!H146)*24*365*D120</f>
        <v>0</v>
      </c>
      <c r="H120" s="16">
        <f>LCOE!L146+F120*(LCOE!I$15+LCOE!I146)*E120*24*365*D120*N120</f>
        <v>0</v>
      </c>
      <c r="I120" s="16">
        <f>LCOE!M146+LCOE!I$20*IF(LCOE!I$14&gt;0,(LCOE!I$14+LCOE!H146),(LCOE!I$15+LCOE!I146))*K120*D120</f>
        <v>0</v>
      </c>
      <c r="J120" s="16">
        <f>LCOE!N146+LCOE!I$21*IF(LCOE!I$14&gt;0,G120,H120)*K120*D120</f>
        <v>0</v>
      </c>
      <c r="K120" s="15">
        <f>LCOE!O146+K119+K119*LCOE!I$22</f>
        <v>1</v>
      </c>
      <c r="L120" s="16">
        <f>LCOE!P146+LCOE!I$23*IF(LCOE!I$14&gt;0,G120,H120)*M120*D120</f>
        <v>0</v>
      </c>
      <c r="M120" s="15">
        <f>LCOE!Q146+M119+M119*LCOE!I$24</f>
        <v>1</v>
      </c>
      <c r="N120" s="15">
        <f>LCOE!R146+N119-N119*LCOE!I$25</f>
        <v>1</v>
      </c>
      <c r="O120" s="18">
        <f>LCOE!S146+LCOE!I$29</f>
        <v>313.75</v>
      </c>
      <c r="P120" s="12">
        <f>LCOE!T146+IF(A120&gt;=LCOE!I$30,100%,0%)</f>
        <v>1</v>
      </c>
      <c r="Q120" s="16">
        <f>LCOE!U146+O120/1000*IF(LCOE!I$14&gt;0,G120,H120)</f>
        <v>0</v>
      </c>
      <c r="R120" s="16">
        <f>LCOE!B146</f>
        <v>30</v>
      </c>
      <c r="S120" s="16">
        <f>LCOE!V146+Q120*P120*R120</f>
        <v>0</v>
      </c>
      <c r="T120" s="16">
        <f>LCOE!W146+LCOE!I$31</f>
        <v>0</v>
      </c>
      <c r="U120" s="16">
        <f>LCOE!X146+T120*IF(LCOE!I$14&gt;0,G120,H120)</f>
        <v>0</v>
      </c>
      <c r="V120" s="16">
        <f>LCOE!Y146+LCOE!I$32</f>
        <v>0</v>
      </c>
      <c r="W120" s="16">
        <f>LCOE!Z146+V120*IF(LCOE!I$14&gt;0,G120,H120)</f>
        <v>0</v>
      </c>
      <c r="X120" s="16">
        <f>LCOE!AA146+LCOE!I$34</f>
        <v>101</v>
      </c>
      <c r="Y120" s="16">
        <f t="shared" si="15"/>
        <v>0</v>
      </c>
      <c r="Z120" s="50">
        <f t="shared" si="18"/>
        <v>0</v>
      </c>
      <c r="AA120" s="50">
        <f t="shared" si="19"/>
        <v>0</v>
      </c>
      <c r="AB120" s="50">
        <f t="shared" si="20"/>
        <v>0</v>
      </c>
      <c r="AC120" s="50">
        <f t="shared" si="16"/>
        <v>0</v>
      </c>
      <c r="AD120" s="50">
        <f t="shared" si="25"/>
        <v>0</v>
      </c>
      <c r="AE120">
        <f t="shared" si="17"/>
        <v>30</v>
      </c>
      <c r="AF120" s="12">
        <f>LCOE!E146+LCOE!I$40</f>
        <v>0.1</v>
      </c>
      <c r="AG120">
        <f t="shared" si="26"/>
        <v>117.39085287969571</v>
      </c>
      <c r="AH120" s="16">
        <f t="shared" si="21"/>
        <v>0</v>
      </c>
      <c r="AI120" s="16">
        <f t="shared" si="22"/>
        <v>0</v>
      </c>
      <c r="AJ120" s="16">
        <f t="shared" si="23"/>
        <v>0</v>
      </c>
      <c r="AK120" s="16">
        <f t="shared" si="24"/>
        <v>0</v>
      </c>
      <c r="AL120" s="16">
        <f t="shared" si="27"/>
        <v>0</v>
      </c>
      <c r="AM120" s="16">
        <f t="shared" si="14"/>
        <v>0</v>
      </c>
      <c r="AN120" s="16">
        <f>IF(LCOE!I$14&gt;0,G120,H120)/AG120</f>
        <v>0</v>
      </c>
    </row>
    <row r="121" spans="1:40">
      <c r="A121">
        <v>51</v>
      </c>
      <c r="C121" s="16">
        <f>LCOE!I147+IF(AND(LCOE!I$26&gt;0,A121&gt;=LCOE!I$26,A121&lt;=(LCOE!I$26+LCOE!I$27-1)),LCOE!I$42/LCOE!I$27,0)+IF(AND(D121=0,AE121&gt;=LCOE!I$16,COUNTIF(D96:D121,0)=LCOE!I$36),LCOE!I$35*LCOE!I$38,0)</f>
        <v>0</v>
      </c>
      <c r="D121" s="16">
        <f>IF(AE120&lt;LCOE!I$16,1,0)</f>
        <v>0</v>
      </c>
      <c r="E121" s="12">
        <f>LCOE!G147+IF(AND(A121&gt;=LCOE!I$26,A121&lt;=(LCOE!I$26+LCOE!I$27-1)),0,1)*IF(A121=LCOE!I$34,0,1)*D121</f>
        <v>0</v>
      </c>
      <c r="F121" s="12">
        <f>IF(F120&lt;LCOE!I$18,MIN(F120*(1+LCOE!I$19),LCOE!I$18),LCOE!I$18)+LCOE!J147</f>
        <v>0.9</v>
      </c>
      <c r="G121" s="16">
        <f>LCOE!K147+E121*F121*N121*(LCOE!I$14+LCOE!H147)*24*365*D121</f>
        <v>0</v>
      </c>
      <c r="H121" s="16">
        <f>LCOE!L147+F121*(LCOE!I$15+LCOE!I147)*E121*24*365*D121*N121</f>
        <v>0</v>
      </c>
      <c r="I121" s="16">
        <f>LCOE!M147+LCOE!I$20*IF(LCOE!I$14&gt;0,(LCOE!I$14+LCOE!H147),(LCOE!I$15+LCOE!I147))*K121*D121</f>
        <v>0</v>
      </c>
      <c r="J121" s="16">
        <f>LCOE!N147+LCOE!I$21*IF(LCOE!I$14&gt;0,G121,H121)*K121*D121</f>
        <v>0</v>
      </c>
      <c r="K121" s="15">
        <f>LCOE!O147+K120+K120*LCOE!I$22</f>
        <v>1</v>
      </c>
      <c r="L121" s="16">
        <f>LCOE!P147+LCOE!I$23*IF(LCOE!I$14&gt;0,G121,H121)*M121*D121</f>
        <v>0</v>
      </c>
      <c r="M121" s="15">
        <f>LCOE!Q147+M120+M120*LCOE!I$24</f>
        <v>1</v>
      </c>
      <c r="N121" s="15">
        <f>LCOE!R147+N120-N120*LCOE!I$25</f>
        <v>1</v>
      </c>
      <c r="O121" s="18">
        <f>LCOE!S147+LCOE!I$29</f>
        <v>313.75</v>
      </c>
      <c r="P121" s="12">
        <f>LCOE!T147+IF(A121&gt;=LCOE!I$30,100%,0%)</f>
        <v>1</v>
      </c>
      <c r="Q121" s="16">
        <f>LCOE!U147+O121/1000*IF(LCOE!I$14&gt;0,G121,H121)</f>
        <v>0</v>
      </c>
      <c r="R121" s="16">
        <f>LCOE!B147</f>
        <v>30</v>
      </c>
      <c r="S121" s="16">
        <f>LCOE!V147+Q121*P121*R121</f>
        <v>0</v>
      </c>
      <c r="T121" s="16">
        <f>LCOE!W147+LCOE!I$31</f>
        <v>0</v>
      </c>
      <c r="U121" s="16">
        <f>LCOE!X147+T121*IF(LCOE!I$14&gt;0,G121,H121)</f>
        <v>0</v>
      </c>
      <c r="V121" s="16">
        <f>LCOE!Y147+LCOE!I$32</f>
        <v>0</v>
      </c>
      <c r="W121" s="16">
        <f>LCOE!Z147+V121*IF(LCOE!I$14&gt;0,G121,H121)</f>
        <v>0</v>
      </c>
      <c r="X121" s="16">
        <f>LCOE!AA147+LCOE!I$34</f>
        <v>101</v>
      </c>
      <c r="Y121" s="16">
        <f t="shared" si="15"/>
        <v>0</v>
      </c>
      <c r="Z121" s="50">
        <f t="shared" si="18"/>
        <v>0</v>
      </c>
      <c r="AA121" s="50">
        <f t="shared" si="19"/>
        <v>0</v>
      </c>
      <c r="AB121" s="50">
        <f t="shared" si="20"/>
        <v>0</v>
      </c>
      <c r="AC121" s="50">
        <f t="shared" si="16"/>
        <v>0</v>
      </c>
      <c r="AD121" s="50">
        <f t="shared" si="25"/>
        <v>0</v>
      </c>
      <c r="AE121">
        <f t="shared" si="17"/>
        <v>30</v>
      </c>
      <c r="AF121" s="12">
        <f>LCOE!E147+LCOE!I$40</f>
        <v>0.1</v>
      </c>
      <c r="AG121">
        <f t="shared" si="26"/>
        <v>129.1299381676653</v>
      </c>
      <c r="AH121" s="16">
        <f t="shared" si="21"/>
        <v>0</v>
      </c>
      <c r="AI121" s="16">
        <f t="shared" si="22"/>
        <v>0</v>
      </c>
      <c r="AJ121" s="16">
        <f t="shared" si="23"/>
        <v>0</v>
      </c>
      <c r="AK121" s="16">
        <f t="shared" si="24"/>
        <v>0</v>
      </c>
      <c r="AL121" s="16">
        <f t="shared" si="27"/>
        <v>0</v>
      </c>
      <c r="AM121" s="16">
        <f t="shared" si="14"/>
        <v>0</v>
      </c>
      <c r="AN121" s="16">
        <f>IF(LCOE!I$14&gt;0,G121,H121)/AG121</f>
        <v>0</v>
      </c>
    </row>
    <row r="122" spans="1:40">
      <c r="A122">
        <v>52</v>
      </c>
      <c r="C122" s="16">
        <f>LCOE!I148+IF(AND(LCOE!I$26&gt;0,A122&gt;=LCOE!I$26,A122&lt;=(LCOE!I$26+LCOE!I$27-1)),LCOE!I$42/LCOE!I$27,0)+IF(AND(D122=0,AE122&gt;=LCOE!I$16,COUNTIF(D97:D122,0)=LCOE!I$36),LCOE!I$35*LCOE!I$38,0)</f>
        <v>0</v>
      </c>
      <c r="D122" s="16">
        <f>IF(AE121&lt;LCOE!I$16,1,0)</f>
        <v>0</v>
      </c>
      <c r="E122" s="12">
        <f>LCOE!G148+IF(AND(A122&gt;=LCOE!I$26,A122&lt;=(LCOE!I$26+LCOE!I$27-1)),0,1)*IF(A122=LCOE!I$34,0,1)*D122</f>
        <v>0</v>
      </c>
      <c r="F122" s="12">
        <f>IF(F121&lt;LCOE!I$18,MIN(F121*(1+LCOE!I$19),LCOE!I$18),LCOE!I$18)+LCOE!J148</f>
        <v>0.9</v>
      </c>
      <c r="G122" s="16">
        <f>LCOE!K148+E122*F122*N122*(LCOE!I$14+LCOE!H148)*24*365*D122</f>
        <v>0</v>
      </c>
      <c r="H122" s="16">
        <f>LCOE!L148+F122*(LCOE!I$15+LCOE!I148)*E122*24*365*D122*N122</f>
        <v>0</v>
      </c>
      <c r="I122" s="16">
        <f>LCOE!M148+LCOE!I$20*IF(LCOE!I$14&gt;0,(LCOE!I$14+LCOE!H148),(LCOE!I$15+LCOE!I148))*K122*D122</f>
        <v>0</v>
      </c>
      <c r="J122" s="16">
        <f>LCOE!N148+LCOE!I$21*IF(LCOE!I$14&gt;0,G122,H122)*K122*D122</f>
        <v>0</v>
      </c>
      <c r="K122" s="15">
        <f>LCOE!O148+K121+K121*LCOE!I$22</f>
        <v>1</v>
      </c>
      <c r="L122" s="16">
        <f>LCOE!P148+LCOE!I$23*IF(LCOE!I$14&gt;0,G122,H122)*M122*D122</f>
        <v>0</v>
      </c>
      <c r="M122" s="15">
        <f>LCOE!Q148+M121+M121*LCOE!I$24</f>
        <v>1</v>
      </c>
      <c r="N122" s="15">
        <f>LCOE!R148+N121-N121*LCOE!I$25</f>
        <v>1</v>
      </c>
      <c r="O122" s="18">
        <f>LCOE!S148+LCOE!I$29</f>
        <v>313.75</v>
      </c>
      <c r="P122" s="12">
        <f>LCOE!T148+IF(A122&gt;=LCOE!I$30,100%,0%)</f>
        <v>1</v>
      </c>
      <c r="Q122" s="16">
        <f>LCOE!U148+O122/1000*IF(LCOE!I$14&gt;0,G122,H122)</f>
        <v>0</v>
      </c>
      <c r="R122" s="16">
        <f>LCOE!B148</f>
        <v>30</v>
      </c>
      <c r="S122" s="16">
        <f>LCOE!V148+Q122*P122*R122</f>
        <v>0</v>
      </c>
      <c r="T122" s="16">
        <f>LCOE!W148+LCOE!I$31</f>
        <v>0</v>
      </c>
      <c r="U122" s="16">
        <f>LCOE!X148+T122*IF(LCOE!I$14&gt;0,G122,H122)</f>
        <v>0</v>
      </c>
      <c r="V122" s="16">
        <f>LCOE!Y148+LCOE!I$32</f>
        <v>0</v>
      </c>
      <c r="W122" s="16">
        <f>LCOE!Z148+V122*IF(LCOE!I$14&gt;0,G122,H122)</f>
        <v>0</v>
      </c>
      <c r="X122" s="16">
        <f>LCOE!AA148+LCOE!I$34</f>
        <v>101</v>
      </c>
      <c r="Y122" s="16">
        <f t="shared" si="15"/>
        <v>0</v>
      </c>
      <c r="Z122" s="50">
        <f t="shared" si="18"/>
        <v>0</v>
      </c>
      <c r="AA122" s="50">
        <f t="shared" si="19"/>
        <v>0</v>
      </c>
      <c r="AB122" s="50">
        <f t="shared" si="20"/>
        <v>0</v>
      </c>
      <c r="AC122" s="50">
        <f t="shared" si="16"/>
        <v>0</v>
      </c>
      <c r="AD122" s="50">
        <f t="shared" si="25"/>
        <v>0</v>
      </c>
      <c r="AE122">
        <f t="shared" si="17"/>
        <v>30</v>
      </c>
      <c r="AF122" s="12">
        <f>LCOE!E148+LCOE!I$40</f>
        <v>0.1</v>
      </c>
      <c r="AG122">
        <f t="shared" si="26"/>
        <v>142.04293198443185</v>
      </c>
      <c r="AH122" s="16">
        <f t="shared" si="21"/>
        <v>0</v>
      </c>
      <c r="AI122" s="16">
        <f t="shared" si="22"/>
        <v>0</v>
      </c>
      <c r="AJ122" s="16">
        <f t="shared" si="23"/>
        <v>0</v>
      </c>
      <c r="AK122" s="16">
        <f t="shared" si="24"/>
        <v>0</v>
      </c>
      <c r="AL122" s="16">
        <f t="shared" si="27"/>
        <v>0</v>
      </c>
      <c r="AM122" s="16">
        <f t="shared" si="14"/>
        <v>0</v>
      </c>
      <c r="AN122" s="16">
        <f>IF(LCOE!I$14&gt;0,G122,H122)/AG122</f>
        <v>0</v>
      </c>
    </row>
    <row r="123" spans="1:40">
      <c r="A123">
        <v>53</v>
      </c>
      <c r="C123" s="16">
        <f>LCOE!I149+IF(AND(LCOE!I$26&gt;0,A123&gt;=LCOE!I$26,A123&lt;=(LCOE!I$26+LCOE!I$27-1)),LCOE!I$42/LCOE!I$27,0)+IF(AND(D123=0,AE123&gt;=LCOE!I$16,COUNTIF(D98:D123,0)=LCOE!I$36),LCOE!I$35*LCOE!I$38,0)</f>
        <v>0</v>
      </c>
      <c r="D123" s="16">
        <f>IF(AE122&lt;LCOE!I$16,1,0)</f>
        <v>0</v>
      </c>
      <c r="E123" s="12">
        <f>LCOE!G149+IF(AND(A123&gt;=LCOE!I$26,A123&lt;=(LCOE!I$26+LCOE!I$27-1)),0,1)*IF(A123=LCOE!I$34,0,1)*D123</f>
        <v>0</v>
      </c>
      <c r="F123" s="12">
        <f>IF(F122&lt;LCOE!I$18,MIN(F122*(1+LCOE!I$19),LCOE!I$18),LCOE!I$18)+LCOE!J149</f>
        <v>0.9</v>
      </c>
      <c r="G123" s="16">
        <f>LCOE!K149+E123*F123*N123*(LCOE!I$14+LCOE!H149)*24*365*D123</f>
        <v>0</v>
      </c>
      <c r="H123" s="16">
        <f>LCOE!L149+F123*(LCOE!I$15+LCOE!I149)*E123*24*365*D123*N123</f>
        <v>0</v>
      </c>
      <c r="I123" s="16">
        <f>LCOE!M149+LCOE!I$20*IF(LCOE!I$14&gt;0,(LCOE!I$14+LCOE!H149),(LCOE!I$15+LCOE!I149))*K123*D123</f>
        <v>0</v>
      </c>
      <c r="J123" s="16">
        <f>LCOE!N149+LCOE!I$21*IF(LCOE!I$14&gt;0,G123,H123)*K123*D123</f>
        <v>0</v>
      </c>
      <c r="K123" s="15">
        <f>LCOE!O149+K122+K122*LCOE!I$22</f>
        <v>1</v>
      </c>
      <c r="L123" s="16">
        <f>LCOE!P149+LCOE!I$23*IF(LCOE!I$14&gt;0,G123,H123)*M123*D123</f>
        <v>0</v>
      </c>
      <c r="M123" s="15">
        <f>LCOE!Q149+M122+M122*LCOE!I$24</f>
        <v>1</v>
      </c>
      <c r="N123" s="15">
        <f>LCOE!R149+N122-N122*LCOE!I$25</f>
        <v>1</v>
      </c>
      <c r="O123" s="18">
        <f>LCOE!S149+LCOE!I$29</f>
        <v>313.75</v>
      </c>
      <c r="P123" s="12">
        <f>LCOE!T149+IF(A123&gt;=LCOE!I$30,100%,0%)</f>
        <v>1</v>
      </c>
      <c r="Q123" s="16">
        <f>LCOE!U149+O123/1000*IF(LCOE!I$14&gt;0,G123,H123)</f>
        <v>0</v>
      </c>
      <c r="R123" s="16">
        <f>LCOE!B149</f>
        <v>30</v>
      </c>
      <c r="S123" s="16">
        <f>LCOE!V149+Q123*P123*R123</f>
        <v>0</v>
      </c>
      <c r="T123" s="16">
        <f>LCOE!W149+LCOE!I$31</f>
        <v>0</v>
      </c>
      <c r="U123" s="16">
        <f>LCOE!X149+T123*IF(LCOE!I$14&gt;0,G123,H123)</f>
        <v>0</v>
      </c>
      <c r="V123" s="16">
        <f>LCOE!Y149+LCOE!I$32</f>
        <v>0</v>
      </c>
      <c r="W123" s="16">
        <f>LCOE!Z149+V123*IF(LCOE!I$14&gt;0,G123,H123)</f>
        <v>0</v>
      </c>
      <c r="X123" s="16">
        <f>LCOE!AA149+LCOE!I$34</f>
        <v>101</v>
      </c>
      <c r="Y123" s="16">
        <f t="shared" si="15"/>
        <v>0</v>
      </c>
      <c r="Z123" s="50">
        <f t="shared" si="18"/>
        <v>0</v>
      </c>
      <c r="AA123" s="50">
        <f t="shared" si="19"/>
        <v>0</v>
      </c>
      <c r="AB123" s="50">
        <f t="shared" si="20"/>
        <v>0</v>
      </c>
      <c r="AC123" s="50">
        <f t="shared" si="16"/>
        <v>0</v>
      </c>
      <c r="AD123" s="50">
        <f t="shared" si="25"/>
        <v>0</v>
      </c>
      <c r="AE123">
        <f t="shared" si="17"/>
        <v>30</v>
      </c>
      <c r="AF123" s="12">
        <f>LCOE!E149+LCOE!I$40</f>
        <v>0.1</v>
      </c>
      <c r="AG123">
        <f t="shared" si="26"/>
        <v>156.24722518287504</v>
      </c>
      <c r="AH123" s="16">
        <f t="shared" si="21"/>
        <v>0</v>
      </c>
      <c r="AI123" s="16">
        <f t="shared" si="22"/>
        <v>0</v>
      </c>
      <c r="AJ123" s="16">
        <f t="shared" si="23"/>
        <v>0</v>
      </c>
      <c r="AK123" s="16">
        <f t="shared" si="24"/>
        <v>0</v>
      </c>
      <c r="AL123" s="16">
        <f t="shared" si="27"/>
        <v>0</v>
      </c>
      <c r="AM123" s="16">
        <f t="shared" si="14"/>
        <v>0</v>
      </c>
      <c r="AN123" s="16">
        <f>IF(LCOE!I$14&gt;0,G123,H123)/AG123</f>
        <v>0</v>
      </c>
    </row>
    <row r="124" spans="1:40">
      <c r="A124">
        <v>54</v>
      </c>
      <c r="C124" s="16">
        <f>LCOE!I150+IF(AND(LCOE!I$26&gt;0,A124&gt;=LCOE!I$26,A124&lt;=(LCOE!I$26+LCOE!I$27-1)),LCOE!I$42/LCOE!I$27,0)+IF(AND(D124=0,AE124&gt;=LCOE!I$16,COUNTIF(D99:D124,0)=LCOE!I$36),LCOE!I$35*LCOE!I$38,0)</f>
        <v>0</v>
      </c>
      <c r="D124" s="16">
        <f>IF(AE123&lt;LCOE!I$16,1,0)</f>
        <v>0</v>
      </c>
      <c r="E124" s="12">
        <f>LCOE!G150+IF(AND(A124&gt;=LCOE!I$26,A124&lt;=(LCOE!I$26+LCOE!I$27-1)),0,1)*IF(A124=LCOE!I$34,0,1)*D124</f>
        <v>0</v>
      </c>
      <c r="F124" s="12">
        <f>IF(F123&lt;LCOE!I$18,MIN(F123*(1+LCOE!I$19),LCOE!I$18),LCOE!I$18)+LCOE!J150</f>
        <v>0.9</v>
      </c>
      <c r="G124" s="16">
        <f>LCOE!K150+E124*F124*N124*(LCOE!I$14+LCOE!H150)*24*365*D124</f>
        <v>0</v>
      </c>
      <c r="H124" s="16">
        <f>LCOE!L150+F124*(LCOE!I$15+LCOE!I150)*E124*24*365*D124*N124</f>
        <v>0</v>
      </c>
      <c r="I124" s="16">
        <f>LCOE!M150+LCOE!I$20*IF(LCOE!I$14&gt;0,(LCOE!I$14+LCOE!H150),(LCOE!I$15+LCOE!I150))*K124*D124</f>
        <v>0</v>
      </c>
      <c r="J124" s="16">
        <f>LCOE!N150+LCOE!I$21*IF(LCOE!I$14&gt;0,G124,H124)*K124*D124</f>
        <v>0</v>
      </c>
      <c r="K124" s="15">
        <f>LCOE!O150+K123+K123*LCOE!I$22</f>
        <v>1</v>
      </c>
      <c r="L124" s="16">
        <f>LCOE!P150+LCOE!I$23*IF(LCOE!I$14&gt;0,G124,H124)*M124*D124</f>
        <v>0</v>
      </c>
      <c r="M124" s="15">
        <f>LCOE!Q150+M123+M123*LCOE!I$24</f>
        <v>1</v>
      </c>
      <c r="N124" s="15">
        <f>LCOE!R150+N123-N123*LCOE!I$25</f>
        <v>1</v>
      </c>
      <c r="O124" s="18">
        <f>LCOE!S150+LCOE!I$29</f>
        <v>313.75</v>
      </c>
      <c r="P124" s="12">
        <f>LCOE!T150+IF(A124&gt;=LCOE!I$30,100%,0%)</f>
        <v>1</v>
      </c>
      <c r="Q124" s="16">
        <f>LCOE!U150+O124/1000*IF(LCOE!I$14&gt;0,G124,H124)</f>
        <v>0</v>
      </c>
      <c r="R124" s="16">
        <f>LCOE!B150</f>
        <v>30</v>
      </c>
      <c r="S124" s="16">
        <f>LCOE!V150+Q124*P124*R124</f>
        <v>0</v>
      </c>
      <c r="T124" s="16">
        <f>LCOE!W150+LCOE!I$31</f>
        <v>0</v>
      </c>
      <c r="U124" s="16">
        <f>LCOE!X150+T124*IF(LCOE!I$14&gt;0,G124,H124)</f>
        <v>0</v>
      </c>
      <c r="V124" s="16">
        <f>LCOE!Y150+LCOE!I$32</f>
        <v>0</v>
      </c>
      <c r="W124" s="16">
        <f>LCOE!Z150+V124*IF(LCOE!I$14&gt;0,G124,H124)</f>
        <v>0</v>
      </c>
      <c r="X124" s="16">
        <f>LCOE!AA150+LCOE!I$34</f>
        <v>101</v>
      </c>
      <c r="Y124" s="16">
        <f t="shared" si="15"/>
        <v>0</v>
      </c>
      <c r="Z124" s="50">
        <f t="shared" si="18"/>
        <v>0</v>
      </c>
      <c r="AA124" s="50">
        <f t="shared" si="19"/>
        <v>0</v>
      </c>
      <c r="AB124" s="50">
        <f t="shared" si="20"/>
        <v>0</v>
      </c>
      <c r="AC124" s="50">
        <f t="shared" si="16"/>
        <v>0</v>
      </c>
      <c r="AD124" s="50">
        <f t="shared" si="25"/>
        <v>0</v>
      </c>
      <c r="AE124">
        <f t="shared" si="17"/>
        <v>30</v>
      </c>
      <c r="AF124" s="12">
        <f>LCOE!E150+LCOE!I$40</f>
        <v>0.1</v>
      </c>
      <c r="AG124">
        <f t="shared" si="26"/>
        <v>171.87194770116255</v>
      </c>
      <c r="AH124" s="16">
        <f t="shared" si="21"/>
        <v>0</v>
      </c>
      <c r="AI124" s="16">
        <f t="shared" si="22"/>
        <v>0</v>
      </c>
      <c r="AJ124" s="16">
        <f t="shared" si="23"/>
        <v>0</v>
      </c>
      <c r="AK124" s="16">
        <f t="shared" si="24"/>
        <v>0</v>
      </c>
      <c r="AL124" s="16">
        <f t="shared" si="27"/>
        <v>0</v>
      </c>
      <c r="AM124" s="16">
        <f t="shared" si="14"/>
        <v>0</v>
      </c>
      <c r="AN124" s="16">
        <f>IF(LCOE!I$14&gt;0,G124,H124)/AG124</f>
        <v>0</v>
      </c>
    </row>
    <row r="125" spans="1:40">
      <c r="A125">
        <v>55</v>
      </c>
      <c r="C125" s="16">
        <f>LCOE!I151+IF(AND(LCOE!I$26&gt;0,A125&gt;=LCOE!I$26,A125&lt;=(LCOE!I$26+LCOE!I$27-1)),LCOE!I$42/LCOE!I$27,0)+IF(AND(D125=0,AE125&gt;=LCOE!I$16,COUNTIF(D100:D125,0)=LCOE!I$36),LCOE!I$35*LCOE!I$38,0)</f>
        <v>0</v>
      </c>
      <c r="D125" s="16">
        <f>IF(AE124&lt;LCOE!I$16,1,0)</f>
        <v>0</v>
      </c>
      <c r="E125" s="12">
        <f>LCOE!G151+IF(AND(A125&gt;=LCOE!I$26,A125&lt;=(LCOE!I$26+LCOE!I$27-1)),0,1)*IF(A125=LCOE!I$34,0,1)*D125</f>
        <v>0</v>
      </c>
      <c r="F125" s="12">
        <f>IF(F124&lt;LCOE!I$18,MIN(F124*(1+LCOE!I$19),LCOE!I$18),LCOE!I$18)+LCOE!J151</f>
        <v>0.9</v>
      </c>
      <c r="G125" s="16">
        <f>LCOE!K151+E125*F125*N125*(LCOE!I$14+LCOE!H151)*24*365*D125</f>
        <v>0</v>
      </c>
      <c r="H125" s="16">
        <f>LCOE!L151+F125*(LCOE!I$15+LCOE!I151)*E125*24*365*D125*N125</f>
        <v>0</v>
      </c>
      <c r="I125" s="16">
        <f>LCOE!M151+LCOE!I$20*IF(LCOE!I$14&gt;0,(LCOE!I$14+LCOE!H151),(LCOE!I$15+LCOE!I151))*K125*D125</f>
        <v>0</v>
      </c>
      <c r="J125" s="16">
        <f>LCOE!N151+LCOE!I$21*IF(LCOE!I$14&gt;0,G125,H125)*K125*D125</f>
        <v>0</v>
      </c>
      <c r="K125" s="15">
        <f>LCOE!O151+K124+K124*LCOE!I$22</f>
        <v>1</v>
      </c>
      <c r="L125" s="16">
        <f>LCOE!P151+LCOE!I$23*IF(LCOE!I$14&gt;0,G125,H125)*M125*D125</f>
        <v>0</v>
      </c>
      <c r="M125" s="15">
        <f>LCOE!Q151+M124+M124*LCOE!I$24</f>
        <v>1</v>
      </c>
      <c r="N125" s="15">
        <f>LCOE!R151+N124-N124*LCOE!I$25</f>
        <v>1</v>
      </c>
      <c r="O125" s="18">
        <f>LCOE!S151+LCOE!I$29</f>
        <v>313.75</v>
      </c>
      <c r="P125" s="12">
        <f>LCOE!T151+IF(A125&gt;=LCOE!I$30,100%,0%)</f>
        <v>1</v>
      </c>
      <c r="Q125" s="16">
        <f>LCOE!U151+O125/1000*IF(LCOE!I$14&gt;0,G125,H125)</f>
        <v>0</v>
      </c>
      <c r="R125" s="16">
        <f>LCOE!B151</f>
        <v>30</v>
      </c>
      <c r="S125" s="16">
        <f>LCOE!V151+Q125*P125*R125</f>
        <v>0</v>
      </c>
      <c r="T125" s="16">
        <f>LCOE!W151+LCOE!I$31</f>
        <v>0</v>
      </c>
      <c r="U125" s="16">
        <f>LCOE!X151+T125*IF(LCOE!I$14&gt;0,G125,H125)</f>
        <v>0</v>
      </c>
      <c r="V125" s="16">
        <f>LCOE!Y151+LCOE!I$32</f>
        <v>0</v>
      </c>
      <c r="W125" s="16">
        <f>LCOE!Z151+V125*IF(LCOE!I$14&gt;0,G125,H125)</f>
        <v>0</v>
      </c>
      <c r="X125" s="16">
        <f>LCOE!AA151+LCOE!I$34</f>
        <v>101</v>
      </c>
      <c r="Y125" s="16">
        <f t="shared" si="15"/>
        <v>0</v>
      </c>
      <c r="Z125" s="50">
        <f t="shared" si="18"/>
        <v>0</v>
      </c>
      <c r="AA125" s="50">
        <f t="shared" si="19"/>
        <v>0</v>
      </c>
      <c r="AB125" s="50">
        <f t="shared" si="20"/>
        <v>0</v>
      </c>
      <c r="AC125" s="50">
        <f t="shared" si="16"/>
        <v>0</v>
      </c>
      <c r="AD125" s="50">
        <f t="shared" si="25"/>
        <v>0</v>
      </c>
      <c r="AE125">
        <f t="shared" si="17"/>
        <v>30</v>
      </c>
      <c r="AF125" s="12">
        <f>LCOE!E151+LCOE!I$40</f>
        <v>0.1</v>
      </c>
      <c r="AG125">
        <f t="shared" si="26"/>
        <v>189.05914247127885</v>
      </c>
      <c r="AH125" s="16">
        <f t="shared" si="21"/>
        <v>0</v>
      </c>
      <c r="AI125" s="16">
        <f t="shared" si="22"/>
        <v>0</v>
      </c>
      <c r="AJ125" s="16">
        <f t="shared" si="23"/>
        <v>0</v>
      </c>
      <c r="AK125" s="16">
        <f t="shared" si="24"/>
        <v>0</v>
      </c>
      <c r="AL125" s="16">
        <f t="shared" si="27"/>
        <v>0</v>
      </c>
      <c r="AM125" s="16">
        <f t="shared" si="14"/>
        <v>0</v>
      </c>
      <c r="AN125" s="16">
        <f>IF(LCOE!I$14&gt;0,G125,H125)/AG125</f>
        <v>0</v>
      </c>
    </row>
    <row r="126" spans="1:40">
      <c r="A126">
        <v>56</v>
      </c>
      <c r="C126" s="16">
        <f>LCOE!I152+IF(AND(LCOE!I$26&gt;0,A126&gt;=LCOE!I$26,A126&lt;=(LCOE!I$26+LCOE!I$27-1)),LCOE!I$42/LCOE!I$27,0)+IF(AND(D126=0,AE126&gt;=LCOE!I$16,COUNTIF(D101:D126,0)=LCOE!I$36),LCOE!I$35*LCOE!I$38,0)</f>
        <v>0</v>
      </c>
      <c r="D126" s="16">
        <f>IF(AE125&lt;LCOE!I$16,1,0)</f>
        <v>0</v>
      </c>
      <c r="E126" s="12">
        <f>LCOE!G152+IF(AND(A126&gt;=LCOE!I$26,A126&lt;=(LCOE!I$26+LCOE!I$27-1)),0,1)*IF(A126=LCOE!I$34,0,1)*D126</f>
        <v>0</v>
      </c>
      <c r="F126" s="12">
        <f>IF(F125&lt;LCOE!I$18,MIN(F125*(1+LCOE!I$19),LCOE!I$18),LCOE!I$18)+LCOE!J152</f>
        <v>0.9</v>
      </c>
      <c r="G126" s="16">
        <f>LCOE!K152+E126*F126*N126*(LCOE!I$14+LCOE!H152)*24*365*D126</f>
        <v>0</v>
      </c>
      <c r="H126" s="16">
        <f>LCOE!L152+F126*(LCOE!I$15+LCOE!I152)*E126*24*365*D126*N126</f>
        <v>0</v>
      </c>
      <c r="I126" s="16">
        <f>LCOE!M152+LCOE!I$20*IF(LCOE!I$14&gt;0,(LCOE!I$14+LCOE!H152),(LCOE!I$15+LCOE!I152))*K126*D126</f>
        <v>0</v>
      </c>
      <c r="J126" s="16">
        <f>LCOE!N152+LCOE!I$21*IF(LCOE!I$14&gt;0,G126,H126)*K126*D126</f>
        <v>0</v>
      </c>
      <c r="K126" s="15">
        <f>LCOE!O152+K125+K125*LCOE!I$22</f>
        <v>1</v>
      </c>
      <c r="L126" s="16">
        <f>LCOE!P152+LCOE!I$23*IF(LCOE!I$14&gt;0,G126,H126)*M126*D126</f>
        <v>0</v>
      </c>
      <c r="M126" s="15">
        <f>LCOE!Q152+M125+M125*LCOE!I$24</f>
        <v>1</v>
      </c>
      <c r="N126" s="15">
        <f>LCOE!R152+N125-N125*LCOE!I$25</f>
        <v>1</v>
      </c>
      <c r="O126" s="18">
        <f>LCOE!S152+LCOE!I$29</f>
        <v>313.75</v>
      </c>
      <c r="P126" s="12">
        <f>LCOE!T152+IF(A126&gt;=LCOE!I$30,100%,0%)</f>
        <v>1</v>
      </c>
      <c r="Q126" s="16">
        <f>LCOE!U152+O126/1000*IF(LCOE!I$14&gt;0,G126,H126)</f>
        <v>0</v>
      </c>
      <c r="R126" s="16">
        <f>LCOE!B152</f>
        <v>30</v>
      </c>
      <c r="S126" s="16">
        <f>LCOE!V152+Q126*P126*R126</f>
        <v>0</v>
      </c>
      <c r="T126" s="16">
        <f>LCOE!W152+LCOE!I$31</f>
        <v>0</v>
      </c>
      <c r="U126" s="16">
        <f>LCOE!X152+T126*IF(LCOE!I$14&gt;0,G126,H126)</f>
        <v>0</v>
      </c>
      <c r="V126" s="16">
        <f>LCOE!Y152+LCOE!I$32</f>
        <v>0</v>
      </c>
      <c r="W126" s="16">
        <f>LCOE!Z152+V126*IF(LCOE!I$14&gt;0,G126,H126)</f>
        <v>0</v>
      </c>
      <c r="X126" s="16">
        <f>LCOE!AA152+LCOE!I$34</f>
        <v>101</v>
      </c>
      <c r="Y126" s="16">
        <f t="shared" si="15"/>
        <v>0</v>
      </c>
      <c r="Z126" s="50">
        <f t="shared" si="18"/>
        <v>0</v>
      </c>
      <c r="AA126" s="50">
        <f t="shared" si="19"/>
        <v>0</v>
      </c>
      <c r="AB126" s="50">
        <f t="shared" si="20"/>
        <v>0</v>
      </c>
      <c r="AC126" s="50">
        <f t="shared" si="16"/>
        <v>0</v>
      </c>
      <c r="AD126" s="50">
        <f t="shared" si="25"/>
        <v>0</v>
      </c>
      <c r="AE126">
        <f t="shared" si="17"/>
        <v>30</v>
      </c>
      <c r="AF126" s="12">
        <f>LCOE!E152+LCOE!I$40</f>
        <v>0.1</v>
      </c>
      <c r="AG126">
        <f t="shared" si="26"/>
        <v>207.96505671840669</v>
      </c>
      <c r="AH126" s="16">
        <f t="shared" si="21"/>
        <v>0</v>
      </c>
      <c r="AI126" s="16">
        <f t="shared" si="22"/>
        <v>0</v>
      </c>
      <c r="AJ126" s="16">
        <f t="shared" si="23"/>
        <v>0</v>
      </c>
      <c r="AK126" s="16">
        <f t="shared" si="24"/>
        <v>0</v>
      </c>
      <c r="AL126" s="16">
        <f t="shared" si="27"/>
        <v>0</v>
      </c>
      <c r="AM126" s="16">
        <f t="shared" si="14"/>
        <v>0</v>
      </c>
      <c r="AN126" s="16">
        <f>IF(LCOE!I$14&gt;0,G126,H126)/AG126</f>
        <v>0</v>
      </c>
    </row>
    <row r="127" spans="1:40">
      <c r="A127">
        <v>57</v>
      </c>
      <c r="C127" s="16">
        <f>LCOE!I153+IF(AND(LCOE!I$26&gt;0,A127&gt;=LCOE!I$26,A127&lt;=(LCOE!I$26+LCOE!I$27-1)),LCOE!I$42/LCOE!I$27,0)+IF(AND(D127=0,AE127&gt;=LCOE!I$16,COUNTIF(D102:D127,0)=LCOE!I$36),LCOE!I$35*LCOE!I$38,0)</f>
        <v>0</v>
      </c>
      <c r="D127" s="16">
        <f>IF(AE126&lt;LCOE!I$16,1,0)</f>
        <v>0</v>
      </c>
      <c r="E127" s="12">
        <f>LCOE!G153+IF(AND(A127&gt;=LCOE!I$26,A127&lt;=(LCOE!I$26+LCOE!I$27-1)),0,1)*IF(A127=LCOE!I$34,0,1)*D127</f>
        <v>0</v>
      </c>
      <c r="F127" s="12">
        <f>IF(F126&lt;LCOE!I$18,MIN(F126*(1+LCOE!I$19),LCOE!I$18),LCOE!I$18)+LCOE!J153</f>
        <v>0.9</v>
      </c>
      <c r="G127" s="16">
        <f>LCOE!K153+E127*F127*N127*(LCOE!I$14+LCOE!H153)*24*365*D127</f>
        <v>0</v>
      </c>
      <c r="H127" s="16">
        <f>LCOE!L153+F127*(LCOE!I$15+LCOE!I153)*E127*24*365*D127*N127</f>
        <v>0</v>
      </c>
      <c r="I127" s="16">
        <f>LCOE!M153+LCOE!I$20*IF(LCOE!I$14&gt;0,(LCOE!I$14+LCOE!H153),(LCOE!I$15+LCOE!I153))*K127*D127</f>
        <v>0</v>
      </c>
      <c r="J127" s="16">
        <f>LCOE!N153+LCOE!I$21*IF(LCOE!I$14&gt;0,G127,H127)*K127*D127</f>
        <v>0</v>
      </c>
      <c r="K127" s="15">
        <f>LCOE!O153+K126+K126*LCOE!I$22</f>
        <v>1</v>
      </c>
      <c r="L127" s="16">
        <f>LCOE!P153+LCOE!I$23*IF(LCOE!I$14&gt;0,G127,H127)*M127*D127</f>
        <v>0</v>
      </c>
      <c r="M127" s="15">
        <f>LCOE!Q153+M126+M126*LCOE!I$24</f>
        <v>1</v>
      </c>
      <c r="N127" s="15">
        <f>LCOE!R153+N126-N126*LCOE!I$25</f>
        <v>1</v>
      </c>
      <c r="O127" s="18">
        <f>LCOE!S153+LCOE!I$29</f>
        <v>313.75</v>
      </c>
      <c r="P127" s="12">
        <f>LCOE!T153+IF(A127&gt;=LCOE!I$30,100%,0%)</f>
        <v>1</v>
      </c>
      <c r="Q127" s="16">
        <f>LCOE!U153+O127/1000*IF(LCOE!I$14&gt;0,G127,H127)</f>
        <v>0</v>
      </c>
      <c r="R127" s="16">
        <f>LCOE!B153</f>
        <v>30</v>
      </c>
      <c r="S127" s="16">
        <f>LCOE!V153+Q127*P127*R127</f>
        <v>0</v>
      </c>
      <c r="T127" s="16">
        <f>LCOE!W153+LCOE!I$31</f>
        <v>0</v>
      </c>
      <c r="U127" s="16">
        <f>LCOE!X153+T127*IF(LCOE!I$14&gt;0,G127,H127)</f>
        <v>0</v>
      </c>
      <c r="V127" s="16">
        <f>LCOE!Y153+LCOE!I$32</f>
        <v>0</v>
      </c>
      <c r="W127" s="16">
        <f>LCOE!Z153+V127*IF(LCOE!I$14&gt;0,G127,H127)</f>
        <v>0</v>
      </c>
      <c r="X127" s="16">
        <f>LCOE!AA153+LCOE!I$34</f>
        <v>101</v>
      </c>
      <c r="Y127" s="16">
        <f t="shared" si="15"/>
        <v>0</v>
      </c>
      <c r="Z127" s="50">
        <f t="shared" si="18"/>
        <v>0</v>
      </c>
      <c r="AA127" s="50">
        <f t="shared" si="19"/>
        <v>0</v>
      </c>
      <c r="AB127" s="50">
        <f t="shared" si="20"/>
        <v>0</v>
      </c>
      <c r="AC127" s="50">
        <f t="shared" si="16"/>
        <v>0</v>
      </c>
      <c r="AD127" s="50">
        <f t="shared" si="25"/>
        <v>0</v>
      </c>
      <c r="AE127">
        <f t="shared" si="17"/>
        <v>30</v>
      </c>
      <c r="AF127" s="12">
        <f>LCOE!E153+LCOE!I$40</f>
        <v>0.1</v>
      </c>
      <c r="AG127">
        <f t="shared" si="26"/>
        <v>228.76156239024741</v>
      </c>
      <c r="AH127" s="16">
        <f t="shared" si="21"/>
        <v>0</v>
      </c>
      <c r="AI127" s="16">
        <f t="shared" si="22"/>
        <v>0</v>
      </c>
      <c r="AJ127" s="16">
        <f t="shared" si="23"/>
        <v>0</v>
      </c>
      <c r="AK127" s="16">
        <f t="shared" si="24"/>
        <v>0</v>
      </c>
      <c r="AL127" s="16">
        <f t="shared" si="27"/>
        <v>0</v>
      </c>
      <c r="AM127" s="16">
        <f t="shared" si="14"/>
        <v>0</v>
      </c>
      <c r="AN127" s="16">
        <f>IF(LCOE!I$14&gt;0,G127,H127)/AG127</f>
        <v>0</v>
      </c>
    </row>
    <row r="128" spans="1:40">
      <c r="A128">
        <v>58</v>
      </c>
      <c r="C128" s="16">
        <f>LCOE!I154+IF(AND(LCOE!I$26&gt;0,A128&gt;=LCOE!I$26,A128&lt;=(LCOE!I$26+LCOE!I$27-1)),LCOE!I$42/LCOE!I$27,0)+IF(AND(D128=0,AE128&gt;=LCOE!I$16,COUNTIF(D103:D128,0)=LCOE!I$36),LCOE!I$35*LCOE!I$38,0)</f>
        <v>0</v>
      </c>
      <c r="D128" s="16">
        <f>IF(AE127&lt;LCOE!I$16,1,0)</f>
        <v>0</v>
      </c>
      <c r="E128" s="12">
        <f>LCOE!G154+IF(AND(A128&gt;=LCOE!I$26,A128&lt;=(LCOE!I$26+LCOE!I$27-1)),0,1)*IF(A128=LCOE!I$34,0,1)*D128</f>
        <v>0</v>
      </c>
      <c r="F128" s="12">
        <f>IF(F127&lt;LCOE!I$18,MIN(F127*(1+LCOE!I$19),LCOE!I$18),LCOE!I$18)+LCOE!J154</f>
        <v>0.9</v>
      </c>
      <c r="G128" s="16">
        <f>LCOE!K154+E128*F128*N128*(LCOE!I$14+LCOE!H154)*24*365*D128</f>
        <v>0</v>
      </c>
      <c r="H128" s="16">
        <f>LCOE!L154+F128*(LCOE!I$15+LCOE!I154)*E128*24*365*D128*N128</f>
        <v>0</v>
      </c>
      <c r="I128" s="16">
        <f>LCOE!M154+LCOE!I$20*IF(LCOE!I$14&gt;0,(LCOE!I$14+LCOE!H154),(LCOE!I$15+LCOE!I154))*K128*D128</f>
        <v>0</v>
      </c>
      <c r="J128" s="16">
        <f>LCOE!N154+LCOE!I$21*IF(LCOE!I$14&gt;0,G128,H128)*K128*D128</f>
        <v>0</v>
      </c>
      <c r="K128" s="15">
        <f>LCOE!O154+K127+K127*LCOE!I$22</f>
        <v>1</v>
      </c>
      <c r="L128" s="16">
        <f>LCOE!P154+LCOE!I$23*IF(LCOE!I$14&gt;0,G128,H128)*M128*D128</f>
        <v>0</v>
      </c>
      <c r="M128" s="15">
        <f>LCOE!Q154+M127+M127*LCOE!I$24</f>
        <v>1</v>
      </c>
      <c r="N128" s="15">
        <f>LCOE!R154+N127-N127*LCOE!I$25</f>
        <v>1</v>
      </c>
      <c r="O128" s="18">
        <f>LCOE!S154+LCOE!I$29</f>
        <v>313.75</v>
      </c>
      <c r="P128" s="12">
        <f>LCOE!T154+IF(A128&gt;=LCOE!I$30,100%,0%)</f>
        <v>1</v>
      </c>
      <c r="Q128" s="16">
        <f>LCOE!U154+O128/1000*IF(LCOE!I$14&gt;0,G128,H128)</f>
        <v>0</v>
      </c>
      <c r="R128" s="16">
        <f>LCOE!B154</f>
        <v>30</v>
      </c>
      <c r="S128" s="16">
        <f>LCOE!V154+Q128*P128*R128</f>
        <v>0</v>
      </c>
      <c r="T128" s="16">
        <f>LCOE!W154+LCOE!I$31</f>
        <v>0</v>
      </c>
      <c r="U128" s="16">
        <f>LCOE!X154+T128*IF(LCOE!I$14&gt;0,G128,H128)</f>
        <v>0</v>
      </c>
      <c r="V128" s="16">
        <f>LCOE!Y154+LCOE!I$32</f>
        <v>0</v>
      </c>
      <c r="W128" s="16">
        <f>LCOE!Z154+V128*IF(LCOE!I$14&gt;0,G128,H128)</f>
        <v>0</v>
      </c>
      <c r="X128" s="16">
        <f>LCOE!AA154+LCOE!I$34</f>
        <v>101</v>
      </c>
      <c r="Y128" s="16">
        <f t="shared" si="15"/>
        <v>0</v>
      </c>
      <c r="Z128" s="50">
        <f t="shared" si="18"/>
        <v>0</v>
      </c>
      <c r="AA128" s="50">
        <f t="shared" si="19"/>
        <v>0</v>
      </c>
      <c r="AB128" s="50">
        <f t="shared" si="20"/>
        <v>0</v>
      </c>
      <c r="AC128" s="50">
        <f t="shared" si="16"/>
        <v>0</v>
      </c>
      <c r="AD128" s="50">
        <f t="shared" si="25"/>
        <v>0</v>
      </c>
      <c r="AE128">
        <f t="shared" si="17"/>
        <v>30</v>
      </c>
      <c r="AF128" s="12">
        <f>LCOE!E154+LCOE!I$40</f>
        <v>0.1</v>
      </c>
      <c r="AG128">
        <f t="shared" si="26"/>
        <v>251.63771862927214</v>
      </c>
      <c r="AH128" s="16">
        <f t="shared" si="21"/>
        <v>0</v>
      </c>
      <c r="AI128" s="16">
        <f t="shared" si="22"/>
        <v>0</v>
      </c>
      <c r="AJ128" s="16">
        <f t="shared" si="23"/>
        <v>0</v>
      </c>
      <c r="AK128" s="16">
        <f t="shared" si="24"/>
        <v>0</v>
      </c>
      <c r="AL128" s="16">
        <f t="shared" si="27"/>
        <v>0</v>
      </c>
      <c r="AM128" s="16">
        <f t="shared" si="14"/>
        <v>0</v>
      </c>
      <c r="AN128" s="16">
        <f>IF(LCOE!I$14&gt;0,G128,H128)/AG128</f>
        <v>0</v>
      </c>
    </row>
    <row r="129" spans="1:40">
      <c r="A129">
        <v>59</v>
      </c>
      <c r="C129" s="16">
        <f>LCOE!I155+IF(AND(LCOE!I$26&gt;0,A129&gt;=LCOE!I$26,A129&lt;=(LCOE!I$26+LCOE!I$27-1)),LCOE!I$42/LCOE!I$27,0)+IF(AND(D129=0,AE129&gt;=LCOE!I$16,COUNTIF(D104:D129,0)=LCOE!I$36),LCOE!I$35*LCOE!I$38,0)</f>
        <v>0</v>
      </c>
      <c r="D129" s="16">
        <f>IF(AE128&lt;LCOE!I$16,1,0)</f>
        <v>0</v>
      </c>
      <c r="E129" s="12">
        <f>LCOE!G155+IF(AND(A129&gt;=LCOE!I$26,A129&lt;=(LCOE!I$26+LCOE!I$27-1)),0,1)*IF(A129=LCOE!I$34,0,1)*D129</f>
        <v>0</v>
      </c>
      <c r="F129" s="12">
        <f>IF(F128&lt;LCOE!I$18,MIN(F128*(1+LCOE!I$19),LCOE!I$18),LCOE!I$18)+LCOE!J155</f>
        <v>0.9</v>
      </c>
      <c r="G129" s="16">
        <f>LCOE!K155+E129*F129*N129*(LCOE!I$14+LCOE!H155)*24*365*D129</f>
        <v>0</v>
      </c>
      <c r="H129" s="16">
        <f>LCOE!L155+F129*(LCOE!I$15+LCOE!I155)*E129*24*365*D129*N129</f>
        <v>0</v>
      </c>
      <c r="I129" s="16">
        <f>LCOE!M155+LCOE!I$20*IF(LCOE!I$14&gt;0,(LCOE!I$14+LCOE!H155),(LCOE!I$15+LCOE!I155))*K129*D129</f>
        <v>0</v>
      </c>
      <c r="J129" s="16">
        <f>LCOE!N155+LCOE!I$21*IF(LCOE!I$14&gt;0,G129,H129)*K129*D129</f>
        <v>0</v>
      </c>
      <c r="K129" s="15">
        <f>LCOE!O155+K128+K128*LCOE!I$22</f>
        <v>1</v>
      </c>
      <c r="L129" s="16">
        <f>LCOE!P155+LCOE!I$23*IF(LCOE!I$14&gt;0,G129,H129)*M129*D129</f>
        <v>0</v>
      </c>
      <c r="M129" s="15">
        <f>LCOE!Q155+M128+M128*LCOE!I$24</f>
        <v>1</v>
      </c>
      <c r="N129" s="15">
        <f>LCOE!R155+N128-N128*LCOE!I$25</f>
        <v>1</v>
      </c>
      <c r="O129" s="18">
        <f>LCOE!S155+LCOE!I$29</f>
        <v>313.75</v>
      </c>
      <c r="P129" s="12">
        <f>LCOE!T155+IF(A129&gt;=LCOE!I$30,100%,0%)</f>
        <v>1</v>
      </c>
      <c r="Q129" s="16">
        <f>LCOE!U155+O129/1000*IF(LCOE!I$14&gt;0,G129,H129)</f>
        <v>0</v>
      </c>
      <c r="R129" s="16">
        <f>LCOE!B155</f>
        <v>30</v>
      </c>
      <c r="S129" s="16">
        <f>LCOE!V155+Q129*P129*R129</f>
        <v>0</v>
      </c>
      <c r="T129" s="16">
        <f>LCOE!W155+LCOE!I$31</f>
        <v>0</v>
      </c>
      <c r="U129" s="16">
        <f>LCOE!X155+T129*IF(LCOE!I$14&gt;0,G129,H129)</f>
        <v>0</v>
      </c>
      <c r="V129" s="16">
        <f>LCOE!Y155+LCOE!I$32</f>
        <v>0</v>
      </c>
      <c r="W129" s="16">
        <f>LCOE!Z155+V129*IF(LCOE!I$14&gt;0,G129,H129)</f>
        <v>0</v>
      </c>
      <c r="X129" s="16">
        <f>LCOE!AA155+LCOE!I$34</f>
        <v>101</v>
      </c>
      <c r="Y129" s="16">
        <f t="shared" si="15"/>
        <v>0</v>
      </c>
      <c r="Z129" s="50">
        <f t="shared" si="18"/>
        <v>0</v>
      </c>
      <c r="AA129" s="50">
        <f t="shared" si="19"/>
        <v>0</v>
      </c>
      <c r="AB129" s="50">
        <f t="shared" si="20"/>
        <v>0</v>
      </c>
      <c r="AC129" s="50">
        <f t="shared" si="16"/>
        <v>0</v>
      </c>
      <c r="AD129" s="50">
        <f t="shared" si="25"/>
        <v>0</v>
      </c>
      <c r="AE129">
        <f t="shared" si="17"/>
        <v>30</v>
      </c>
      <c r="AF129" s="12">
        <f>LCOE!E155+LCOE!I$40</f>
        <v>0.1</v>
      </c>
      <c r="AG129">
        <f t="shared" si="26"/>
        <v>276.80149049219943</v>
      </c>
      <c r="AH129" s="16">
        <f t="shared" si="21"/>
        <v>0</v>
      </c>
      <c r="AI129" s="16">
        <f t="shared" si="22"/>
        <v>0</v>
      </c>
      <c r="AJ129" s="16">
        <f t="shared" si="23"/>
        <v>0</v>
      </c>
      <c r="AK129" s="16">
        <f t="shared" si="24"/>
        <v>0</v>
      </c>
      <c r="AL129" s="16">
        <f t="shared" si="27"/>
        <v>0</v>
      </c>
      <c r="AM129" s="16">
        <f t="shared" si="14"/>
        <v>0</v>
      </c>
      <c r="AN129" s="16">
        <f>IF(LCOE!I$14&gt;0,G129,H129)/AG129</f>
        <v>0</v>
      </c>
    </row>
    <row r="130" spans="1:40">
      <c r="A130">
        <v>60</v>
      </c>
      <c r="C130" s="16">
        <f>LCOE!I156+IF(AND(LCOE!I$26&gt;0,A130&gt;=LCOE!I$26,A130&lt;=(LCOE!I$26+LCOE!I$27-1)),LCOE!I$42/LCOE!I$27,0)+IF(AND(D130=0,AE130&gt;=LCOE!I$16,COUNTIF(D105:D130,0)=LCOE!I$36),LCOE!I$35*LCOE!I$38,0)</f>
        <v>0</v>
      </c>
      <c r="D130" s="16">
        <f>IF(AE129&lt;LCOE!I$16,1,0)</f>
        <v>0</v>
      </c>
      <c r="E130" s="12">
        <f>LCOE!G156+IF(AND(A130&gt;=LCOE!I$26,A130&lt;=(LCOE!I$26+LCOE!I$27-1)),0,1)*IF(A130=LCOE!I$34,0,1)*D130</f>
        <v>0</v>
      </c>
      <c r="F130" s="12">
        <f>IF(F129&lt;LCOE!I$18,MIN(F129*(1+LCOE!I$19),LCOE!I$18),LCOE!I$18)+LCOE!J156</f>
        <v>0.9</v>
      </c>
      <c r="G130" s="16">
        <f>LCOE!K156+E130*F130*N130*(LCOE!I$14+LCOE!H156)*24*365*D130</f>
        <v>0</v>
      </c>
      <c r="H130" s="16">
        <f>LCOE!L156+F130*(LCOE!I$15+LCOE!I156)*E130*24*365*D130*N130</f>
        <v>0</v>
      </c>
      <c r="I130" s="16">
        <f>LCOE!M156+LCOE!I$20*IF(LCOE!I$14&gt;0,(LCOE!I$14+LCOE!H156),(LCOE!I$15+LCOE!I156))*K130*D130</f>
        <v>0</v>
      </c>
      <c r="J130" s="16">
        <f>LCOE!N156+LCOE!I$21*IF(LCOE!I$14&gt;0,G130,H130)*K130*D130</f>
        <v>0</v>
      </c>
      <c r="K130" s="15">
        <f>LCOE!O156+K129+K129*LCOE!I$22</f>
        <v>1</v>
      </c>
      <c r="L130" s="16">
        <f>LCOE!P156+LCOE!I$23*IF(LCOE!I$14&gt;0,G130,H130)*M130*D130</f>
        <v>0</v>
      </c>
      <c r="M130" s="15">
        <f>LCOE!Q156+M129+M129*LCOE!I$24</f>
        <v>1</v>
      </c>
      <c r="N130" s="15">
        <f>LCOE!R156+N129-N129*LCOE!I$25</f>
        <v>1</v>
      </c>
      <c r="O130" s="18">
        <f>LCOE!S156+LCOE!I$29</f>
        <v>313.75</v>
      </c>
      <c r="P130" s="12">
        <f>LCOE!T156+IF(A130&gt;=LCOE!I$30,100%,0%)</f>
        <v>1</v>
      </c>
      <c r="Q130" s="16">
        <f>LCOE!U156+O130/1000*IF(LCOE!I$14&gt;0,G130,H130)</f>
        <v>0</v>
      </c>
      <c r="R130" s="16">
        <f>LCOE!B156</f>
        <v>30</v>
      </c>
      <c r="S130" s="16">
        <f>LCOE!V156+Q130*P130*R130</f>
        <v>0</v>
      </c>
      <c r="T130" s="16">
        <f>LCOE!W156+LCOE!I$31</f>
        <v>0</v>
      </c>
      <c r="U130" s="16">
        <f>LCOE!X156+T130*IF(LCOE!I$14&gt;0,G130,H130)</f>
        <v>0</v>
      </c>
      <c r="V130" s="16">
        <f>LCOE!Y156+LCOE!I$32</f>
        <v>0</v>
      </c>
      <c r="W130" s="16">
        <f>LCOE!Z156+V130*IF(LCOE!I$14&gt;0,G130,H130)</f>
        <v>0</v>
      </c>
      <c r="X130" s="16">
        <f>LCOE!AA156+LCOE!I$34</f>
        <v>101</v>
      </c>
      <c r="Y130" s="16">
        <f t="shared" si="15"/>
        <v>0</v>
      </c>
      <c r="Z130" s="50">
        <f t="shared" si="18"/>
        <v>0</v>
      </c>
      <c r="AA130" s="50">
        <f t="shared" si="19"/>
        <v>0</v>
      </c>
      <c r="AB130" s="50">
        <f t="shared" si="20"/>
        <v>0</v>
      </c>
      <c r="AC130" s="50">
        <f t="shared" si="16"/>
        <v>0</v>
      </c>
      <c r="AD130" s="50">
        <f t="shared" si="25"/>
        <v>0</v>
      </c>
      <c r="AE130">
        <f t="shared" si="17"/>
        <v>30</v>
      </c>
      <c r="AF130" s="12">
        <f>LCOE!E156+LCOE!I$40</f>
        <v>0.1</v>
      </c>
      <c r="AG130">
        <f t="shared" si="26"/>
        <v>304.48163954141933</v>
      </c>
      <c r="AH130" s="16">
        <f t="shared" si="21"/>
        <v>0</v>
      </c>
      <c r="AI130" s="16">
        <f t="shared" si="22"/>
        <v>0</v>
      </c>
      <c r="AJ130" s="16">
        <f t="shared" si="23"/>
        <v>0</v>
      </c>
      <c r="AK130" s="16">
        <f t="shared" si="24"/>
        <v>0</v>
      </c>
      <c r="AL130" s="16">
        <f t="shared" si="27"/>
        <v>0</v>
      </c>
      <c r="AM130" s="16">
        <f t="shared" si="14"/>
        <v>0</v>
      </c>
      <c r="AN130" s="16">
        <f>IF(LCOE!I$14&gt;0,G130,H130)/AG130</f>
        <v>0</v>
      </c>
    </row>
    <row r="131" spans="1:40">
      <c r="A131">
        <v>61</v>
      </c>
      <c r="C131" s="16">
        <f>LCOE!I157+IF(AND(LCOE!I$26&gt;0,A131&gt;=LCOE!I$26,A131&lt;=(LCOE!I$26+LCOE!I$27-1)),LCOE!I$42/LCOE!I$27,0)+IF(AND(D131=0,AE131&gt;=LCOE!I$16,COUNTIF(D106:D131,0)=LCOE!I$36),LCOE!I$35*LCOE!I$38,0)</f>
        <v>0</v>
      </c>
      <c r="D131" s="16">
        <f>IF(AE130&lt;LCOE!I$16,1,0)</f>
        <v>0</v>
      </c>
      <c r="E131" s="12">
        <f>LCOE!G157+IF(AND(A131&gt;=LCOE!I$26,A131&lt;=(LCOE!I$26+LCOE!I$27-1)),0,1)*IF(A131=LCOE!I$34,0,1)*D131</f>
        <v>0</v>
      </c>
      <c r="F131" s="12">
        <f>IF(F130&lt;LCOE!I$18,MIN(F130*(1+LCOE!I$19),LCOE!I$18),LCOE!I$18)+LCOE!J157</f>
        <v>0.9</v>
      </c>
      <c r="G131" s="16">
        <f>LCOE!K157+E131*F131*N131*(LCOE!I$14+LCOE!H157)*24*365*D131</f>
        <v>0</v>
      </c>
      <c r="H131" s="16">
        <f>LCOE!L157+F131*(LCOE!I$15+LCOE!I157)*E131*24*365*D131*N131</f>
        <v>0</v>
      </c>
      <c r="I131" s="16">
        <f>LCOE!M157+LCOE!I$20*IF(LCOE!I$14&gt;0,(LCOE!I$14+LCOE!H157),(LCOE!I$15+LCOE!I157))*K131*D131</f>
        <v>0</v>
      </c>
      <c r="J131" s="16">
        <f>LCOE!N157+LCOE!I$21*IF(LCOE!I$14&gt;0,G131,H131)*K131*D131</f>
        <v>0</v>
      </c>
      <c r="K131" s="15">
        <f>LCOE!O157+K130+K130*LCOE!I$22</f>
        <v>1</v>
      </c>
      <c r="L131" s="16">
        <f>LCOE!P157+LCOE!I$23*IF(LCOE!I$14&gt;0,G131,H131)*M131*D131</f>
        <v>0</v>
      </c>
      <c r="M131" s="15">
        <f>LCOE!Q157+M130+M130*LCOE!I$24</f>
        <v>1</v>
      </c>
      <c r="N131" s="15">
        <f>LCOE!R157+N130-N130*LCOE!I$25</f>
        <v>1</v>
      </c>
      <c r="O131" s="18">
        <f>LCOE!S157+LCOE!I$29</f>
        <v>313.75</v>
      </c>
      <c r="P131" s="12">
        <f>LCOE!T157+IF(A131&gt;=LCOE!I$30,100%,0%)</f>
        <v>1</v>
      </c>
      <c r="Q131" s="16">
        <f>LCOE!U157+O131/1000*IF(LCOE!I$14&gt;0,G131,H131)</f>
        <v>0</v>
      </c>
      <c r="R131" s="16">
        <f>LCOE!B157</f>
        <v>30</v>
      </c>
      <c r="S131" s="16">
        <f>LCOE!V157+Q131*P131*R131</f>
        <v>0</v>
      </c>
      <c r="T131" s="16">
        <f>LCOE!W157+LCOE!I$31</f>
        <v>0</v>
      </c>
      <c r="U131" s="16">
        <f>LCOE!X157+T131*IF(LCOE!I$14&gt;0,G131,H131)</f>
        <v>0</v>
      </c>
      <c r="V131" s="16">
        <f>LCOE!Y157+LCOE!I$32</f>
        <v>0</v>
      </c>
      <c r="W131" s="16">
        <f>LCOE!Z157+V131*IF(LCOE!I$14&gt;0,G131,H131)</f>
        <v>0</v>
      </c>
      <c r="X131" s="16">
        <f>LCOE!AA157+LCOE!I$34</f>
        <v>101</v>
      </c>
      <c r="Y131" s="16">
        <f t="shared" si="15"/>
        <v>0</v>
      </c>
      <c r="Z131" s="50">
        <f t="shared" si="18"/>
        <v>0</v>
      </c>
      <c r="AA131" s="50">
        <f t="shared" si="19"/>
        <v>0</v>
      </c>
      <c r="AB131" s="50">
        <f t="shared" si="20"/>
        <v>0</v>
      </c>
      <c r="AC131" s="50">
        <f t="shared" si="16"/>
        <v>0</v>
      </c>
      <c r="AD131" s="50">
        <f t="shared" si="25"/>
        <v>0</v>
      </c>
      <c r="AE131">
        <f t="shared" si="17"/>
        <v>30</v>
      </c>
      <c r="AF131" s="12">
        <f>LCOE!E157+LCOE!I$40</f>
        <v>0.1</v>
      </c>
      <c r="AG131">
        <f t="shared" si="26"/>
        <v>334.92980349556132</v>
      </c>
      <c r="AH131" s="16">
        <f t="shared" si="21"/>
        <v>0</v>
      </c>
      <c r="AI131" s="16">
        <f t="shared" si="22"/>
        <v>0</v>
      </c>
      <c r="AJ131" s="16">
        <f t="shared" si="23"/>
        <v>0</v>
      </c>
      <c r="AK131" s="16">
        <f t="shared" si="24"/>
        <v>0</v>
      </c>
      <c r="AL131" s="16">
        <f t="shared" si="27"/>
        <v>0</v>
      </c>
      <c r="AM131" s="16">
        <f t="shared" si="14"/>
        <v>0</v>
      </c>
      <c r="AN131" s="16">
        <f>IF(LCOE!I$14&gt;0,G131,H131)/AG131</f>
        <v>0</v>
      </c>
    </row>
    <row r="132" spans="1:40">
      <c r="A132">
        <v>62</v>
      </c>
      <c r="C132" s="16">
        <f>LCOE!I158+IF(AND(LCOE!I$26&gt;0,A132&gt;=LCOE!I$26,A132&lt;=(LCOE!I$26+LCOE!I$27-1)),LCOE!I$42/LCOE!I$27,0)+IF(AND(D132=0,AE132&gt;=LCOE!I$16,COUNTIF(D107:D132,0)=LCOE!I$36),LCOE!I$35*LCOE!I$38,0)</f>
        <v>0</v>
      </c>
      <c r="D132" s="16">
        <f>IF(AE131&lt;LCOE!I$16,1,0)</f>
        <v>0</v>
      </c>
      <c r="E132" s="12">
        <f>LCOE!G158+IF(AND(A132&gt;=LCOE!I$26,A132&lt;=(LCOE!I$26+LCOE!I$27-1)),0,1)*IF(A132=LCOE!I$34,0,1)*D132</f>
        <v>0</v>
      </c>
      <c r="F132" s="12">
        <f>IF(F131&lt;LCOE!I$18,MIN(F131*(1+LCOE!I$19),LCOE!I$18),LCOE!I$18)+LCOE!J158</f>
        <v>0.9</v>
      </c>
      <c r="G132" s="16">
        <f>LCOE!K158+E132*F132*N132*(LCOE!I$14+LCOE!H158)*24*365*D132</f>
        <v>0</v>
      </c>
      <c r="H132" s="16">
        <f>LCOE!L158+F132*(LCOE!I$15+LCOE!I158)*E132*24*365*D132*N132</f>
        <v>0</v>
      </c>
      <c r="I132" s="16">
        <f>LCOE!M158+LCOE!I$20*IF(LCOE!I$14&gt;0,(LCOE!I$14+LCOE!H158),(LCOE!I$15+LCOE!I158))*K132*D132</f>
        <v>0</v>
      </c>
      <c r="J132" s="16">
        <f>LCOE!N158+LCOE!I$21*IF(LCOE!I$14&gt;0,G132,H132)*K132*D132</f>
        <v>0</v>
      </c>
      <c r="K132" s="15">
        <f>LCOE!O158+K131+K131*LCOE!I$22</f>
        <v>1</v>
      </c>
      <c r="L132" s="16">
        <f>LCOE!P158+LCOE!I$23*IF(LCOE!I$14&gt;0,G132,H132)*M132*D132</f>
        <v>0</v>
      </c>
      <c r="M132" s="15">
        <f>LCOE!Q158+M131+M131*LCOE!I$24</f>
        <v>1</v>
      </c>
      <c r="N132" s="15">
        <f>LCOE!R158+N131-N131*LCOE!I$25</f>
        <v>1</v>
      </c>
      <c r="O132" s="18">
        <f>LCOE!S158+LCOE!I$29</f>
        <v>313.75</v>
      </c>
      <c r="P132" s="12">
        <f>LCOE!T158+IF(A132&gt;=LCOE!I$30,100%,0%)</f>
        <v>1</v>
      </c>
      <c r="Q132" s="16">
        <f>LCOE!U158+O132/1000*IF(LCOE!I$14&gt;0,G132,H132)</f>
        <v>0</v>
      </c>
      <c r="R132" s="16">
        <f>LCOE!B158</f>
        <v>30</v>
      </c>
      <c r="S132" s="16">
        <f>LCOE!V158+Q132*P132*R132</f>
        <v>0</v>
      </c>
      <c r="T132" s="16">
        <f>LCOE!W158+LCOE!I$31</f>
        <v>0</v>
      </c>
      <c r="U132" s="16">
        <f>LCOE!X158+T132*IF(LCOE!I$14&gt;0,G132,H132)</f>
        <v>0</v>
      </c>
      <c r="V132" s="16">
        <f>LCOE!Y158+LCOE!I$32</f>
        <v>0</v>
      </c>
      <c r="W132" s="16">
        <f>LCOE!Z158+V132*IF(LCOE!I$14&gt;0,G132,H132)</f>
        <v>0</v>
      </c>
      <c r="X132" s="16">
        <f>LCOE!AA158+LCOE!I$34</f>
        <v>101</v>
      </c>
      <c r="Y132" s="16">
        <f t="shared" si="15"/>
        <v>0</v>
      </c>
      <c r="Z132" s="50">
        <f t="shared" si="18"/>
        <v>0</v>
      </c>
      <c r="AA132" s="50">
        <f t="shared" si="19"/>
        <v>0</v>
      </c>
      <c r="AB132" s="50">
        <f t="shared" si="20"/>
        <v>0</v>
      </c>
      <c r="AC132" s="50">
        <f t="shared" si="16"/>
        <v>0</v>
      </c>
      <c r="AD132" s="50">
        <f t="shared" si="25"/>
        <v>0</v>
      </c>
      <c r="AE132">
        <f t="shared" si="17"/>
        <v>30</v>
      </c>
      <c r="AF132" s="12">
        <f>LCOE!E158+LCOE!I$40</f>
        <v>0.1</v>
      </c>
      <c r="AG132">
        <f t="shared" si="26"/>
        <v>368.42278384511752</v>
      </c>
      <c r="AH132" s="16">
        <f t="shared" si="21"/>
        <v>0</v>
      </c>
      <c r="AI132" s="16">
        <f t="shared" si="22"/>
        <v>0</v>
      </c>
      <c r="AJ132" s="16">
        <f t="shared" si="23"/>
        <v>0</v>
      </c>
      <c r="AK132" s="16">
        <f t="shared" si="24"/>
        <v>0</v>
      </c>
      <c r="AL132" s="16">
        <f t="shared" si="27"/>
        <v>0</v>
      </c>
      <c r="AM132" s="16">
        <f t="shared" si="14"/>
        <v>0</v>
      </c>
      <c r="AN132" s="16">
        <f>IF(LCOE!I$14&gt;0,G132,H132)/AG132</f>
        <v>0</v>
      </c>
    </row>
    <row r="133" spans="1:40">
      <c r="A133">
        <v>63</v>
      </c>
      <c r="C133" s="16">
        <f>LCOE!I159+IF(AND(LCOE!I$26&gt;0,A133&gt;=LCOE!I$26,A133&lt;=(LCOE!I$26+LCOE!I$27-1)),LCOE!I$42/LCOE!I$27,0)+IF(AND(D133=0,AE133&gt;=LCOE!I$16,COUNTIF(D108:D133,0)=LCOE!I$36),LCOE!I$35*LCOE!I$38,0)</f>
        <v>0</v>
      </c>
      <c r="D133" s="16">
        <f>IF(AE132&lt;LCOE!I$16,1,0)</f>
        <v>0</v>
      </c>
      <c r="E133" s="12">
        <f>LCOE!G159+IF(AND(A133&gt;=LCOE!I$26,A133&lt;=(LCOE!I$26+LCOE!I$27-1)),0,1)*IF(A133=LCOE!I$34,0,1)*D133</f>
        <v>0</v>
      </c>
      <c r="F133" s="12">
        <f>IF(F132&lt;LCOE!I$18,MIN(F132*(1+LCOE!I$19),LCOE!I$18),LCOE!I$18)+LCOE!J159</f>
        <v>0.9</v>
      </c>
      <c r="G133" s="16">
        <f>LCOE!K159+E133*F133*N133*(LCOE!I$14+LCOE!H159)*24*365*D133</f>
        <v>0</v>
      </c>
      <c r="H133" s="16">
        <f>LCOE!L159+F133*(LCOE!I$15+LCOE!I159)*E133*24*365*D133*N133</f>
        <v>0</v>
      </c>
      <c r="I133" s="16">
        <f>LCOE!M159+LCOE!I$20*IF(LCOE!I$14&gt;0,(LCOE!I$14+LCOE!H159),(LCOE!I$15+LCOE!I159))*K133*D133</f>
        <v>0</v>
      </c>
      <c r="J133" s="16">
        <f>LCOE!N159+LCOE!I$21*IF(LCOE!I$14&gt;0,G133,H133)*K133*D133</f>
        <v>0</v>
      </c>
      <c r="K133" s="15">
        <f>LCOE!O159+K132+K132*LCOE!I$22</f>
        <v>1</v>
      </c>
      <c r="L133" s="16">
        <f>LCOE!P159+LCOE!I$23*IF(LCOE!I$14&gt;0,G133,H133)*M133*D133</f>
        <v>0</v>
      </c>
      <c r="M133" s="15">
        <f>LCOE!Q159+M132+M132*LCOE!I$24</f>
        <v>1</v>
      </c>
      <c r="N133" s="15">
        <f>LCOE!R159+N132-N132*LCOE!I$25</f>
        <v>1</v>
      </c>
      <c r="O133" s="18">
        <f>LCOE!S159+LCOE!I$29</f>
        <v>313.75</v>
      </c>
      <c r="P133" s="12">
        <f>LCOE!T159+IF(A133&gt;=LCOE!I$30,100%,0%)</f>
        <v>1</v>
      </c>
      <c r="Q133" s="16">
        <f>LCOE!U159+O133/1000*IF(LCOE!I$14&gt;0,G133,H133)</f>
        <v>0</v>
      </c>
      <c r="R133" s="16">
        <f>LCOE!B159</f>
        <v>30</v>
      </c>
      <c r="S133" s="16">
        <f>LCOE!V159+Q133*P133*R133</f>
        <v>0</v>
      </c>
      <c r="T133" s="16">
        <f>LCOE!W159+LCOE!I$31</f>
        <v>0</v>
      </c>
      <c r="U133" s="16">
        <f>LCOE!X159+T133*IF(LCOE!I$14&gt;0,G133,H133)</f>
        <v>0</v>
      </c>
      <c r="V133" s="16">
        <f>LCOE!Y159+LCOE!I$32</f>
        <v>0</v>
      </c>
      <c r="W133" s="16">
        <f>LCOE!Z159+V133*IF(LCOE!I$14&gt;0,G133,H133)</f>
        <v>0</v>
      </c>
      <c r="X133" s="16">
        <f>LCOE!AA159+LCOE!I$34</f>
        <v>101</v>
      </c>
      <c r="Y133" s="16">
        <f t="shared" si="15"/>
        <v>0</v>
      </c>
      <c r="Z133" s="50">
        <f t="shared" si="18"/>
        <v>0</v>
      </c>
      <c r="AA133" s="50">
        <f t="shared" si="19"/>
        <v>0</v>
      </c>
      <c r="AB133" s="50">
        <f t="shared" si="20"/>
        <v>0</v>
      </c>
      <c r="AC133" s="50">
        <f t="shared" si="16"/>
        <v>0</v>
      </c>
      <c r="AD133" s="50">
        <f t="shared" si="25"/>
        <v>0</v>
      </c>
      <c r="AE133">
        <f t="shared" si="17"/>
        <v>30</v>
      </c>
      <c r="AF133" s="12">
        <f>LCOE!E159+LCOE!I$40</f>
        <v>0.1</v>
      </c>
      <c r="AG133">
        <f t="shared" si="26"/>
        <v>405.26506222962922</v>
      </c>
      <c r="AH133" s="16">
        <f t="shared" si="21"/>
        <v>0</v>
      </c>
      <c r="AI133" s="16">
        <f t="shared" si="22"/>
        <v>0</v>
      </c>
      <c r="AJ133" s="16">
        <f t="shared" si="23"/>
        <v>0</v>
      </c>
      <c r="AK133" s="16">
        <f t="shared" si="24"/>
        <v>0</v>
      </c>
      <c r="AL133" s="16">
        <f t="shared" si="27"/>
        <v>0</v>
      </c>
      <c r="AM133" s="16">
        <f t="shared" si="14"/>
        <v>0</v>
      </c>
      <c r="AN133" s="16">
        <f>IF(LCOE!I$14&gt;0,G133,H133)/AG133</f>
        <v>0</v>
      </c>
    </row>
    <row r="134" spans="1:40">
      <c r="A134">
        <v>64</v>
      </c>
      <c r="C134" s="16">
        <f>LCOE!I160+IF(AND(LCOE!I$26&gt;0,A134&gt;=LCOE!I$26,A134&lt;=(LCOE!I$26+LCOE!I$27-1)),LCOE!I$42/LCOE!I$27,0)+IF(AND(D134=0,AE134&gt;=LCOE!I$16,COUNTIF(D109:D134,0)=LCOE!I$36),LCOE!I$35*LCOE!I$38,0)</f>
        <v>0</v>
      </c>
      <c r="D134" s="16">
        <f>IF(AE133&lt;LCOE!I$16,1,0)</f>
        <v>0</v>
      </c>
      <c r="E134" s="12">
        <f>LCOE!G160+IF(AND(A134&gt;=LCOE!I$26,A134&lt;=(LCOE!I$26+LCOE!I$27-1)),0,1)*IF(A134=LCOE!I$34,0,1)*D134</f>
        <v>0</v>
      </c>
      <c r="F134" s="12">
        <f>IF(F133&lt;LCOE!I$18,MIN(F133*(1+LCOE!I$19),LCOE!I$18),LCOE!I$18)+LCOE!J160</f>
        <v>0.9</v>
      </c>
      <c r="G134" s="16">
        <f>LCOE!K160+E134*F134*N134*(LCOE!I$14+LCOE!H160)*24*365*D134</f>
        <v>0</v>
      </c>
      <c r="H134" s="16">
        <f>LCOE!L160+F134*(LCOE!I$15+LCOE!I160)*E134*24*365*D134*N134</f>
        <v>0</v>
      </c>
      <c r="I134" s="16">
        <f>LCOE!M160+LCOE!I$20*IF(LCOE!I$14&gt;0,(LCOE!I$14+LCOE!H160),(LCOE!I$15+LCOE!I160))*K134*D134</f>
        <v>0</v>
      </c>
      <c r="J134" s="16">
        <f>LCOE!N160+LCOE!I$21*IF(LCOE!I$14&gt;0,G134,H134)*K134*D134</f>
        <v>0</v>
      </c>
      <c r="K134" s="15">
        <f>LCOE!O160+K133+K133*LCOE!I$22</f>
        <v>1</v>
      </c>
      <c r="L134" s="16">
        <f>LCOE!P160+LCOE!I$23*IF(LCOE!I$14&gt;0,G134,H134)*M134*D134</f>
        <v>0</v>
      </c>
      <c r="M134" s="15">
        <f>LCOE!Q160+M133+M133*LCOE!I$24</f>
        <v>1</v>
      </c>
      <c r="N134" s="15">
        <f>LCOE!R160+N133-N133*LCOE!I$25</f>
        <v>1</v>
      </c>
      <c r="O134" s="18">
        <f>LCOE!S160+LCOE!I$29</f>
        <v>313.75</v>
      </c>
      <c r="P134" s="12">
        <f>LCOE!T160+IF(A134&gt;=LCOE!I$30,100%,0%)</f>
        <v>1</v>
      </c>
      <c r="Q134" s="16">
        <f>LCOE!U160+O134/1000*IF(LCOE!I$14&gt;0,G134,H134)</f>
        <v>0</v>
      </c>
      <c r="R134" s="16">
        <f>LCOE!B160</f>
        <v>30</v>
      </c>
      <c r="S134" s="16">
        <f>LCOE!V160+Q134*P134*R134</f>
        <v>0</v>
      </c>
      <c r="T134" s="16">
        <f>LCOE!W160+LCOE!I$31</f>
        <v>0</v>
      </c>
      <c r="U134" s="16">
        <f>LCOE!X160+T134*IF(LCOE!I$14&gt;0,G134,H134)</f>
        <v>0</v>
      </c>
      <c r="V134" s="16">
        <f>LCOE!Y160+LCOE!I$32</f>
        <v>0</v>
      </c>
      <c r="W134" s="16">
        <f>LCOE!Z160+V134*IF(LCOE!I$14&gt;0,G134,H134)</f>
        <v>0</v>
      </c>
      <c r="X134" s="16">
        <f>LCOE!AA160+LCOE!I$34</f>
        <v>101</v>
      </c>
      <c r="Y134" s="16">
        <f t="shared" si="15"/>
        <v>0</v>
      </c>
      <c r="Z134" s="50">
        <f t="shared" si="18"/>
        <v>0</v>
      </c>
      <c r="AA134" s="50">
        <f t="shared" si="19"/>
        <v>0</v>
      </c>
      <c r="AB134" s="50">
        <f t="shared" si="20"/>
        <v>0</v>
      </c>
      <c r="AC134" s="50">
        <f t="shared" si="16"/>
        <v>0</v>
      </c>
      <c r="AD134" s="50">
        <f t="shared" si="25"/>
        <v>0</v>
      </c>
      <c r="AE134">
        <f t="shared" si="17"/>
        <v>30</v>
      </c>
      <c r="AF134" s="12">
        <f>LCOE!E160+LCOE!I$40</f>
        <v>0.1</v>
      </c>
      <c r="AG134">
        <f t="shared" si="26"/>
        <v>445.79156845259217</v>
      </c>
      <c r="AH134" s="16">
        <f t="shared" si="21"/>
        <v>0</v>
      </c>
      <c r="AI134" s="16">
        <f t="shared" si="22"/>
        <v>0</v>
      </c>
      <c r="AJ134" s="16">
        <f t="shared" si="23"/>
        <v>0</v>
      </c>
      <c r="AK134" s="16">
        <f t="shared" si="24"/>
        <v>0</v>
      </c>
      <c r="AL134" s="16">
        <f t="shared" si="27"/>
        <v>0</v>
      </c>
      <c r="AM134" s="16">
        <f t="shared" ref="AM134:AM170" si="28">(-1)*Y134/AG134</f>
        <v>0</v>
      </c>
      <c r="AN134" s="16">
        <f>IF(LCOE!I$14&gt;0,G134,H134)/AG134</f>
        <v>0</v>
      </c>
    </row>
    <row r="135" spans="1:40">
      <c r="A135">
        <v>65</v>
      </c>
      <c r="C135" s="16">
        <f>LCOE!I161+IF(AND(LCOE!I$26&gt;0,A135&gt;=LCOE!I$26,A135&lt;=(LCOE!I$26+LCOE!I$27-1)),LCOE!I$42/LCOE!I$27,0)+IF(AND(D135=0,AE135&gt;=LCOE!I$16,COUNTIF(D110:D135,0)=LCOE!I$36),LCOE!I$35*LCOE!I$38,0)</f>
        <v>0</v>
      </c>
      <c r="D135" s="16">
        <f>IF(AE134&lt;LCOE!I$16,1,0)</f>
        <v>0</v>
      </c>
      <c r="E135" s="12">
        <f>LCOE!G161+IF(AND(A135&gt;=LCOE!I$26,A135&lt;=(LCOE!I$26+LCOE!I$27-1)),0,1)*IF(A135=LCOE!I$34,0,1)*D135</f>
        <v>0</v>
      </c>
      <c r="F135" s="12">
        <f>IF(F134&lt;LCOE!I$18,MIN(F134*(1+LCOE!I$19),LCOE!I$18),LCOE!I$18)+LCOE!J161</f>
        <v>0.9</v>
      </c>
      <c r="G135" s="16">
        <f>LCOE!K161+E135*F135*N135*(LCOE!I$14+LCOE!H161)*24*365*D135</f>
        <v>0</v>
      </c>
      <c r="H135" s="16">
        <f>LCOE!L161+F135*(LCOE!I$15+LCOE!I161)*E135*24*365*D135*N135</f>
        <v>0</v>
      </c>
      <c r="I135" s="16">
        <f>LCOE!M161+LCOE!I$20*IF(LCOE!I$14&gt;0,(LCOE!I$14+LCOE!H161),(LCOE!I$15+LCOE!I161))*K135*D135</f>
        <v>0</v>
      </c>
      <c r="J135" s="16">
        <f>LCOE!N161+LCOE!I$21*IF(LCOE!I$14&gt;0,G135,H135)*K135*D135</f>
        <v>0</v>
      </c>
      <c r="K135" s="15">
        <f>LCOE!O161+K134+K134*LCOE!I$22</f>
        <v>1</v>
      </c>
      <c r="L135" s="16">
        <f>LCOE!P161+LCOE!I$23*IF(LCOE!I$14&gt;0,G135,H135)*M135*D135</f>
        <v>0</v>
      </c>
      <c r="M135" s="15">
        <f>LCOE!Q161+M134+M134*LCOE!I$24</f>
        <v>1</v>
      </c>
      <c r="N135" s="15">
        <f>LCOE!R161+N134-N134*LCOE!I$25</f>
        <v>1</v>
      </c>
      <c r="O135" s="18">
        <f>LCOE!S161+LCOE!I$29</f>
        <v>313.75</v>
      </c>
      <c r="P135" s="12">
        <f>LCOE!T161+IF(A135&gt;=LCOE!I$30,100%,0%)</f>
        <v>1</v>
      </c>
      <c r="Q135" s="16">
        <f>LCOE!U161+O135/1000*IF(LCOE!I$14&gt;0,G135,H135)</f>
        <v>0</v>
      </c>
      <c r="R135" s="16">
        <f>LCOE!B161</f>
        <v>30</v>
      </c>
      <c r="S135" s="16">
        <f>LCOE!V161+Q135*P135*R135</f>
        <v>0</v>
      </c>
      <c r="T135" s="16">
        <f>LCOE!W161+LCOE!I$31</f>
        <v>0</v>
      </c>
      <c r="U135" s="16">
        <f>LCOE!X161+T135*IF(LCOE!I$14&gt;0,G135,H135)</f>
        <v>0</v>
      </c>
      <c r="V135" s="16">
        <f>LCOE!Y161+LCOE!I$32</f>
        <v>0</v>
      </c>
      <c r="W135" s="16">
        <f>LCOE!Z161+V135*IF(LCOE!I$14&gt;0,G135,H135)</f>
        <v>0</v>
      </c>
      <c r="X135" s="16">
        <f>LCOE!AA161+LCOE!I$34</f>
        <v>101</v>
      </c>
      <c r="Y135" s="16">
        <f t="shared" ref="Y135:Y170" si="29">X135*H135</f>
        <v>0</v>
      </c>
      <c r="Z135" s="50">
        <f t="shared" si="18"/>
        <v>0</v>
      </c>
      <c r="AA135" s="50">
        <f t="shared" si="19"/>
        <v>0</v>
      </c>
      <c r="AB135" s="50">
        <f t="shared" si="20"/>
        <v>0</v>
      </c>
      <c r="AC135" s="50">
        <f t="shared" ref="AC135:AC170" si="30">U135+W135</f>
        <v>0</v>
      </c>
      <c r="AD135" s="50">
        <f t="shared" si="25"/>
        <v>0</v>
      </c>
      <c r="AE135">
        <f t="shared" ref="AE135:AE170" si="31">AE134+1*E135</f>
        <v>30</v>
      </c>
      <c r="AF135" s="12">
        <f>LCOE!E161+LCOE!I$40</f>
        <v>0.1</v>
      </c>
      <c r="AG135">
        <f t="shared" si="26"/>
        <v>490.37072529785144</v>
      </c>
      <c r="AH135" s="16">
        <f t="shared" si="21"/>
        <v>0</v>
      </c>
      <c r="AI135" s="16">
        <f t="shared" si="22"/>
        <v>0</v>
      </c>
      <c r="AJ135" s="16">
        <f t="shared" si="23"/>
        <v>0</v>
      </c>
      <c r="AK135" s="16">
        <f t="shared" si="24"/>
        <v>0</v>
      </c>
      <c r="AL135" s="16">
        <f t="shared" si="27"/>
        <v>0</v>
      </c>
      <c r="AM135" s="16">
        <f t="shared" si="28"/>
        <v>0</v>
      </c>
      <c r="AN135" s="16">
        <f>IF(LCOE!I$14&gt;0,G135,H135)/AG135</f>
        <v>0</v>
      </c>
    </row>
    <row r="136" spans="1:40">
      <c r="A136">
        <v>66</v>
      </c>
      <c r="C136" s="16">
        <f>LCOE!I162+IF(AND(LCOE!I$26&gt;0,A136&gt;=LCOE!I$26,A136&lt;=(LCOE!I$26+LCOE!I$27-1)),LCOE!I$42/LCOE!I$27,0)+IF(AND(D136=0,AE136&gt;=LCOE!I$16,COUNTIF(D111:D136,0)=LCOE!I$36),LCOE!I$35*LCOE!I$38,0)</f>
        <v>0</v>
      </c>
      <c r="D136" s="16">
        <f>IF(AE135&lt;LCOE!I$16,1,0)</f>
        <v>0</v>
      </c>
      <c r="E136" s="12">
        <f>LCOE!G162+IF(AND(A136&gt;=LCOE!I$26,A136&lt;=(LCOE!I$26+LCOE!I$27-1)),0,1)*IF(A136=LCOE!I$34,0,1)*D136</f>
        <v>0</v>
      </c>
      <c r="F136" s="12">
        <f>IF(F135&lt;LCOE!I$18,MIN(F135*(1+LCOE!I$19),LCOE!I$18),LCOE!I$18)+LCOE!J162</f>
        <v>0.9</v>
      </c>
      <c r="G136" s="16">
        <f>LCOE!K162+E136*F136*N136*(LCOE!I$14+LCOE!H162)*24*365*D136</f>
        <v>0</v>
      </c>
      <c r="H136" s="16">
        <f>LCOE!L162+F136*(LCOE!I$15+LCOE!I162)*E136*24*365*D136*N136</f>
        <v>0</v>
      </c>
      <c r="I136" s="16">
        <f>LCOE!M162+LCOE!I$20*IF(LCOE!I$14&gt;0,(LCOE!I$14+LCOE!H162),(LCOE!I$15+LCOE!I162))*K136*D136</f>
        <v>0</v>
      </c>
      <c r="J136" s="16">
        <f>LCOE!N162+LCOE!I$21*IF(LCOE!I$14&gt;0,G136,H136)*K136*D136</f>
        <v>0</v>
      </c>
      <c r="K136" s="15">
        <f>LCOE!O162+K135+K135*LCOE!I$22</f>
        <v>1</v>
      </c>
      <c r="L136" s="16">
        <f>LCOE!P162+LCOE!I$23*IF(LCOE!I$14&gt;0,G136,H136)*M136*D136</f>
        <v>0</v>
      </c>
      <c r="M136" s="15">
        <f>LCOE!Q162+M135+M135*LCOE!I$24</f>
        <v>1</v>
      </c>
      <c r="N136" s="15">
        <f>LCOE!R162+N135-N135*LCOE!I$25</f>
        <v>1</v>
      </c>
      <c r="O136" s="18">
        <f>LCOE!S162+LCOE!I$29</f>
        <v>313.75</v>
      </c>
      <c r="P136" s="12">
        <f>LCOE!T162+IF(A136&gt;=LCOE!I$30,100%,0%)</f>
        <v>1</v>
      </c>
      <c r="Q136" s="16">
        <f>LCOE!U162+O136/1000*IF(LCOE!I$14&gt;0,G136,H136)</f>
        <v>0</v>
      </c>
      <c r="R136" s="16">
        <f>LCOE!B162</f>
        <v>30</v>
      </c>
      <c r="S136" s="16">
        <f>LCOE!V162+Q136*P136*R136</f>
        <v>0</v>
      </c>
      <c r="T136" s="16">
        <f>LCOE!W162+LCOE!I$31</f>
        <v>0</v>
      </c>
      <c r="U136" s="16">
        <f>LCOE!X162+T136*IF(LCOE!I$14&gt;0,G136,H136)</f>
        <v>0</v>
      </c>
      <c r="V136" s="16">
        <f>LCOE!Y162+LCOE!I$32</f>
        <v>0</v>
      </c>
      <c r="W136" s="16">
        <f>LCOE!Z162+V136*IF(LCOE!I$14&gt;0,G136,H136)</f>
        <v>0</v>
      </c>
      <c r="X136" s="16">
        <f>LCOE!AA162+LCOE!I$34</f>
        <v>101</v>
      </c>
      <c r="Y136" s="16">
        <f t="shared" si="29"/>
        <v>0</v>
      </c>
      <c r="Z136" s="50">
        <f t="shared" ref="Z136:Z170" si="32">SUM(B136:C136)</f>
        <v>0</v>
      </c>
      <c r="AA136" s="50">
        <f t="shared" ref="AA136:AA170" si="33">SUM(I136:J136)</f>
        <v>0</v>
      </c>
      <c r="AB136" s="50">
        <f t="shared" ref="AB136:AB170" si="34">L136</f>
        <v>0</v>
      </c>
      <c r="AC136" s="50">
        <f t="shared" si="30"/>
        <v>0</v>
      </c>
      <c r="AD136" s="50">
        <f t="shared" si="25"/>
        <v>0</v>
      </c>
      <c r="AE136">
        <f t="shared" si="31"/>
        <v>30</v>
      </c>
      <c r="AF136" s="12">
        <f>LCOE!E162+LCOE!I$40</f>
        <v>0.1</v>
      </c>
      <c r="AG136">
        <f t="shared" si="26"/>
        <v>539.40779782763661</v>
      </c>
      <c r="AH136" s="16">
        <f t="shared" si="21"/>
        <v>0</v>
      </c>
      <c r="AI136" s="16">
        <f t="shared" si="22"/>
        <v>0</v>
      </c>
      <c r="AJ136" s="16">
        <f t="shared" si="23"/>
        <v>0</v>
      </c>
      <c r="AK136" s="16">
        <f t="shared" si="24"/>
        <v>0</v>
      </c>
      <c r="AL136" s="16">
        <f t="shared" si="27"/>
        <v>0</v>
      </c>
      <c r="AM136" s="16">
        <f t="shared" si="28"/>
        <v>0</v>
      </c>
      <c r="AN136" s="16">
        <f>IF(LCOE!I$14&gt;0,G136,H136)/AG136</f>
        <v>0</v>
      </c>
    </row>
    <row r="137" spans="1:40">
      <c r="A137">
        <v>67</v>
      </c>
      <c r="C137" s="16">
        <f>LCOE!I163+IF(AND(LCOE!I$26&gt;0,A137&gt;=LCOE!I$26,A137&lt;=(LCOE!I$26+LCOE!I$27-1)),LCOE!I$42/LCOE!I$27,0)+IF(AND(D137=0,AE137&gt;=LCOE!I$16,COUNTIF(D112:D137,0)=LCOE!I$36),LCOE!I$35*LCOE!I$38,0)</f>
        <v>0</v>
      </c>
      <c r="D137" s="16">
        <f>IF(AE136&lt;LCOE!I$16,1,0)</f>
        <v>0</v>
      </c>
      <c r="E137" s="12">
        <f>LCOE!G163+IF(AND(A137&gt;=LCOE!I$26,A137&lt;=(LCOE!I$26+LCOE!I$27-1)),0,1)*IF(A137=LCOE!I$34,0,1)*D137</f>
        <v>0</v>
      </c>
      <c r="F137" s="12">
        <f>IF(F136&lt;LCOE!I$18,MIN(F136*(1+LCOE!I$19),LCOE!I$18),LCOE!I$18)+LCOE!J163</f>
        <v>0.9</v>
      </c>
      <c r="G137" s="16">
        <f>LCOE!K163+E137*F137*N137*(LCOE!I$14+LCOE!H163)*24*365*D137</f>
        <v>0</v>
      </c>
      <c r="H137" s="16">
        <f>LCOE!L163+F137*(LCOE!I$15+LCOE!I163)*E137*24*365*D137*N137</f>
        <v>0</v>
      </c>
      <c r="I137" s="16">
        <f>LCOE!M163+LCOE!I$20*IF(LCOE!I$14&gt;0,(LCOE!I$14+LCOE!H163),(LCOE!I$15+LCOE!I163))*K137*D137</f>
        <v>0</v>
      </c>
      <c r="J137" s="16">
        <f>LCOE!N163+LCOE!I$21*IF(LCOE!I$14&gt;0,G137,H137)*K137*D137</f>
        <v>0</v>
      </c>
      <c r="K137" s="15">
        <f>LCOE!O163+K136+K136*LCOE!I$22</f>
        <v>1</v>
      </c>
      <c r="L137" s="16">
        <f>LCOE!P163+LCOE!I$23*IF(LCOE!I$14&gt;0,G137,H137)*M137*D137</f>
        <v>0</v>
      </c>
      <c r="M137" s="15">
        <f>LCOE!Q163+M136+M136*LCOE!I$24</f>
        <v>1</v>
      </c>
      <c r="N137" s="15">
        <f>LCOE!R163+N136-N136*LCOE!I$25</f>
        <v>1</v>
      </c>
      <c r="O137" s="18">
        <f>LCOE!S163+LCOE!I$29</f>
        <v>313.75</v>
      </c>
      <c r="P137" s="12">
        <f>LCOE!T163+IF(A137&gt;=LCOE!I$30,100%,0%)</f>
        <v>1</v>
      </c>
      <c r="Q137" s="16">
        <f>LCOE!U163+O137/1000*IF(LCOE!I$14&gt;0,G137,H137)</f>
        <v>0</v>
      </c>
      <c r="R137" s="16">
        <f>LCOE!B163</f>
        <v>30</v>
      </c>
      <c r="S137" s="16">
        <f>LCOE!V163+Q137*P137*R137</f>
        <v>0</v>
      </c>
      <c r="T137" s="16">
        <f>LCOE!W163+LCOE!I$31</f>
        <v>0</v>
      </c>
      <c r="U137" s="16">
        <f>LCOE!X163+T137*IF(LCOE!I$14&gt;0,G137,H137)</f>
        <v>0</v>
      </c>
      <c r="V137" s="16">
        <f>LCOE!Y163+LCOE!I$32</f>
        <v>0</v>
      </c>
      <c r="W137" s="16">
        <f>LCOE!Z163+V137*IF(LCOE!I$14&gt;0,G137,H137)</f>
        <v>0</v>
      </c>
      <c r="X137" s="16">
        <f>LCOE!AA163+LCOE!I$34</f>
        <v>101</v>
      </c>
      <c r="Y137" s="16">
        <f t="shared" si="29"/>
        <v>0</v>
      </c>
      <c r="Z137" s="50">
        <f t="shared" si="32"/>
        <v>0</v>
      </c>
      <c r="AA137" s="50">
        <f t="shared" si="33"/>
        <v>0</v>
      </c>
      <c r="AB137" s="50">
        <f t="shared" si="34"/>
        <v>0</v>
      </c>
      <c r="AC137" s="50">
        <f t="shared" si="30"/>
        <v>0</v>
      </c>
      <c r="AD137" s="50">
        <f t="shared" si="25"/>
        <v>0</v>
      </c>
      <c r="AE137">
        <f t="shared" si="31"/>
        <v>30</v>
      </c>
      <c r="AF137" s="12">
        <f>LCOE!E163+LCOE!I$40</f>
        <v>0.1</v>
      </c>
      <c r="AG137">
        <f t="shared" si="26"/>
        <v>593.34857761040041</v>
      </c>
      <c r="AH137" s="16">
        <f t="shared" si="21"/>
        <v>0</v>
      </c>
      <c r="AI137" s="16">
        <f t="shared" si="22"/>
        <v>0</v>
      </c>
      <c r="AJ137" s="16">
        <f t="shared" si="23"/>
        <v>0</v>
      </c>
      <c r="AK137" s="16">
        <f t="shared" si="24"/>
        <v>0</v>
      </c>
      <c r="AL137" s="16">
        <f t="shared" si="27"/>
        <v>0</v>
      </c>
      <c r="AM137" s="16">
        <f t="shared" si="28"/>
        <v>0</v>
      </c>
      <c r="AN137" s="16">
        <f>IF(LCOE!I$14&gt;0,G137,H137)/AG137</f>
        <v>0</v>
      </c>
    </row>
    <row r="138" spans="1:40">
      <c r="A138">
        <v>68</v>
      </c>
      <c r="C138" s="16">
        <f>LCOE!I164+IF(AND(LCOE!I$26&gt;0,A138&gt;=LCOE!I$26,A138&lt;=(LCOE!I$26+LCOE!I$27-1)),LCOE!I$42/LCOE!I$27,0)+IF(AND(D138=0,AE138&gt;=LCOE!I$16,COUNTIF(D113:D138,0)=LCOE!I$36),LCOE!I$35*LCOE!I$38,0)</f>
        <v>0</v>
      </c>
      <c r="D138" s="16">
        <f>IF(AE137&lt;LCOE!I$16,1,0)</f>
        <v>0</v>
      </c>
      <c r="E138" s="12">
        <f>LCOE!G164+IF(AND(A138&gt;=LCOE!I$26,A138&lt;=(LCOE!I$26+LCOE!I$27-1)),0,1)*IF(A138=LCOE!I$34,0,1)*D138</f>
        <v>0</v>
      </c>
      <c r="F138" s="12">
        <f>IF(F137&lt;LCOE!I$18,MIN(F137*(1+LCOE!I$19),LCOE!I$18),LCOE!I$18)+LCOE!J164</f>
        <v>0.9</v>
      </c>
      <c r="G138" s="16">
        <f>LCOE!K164+E138*F138*N138*(LCOE!I$14+LCOE!H164)*24*365*D138</f>
        <v>0</v>
      </c>
      <c r="H138" s="16">
        <f>LCOE!L164+F138*(LCOE!I$15+LCOE!I164)*E138*24*365*D138*N138</f>
        <v>0</v>
      </c>
      <c r="I138" s="16">
        <f>LCOE!M164+LCOE!I$20*IF(LCOE!I$14&gt;0,(LCOE!I$14+LCOE!H164),(LCOE!I$15+LCOE!I164))*K138*D138</f>
        <v>0</v>
      </c>
      <c r="J138" s="16">
        <f>LCOE!N164+LCOE!I$21*IF(LCOE!I$14&gt;0,G138,H138)*K138*D138</f>
        <v>0</v>
      </c>
      <c r="K138" s="15">
        <f>LCOE!O164+K137+K137*LCOE!I$22</f>
        <v>1</v>
      </c>
      <c r="L138" s="16">
        <f>LCOE!P164+LCOE!I$23*IF(LCOE!I$14&gt;0,G138,H138)*M138*D138</f>
        <v>0</v>
      </c>
      <c r="M138" s="15">
        <f>LCOE!Q164+M137+M137*LCOE!I$24</f>
        <v>1</v>
      </c>
      <c r="N138" s="15">
        <f>LCOE!R164+N137-N137*LCOE!I$25</f>
        <v>1</v>
      </c>
      <c r="O138" s="18">
        <f>LCOE!S164+LCOE!I$29</f>
        <v>313.75</v>
      </c>
      <c r="P138" s="12">
        <f>LCOE!T164+IF(A138&gt;=LCOE!I$30,100%,0%)</f>
        <v>1</v>
      </c>
      <c r="Q138" s="16">
        <f>LCOE!U164+O138/1000*IF(LCOE!I$14&gt;0,G138,H138)</f>
        <v>0</v>
      </c>
      <c r="R138" s="16">
        <f>LCOE!B164</f>
        <v>30</v>
      </c>
      <c r="S138" s="16">
        <f>LCOE!V164+Q138*P138*R138</f>
        <v>0</v>
      </c>
      <c r="T138" s="16">
        <f>LCOE!W164+LCOE!I$31</f>
        <v>0</v>
      </c>
      <c r="U138" s="16">
        <f>LCOE!X164+T138*IF(LCOE!I$14&gt;0,G138,H138)</f>
        <v>0</v>
      </c>
      <c r="V138" s="16">
        <f>LCOE!Y164+LCOE!I$32</f>
        <v>0</v>
      </c>
      <c r="W138" s="16">
        <f>LCOE!Z164+V138*IF(LCOE!I$14&gt;0,G138,H138)</f>
        <v>0</v>
      </c>
      <c r="X138" s="16">
        <f>LCOE!AA164+LCOE!I$34</f>
        <v>101</v>
      </c>
      <c r="Y138" s="16">
        <f t="shared" si="29"/>
        <v>0</v>
      </c>
      <c r="Z138" s="50">
        <f t="shared" si="32"/>
        <v>0</v>
      </c>
      <c r="AA138" s="50">
        <f t="shared" si="33"/>
        <v>0</v>
      </c>
      <c r="AB138" s="50">
        <f t="shared" si="34"/>
        <v>0</v>
      </c>
      <c r="AC138" s="50">
        <f t="shared" si="30"/>
        <v>0</v>
      </c>
      <c r="AD138" s="50">
        <f t="shared" si="25"/>
        <v>0</v>
      </c>
      <c r="AE138">
        <f t="shared" si="31"/>
        <v>30</v>
      </c>
      <c r="AF138" s="12">
        <f>LCOE!E164+LCOE!I$40</f>
        <v>0.1</v>
      </c>
      <c r="AG138">
        <f t="shared" si="26"/>
        <v>652.6834353714404</v>
      </c>
      <c r="AH138" s="16">
        <f t="shared" si="21"/>
        <v>0</v>
      </c>
      <c r="AI138" s="16">
        <f t="shared" si="22"/>
        <v>0</v>
      </c>
      <c r="AJ138" s="16">
        <f t="shared" si="23"/>
        <v>0</v>
      </c>
      <c r="AK138" s="16">
        <f t="shared" si="24"/>
        <v>0</v>
      </c>
      <c r="AL138" s="16">
        <f t="shared" si="27"/>
        <v>0</v>
      </c>
      <c r="AM138" s="16">
        <f t="shared" si="28"/>
        <v>0</v>
      </c>
      <c r="AN138" s="16">
        <f>IF(LCOE!I$14&gt;0,G138,H138)/AG138</f>
        <v>0</v>
      </c>
    </row>
    <row r="139" spans="1:40">
      <c r="A139">
        <v>69</v>
      </c>
      <c r="C139" s="16">
        <f>LCOE!I165+IF(AND(LCOE!I$26&gt;0,A139&gt;=LCOE!I$26,A139&lt;=(LCOE!I$26+LCOE!I$27-1)),LCOE!I$42/LCOE!I$27,0)+IF(AND(D139=0,AE139&gt;=LCOE!I$16,COUNTIF(D114:D139,0)=LCOE!I$36),LCOE!I$35*LCOE!I$38,0)</f>
        <v>0</v>
      </c>
      <c r="D139" s="16">
        <f>IF(AE138&lt;LCOE!I$16,1,0)</f>
        <v>0</v>
      </c>
      <c r="E139" s="12">
        <f>LCOE!G165+IF(AND(A139&gt;=LCOE!I$26,A139&lt;=(LCOE!I$26+LCOE!I$27-1)),0,1)*IF(A139=LCOE!I$34,0,1)*D139</f>
        <v>0</v>
      </c>
      <c r="F139" s="12">
        <f>IF(F138&lt;LCOE!I$18,MIN(F138*(1+LCOE!I$19),LCOE!I$18),LCOE!I$18)+LCOE!J165</f>
        <v>0.9</v>
      </c>
      <c r="G139" s="16">
        <f>LCOE!K165+E139*F139*N139*(LCOE!I$14+LCOE!H165)*24*365*D139</f>
        <v>0</v>
      </c>
      <c r="H139" s="16">
        <f>LCOE!L165+F139*(LCOE!I$15+LCOE!I165)*E139*24*365*D139*N139</f>
        <v>0</v>
      </c>
      <c r="I139" s="16">
        <f>LCOE!M165+LCOE!I$20*IF(LCOE!I$14&gt;0,(LCOE!I$14+LCOE!H165),(LCOE!I$15+LCOE!I165))*K139*D139</f>
        <v>0</v>
      </c>
      <c r="J139" s="16">
        <f>LCOE!N165+LCOE!I$21*IF(LCOE!I$14&gt;0,G139,H139)*K139*D139</f>
        <v>0</v>
      </c>
      <c r="K139" s="15">
        <f>LCOE!O165+K138+K138*LCOE!I$22</f>
        <v>1</v>
      </c>
      <c r="L139" s="16">
        <f>LCOE!P165+LCOE!I$23*IF(LCOE!I$14&gt;0,G139,H139)*M139*D139</f>
        <v>0</v>
      </c>
      <c r="M139" s="15">
        <f>LCOE!Q165+M138+M138*LCOE!I$24</f>
        <v>1</v>
      </c>
      <c r="N139" s="15">
        <f>LCOE!R165+N138-N138*LCOE!I$25</f>
        <v>1</v>
      </c>
      <c r="O139" s="18">
        <f>LCOE!S165+LCOE!I$29</f>
        <v>313.75</v>
      </c>
      <c r="P139" s="12">
        <f>LCOE!T165+IF(A139&gt;=LCOE!I$30,100%,0%)</f>
        <v>1</v>
      </c>
      <c r="Q139" s="16">
        <f>LCOE!U165+O139/1000*IF(LCOE!I$14&gt;0,G139,H139)</f>
        <v>0</v>
      </c>
      <c r="R139" s="16">
        <f>LCOE!B165</f>
        <v>30</v>
      </c>
      <c r="S139" s="16">
        <f>LCOE!V165+Q139*P139*R139</f>
        <v>0</v>
      </c>
      <c r="T139" s="16">
        <f>LCOE!W165+LCOE!I$31</f>
        <v>0</v>
      </c>
      <c r="U139" s="16">
        <f>LCOE!X165+T139*IF(LCOE!I$14&gt;0,G139,H139)</f>
        <v>0</v>
      </c>
      <c r="V139" s="16">
        <f>LCOE!Y165+LCOE!I$32</f>
        <v>0</v>
      </c>
      <c r="W139" s="16">
        <f>LCOE!Z165+V139*IF(LCOE!I$14&gt;0,G139,H139)</f>
        <v>0</v>
      </c>
      <c r="X139" s="16">
        <f>LCOE!AA165+LCOE!I$34</f>
        <v>101</v>
      </c>
      <c r="Y139" s="16">
        <f t="shared" si="29"/>
        <v>0</v>
      </c>
      <c r="Z139" s="50">
        <f t="shared" si="32"/>
        <v>0</v>
      </c>
      <c r="AA139" s="50">
        <f t="shared" si="33"/>
        <v>0</v>
      </c>
      <c r="AB139" s="50">
        <f t="shared" si="34"/>
        <v>0</v>
      </c>
      <c r="AC139" s="50">
        <f t="shared" si="30"/>
        <v>0</v>
      </c>
      <c r="AD139" s="50">
        <f t="shared" si="25"/>
        <v>0</v>
      </c>
      <c r="AE139">
        <f t="shared" si="31"/>
        <v>30</v>
      </c>
      <c r="AF139" s="12">
        <f>LCOE!E165+LCOE!I$40</f>
        <v>0.1</v>
      </c>
      <c r="AG139">
        <f t="shared" si="26"/>
        <v>717.95177890858452</v>
      </c>
      <c r="AH139" s="16">
        <f t="shared" si="21"/>
        <v>0</v>
      </c>
      <c r="AI139" s="16">
        <f t="shared" si="22"/>
        <v>0</v>
      </c>
      <c r="AJ139" s="16">
        <f t="shared" si="23"/>
        <v>0</v>
      </c>
      <c r="AK139" s="16">
        <f t="shared" si="24"/>
        <v>0</v>
      </c>
      <c r="AL139" s="16">
        <f t="shared" si="27"/>
        <v>0</v>
      </c>
      <c r="AM139" s="16">
        <f t="shared" si="28"/>
        <v>0</v>
      </c>
      <c r="AN139" s="16">
        <f>IF(LCOE!I$14&gt;0,G139,H139)/AG139</f>
        <v>0</v>
      </c>
    </row>
    <row r="140" spans="1:40">
      <c r="A140">
        <v>70</v>
      </c>
      <c r="C140" s="16">
        <f>LCOE!I166+IF(AND(LCOE!I$26&gt;0,A140&gt;=LCOE!I$26,A140&lt;=(LCOE!I$26+LCOE!I$27-1)),LCOE!I$42/LCOE!I$27,0)+IF(AND(D140=0,AE140&gt;=LCOE!I$16,COUNTIF(D115:D140,0)=LCOE!I$36),LCOE!I$35*LCOE!I$38,0)</f>
        <v>0</v>
      </c>
      <c r="D140" s="16">
        <f>IF(AE139&lt;LCOE!I$16,1,0)</f>
        <v>0</v>
      </c>
      <c r="E140" s="12">
        <f>LCOE!G166+IF(AND(A140&gt;=LCOE!I$26,A140&lt;=(LCOE!I$26+LCOE!I$27-1)),0,1)*IF(A140=LCOE!I$34,0,1)*D140</f>
        <v>0</v>
      </c>
      <c r="F140" s="12">
        <f>IF(F139&lt;LCOE!I$18,MIN(F139*(1+LCOE!I$19),LCOE!I$18),LCOE!I$18)+LCOE!J166</f>
        <v>0.9</v>
      </c>
      <c r="G140" s="16">
        <f>LCOE!K166+E140*F140*N140*(LCOE!I$14+LCOE!H166)*24*365*D140</f>
        <v>0</v>
      </c>
      <c r="H140" s="16">
        <f>LCOE!L166+F140*(LCOE!I$15+LCOE!I166)*E140*24*365*D140*N140</f>
        <v>0</v>
      </c>
      <c r="I140" s="16">
        <f>LCOE!M166+LCOE!I$20*IF(LCOE!I$14&gt;0,(LCOE!I$14+LCOE!H166),(LCOE!I$15+LCOE!I166))*K140*D140</f>
        <v>0</v>
      </c>
      <c r="J140" s="16">
        <f>LCOE!N166+LCOE!I$21*IF(LCOE!I$14&gt;0,G140,H140)*K140*D140</f>
        <v>0</v>
      </c>
      <c r="K140" s="15">
        <f>LCOE!O166+K139+K139*LCOE!I$22</f>
        <v>1</v>
      </c>
      <c r="L140" s="16">
        <f>LCOE!P166+LCOE!I$23*IF(LCOE!I$14&gt;0,G140,H140)*M140*D140</f>
        <v>0</v>
      </c>
      <c r="M140" s="15">
        <f>LCOE!Q166+M139+M139*LCOE!I$24</f>
        <v>1</v>
      </c>
      <c r="N140" s="15">
        <f>LCOE!R166+N139-N139*LCOE!I$25</f>
        <v>1</v>
      </c>
      <c r="O140" s="18">
        <f>LCOE!S166+LCOE!I$29</f>
        <v>313.75</v>
      </c>
      <c r="P140" s="12">
        <f>LCOE!T166+IF(A140&gt;=LCOE!I$30,100%,0%)</f>
        <v>1</v>
      </c>
      <c r="Q140" s="16">
        <f>LCOE!U166+O140/1000*IF(LCOE!I$14&gt;0,G140,H140)</f>
        <v>0</v>
      </c>
      <c r="R140" s="16">
        <f>LCOE!B166</f>
        <v>30</v>
      </c>
      <c r="S140" s="16">
        <f>LCOE!V166+Q140*P140*R140</f>
        <v>0</v>
      </c>
      <c r="T140" s="16">
        <f>LCOE!W166+LCOE!I$31</f>
        <v>0</v>
      </c>
      <c r="U140" s="16">
        <f>LCOE!X166+T140*IF(LCOE!I$14&gt;0,G140,H140)</f>
        <v>0</v>
      </c>
      <c r="V140" s="16">
        <f>LCOE!Y166+LCOE!I$32</f>
        <v>0</v>
      </c>
      <c r="W140" s="16">
        <f>LCOE!Z166+V140*IF(LCOE!I$14&gt;0,G140,H140)</f>
        <v>0</v>
      </c>
      <c r="X140" s="16">
        <f>LCOE!AA166+LCOE!I$34</f>
        <v>101</v>
      </c>
      <c r="Y140" s="16">
        <f t="shared" si="29"/>
        <v>0</v>
      </c>
      <c r="Z140" s="50">
        <f t="shared" si="32"/>
        <v>0</v>
      </c>
      <c r="AA140" s="50">
        <f t="shared" si="33"/>
        <v>0</v>
      </c>
      <c r="AB140" s="50">
        <f t="shared" si="34"/>
        <v>0</v>
      </c>
      <c r="AC140" s="50">
        <f t="shared" si="30"/>
        <v>0</v>
      </c>
      <c r="AD140" s="50">
        <f t="shared" si="25"/>
        <v>0</v>
      </c>
      <c r="AE140">
        <f t="shared" si="31"/>
        <v>30</v>
      </c>
      <c r="AF140" s="12">
        <f>LCOE!E166+LCOE!I$40</f>
        <v>0.1</v>
      </c>
      <c r="AG140">
        <f t="shared" si="26"/>
        <v>789.74695679944307</v>
      </c>
      <c r="AH140" s="16">
        <f t="shared" si="21"/>
        <v>0</v>
      </c>
      <c r="AI140" s="16">
        <f t="shared" si="22"/>
        <v>0</v>
      </c>
      <c r="AJ140" s="16">
        <f t="shared" si="23"/>
        <v>0</v>
      </c>
      <c r="AK140" s="16">
        <f t="shared" si="24"/>
        <v>0</v>
      </c>
      <c r="AL140" s="16">
        <f t="shared" si="27"/>
        <v>0</v>
      </c>
      <c r="AM140" s="16">
        <f t="shared" si="28"/>
        <v>0</v>
      </c>
      <c r="AN140" s="16">
        <f>IF(LCOE!I$14&gt;0,G140,H140)/AG140</f>
        <v>0</v>
      </c>
    </row>
    <row r="141" spans="1:40">
      <c r="A141">
        <v>71</v>
      </c>
      <c r="C141" s="16">
        <f>LCOE!I167+IF(AND(LCOE!I$26&gt;0,A141&gt;=LCOE!I$26,A141&lt;=(LCOE!I$26+LCOE!I$27-1)),LCOE!I$42/LCOE!I$27,0)+IF(AND(D141=0,AE141&gt;=LCOE!I$16,COUNTIF(D116:D141,0)=LCOE!I$36),LCOE!I$35*LCOE!I$38,0)</f>
        <v>0</v>
      </c>
      <c r="D141" s="16">
        <f>IF(AE140&lt;LCOE!I$16,1,0)</f>
        <v>0</v>
      </c>
      <c r="E141" s="12">
        <f>LCOE!G167+IF(AND(A141&gt;=LCOE!I$26,A141&lt;=(LCOE!I$26+LCOE!I$27-1)),0,1)*IF(A141=LCOE!I$34,0,1)*D141</f>
        <v>0</v>
      </c>
      <c r="F141" s="12">
        <f>IF(F140&lt;LCOE!I$18,MIN(F140*(1+LCOE!I$19),LCOE!I$18),LCOE!I$18)+LCOE!J167</f>
        <v>0.9</v>
      </c>
      <c r="G141" s="16">
        <f>LCOE!K167+E141*F141*N141*(LCOE!I$14+LCOE!H167)*24*365*D141</f>
        <v>0</v>
      </c>
      <c r="H141" s="16">
        <f>LCOE!L167+F141*(LCOE!I$15+LCOE!I167)*E141*24*365*D141*N141</f>
        <v>0</v>
      </c>
      <c r="I141" s="16">
        <f>LCOE!M167+LCOE!I$20*IF(LCOE!I$14&gt;0,(LCOE!I$14+LCOE!H167),(LCOE!I$15+LCOE!I167))*K141*D141</f>
        <v>0</v>
      </c>
      <c r="J141" s="16">
        <f>LCOE!N167+LCOE!I$21*IF(LCOE!I$14&gt;0,G141,H141)*K141*D141</f>
        <v>0</v>
      </c>
      <c r="K141" s="15">
        <f>LCOE!O167+K140+K140*LCOE!I$22</f>
        <v>1</v>
      </c>
      <c r="L141" s="16">
        <f>LCOE!P167+LCOE!I$23*IF(LCOE!I$14&gt;0,G141,H141)*M141*D141</f>
        <v>0</v>
      </c>
      <c r="M141" s="15">
        <f>LCOE!Q167+M140+M140*LCOE!I$24</f>
        <v>1</v>
      </c>
      <c r="N141" s="15">
        <f>LCOE!R167+N140-N140*LCOE!I$25</f>
        <v>1</v>
      </c>
      <c r="O141" s="18">
        <f>LCOE!S167+LCOE!I$29</f>
        <v>313.75</v>
      </c>
      <c r="P141" s="12">
        <f>LCOE!T167+IF(A141&gt;=LCOE!I$30,100%,0%)</f>
        <v>1</v>
      </c>
      <c r="Q141" s="16">
        <f>LCOE!U167+O141/1000*IF(LCOE!I$14&gt;0,G141,H141)</f>
        <v>0</v>
      </c>
      <c r="R141" s="16">
        <f>LCOE!B167</f>
        <v>30</v>
      </c>
      <c r="S141" s="16">
        <f>LCOE!V167+Q141*P141*R141</f>
        <v>0</v>
      </c>
      <c r="T141" s="16">
        <f>LCOE!W167+LCOE!I$31</f>
        <v>0</v>
      </c>
      <c r="U141" s="16">
        <f>LCOE!X167+T141*IF(LCOE!I$14&gt;0,G141,H141)</f>
        <v>0</v>
      </c>
      <c r="V141" s="16">
        <f>LCOE!Y167+LCOE!I$32</f>
        <v>0</v>
      </c>
      <c r="W141" s="16">
        <f>LCOE!Z167+V141*IF(LCOE!I$14&gt;0,G141,H141)</f>
        <v>0</v>
      </c>
      <c r="X141" s="16">
        <f>LCOE!AA167+LCOE!I$34</f>
        <v>101</v>
      </c>
      <c r="Y141" s="16">
        <f t="shared" si="29"/>
        <v>0</v>
      </c>
      <c r="Z141" s="50">
        <f t="shared" si="32"/>
        <v>0</v>
      </c>
      <c r="AA141" s="50">
        <f t="shared" si="33"/>
        <v>0</v>
      </c>
      <c r="AB141" s="50">
        <f t="shared" si="34"/>
        <v>0</v>
      </c>
      <c r="AC141" s="50">
        <f t="shared" si="30"/>
        <v>0</v>
      </c>
      <c r="AD141" s="50">
        <f t="shared" si="25"/>
        <v>0</v>
      </c>
      <c r="AE141">
        <f t="shared" si="31"/>
        <v>30</v>
      </c>
      <c r="AF141" s="12">
        <f>LCOE!E167+LCOE!I$40</f>
        <v>0.1</v>
      </c>
      <c r="AG141">
        <f t="shared" si="26"/>
        <v>868.72165247938744</v>
      </c>
      <c r="AH141" s="16">
        <f t="shared" si="21"/>
        <v>0</v>
      </c>
      <c r="AI141" s="16">
        <f t="shared" si="22"/>
        <v>0</v>
      </c>
      <c r="AJ141" s="16">
        <f t="shared" si="23"/>
        <v>0</v>
      </c>
      <c r="AK141" s="16">
        <f t="shared" si="24"/>
        <v>0</v>
      </c>
      <c r="AL141" s="16">
        <f t="shared" si="27"/>
        <v>0</v>
      </c>
      <c r="AM141" s="16">
        <f t="shared" si="28"/>
        <v>0</v>
      </c>
      <c r="AN141" s="16">
        <f>IF(LCOE!I$14&gt;0,G141,H141)/AG141</f>
        <v>0</v>
      </c>
    </row>
    <row r="142" spans="1:40">
      <c r="A142">
        <v>72</v>
      </c>
      <c r="C142" s="16">
        <f>LCOE!I168+IF(AND(LCOE!I$26&gt;0,A142&gt;=LCOE!I$26,A142&lt;=(LCOE!I$26+LCOE!I$27-1)),LCOE!I$42/LCOE!I$27,0)+IF(AND(D142=0,AE142&gt;=LCOE!I$16,COUNTIF(D117:D142,0)=LCOE!I$36),LCOE!I$35*LCOE!I$38,0)</f>
        <v>0</v>
      </c>
      <c r="D142" s="16">
        <f>IF(AE141&lt;LCOE!I$16,1,0)</f>
        <v>0</v>
      </c>
      <c r="E142" s="12">
        <f>LCOE!G168+IF(AND(A142&gt;=LCOE!I$26,A142&lt;=(LCOE!I$26+LCOE!I$27-1)),0,1)*IF(A142=LCOE!I$34,0,1)*D142</f>
        <v>0</v>
      </c>
      <c r="F142" s="12">
        <f>IF(F141&lt;LCOE!I$18,MIN(F141*(1+LCOE!I$19),LCOE!I$18),LCOE!I$18)+LCOE!J168</f>
        <v>0.9</v>
      </c>
      <c r="G142" s="16">
        <f>LCOE!K168+E142*F142*N142*(LCOE!I$14+LCOE!H168)*24*365*D142</f>
        <v>0</v>
      </c>
      <c r="H142" s="16">
        <f>LCOE!L168+F142*(LCOE!I$15+LCOE!I168)*E142*24*365*D142*N142</f>
        <v>0</v>
      </c>
      <c r="I142" s="16">
        <f>LCOE!M168+LCOE!I$20*IF(LCOE!I$14&gt;0,(LCOE!I$14+LCOE!H168),(LCOE!I$15+LCOE!I168))*K142*D142</f>
        <v>0</v>
      </c>
      <c r="J142" s="16">
        <f>LCOE!N168+LCOE!I$21*IF(LCOE!I$14&gt;0,G142,H142)*K142*D142</f>
        <v>0</v>
      </c>
      <c r="K142" s="15">
        <f>LCOE!O168+K141+K141*LCOE!I$22</f>
        <v>1</v>
      </c>
      <c r="L142" s="16">
        <f>LCOE!P168+LCOE!I$23*IF(LCOE!I$14&gt;0,G142,H142)*M142*D142</f>
        <v>0</v>
      </c>
      <c r="M142" s="15">
        <f>LCOE!Q168+M141+M141*LCOE!I$24</f>
        <v>1</v>
      </c>
      <c r="N142" s="15">
        <f>LCOE!R168+N141-N141*LCOE!I$25</f>
        <v>1</v>
      </c>
      <c r="O142" s="18">
        <f>LCOE!S168+LCOE!I$29</f>
        <v>313.75</v>
      </c>
      <c r="P142" s="12">
        <f>LCOE!T168+IF(A142&gt;=LCOE!I$30,100%,0%)</f>
        <v>1</v>
      </c>
      <c r="Q142" s="16">
        <f>LCOE!U168+O142/1000*IF(LCOE!I$14&gt;0,G142,H142)</f>
        <v>0</v>
      </c>
      <c r="R142" s="16">
        <f>LCOE!B168</f>
        <v>30</v>
      </c>
      <c r="S142" s="16">
        <f>LCOE!V168+Q142*P142*R142</f>
        <v>0</v>
      </c>
      <c r="T142" s="16">
        <f>LCOE!W168+LCOE!I$31</f>
        <v>0</v>
      </c>
      <c r="U142" s="16">
        <f>LCOE!X168+T142*IF(LCOE!I$14&gt;0,G142,H142)</f>
        <v>0</v>
      </c>
      <c r="V142" s="16">
        <f>LCOE!Y168+LCOE!I$32</f>
        <v>0</v>
      </c>
      <c r="W142" s="16">
        <f>LCOE!Z168+V142*IF(LCOE!I$14&gt;0,G142,H142)</f>
        <v>0</v>
      </c>
      <c r="X142" s="16">
        <f>LCOE!AA168+LCOE!I$34</f>
        <v>101</v>
      </c>
      <c r="Y142" s="16">
        <f t="shared" si="29"/>
        <v>0</v>
      </c>
      <c r="Z142" s="50">
        <f t="shared" si="32"/>
        <v>0</v>
      </c>
      <c r="AA142" s="50">
        <f t="shared" si="33"/>
        <v>0</v>
      </c>
      <c r="AB142" s="50">
        <f t="shared" si="34"/>
        <v>0</v>
      </c>
      <c r="AC142" s="50">
        <f t="shared" si="30"/>
        <v>0</v>
      </c>
      <c r="AD142" s="50">
        <f t="shared" si="25"/>
        <v>0</v>
      </c>
      <c r="AE142">
        <f t="shared" si="31"/>
        <v>30</v>
      </c>
      <c r="AF142" s="12">
        <f>LCOE!E168+LCOE!I$40</f>
        <v>0.1</v>
      </c>
      <c r="AG142">
        <f t="shared" si="26"/>
        <v>955.59381772732615</v>
      </c>
      <c r="AH142" s="16">
        <f t="shared" si="21"/>
        <v>0</v>
      </c>
      <c r="AI142" s="16">
        <f t="shared" si="22"/>
        <v>0</v>
      </c>
      <c r="AJ142" s="16">
        <f t="shared" si="23"/>
        <v>0</v>
      </c>
      <c r="AK142" s="16">
        <f t="shared" si="24"/>
        <v>0</v>
      </c>
      <c r="AL142" s="16">
        <f t="shared" si="27"/>
        <v>0</v>
      </c>
      <c r="AM142" s="16">
        <f t="shared" si="28"/>
        <v>0</v>
      </c>
      <c r="AN142" s="16">
        <f>IF(LCOE!I$14&gt;0,G142,H142)/AG142</f>
        <v>0</v>
      </c>
    </row>
    <row r="143" spans="1:40">
      <c r="A143">
        <v>73</v>
      </c>
      <c r="C143" s="16">
        <f>LCOE!I169+IF(AND(LCOE!I$26&gt;0,A143&gt;=LCOE!I$26,A143&lt;=(LCOE!I$26+LCOE!I$27-1)),LCOE!I$42/LCOE!I$27,0)+IF(AND(D143=0,AE143&gt;=LCOE!I$16,COUNTIF(D118:D143,0)=LCOE!I$36),LCOE!I$35*LCOE!I$38,0)</f>
        <v>0</v>
      </c>
      <c r="D143" s="16">
        <f>IF(AE142&lt;LCOE!I$16,1,0)</f>
        <v>0</v>
      </c>
      <c r="E143" s="12">
        <f>LCOE!G169+IF(AND(A143&gt;=LCOE!I$26,A143&lt;=(LCOE!I$26+LCOE!I$27-1)),0,1)*IF(A143=LCOE!I$34,0,1)*D143</f>
        <v>0</v>
      </c>
      <c r="F143" s="12">
        <f>IF(F142&lt;LCOE!I$18,MIN(F142*(1+LCOE!I$19),LCOE!I$18),LCOE!I$18)+LCOE!J169</f>
        <v>0.9</v>
      </c>
      <c r="G143" s="16">
        <f>LCOE!K169+E143*F143*N143*(LCOE!I$14+LCOE!H169)*24*365*D143</f>
        <v>0</v>
      </c>
      <c r="H143" s="16">
        <f>LCOE!L169+F143*(LCOE!I$15+LCOE!I169)*E143*24*365*D143*N143</f>
        <v>0</v>
      </c>
      <c r="I143" s="16">
        <f>LCOE!M169+LCOE!I$20*IF(LCOE!I$14&gt;0,(LCOE!I$14+LCOE!H169),(LCOE!I$15+LCOE!I169))*K143*D143</f>
        <v>0</v>
      </c>
      <c r="J143" s="16">
        <f>LCOE!N169+LCOE!I$21*IF(LCOE!I$14&gt;0,G143,H143)*K143*D143</f>
        <v>0</v>
      </c>
      <c r="K143" s="15">
        <f>LCOE!O169+K142+K142*LCOE!I$22</f>
        <v>1</v>
      </c>
      <c r="L143" s="16">
        <f>LCOE!P169+LCOE!I$23*IF(LCOE!I$14&gt;0,G143,H143)*M143*D143</f>
        <v>0</v>
      </c>
      <c r="M143" s="15">
        <f>LCOE!Q169+M142+M142*LCOE!I$24</f>
        <v>1</v>
      </c>
      <c r="N143" s="15">
        <f>LCOE!R169+N142-N142*LCOE!I$25</f>
        <v>1</v>
      </c>
      <c r="O143" s="18">
        <f>LCOE!S169+LCOE!I$29</f>
        <v>313.75</v>
      </c>
      <c r="P143" s="12">
        <f>LCOE!T169+IF(A143&gt;=LCOE!I$30,100%,0%)</f>
        <v>1</v>
      </c>
      <c r="Q143" s="16">
        <f>LCOE!U169+O143/1000*IF(LCOE!I$14&gt;0,G143,H143)</f>
        <v>0</v>
      </c>
      <c r="R143" s="16">
        <f>LCOE!B169</f>
        <v>30</v>
      </c>
      <c r="S143" s="16">
        <f>LCOE!V169+Q143*P143*R143</f>
        <v>0</v>
      </c>
      <c r="T143" s="16">
        <f>LCOE!W169+LCOE!I$31</f>
        <v>0</v>
      </c>
      <c r="U143" s="16">
        <f>LCOE!X169+T143*IF(LCOE!I$14&gt;0,G143,H143)</f>
        <v>0</v>
      </c>
      <c r="V143" s="16">
        <f>LCOE!Y169+LCOE!I$32</f>
        <v>0</v>
      </c>
      <c r="W143" s="16">
        <f>LCOE!Z169+V143*IF(LCOE!I$14&gt;0,G143,H143)</f>
        <v>0</v>
      </c>
      <c r="X143" s="16">
        <f>LCOE!AA169+LCOE!I$34</f>
        <v>101</v>
      </c>
      <c r="Y143" s="16">
        <f t="shared" si="29"/>
        <v>0</v>
      </c>
      <c r="Z143" s="50">
        <f t="shared" si="32"/>
        <v>0</v>
      </c>
      <c r="AA143" s="50">
        <f t="shared" si="33"/>
        <v>0</v>
      </c>
      <c r="AB143" s="50">
        <f t="shared" si="34"/>
        <v>0</v>
      </c>
      <c r="AC143" s="50">
        <f t="shared" si="30"/>
        <v>0</v>
      </c>
      <c r="AD143" s="50">
        <f t="shared" si="25"/>
        <v>0</v>
      </c>
      <c r="AE143">
        <f t="shared" si="31"/>
        <v>30</v>
      </c>
      <c r="AF143" s="12">
        <f>LCOE!E169+LCOE!I$40</f>
        <v>0.1</v>
      </c>
      <c r="AG143">
        <f t="shared" si="26"/>
        <v>1051.1531995000589</v>
      </c>
      <c r="AH143" s="16">
        <f t="shared" si="21"/>
        <v>0</v>
      </c>
      <c r="AI143" s="16">
        <f t="shared" si="22"/>
        <v>0</v>
      </c>
      <c r="AJ143" s="16">
        <f t="shared" si="23"/>
        <v>0</v>
      </c>
      <c r="AK143" s="16">
        <f t="shared" si="24"/>
        <v>0</v>
      </c>
      <c r="AL143" s="16">
        <f t="shared" si="27"/>
        <v>0</v>
      </c>
      <c r="AM143" s="16">
        <f t="shared" si="28"/>
        <v>0</v>
      </c>
      <c r="AN143" s="16">
        <f>IF(LCOE!I$14&gt;0,G143,H143)/AG143</f>
        <v>0</v>
      </c>
    </row>
    <row r="144" spans="1:40">
      <c r="A144">
        <v>74</v>
      </c>
      <c r="C144" s="16">
        <f>LCOE!I170+IF(AND(LCOE!I$26&gt;0,A144&gt;=LCOE!I$26,A144&lt;=(LCOE!I$26+LCOE!I$27-1)),LCOE!I$42/LCOE!I$27,0)+IF(AND(D144=0,AE144&gt;=LCOE!I$16,COUNTIF(D119:D144,0)=LCOE!I$36),LCOE!I$35*LCOE!I$38,0)</f>
        <v>0</v>
      </c>
      <c r="D144" s="16">
        <f>IF(AE143&lt;LCOE!I$16,1,0)</f>
        <v>0</v>
      </c>
      <c r="E144" s="12">
        <f>LCOE!G170+IF(AND(A144&gt;=LCOE!I$26,A144&lt;=(LCOE!I$26+LCOE!I$27-1)),0,1)*IF(A144=LCOE!I$34,0,1)*D144</f>
        <v>0</v>
      </c>
      <c r="F144" s="12">
        <f>IF(F143&lt;LCOE!I$18,MIN(F143*(1+LCOE!I$19),LCOE!I$18),LCOE!I$18)+LCOE!J170</f>
        <v>0.9</v>
      </c>
      <c r="G144" s="16">
        <f>LCOE!K170+E144*F144*N144*(LCOE!I$14+LCOE!H170)*24*365*D144</f>
        <v>0</v>
      </c>
      <c r="H144" s="16">
        <f>LCOE!L170+F144*(LCOE!I$15+LCOE!I170)*E144*24*365*D144*N144</f>
        <v>0</v>
      </c>
      <c r="I144" s="16">
        <f>LCOE!M170+LCOE!I$20*IF(LCOE!I$14&gt;0,(LCOE!I$14+LCOE!H170),(LCOE!I$15+LCOE!I170))*K144*D144</f>
        <v>0</v>
      </c>
      <c r="J144" s="16">
        <f>LCOE!N170+LCOE!I$21*IF(LCOE!I$14&gt;0,G144,H144)*K144*D144</f>
        <v>0</v>
      </c>
      <c r="K144" s="15">
        <f>LCOE!O170+K143+K143*LCOE!I$22</f>
        <v>1</v>
      </c>
      <c r="L144" s="16">
        <f>LCOE!P170+LCOE!I$23*IF(LCOE!I$14&gt;0,G144,H144)*M144*D144</f>
        <v>0</v>
      </c>
      <c r="M144" s="15">
        <f>LCOE!Q170+M143+M143*LCOE!I$24</f>
        <v>1</v>
      </c>
      <c r="N144" s="15">
        <f>LCOE!R170+N143-N143*LCOE!I$25</f>
        <v>1</v>
      </c>
      <c r="O144" s="18">
        <f>LCOE!S170+LCOE!I$29</f>
        <v>313.75</v>
      </c>
      <c r="P144" s="12">
        <f>LCOE!T170+IF(A144&gt;=LCOE!I$30,100%,0%)</f>
        <v>1</v>
      </c>
      <c r="Q144" s="16">
        <f>LCOE!U170+O144/1000*IF(LCOE!I$14&gt;0,G144,H144)</f>
        <v>0</v>
      </c>
      <c r="R144" s="16">
        <f>LCOE!B170</f>
        <v>30</v>
      </c>
      <c r="S144" s="16">
        <f>LCOE!V170+Q144*P144*R144</f>
        <v>0</v>
      </c>
      <c r="T144" s="16">
        <f>LCOE!W170+LCOE!I$31</f>
        <v>0</v>
      </c>
      <c r="U144" s="16">
        <f>LCOE!X170+T144*IF(LCOE!I$14&gt;0,G144,H144)</f>
        <v>0</v>
      </c>
      <c r="V144" s="16">
        <f>LCOE!Y170+LCOE!I$32</f>
        <v>0</v>
      </c>
      <c r="W144" s="16">
        <f>LCOE!Z170+V144*IF(LCOE!I$14&gt;0,G144,H144)</f>
        <v>0</v>
      </c>
      <c r="X144" s="16">
        <f>LCOE!AA170+LCOE!I$34</f>
        <v>101</v>
      </c>
      <c r="Y144" s="16">
        <f t="shared" si="29"/>
        <v>0</v>
      </c>
      <c r="Z144" s="50">
        <f t="shared" si="32"/>
        <v>0</v>
      </c>
      <c r="AA144" s="50">
        <f t="shared" si="33"/>
        <v>0</v>
      </c>
      <c r="AB144" s="50">
        <f t="shared" si="34"/>
        <v>0</v>
      </c>
      <c r="AC144" s="50">
        <f t="shared" si="30"/>
        <v>0</v>
      </c>
      <c r="AD144" s="50">
        <f t="shared" si="25"/>
        <v>0</v>
      </c>
      <c r="AE144">
        <f t="shared" si="31"/>
        <v>30</v>
      </c>
      <c r="AF144" s="12">
        <f>LCOE!E170+LCOE!I$40</f>
        <v>0.1</v>
      </c>
      <c r="AG144">
        <f t="shared" si="26"/>
        <v>1156.2685194500648</v>
      </c>
      <c r="AH144" s="16">
        <f t="shared" si="21"/>
        <v>0</v>
      </c>
      <c r="AI144" s="16">
        <f t="shared" si="22"/>
        <v>0</v>
      </c>
      <c r="AJ144" s="16">
        <f t="shared" si="23"/>
        <v>0</v>
      </c>
      <c r="AK144" s="16">
        <f t="shared" si="24"/>
        <v>0</v>
      </c>
      <c r="AL144" s="16">
        <f t="shared" si="27"/>
        <v>0</v>
      </c>
      <c r="AM144" s="16">
        <f t="shared" si="28"/>
        <v>0</v>
      </c>
      <c r="AN144" s="16">
        <f>IF(LCOE!I$14&gt;0,G144,H144)/AG144</f>
        <v>0</v>
      </c>
    </row>
    <row r="145" spans="1:40">
      <c r="A145">
        <v>75</v>
      </c>
      <c r="C145" s="16">
        <f>LCOE!I171+IF(AND(LCOE!I$26&gt;0,A145&gt;=LCOE!I$26,A145&lt;=(LCOE!I$26+LCOE!I$27-1)),LCOE!I$42/LCOE!I$27,0)+IF(AND(D145=0,AE145&gt;=LCOE!I$16,COUNTIF(D120:D145,0)=LCOE!I$36),LCOE!I$35*LCOE!I$38,0)</f>
        <v>0</v>
      </c>
      <c r="D145" s="16">
        <f>IF(AE144&lt;LCOE!I$16,1,0)</f>
        <v>0</v>
      </c>
      <c r="E145" s="12">
        <f>LCOE!G171+IF(AND(A145&gt;=LCOE!I$26,A145&lt;=(LCOE!I$26+LCOE!I$27-1)),0,1)*IF(A145=LCOE!I$34,0,1)*D145</f>
        <v>0</v>
      </c>
      <c r="F145" s="12">
        <f>IF(F144&lt;LCOE!I$18,MIN(F144*(1+LCOE!I$19),LCOE!I$18),LCOE!I$18)+LCOE!J171</f>
        <v>0.9</v>
      </c>
      <c r="G145" s="16">
        <f>LCOE!K171+E145*F145*N145*(LCOE!I$14+LCOE!H171)*24*365*D145</f>
        <v>0</v>
      </c>
      <c r="H145" s="16">
        <f>LCOE!L171+F145*(LCOE!I$15+LCOE!I171)*E145*24*365*D145*N145</f>
        <v>0</v>
      </c>
      <c r="I145" s="16">
        <f>LCOE!M171+LCOE!I$20*IF(LCOE!I$14&gt;0,(LCOE!I$14+LCOE!H171),(LCOE!I$15+LCOE!I171))*K145*D145</f>
        <v>0</v>
      </c>
      <c r="J145" s="16">
        <f>LCOE!N171+LCOE!I$21*IF(LCOE!I$14&gt;0,G145,H145)*K145*D145</f>
        <v>0</v>
      </c>
      <c r="K145" s="15">
        <f>LCOE!O171+K144+K144*LCOE!I$22</f>
        <v>1</v>
      </c>
      <c r="L145" s="16">
        <f>LCOE!P171+LCOE!I$23*IF(LCOE!I$14&gt;0,G145,H145)*M145*D145</f>
        <v>0</v>
      </c>
      <c r="M145" s="15">
        <f>LCOE!Q171+M144+M144*LCOE!I$24</f>
        <v>1</v>
      </c>
      <c r="N145" s="15">
        <f>LCOE!R171+N144-N144*LCOE!I$25</f>
        <v>1</v>
      </c>
      <c r="O145" s="18">
        <f>LCOE!S171+LCOE!I$29</f>
        <v>313.75</v>
      </c>
      <c r="P145" s="12">
        <f>LCOE!T171+IF(A145&gt;=LCOE!I$30,100%,0%)</f>
        <v>1</v>
      </c>
      <c r="Q145" s="16">
        <f>LCOE!U171+O145/1000*IF(LCOE!I$14&gt;0,G145,H145)</f>
        <v>0</v>
      </c>
      <c r="R145" s="16">
        <f>LCOE!B171</f>
        <v>30</v>
      </c>
      <c r="S145" s="16">
        <f>LCOE!V171+Q145*P145*R145</f>
        <v>0</v>
      </c>
      <c r="T145" s="16">
        <f>LCOE!W171+LCOE!I$31</f>
        <v>0</v>
      </c>
      <c r="U145" s="16">
        <f>LCOE!X171+T145*IF(LCOE!I$14&gt;0,G145,H145)</f>
        <v>0</v>
      </c>
      <c r="V145" s="16">
        <f>LCOE!Y171+LCOE!I$32</f>
        <v>0</v>
      </c>
      <c r="W145" s="16">
        <f>LCOE!Z171+V145*IF(LCOE!I$14&gt;0,G145,H145)</f>
        <v>0</v>
      </c>
      <c r="X145" s="16">
        <f>LCOE!AA171+LCOE!I$34</f>
        <v>101</v>
      </c>
      <c r="Y145" s="16">
        <f t="shared" si="29"/>
        <v>0</v>
      </c>
      <c r="Z145" s="50">
        <f t="shared" si="32"/>
        <v>0</v>
      </c>
      <c r="AA145" s="50">
        <f t="shared" si="33"/>
        <v>0</v>
      </c>
      <c r="AB145" s="50">
        <f t="shared" si="34"/>
        <v>0</v>
      </c>
      <c r="AC145" s="50">
        <f t="shared" si="30"/>
        <v>0</v>
      </c>
      <c r="AD145" s="50">
        <f t="shared" si="25"/>
        <v>0</v>
      </c>
      <c r="AE145">
        <f t="shared" si="31"/>
        <v>30</v>
      </c>
      <c r="AF145" s="12">
        <f>LCOE!E171+LCOE!I$40</f>
        <v>0.1</v>
      </c>
      <c r="AG145">
        <f t="shared" si="26"/>
        <v>1271.8953713950714</v>
      </c>
      <c r="AH145" s="16">
        <f t="shared" si="21"/>
        <v>0</v>
      </c>
      <c r="AI145" s="16">
        <f t="shared" si="22"/>
        <v>0</v>
      </c>
      <c r="AJ145" s="16">
        <f t="shared" si="23"/>
        <v>0</v>
      </c>
      <c r="AK145" s="16">
        <f t="shared" si="24"/>
        <v>0</v>
      </c>
      <c r="AL145" s="16">
        <f t="shared" si="27"/>
        <v>0</v>
      </c>
      <c r="AM145" s="16">
        <f t="shared" si="28"/>
        <v>0</v>
      </c>
      <c r="AN145" s="16">
        <f>IF(LCOE!I$14&gt;0,G145,H145)/AG145</f>
        <v>0</v>
      </c>
    </row>
    <row r="146" spans="1:40">
      <c r="A146">
        <v>76</v>
      </c>
      <c r="C146" s="16">
        <f>LCOE!I172+IF(AND(LCOE!I$26&gt;0,A146&gt;=LCOE!I$26,A146&lt;=(LCOE!I$26+LCOE!I$27-1)),LCOE!I$42/LCOE!I$27,0)+IF(AND(D146=0,AE146&gt;=LCOE!I$16,COUNTIF(D121:D146,0)=LCOE!I$36),LCOE!I$35*LCOE!I$38,0)</f>
        <v>0</v>
      </c>
      <c r="D146" s="16">
        <f>IF(AE145&lt;LCOE!I$16,1,0)</f>
        <v>0</v>
      </c>
      <c r="E146" s="12">
        <f>LCOE!G172+IF(AND(A146&gt;=LCOE!I$26,A146&lt;=(LCOE!I$26+LCOE!I$27-1)),0,1)*IF(A146=LCOE!I$34,0,1)*D146</f>
        <v>0</v>
      </c>
      <c r="F146" s="12">
        <f>IF(F145&lt;LCOE!I$18,MIN(F145*(1+LCOE!I$19),LCOE!I$18),LCOE!I$18)+LCOE!J172</f>
        <v>0.9</v>
      </c>
      <c r="G146" s="16">
        <f>LCOE!K172+E146*F146*N146*(LCOE!I$14+LCOE!H172)*24*365*D146</f>
        <v>0</v>
      </c>
      <c r="H146" s="16">
        <f>LCOE!L172+F146*(LCOE!I$15+LCOE!I172)*E146*24*365*D146*N146</f>
        <v>0</v>
      </c>
      <c r="I146" s="16">
        <f>LCOE!M172+LCOE!I$20*IF(LCOE!I$14&gt;0,(LCOE!I$14+LCOE!H172),(LCOE!I$15+LCOE!I172))*K146*D146</f>
        <v>0</v>
      </c>
      <c r="J146" s="16">
        <f>LCOE!N172+LCOE!I$21*IF(LCOE!I$14&gt;0,G146,H146)*K146*D146</f>
        <v>0</v>
      </c>
      <c r="K146" s="15">
        <f>LCOE!O172+K145+K145*LCOE!I$22</f>
        <v>1</v>
      </c>
      <c r="L146" s="16">
        <f>LCOE!P172+LCOE!I$23*IF(LCOE!I$14&gt;0,G146,H146)*M146*D146</f>
        <v>0</v>
      </c>
      <c r="M146" s="15">
        <f>LCOE!Q172+M145+M145*LCOE!I$24</f>
        <v>1</v>
      </c>
      <c r="N146" s="15">
        <f>LCOE!R172+N145-N145*LCOE!I$25</f>
        <v>1</v>
      </c>
      <c r="O146" s="18">
        <f>LCOE!S172+LCOE!I$29</f>
        <v>313.75</v>
      </c>
      <c r="P146" s="12">
        <f>LCOE!T172+IF(A146&gt;=LCOE!I$30,100%,0%)</f>
        <v>1</v>
      </c>
      <c r="Q146" s="16">
        <f>LCOE!U172+O146/1000*IF(LCOE!I$14&gt;0,G146,H146)</f>
        <v>0</v>
      </c>
      <c r="R146" s="16">
        <f>LCOE!B172</f>
        <v>30</v>
      </c>
      <c r="S146" s="16">
        <f>LCOE!V172+Q146*P146*R146</f>
        <v>0</v>
      </c>
      <c r="T146" s="16">
        <f>LCOE!W172+LCOE!I$31</f>
        <v>0</v>
      </c>
      <c r="U146" s="16">
        <f>LCOE!X172+T146*IF(LCOE!I$14&gt;0,G146,H146)</f>
        <v>0</v>
      </c>
      <c r="V146" s="16">
        <f>LCOE!Y172+LCOE!I$32</f>
        <v>0</v>
      </c>
      <c r="W146" s="16">
        <f>LCOE!Z172+V146*IF(LCOE!I$14&gt;0,G146,H146)</f>
        <v>0</v>
      </c>
      <c r="X146" s="16">
        <f>LCOE!AA172+LCOE!I$34</f>
        <v>101</v>
      </c>
      <c r="Y146" s="16">
        <f t="shared" si="29"/>
        <v>0</v>
      </c>
      <c r="Z146" s="50">
        <f t="shared" si="32"/>
        <v>0</v>
      </c>
      <c r="AA146" s="50">
        <f t="shared" si="33"/>
        <v>0</v>
      </c>
      <c r="AB146" s="50">
        <f t="shared" si="34"/>
        <v>0</v>
      </c>
      <c r="AC146" s="50">
        <f t="shared" si="30"/>
        <v>0</v>
      </c>
      <c r="AD146" s="50">
        <f t="shared" si="25"/>
        <v>0</v>
      </c>
      <c r="AE146">
        <f t="shared" si="31"/>
        <v>30</v>
      </c>
      <c r="AF146" s="12">
        <f>LCOE!E172+LCOE!I$40</f>
        <v>0.1</v>
      </c>
      <c r="AG146">
        <f t="shared" si="26"/>
        <v>1399.0849085345785</v>
      </c>
      <c r="AH146" s="16">
        <f t="shared" si="21"/>
        <v>0</v>
      </c>
      <c r="AI146" s="16">
        <f t="shared" si="22"/>
        <v>0</v>
      </c>
      <c r="AJ146" s="16">
        <f t="shared" si="23"/>
        <v>0</v>
      </c>
      <c r="AK146" s="16">
        <f t="shared" si="24"/>
        <v>0</v>
      </c>
      <c r="AL146" s="16">
        <f t="shared" si="27"/>
        <v>0</v>
      </c>
      <c r="AM146" s="16">
        <f t="shared" si="28"/>
        <v>0</v>
      </c>
      <c r="AN146" s="16">
        <f>IF(LCOE!I$14&gt;0,G146,H146)/AG146</f>
        <v>0</v>
      </c>
    </row>
    <row r="147" spans="1:40">
      <c r="A147">
        <v>77</v>
      </c>
      <c r="C147" s="16">
        <f>LCOE!I173+IF(AND(LCOE!I$26&gt;0,A147&gt;=LCOE!I$26,A147&lt;=(LCOE!I$26+LCOE!I$27-1)),LCOE!I$42/LCOE!I$27,0)+IF(AND(D147=0,AE147&gt;=LCOE!I$16,COUNTIF(D122:D147,0)=LCOE!I$36),LCOE!I$35*LCOE!I$38,0)</f>
        <v>0</v>
      </c>
      <c r="D147" s="16">
        <f>IF(AE146&lt;LCOE!I$16,1,0)</f>
        <v>0</v>
      </c>
      <c r="E147" s="12">
        <f>LCOE!G173+IF(AND(A147&gt;=LCOE!I$26,A147&lt;=(LCOE!I$26+LCOE!I$27-1)),0,1)*IF(A147=LCOE!I$34,0,1)*D147</f>
        <v>0</v>
      </c>
      <c r="F147" s="12">
        <f>IF(F146&lt;LCOE!I$18,MIN(F146*(1+LCOE!I$19),LCOE!I$18),LCOE!I$18)+LCOE!J173</f>
        <v>0.9</v>
      </c>
      <c r="G147" s="16">
        <f>LCOE!K173+E147*F147*N147*(LCOE!I$14+LCOE!H173)*24*365*D147</f>
        <v>0</v>
      </c>
      <c r="H147" s="16">
        <f>LCOE!L173+F147*(LCOE!I$15+LCOE!I173)*E147*24*365*D147*N147</f>
        <v>0</v>
      </c>
      <c r="I147" s="16">
        <f>LCOE!M173+LCOE!I$20*IF(LCOE!I$14&gt;0,(LCOE!I$14+LCOE!H173),(LCOE!I$15+LCOE!I173))*K147*D147</f>
        <v>0</v>
      </c>
      <c r="J147" s="16">
        <f>LCOE!N173+LCOE!I$21*IF(LCOE!I$14&gt;0,G147,H147)*K147*D147</f>
        <v>0</v>
      </c>
      <c r="K147" s="15">
        <f>LCOE!O173+K146+K146*LCOE!I$22</f>
        <v>1</v>
      </c>
      <c r="L147" s="16">
        <f>LCOE!P173+LCOE!I$23*IF(LCOE!I$14&gt;0,G147,H147)*M147*D147</f>
        <v>0</v>
      </c>
      <c r="M147" s="15">
        <f>LCOE!Q173+M146+M146*LCOE!I$24</f>
        <v>1</v>
      </c>
      <c r="N147" s="15">
        <f>LCOE!R173+N146-N146*LCOE!I$25</f>
        <v>1</v>
      </c>
      <c r="O147" s="18">
        <f>LCOE!S173+LCOE!I$29</f>
        <v>313.75</v>
      </c>
      <c r="P147" s="12">
        <f>LCOE!T173+IF(A147&gt;=LCOE!I$30,100%,0%)</f>
        <v>1</v>
      </c>
      <c r="Q147" s="16">
        <f>LCOE!U173+O147/1000*IF(LCOE!I$14&gt;0,G147,H147)</f>
        <v>0</v>
      </c>
      <c r="R147" s="16">
        <f>LCOE!B173</f>
        <v>30</v>
      </c>
      <c r="S147" s="16">
        <f>LCOE!V173+Q147*P147*R147</f>
        <v>0</v>
      </c>
      <c r="T147" s="16">
        <f>LCOE!W173+LCOE!I$31</f>
        <v>0</v>
      </c>
      <c r="U147" s="16">
        <f>LCOE!X173+T147*IF(LCOE!I$14&gt;0,G147,H147)</f>
        <v>0</v>
      </c>
      <c r="V147" s="16">
        <f>LCOE!Y173+LCOE!I$32</f>
        <v>0</v>
      </c>
      <c r="W147" s="16">
        <f>LCOE!Z173+V147*IF(LCOE!I$14&gt;0,G147,H147)</f>
        <v>0</v>
      </c>
      <c r="X147" s="16">
        <f>LCOE!AA173+LCOE!I$34</f>
        <v>101</v>
      </c>
      <c r="Y147" s="16">
        <f t="shared" si="29"/>
        <v>0</v>
      </c>
      <c r="Z147" s="50">
        <f t="shared" si="32"/>
        <v>0</v>
      </c>
      <c r="AA147" s="50">
        <f t="shared" si="33"/>
        <v>0</v>
      </c>
      <c r="AB147" s="50">
        <f t="shared" si="34"/>
        <v>0</v>
      </c>
      <c r="AC147" s="50">
        <f t="shared" si="30"/>
        <v>0</v>
      </c>
      <c r="AD147" s="50">
        <f t="shared" si="25"/>
        <v>0</v>
      </c>
      <c r="AE147">
        <f t="shared" si="31"/>
        <v>30</v>
      </c>
      <c r="AF147" s="12">
        <f>LCOE!E173+LCOE!I$40</f>
        <v>0.1</v>
      </c>
      <c r="AG147">
        <f t="shared" si="26"/>
        <v>1538.9933993880366</v>
      </c>
      <c r="AH147" s="16">
        <f t="shared" si="21"/>
        <v>0</v>
      </c>
      <c r="AI147" s="16">
        <f t="shared" si="22"/>
        <v>0</v>
      </c>
      <c r="AJ147" s="16">
        <f t="shared" si="23"/>
        <v>0</v>
      </c>
      <c r="AK147" s="16">
        <f t="shared" si="24"/>
        <v>0</v>
      </c>
      <c r="AL147" s="16">
        <f t="shared" si="27"/>
        <v>0</v>
      </c>
      <c r="AM147" s="16">
        <f t="shared" si="28"/>
        <v>0</v>
      </c>
      <c r="AN147" s="16">
        <f>IF(LCOE!I$14&gt;0,G147,H147)/AG147</f>
        <v>0</v>
      </c>
    </row>
    <row r="148" spans="1:40">
      <c r="A148">
        <v>78</v>
      </c>
      <c r="C148" s="16">
        <f>LCOE!I174+IF(AND(LCOE!I$26&gt;0,A148&gt;=LCOE!I$26,A148&lt;=(LCOE!I$26+LCOE!I$27-1)),LCOE!I$42/LCOE!I$27,0)+IF(AND(D148=0,AE148&gt;=LCOE!I$16,COUNTIF(D123:D148,0)=LCOE!I$36),LCOE!I$35*LCOE!I$38,0)</f>
        <v>0</v>
      </c>
      <c r="D148" s="16">
        <f>IF(AE147&lt;LCOE!I$16,1,0)</f>
        <v>0</v>
      </c>
      <c r="E148" s="12">
        <f>LCOE!G174+IF(AND(A148&gt;=LCOE!I$26,A148&lt;=(LCOE!I$26+LCOE!I$27-1)),0,1)*IF(A148=LCOE!I$34,0,1)*D148</f>
        <v>0</v>
      </c>
      <c r="F148" s="12">
        <f>IF(F147&lt;LCOE!I$18,MIN(F147*(1+LCOE!I$19),LCOE!I$18),LCOE!I$18)+LCOE!J174</f>
        <v>0.9</v>
      </c>
      <c r="G148" s="16">
        <f>LCOE!K174+E148*F148*N148*(LCOE!I$14+LCOE!H174)*24*365*D148</f>
        <v>0</v>
      </c>
      <c r="H148" s="16">
        <f>LCOE!L174+F148*(LCOE!I$15+LCOE!I174)*E148*24*365*D148*N148</f>
        <v>0</v>
      </c>
      <c r="I148" s="16">
        <f>LCOE!M174+LCOE!I$20*IF(LCOE!I$14&gt;0,(LCOE!I$14+LCOE!H174),(LCOE!I$15+LCOE!I174))*K148*D148</f>
        <v>0</v>
      </c>
      <c r="J148" s="16">
        <f>LCOE!N174+LCOE!I$21*IF(LCOE!I$14&gt;0,G148,H148)*K148*D148</f>
        <v>0</v>
      </c>
      <c r="K148" s="15">
        <f>LCOE!O174+K147+K147*LCOE!I$22</f>
        <v>1</v>
      </c>
      <c r="L148" s="16">
        <f>LCOE!P174+LCOE!I$23*IF(LCOE!I$14&gt;0,G148,H148)*M148*D148</f>
        <v>0</v>
      </c>
      <c r="M148" s="15">
        <f>LCOE!Q174+M147+M147*LCOE!I$24</f>
        <v>1</v>
      </c>
      <c r="N148" s="15">
        <f>LCOE!R174+N147-N147*LCOE!I$25</f>
        <v>1</v>
      </c>
      <c r="O148" s="18">
        <f>LCOE!S174+LCOE!I$29</f>
        <v>313.75</v>
      </c>
      <c r="P148" s="12">
        <f>LCOE!T174+IF(A148&gt;=LCOE!I$30,100%,0%)</f>
        <v>1</v>
      </c>
      <c r="Q148" s="16">
        <f>LCOE!U174+O148/1000*IF(LCOE!I$14&gt;0,G148,H148)</f>
        <v>0</v>
      </c>
      <c r="R148" s="16">
        <f>LCOE!B174</f>
        <v>30</v>
      </c>
      <c r="S148" s="16">
        <f>LCOE!V174+Q148*P148*R148</f>
        <v>0</v>
      </c>
      <c r="T148" s="16">
        <f>LCOE!W174+LCOE!I$31</f>
        <v>0</v>
      </c>
      <c r="U148" s="16">
        <f>LCOE!X174+T148*IF(LCOE!I$14&gt;0,G148,H148)</f>
        <v>0</v>
      </c>
      <c r="V148" s="16">
        <f>LCOE!Y174+LCOE!I$32</f>
        <v>0</v>
      </c>
      <c r="W148" s="16">
        <f>LCOE!Z174+V148*IF(LCOE!I$14&gt;0,G148,H148)</f>
        <v>0</v>
      </c>
      <c r="X148" s="16">
        <f>LCOE!AA174+LCOE!I$34</f>
        <v>101</v>
      </c>
      <c r="Y148" s="16">
        <f t="shared" si="29"/>
        <v>0</v>
      </c>
      <c r="Z148" s="50">
        <f t="shared" si="32"/>
        <v>0</v>
      </c>
      <c r="AA148" s="50">
        <f t="shared" si="33"/>
        <v>0</v>
      </c>
      <c r="AB148" s="50">
        <f t="shared" si="34"/>
        <v>0</v>
      </c>
      <c r="AC148" s="50">
        <f t="shared" si="30"/>
        <v>0</v>
      </c>
      <c r="AD148" s="50">
        <f t="shared" si="25"/>
        <v>0</v>
      </c>
      <c r="AE148">
        <f t="shared" si="31"/>
        <v>30</v>
      </c>
      <c r="AF148" s="12">
        <f>LCOE!E174+LCOE!I$40</f>
        <v>0.1</v>
      </c>
      <c r="AG148">
        <f t="shared" si="26"/>
        <v>1692.8927393268405</v>
      </c>
      <c r="AH148" s="16">
        <f t="shared" si="21"/>
        <v>0</v>
      </c>
      <c r="AI148" s="16">
        <f t="shared" si="22"/>
        <v>0</v>
      </c>
      <c r="AJ148" s="16">
        <f t="shared" si="23"/>
        <v>0</v>
      </c>
      <c r="AK148" s="16">
        <f t="shared" si="24"/>
        <v>0</v>
      </c>
      <c r="AL148" s="16">
        <f t="shared" si="27"/>
        <v>0</v>
      </c>
      <c r="AM148" s="16">
        <f t="shared" si="28"/>
        <v>0</v>
      </c>
      <c r="AN148" s="16">
        <f>IF(LCOE!I$14&gt;0,G148,H148)/AG148</f>
        <v>0</v>
      </c>
    </row>
    <row r="149" spans="1:40">
      <c r="A149">
        <v>79</v>
      </c>
      <c r="C149" s="16">
        <f>LCOE!I175+IF(AND(LCOE!I$26&gt;0,A149&gt;=LCOE!I$26,A149&lt;=(LCOE!I$26+LCOE!I$27-1)),LCOE!I$42/LCOE!I$27,0)+IF(AND(D149=0,AE149&gt;=LCOE!I$16,COUNTIF(D124:D149,0)=LCOE!I$36),LCOE!I$35*LCOE!I$38,0)</f>
        <v>0</v>
      </c>
      <c r="D149" s="16">
        <f>IF(AE148&lt;LCOE!I$16,1,0)</f>
        <v>0</v>
      </c>
      <c r="E149" s="12">
        <f>LCOE!G175+IF(AND(A149&gt;=LCOE!I$26,A149&lt;=(LCOE!I$26+LCOE!I$27-1)),0,1)*IF(A149=LCOE!I$34,0,1)*D149</f>
        <v>0</v>
      </c>
      <c r="F149" s="12">
        <f>IF(F148&lt;LCOE!I$18,MIN(F148*(1+LCOE!I$19),LCOE!I$18),LCOE!I$18)+LCOE!J175</f>
        <v>0.9</v>
      </c>
      <c r="G149" s="16">
        <f>LCOE!K175+E149*F149*N149*(LCOE!I$14+LCOE!H175)*24*365*D149</f>
        <v>0</v>
      </c>
      <c r="H149" s="16">
        <f>LCOE!L175+F149*(LCOE!I$15+LCOE!I175)*E149*24*365*D149*N149</f>
        <v>0</v>
      </c>
      <c r="I149" s="16">
        <f>LCOE!M175+LCOE!I$20*IF(LCOE!I$14&gt;0,(LCOE!I$14+LCOE!H175),(LCOE!I$15+LCOE!I175))*K149*D149</f>
        <v>0</v>
      </c>
      <c r="J149" s="16">
        <f>LCOE!N175+LCOE!I$21*IF(LCOE!I$14&gt;0,G149,H149)*K149*D149</f>
        <v>0</v>
      </c>
      <c r="K149" s="15">
        <f>LCOE!O175+K148+K148*LCOE!I$22</f>
        <v>1</v>
      </c>
      <c r="L149" s="16">
        <f>LCOE!P175+LCOE!I$23*IF(LCOE!I$14&gt;0,G149,H149)*M149*D149</f>
        <v>0</v>
      </c>
      <c r="M149" s="15">
        <f>LCOE!Q175+M148+M148*LCOE!I$24</f>
        <v>1</v>
      </c>
      <c r="N149" s="15">
        <f>LCOE!R175+N148-N148*LCOE!I$25</f>
        <v>1</v>
      </c>
      <c r="O149" s="18">
        <f>LCOE!S175+LCOE!I$29</f>
        <v>313.75</v>
      </c>
      <c r="P149" s="12">
        <f>LCOE!T175+IF(A149&gt;=LCOE!I$30,100%,0%)</f>
        <v>1</v>
      </c>
      <c r="Q149" s="16">
        <f>LCOE!U175+O149/1000*IF(LCOE!I$14&gt;0,G149,H149)</f>
        <v>0</v>
      </c>
      <c r="R149" s="16">
        <f>LCOE!B175</f>
        <v>30</v>
      </c>
      <c r="S149" s="16">
        <f>LCOE!V175+Q149*P149*R149</f>
        <v>0</v>
      </c>
      <c r="T149" s="16">
        <f>LCOE!W175+LCOE!I$31</f>
        <v>0</v>
      </c>
      <c r="U149" s="16">
        <f>LCOE!X175+T149*IF(LCOE!I$14&gt;0,G149,H149)</f>
        <v>0</v>
      </c>
      <c r="V149" s="16">
        <f>LCOE!Y175+LCOE!I$32</f>
        <v>0</v>
      </c>
      <c r="W149" s="16">
        <f>LCOE!Z175+V149*IF(LCOE!I$14&gt;0,G149,H149)</f>
        <v>0</v>
      </c>
      <c r="X149" s="16">
        <f>LCOE!AA175+LCOE!I$34</f>
        <v>101</v>
      </c>
      <c r="Y149" s="16">
        <f t="shared" si="29"/>
        <v>0</v>
      </c>
      <c r="Z149" s="50">
        <f t="shared" si="32"/>
        <v>0</v>
      </c>
      <c r="AA149" s="50">
        <f t="shared" si="33"/>
        <v>0</v>
      </c>
      <c r="AB149" s="50">
        <f t="shared" si="34"/>
        <v>0</v>
      </c>
      <c r="AC149" s="50">
        <f t="shared" si="30"/>
        <v>0</v>
      </c>
      <c r="AD149" s="50">
        <f t="shared" si="25"/>
        <v>0</v>
      </c>
      <c r="AE149">
        <f t="shared" si="31"/>
        <v>30</v>
      </c>
      <c r="AF149" s="12">
        <f>LCOE!E175+LCOE!I$40</f>
        <v>0.1</v>
      </c>
      <c r="AG149">
        <f t="shared" si="26"/>
        <v>1862.1820132595244</v>
      </c>
      <c r="AH149" s="16">
        <f t="shared" si="21"/>
        <v>0</v>
      </c>
      <c r="AI149" s="16">
        <f t="shared" si="22"/>
        <v>0</v>
      </c>
      <c r="AJ149" s="16">
        <f t="shared" si="23"/>
        <v>0</v>
      </c>
      <c r="AK149" s="16">
        <f t="shared" si="24"/>
        <v>0</v>
      </c>
      <c r="AL149" s="16">
        <f t="shared" si="27"/>
        <v>0</v>
      </c>
      <c r="AM149" s="16">
        <f t="shared" si="28"/>
        <v>0</v>
      </c>
      <c r="AN149" s="16">
        <f>IF(LCOE!I$14&gt;0,G149,H149)/AG149</f>
        <v>0</v>
      </c>
    </row>
    <row r="150" spans="1:40">
      <c r="A150">
        <v>80</v>
      </c>
      <c r="C150" s="16">
        <f>LCOE!I176+IF(AND(LCOE!I$26&gt;0,A150&gt;=LCOE!I$26,A150&lt;=(LCOE!I$26+LCOE!I$27-1)),LCOE!I$42/LCOE!I$27,0)+IF(AND(D150=0,AE150&gt;=LCOE!I$16,COUNTIF(D125:D150,0)=LCOE!I$36),LCOE!I$35*LCOE!I$38,0)</f>
        <v>0</v>
      </c>
      <c r="D150" s="16">
        <f>IF(AE149&lt;LCOE!I$16,1,0)</f>
        <v>0</v>
      </c>
      <c r="E150" s="12">
        <f>LCOE!G176+IF(AND(A150&gt;=LCOE!I$26,A150&lt;=(LCOE!I$26+LCOE!I$27-1)),0,1)*IF(A150=LCOE!I$34,0,1)*D150</f>
        <v>0</v>
      </c>
      <c r="F150" s="12">
        <f>IF(F149&lt;LCOE!I$18,MIN(F149*(1+LCOE!I$19),LCOE!I$18),LCOE!I$18)+LCOE!J176</f>
        <v>0.9</v>
      </c>
      <c r="G150" s="16">
        <f>LCOE!K176+E150*F150*N150*(LCOE!I$14+LCOE!H176)*24*365*D150</f>
        <v>0</v>
      </c>
      <c r="H150" s="16">
        <f>LCOE!L176+F150*(LCOE!I$15+LCOE!I176)*E150*24*365*D150*N150</f>
        <v>0</v>
      </c>
      <c r="I150" s="16">
        <f>LCOE!M176+LCOE!I$20*IF(LCOE!I$14&gt;0,(LCOE!I$14+LCOE!H176),(LCOE!I$15+LCOE!I176))*K150*D150</f>
        <v>0</v>
      </c>
      <c r="J150" s="16">
        <f>LCOE!N176+LCOE!I$21*IF(LCOE!I$14&gt;0,G150,H150)*K150*D150</f>
        <v>0</v>
      </c>
      <c r="K150" s="15">
        <f>LCOE!O176+K149+K149*LCOE!I$22</f>
        <v>1</v>
      </c>
      <c r="L150" s="16">
        <f>LCOE!P176+LCOE!I$23*IF(LCOE!I$14&gt;0,G150,H150)*M150*D150</f>
        <v>0</v>
      </c>
      <c r="M150" s="15">
        <f>LCOE!Q176+M149+M149*LCOE!I$24</f>
        <v>1</v>
      </c>
      <c r="N150" s="15">
        <f>LCOE!R176+N149-N149*LCOE!I$25</f>
        <v>1</v>
      </c>
      <c r="O150" s="18">
        <f>LCOE!S176+LCOE!I$29</f>
        <v>313.75</v>
      </c>
      <c r="P150" s="12">
        <f>LCOE!T176+IF(A150&gt;=LCOE!I$30,100%,0%)</f>
        <v>1</v>
      </c>
      <c r="Q150" s="16">
        <f>LCOE!U176+O150/1000*IF(LCOE!I$14&gt;0,G150,H150)</f>
        <v>0</v>
      </c>
      <c r="R150" s="16">
        <f>LCOE!B176</f>
        <v>30</v>
      </c>
      <c r="S150" s="16">
        <f>LCOE!V176+Q150*P150*R150</f>
        <v>0</v>
      </c>
      <c r="T150" s="16">
        <f>LCOE!W176+LCOE!I$31</f>
        <v>0</v>
      </c>
      <c r="U150" s="16">
        <f>LCOE!X176+T150*IF(LCOE!I$14&gt;0,G150,H150)</f>
        <v>0</v>
      </c>
      <c r="V150" s="16">
        <f>LCOE!Y176+LCOE!I$32</f>
        <v>0</v>
      </c>
      <c r="W150" s="16">
        <f>LCOE!Z176+V150*IF(LCOE!I$14&gt;0,G150,H150)</f>
        <v>0</v>
      </c>
      <c r="X150" s="16">
        <f>LCOE!AA176+LCOE!I$34</f>
        <v>101</v>
      </c>
      <c r="Y150" s="16">
        <f t="shared" si="29"/>
        <v>0</v>
      </c>
      <c r="Z150" s="50">
        <f t="shared" si="32"/>
        <v>0</v>
      </c>
      <c r="AA150" s="50">
        <f t="shared" si="33"/>
        <v>0</v>
      </c>
      <c r="AB150" s="50">
        <f t="shared" si="34"/>
        <v>0</v>
      </c>
      <c r="AC150" s="50">
        <f t="shared" si="30"/>
        <v>0</v>
      </c>
      <c r="AD150" s="50">
        <f t="shared" si="25"/>
        <v>0</v>
      </c>
      <c r="AE150">
        <f t="shared" si="31"/>
        <v>30</v>
      </c>
      <c r="AF150" s="12">
        <f>LCOE!E176+LCOE!I$40</f>
        <v>0.1</v>
      </c>
      <c r="AG150">
        <f t="shared" si="26"/>
        <v>2048.400214585477</v>
      </c>
      <c r="AH150" s="16">
        <f t="shared" si="21"/>
        <v>0</v>
      </c>
      <c r="AI150" s="16">
        <f t="shared" si="22"/>
        <v>0</v>
      </c>
      <c r="AJ150" s="16">
        <f t="shared" si="23"/>
        <v>0</v>
      </c>
      <c r="AK150" s="16">
        <f t="shared" si="24"/>
        <v>0</v>
      </c>
      <c r="AL150" s="16">
        <f t="shared" si="27"/>
        <v>0</v>
      </c>
      <c r="AM150" s="16">
        <f t="shared" si="28"/>
        <v>0</v>
      </c>
      <c r="AN150" s="16">
        <f>IF(LCOE!I$14&gt;0,G150,H150)/AG150</f>
        <v>0</v>
      </c>
    </row>
    <row r="151" spans="1:40">
      <c r="A151">
        <v>81</v>
      </c>
      <c r="C151" s="16">
        <f>LCOE!I177+IF(AND(LCOE!I$26&gt;0,A151&gt;=LCOE!I$26,A151&lt;=(LCOE!I$26+LCOE!I$27-1)),LCOE!I$42/LCOE!I$27,0)+IF(AND(D151=0,AE151&gt;=LCOE!I$16,COUNTIF(D126:D151,0)=LCOE!I$36),LCOE!I$35*LCOE!I$38,0)</f>
        <v>0</v>
      </c>
      <c r="D151" s="16">
        <f>IF(AE150&lt;LCOE!I$16,1,0)</f>
        <v>0</v>
      </c>
      <c r="E151" s="12">
        <f>LCOE!G177+IF(AND(A151&gt;=LCOE!I$26,A151&lt;=(LCOE!I$26+LCOE!I$27-1)),0,1)*IF(A151=LCOE!I$34,0,1)*D151</f>
        <v>0</v>
      </c>
      <c r="F151" s="12">
        <f>IF(F150&lt;LCOE!I$18,MIN(F150*(1+LCOE!I$19),LCOE!I$18),LCOE!I$18)+LCOE!J177</f>
        <v>0.9</v>
      </c>
      <c r="G151" s="16">
        <f>LCOE!K177+E151*F151*N151*(LCOE!I$14+LCOE!H177)*24*365*D151</f>
        <v>0</v>
      </c>
      <c r="H151" s="16">
        <f>LCOE!L177+F151*(LCOE!I$15+LCOE!I177)*E151*24*365*D151*N151</f>
        <v>0</v>
      </c>
      <c r="I151" s="16">
        <f>LCOE!M177+LCOE!I$20*IF(LCOE!I$14&gt;0,(LCOE!I$14+LCOE!H177),(LCOE!I$15+LCOE!I177))*K151*D151</f>
        <v>0</v>
      </c>
      <c r="J151" s="16">
        <f>LCOE!N177+LCOE!I$21*IF(LCOE!I$14&gt;0,G151,H151)*K151*D151</f>
        <v>0</v>
      </c>
      <c r="K151" s="15">
        <f>LCOE!O177+K150+K150*LCOE!I$22</f>
        <v>1</v>
      </c>
      <c r="L151" s="16">
        <f>LCOE!P177+LCOE!I$23*IF(LCOE!I$14&gt;0,G151,H151)*M151*D151</f>
        <v>0</v>
      </c>
      <c r="M151" s="15">
        <f>LCOE!Q177+M150+M150*LCOE!I$24</f>
        <v>1</v>
      </c>
      <c r="N151" s="15">
        <f>LCOE!R177+N150-N150*LCOE!I$25</f>
        <v>1</v>
      </c>
      <c r="O151" s="18">
        <f>LCOE!S177+LCOE!I$29</f>
        <v>313.75</v>
      </c>
      <c r="P151" s="12">
        <f>LCOE!T177+IF(A151&gt;=LCOE!I$30,100%,0%)</f>
        <v>1</v>
      </c>
      <c r="Q151" s="16">
        <f>LCOE!U177+O151/1000*IF(LCOE!I$14&gt;0,G151,H151)</f>
        <v>0</v>
      </c>
      <c r="R151" s="16">
        <f>LCOE!B177</f>
        <v>30</v>
      </c>
      <c r="S151" s="16">
        <f>LCOE!V177+Q151*P151*R151</f>
        <v>0</v>
      </c>
      <c r="T151" s="16">
        <f>LCOE!W177+LCOE!I$31</f>
        <v>0</v>
      </c>
      <c r="U151" s="16">
        <f>LCOE!X177+T151*IF(LCOE!I$14&gt;0,G151,H151)</f>
        <v>0</v>
      </c>
      <c r="V151" s="16">
        <f>LCOE!Y177+LCOE!I$32</f>
        <v>0</v>
      </c>
      <c r="W151" s="16">
        <f>LCOE!Z177+V151*IF(LCOE!I$14&gt;0,G151,H151)</f>
        <v>0</v>
      </c>
      <c r="X151" s="16">
        <f>LCOE!AA177+LCOE!I$34</f>
        <v>101</v>
      </c>
      <c r="Y151" s="16">
        <f t="shared" si="29"/>
        <v>0</v>
      </c>
      <c r="Z151" s="50">
        <f t="shared" si="32"/>
        <v>0</v>
      </c>
      <c r="AA151" s="50">
        <f t="shared" si="33"/>
        <v>0</v>
      </c>
      <c r="AB151" s="50">
        <f t="shared" si="34"/>
        <v>0</v>
      </c>
      <c r="AC151" s="50">
        <f t="shared" si="30"/>
        <v>0</v>
      </c>
      <c r="AD151" s="50">
        <f t="shared" si="25"/>
        <v>0</v>
      </c>
      <c r="AE151">
        <f t="shared" si="31"/>
        <v>30</v>
      </c>
      <c r="AF151" s="12">
        <f>LCOE!E177+LCOE!I$40</f>
        <v>0.1</v>
      </c>
      <c r="AG151">
        <f t="shared" si="26"/>
        <v>2253.2402360440246</v>
      </c>
      <c r="AH151" s="16">
        <f t="shared" si="21"/>
        <v>0</v>
      </c>
      <c r="AI151" s="16">
        <f t="shared" si="22"/>
        <v>0</v>
      </c>
      <c r="AJ151" s="16">
        <f t="shared" si="23"/>
        <v>0</v>
      </c>
      <c r="AK151" s="16">
        <f t="shared" si="24"/>
        <v>0</v>
      </c>
      <c r="AL151" s="16">
        <f t="shared" si="27"/>
        <v>0</v>
      </c>
      <c r="AM151" s="16">
        <f t="shared" si="28"/>
        <v>0</v>
      </c>
      <c r="AN151" s="16">
        <f>IF(LCOE!I$14&gt;0,G151,H151)/AG151</f>
        <v>0</v>
      </c>
    </row>
    <row r="152" spans="1:40">
      <c r="A152">
        <v>82</v>
      </c>
      <c r="C152" s="16">
        <f>LCOE!I178+IF(AND(LCOE!I$26&gt;0,A152&gt;=LCOE!I$26,A152&lt;=(LCOE!I$26+LCOE!I$27-1)),LCOE!I$42/LCOE!I$27,0)+IF(AND(D152=0,AE152&gt;=LCOE!I$16,COUNTIF(D127:D152,0)=LCOE!I$36),LCOE!I$35*LCOE!I$38,0)</f>
        <v>0</v>
      </c>
      <c r="D152" s="16">
        <f>IF(AE151&lt;LCOE!I$16,1,0)</f>
        <v>0</v>
      </c>
      <c r="E152" s="12">
        <f>LCOE!G178+IF(AND(A152&gt;=LCOE!I$26,A152&lt;=(LCOE!I$26+LCOE!I$27-1)),0,1)*IF(A152=LCOE!I$34,0,1)*D152</f>
        <v>0</v>
      </c>
      <c r="F152" s="12">
        <f>IF(F151&lt;LCOE!I$18,MIN(F151*(1+LCOE!I$19),LCOE!I$18),LCOE!I$18)+LCOE!J178</f>
        <v>0.9</v>
      </c>
      <c r="G152" s="16">
        <f>LCOE!K178+E152*F152*N152*(LCOE!I$14+LCOE!H178)*24*365*D152</f>
        <v>0</v>
      </c>
      <c r="H152" s="16">
        <f>LCOE!L178+F152*(LCOE!I$15+LCOE!I178)*E152*24*365*D152*N152</f>
        <v>0</v>
      </c>
      <c r="I152" s="16">
        <f>LCOE!M178+LCOE!I$20*IF(LCOE!I$14&gt;0,(LCOE!I$14+LCOE!H178),(LCOE!I$15+LCOE!I178))*K152*D152</f>
        <v>0</v>
      </c>
      <c r="J152" s="16">
        <f>LCOE!N178+LCOE!I$21*IF(LCOE!I$14&gt;0,G152,H152)*K152*D152</f>
        <v>0</v>
      </c>
      <c r="K152" s="15">
        <f>LCOE!O178+K151+K151*LCOE!I$22</f>
        <v>1</v>
      </c>
      <c r="L152" s="16">
        <f>LCOE!P178+LCOE!I$23*IF(LCOE!I$14&gt;0,G152,H152)*M152*D152</f>
        <v>0</v>
      </c>
      <c r="M152" s="15">
        <f>LCOE!Q178+M151+M151*LCOE!I$24</f>
        <v>1</v>
      </c>
      <c r="N152" s="15">
        <f>LCOE!R178+N151-N151*LCOE!I$25</f>
        <v>1</v>
      </c>
      <c r="O152" s="18">
        <f>LCOE!S178+LCOE!I$29</f>
        <v>313.75</v>
      </c>
      <c r="P152" s="12">
        <f>LCOE!T178+IF(A152&gt;=LCOE!I$30,100%,0%)</f>
        <v>1</v>
      </c>
      <c r="Q152" s="16">
        <f>LCOE!U178+O152/1000*IF(LCOE!I$14&gt;0,G152,H152)</f>
        <v>0</v>
      </c>
      <c r="R152" s="16">
        <f>LCOE!B178</f>
        <v>30</v>
      </c>
      <c r="S152" s="16">
        <f>LCOE!V178+Q152*P152*R152</f>
        <v>0</v>
      </c>
      <c r="T152" s="16">
        <f>LCOE!W178+LCOE!I$31</f>
        <v>0</v>
      </c>
      <c r="U152" s="16">
        <f>LCOE!X178+T152*IF(LCOE!I$14&gt;0,G152,H152)</f>
        <v>0</v>
      </c>
      <c r="V152" s="16">
        <f>LCOE!Y178+LCOE!I$32</f>
        <v>0</v>
      </c>
      <c r="W152" s="16">
        <f>LCOE!Z178+V152*IF(LCOE!I$14&gt;0,G152,H152)</f>
        <v>0</v>
      </c>
      <c r="X152" s="16">
        <f>LCOE!AA178+LCOE!I$34</f>
        <v>101</v>
      </c>
      <c r="Y152" s="16">
        <f t="shared" si="29"/>
        <v>0</v>
      </c>
      <c r="Z152" s="50">
        <f t="shared" si="32"/>
        <v>0</v>
      </c>
      <c r="AA152" s="50">
        <f t="shared" si="33"/>
        <v>0</v>
      </c>
      <c r="AB152" s="50">
        <f t="shared" si="34"/>
        <v>0</v>
      </c>
      <c r="AC152" s="50">
        <f t="shared" si="30"/>
        <v>0</v>
      </c>
      <c r="AD152" s="50">
        <f t="shared" si="25"/>
        <v>0</v>
      </c>
      <c r="AE152">
        <f t="shared" si="31"/>
        <v>30</v>
      </c>
      <c r="AF152" s="12">
        <f>LCOE!E178+LCOE!I$40</f>
        <v>0.1</v>
      </c>
      <c r="AG152">
        <f t="shared" si="26"/>
        <v>2478.5642596484272</v>
      </c>
      <c r="AH152" s="16">
        <f t="shared" si="21"/>
        <v>0</v>
      </c>
      <c r="AI152" s="16">
        <f t="shared" si="22"/>
        <v>0</v>
      </c>
      <c r="AJ152" s="16">
        <f t="shared" si="23"/>
        <v>0</v>
      </c>
      <c r="AK152" s="16">
        <f t="shared" si="24"/>
        <v>0</v>
      </c>
      <c r="AL152" s="16">
        <f t="shared" si="27"/>
        <v>0</v>
      </c>
      <c r="AM152" s="16">
        <f t="shared" si="28"/>
        <v>0</v>
      </c>
      <c r="AN152" s="16">
        <f>IF(LCOE!I$14&gt;0,G152,H152)/AG152</f>
        <v>0</v>
      </c>
    </row>
    <row r="153" spans="1:40">
      <c r="A153">
        <v>83</v>
      </c>
      <c r="C153" s="16">
        <f>LCOE!I179+IF(AND(LCOE!I$26&gt;0,A153&gt;=LCOE!I$26,A153&lt;=(LCOE!I$26+LCOE!I$27-1)),LCOE!I$42/LCOE!I$27,0)+IF(AND(D153=0,AE153&gt;=LCOE!I$16,COUNTIF(D128:D153,0)=LCOE!I$36),LCOE!I$35*LCOE!I$38,0)</f>
        <v>0</v>
      </c>
      <c r="D153" s="16">
        <f>IF(AE152&lt;LCOE!I$16,1,0)</f>
        <v>0</v>
      </c>
      <c r="E153" s="12">
        <f>LCOE!G179+IF(AND(A153&gt;=LCOE!I$26,A153&lt;=(LCOE!I$26+LCOE!I$27-1)),0,1)*IF(A153=LCOE!I$34,0,1)*D153</f>
        <v>0</v>
      </c>
      <c r="F153" s="12">
        <f>IF(F152&lt;LCOE!I$18,MIN(F152*(1+LCOE!I$19),LCOE!I$18),LCOE!I$18)+LCOE!J179</f>
        <v>0.9</v>
      </c>
      <c r="G153" s="16">
        <f>LCOE!K179+E153*F153*N153*(LCOE!I$14+LCOE!H179)*24*365*D153</f>
        <v>0</v>
      </c>
      <c r="H153" s="16">
        <f>LCOE!L179+F153*(LCOE!I$15+LCOE!I179)*E153*24*365*D153*N153</f>
        <v>0</v>
      </c>
      <c r="I153" s="16">
        <f>LCOE!M179+LCOE!I$20*IF(LCOE!I$14&gt;0,(LCOE!I$14+LCOE!H179),(LCOE!I$15+LCOE!I179))*K153*D153</f>
        <v>0</v>
      </c>
      <c r="J153" s="16">
        <f>LCOE!N179+LCOE!I$21*IF(LCOE!I$14&gt;0,G153,H153)*K153*D153</f>
        <v>0</v>
      </c>
      <c r="K153" s="15">
        <f>LCOE!O179+K152+K152*LCOE!I$22</f>
        <v>1</v>
      </c>
      <c r="L153" s="16">
        <f>LCOE!P179+LCOE!I$23*IF(LCOE!I$14&gt;0,G153,H153)*M153*D153</f>
        <v>0</v>
      </c>
      <c r="M153" s="15">
        <f>LCOE!Q179+M152+M152*LCOE!I$24</f>
        <v>1</v>
      </c>
      <c r="N153" s="15">
        <f>LCOE!R179+N152-N152*LCOE!I$25</f>
        <v>1</v>
      </c>
      <c r="O153" s="18">
        <f>LCOE!S179+LCOE!I$29</f>
        <v>313.75</v>
      </c>
      <c r="P153" s="12">
        <f>LCOE!T179+IF(A153&gt;=LCOE!I$30,100%,0%)</f>
        <v>1</v>
      </c>
      <c r="Q153" s="16">
        <f>LCOE!U179+O153/1000*IF(LCOE!I$14&gt;0,G153,H153)</f>
        <v>0</v>
      </c>
      <c r="R153" s="16">
        <f>LCOE!B179</f>
        <v>30</v>
      </c>
      <c r="S153" s="16">
        <f>LCOE!V179+Q153*P153*R153</f>
        <v>0</v>
      </c>
      <c r="T153" s="16">
        <f>LCOE!W179+LCOE!I$31</f>
        <v>0</v>
      </c>
      <c r="U153" s="16">
        <f>LCOE!X179+T153*IF(LCOE!I$14&gt;0,G153,H153)</f>
        <v>0</v>
      </c>
      <c r="V153" s="16">
        <f>LCOE!Y179+LCOE!I$32</f>
        <v>0</v>
      </c>
      <c r="W153" s="16">
        <f>LCOE!Z179+V153*IF(LCOE!I$14&gt;0,G153,H153)</f>
        <v>0</v>
      </c>
      <c r="X153" s="16">
        <f>LCOE!AA179+LCOE!I$34</f>
        <v>101</v>
      </c>
      <c r="Y153" s="16">
        <f t="shared" si="29"/>
        <v>0</v>
      </c>
      <c r="Z153" s="50">
        <f t="shared" si="32"/>
        <v>0</v>
      </c>
      <c r="AA153" s="50">
        <f t="shared" si="33"/>
        <v>0</v>
      </c>
      <c r="AB153" s="50">
        <f t="shared" si="34"/>
        <v>0</v>
      </c>
      <c r="AC153" s="50">
        <f t="shared" si="30"/>
        <v>0</v>
      </c>
      <c r="AD153" s="50">
        <f t="shared" si="25"/>
        <v>0</v>
      </c>
      <c r="AE153">
        <f t="shared" si="31"/>
        <v>30</v>
      </c>
      <c r="AF153" s="12">
        <f>LCOE!E179+LCOE!I$40</f>
        <v>0.1</v>
      </c>
      <c r="AG153">
        <f t="shared" si="26"/>
        <v>2726.420685613271</v>
      </c>
      <c r="AH153" s="16">
        <f t="shared" si="21"/>
        <v>0</v>
      </c>
      <c r="AI153" s="16">
        <f t="shared" si="22"/>
        <v>0</v>
      </c>
      <c r="AJ153" s="16">
        <f t="shared" si="23"/>
        <v>0</v>
      </c>
      <c r="AK153" s="16">
        <f t="shared" si="24"/>
        <v>0</v>
      </c>
      <c r="AL153" s="16">
        <f t="shared" si="27"/>
        <v>0</v>
      </c>
      <c r="AM153" s="16">
        <f t="shared" si="28"/>
        <v>0</v>
      </c>
      <c r="AN153" s="16">
        <f>IF(LCOE!I$14&gt;0,G153,H153)/AG153</f>
        <v>0</v>
      </c>
    </row>
    <row r="154" spans="1:40">
      <c r="A154">
        <v>84</v>
      </c>
      <c r="C154" s="16">
        <f>LCOE!I180+IF(AND(LCOE!I$26&gt;0,A154&gt;=LCOE!I$26,A154&lt;=(LCOE!I$26+LCOE!I$27-1)),LCOE!I$42/LCOE!I$27,0)+IF(AND(D154=0,AE154&gt;=LCOE!I$16,COUNTIF(D129:D154,0)=LCOE!I$36),LCOE!I$35*LCOE!I$38,0)</f>
        <v>0</v>
      </c>
      <c r="D154" s="16">
        <f>IF(AE153&lt;LCOE!I$16,1,0)</f>
        <v>0</v>
      </c>
      <c r="E154" s="12">
        <f>LCOE!G180+IF(AND(A154&gt;=LCOE!I$26,A154&lt;=(LCOE!I$26+LCOE!I$27-1)),0,1)*IF(A154=LCOE!I$34,0,1)*D154</f>
        <v>0</v>
      </c>
      <c r="F154" s="12">
        <f>IF(F153&lt;LCOE!I$18,MIN(F153*(1+LCOE!I$19),LCOE!I$18),LCOE!I$18)+LCOE!J180</f>
        <v>0.9</v>
      </c>
      <c r="G154" s="16">
        <f>LCOE!K180+E154*F154*N154*(LCOE!I$14+LCOE!H180)*24*365*D154</f>
        <v>0</v>
      </c>
      <c r="H154" s="16">
        <f>LCOE!L180+F154*(LCOE!I$15+LCOE!I180)*E154*24*365*D154*N154</f>
        <v>0</v>
      </c>
      <c r="I154" s="16">
        <f>LCOE!M180+LCOE!I$20*IF(LCOE!I$14&gt;0,(LCOE!I$14+LCOE!H180),(LCOE!I$15+LCOE!I180))*K154*D154</f>
        <v>0</v>
      </c>
      <c r="J154" s="16">
        <f>LCOE!N180+LCOE!I$21*IF(LCOE!I$14&gt;0,G154,H154)*K154*D154</f>
        <v>0</v>
      </c>
      <c r="K154" s="15">
        <f>LCOE!O180+K153+K153*LCOE!I$22</f>
        <v>1</v>
      </c>
      <c r="L154" s="16">
        <f>LCOE!P180+LCOE!I$23*IF(LCOE!I$14&gt;0,G154,H154)*M154*D154</f>
        <v>0</v>
      </c>
      <c r="M154" s="15">
        <f>LCOE!Q180+M153+M153*LCOE!I$24</f>
        <v>1</v>
      </c>
      <c r="N154" s="15">
        <f>LCOE!R180+N153-N153*LCOE!I$25</f>
        <v>1</v>
      </c>
      <c r="O154" s="18">
        <f>LCOE!S180+LCOE!I$29</f>
        <v>313.75</v>
      </c>
      <c r="P154" s="12">
        <f>LCOE!T180+IF(A154&gt;=LCOE!I$30,100%,0%)</f>
        <v>1</v>
      </c>
      <c r="Q154" s="16">
        <f>LCOE!U180+O154/1000*IF(LCOE!I$14&gt;0,G154,H154)</f>
        <v>0</v>
      </c>
      <c r="R154" s="16">
        <f>LCOE!B180</f>
        <v>30</v>
      </c>
      <c r="S154" s="16">
        <f>LCOE!V180+Q154*P154*R154</f>
        <v>0</v>
      </c>
      <c r="T154" s="16">
        <f>LCOE!W180+LCOE!I$31</f>
        <v>0</v>
      </c>
      <c r="U154" s="16">
        <f>LCOE!X180+T154*IF(LCOE!I$14&gt;0,G154,H154)</f>
        <v>0</v>
      </c>
      <c r="V154" s="16">
        <f>LCOE!Y180+LCOE!I$32</f>
        <v>0</v>
      </c>
      <c r="W154" s="16">
        <f>LCOE!Z180+V154*IF(LCOE!I$14&gt;0,G154,H154)</f>
        <v>0</v>
      </c>
      <c r="X154" s="16">
        <f>LCOE!AA180+LCOE!I$34</f>
        <v>101</v>
      </c>
      <c r="Y154" s="16">
        <f t="shared" si="29"/>
        <v>0</v>
      </c>
      <c r="Z154" s="50">
        <f t="shared" si="32"/>
        <v>0</v>
      </c>
      <c r="AA154" s="50">
        <f t="shared" si="33"/>
        <v>0</v>
      </c>
      <c r="AB154" s="50">
        <f t="shared" si="34"/>
        <v>0</v>
      </c>
      <c r="AC154" s="50">
        <f t="shared" si="30"/>
        <v>0</v>
      </c>
      <c r="AD154" s="50">
        <f t="shared" si="25"/>
        <v>0</v>
      </c>
      <c r="AE154">
        <f t="shared" si="31"/>
        <v>30</v>
      </c>
      <c r="AF154" s="12">
        <f>LCOE!E180+LCOE!I$40</f>
        <v>0.1</v>
      </c>
      <c r="AG154">
        <f t="shared" si="26"/>
        <v>2999.0627541745976</v>
      </c>
      <c r="AH154" s="16">
        <f t="shared" si="21"/>
        <v>0</v>
      </c>
      <c r="AI154" s="16">
        <f t="shared" si="22"/>
        <v>0</v>
      </c>
      <c r="AJ154" s="16">
        <f t="shared" si="23"/>
        <v>0</v>
      </c>
      <c r="AK154" s="16">
        <f t="shared" si="24"/>
        <v>0</v>
      </c>
      <c r="AL154" s="16">
        <f t="shared" si="27"/>
        <v>0</v>
      </c>
      <c r="AM154" s="16">
        <f t="shared" si="28"/>
        <v>0</v>
      </c>
      <c r="AN154" s="16">
        <f>IF(LCOE!I$14&gt;0,G154,H154)/AG154</f>
        <v>0</v>
      </c>
    </row>
    <row r="155" spans="1:40">
      <c r="A155">
        <v>85</v>
      </c>
      <c r="C155" s="16">
        <f>LCOE!I181+IF(AND(LCOE!I$26&gt;0,A155&gt;=LCOE!I$26,A155&lt;=(LCOE!I$26+LCOE!I$27-1)),LCOE!I$42/LCOE!I$27,0)+IF(AND(D155=0,AE155&gt;=LCOE!I$16,COUNTIF(D130:D155,0)=LCOE!I$36),LCOE!I$35*LCOE!I$38,0)</f>
        <v>0</v>
      </c>
      <c r="D155" s="16">
        <f>IF(AE154&lt;LCOE!I$16,1,0)</f>
        <v>0</v>
      </c>
      <c r="E155" s="12">
        <f>LCOE!G181+IF(AND(A155&gt;=LCOE!I$26,A155&lt;=(LCOE!I$26+LCOE!I$27-1)),0,1)*IF(A155=LCOE!I$34,0,1)*D155</f>
        <v>0</v>
      </c>
      <c r="F155" s="12">
        <f>IF(F154&lt;LCOE!I$18,MIN(F154*(1+LCOE!I$19),LCOE!I$18),LCOE!I$18)+LCOE!J181</f>
        <v>0.9</v>
      </c>
      <c r="G155" s="16">
        <f>LCOE!K181+E155*F155*N155*(LCOE!I$14+LCOE!H181)*24*365*D155</f>
        <v>0</v>
      </c>
      <c r="H155" s="16">
        <f>LCOE!L181+F155*(LCOE!I$15+LCOE!I181)*E155*24*365*D155*N155</f>
        <v>0</v>
      </c>
      <c r="I155" s="16">
        <f>LCOE!M181+LCOE!I$20*IF(LCOE!I$14&gt;0,(LCOE!I$14+LCOE!H181),(LCOE!I$15+LCOE!I181))*K155*D155</f>
        <v>0</v>
      </c>
      <c r="J155" s="16">
        <f>LCOE!N181+LCOE!I$21*IF(LCOE!I$14&gt;0,G155,H155)*K155*D155</f>
        <v>0</v>
      </c>
      <c r="K155" s="15">
        <f>LCOE!O181+K154+K154*LCOE!I$22</f>
        <v>1</v>
      </c>
      <c r="L155" s="16">
        <f>LCOE!P181+LCOE!I$23*IF(LCOE!I$14&gt;0,G155,H155)*M155*D155</f>
        <v>0</v>
      </c>
      <c r="M155" s="15">
        <f>LCOE!Q181+M154+M154*LCOE!I$24</f>
        <v>1</v>
      </c>
      <c r="N155" s="15">
        <f>LCOE!R181+N154-N154*LCOE!I$25</f>
        <v>1</v>
      </c>
      <c r="O155" s="18">
        <f>LCOE!S181+LCOE!I$29</f>
        <v>313.75</v>
      </c>
      <c r="P155" s="12">
        <f>LCOE!T181+IF(A155&gt;=LCOE!I$30,100%,0%)</f>
        <v>1</v>
      </c>
      <c r="Q155" s="16">
        <f>LCOE!U181+O155/1000*IF(LCOE!I$14&gt;0,G155,H155)</f>
        <v>0</v>
      </c>
      <c r="R155" s="16">
        <f>LCOE!B181</f>
        <v>30</v>
      </c>
      <c r="S155" s="16">
        <f>LCOE!V181+Q155*P155*R155</f>
        <v>0</v>
      </c>
      <c r="T155" s="16">
        <f>LCOE!W181+LCOE!I$31</f>
        <v>0</v>
      </c>
      <c r="U155" s="16">
        <f>LCOE!X181+T155*IF(LCOE!I$14&gt;0,G155,H155)</f>
        <v>0</v>
      </c>
      <c r="V155" s="16">
        <f>LCOE!Y181+LCOE!I$32</f>
        <v>0</v>
      </c>
      <c r="W155" s="16">
        <f>LCOE!Z181+V155*IF(LCOE!I$14&gt;0,G155,H155)</f>
        <v>0</v>
      </c>
      <c r="X155" s="16">
        <f>LCOE!AA181+LCOE!I$34</f>
        <v>101</v>
      </c>
      <c r="Y155" s="16">
        <f t="shared" si="29"/>
        <v>0</v>
      </c>
      <c r="Z155" s="50">
        <f t="shared" si="32"/>
        <v>0</v>
      </c>
      <c r="AA155" s="50">
        <f t="shared" si="33"/>
        <v>0</v>
      </c>
      <c r="AB155" s="50">
        <f t="shared" si="34"/>
        <v>0</v>
      </c>
      <c r="AC155" s="50">
        <f t="shared" si="30"/>
        <v>0</v>
      </c>
      <c r="AD155" s="50">
        <f t="shared" si="25"/>
        <v>0</v>
      </c>
      <c r="AE155">
        <f t="shared" si="31"/>
        <v>30</v>
      </c>
      <c r="AF155" s="12">
        <f>LCOE!E181+LCOE!I$40</f>
        <v>0.1</v>
      </c>
      <c r="AG155">
        <f t="shared" si="26"/>
        <v>3298.9690295920577</v>
      </c>
      <c r="AH155" s="16">
        <f t="shared" si="21"/>
        <v>0</v>
      </c>
      <c r="AI155" s="16">
        <f t="shared" si="22"/>
        <v>0</v>
      </c>
      <c r="AJ155" s="16">
        <f t="shared" si="23"/>
        <v>0</v>
      </c>
      <c r="AK155" s="16">
        <f t="shared" si="24"/>
        <v>0</v>
      </c>
      <c r="AL155" s="16">
        <f t="shared" si="27"/>
        <v>0</v>
      </c>
      <c r="AM155" s="16">
        <f t="shared" si="28"/>
        <v>0</v>
      </c>
      <c r="AN155" s="16">
        <f>IF(LCOE!I$14&gt;0,G155,H155)/AG155</f>
        <v>0</v>
      </c>
    </row>
    <row r="156" spans="1:40">
      <c r="A156">
        <v>86</v>
      </c>
      <c r="C156" s="16">
        <f>LCOE!I182+IF(AND(LCOE!I$26&gt;0,A156&gt;=LCOE!I$26,A156&lt;=(LCOE!I$26+LCOE!I$27-1)),LCOE!I$42/LCOE!I$27,0)+IF(AND(D156=0,AE156&gt;=LCOE!I$16,COUNTIF(D131:D156,0)=LCOE!I$36),LCOE!I$35*LCOE!I$38,0)</f>
        <v>0</v>
      </c>
      <c r="D156" s="16">
        <f>IF(AE155&lt;LCOE!I$16,1,0)</f>
        <v>0</v>
      </c>
      <c r="E156" s="12">
        <f>LCOE!G182+IF(AND(A156&gt;=LCOE!I$26,A156&lt;=(LCOE!I$26+LCOE!I$27-1)),0,1)*IF(A156=LCOE!I$34,0,1)*D156</f>
        <v>0</v>
      </c>
      <c r="F156" s="12">
        <f>IF(F155&lt;LCOE!I$18,MIN(F155*(1+LCOE!I$19),LCOE!I$18),LCOE!I$18)+LCOE!J182</f>
        <v>0.9</v>
      </c>
      <c r="G156" s="16">
        <f>LCOE!K182+E156*F156*N156*(LCOE!I$14+LCOE!H182)*24*365*D156</f>
        <v>0</v>
      </c>
      <c r="H156" s="16">
        <f>LCOE!L182+F156*(LCOE!I$15+LCOE!I182)*E156*24*365*D156*N156</f>
        <v>0</v>
      </c>
      <c r="I156" s="16">
        <f>LCOE!M182+LCOE!I$20*IF(LCOE!I$14&gt;0,(LCOE!I$14+LCOE!H182),(LCOE!I$15+LCOE!I182))*K156*D156</f>
        <v>0</v>
      </c>
      <c r="J156" s="16">
        <f>LCOE!N182+LCOE!I$21*IF(LCOE!I$14&gt;0,G156,H156)*K156*D156</f>
        <v>0</v>
      </c>
      <c r="K156" s="15">
        <f>LCOE!O182+K155+K155*LCOE!I$22</f>
        <v>1</v>
      </c>
      <c r="L156" s="16">
        <f>LCOE!P182+LCOE!I$23*IF(LCOE!I$14&gt;0,G156,H156)*M156*D156</f>
        <v>0</v>
      </c>
      <c r="M156" s="15">
        <f>LCOE!Q182+M155+M155*LCOE!I$24</f>
        <v>1</v>
      </c>
      <c r="N156" s="15">
        <f>LCOE!R182+N155-N155*LCOE!I$25</f>
        <v>1</v>
      </c>
      <c r="O156" s="18">
        <f>LCOE!S182+LCOE!I$29</f>
        <v>313.75</v>
      </c>
      <c r="P156" s="12">
        <f>LCOE!T182+IF(A156&gt;=LCOE!I$30,100%,0%)</f>
        <v>1</v>
      </c>
      <c r="Q156" s="16">
        <f>LCOE!U182+O156/1000*IF(LCOE!I$14&gt;0,G156,H156)</f>
        <v>0</v>
      </c>
      <c r="R156" s="16">
        <f>LCOE!B182</f>
        <v>30</v>
      </c>
      <c r="S156" s="16">
        <f>LCOE!V182+Q156*P156*R156</f>
        <v>0</v>
      </c>
      <c r="T156" s="16">
        <f>LCOE!W182+LCOE!I$31</f>
        <v>0</v>
      </c>
      <c r="U156" s="16">
        <f>LCOE!X182+T156*IF(LCOE!I$14&gt;0,G156,H156)</f>
        <v>0</v>
      </c>
      <c r="V156" s="16">
        <f>LCOE!Y182+LCOE!I$32</f>
        <v>0</v>
      </c>
      <c r="W156" s="16">
        <f>LCOE!Z182+V156*IF(LCOE!I$14&gt;0,G156,H156)</f>
        <v>0</v>
      </c>
      <c r="X156" s="16">
        <f>LCOE!AA182+LCOE!I$34</f>
        <v>101</v>
      </c>
      <c r="Y156" s="16">
        <f t="shared" si="29"/>
        <v>0</v>
      </c>
      <c r="Z156" s="50">
        <f t="shared" si="32"/>
        <v>0</v>
      </c>
      <c r="AA156" s="50">
        <f t="shared" si="33"/>
        <v>0</v>
      </c>
      <c r="AB156" s="50">
        <f t="shared" si="34"/>
        <v>0</v>
      </c>
      <c r="AC156" s="50">
        <f t="shared" si="30"/>
        <v>0</v>
      </c>
      <c r="AD156" s="50">
        <f t="shared" si="25"/>
        <v>0</v>
      </c>
      <c r="AE156">
        <f t="shared" si="31"/>
        <v>30</v>
      </c>
      <c r="AF156" s="12">
        <f>LCOE!E182+LCOE!I$40</f>
        <v>0.1</v>
      </c>
      <c r="AG156">
        <f t="shared" si="26"/>
        <v>3628.865932551264</v>
      </c>
      <c r="AH156" s="16">
        <f t="shared" si="21"/>
        <v>0</v>
      </c>
      <c r="AI156" s="16">
        <f t="shared" si="22"/>
        <v>0</v>
      </c>
      <c r="AJ156" s="16">
        <f t="shared" si="23"/>
        <v>0</v>
      </c>
      <c r="AK156" s="16">
        <f t="shared" si="24"/>
        <v>0</v>
      </c>
      <c r="AL156" s="16">
        <f t="shared" si="27"/>
        <v>0</v>
      </c>
      <c r="AM156" s="16">
        <f t="shared" si="28"/>
        <v>0</v>
      </c>
      <c r="AN156" s="16">
        <f>IF(LCOE!I$14&gt;0,G156,H156)/AG156</f>
        <v>0</v>
      </c>
    </row>
    <row r="157" spans="1:40">
      <c r="A157">
        <v>87</v>
      </c>
      <c r="C157" s="16">
        <f>LCOE!I183+IF(AND(LCOE!I$26&gt;0,A157&gt;=LCOE!I$26,A157&lt;=(LCOE!I$26+LCOE!I$27-1)),LCOE!I$42/LCOE!I$27,0)+IF(AND(D157=0,AE157&gt;=LCOE!I$16,COUNTIF(D132:D157,0)=LCOE!I$36),LCOE!I$35*LCOE!I$38,0)</f>
        <v>0</v>
      </c>
      <c r="D157" s="16">
        <f>IF(AE156&lt;LCOE!I$16,1,0)</f>
        <v>0</v>
      </c>
      <c r="E157" s="12">
        <f>LCOE!G183+IF(AND(A157&gt;=LCOE!I$26,A157&lt;=(LCOE!I$26+LCOE!I$27-1)),0,1)*IF(A157=LCOE!I$34,0,1)*D157</f>
        <v>0</v>
      </c>
      <c r="F157" s="12">
        <f>IF(F156&lt;LCOE!I$18,MIN(F156*(1+LCOE!I$19),LCOE!I$18),LCOE!I$18)+LCOE!J183</f>
        <v>0.9</v>
      </c>
      <c r="G157" s="16">
        <f>LCOE!K183+E157*F157*N157*(LCOE!I$14+LCOE!H183)*24*365*D157</f>
        <v>0</v>
      </c>
      <c r="H157" s="16">
        <f>LCOE!L183+F157*(LCOE!I$15+LCOE!I183)*E157*24*365*D157*N157</f>
        <v>0</v>
      </c>
      <c r="I157" s="16">
        <f>LCOE!M183+LCOE!I$20*IF(LCOE!I$14&gt;0,(LCOE!I$14+LCOE!H183),(LCOE!I$15+LCOE!I183))*K157*D157</f>
        <v>0</v>
      </c>
      <c r="J157" s="16">
        <f>LCOE!N183+LCOE!I$21*IF(LCOE!I$14&gt;0,G157,H157)*K157*D157</f>
        <v>0</v>
      </c>
      <c r="K157" s="15">
        <f>LCOE!O183+K156+K156*LCOE!I$22</f>
        <v>1</v>
      </c>
      <c r="L157" s="16">
        <f>LCOE!P183+LCOE!I$23*IF(LCOE!I$14&gt;0,G157,H157)*M157*D157</f>
        <v>0</v>
      </c>
      <c r="M157" s="15">
        <f>LCOE!Q183+M156+M156*LCOE!I$24</f>
        <v>1</v>
      </c>
      <c r="N157" s="15">
        <f>LCOE!R183+N156-N156*LCOE!I$25</f>
        <v>1</v>
      </c>
      <c r="O157" s="18">
        <f>LCOE!S183+LCOE!I$29</f>
        <v>313.75</v>
      </c>
      <c r="P157" s="12">
        <f>LCOE!T183+IF(A157&gt;=LCOE!I$30,100%,0%)</f>
        <v>1</v>
      </c>
      <c r="Q157" s="16">
        <f>LCOE!U183+O157/1000*IF(LCOE!I$14&gt;0,G157,H157)</f>
        <v>0</v>
      </c>
      <c r="R157" s="16">
        <f>LCOE!B183</f>
        <v>30</v>
      </c>
      <c r="S157" s="16">
        <f>LCOE!V183+Q157*P157*R157</f>
        <v>0</v>
      </c>
      <c r="T157" s="16">
        <f>LCOE!W183+LCOE!I$31</f>
        <v>0</v>
      </c>
      <c r="U157" s="16">
        <f>LCOE!X183+T157*IF(LCOE!I$14&gt;0,G157,H157)</f>
        <v>0</v>
      </c>
      <c r="V157" s="16">
        <f>LCOE!Y183+LCOE!I$32</f>
        <v>0</v>
      </c>
      <c r="W157" s="16">
        <f>LCOE!Z183+V157*IF(LCOE!I$14&gt;0,G157,H157)</f>
        <v>0</v>
      </c>
      <c r="X157" s="16">
        <f>LCOE!AA183+LCOE!I$34</f>
        <v>101</v>
      </c>
      <c r="Y157" s="16">
        <f t="shared" si="29"/>
        <v>0</v>
      </c>
      <c r="Z157" s="50">
        <f t="shared" si="32"/>
        <v>0</v>
      </c>
      <c r="AA157" s="50">
        <f t="shared" si="33"/>
        <v>0</v>
      </c>
      <c r="AB157" s="50">
        <f t="shared" si="34"/>
        <v>0</v>
      </c>
      <c r="AC157" s="50">
        <f t="shared" si="30"/>
        <v>0</v>
      </c>
      <c r="AD157" s="50">
        <f t="shared" si="25"/>
        <v>0</v>
      </c>
      <c r="AE157">
        <f t="shared" si="31"/>
        <v>30</v>
      </c>
      <c r="AF157" s="12">
        <f>LCOE!E183+LCOE!I$40</f>
        <v>0.1</v>
      </c>
      <c r="AG157">
        <f t="shared" si="26"/>
        <v>3991.7525258063906</v>
      </c>
      <c r="AH157" s="16">
        <f t="shared" si="21"/>
        <v>0</v>
      </c>
      <c r="AI157" s="16">
        <f t="shared" si="22"/>
        <v>0</v>
      </c>
      <c r="AJ157" s="16">
        <f t="shared" si="23"/>
        <v>0</v>
      </c>
      <c r="AK157" s="16">
        <f t="shared" si="24"/>
        <v>0</v>
      </c>
      <c r="AL157" s="16">
        <f t="shared" si="27"/>
        <v>0</v>
      </c>
      <c r="AM157" s="16">
        <f t="shared" si="28"/>
        <v>0</v>
      </c>
      <c r="AN157" s="16">
        <f>IF(LCOE!I$14&gt;0,G157,H157)/AG157</f>
        <v>0</v>
      </c>
    </row>
    <row r="158" spans="1:40">
      <c r="A158">
        <v>88</v>
      </c>
      <c r="C158" s="16">
        <f>LCOE!I184+IF(AND(LCOE!I$26&gt;0,A158&gt;=LCOE!I$26,A158&lt;=(LCOE!I$26+LCOE!I$27-1)),LCOE!I$42/LCOE!I$27,0)+IF(AND(D158=0,AE158&gt;=LCOE!I$16,COUNTIF(D133:D158,0)=LCOE!I$36),LCOE!I$35*LCOE!I$38,0)</f>
        <v>0</v>
      </c>
      <c r="D158" s="16">
        <f>IF(AE157&lt;LCOE!I$16,1,0)</f>
        <v>0</v>
      </c>
      <c r="E158" s="12">
        <f>LCOE!G184+IF(AND(A158&gt;=LCOE!I$26,A158&lt;=(LCOE!I$26+LCOE!I$27-1)),0,1)*IF(A158=LCOE!I$34,0,1)*D158</f>
        <v>0</v>
      </c>
      <c r="F158" s="12">
        <f>IF(F157&lt;LCOE!I$18,MIN(F157*(1+LCOE!I$19),LCOE!I$18),LCOE!I$18)+LCOE!J184</f>
        <v>0.9</v>
      </c>
      <c r="G158" s="16">
        <f>LCOE!K184+E158*F158*N158*(LCOE!I$14+LCOE!H184)*24*365*D158</f>
        <v>0</v>
      </c>
      <c r="H158" s="16">
        <f>LCOE!L184+F158*(LCOE!I$15+LCOE!I184)*E158*24*365*D158*N158</f>
        <v>0</v>
      </c>
      <c r="I158" s="16">
        <f>LCOE!M184+LCOE!I$20*IF(LCOE!I$14&gt;0,(LCOE!I$14+LCOE!H184),(LCOE!I$15+LCOE!I184))*K158*D158</f>
        <v>0</v>
      </c>
      <c r="J158" s="16">
        <f>LCOE!N184+LCOE!I$21*IF(LCOE!I$14&gt;0,G158,H158)*K158*D158</f>
        <v>0</v>
      </c>
      <c r="K158" s="15">
        <f>LCOE!O184+K157+K157*LCOE!I$22</f>
        <v>1</v>
      </c>
      <c r="L158" s="16">
        <f>LCOE!P184+LCOE!I$23*IF(LCOE!I$14&gt;0,G158,H158)*M158*D158</f>
        <v>0</v>
      </c>
      <c r="M158" s="15">
        <f>LCOE!Q184+M157+M157*LCOE!I$24</f>
        <v>1</v>
      </c>
      <c r="N158" s="15">
        <f>LCOE!R184+N157-N157*LCOE!I$25</f>
        <v>1</v>
      </c>
      <c r="O158" s="18">
        <f>LCOE!S184+LCOE!I$29</f>
        <v>313.75</v>
      </c>
      <c r="P158" s="12">
        <f>LCOE!T184+IF(A158&gt;=LCOE!I$30,100%,0%)</f>
        <v>1</v>
      </c>
      <c r="Q158" s="16">
        <f>LCOE!U184+O158/1000*IF(LCOE!I$14&gt;0,G158,H158)</f>
        <v>0</v>
      </c>
      <c r="R158" s="16">
        <f>LCOE!B184</f>
        <v>30</v>
      </c>
      <c r="S158" s="16">
        <f>LCOE!V184+Q158*P158*R158</f>
        <v>0</v>
      </c>
      <c r="T158" s="16">
        <f>LCOE!W184+LCOE!I$31</f>
        <v>0</v>
      </c>
      <c r="U158" s="16">
        <f>LCOE!X184+T158*IF(LCOE!I$14&gt;0,G158,H158)</f>
        <v>0</v>
      </c>
      <c r="V158" s="16">
        <f>LCOE!Y184+LCOE!I$32</f>
        <v>0</v>
      </c>
      <c r="W158" s="16">
        <f>LCOE!Z184+V158*IF(LCOE!I$14&gt;0,G158,H158)</f>
        <v>0</v>
      </c>
      <c r="X158" s="16">
        <f>LCOE!AA184+LCOE!I$34</f>
        <v>101</v>
      </c>
      <c r="Y158" s="16">
        <f t="shared" si="29"/>
        <v>0</v>
      </c>
      <c r="Z158" s="50">
        <f t="shared" si="32"/>
        <v>0</v>
      </c>
      <c r="AA158" s="50">
        <f t="shared" si="33"/>
        <v>0</v>
      </c>
      <c r="AB158" s="50">
        <f t="shared" si="34"/>
        <v>0</v>
      </c>
      <c r="AC158" s="50">
        <f t="shared" si="30"/>
        <v>0</v>
      </c>
      <c r="AD158" s="50">
        <f t="shared" si="25"/>
        <v>0</v>
      </c>
      <c r="AE158">
        <f t="shared" si="31"/>
        <v>30</v>
      </c>
      <c r="AF158" s="12">
        <f>LCOE!E184+LCOE!I$40</f>
        <v>0.1</v>
      </c>
      <c r="AG158">
        <f t="shared" si="26"/>
        <v>4390.9277783870293</v>
      </c>
      <c r="AH158" s="16">
        <f t="shared" si="21"/>
        <v>0</v>
      </c>
      <c r="AI158" s="16">
        <f t="shared" si="22"/>
        <v>0</v>
      </c>
      <c r="AJ158" s="16">
        <f t="shared" si="23"/>
        <v>0</v>
      </c>
      <c r="AK158" s="16">
        <f t="shared" si="24"/>
        <v>0</v>
      </c>
      <c r="AL158" s="16">
        <f t="shared" si="27"/>
        <v>0</v>
      </c>
      <c r="AM158" s="16">
        <f t="shared" si="28"/>
        <v>0</v>
      </c>
      <c r="AN158" s="16">
        <f>IF(LCOE!I$14&gt;0,G158,H158)/AG158</f>
        <v>0</v>
      </c>
    </row>
    <row r="159" spans="1:40">
      <c r="A159">
        <v>89</v>
      </c>
      <c r="C159" s="16">
        <f>LCOE!I185+IF(AND(LCOE!I$26&gt;0,A159&gt;=LCOE!I$26,A159&lt;=(LCOE!I$26+LCOE!I$27-1)),LCOE!I$42/LCOE!I$27,0)+IF(AND(D159=0,AE159&gt;=LCOE!I$16,COUNTIF(D134:D159,0)=LCOE!I$36),LCOE!I$35*LCOE!I$38,0)</f>
        <v>0</v>
      </c>
      <c r="D159" s="16">
        <f>IF(AE158&lt;LCOE!I$16,1,0)</f>
        <v>0</v>
      </c>
      <c r="E159" s="12">
        <f>LCOE!G185+IF(AND(A159&gt;=LCOE!I$26,A159&lt;=(LCOE!I$26+LCOE!I$27-1)),0,1)*IF(A159=LCOE!I$34,0,1)*D159</f>
        <v>0</v>
      </c>
      <c r="F159" s="12">
        <f>IF(F158&lt;LCOE!I$18,MIN(F158*(1+LCOE!I$19),LCOE!I$18),LCOE!I$18)+LCOE!J185</f>
        <v>0.9</v>
      </c>
      <c r="G159" s="16">
        <f>LCOE!K185+E159*F159*N159*(LCOE!I$14+LCOE!H185)*24*365*D159</f>
        <v>0</v>
      </c>
      <c r="H159" s="16">
        <f>LCOE!L185+F159*(LCOE!I$15+LCOE!I185)*E159*24*365*D159*N159</f>
        <v>0</v>
      </c>
      <c r="I159" s="16">
        <f>LCOE!M185+LCOE!I$20*IF(LCOE!I$14&gt;0,(LCOE!I$14+LCOE!H185),(LCOE!I$15+LCOE!I185))*K159*D159</f>
        <v>0</v>
      </c>
      <c r="J159" s="16">
        <f>LCOE!N185+LCOE!I$21*IF(LCOE!I$14&gt;0,G159,H159)*K159*D159</f>
        <v>0</v>
      </c>
      <c r="K159" s="15">
        <f>LCOE!O185+K158+K158*LCOE!I$22</f>
        <v>1</v>
      </c>
      <c r="L159" s="16">
        <f>LCOE!P185+LCOE!I$23*IF(LCOE!I$14&gt;0,G159,H159)*M159*D159</f>
        <v>0</v>
      </c>
      <c r="M159" s="15">
        <f>LCOE!Q185+M158+M158*LCOE!I$24</f>
        <v>1</v>
      </c>
      <c r="N159" s="15">
        <f>LCOE!R185+N158-N158*LCOE!I$25</f>
        <v>1</v>
      </c>
      <c r="O159" s="18">
        <f>LCOE!S185+LCOE!I$29</f>
        <v>313.75</v>
      </c>
      <c r="P159" s="12">
        <f>LCOE!T185+IF(A159&gt;=LCOE!I$30,100%,0%)</f>
        <v>1</v>
      </c>
      <c r="Q159" s="16">
        <f>LCOE!U185+O159/1000*IF(LCOE!I$14&gt;0,G159,H159)</f>
        <v>0</v>
      </c>
      <c r="R159" s="16">
        <f>LCOE!B185</f>
        <v>30</v>
      </c>
      <c r="S159" s="16">
        <f>LCOE!V185+Q159*P159*R159</f>
        <v>0</v>
      </c>
      <c r="T159" s="16">
        <f>LCOE!W185+LCOE!I$31</f>
        <v>0</v>
      </c>
      <c r="U159" s="16">
        <f>LCOE!X185+T159*IF(LCOE!I$14&gt;0,G159,H159)</f>
        <v>0</v>
      </c>
      <c r="V159" s="16">
        <f>LCOE!Y185+LCOE!I$32</f>
        <v>0</v>
      </c>
      <c r="W159" s="16">
        <f>LCOE!Z185+V159*IF(LCOE!I$14&gt;0,G159,H159)</f>
        <v>0</v>
      </c>
      <c r="X159" s="16">
        <f>LCOE!AA185+LCOE!I$34</f>
        <v>101</v>
      </c>
      <c r="Y159" s="16">
        <f t="shared" si="29"/>
        <v>0</v>
      </c>
      <c r="Z159" s="50">
        <f t="shared" si="32"/>
        <v>0</v>
      </c>
      <c r="AA159" s="50">
        <f t="shared" si="33"/>
        <v>0</v>
      </c>
      <c r="AB159" s="50">
        <f t="shared" si="34"/>
        <v>0</v>
      </c>
      <c r="AC159" s="50">
        <f t="shared" si="30"/>
        <v>0</v>
      </c>
      <c r="AD159" s="50">
        <f t="shared" si="25"/>
        <v>0</v>
      </c>
      <c r="AE159">
        <f t="shared" si="31"/>
        <v>30</v>
      </c>
      <c r="AF159" s="12">
        <f>LCOE!E185+LCOE!I$40</f>
        <v>0.1</v>
      </c>
      <c r="AG159">
        <f t="shared" si="26"/>
        <v>4830.0205562257333</v>
      </c>
      <c r="AH159" s="16">
        <f t="shared" si="21"/>
        <v>0</v>
      </c>
      <c r="AI159" s="16">
        <f t="shared" si="22"/>
        <v>0</v>
      </c>
      <c r="AJ159" s="16">
        <f t="shared" si="23"/>
        <v>0</v>
      </c>
      <c r="AK159" s="16">
        <f t="shared" si="24"/>
        <v>0</v>
      </c>
      <c r="AL159" s="16">
        <f t="shared" si="27"/>
        <v>0</v>
      </c>
      <c r="AM159" s="16">
        <f t="shared" si="28"/>
        <v>0</v>
      </c>
      <c r="AN159" s="16">
        <f>IF(LCOE!I$14&gt;0,G159,H159)/AG159</f>
        <v>0</v>
      </c>
    </row>
    <row r="160" spans="1:40">
      <c r="A160">
        <v>90</v>
      </c>
      <c r="C160" s="16">
        <f>LCOE!I186+IF(AND(LCOE!I$26&gt;0,A160&gt;=LCOE!I$26,A160&lt;=(LCOE!I$26+LCOE!I$27-1)),LCOE!I$42/LCOE!I$27,0)+IF(AND(D160=0,AE160&gt;=LCOE!I$16,COUNTIF(D135:D160,0)=LCOE!I$36),LCOE!I$35*LCOE!I$38,0)</f>
        <v>0</v>
      </c>
      <c r="D160" s="16">
        <f>IF(AE159&lt;LCOE!I$16,1,0)</f>
        <v>0</v>
      </c>
      <c r="E160" s="12">
        <f>LCOE!G186+IF(AND(A160&gt;=LCOE!I$26,A160&lt;=(LCOE!I$26+LCOE!I$27-1)),0,1)*IF(A160=LCOE!I$34,0,1)*D160</f>
        <v>0</v>
      </c>
      <c r="F160" s="12">
        <f>IF(F159&lt;LCOE!I$18,MIN(F159*(1+LCOE!I$19),LCOE!I$18),LCOE!I$18)+LCOE!J186</f>
        <v>0.9</v>
      </c>
      <c r="G160" s="16">
        <f>LCOE!K186+E160*F160*N160*(LCOE!I$14+LCOE!H186)*24*365*D160</f>
        <v>0</v>
      </c>
      <c r="H160" s="16">
        <f>LCOE!L186+F160*(LCOE!I$15+LCOE!I186)*E160*24*365*D160*N160</f>
        <v>0</v>
      </c>
      <c r="I160" s="16">
        <f>LCOE!M186+LCOE!I$20*IF(LCOE!I$14&gt;0,(LCOE!I$14+LCOE!H186),(LCOE!I$15+LCOE!I186))*K160*D160</f>
        <v>0</v>
      </c>
      <c r="J160" s="16">
        <f>LCOE!N186+LCOE!I$21*IF(LCOE!I$14&gt;0,G160,H160)*K160*D160</f>
        <v>0</v>
      </c>
      <c r="K160" s="15">
        <f>LCOE!O186+K159+K159*LCOE!I$22</f>
        <v>1</v>
      </c>
      <c r="L160" s="16">
        <f>LCOE!P186+LCOE!I$23*IF(LCOE!I$14&gt;0,G160,H160)*M160*D160</f>
        <v>0</v>
      </c>
      <c r="M160" s="15">
        <f>LCOE!Q186+M159+M159*LCOE!I$24</f>
        <v>1</v>
      </c>
      <c r="N160" s="15">
        <f>LCOE!R186+N159-N159*LCOE!I$25</f>
        <v>1</v>
      </c>
      <c r="O160" s="18">
        <f>LCOE!S186+LCOE!I$29</f>
        <v>313.75</v>
      </c>
      <c r="P160" s="12">
        <f>LCOE!T186+IF(A160&gt;=LCOE!I$30,100%,0%)</f>
        <v>1</v>
      </c>
      <c r="Q160" s="16">
        <f>LCOE!U186+O160/1000*IF(LCOE!I$14&gt;0,G160,H160)</f>
        <v>0</v>
      </c>
      <c r="R160" s="16">
        <f>LCOE!B186</f>
        <v>30</v>
      </c>
      <c r="S160" s="16">
        <f>LCOE!V186+Q160*P160*R160</f>
        <v>0</v>
      </c>
      <c r="T160" s="16">
        <f>LCOE!W186+LCOE!I$31</f>
        <v>0</v>
      </c>
      <c r="U160" s="16">
        <f>LCOE!X186+T160*IF(LCOE!I$14&gt;0,G160,H160)</f>
        <v>0</v>
      </c>
      <c r="V160" s="16">
        <f>LCOE!Y186+LCOE!I$32</f>
        <v>0</v>
      </c>
      <c r="W160" s="16">
        <f>LCOE!Z186+V160*IF(LCOE!I$14&gt;0,G160,H160)</f>
        <v>0</v>
      </c>
      <c r="X160" s="16">
        <f>LCOE!AA186+LCOE!I$34</f>
        <v>101</v>
      </c>
      <c r="Y160" s="16">
        <f t="shared" si="29"/>
        <v>0</v>
      </c>
      <c r="Z160" s="50">
        <f t="shared" si="32"/>
        <v>0</v>
      </c>
      <c r="AA160" s="50">
        <f t="shared" si="33"/>
        <v>0</v>
      </c>
      <c r="AB160" s="50">
        <f t="shared" si="34"/>
        <v>0</v>
      </c>
      <c r="AC160" s="50">
        <f t="shared" si="30"/>
        <v>0</v>
      </c>
      <c r="AD160" s="50">
        <f t="shared" si="25"/>
        <v>0</v>
      </c>
      <c r="AE160">
        <f t="shared" si="31"/>
        <v>30</v>
      </c>
      <c r="AF160" s="12">
        <f>LCOE!E186+LCOE!I$40</f>
        <v>0.1</v>
      </c>
      <c r="AG160">
        <f t="shared" si="26"/>
        <v>5313.022611848307</v>
      </c>
      <c r="AH160" s="16">
        <f t="shared" si="21"/>
        <v>0</v>
      </c>
      <c r="AI160" s="16">
        <f t="shared" si="22"/>
        <v>0</v>
      </c>
      <c r="AJ160" s="16">
        <f t="shared" si="23"/>
        <v>0</v>
      </c>
      <c r="AK160" s="16">
        <f t="shared" si="24"/>
        <v>0</v>
      </c>
      <c r="AL160" s="16">
        <f t="shared" si="27"/>
        <v>0</v>
      </c>
      <c r="AM160" s="16">
        <f t="shared" si="28"/>
        <v>0</v>
      </c>
      <c r="AN160" s="16">
        <f>IF(LCOE!I$14&gt;0,G160,H160)/AG160</f>
        <v>0</v>
      </c>
    </row>
    <row r="161" spans="1:40">
      <c r="A161">
        <v>91</v>
      </c>
      <c r="C161" s="16">
        <f>LCOE!I187+IF(AND(LCOE!I$26&gt;0,A161&gt;=LCOE!I$26,A161&lt;=(LCOE!I$26+LCOE!I$27-1)),LCOE!I$42/LCOE!I$27,0)+IF(AND(D161=0,AE161&gt;=LCOE!I$16,COUNTIF(D136:D161,0)=LCOE!I$36),LCOE!I$35*LCOE!I$38,0)</f>
        <v>0</v>
      </c>
      <c r="D161" s="16">
        <f>IF(AE160&lt;LCOE!I$16,1,0)</f>
        <v>0</v>
      </c>
      <c r="E161" s="12">
        <f>LCOE!G187+IF(AND(A161&gt;=LCOE!I$26,A161&lt;=(LCOE!I$26+LCOE!I$27-1)),0,1)*IF(A161=LCOE!I$34,0,1)*D161</f>
        <v>0</v>
      </c>
      <c r="F161" s="12">
        <f>IF(F160&lt;LCOE!I$18,MIN(F160*(1+LCOE!I$19),LCOE!I$18),LCOE!I$18)+LCOE!J187</f>
        <v>0.9</v>
      </c>
      <c r="G161" s="16">
        <f>LCOE!K187+E161*F161*N161*(LCOE!I$14+LCOE!H187)*24*365*D161</f>
        <v>0</v>
      </c>
      <c r="H161" s="16">
        <f>LCOE!L187+F161*(LCOE!I$15+LCOE!I187)*E161*24*365*D161*N161</f>
        <v>0</v>
      </c>
      <c r="I161" s="16">
        <f>LCOE!M187+LCOE!I$20*IF(LCOE!I$14&gt;0,(LCOE!I$14+LCOE!H187),(LCOE!I$15+LCOE!I187))*K161*D161</f>
        <v>0</v>
      </c>
      <c r="J161" s="16">
        <f>LCOE!N187+LCOE!I$21*IF(LCOE!I$14&gt;0,G161,H161)*K161*D161</f>
        <v>0</v>
      </c>
      <c r="K161" s="15">
        <f>LCOE!O187+K160+K160*LCOE!I$22</f>
        <v>1</v>
      </c>
      <c r="L161" s="16">
        <f>LCOE!P187+LCOE!I$23*IF(LCOE!I$14&gt;0,G161,H161)*M161*D161</f>
        <v>0</v>
      </c>
      <c r="M161" s="15">
        <f>LCOE!Q187+M160+M160*LCOE!I$24</f>
        <v>1</v>
      </c>
      <c r="N161" s="15">
        <f>LCOE!R187+N160-N160*LCOE!I$25</f>
        <v>1</v>
      </c>
      <c r="O161" s="18">
        <f>LCOE!S187+LCOE!I$29</f>
        <v>313.75</v>
      </c>
      <c r="P161" s="12">
        <f>LCOE!T187+IF(A161&gt;=LCOE!I$30,100%,0%)</f>
        <v>1</v>
      </c>
      <c r="Q161" s="16">
        <f>LCOE!U187+O161/1000*IF(LCOE!I$14&gt;0,G161,H161)</f>
        <v>0</v>
      </c>
      <c r="R161" s="16">
        <f>LCOE!B187</f>
        <v>30</v>
      </c>
      <c r="S161" s="16">
        <f>LCOE!V187+Q161*P161*R161</f>
        <v>0</v>
      </c>
      <c r="T161" s="16">
        <f>LCOE!W187+LCOE!I$31</f>
        <v>0</v>
      </c>
      <c r="U161" s="16">
        <f>LCOE!X187+T161*IF(LCOE!I$14&gt;0,G161,H161)</f>
        <v>0</v>
      </c>
      <c r="V161" s="16">
        <f>LCOE!Y187+LCOE!I$32</f>
        <v>0</v>
      </c>
      <c r="W161" s="16">
        <f>LCOE!Z187+V161*IF(LCOE!I$14&gt;0,G161,H161)</f>
        <v>0</v>
      </c>
      <c r="X161" s="16">
        <f>LCOE!AA187+LCOE!I$34</f>
        <v>101</v>
      </c>
      <c r="Y161" s="16">
        <f t="shared" si="29"/>
        <v>0</v>
      </c>
      <c r="Z161" s="50">
        <f t="shared" si="32"/>
        <v>0</v>
      </c>
      <c r="AA161" s="50">
        <f t="shared" si="33"/>
        <v>0</v>
      </c>
      <c r="AB161" s="50">
        <f t="shared" si="34"/>
        <v>0</v>
      </c>
      <c r="AC161" s="50">
        <f t="shared" si="30"/>
        <v>0</v>
      </c>
      <c r="AD161" s="50">
        <f t="shared" si="25"/>
        <v>0</v>
      </c>
      <c r="AE161">
        <f t="shared" si="31"/>
        <v>30</v>
      </c>
      <c r="AF161" s="12">
        <f>LCOE!E187+LCOE!I$40</f>
        <v>0.1</v>
      </c>
      <c r="AG161">
        <f t="shared" si="26"/>
        <v>5844.3248730331379</v>
      </c>
      <c r="AH161" s="16">
        <f t="shared" si="21"/>
        <v>0</v>
      </c>
      <c r="AI161" s="16">
        <f t="shared" si="22"/>
        <v>0</v>
      </c>
      <c r="AJ161" s="16">
        <f t="shared" si="23"/>
        <v>0</v>
      </c>
      <c r="AK161" s="16">
        <f t="shared" si="24"/>
        <v>0</v>
      </c>
      <c r="AL161" s="16">
        <f t="shared" si="27"/>
        <v>0</v>
      </c>
      <c r="AM161" s="16">
        <f t="shared" si="28"/>
        <v>0</v>
      </c>
      <c r="AN161" s="16">
        <f>IF(LCOE!I$14&gt;0,G161,H161)/AG161</f>
        <v>0</v>
      </c>
    </row>
    <row r="162" spans="1:40">
      <c r="A162">
        <v>92</v>
      </c>
      <c r="C162" s="16">
        <f>LCOE!I188+IF(AND(LCOE!I$26&gt;0,A162&gt;=LCOE!I$26,A162&lt;=(LCOE!I$26+LCOE!I$27-1)),LCOE!I$42/LCOE!I$27,0)+IF(AND(D162=0,AE162&gt;=LCOE!I$16,COUNTIF(D137:D162,0)=LCOE!I$36),LCOE!I$35*LCOE!I$38,0)</f>
        <v>0</v>
      </c>
      <c r="D162" s="16">
        <f>IF(AE161&lt;LCOE!I$16,1,0)</f>
        <v>0</v>
      </c>
      <c r="E162" s="12">
        <f>LCOE!G188+IF(AND(A162&gt;=LCOE!I$26,A162&lt;=(LCOE!I$26+LCOE!I$27-1)),0,1)*IF(A162=LCOE!I$34,0,1)*D162</f>
        <v>0</v>
      </c>
      <c r="F162" s="12">
        <f>IF(F161&lt;LCOE!I$18,MIN(F161*(1+LCOE!I$19),LCOE!I$18),LCOE!I$18)+LCOE!J188</f>
        <v>0.9</v>
      </c>
      <c r="G162" s="16">
        <f>LCOE!K188+E162*F162*N162*(LCOE!I$14+LCOE!H188)*24*365*D162</f>
        <v>0</v>
      </c>
      <c r="H162" s="16">
        <f>LCOE!L188+F162*(LCOE!I$15+LCOE!I188)*E162*24*365*D162*N162</f>
        <v>0</v>
      </c>
      <c r="I162" s="16">
        <f>LCOE!M188+LCOE!I$20*IF(LCOE!I$14&gt;0,(LCOE!I$14+LCOE!H188),(LCOE!I$15+LCOE!I188))*K162*D162</f>
        <v>0</v>
      </c>
      <c r="J162" s="16">
        <f>LCOE!N188+LCOE!I$21*IF(LCOE!I$14&gt;0,G162,H162)*K162*D162</f>
        <v>0</v>
      </c>
      <c r="K162" s="15">
        <f>LCOE!O188+K161+K161*LCOE!I$22</f>
        <v>1</v>
      </c>
      <c r="L162" s="16">
        <f>LCOE!P188+LCOE!I$23*IF(LCOE!I$14&gt;0,G162,H162)*M162*D162</f>
        <v>0</v>
      </c>
      <c r="M162" s="15">
        <f>LCOE!Q188+M161+M161*LCOE!I$24</f>
        <v>1</v>
      </c>
      <c r="N162" s="15">
        <f>LCOE!R188+N161-N161*LCOE!I$25</f>
        <v>1</v>
      </c>
      <c r="O162" s="18">
        <f>LCOE!S188+LCOE!I$29</f>
        <v>313.75</v>
      </c>
      <c r="P162" s="12">
        <f>LCOE!T188+IF(A162&gt;=LCOE!I$30,100%,0%)</f>
        <v>1</v>
      </c>
      <c r="Q162" s="16">
        <f>LCOE!U188+O162/1000*IF(LCOE!I$14&gt;0,G162,H162)</f>
        <v>0</v>
      </c>
      <c r="R162" s="16">
        <f>LCOE!B188</f>
        <v>30</v>
      </c>
      <c r="S162" s="16">
        <f>LCOE!V188+Q162*P162*R162</f>
        <v>0</v>
      </c>
      <c r="T162" s="16">
        <f>LCOE!W188+LCOE!I$31</f>
        <v>0</v>
      </c>
      <c r="U162" s="16">
        <f>LCOE!X188+T162*IF(LCOE!I$14&gt;0,G162,H162)</f>
        <v>0</v>
      </c>
      <c r="V162" s="16">
        <f>LCOE!Y188+LCOE!I$32</f>
        <v>0</v>
      </c>
      <c r="W162" s="16">
        <f>LCOE!Z188+V162*IF(LCOE!I$14&gt;0,G162,H162)</f>
        <v>0</v>
      </c>
      <c r="X162" s="16">
        <f>LCOE!AA188+LCOE!I$34</f>
        <v>101</v>
      </c>
      <c r="Y162" s="16">
        <f t="shared" si="29"/>
        <v>0</v>
      </c>
      <c r="Z162" s="50">
        <f t="shared" si="32"/>
        <v>0</v>
      </c>
      <c r="AA162" s="50">
        <f t="shared" si="33"/>
        <v>0</v>
      </c>
      <c r="AB162" s="50">
        <f t="shared" si="34"/>
        <v>0</v>
      </c>
      <c r="AC162" s="50">
        <f t="shared" si="30"/>
        <v>0</v>
      </c>
      <c r="AD162" s="50">
        <f t="shared" si="25"/>
        <v>0</v>
      </c>
      <c r="AE162">
        <f t="shared" si="31"/>
        <v>30</v>
      </c>
      <c r="AF162" s="12">
        <f>LCOE!E188+LCOE!I$40</f>
        <v>0.1</v>
      </c>
      <c r="AG162">
        <f t="shared" si="26"/>
        <v>6428.7573603364517</v>
      </c>
      <c r="AH162" s="16">
        <f t="shared" si="21"/>
        <v>0</v>
      </c>
      <c r="AI162" s="16">
        <f t="shared" si="22"/>
        <v>0</v>
      </c>
      <c r="AJ162" s="16">
        <f t="shared" si="23"/>
        <v>0</v>
      </c>
      <c r="AK162" s="16">
        <f t="shared" si="24"/>
        <v>0</v>
      </c>
      <c r="AL162" s="16">
        <f t="shared" si="27"/>
        <v>0</v>
      </c>
      <c r="AM162" s="16">
        <f t="shared" si="28"/>
        <v>0</v>
      </c>
      <c r="AN162" s="16">
        <f>IF(LCOE!I$14&gt;0,G162,H162)/AG162</f>
        <v>0</v>
      </c>
    </row>
    <row r="163" spans="1:40">
      <c r="A163">
        <v>93</v>
      </c>
      <c r="C163" s="16">
        <f>LCOE!I189+IF(AND(LCOE!I$26&gt;0,A163&gt;=LCOE!I$26,A163&lt;=(LCOE!I$26+LCOE!I$27-1)),LCOE!I$42/LCOE!I$27,0)+IF(AND(D163=0,AE163&gt;=LCOE!I$16,COUNTIF(D138:D163,0)=LCOE!I$36),LCOE!I$35*LCOE!I$38,0)</f>
        <v>0</v>
      </c>
      <c r="D163" s="16">
        <f>IF(AE162&lt;LCOE!I$16,1,0)</f>
        <v>0</v>
      </c>
      <c r="E163" s="12">
        <f>LCOE!G189+IF(AND(A163&gt;=LCOE!I$26,A163&lt;=(LCOE!I$26+LCOE!I$27-1)),0,1)*IF(A163=LCOE!I$34,0,1)*D163</f>
        <v>0</v>
      </c>
      <c r="F163" s="12">
        <f>IF(F162&lt;LCOE!I$18,MIN(F162*(1+LCOE!I$19),LCOE!I$18),LCOE!I$18)+LCOE!J189</f>
        <v>0.9</v>
      </c>
      <c r="G163" s="16">
        <f>LCOE!K189+E163*F163*N163*(LCOE!I$14+LCOE!H189)*24*365*D163</f>
        <v>0</v>
      </c>
      <c r="H163" s="16">
        <f>LCOE!L189+F163*(LCOE!I$15+LCOE!I189)*E163*24*365*D163*N163</f>
        <v>0</v>
      </c>
      <c r="I163" s="16">
        <f>LCOE!M189+LCOE!I$20*IF(LCOE!I$14&gt;0,(LCOE!I$14+LCOE!H189),(LCOE!I$15+LCOE!I189))*K163*D163</f>
        <v>0</v>
      </c>
      <c r="J163" s="16">
        <f>LCOE!N189+LCOE!I$21*IF(LCOE!I$14&gt;0,G163,H163)*K163*D163</f>
        <v>0</v>
      </c>
      <c r="K163" s="15">
        <f>LCOE!O189+K162+K162*LCOE!I$22</f>
        <v>1</v>
      </c>
      <c r="L163" s="16">
        <f>LCOE!P189+LCOE!I$23*IF(LCOE!I$14&gt;0,G163,H163)*M163*D163</f>
        <v>0</v>
      </c>
      <c r="M163" s="15">
        <f>LCOE!Q189+M162+M162*LCOE!I$24</f>
        <v>1</v>
      </c>
      <c r="N163" s="15">
        <f>LCOE!R189+N162-N162*LCOE!I$25</f>
        <v>1</v>
      </c>
      <c r="O163" s="18">
        <f>LCOE!S189+LCOE!I$29</f>
        <v>313.75</v>
      </c>
      <c r="P163" s="12">
        <f>LCOE!T189+IF(A163&gt;=LCOE!I$30,100%,0%)</f>
        <v>1</v>
      </c>
      <c r="Q163" s="16">
        <f>LCOE!U189+O163/1000*IF(LCOE!I$14&gt;0,G163,H163)</f>
        <v>0</v>
      </c>
      <c r="R163" s="16">
        <f>LCOE!B189</f>
        <v>30</v>
      </c>
      <c r="S163" s="16">
        <f>LCOE!V189+Q163*P163*R163</f>
        <v>0</v>
      </c>
      <c r="T163" s="16">
        <f>LCOE!W189+LCOE!I$31</f>
        <v>0</v>
      </c>
      <c r="U163" s="16">
        <f>LCOE!X189+T163*IF(LCOE!I$14&gt;0,G163,H163)</f>
        <v>0</v>
      </c>
      <c r="V163" s="16">
        <f>LCOE!Y189+LCOE!I$32</f>
        <v>0</v>
      </c>
      <c r="W163" s="16">
        <f>LCOE!Z189+V163*IF(LCOE!I$14&gt;0,G163,H163)</f>
        <v>0</v>
      </c>
      <c r="X163" s="16">
        <f>LCOE!AA189+LCOE!I$34</f>
        <v>101</v>
      </c>
      <c r="Y163" s="16">
        <f t="shared" si="29"/>
        <v>0</v>
      </c>
      <c r="Z163" s="50">
        <f t="shared" si="32"/>
        <v>0</v>
      </c>
      <c r="AA163" s="50">
        <f t="shared" si="33"/>
        <v>0</v>
      </c>
      <c r="AB163" s="50">
        <f t="shared" si="34"/>
        <v>0</v>
      </c>
      <c r="AC163" s="50">
        <f t="shared" si="30"/>
        <v>0</v>
      </c>
      <c r="AD163" s="50">
        <f t="shared" si="25"/>
        <v>0</v>
      </c>
      <c r="AE163">
        <f t="shared" si="31"/>
        <v>30</v>
      </c>
      <c r="AF163" s="12">
        <f>LCOE!E189+LCOE!I$40</f>
        <v>0.1</v>
      </c>
      <c r="AG163">
        <f t="shared" si="26"/>
        <v>7071.6330963700975</v>
      </c>
      <c r="AH163" s="16">
        <f t="shared" si="21"/>
        <v>0</v>
      </c>
      <c r="AI163" s="16">
        <f t="shared" si="22"/>
        <v>0</v>
      </c>
      <c r="AJ163" s="16">
        <f t="shared" si="23"/>
        <v>0</v>
      </c>
      <c r="AK163" s="16">
        <f t="shared" si="24"/>
        <v>0</v>
      </c>
      <c r="AL163" s="16">
        <f t="shared" si="27"/>
        <v>0</v>
      </c>
      <c r="AM163" s="16">
        <f t="shared" si="28"/>
        <v>0</v>
      </c>
      <c r="AN163" s="16">
        <f>IF(LCOE!I$14&gt;0,G163,H163)/AG163</f>
        <v>0</v>
      </c>
    </row>
    <row r="164" spans="1:40">
      <c r="A164">
        <v>94</v>
      </c>
      <c r="C164" s="16">
        <f>LCOE!I190+IF(AND(LCOE!I$26&gt;0,A164&gt;=LCOE!I$26,A164&lt;=(LCOE!I$26+LCOE!I$27-1)),LCOE!I$42/LCOE!I$27,0)+IF(AND(D164=0,AE164&gt;=LCOE!I$16,COUNTIF(D139:D164,0)=LCOE!I$36),LCOE!I$35*LCOE!I$38,0)</f>
        <v>0</v>
      </c>
      <c r="D164" s="16">
        <f>IF(AE163&lt;LCOE!I$16,1,0)</f>
        <v>0</v>
      </c>
      <c r="E164" s="12">
        <f>LCOE!G190+IF(AND(A164&gt;=LCOE!I$26,A164&lt;=(LCOE!I$26+LCOE!I$27-1)),0,1)*IF(A164=LCOE!I$34,0,1)*D164</f>
        <v>0</v>
      </c>
      <c r="F164" s="12">
        <f>IF(F163&lt;LCOE!I$18,MIN(F163*(1+LCOE!I$19),LCOE!I$18),LCOE!I$18)+LCOE!J190</f>
        <v>0.9</v>
      </c>
      <c r="G164" s="16">
        <f>LCOE!K190+E164*F164*N164*(LCOE!I$14+LCOE!H190)*24*365*D164</f>
        <v>0</v>
      </c>
      <c r="H164" s="16">
        <f>LCOE!L190+F164*(LCOE!I$15+LCOE!I190)*E164*24*365*D164*N164</f>
        <v>0</v>
      </c>
      <c r="I164" s="16">
        <f>LCOE!M190+LCOE!I$20*IF(LCOE!I$14&gt;0,(LCOE!I$14+LCOE!H190),(LCOE!I$15+LCOE!I190))*K164*D164</f>
        <v>0</v>
      </c>
      <c r="J164" s="16">
        <f>LCOE!N190+LCOE!I$21*IF(LCOE!I$14&gt;0,G164,H164)*K164*D164</f>
        <v>0</v>
      </c>
      <c r="K164" s="15">
        <f>LCOE!O190+K163+K163*LCOE!I$22</f>
        <v>1</v>
      </c>
      <c r="L164" s="16">
        <f>LCOE!P190+LCOE!I$23*IF(LCOE!I$14&gt;0,G164,H164)*M164*D164</f>
        <v>0</v>
      </c>
      <c r="M164" s="15">
        <f>LCOE!Q190+M163+M163*LCOE!I$24</f>
        <v>1</v>
      </c>
      <c r="N164" s="15">
        <f>LCOE!R190+N163-N163*LCOE!I$25</f>
        <v>1</v>
      </c>
      <c r="O164" s="18">
        <f>LCOE!S190+LCOE!I$29</f>
        <v>313.75</v>
      </c>
      <c r="P164" s="12">
        <f>LCOE!T190+IF(A164&gt;=LCOE!I$30,100%,0%)</f>
        <v>1</v>
      </c>
      <c r="Q164" s="16">
        <f>LCOE!U190+O164/1000*IF(LCOE!I$14&gt;0,G164,H164)</f>
        <v>0</v>
      </c>
      <c r="R164" s="16">
        <f>LCOE!B190</f>
        <v>30</v>
      </c>
      <c r="S164" s="16">
        <f>LCOE!V190+Q164*P164*R164</f>
        <v>0</v>
      </c>
      <c r="T164" s="16">
        <f>LCOE!W190+LCOE!I$31</f>
        <v>0</v>
      </c>
      <c r="U164" s="16">
        <f>LCOE!X190+T164*IF(LCOE!I$14&gt;0,G164,H164)</f>
        <v>0</v>
      </c>
      <c r="V164" s="16">
        <f>LCOE!Y190+LCOE!I$32</f>
        <v>0</v>
      </c>
      <c r="W164" s="16">
        <f>LCOE!Z190+V164*IF(LCOE!I$14&gt;0,G164,H164)</f>
        <v>0</v>
      </c>
      <c r="X164" s="16">
        <f>LCOE!AA190+LCOE!I$34</f>
        <v>101</v>
      </c>
      <c r="Y164" s="16">
        <f t="shared" si="29"/>
        <v>0</v>
      </c>
      <c r="Z164" s="50">
        <f t="shared" si="32"/>
        <v>0</v>
      </c>
      <c r="AA164" s="50">
        <f t="shared" si="33"/>
        <v>0</v>
      </c>
      <c r="AB164" s="50">
        <f t="shared" si="34"/>
        <v>0</v>
      </c>
      <c r="AC164" s="50">
        <f t="shared" si="30"/>
        <v>0</v>
      </c>
      <c r="AD164" s="50">
        <f t="shared" si="25"/>
        <v>0</v>
      </c>
      <c r="AE164">
        <f t="shared" si="31"/>
        <v>30</v>
      </c>
      <c r="AF164" s="12">
        <f>LCOE!E190+LCOE!I$40</f>
        <v>0.1</v>
      </c>
      <c r="AG164">
        <f t="shared" si="26"/>
        <v>7778.796406007109</v>
      </c>
      <c r="AH164" s="16">
        <f t="shared" si="21"/>
        <v>0</v>
      </c>
      <c r="AI164" s="16">
        <f t="shared" si="22"/>
        <v>0</v>
      </c>
      <c r="AJ164" s="16">
        <f t="shared" si="23"/>
        <v>0</v>
      </c>
      <c r="AK164" s="16">
        <f t="shared" si="24"/>
        <v>0</v>
      </c>
      <c r="AL164" s="16">
        <f t="shared" si="27"/>
        <v>0</v>
      </c>
      <c r="AM164" s="16">
        <f t="shared" si="28"/>
        <v>0</v>
      </c>
      <c r="AN164" s="16">
        <f>IF(LCOE!I$14&gt;0,G164,H164)/AG164</f>
        <v>0</v>
      </c>
    </row>
    <row r="165" spans="1:40">
      <c r="A165">
        <v>95</v>
      </c>
      <c r="C165" s="16">
        <f>LCOE!I191+IF(AND(LCOE!I$26&gt;0,A165&gt;=LCOE!I$26,A165&lt;=(LCOE!I$26+LCOE!I$27-1)),LCOE!I$42/LCOE!I$27,0)+IF(AND(D165=0,AE165&gt;=LCOE!I$16,COUNTIF(D140:D165,0)=LCOE!I$36),LCOE!I$35*LCOE!I$38,0)</f>
        <v>0</v>
      </c>
      <c r="D165" s="16">
        <f>IF(AE164&lt;LCOE!I$16,1,0)</f>
        <v>0</v>
      </c>
      <c r="E165" s="12">
        <f>LCOE!G191+IF(AND(A165&gt;=LCOE!I$26,A165&lt;=(LCOE!I$26+LCOE!I$27-1)),0,1)*IF(A165=LCOE!I$34,0,1)*D165</f>
        <v>0</v>
      </c>
      <c r="F165" s="12">
        <f>IF(F164&lt;LCOE!I$18,MIN(F164*(1+LCOE!I$19),LCOE!I$18),LCOE!I$18)+LCOE!J191</f>
        <v>0.9</v>
      </c>
      <c r="G165" s="16">
        <f>LCOE!K191+E165*F165*N165*(LCOE!I$14+LCOE!H191)*24*365*D165</f>
        <v>0</v>
      </c>
      <c r="H165" s="16">
        <f>LCOE!L191+F165*(LCOE!I$15+LCOE!I191)*E165*24*365*D165*N165</f>
        <v>0</v>
      </c>
      <c r="I165" s="16">
        <f>LCOE!M191+LCOE!I$20*IF(LCOE!I$14&gt;0,(LCOE!I$14+LCOE!H191),(LCOE!I$15+LCOE!I191))*K165*D165</f>
        <v>0</v>
      </c>
      <c r="J165" s="16">
        <f>LCOE!N191+LCOE!I$21*IF(LCOE!I$14&gt;0,G165,H165)*K165*D165</f>
        <v>0</v>
      </c>
      <c r="K165" s="15">
        <f>LCOE!O191+K164+K164*LCOE!I$22</f>
        <v>1</v>
      </c>
      <c r="L165" s="16">
        <f>LCOE!P191+LCOE!I$23*IF(LCOE!I$14&gt;0,G165,H165)*M165*D165</f>
        <v>0</v>
      </c>
      <c r="M165" s="15">
        <f>LCOE!Q191+M164+M164*LCOE!I$24</f>
        <v>1</v>
      </c>
      <c r="N165" s="15">
        <f>LCOE!R191+N164-N164*LCOE!I$25</f>
        <v>1</v>
      </c>
      <c r="O165" s="18">
        <f>LCOE!S191+LCOE!I$29</f>
        <v>313.75</v>
      </c>
      <c r="P165" s="12">
        <f>LCOE!T191+IF(A165&gt;=LCOE!I$30,100%,0%)</f>
        <v>1</v>
      </c>
      <c r="Q165" s="16">
        <f>LCOE!U191+O165/1000*IF(LCOE!I$14&gt;0,G165,H165)</f>
        <v>0</v>
      </c>
      <c r="R165" s="16">
        <f>LCOE!B191</f>
        <v>30</v>
      </c>
      <c r="S165" s="16">
        <f>LCOE!V191+Q165*P165*R165</f>
        <v>0</v>
      </c>
      <c r="T165" s="16">
        <f>LCOE!W191+LCOE!I$31</f>
        <v>0</v>
      </c>
      <c r="U165" s="16">
        <f>LCOE!X191+T165*IF(LCOE!I$14&gt;0,G165,H165)</f>
        <v>0</v>
      </c>
      <c r="V165" s="16">
        <f>LCOE!Y191+LCOE!I$32</f>
        <v>0</v>
      </c>
      <c r="W165" s="16">
        <f>LCOE!Z191+V165*IF(LCOE!I$14&gt;0,G165,H165)</f>
        <v>0</v>
      </c>
      <c r="X165" s="16">
        <f>LCOE!AA191+LCOE!I$34</f>
        <v>101</v>
      </c>
      <c r="Y165" s="16">
        <f t="shared" si="29"/>
        <v>0</v>
      </c>
      <c r="Z165" s="50">
        <f t="shared" si="32"/>
        <v>0</v>
      </c>
      <c r="AA165" s="50">
        <f t="shared" si="33"/>
        <v>0</v>
      </c>
      <c r="AB165" s="50">
        <f t="shared" si="34"/>
        <v>0</v>
      </c>
      <c r="AC165" s="50">
        <f t="shared" si="30"/>
        <v>0</v>
      </c>
      <c r="AD165" s="50">
        <f t="shared" si="25"/>
        <v>0</v>
      </c>
      <c r="AE165">
        <f t="shared" si="31"/>
        <v>30</v>
      </c>
      <c r="AF165" s="12">
        <f>LCOE!E191+LCOE!I$40</f>
        <v>0.1</v>
      </c>
      <c r="AG165">
        <f t="shared" si="26"/>
        <v>8556.6760466078194</v>
      </c>
      <c r="AH165" s="16">
        <f t="shared" si="21"/>
        <v>0</v>
      </c>
      <c r="AI165" s="16">
        <f t="shared" si="22"/>
        <v>0</v>
      </c>
      <c r="AJ165" s="16">
        <f t="shared" si="23"/>
        <v>0</v>
      </c>
      <c r="AK165" s="16">
        <f t="shared" si="24"/>
        <v>0</v>
      </c>
      <c r="AL165" s="16">
        <f t="shared" si="27"/>
        <v>0</v>
      </c>
      <c r="AM165" s="16">
        <f t="shared" si="28"/>
        <v>0</v>
      </c>
      <c r="AN165" s="16">
        <f>IF(LCOE!I$14&gt;0,G165,H165)/AG165</f>
        <v>0</v>
      </c>
    </row>
    <row r="166" spans="1:40">
      <c r="A166">
        <v>96</v>
      </c>
      <c r="C166" s="16">
        <f>LCOE!I192+IF(AND(LCOE!I$26&gt;0,A166&gt;=LCOE!I$26,A166&lt;=(LCOE!I$26+LCOE!I$27-1)),LCOE!I$42/LCOE!I$27,0)+IF(AND(D166=0,AE166&gt;=LCOE!I$16,COUNTIF(D141:D166,0)=LCOE!I$36),LCOE!I$35*LCOE!I$38,0)</f>
        <v>0</v>
      </c>
      <c r="D166" s="16">
        <f>IF(AE165&lt;LCOE!I$16,1,0)</f>
        <v>0</v>
      </c>
      <c r="E166" s="12">
        <f>LCOE!G192+IF(AND(A166&gt;=LCOE!I$26,A166&lt;=(LCOE!I$26+LCOE!I$27-1)),0,1)*IF(A166=LCOE!I$34,0,1)*D166</f>
        <v>0</v>
      </c>
      <c r="F166" s="12">
        <f>IF(F165&lt;LCOE!I$18,MIN(F165*(1+LCOE!I$19),LCOE!I$18),LCOE!I$18)+LCOE!J192</f>
        <v>0.9</v>
      </c>
      <c r="G166" s="16">
        <f>LCOE!K192+E166*F166*N166*(LCOE!I$14+LCOE!H192)*24*365*D166</f>
        <v>0</v>
      </c>
      <c r="H166" s="16">
        <f>LCOE!L192+F166*(LCOE!I$15+LCOE!I192)*E166*24*365*D166*N166</f>
        <v>0</v>
      </c>
      <c r="I166" s="16">
        <f>LCOE!M192+LCOE!I$20*IF(LCOE!I$14&gt;0,(LCOE!I$14+LCOE!H192),(LCOE!I$15+LCOE!I192))*K166*D166</f>
        <v>0</v>
      </c>
      <c r="J166" s="16">
        <f>LCOE!N192+LCOE!I$21*IF(LCOE!I$14&gt;0,G166,H166)*K166*D166</f>
        <v>0</v>
      </c>
      <c r="K166" s="15">
        <f>LCOE!O192+K165+K165*LCOE!I$22</f>
        <v>1</v>
      </c>
      <c r="L166" s="16">
        <f>LCOE!P192+LCOE!I$23*IF(LCOE!I$14&gt;0,G166,H166)*M166*D166</f>
        <v>0</v>
      </c>
      <c r="M166" s="15">
        <f>LCOE!Q192+M165+M165*LCOE!I$24</f>
        <v>1</v>
      </c>
      <c r="N166" s="15">
        <f>LCOE!R192+N165-N165*LCOE!I$25</f>
        <v>1</v>
      </c>
      <c r="O166" s="18">
        <f>LCOE!S192+LCOE!I$29</f>
        <v>313.75</v>
      </c>
      <c r="P166" s="12">
        <f>LCOE!T192+IF(A166&gt;=LCOE!I$30,100%,0%)</f>
        <v>1</v>
      </c>
      <c r="Q166" s="16">
        <f>LCOE!U192+O166/1000*IF(LCOE!I$14&gt;0,G166,H166)</f>
        <v>0</v>
      </c>
      <c r="R166" s="16">
        <f>LCOE!B192</f>
        <v>30</v>
      </c>
      <c r="S166" s="16">
        <f>LCOE!V192+Q166*P166*R166</f>
        <v>0</v>
      </c>
      <c r="T166" s="16">
        <f>LCOE!W192+LCOE!I$31</f>
        <v>0</v>
      </c>
      <c r="U166" s="16">
        <f>LCOE!X192+T166*IF(LCOE!I$14&gt;0,G166,H166)</f>
        <v>0</v>
      </c>
      <c r="V166" s="16">
        <f>LCOE!Y192+LCOE!I$32</f>
        <v>0</v>
      </c>
      <c r="W166" s="16">
        <f>LCOE!Z192+V166*IF(LCOE!I$14&gt;0,G166,H166)</f>
        <v>0</v>
      </c>
      <c r="X166" s="16">
        <f>LCOE!AA192+LCOE!I$34</f>
        <v>101</v>
      </c>
      <c r="Y166" s="16">
        <f t="shared" si="29"/>
        <v>0</v>
      </c>
      <c r="Z166" s="50">
        <f t="shared" si="32"/>
        <v>0</v>
      </c>
      <c r="AA166" s="50">
        <f t="shared" si="33"/>
        <v>0</v>
      </c>
      <c r="AB166" s="50">
        <f t="shared" si="34"/>
        <v>0</v>
      </c>
      <c r="AC166" s="50">
        <f t="shared" si="30"/>
        <v>0</v>
      </c>
      <c r="AD166" s="50">
        <f t="shared" si="25"/>
        <v>0</v>
      </c>
      <c r="AE166">
        <f t="shared" si="31"/>
        <v>30</v>
      </c>
      <c r="AF166" s="12">
        <f>LCOE!E192+LCOE!I$40</f>
        <v>0.1</v>
      </c>
      <c r="AG166">
        <f t="shared" si="26"/>
        <v>9412.3436512686021</v>
      </c>
      <c r="AH166" s="16">
        <f t="shared" si="21"/>
        <v>0</v>
      </c>
      <c r="AI166" s="16">
        <f t="shared" si="22"/>
        <v>0</v>
      </c>
      <c r="AJ166" s="16">
        <f t="shared" si="23"/>
        <v>0</v>
      </c>
      <c r="AK166" s="16">
        <f t="shared" si="24"/>
        <v>0</v>
      </c>
      <c r="AL166" s="16">
        <f t="shared" si="27"/>
        <v>0</v>
      </c>
      <c r="AM166" s="16">
        <f t="shared" si="28"/>
        <v>0</v>
      </c>
      <c r="AN166" s="16">
        <f>IF(LCOE!I$14&gt;0,G166,H166)/AG166</f>
        <v>0</v>
      </c>
    </row>
    <row r="167" spans="1:40">
      <c r="A167">
        <v>97</v>
      </c>
      <c r="C167" s="16">
        <f>LCOE!I193+IF(AND(LCOE!I$26&gt;0,A167&gt;=LCOE!I$26,A167&lt;=(LCOE!I$26+LCOE!I$27-1)),LCOE!I$42/LCOE!I$27,0)+IF(AND(D167=0,AE167&gt;=LCOE!I$16,COUNTIF(D142:D167,0)=LCOE!I$36),LCOE!I$35*LCOE!I$38,0)</f>
        <v>0</v>
      </c>
      <c r="D167" s="16">
        <f>IF(AE166&lt;LCOE!I$16,1,0)</f>
        <v>0</v>
      </c>
      <c r="E167" s="12">
        <f>LCOE!G193+IF(AND(A167&gt;=LCOE!I$26,A167&lt;=(LCOE!I$26+LCOE!I$27-1)),0,1)*IF(A167=LCOE!I$34,0,1)*D167</f>
        <v>0</v>
      </c>
      <c r="F167" s="12">
        <f>IF(F166&lt;LCOE!I$18,MIN(F166*(1+LCOE!I$19),LCOE!I$18),LCOE!I$18)+LCOE!J193</f>
        <v>0.9</v>
      </c>
      <c r="G167" s="16">
        <f>LCOE!K193+E167*F167*N167*(LCOE!I$14+LCOE!H193)*24*365*D167</f>
        <v>0</v>
      </c>
      <c r="H167" s="16">
        <f>LCOE!L193+F167*(LCOE!I$15+LCOE!I193)*E167*24*365*D167*N167</f>
        <v>0</v>
      </c>
      <c r="I167" s="16">
        <f>LCOE!M193+LCOE!I$20*IF(LCOE!I$14&gt;0,(LCOE!I$14+LCOE!H193),(LCOE!I$15+LCOE!I193))*K167*D167</f>
        <v>0</v>
      </c>
      <c r="J167" s="16">
        <f>LCOE!N193+LCOE!I$21*IF(LCOE!I$14&gt;0,G167,H167)*K167*D167</f>
        <v>0</v>
      </c>
      <c r="K167" s="15">
        <f>LCOE!O193+K166+K166*LCOE!I$22</f>
        <v>1</v>
      </c>
      <c r="L167" s="16">
        <f>LCOE!P193+LCOE!I$23*IF(LCOE!I$14&gt;0,G167,H167)*M167*D167</f>
        <v>0</v>
      </c>
      <c r="M167" s="15">
        <f>LCOE!Q193+M166+M166*LCOE!I$24</f>
        <v>1</v>
      </c>
      <c r="N167" s="15">
        <f>LCOE!R193+N166-N166*LCOE!I$25</f>
        <v>1</v>
      </c>
      <c r="O167" s="18">
        <f>LCOE!S193+LCOE!I$29</f>
        <v>313.75</v>
      </c>
      <c r="P167" s="12">
        <f>LCOE!T193+IF(A167&gt;=LCOE!I$30,100%,0%)</f>
        <v>1</v>
      </c>
      <c r="Q167" s="16">
        <f>LCOE!U193+O167/1000*IF(LCOE!I$14&gt;0,G167,H167)</f>
        <v>0</v>
      </c>
      <c r="R167" s="16">
        <f>LCOE!B193</f>
        <v>30</v>
      </c>
      <c r="S167" s="16">
        <f>LCOE!V193+Q167*P167*R167</f>
        <v>0</v>
      </c>
      <c r="T167" s="16">
        <f>LCOE!W193+LCOE!I$31</f>
        <v>0</v>
      </c>
      <c r="U167" s="16">
        <f>LCOE!X193+T167*IF(LCOE!I$14&gt;0,G167,H167)</f>
        <v>0</v>
      </c>
      <c r="V167" s="16">
        <f>LCOE!Y193+LCOE!I$32</f>
        <v>0</v>
      </c>
      <c r="W167" s="16">
        <f>LCOE!Z193+V167*IF(LCOE!I$14&gt;0,G167,H167)</f>
        <v>0</v>
      </c>
      <c r="X167" s="16">
        <f>LCOE!AA193+LCOE!I$34</f>
        <v>101</v>
      </c>
      <c r="Y167" s="16">
        <f t="shared" si="29"/>
        <v>0</v>
      </c>
      <c r="Z167" s="50">
        <f t="shared" si="32"/>
        <v>0</v>
      </c>
      <c r="AA167" s="50">
        <f t="shared" si="33"/>
        <v>0</v>
      </c>
      <c r="AB167" s="50">
        <f t="shared" si="34"/>
        <v>0</v>
      </c>
      <c r="AC167" s="50">
        <f t="shared" si="30"/>
        <v>0</v>
      </c>
      <c r="AD167" s="50">
        <f t="shared" si="25"/>
        <v>0</v>
      </c>
      <c r="AE167">
        <f t="shared" si="31"/>
        <v>30</v>
      </c>
      <c r="AF167" s="12">
        <f>LCOE!E193+LCOE!I$40</f>
        <v>0.1</v>
      </c>
      <c r="AG167">
        <f t="shared" si="26"/>
        <v>10353.578016395462</v>
      </c>
      <c r="AH167" s="16">
        <f t="shared" si="21"/>
        <v>0</v>
      </c>
      <c r="AI167" s="16">
        <f t="shared" si="22"/>
        <v>0</v>
      </c>
      <c r="AJ167" s="16">
        <f t="shared" si="23"/>
        <v>0</v>
      </c>
      <c r="AK167" s="16">
        <f t="shared" si="24"/>
        <v>0</v>
      </c>
      <c r="AL167" s="16">
        <f t="shared" si="27"/>
        <v>0</v>
      </c>
      <c r="AM167" s="16">
        <f t="shared" si="28"/>
        <v>0</v>
      </c>
      <c r="AN167" s="16">
        <f>IF(LCOE!I$14&gt;0,G167,H167)/AG167</f>
        <v>0</v>
      </c>
    </row>
    <row r="168" spans="1:40">
      <c r="A168">
        <v>98</v>
      </c>
      <c r="C168" s="16">
        <f>LCOE!I194+IF(AND(LCOE!I$26&gt;0,A168&gt;=LCOE!I$26,A168&lt;=(LCOE!I$26+LCOE!I$27-1)),LCOE!I$42/LCOE!I$27,0)+IF(AND(D168=0,AE168&gt;=LCOE!I$16,COUNTIF(D143:D168,0)=LCOE!I$36),LCOE!I$35*LCOE!I$38,0)</f>
        <v>0</v>
      </c>
      <c r="D168" s="16">
        <f>IF(AE167&lt;LCOE!I$16,1,0)</f>
        <v>0</v>
      </c>
      <c r="E168" s="12">
        <f>LCOE!G194+IF(AND(A168&gt;=LCOE!I$26,A168&lt;=(LCOE!I$26+LCOE!I$27-1)),0,1)*IF(A168=LCOE!I$34,0,1)*D168</f>
        <v>0</v>
      </c>
      <c r="F168" s="12">
        <f>IF(F167&lt;LCOE!I$18,MIN(F167*(1+LCOE!I$19),LCOE!I$18),LCOE!I$18)+LCOE!J194</f>
        <v>0.9</v>
      </c>
      <c r="G168" s="16">
        <f>LCOE!K194+E168*F168*N168*(LCOE!I$14+LCOE!H194)*24*365*D168</f>
        <v>0</v>
      </c>
      <c r="H168" s="16">
        <f>LCOE!L194+F168*(LCOE!I$15+LCOE!I194)*E168*24*365*D168*N168</f>
        <v>0</v>
      </c>
      <c r="I168" s="16">
        <f>LCOE!M194+LCOE!I$20*IF(LCOE!I$14&gt;0,(LCOE!I$14+LCOE!H194),(LCOE!I$15+LCOE!I194))*K168*D168</f>
        <v>0</v>
      </c>
      <c r="J168" s="16">
        <f>LCOE!N194+LCOE!I$21*IF(LCOE!I$14&gt;0,G168,H168)*K168*D168</f>
        <v>0</v>
      </c>
      <c r="K168" s="15">
        <f>LCOE!O194+K167+K167*LCOE!I$22</f>
        <v>1</v>
      </c>
      <c r="L168" s="16">
        <f>LCOE!P194+LCOE!I$23*IF(LCOE!I$14&gt;0,G168,H168)*M168*D168</f>
        <v>0</v>
      </c>
      <c r="M168" s="15">
        <f>LCOE!Q194+M167+M167*LCOE!I$24</f>
        <v>1</v>
      </c>
      <c r="N168" s="15">
        <f>LCOE!R194+N167-N167*LCOE!I$25</f>
        <v>1</v>
      </c>
      <c r="O168" s="18">
        <f>LCOE!S194+LCOE!I$29</f>
        <v>313.75</v>
      </c>
      <c r="P168" s="12">
        <f>LCOE!T194+IF(A168&gt;=LCOE!I$30,100%,0%)</f>
        <v>1</v>
      </c>
      <c r="Q168" s="16">
        <f>LCOE!U194+O168/1000*IF(LCOE!I$14&gt;0,G168,H168)</f>
        <v>0</v>
      </c>
      <c r="R168" s="16">
        <f>LCOE!B194</f>
        <v>30</v>
      </c>
      <c r="S168" s="16">
        <f>LCOE!V194+Q168*P168*R168</f>
        <v>0</v>
      </c>
      <c r="T168" s="16">
        <f>LCOE!W194+LCOE!I$31</f>
        <v>0</v>
      </c>
      <c r="U168" s="16">
        <f>LCOE!X194+T168*IF(LCOE!I$14&gt;0,G168,H168)</f>
        <v>0</v>
      </c>
      <c r="V168" s="16">
        <f>LCOE!Y194+LCOE!I$32</f>
        <v>0</v>
      </c>
      <c r="W168" s="16">
        <f>LCOE!Z194+V168*IF(LCOE!I$14&gt;0,G168,H168)</f>
        <v>0</v>
      </c>
      <c r="X168" s="16">
        <f>LCOE!AA194+LCOE!I$34</f>
        <v>101</v>
      </c>
      <c r="Y168" s="16">
        <f t="shared" si="29"/>
        <v>0</v>
      </c>
      <c r="Z168" s="50">
        <f t="shared" si="32"/>
        <v>0</v>
      </c>
      <c r="AA168" s="50">
        <f t="shared" si="33"/>
        <v>0</v>
      </c>
      <c r="AB168" s="50">
        <f t="shared" si="34"/>
        <v>0</v>
      </c>
      <c r="AC168" s="50">
        <f t="shared" si="30"/>
        <v>0</v>
      </c>
      <c r="AD168" s="50">
        <f t="shared" si="25"/>
        <v>0</v>
      </c>
      <c r="AE168">
        <f t="shared" si="31"/>
        <v>30</v>
      </c>
      <c r="AF168" s="12">
        <f>LCOE!E194+LCOE!I$40</f>
        <v>0.1</v>
      </c>
      <c r="AG168">
        <f t="shared" si="26"/>
        <v>11388.93581803501</v>
      </c>
      <c r="AH168" s="16">
        <f t="shared" si="21"/>
        <v>0</v>
      </c>
      <c r="AI168" s="16">
        <f t="shared" si="22"/>
        <v>0</v>
      </c>
      <c r="AJ168" s="16">
        <f t="shared" si="23"/>
        <v>0</v>
      </c>
      <c r="AK168" s="16">
        <f t="shared" si="24"/>
        <v>0</v>
      </c>
      <c r="AL168" s="16">
        <f t="shared" si="27"/>
        <v>0</v>
      </c>
      <c r="AM168" s="16">
        <f t="shared" si="28"/>
        <v>0</v>
      </c>
      <c r="AN168" s="16">
        <f>IF(LCOE!I$14&gt;0,G168,H168)/AG168</f>
        <v>0</v>
      </c>
    </row>
    <row r="169" spans="1:40">
      <c r="A169">
        <v>99</v>
      </c>
      <c r="C169" s="16">
        <f>LCOE!I195+IF(AND(LCOE!I$26&gt;0,A169&gt;=LCOE!I$26,A169&lt;=(LCOE!I$26+LCOE!I$27-1)),LCOE!I$42/LCOE!I$27,0)+IF(AND(D169=0,AE169&gt;=LCOE!I$16,COUNTIF(D144:D169,0)=LCOE!I$36),LCOE!I$35*LCOE!I$38,0)</f>
        <v>0</v>
      </c>
      <c r="D169" s="16">
        <f>IF(AE168&lt;LCOE!I$16,1,0)</f>
        <v>0</v>
      </c>
      <c r="E169" s="12">
        <f>LCOE!G195+IF(AND(A169&gt;=LCOE!I$26,A169&lt;=(LCOE!I$26+LCOE!I$27-1)),0,1)*IF(A169=LCOE!I$34,0,1)*D169</f>
        <v>0</v>
      </c>
      <c r="F169" s="12">
        <f>IF(F168&lt;LCOE!I$18,MIN(F168*(1+LCOE!I$19),LCOE!I$18),LCOE!I$18)+LCOE!J195</f>
        <v>0.9</v>
      </c>
      <c r="G169" s="16">
        <f>LCOE!K195+E169*F169*N169*(LCOE!I$14+LCOE!H195)*24*365*D169</f>
        <v>0</v>
      </c>
      <c r="H169" s="16">
        <f>LCOE!L195+F169*(LCOE!I$15+LCOE!I195)*E169*24*365*D169*N169</f>
        <v>0</v>
      </c>
      <c r="I169" s="16">
        <f>LCOE!M195+LCOE!I$20*IF(LCOE!I$14&gt;0,(LCOE!I$14+LCOE!H195),(LCOE!I$15+LCOE!I195))*K169*D169</f>
        <v>0</v>
      </c>
      <c r="J169" s="16">
        <f>LCOE!N195+LCOE!I$21*IF(LCOE!I$14&gt;0,G169,H169)*K169*D169</f>
        <v>0</v>
      </c>
      <c r="K169" s="15">
        <f>LCOE!O195+K168+K168*LCOE!I$22</f>
        <v>1</v>
      </c>
      <c r="L169" s="16">
        <f>LCOE!P195+LCOE!I$23*IF(LCOE!I$14&gt;0,G169,H169)*M169*D169</f>
        <v>0</v>
      </c>
      <c r="M169" s="15">
        <f>LCOE!Q195+M168+M168*LCOE!I$24</f>
        <v>1</v>
      </c>
      <c r="N169" s="15">
        <f>LCOE!R195+N168-N168*LCOE!I$25</f>
        <v>1</v>
      </c>
      <c r="O169" s="18">
        <f>LCOE!S195+LCOE!I$29</f>
        <v>313.75</v>
      </c>
      <c r="P169" s="12">
        <f>LCOE!T195+IF(A169&gt;=LCOE!I$30,100%,0%)</f>
        <v>1</v>
      </c>
      <c r="Q169" s="16">
        <f>LCOE!U195+O169/1000*IF(LCOE!I$14&gt;0,G169,H169)</f>
        <v>0</v>
      </c>
      <c r="R169" s="16">
        <f>LCOE!B195</f>
        <v>30</v>
      </c>
      <c r="S169" s="16">
        <f>LCOE!V195+Q169*P169*R169</f>
        <v>0</v>
      </c>
      <c r="T169" s="16">
        <f>LCOE!W195+LCOE!I$31</f>
        <v>0</v>
      </c>
      <c r="U169" s="16">
        <f>LCOE!X195+T169*IF(LCOE!I$14&gt;0,G169,H169)</f>
        <v>0</v>
      </c>
      <c r="V169" s="16">
        <f>LCOE!Y195+LCOE!I$32</f>
        <v>0</v>
      </c>
      <c r="W169" s="16">
        <f>LCOE!Z195+V169*IF(LCOE!I$14&gt;0,G169,H169)</f>
        <v>0</v>
      </c>
      <c r="X169" s="16">
        <f>LCOE!AA195+LCOE!I$34</f>
        <v>101</v>
      </c>
      <c r="Y169" s="16">
        <f t="shared" si="29"/>
        <v>0</v>
      </c>
      <c r="Z169" s="50">
        <f t="shared" si="32"/>
        <v>0</v>
      </c>
      <c r="AA169" s="50">
        <f t="shared" si="33"/>
        <v>0</v>
      </c>
      <c r="AB169" s="50">
        <f t="shared" si="34"/>
        <v>0</v>
      </c>
      <c r="AC169" s="50">
        <f t="shared" si="30"/>
        <v>0</v>
      </c>
      <c r="AD169" s="50">
        <f t="shared" si="25"/>
        <v>0</v>
      </c>
      <c r="AE169">
        <f t="shared" si="31"/>
        <v>30</v>
      </c>
      <c r="AF169" s="12">
        <f>LCOE!E195+LCOE!I$40</f>
        <v>0.1</v>
      </c>
      <c r="AG169">
        <f t="shared" si="26"/>
        <v>12527.829399838512</v>
      </c>
      <c r="AH169" s="16">
        <f t="shared" si="21"/>
        <v>0</v>
      </c>
      <c r="AI169" s="16">
        <f t="shared" si="22"/>
        <v>0</v>
      </c>
      <c r="AJ169" s="16">
        <f t="shared" si="23"/>
        <v>0</v>
      </c>
      <c r="AK169" s="16">
        <f t="shared" si="24"/>
        <v>0</v>
      </c>
      <c r="AL169" s="16">
        <f t="shared" si="27"/>
        <v>0</v>
      </c>
      <c r="AM169" s="16">
        <f t="shared" si="28"/>
        <v>0</v>
      </c>
      <c r="AN169" s="16">
        <f>IF(LCOE!I$14&gt;0,G169,H169)/AG169</f>
        <v>0</v>
      </c>
    </row>
    <row r="170" spans="1:40">
      <c r="A170">
        <v>100</v>
      </c>
      <c r="C170" s="16">
        <f>LCOE!I196+IF(AND(LCOE!I$26&gt;0,A170&gt;=LCOE!I$26,A170&lt;=(LCOE!I$26+LCOE!I$27-1)),LCOE!I$42/LCOE!I$27,0)+IF(AND(D170=0,AE170&gt;=LCOE!I$16,COUNTIF(D145:D170,0)=LCOE!I$36),LCOE!I$35*LCOE!I$38,0)</f>
        <v>0</v>
      </c>
      <c r="D170" s="16">
        <f>IF(AE169&lt;LCOE!I$16,1,0)</f>
        <v>0</v>
      </c>
      <c r="E170" s="12">
        <f>LCOE!G196+IF(AND(A170&gt;=LCOE!I$26,A170&lt;=(LCOE!I$26+LCOE!I$27-1)),0,1)*IF(A170=LCOE!I$34,0,1)*D170</f>
        <v>0</v>
      </c>
      <c r="F170" s="12">
        <f>IF(F169&lt;LCOE!I$18,MIN(F169*(1+LCOE!I$19),LCOE!I$18),LCOE!I$18)+LCOE!J196</f>
        <v>0.9</v>
      </c>
      <c r="G170" s="16">
        <f>LCOE!K196+E170*F170*N170*(LCOE!I$14+LCOE!H196)*24*365*D170</f>
        <v>0</v>
      </c>
      <c r="H170" s="16">
        <f>LCOE!L196+F170*(LCOE!I$15+LCOE!I196)*E170*24*365*D170*N170</f>
        <v>0</v>
      </c>
      <c r="I170" s="16">
        <f>LCOE!M196+LCOE!I$20*IF(LCOE!I$14&gt;0,(LCOE!I$14+LCOE!H196),(LCOE!I$15+LCOE!I196))*K170*D170</f>
        <v>0</v>
      </c>
      <c r="J170" s="16">
        <f>LCOE!N196+LCOE!I$21*IF(LCOE!I$14&gt;0,G170,H170)*K170*D170</f>
        <v>0</v>
      </c>
      <c r="K170" s="15">
        <f>LCOE!O196+K169+K169*LCOE!I$22</f>
        <v>1</v>
      </c>
      <c r="L170" s="16">
        <f>LCOE!P196+LCOE!I$23*IF(LCOE!I$14&gt;0,G170,H170)*M170*D170</f>
        <v>0</v>
      </c>
      <c r="M170" s="15">
        <f>LCOE!Q196+M169+M169*LCOE!I$24</f>
        <v>1</v>
      </c>
      <c r="N170" s="15">
        <f>LCOE!R196+N169-N169*LCOE!I$25</f>
        <v>1</v>
      </c>
      <c r="O170" s="18">
        <f>LCOE!S196+LCOE!I$29</f>
        <v>313.75</v>
      </c>
      <c r="P170" s="12">
        <f>LCOE!T196+IF(A170&gt;=LCOE!I$30,100%,0%)</f>
        <v>1</v>
      </c>
      <c r="Q170" s="16">
        <f>LCOE!U196+O170/1000*IF(LCOE!I$14&gt;0,G170,H170)</f>
        <v>0</v>
      </c>
      <c r="R170" s="16">
        <f>LCOE!B196</f>
        <v>30</v>
      </c>
      <c r="S170" s="16">
        <f>LCOE!V196+Q170*P170*R170</f>
        <v>0</v>
      </c>
      <c r="T170" s="16">
        <f>LCOE!W196+LCOE!I$31</f>
        <v>0</v>
      </c>
      <c r="U170" s="16">
        <f>LCOE!X196+T170*IF(LCOE!I$14&gt;0,G170,H170)</f>
        <v>0</v>
      </c>
      <c r="V170" s="16">
        <f>LCOE!Y196+LCOE!I$32</f>
        <v>0</v>
      </c>
      <c r="W170" s="16">
        <f>LCOE!Z196+V170*IF(LCOE!I$14&gt;0,G170,H170)</f>
        <v>0</v>
      </c>
      <c r="X170" s="16">
        <f>LCOE!AA196+LCOE!I$34</f>
        <v>101</v>
      </c>
      <c r="Y170" s="16">
        <f t="shared" si="29"/>
        <v>0</v>
      </c>
      <c r="Z170" s="50">
        <f t="shared" si="32"/>
        <v>0</v>
      </c>
      <c r="AA170" s="50">
        <f t="shared" si="33"/>
        <v>0</v>
      </c>
      <c r="AB170" s="50">
        <f t="shared" si="34"/>
        <v>0</v>
      </c>
      <c r="AC170" s="50">
        <f t="shared" si="30"/>
        <v>0</v>
      </c>
      <c r="AD170" s="50">
        <f t="shared" si="25"/>
        <v>0</v>
      </c>
      <c r="AE170">
        <f t="shared" si="31"/>
        <v>30</v>
      </c>
      <c r="AF170" s="12">
        <f>LCOE!E196+LCOE!I$40</f>
        <v>0.1</v>
      </c>
      <c r="AG170">
        <f t="shared" si="26"/>
        <v>13780.612339822364</v>
      </c>
      <c r="AH170" s="16">
        <f t="shared" si="21"/>
        <v>0</v>
      </c>
      <c r="AI170" s="16">
        <f t="shared" si="22"/>
        <v>0</v>
      </c>
      <c r="AJ170" s="16">
        <f t="shared" si="23"/>
        <v>0</v>
      </c>
      <c r="AK170" s="16">
        <f t="shared" si="24"/>
        <v>0</v>
      </c>
      <c r="AL170" s="16">
        <f t="shared" si="27"/>
        <v>0</v>
      </c>
      <c r="AM170" s="16">
        <f t="shared" si="28"/>
        <v>0</v>
      </c>
      <c r="AN170" s="16">
        <f>IF(LCOE!I$14&gt;0,G170,H170)/AG170</f>
        <v>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1CF1-BBF8-C246-BA70-77059A67DF74}">
  <dimension ref="A2:AN170"/>
  <sheetViews>
    <sheetView workbookViewId="0">
      <pane xSplit="1760" ySplit="5160" topLeftCell="A52" activePane="bottomRight"/>
      <selection pane="bottomRight" activeCell="G53" sqref="G53"/>
      <selection pane="bottomLeft" activeCell="A41" sqref="A41:D41"/>
      <selection pane="topRight" activeCell="G33" sqref="G33"/>
    </sheetView>
    <sheetView workbookViewId="1"/>
  </sheetViews>
  <sheetFormatPr defaultColWidth="11" defaultRowHeight="15.95"/>
  <cols>
    <col min="2" max="2" width="40.875" bestFit="1" customWidth="1"/>
    <col min="3" max="3" width="14.625" bestFit="1" customWidth="1"/>
    <col min="4" max="5" width="14.625" customWidth="1"/>
    <col min="6" max="6" width="18.125" customWidth="1"/>
    <col min="7" max="8" width="15.625" customWidth="1"/>
    <col min="9" max="9" width="11.125" bestFit="1" customWidth="1"/>
    <col min="10" max="10" width="11.625" bestFit="1" customWidth="1"/>
    <col min="11" max="11" width="12.625" bestFit="1" customWidth="1"/>
    <col min="12" max="12" width="11.125" bestFit="1" customWidth="1"/>
    <col min="17" max="17" width="13.625" bestFit="1" customWidth="1"/>
    <col min="18" max="18" width="13.625" customWidth="1"/>
    <col min="19" max="20" width="12.125" customWidth="1"/>
    <col min="26" max="26" width="12.875" bestFit="1" customWidth="1"/>
    <col min="27" max="28" width="11.125" bestFit="1" customWidth="1"/>
    <col min="29" max="30" width="11" bestFit="1" customWidth="1"/>
    <col min="34" max="34" width="17.625" customWidth="1"/>
    <col min="35" max="37" width="11.625" bestFit="1" customWidth="1"/>
    <col min="38" max="38" width="11.625" customWidth="1"/>
  </cols>
  <sheetData>
    <row r="2" spans="2:10" ht="21">
      <c r="B2" s="26" t="s">
        <v>221</v>
      </c>
      <c r="C2" s="26" t="str">
        <f>LCOE!J3</f>
        <v>LCOE 7</v>
      </c>
      <c r="D2" s="26"/>
      <c r="E2" s="26"/>
      <c r="F2" s="26" t="s">
        <v>222</v>
      </c>
      <c r="G2" t="str">
        <f>C4</f>
        <v>USD</v>
      </c>
      <c r="I2" t="str">
        <f>C6</f>
        <v>USD</v>
      </c>
    </row>
    <row r="3" spans="2:10">
      <c r="B3" t="str">
        <f>LCOE!C5</f>
        <v>Name</v>
      </c>
      <c r="C3" t="str">
        <f>LCOE!J5</f>
        <v>CCGT in Belgium (2020)</v>
      </c>
      <c r="F3" s="24" t="str">
        <f>LCOE!C46</f>
        <v>LCOE (LCOHeat for pure heat plants)</v>
      </c>
      <c r="G3" s="25">
        <f>SUM(AH45:AM170)/SUM(AN45:AN170)</f>
        <v>74.762467256960974</v>
      </c>
      <c r="H3" s="24" t="str">
        <f t="shared" ref="H3:H9" si="0">_xlfn.CONCAT(C$4,"/MWh")</f>
        <v>USD/MWh</v>
      </c>
      <c r="I3" s="25">
        <f>G3*C$7</f>
        <v>74.762467256960974</v>
      </c>
      <c r="J3" t="str">
        <f t="shared" ref="J3:J9" si="1">_xlfn.CONCAT(C$6,"/MWh")</f>
        <v>USD/MWh</v>
      </c>
    </row>
    <row r="4" spans="2:10">
      <c r="B4" t="str">
        <f>LCOE!C6</f>
        <v>Currency used for LCOE calculations</v>
      </c>
      <c r="C4" t="str">
        <f>LCOE!J6</f>
        <v>USD</v>
      </c>
      <c r="F4" s="24" t="str">
        <f>LCOE!C47</f>
        <v>Of which: Capital costs</v>
      </c>
      <c r="G4" s="22">
        <f>SUM(AH45:AH170)/SUM(AN45:AN170)</f>
        <v>17.205401773731566</v>
      </c>
      <c r="H4" t="str">
        <f t="shared" si="0"/>
        <v>USD/MWh</v>
      </c>
      <c r="I4" s="25">
        <f t="shared" ref="I4:I9" si="2">G4*C$7</f>
        <v>17.205401773731566</v>
      </c>
      <c r="J4" t="str">
        <f t="shared" si="1"/>
        <v>USD/MWh</v>
      </c>
    </row>
    <row r="5" spans="2:10">
      <c r="B5" t="str">
        <f>LCOE!C7</f>
        <v>Price reference year</v>
      </c>
      <c r="C5">
        <f>LCOE!J7</f>
        <v>0</v>
      </c>
      <c r="F5" s="24" t="str">
        <f>LCOE!C48</f>
        <v>O&amp;M</v>
      </c>
      <c r="G5" s="23">
        <f>SUM(AI45:AI170)/SUM(AN45:AN170)</f>
        <v>5.4845654832294244</v>
      </c>
      <c r="H5" t="str">
        <f t="shared" si="0"/>
        <v>USD/MWh</v>
      </c>
      <c r="I5" s="25">
        <f t="shared" si="2"/>
        <v>5.4845654832294244</v>
      </c>
      <c r="J5" t="str">
        <f t="shared" si="1"/>
        <v>USD/MWh</v>
      </c>
    </row>
    <row r="6" spans="2:10">
      <c r="B6" t="str">
        <f>LCOE!C8</f>
        <v>Currency used</v>
      </c>
      <c r="C6" t="str">
        <f>LCOE!J8</f>
        <v>USD</v>
      </c>
      <c r="F6" s="24" t="str">
        <f>LCOE!C49</f>
        <v>Fuel</v>
      </c>
      <c r="G6" s="23">
        <f>SUM(AJ45:AJ170)/SUM(AN45:AN170)</f>
        <v>42.660000000000011</v>
      </c>
      <c r="H6" t="str">
        <f t="shared" si="0"/>
        <v>USD/MWh</v>
      </c>
      <c r="I6" s="25">
        <f t="shared" si="2"/>
        <v>42.660000000000011</v>
      </c>
      <c r="J6" t="str">
        <f t="shared" si="1"/>
        <v>USD/MWh</v>
      </c>
    </row>
    <row r="7" spans="2:10">
      <c r="B7" t="str">
        <f>LCOE!C9</f>
        <v>Conversion rate at reference year</v>
      </c>
      <c r="C7">
        <f>LCOE!J9</f>
        <v>1</v>
      </c>
      <c r="F7" s="24" t="str">
        <f>LCOE!C50</f>
        <v>Taxes and fees</v>
      </c>
      <c r="G7" s="23">
        <f>SUM(AK45:AK170)/SUM(AN45:AN170)</f>
        <v>0</v>
      </c>
      <c r="H7" t="str">
        <f t="shared" si="0"/>
        <v>USD/MWh</v>
      </c>
      <c r="I7" s="25">
        <f t="shared" si="2"/>
        <v>0</v>
      </c>
      <c r="J7" t="str">
        <f t="shared" si="1"/>
        <v>USD/MWh</v>
      </c>
    </row>
    <row r="8" spans="2:10">
      <c r="B8" t="str">
        <f>LCOE!C10</f>
        <v>Debt %</v>
      </c>
      <c r="C8">
        <f>LCOE!J10</f>
        <v>0.9</v>
      </c>
      <c r="F8" s="24" t="str">
        <f>LCOE!C51</f>
        <v>Emission costs</v>
      </c>
      <c r="G8" s="23">
        <f>SUM(AL45:AL170)/SUM(AN45:AN170)</f>
        <v>9.4124999999999979</v>
      </c>
      <c r="H8" t="str">
        <f t="shared" si="0"/>
        <v>USD/MWh</v>
      </c>
      <c r="I8" s="25">
        <f t="shared" si="2"/>
        <v>9.4124999999999979</v>
      </c>
      <c r="J8" t="str">
        <f t="shared" si="1"/>
        <v>USD/MWh</v>
      </c>
    </row>
    <row r="9" spans="2:10">
      <c r="B9" t="str">
        <f>LCOE!C11</f>
        <v>Cost of debt (private discount rate)</v>
      </c>
      <c r="C9" s="3">
        <f>LCOE!J11</f>
        <v>0.12</v>
      </c>
      <c r="F9" s="24" t="str">
        <f>LCOE!C52</f>
        <v>Heat credit (for CHP plants)</v>
      </c>
      <c r="G9" s="18">
        <f>IF(C15&gt;0,SUM(AM45:AM170)/SUM(AN45:AN170),0)</f>
        <v>0</v>
      </c>
      <c r="H9" t="str">
        <f t="shared" si="0"/>
        <v>USD/MWh</v>
      </c>
      <c r="I9" s="25">
        <f t="shared" si="2"/>
        <v>0</v>
      </c>
      <c r="J9" t="str">
        <f t="shared" si="1"/>
        <v>USD/MWh</v>
      </c>
    </row>
    <row r="10" spans="2:10">
      <c r="B10" t="str">
        <f>LCOE!C12</f>
        <v>Cost of equity (discount rate)</v>
      </c>
      <c r="C10" s="3">
        <f>LCOE!J12</f>
        <v>0.12</v>
      </c>
      <c r="F10" s="24" t="str">
        <f>LCOE!C53</f>
        <v>WACC average over lifetime</v>
      </c>
      <c r="G10" s="12">
        <f>AVERAGE(AF70:AF170)</f>
        <v>0.1199999999999998</v>
      </c>
      <c r="I10" s="14">
        <f>G10</f>
        <v>0.1199999999999998</v>
      </c>
    </row>
    <row r="11" spans="2:10">
      <c r="B11" t="str">
        <f>LCOE!C13</f>
        <v>Construction cost per kW</v>
      </c>
      <c r="C11">
        <f>LCOE!J13</f>
        <v>1009</v>
      </c>
      <c r="F11" s="24" t="str">
        <f>LCOE!C54</f>
        <v>Plant type</v>
      </c>
      <c r="G11" t="str">
        <f>IF(AND(LCOE!J$14&gt;0,LCOE!J$15=0),"Electric only",IF(AND(LCOE!J$14&gt;0,LCOE!J$15&gt;0),"CHP",IF(AND(LCOE!J$14=0,LCOE!J$15&gt;0),"Heat only","Error: no generation")))</f>
        <v>Electric only</v>
      </c>
      <c r="I11" s="18" t="str">
        <f>G11</f>
        <v>Electric only</v>
      </c>
    </row>
    <row r="12" spans="2:10">
      <c r="B12" t="str">
        <f>LCOE!C14</f>
        <v>Maximum electric power, in MW_e</v>
      </c>
      <c r="C12">
        <f>LCOE!J14</f>
        <v>500</v>
      </c>
    </row>
    <row r="13" spans="2:10">
      <c r="B13" t="str">
        <f>LCOE!C15</f>
        <v>Maximum heat power, in MW_h</v>
      </c>
      <c r="C13">
        <f>LCOE!J15</f>
        <v>0</v>
      </c>
    </row>
    <row r="14" spans="2:10">
      <c r="B14" t="str">
        <f>LCOE!C16</f>
        <v>Plant lifetime</v>
      </c>
      <c r="C14">
        <f>LCOE!J16</f>
        <v>30</v>
      </c>
    </row>
    <row r="15" spans="2:10">
      <c r="B15" t="str">
        <f>LCOE!C17</f>
        <v>Construction period, years</v>
      </c>
      <c r="C15">
        <f>LCOE!J17</f>
        <v>3</v>
      </c>
    </row>
    <row r="16" spans="2:10">
      <c r="B16" t="str">
        <f>LCOE!C18</f>
        <v>Capacity factor (settled down)</v>
      </c>
      <c r="C16" s="14">
        <f>LCOE!J18</f>
        <v>0.9</v>
      </c>
    </row>
    <row r="17" spans="2:3">
      <c r="B17" t="str">
        <f>LCOE!C19</f>
        <v>Capacity factor ramp-up on startup, per year</v>
      </c>
      <c r="C17" s="14">
        <f>LCOE!J19</f>
        <v>0.6</v>
      </c>
    </row>
    <row r="18" spans="2:3">
      <c r="B18" t="str">
        <f>LCOE!C20</f>
        <v>Fixed OPEX/MW capacity at project start</v>
      </c>
      <c r="C18" s="18">
        <f>LCOE!J20</f>
        <v>40000</v>
      </c>
    </row>
    <row r="19" spans="2:3">
      <c r="B19" t="str">
        <f>LCOE!C21</f>
        <v>Variable OPEX/MWh produced at project start</v>
      </c>
      <c r="C19" s="18">
        <f>LCOE!J21</f>
        <v>0</v>
      </c>
    </row>
    <row r="20" spans="2:3">
      <c r="B20" t="str">
        <f>LCOE!C22</f>
        <v>OPEX escalator</v>
      </c>
      <c r="C20" s="14">
        <f>LCOE!J22</f>
        <v>0</v>
      </c>
    </row>
    <row r="21" spans="2:3">
      <c r="B21" t="str">
        <f>LCOE!C23</f>
        <v>FUELEX/MWh produced at project start</v>
      </c>
      <c r="C21">
        <f>LCOE!J23</f>
        <v>42.66</v>
      </c>
    </row>
    <row r="22" spans="2:3">
      <c r="B22" t="str">
        <f>LCOE!C24</f>
        <v>FUELEX escalator</v>
      </c>
      <c r="C22" s="14">
        <f>LCOE!J24</f>
        <v>0</v>
      </c>
    </row>
    <row r="23" spans="2:3">
      <c r="B23" t="str">
        <f>LCOE!C25</f>
        <v>Efficiency loss/year</v>
      </c>
      <c r="C23" s="14">
        <f>LCOE!J25</f>
        <v>0</v>
      </c>
    </row>
    <row r="24" spans="2:3">
      <c r="B24" t="str">
        <f>LCOE!C26</f>
        <v>Refurbishment year</v>
      </c>
      <c r="C24">
        <f>LCOE!J26</f>
        <v>101</v>
      </c>
    </row>
    <row r="25" spans="2:3">
      <c r="B25" t="str">
        <f>LCOE!C27</f>
        <v>Refurbishment time required, years</v>
      </c>
      <c r="C25">
        <f>LCOE!J27</f>
        <v>1</v>
      </c>
    </row>
    <row r="26" spans="2:3">
      <c r="B26" t="str">
        <f>LCOE!C28</f>
        <v>Refurbishment cost, per kW</v>
      </c>
      <c r="C26">
        <f>LCOE!J28</f>
        <v>0</v>
      </c>
    </row>
    <row r="27" spans="2:3">
      <c r="B27" t="str">
        <f>LCOE!C29</f>
        <v>Emission factor, gCO2e/kWh</v>
      </c>
      <c r="C27">
        <f>LCOE!J29</f>
        <v>313.75</v>
      </c>
    </row>
    <row r="28" spans="2:3">
      <c r="B28" t="str">
        <f>LCOE!C30</f>
        <v>Emissions taxed starting from year</v>
      </c>
      <c r="C28">
        <f>LCOE!J30</f>
        <v>0</v>
      </c>
    </row>
    <row r="29" spans="2:3">
      <c r="B29" t="str">
        <f>LCOE!C31</f>
        <v>Taxes, per MWh produced</v>
      </c>
      <c r="C29">
        <f>LCOE!J31</f>
        <v>0</v>
      </c>
    </row>
    <row r="30" spans="2:3">
      <c r="B30" t="str">
        <f>LCOE!C32</f>
        <v>Waste fee, per MWh produced</v>
      </c>
      <c r="C30">
        <f>LCOE!J32</f>
        <v>0</v>
      </c>
    </row>
    <row r="31" spans="2:3">
      <c r="B31" t="str">
        <f>LCOE!C33</f>
        <v>Heat credit, per MWh produced</v>
      </c>
      <c r="C31">
        <f>LCOE!J33</f>
        <v>30</v>
      </c>
    </row>
    <row r="32" spans="2:3">
      <c r="B32" t="str">
        <f>LCOE!C34</f>
        <v>Outage at year</v>
      </c>
      <c r="C32">
        <f>LCOE!J34</f>
        <v>101</v>
      </c>
    </row>
    <row r="33" spans="1:40">
      <c r="B33" t="str">
        <f>LCOE!C35</f>
        <v>Decommissioning costs, % of initial capital cost</v>
      </c>
      <c r="C33" s="14">
        <f>LCOE!J35</f>
        <v>0.05</v>
      </c>
    </row>
    <row r="34" spans="1:40">
      <c r="B34" t="str">
        <f>LCOE!C36</f>
        <v>Decommissioning delay, years</v>
      </c>
      <c r="C34">
        <f>LCOE!J36</f>
        <v>2</v>
      </c>
    </row>
    <row r="35" spans="1:40">
      <c r="B35" t="str">
        <f>LCOE!C37</f>
        <v>Results reference year/LC start year</v>
      </c>
      <c r="C35">
        <f>LCOE!J37</f>
        <v>2020</v>
      </c>
    </row>
    <row r="36" spans="1:40">
      <c r="B36" t="str">
        <f>LCOE!C38</f>
        <v>Total cost</v>
      </c>
      <c r="C36" s="16">
        <f>LCOE!J38</f>
        <v>504500000</v>
      </c>
    </row>
    <row r="37" spans="1:40">
      <c r="B37" t="str">
        <f>LCOE!C39</f>
        <v>Equity share</v>
      </c>
      <c r="C37">
        <f>LCOE!J39</f>
        <v>9.9999999999999978E-2</v>
      </c>
    </row>
    <row r="38" spans="1:40">
      <c r="B38" t="str">
        <f>LCOE!C40</f>
        <v>WACC (average discount rate)</v>
      </c>
      <c r="C38" s="3">
        <f>LCOE!J40</f>
        <v>0.12</v>
      </c>
    </row>
    <row r="39" spans="1:40">
      <c r="B39" t="str">
        <f>LCOE!C41</f>
        <v>Interest during construction (IDC)</v>
      </c>
      <c r="C39" s="14">
        <f>LCOE!J41</f>
        <v>0.12</v>
      </c>
    </row>
    <row r="40" spans="1:40">
      <c r="B40" t="str">
        <f>LCOE!C42</f>
        <v>Total overnight cost of refurbishment</v>
      </c>
      <c r="C40" s="16">
        <f>LCOE!J42</f>
        <v>0</v>
      </c>
    </row>
    <row r="41" spans="1:40">
      <c r="B41" t="str">
        <f>LCOE!C43</f>
        <v>Overrides</v>
      </c>
      <c r="C41">
        <f>LCOE!J43</f>
        <v>0</v>
      </c>
    </row>
    <row r="43" spans="1:40">
      <c r="Z43" s="48" t="s">
        <v>223</v>
      </c>
      <c r="AA43" s="48"/>
      <c r="AB43" s="48"/>
      <c r="AC43" s="48"/>
      <c r="AD43" s="48"/>
    </row>
    <row r="44" spans="1:40" ht="183.95">
      <c r="A44" t="s">
        <v>224</v>
      </c>
      <c r="B44" s="17" t="s">
        <v>161</v>
      </c>
      <c r="C44" s="43" t="s">
        <v>225</v>
      </c>
      <c r="D44" s="17" t="s">
        <v>226</v>
      </c>
      <c r="E44" s="17" t="s">
        <v>164</v>
      </c>
      <c r="F44" s="17" t="s">
        <v>167</v>
      </c>
      <c r="G44" s="17" t="s">
        <v>168</v>
      </c>
      <c r="H44" s="17" t="s">
        <v>169</v>
      </c>
      <c r="I44" s="17" t="s">
        <v>170</v>
      </c>
      <c r="J44" s="17" t="s">
        <v>171</v>
      </c>
      <c r="K44" s="17" t="s">
        <v>227</v>
      </c>
      <c r="L44" s="17" t="s">
        <v>173</v>
      </c>
      <c r="M44" s="17" t="s">
        <v>228</v>
      </c>
      <c r="N44" s="17" t="s">
        <v>229</v>
      </c>
      <c r="O44" s="17" t="s">
        <v>230</v>
      </c>
      <c r="P44" s="17" t="s">
        <v>177</v>
      </c>
      <c r="Q44" s="17" t="s">
        <v>231</v>
      </c>
      <c r="R44" s="17" t="s">
        <v>232</v>
      </c>
      <c r="S44" s="17" t="s">
        <v>233</v>
      </c>
      <c r="T44" s="17" t="s">
        <v>180</v>
      </c>
      <c r="U44" s="17" t="s">
        <v>181</v>
      </c>
      <c r="V44" s="17" t="s">
        <v>182</v>
      </c>
      <c r="W44" s="17" t="s">
        <v>183</v>
      </c>
      <c r="X44" s="17" t="s">
        <v>234</v>
      </c>
      <c r="Y44" s="17" t="s">
        <v>185</v>
      </c>
      <c r="Z44" s="49" t="s">
        <v>235</v>
      </c>
      <c r="AA44" s="49" t="s">
        <v>236</v>
      </c>
      <c r="AB44" s="49" t="s">
        <v>237</v>
      </c>
      <c r="AC44" s="49" t="s">
        <v>238</v>
      </c>
      <c r="AD44" s="49" t="s">
        <v>239</v>
      </c>
      <c r="AE44" s="17" t="s">
        <v>240</v>
      </c>
      <c r="AF44" s="17" t="s">
        <v>241</v>
      </c>
      <c r="AG44" s="17" t="s">
        <v>242</v>
      </c>
      <c r="AH44" s="17" t="s">
        <v>243</v>
      </c>
      <c r="AI44" s="17" t="s">
        <v>244</v>
      </c>
      <c r="AJ44" s="17" t="s">
        <v>245</v>
      </c>
      <c r="AK44" s="17" t="s">
        <v>246</v>
      </c>
      <c r="AL44" s="17" t="s">
        <v>247</v>
      </c>
      <c r="AM44" s="17" t="s">
        <v>248</v>
      </c>
      <c r="AN44" s="17" t="s">
        <v>249</v>
      </c>
    </row>
    <row r="45" spans="1:40">
      <c r="A45">
        <v>-25</v>
      </c>
      <c r="B45" s="16">
        <f>LCOE!C71+IF(A45&gt;=((LCOE!J$17*-1)+1),LCOE!J$38/LCOE!J$17,0)</f>
        <v>0</v>
      </c>
      <c r="C45" s="16"/>
      <c r="D45" s="16"/>
      <c r="E45" s="18"/>
      <c r="Z45" s="50">
        <f t="shared" ref="Z45:Z69" si="3">SUM(B45:C45)</f>
        <v>0</v>
      </c>
      <c r="AA45" s="50">
        <f t="shared" ref="AA45:AA69" si="4">SUM(I45:J45)</f>
        <v>0</v>
      </c>
      <c r="AB45" s="50">
        <f t="shared" ref="AB45:AB69" si="5">L45</f>
        <v>0</v>
      </c>
      <c r="AC45" s="50">
        <f t="shared" ref="AC45:AC69" si="6">SUM(S45:W45)</f>
        <v>0</v>
      </c>
      <c r="AD45" s="50">
        <f>S45</f>
        <v>0</v>
      </c>
      <c r="AE45">
        <v>-25</v>
      </c>
      <c r="AF45" s="12">
        <f>LCOE!E71+LCOE!J$40</f>
        <v>0.12</v>
      </c>
      <c r="AG45">
        <f>(1+AF45)^A45</f>
        <v>5.8823306552253637E-2</v>
      </c>
      <c r="AH45" s="16">
        <f t="shared" ref="AH45:AH108" si="7">Z45/AG45</f>
        <v>0</v>
      </c>
      <c r="AI45" s="16">
        <f t="shared" ref="AI45:AI108" si="8">AA45/AG45</f>
        <v>0</v>
      </c>
      <c r="AJ45" s="16">
        <f t="shared" ref="AJ45:AJ108" si="9">AB45/AG45</f>
        <v>0</v>
      </c>
      <c r="AK45" s="16">
        <f t="shared" ref="AK45:AK108" si="10">AC45/AG45</f>
        <v>0</v>
      </c>
      <c r="AL45" s="16">
        <f>AD45/AG45</f>
        <v>0</v>
      </c>
      <c r="AM45" s="16"/>
    </row>
    <row r="46" spans="1:40">
      <c r="A46">
        <v>-24</v>
      </c>
      <c r="B46" s="16">
        <f>LCOE!C72+IF(A46&gt;=((LCOE!J$17*-1)+1),LCOE!J$38/LCOE!J$17,0)</f>
        <v>0</v>
      </c>
      <c r="C46" s="16"/>
      <c r="D46" s="16"/>
      <c r="E46" s="18"/>
      <c r="Z46" s="50">
        <f t="shared" si="3"/>
        <v>0</v>
      </c>
      <c r="AA46" s="50">
        <f t="shared" si="4"/>
        <v>0</v>
      </c>
      <c r="AB46" s="50">
        <f t="shared" si="5"/>
        <v>0</v>
      </c>
      <c r="AC46" s="50">
        <f t="shared" si="6"/>
        <v>0</v>
      </c>
      <c r="AD46" s="50">
        <f t="shared" ref="AD46:AD109" si="11">S46</f>
        <v>0</v>
      </c>
      <c r="AE46">
        <v>-24</v>
      </c>
      <c r="AF46" s="12">
        <f>LCOE!E72+LCOE!J$40</f>
        <v>0.12</v>
      </c>
      <c r="AG46">
        <f t="shared" ref="AG46:AG109" si="12">(1+AF46)^A46</f>
        <v>6.5882103338524081E-2</v>
      </c>
      <c r="AH46" s="16">
        <f t="shared" si="7"/>
        <v>0</v>
      </c>
      <c r="AI46" s="16">
        <f t="shared" si="8"/>
        <v>0</v>
      </c>
      <c r="AJ46" s="16">
        <f t="shared" si="9"/>
        <v>0</v>
      </c>
      <c r="AK46" s="16">
        <f t="shared" si="10"/>
        <v>0</v>
      </c>
      <c r="AL46" s="16">
        <f t="shared" ref="AL46:AL109" si="13">AD46/AG46</f>
        <v>0</v>
      </c>
      <c r="AM46" s="16"/>
    </row>
    <row r="47" spans="1:40">
      <c r="A47">
        <v>-23</v>
      </c>
      <c r="B47" s="16">
        <f>LCOE!C73+IF(A47&gt;=((LCOE!J$17*-1)+1),LCOE!J$38/LCOE!J$17,0)</f>
        <v>0</v>
      </c>
      <c r="C47" s="16"/>
      <c r="D47" s="16"/>
      <c r="E47" s="18"/>
      <c r="Z47" s="50">
        <f t="shared" si="3"/>
        <v>0</v>
      </c>
      <c r="AA47" s="50">
        <f t="shared" si="4"/>
        <v>0</v>
      </c>
      <c r="AB47" s="50">
        <f t="shared" si="5"/>
        <v>0</v>
      </c>
      <c r="AC47" s="50">
        <f t="shared" si="6"/>
        <v>0</v>
      </c>
      <c r="AD47" s="50">
        <f t="shared" si="11"/>
        <v>0</v>
      </c>
      <c r="AE47">
        <v>-23</v>
      </c>
      <c r="AF47" s="12">
        <f>LCOE!E73+LCOE!J$40</f>
        <v>0.12</v>
      </c>
      <c r="AG47">
        <f t="shared" si="12"/>
        <v>7.3787955739146982E-2</v>
      </c>
      <c r="AH47" s="16">
        <f t="shared" si="7"/>
        <v>0</v>
      </c>
      <c r="AI47" s="16">
        <f t="shared" si="8"/>
        <v>0</v>
      </c>
      <c r="AJ47" s="16">
        <f t="shared" si="9"/>
        <v>0</v>
      </c>
      <c r="AK47" s="16">
        <f t="shared" si="10"/>
        <v>0</v>
      </c>
      <c r="AL47" s="16">
        <f t="shared" si="13"/>
        <v>0</v>
      </c>
      <c r="AM47" s="16"/>
    </row>
    <row r="48" spans="1:40">
      <c r="A48">
        <v>-22</v>
      </c>
      <c r="B48" s="16">
        <f>LCOE!C74+IF(A48&gt;=((LCOE!J$17*-1)+1),LCOE!J$38/LCOE!J$17,0)</f>
        <v>0</v>
      </c>
      <c r="C48" s="16"/>
      <c r="D48" s="16"/>
      <c r="E48" s="18"/>
      <c r="Z48" s="50">
        <f t="shared" si="3"/>
        <v>0</v>
      </c>
      <c r="AA48" s="50">
        <f t="shared" si="4"/>
        <v>0</v>
      </c>
      <c r="AB48" s="50">
        <f t="shared" si="5"/>
        <v>0</v>
      </c>
      <c r="AC48" s="50">
        <f t="shared" si="6"/>
        <v>0</v>
      </c>
      <c r="AD48" s="50">
        <f t="shared" si="11"/>
        <v>0</v>
      </c>
      <c r="AE48">
        <v>-22</v>
      </c>
      <c r="AF48" s="12">
        <f>LCOE!E74+LCOE!J$40</f>
        <v>0.12</v>
      </c>
      <c r="AG48">
        <f t="shared" si="12"/>
        <v>8.2642510427844609E-2</v>
      </c>
      <c r="AH48" s="16">
        <f t="shared" si="7"/>
        <v>0</v>
      </c>
      <c r="AI48" s="16">
        <f t="shared" si="8"/>
        <v>0</v>
      </c>
      <c r="AJ48" s="16">
        <f t="shared" si="9"/>
        <v>0</v>
      </c>
      <c r="AK48" s="16">
        <f t="shared" si="10"/>
        <v>0</v>
      </c>
      <c r="AL48" s="16">
        <f t="shared" si="13"/>
        <v>0</v>
      </c>
      <c r="AM48" s="16"/>
    </row>
    <row r="49" spans="1:39">
      <c r="A49">
        <v>-21</v>
      </c>
      <c r="B49" s="16">
        <f>LCOE!C75+IF(A49&gt;=((LCOE!J$17*-1)+1),LCOE!J$38/LCOE!J$17,0)</f>
        <v>0</v>
      </c>
      <c r="C49" s="16"/>
      <c r="D49" s="16"/>
      <c r="E49" s="18"/>
      <c r="Z49" s="50">
        <f t="shared" si="3"/>
        <v>0</v>
      </c>
      <c r="AA49" s="50">
        <f t="shared" si="4"/>
        <v>0</v>
      </c>
      <c r="AB49" s="50">
        <f t="shared" si="5"/>
        <v>0</v>
      </c>
      <c r="AC49" s="50">
        <f t="shared" si="6"/>
        <v>0</v>
      </c>
      <c r="AD49" s="50">
        <f t="shared" si="11"/>
        <v>0</v>
      </c>
      <c r="AE49">
        <v>-21</v>
      </c>
      <c r="AF49" s="12">
        <f>LCOE!E75+LCOE!J$40</f>
        <v>0.12</v>
      </c>
      <c r="AG49">
        <f t="shared" si="12"/>
        <v>9.2559611679185971E-2</v>
      </c>
      <c r="AH49" s="16">
        <f t="shared" si="7"/>
        <v>0</v>
      </c>
      <c r="AI49" s="16">
        <f t="shared" si="8"/>
        <v>0</v>
      </c>
      <c r="AJ49" s="16">
        <f t="shared" si="9"/>
        <v>0</v>
      </c>
      <c r="AK49" s="16">
        <f t="shared" si="10"/>
        <v>0</v>
      </c>
      <c r="AL49" s="16">
        <f t="shared" si="13"/>
        <v>0</v>
      </c>
      <c r="AM49" s="16"/>
    </row>
    <row r="50" spans="1:39">
      <c r="A50">
        <v>-20</v>
      </c>
      <c r="B50" s="16">
        <f>LCOE!C76+IF(A50&gt;=((LCOE!J$17*-1)+1),LCOE!J$38/LCOE!J$17,0)</f>
        <v>0</v>
      </c>
      <c r="C50" s="16"/>
      <c r="D50" s="16"/>
      <c r="E50" s="18"/>
      <c r="Z50" s="50">
        <f t="shared" si="3"/>
        <v>0</v>
      </c>
      <c r="AA50" s="50">
        <f t="shared" si="4"/>
        <v>0</v>
      </c>
      <c r="AB50" s="50">
        <f t="shared" si="5"/>
        <v>0</v>
      </c>
      <c r="AC50" s="50">
        <f t="shared" si="6"/>
        <v>0</v>
      </c>
      <c r="AD50" s="50">
        <f t="shared" si="11"/>
        <v>0</v>
      </c>
      <c r="AE50">
        <v>-20</v>
      </c>
      <c r="AF50" s="12">
        <f>LCOE!E76+LCOE!J$40</f>
        <v>0.12</v>
      </c>
      <c r="AG50">
        <f t="shared" si="12"/>
        <v>0.1036667650806883</v>
      </c>
      <c r="AH50" s="16">
        <f t="shared" si="7"/>
        <v>0</v>
      </c>
      <c r="AI50" s="16">
        <f t="shared" si="8"/>
        <v>0</v>
      </c>
      <c r="AJ50" s="16">
        <f t="shared" si="9"/>
        <v>0</v>
      </c>
      <c r="AK50" s="16">
        <f t="shared" si="10"/>
        <v>0</v>
      </c>
      <c r="AL50" s="16">
        <f t="shared" si="13"/>
        <v>0</v>
      </c>
      <c r="AM50" s="16"/>
    </row>
    <row r="51" spans="1:39">
      <c r="A51">
        <v>-19</v>
      </c>
      <c r="B51" s="16">
        <f>LCOE!C77+IF(A51&gt;=((LCOE!J$17*-1)+1),LCOE!J$38/LCOE!J$17,0)</f>
        <v>0</v>
      </c>
      <c r="C51" s="16"/>
      <c r="D51" s="16"/>
      <c r="E51" s="18"/>
      <c r="Z51" s="50">
        <f t="shared" si="3"/>
        <v>0</v>
      </c>
      <c r="AA51" s="50">
        <f t="shared" si="4"/>
        <v>0</v>
      </c>
      <c r="AB51" s="50">
        <f t="shared" si="5"/>
        <v>0</v>
      </c>
      <c r="AC51" s="50">
        <f t="shared" si="6"/>
        <v>0</v>
      </c>
      <c r="AD51" s="50">
        <f t="shared" si="11"/>
        <v>0</v>
      </c>
      <c r="AE51">
        <v>-19</v>
      </c>
      <c r="AF51" s="12">
        <f>LCOE!E77+LCOE!J$40</f>
        <v>0.12</v>
      </c>
      <c r="AG51">
        <f t="shared" si="12"/>
        <v>0.1161067768903709</v>
      </c>
      <c r="AH51" s="16">
        <f t="shared" si="7"/>
        <v>0</v>
      </c>
      <c r="AI51" s="16">
        <f t="shared" si="8"/>
        <v>0</v>
      </c>
      <c r="AJ51" s="16">
        <f t="shared" si="9"/>
        <v>0</v>
      </c>
      <c r="AK51" s="16">
        <f t="shared" si="10"/>
        <v>0</v>
      </c>
      <c r="AL51" s="16">
        <f t="shared" si="13"/>
        <v>0</v>
      </c>
      <c r="AM51" s="16"/>
    </row>
    <row r="52" spans="1:39">
      <c r="A52">
        <v>-18</v>
      </c>
      <c r="B52" s="16">
        <f>LCOE!C78+IF(A52&gt;=((LCOE!J$17*-1)+1),LCOE!J$38/LCOE!J$17,0)</f>
        <v>0</v>
      </c>
      <c r="C52" s="16"/>
      <c r="D52" s="16"/>
      <c r="E52" s="18"/>
      <c r="Z52" s="50">
        <f t="shared" si="3"/>
        <v>0</v>
      </c>
      <c r="AA52" s="50">
        <f t="shared" si="4"/>
        <v>0</v>
      </c>
      <c r="AB52" s="50">
        <f t="shared" si="5"/>
        <v>0</v>
      </c>
      <c r="AC52" s="50">
        <f t="shared" si="6"/>
        <v>0</v>
      </c>
      <c r="AD52" s="50">
        <f t="shared" si="11"/>
        <v>0</v>
      </c>
      <c r="AE52">
        <v>-18</v>
      </c>
      <c r="AF52" s="12">
        <f>LCOE!E78+LCOE!J$40</f>
        <v>0.12</v>
      </c>
      <c r="AG52">
        <f t="shared" si="12"/>
        <v>0.13003959011721541</v>
      </c>
      <c r="AH52" s="16">
        <f t="shared" si="7"/>
        <v>0</v>
      </c>
      <c r="AI52" s="16">
        <f t="shared" si="8"/>
        <v>0</v>
      </c>
      <c r="AJ52" s="16">
        <f t="shared" si="9"/>
        <v>0</v>
      </c>
      <c r="AK52" s="16">
        <f t="shared" si="10"/>
        <v>0</v>
      </c>
      <c r="AL52" s="16">
        <f t="shared" si="13"/>
        <v>0</v>
      </c>
      <c r="AM52" s="16"/>
    </row>
    <row r="53" spans="1:39">
      <c r="A53">
        <v>-17</v>
      </c>
      <c r="B53" s="16">
        <f>LCOE!C79+IF(A53&gt;=((LCOE!J$17*-1)+1),LCOE!J$38/LCOE!J$17,0)</f>
        <v>0</v>
      </c>
      <c r="C53" s="16"/>
      <c r="D53" s="16"/>
      <c r="E53" s="18"/>
      <c r="Z53" s="50">
        <f t="shared" si="3"/>
        <v>0</v>
      </c>
      <c r="AA53" s="50">
        <f t="shared" si="4"/>
        <v>0</v>
      </c>
      <c r="AB53" s="50">
        <f t="shared" si="5"/>
        <v>0</v>
      </c>
      <c r="AC53" s="50">
        <f t="shared" si="6"/>
        <v>0</v>
      </c>
      <c r="AD53" s="50">
        <f t="shared" si="11"/>
        <v>0</v>
      </c>
      <c r="AE53">
        <v>-17</v>
      </c>
      <c r="AF53" s="12">
        <f>LCOE!E79+LCOE!J$40</f>
        <v>0.12</v>
      </c>
      <c r="AG53">
        <f t="shared" si="12"/>
        <v>0.14564434093128129</v>
      </c>
      <c r="AH53" s="16">
        <f t="shared" si="7"/>
        <v>0</v>
      </c>
      <c r="AI53" s="16">
        <f t="shared" si="8"/>
        <v>0</v>
      </c>
      <c r="AJ53" s="16">
        <f t="shared" si="9"/>
        <v>0</v>
      </c>
      <c r="AK53" s="16">
        <f t="shared" si="10"/>
        <v>0</v>
      </c>
      <c r="AL53" s="16">
        <f t="shared" si="13"/>
        <v>0</v>
      </c>
      <c r="AM53" s="16"/>
    </row>
    <row r="54" spans="1:39">
      <c r="A54">
        <v>-16</v>
      </c>
      <c r="B54" s="16">
        <f>LCOE!C80+IF(A54&gt;=((LCOE!J$17*-1)+1),LCOE!J$38/LCOE!J$17,0)</f>
        <v>0</v>
      </c>
      <c r="C54" s="16"/>
      <c r="D54" s="16"/>
      <c r="E54" s="18"/>
      <c r="Z54" s="50">
        <f t="shared" si="3"/>
        <v>0</v>
      </c>
      <c r="AA54" s="50">
        <f t="shared" si="4"/>
        <v>0</v>
      </c>
      <c r="AB54" s="50">
        <f t="shared" si="5"/>
        <v>0</v>
      </c>
      <c r="AC54" s="50">
        <f t="shared" si="6"/>
        <v>0</v>
      </c>
      <c r="AD54" s="50">
        <f t="shared" si="11"/>
        <v>0</v>
      </c>
      <c r="AE54">
        <v>-16</v>
      </c>
      <c r="AF54" s="12">
        <f>LCOE!E80+LCOE!J$40</f>
        <v>0.12</v>
      </c>
      <c r="AG54">
        <f t="shared" si="12"/>
        <v>0.16312166184303503</v>
      </c>
      <c r="AH54" s="16">
        <f t="shared" si="7"/>
        <v>0</v>
      </c>
      <c r="AI54" s="16">
        <f t="shared" si="8"/>
        <v>0</v>
      </c>
      <c r="AJ54" s="16">
        <f t="shared" si="9"/>
        <v>0</v>
      </c>
      <c r="AK54" s="16">
        <f t="shared" si="10"/>
        <v>0</v>
      </c>
      <c r="AL54" s="16">
        <f t="shared" si="13"/>
        <v>0</v>
      </c>
      <c r="AM54" s="16"/>
    </row>
    <row r="55" spans="1:39">
      <c r="A55">
        <v>-15</v>
      </c>
      <c r="B55" s="16">
        <f>LCOE!C81+IF(A55&gt;=((LCOE!J$17*-1)+1),LCOE!J$38/LCOE!J$17,0)</f>
        <v>0</v>
      </c>
      <c r="C55" s="16"/>
      <c r="D55" s="16"/>
      <c r="E55" s="18"/>
      <c r="Z55" s="50">
        <f t="shared" si="3"/>
        <v>0</v>
      </c>
      <c r="AA55" s="50">
        <f t="shared" si="4"/>
        <v>0</v>
      </c>
      <c r="AB55" s="50">
        <f t="shared" si="5"/>
        <v>0</v>
      </c>
      <c r="AC55" s="50">
        <f t="shared" si="6"/>
        <v>0</v>
      </c>
      <c r="AD55" s="50">
        <f t="shared" si="11"/>
        <v>0</v>
      </c>
      <c r="AE55">
        <v>-15</v>
      </c>
      <c r="AF55" s="12">
        <f>LCOE!E81+LCOE!J$40</f>
        <v>0.12</v>
      </c>
      <c r="AG55">
        <f t="shared" si="12"/>
        <v>0.18269626126419927</v>
      </c>
      <c r="AH55" s="16">
        <f t="shared" si="7"/>
        <v>0</v>
      </c>
      <c r="AI55" s="16">
        <f t="shared" si="8"/>
        <v>0</v>
      </c>
      <c r="AJ55" s="16">
        <f t="shared" si="9"/>
        <v>0</v>
      </c>
      <c r="AK55" s="16">
        <f t="shared" si="10"/>
        <v>0</v>
      </c>
      <c r="AL55" s="16">
        <f t="shared" si="13"/>
        <v>0</v>
      </c>
      <c r="AM55" s="16"/>
    </row>
    <row r="56" spans="1:39">
      <c r="A56">
        <v>-14</v>
      </c>
      <c r="B56" s="16">
        <f>LCOE!C82+IF(A56&gt;=((LCOE!J$17*-1)+1),LCOE!J$38/LCOE!J$17,0)</f>
        <v>0</v>
      </c>
      <c r="C56" s="16"/>
      <c r="D56" s="16"/>
      <c r="E56" s="18"/>
      <c r="Z56" s="50">
        <f t="shared" si="3"/>
        <v>0</v>
      </c>
      <c r="AA56" s="50">
        <f t="shared" si="4"/>
        <v>0</v>
      </c>
      <c r="AB56" s="50">
        <f t="shared" si="5"/>
        <v>0</v>
      </c>
      <c r="AC56" s="50">
        <f t="shared" si="6"/>
        <v>0</v>
      </c>
      <c r="AD56" s="50">
        <f t="shared" si="11"/>
        <v>0</v>
      </c>
      <c r="AE56">
        <v>-14</v>
      </c>
      <c r="AF56" s="12">
        <f>LCOE!E82+LCOE!J$40</f>
        <v>0.12</v>
      </c>
      <c r="AG56">
        <f t="shared" si="12"/>
        <v>0.20461981261590317</v>
      </c>
      <c r="AH56" s="16">
        <f t="shared" si="7"/>
        <v>0</v>
      </c>
      <c r="AI56" s="16">
        <f t="shared" si="8"/>
        <v>0</v>
      </c>
      <c r="AJ56" s="16">
        <f t="shared" si="9"/>
        <v>0</v>
      </c>
      <c r="AK56" s="16">
        <f t="shared" si="10"/>
        <v>0</v>
      </c>
      <c r="AL56" s="16">
        <f t="shared" si="13"/>
        <v>0</v>
      </c>
      <c r="AM56" s="16"/>
    </row>
    <row r="57" spans="1:39">
      <c r="A57">
        <v>-13</v>
      </c>
      <c r="B57" s="16">
        <f>LCOE!C83+IF(A57&gt;=((LCOE!J$17*-1)+1),LCOE!J$38/LCOE!J$17,0)</f>
        <v>0</v>
      </c>
      <c r="C57" s="16"/>
      <c r="D57" s="16"/>
      <c r="E57" s="18"/>
      <c r="Z57" s="50">
        <f t="shared" si="3"/>
        <v>0</v>
      </c>
      <c r="AA57" s="50">
        <f t="shared" si="4"/>
        <v>0</v>
      </c>
      <c r="AB57" s="50">
        <f t="shared" si="5"/>
        <v>0</v>
      </c>
      <c r="AC57" s="50">
        <f t="shared" si="6"/>
        <v>0</v>
      </c>
      <c r="AD57" s="50">
        <f t="shared" si="11"/>
        <v>0</v>
      </c>
      <c r="AE57">
        <v>-13</v>
      </c>
      <c r="AF57" s="12">
        <f>LCOE!E83+LCOE!J$40</f>
        <v>0.12</v>
      </c>
      <c r="AG57">
        <f t="shared" si="12"/>
        <v>0.22917419012981158</v>
      </c>
      <c r="AH57" s="16">
        <f t="shared" si="7"/>
        <v>0</v>
      </c>
      <c r="AI57" s="16">
        <f t="shared" si="8"/>
        <v>0</v>
      </c>
      <c r="AJ57" s="16">
        <f t="shared" si="9"/>
        <v>0</v>
      </c>
      <c r="AK57" s="16">
        <f t="shared" si="10"/>
        <v>0</v>
      </c>
      <c r="AL57" s="16">
        <f t="shared" si="13"/>
        <v>0</v>
      </c>
      <c r="AM57" s="16"/>
    </row>
    <row r="58" spans="1:39">
      <c r="A58">
        <v>-12</v>
      </c>
      <c r="B58" s="16">
        <f>LCOE!C84+IF(A58&gt;=((LCOE!J$17*-1)+1),LCOE!J$38/LCOE!J$17,0)</f>
        <v>0</v>
      </c>
      <c r="C58" s="16"/>
      <c r="D58" s="16"/>
      <c r="E58" s="18"/>
      <c r="Z58" s="50">
        <f t="shared" si="3"/>
        <v>0</v>
      </c>
      <c r="AA58" s="50">
        <f t="shared" si="4"/>
        <v>0</v>
      </c>
      <c r="AB58" s="50">
        <f t="shared" si="5"/>
        <v>0</v>
      </c>
      <c r="AC58" s="50">
        <f t="shared" si="6"/>
        <v>0</v>
      </c>
      <c r="AD58" s="50">
        <f t="shared" si="11"/>
        <v>0</v>
      </c>
      <c r="AE58">
        <v>-12</v>
      </c>
      <c r="AF58" s="12">
        <f>LCOE!E84+LCOE!J$40</f>
        <v>0.12</v>
      </c>
      <c r="AG58">
        <f t="shared" si="12"/>
        <v>0.25667509294538904</v>
      </c>
      <c r="AH58" s="16">
        <f t="shared" si="7"/>
        <v>0</v>
      </c>
      <c r="AI58" s="16">
        <f t="shared" si="8"/>
        <v>0</v>
      </c>
      <c r="AJ58" s="16">
        <f t="shared" si="9"/>
        <v>0</v>
      </c>
      <c r="AK58" s="16">
        <f t="shared" si="10"/>
        <v>0</v>
      </c>
      <c r="AL58" s="16">
        <f t="shared" si="13"/>
        <v>0</v>
      </c>
      <c r="AM58" s="16"/>
    </row>
    <row r="59" spans="1:39">
      <c r="A59">
        <v>-11</v>
      </c>
      <c r="B59" s="16">
        <f>LCOE!C85+IF(A59&gt;=((LCOE!J$17*-1)+1),LCOE!J$38/LCOE!J$17,0)</f>
        <v>0</v>
      </c>
      <c r="C59" s="16"/>
      <c r="D59" s="16"/>
      <c r="E59" s="18"/>
      <c r="Z59" s="50">
        <f t="shared" si="3"/>
        <v>0</v>
      </c>
      <c r="AA59" s="50">
        <f t="shared" si="4"/>
        <v>0</v>
      </c>
      <c r="AB59" s="50">
        <f t="shared" si="5"/>
        <v>0</v>
      </c>
      <c r="AC59" s="50">
        <f t="shared" si="6"/>
        <v>0</v>
      </c>
      <c r="AD59" s="50">
        <f t="shared" si="11"/>
        <v>0</v>
      </c>
      <c r="AE59">
        <v>-11</v>
      </c>
      <c r="AF59" s="12">
        <f>LCOE!E85+LCOE!J$40</f>
        <v>0.12</v>
      </c>
      <c r="AG59">
        <f t="shared" si="12"/>
        <v>0.28747610409883567</v>
      </c>
      <c r="AH59" s="16">
        <f t="shared" si="7"/>
        <v>0</v>
      </c>
      <c r="AI59" s="16">
        <f t="shared" si="8"/>
        <v>0</v>
      </c>
      <c r="AJ59" s="16">
        <f t="shared" si="9"/>
        <v>0</v>
      </c>
      <c r="AK59" s="16">
        <f t="shared" si="10"/>
        <v>0</v>
      </c>
      <c r="AL59" s="16">
        <f t="shared" si="13"/>
        <v>0</v>
      </c>
      <c r="AM59" s="16"/>
    </row>
    <row r="60" spans="1:39">
      <c r="A60">
        <v>-10</v>
      </c>
      <c r="B60" s="16">
        <f>LCOE!C86+IF(A60&gt;=((LCOE!J$17*-1)+1),LCOE!J$38/LCOE!J$17,0)</f>
        <v>0</v>
      </c>
      <c r="C60" s="16"/>
      <c r="D60" s="16"/>
      <c r="E60" s="18"/>
      <c r="Z60" s="50">
        <f t="shared" si="3"/>
        <v>0</v>
      </c>
      <c r="AA60" s="50">
        <f t="shared" si="4"/>
        <v>0</v>
      </c>
      <c r="AB60" s="50">
        <f t="shared" si="5"/>
        <v>0</v>
      </c>
      <c r="AC60" s="50">
        <f t="shared" si="6"/>
        <v>0</v>
      </c>
      <c r="AD60" s="50">
        <f t="shared" si="11"/>
        <v>0</v>
      </c>
      <c r="AE60">
        <v>-10</v>
      </c>
      <c r="AF60" s="12">
        <f>LCOE!E86+LCOE!J$40</f>
        <v>0.12</v>
      </c>
      <c r="AG60">
        <f t="shared" si="12"/>
        <v>0.32197323659069599</v>
      </c>
      <c r="AH60" s="16">
        <f t="shared" si="7"/>
        <v>0</v>
      </c>
      <c r="AI60" s="16">
        <f t="shared" si="8"/>
        <v>0</v>
      </c>
      <c r="AJ60" s="16">
        <f t="shared" si="9"/>
        <v>0</v>
      </c>
      <c r="AK60" s="16">
        <f t="shared" si="10"/>
        <v>0</v>
      </c>
      <c r="AL60" s="16">
        <f t="shared" si="13"/>
        <v>0</v>
      </c>
      <c r="AM60" s="16"/>
    </row>
    <row r="61" spans="1:39">
      <c r="A61">
        <v>-9</v>
      </c>
      <c r="B61" s="16">
        <f>LCOE!C87+IF(A61&gt;=((LCOE!J$17*-1)+1),LCOE!J$38/LCOE!J$17,0)</f>
        <v>0</v>
      </c>
      <c r="C61" s="16"/>
      <c r="D61" s="16"/>
      <c r="E61" s="18"/>
      <c r="Z61" s="50">
        <f t="shared" si="3"/>
        <v>0</v>
      </c>
      <c r="AA61" s="50">
        <f t="shared" si="4"/>
        <v>0</v>
      </c>
      <c r="AB61" s="50">
        <f t="shared" si="5"/>
        <v>0</v>
      </c>
      <c r="AC61" s="50">
        <f t="shared" si="6"/>
        <v>0</v>
      </c>
      <c r="AD61" s="50">
        <f t="shared" si="11"/>
        <v>0</v>
      </c>
      <c r="AE61">
        <v>-9</v>
      </c>
      <c r="AF61" s="12">
        <f>LCOE!E87+LCOE!J$40</f>
        <v>0.12</v>
      </c>
      <c r="AG61">
        <f t="shared" si="12"/>
        <v>0.36061002498157957</v>
      </c>
      <c r="AH61" s="16">
        <f t="shared" si="7"/>
        <v>0</v>
      </c>
      <c r="AI61" s="16">
        <f t="shared" si="8"/>
        <v>0</v>
      </c>
      <c r="AJ61" s="16">
        <f t="shared" si="9"/>
        <v>0</v>
      </c>
      <c r="AK61" s="16">
        <f t="shared" si="10"/>
        <v>0</v>
      </c>
      <c r="AL61" s="16">
        <f t="shared" si="13"/>
        <v>0</v>
      </c>
      <c r="AM61" s="16"/>
    </row>
    <row r="62" spans="1:39">
      <c r="A62">
        <v>-8</v>
      </c>
      <c r="B62" s="16">
        <f>LCOE!C88+IF(A62&gt;=((LCOE!J$17*-1)+1),LCOE!J$38/LCOE!J$17,0)</f>
        <v>0</v>
      </c>
      <c r="C62" s="16"/>
      <c r="D62" s="16"/>
      <c r="E62" s="18"/>
      <c r="Z62" s="50">
        <f t="shared" si="3"/>
        <v>0</v>
      </c>
      <c r="AA62" s="50">
        <f t="shared" si="4"/>
        <v>0</v>
      </c>
      <c r="AB62" s="50">
        <f t="shared" si="5"/>
        <v>0</v>
      </c>
      <c r="AC62" s="50">
        <f t="shared" si="6"/>
        <v>0</v>
      </c>
      <c r="AD62" s="50">
        <f t="shared" si="11"/>
        <v>0</v>
      </c>
      <c r="AE62">
        <v>-8</v>
      </c>
      <c r="AF62" s="12">
        <f>LCOE!E88+LCOE!J$40</f>
        <v>0.12</v>
      </c>
      <c r="AG62">
        <f t="shared" si="12"/>
        <v>0.4038832279793691</v>
      </c>
      <c r="AH62" s="16">
        <f t="shared" si="7"/>
        <v>0</v>
      </c>
      <c r="AI62" s="16">
        <f t="shared" si="8"/>
        <v>0</v>
      </c>
      <c r="AJ62" s="16">
        <f t="shared" si="9"/>
        <v>0</v>
      </c>
      <c r="AK62" s="16">
        <f t="shared" si="10"/>
        <v>0</v>
      </c>
      <c r="AL62" s="16">
        <f t="shared" si="13"/>
        <v>0</v>
      </c>
      <c r="AM62" s="16"/>
    </row>
    <row r="63" spans="1:39">
      <c r="A63">
        <v>-7</v>
      </c>
      <c r="B63" s="16">
        <f>LCOE!C89+IF(A63&gt;=((LCOE!J$17*-1)+1),LCOE!J$38/LCOE!J$17,0)</f>
        <v>0</v>
      </c>
      <c r="C63" s="16"/>
      <c r="D63" s="16"/>
      <c r="E63" s="18"/>
      <c r="Z63" s="50">
        <f t="shared" si="3"/>
        <v>0</v>
      </c>
      <c r="AA63" s="50">
        <f t="shared" si="4"/>
        <v>0</v>
      </c>
      <c r="AB63" s="50">
        <f t="shared" si="5"/>
        <v>0</v>
      </c>
      <c r="AC63" s="50">
        <f t="shared" si="6"/>
        <v>0</v>
      </c>
      <c r="AD63" s="50">
        <f t="shared" si="11"/>
        <v>0</v>
      </c>
      <c r="AE63">
        <v>-7</v>
      </c>
      <c r="AF63" s="12">
        <f>LCOE!E89+LCOE!J$40</f>
        <v>0.12</v>
      </c>
      <c r="AG63">
        <f t="shared" si="12"/>
        <v>0.45234921533689343</v>
      </c>
      <c r="AH63" s="16">
        <f t="shared" si="7"/>
        <v>0</v>
      </c>
      <c r="AI63" s="16">
        <f t="shared" si="8"/>
        <v>0</v>
      </c>
      <c r="AJ63" s="16">
        <f t="shared" si="9"/>
        <v>0</v>
      </c>
      <c r="AK63" s="16">
        <f t="shared" si="10"/>
        <v>0</v>
      </c>
      <c r="AL63" s="16">
        <f t="shared" si="13"/>
        <v>0</v>
      </c>
      <c r="AM63" s="16"/>
    </row>
    <row r="64" spans="1:39">
      <c r="A64">
        <v>-6</v>
      </c>
      <c r="B64" s="16">
        <f>LCOE!C90+IF(A64&gt;=((LCOE!J$17*-1)+1),LCOE!J$38/LCOE!J$17,0)</f>
        <v>0</v>
      </c>
      <c r="C64" s="16"/>
      <c r="D64" s="16"/>
      <c r="E64" s="18"/>
      <c r="Z64" s="50">
        <f t="shared" si="3"/>
        <v>0</v>
      </c>
      <c r="AA64" s="50">
        <f t="shared" si="4"/>
        <v>0</v>
      </c>
      <c r="AB64" s="50">
        <f t="shared" si="5"/>
        <v>0</v>
      </c>
      <c r="AC64" s="50">
        <f t="shared" si="6"/>
        <v>0</v>
      </c>
      <c r="AD64" s="50">
        <f t="shared" si="11"/>
        <v>0</v>
      </c>
      <c r="AE64">
        <v>-6</v>
      </c>
      <c r="AF64" s="12">
        <f>LCOE!E90+LCOE!J$40</f>
        <v>0.12</v>
      </c>
      <c r="AG64">
        <f t="shared" si="12"/>
        <v>0.50663112117732068</v>
      </c>
      <c r="AH64" s="16">
        <f t="shared" si="7"/>
        <v>0</v>
      </c>
      <c r="AI64" s="16">
        <f t="shared" si="8"/>
        <v>0</v>
      </c>
      <c r="AJ64" s="16">
        <f t="shared" si="9"/>
        <v>0</v>
      </c>
      <c r="AK64" s="16">
        <f t="shared" si="10"/>
        <v>0</v>
      </c>
      <c r="AL64" s="16">
        <f t="shared" si="13"/>
        <v>0</v>
      </c>
      <c r="AM64" s="16"/>
    </row>
    <row r="65" spans="1:40">
      <c r="A65">
        <v>-5</v>
      </c>
      <c r="B65" s="16">
        <f>LCOE!C91+IF(A65&gt;=((LCOE!J$17*-1)+1),LCOE!J$38/LCOE!J$17,0)</f>
        <v>0</v>
      </c>
      <c r="C65" s="16"/>
      <c r="D65" s="16"/>
      <c r="E65" s="18"/>
      <c r="Z65" s="50">
        <f t="shared" si="3"/>
        <v>0</v>
      </c>
      <c r="AA65" s="50">
        <f t="shared" si="4"/>
        <v>0</v>
      </c>
      <c r="AB65" s="50">
        <f t="shared" si="5"/>
        <v>0</v>
      </c>
      <c r="AC65" s="50">
        <f t="shared" si="6"/>
        <v>0</v>
      </c>
      <c r="AD65" s="50">
        <f t="shared" si="11"/>
        <v>0</v>
      </c>
      <c r="AE65">
        <v>-5</v>
      </c>
      <c r="AF65" s="12">
        <f>LCOE!E91+LCOE!J$40</f>
        <v>0.12</v>
      </c>
      <c r="AG65">
        <f t="shared" si="12"/>
        <v>0.56742685571859919</v>
      </c>
      <c r="AH65" s="16">
        <f t="shared" si="7"/>
        <v>0</v>
      </c>
      <c r="AI65" s="16">
        <f t="shared" si="8"/>
        <v>0</v>
      </c>
      <c r="AJ65" s="16">
        <f t="shared" si="9"/>
        <v>0</v>
      </c>
      <c r="AK65" s="16">
        <f t="shared" si="10"/>
        <v>0</v>
      </c>
      <c r="AL65" s="16">
        <f t="shared" si="13"/>
        <v>0</v>
      </c>
      <c r="AM65" s="16"/>
    </row>
    <row r="66" spans="1:40">
      <c r="A66">
        <v>-4</v>
      </c>
      <c r="B66" s="16">
        <f>LCOE!C92+IF(A66&gt;=((LCOE!J$17*-1)+1),LCOE!J$38/LCOE!J$17,0)</f>
        <v>0</v>
      </c>
      <c r="C66" s="16"/>
      <c r="D66" s="16"/>
      <c r="E66" s="18"/>
      <c r="Z66" s="50">
        <f t="shared" si="3"/>
        <v>0</v>
      </c>
      <c r="AA66" s="50">
        <f t="shared" si="4"/>
        <v>0</v>
      </c>
      <c r="AB66" s="50">
        <f t="shared" si="5"/>
        <v>0</v>
      </c>
      <c r="AC66" s="50">
        <f t="shared" si="6"/>
        <v>0</v>
      </c>
      <c r="AD66" s="50">
        <f t="shared" si="11"/>
        <v>0</v>
      </c>
      <c r="AE66">
        <v>-4</v>
      </c>
      <c r="AF66" s="12">
        <f>LCOE!E92+LCOE!J$40</f>
        <v>0.12</v>
      </c>
      <c r="AG66">
        <f t="shared" si="12"/>
        <v>0.63551807840483121</v>
      </c>
      <c r="AH66" s="16">
        <f t="shared" si="7"/>
        <v>0</v>
      </c>
      <c r="AI66" s="16">
        <f t="shared" si="8"/>
        <v>0</v>
      </c>
      <c r="AJ66" s="16">
        <f t="shared" si="9"/>
        <v>0</v>
      </c>
      <c r="AK66" s="16">
        <f t="shared" si="10"/>
        <v>0</v>
      </c>
      <c r="AL66" s="16">
        <f t="shared" si="13"/>
        <v>0</v>
      </c>
      <c r="AM66" s="16"/>
    </row>
    <row r="67" spans="1:40">
      <c r="A67">
        <v>-3</v>
      </c>
      <c r="B67" s="16">
        <f>LCOE!C93+IF(A67&gt;=((LCOE!J$17*-1)+1),LCOE!J$38/LCOE!J$17,0)</f>
        <v>0</v>
      </c>
      <c r="C67" s="16"/>
      <c r="D67" s="16"/>
      <c r="E67" s="18"/>
      <c r="Z67" s="50">
        <f t="shared" si="3"/>
        <v>0</v>
      </c>
      <c r="AA67" s="50">
        <f t="shared" si="4"/>
        <v>0</v>
      </c>
      <c r="AB67" s="50">
        <f t="shared" si="5"/>
        <v>0</v>
      </c>
      <c r="AC67" s="50">
        <f t="shared" si="6"/>
        <v>0</v>
      </c>
      <c r="AD67" s="50">
        <f t="shared" si="11"/>
        <v>0</v>
      </c>
      <c r="AE67">
        <v>-3</v>
      </c>
      <c r="AF67" s="12">
        <f>LCOE!E93+LCOE!J$40</f>
        <v>0.12</v>
      </c>
      <c r="AG67">
        <f t="shared" si="12"/>
        <v>0.71178024781341087</v>
      </c>
      <c r="AH67" s="16">
        <f t="shared" si="7"/>
        <v>0</v>
      </c>
      <c r="AI67" s="16">
        <f t="shared" si="8"/>
        <v>0</v>
      </c>
      <c r="AJ67" s="16">
        <f t="shared" si="9"/>
        <v>0</v>
      </c>
      <c r="AK67" s="16">
        <f t="shared" si="10"/>
        <v>0</v>
      </c>
      <c r="AL67" s="16">
        <f t="shared" si="13"/>
        <v>0</v>
      </c>
      <c r="AM67" s="16"/>
    </row>
    <row r="68" spans="1:40">
      <c r="A68">
        <v>-2</v>
      </c>
      <c r="B68" s="16">
        <f>LCOE!C94+IF(A68&gt;=((LCOE!J$17*-1)+1),LCOE!J$38/LCOE!J$17,0)</f>
        <v>168166666.66666666</v>
      </c>
      <c r="C68" s="16"/>
      <c r="D68" s="16"/>
      <c r="E68" s="18"/>
      <c r="Z68" s="50">
        <f t="shared" si="3"/>
        <v>168166666.66666666</v>
      </c>
      <c r="AA68" s="50">
        <f t="shared" si="4"/>
        <v>0</v>
      </c>
      <c r="AB68" s="50">
        <f t="shared" si="5"/>
        <v>0</v>
      </c>
      <c r="AC68" s="50">
        <f t="shared" si="6"/>
        <v>0</v>
      </c>
      <c r="AD68" s="50">
        <f t="shared" si="11"/>
        <v>0</v>
      </c>
      <c r="AE68">
        <v>-2</v>
      </c>
      <c r="AF68" s="12">
        <f>LCOE!E94+LCOE!J$40</f>
        <v>0.12</v>
      </c>
      <c r="AG68">
        <f t="shared" si="12"/>
        <v>0.79719387755102034</v>
      </c>
      <c r="AH68" s="16">
        <f t="shared" si="7"/>
        <v>210948266.66666669</v>
      </c>
      <c r="AI68" s="16">
        <f t="shared" si="8"/>
        <v>0</v>
      </c>
      <c r="AJ68" s="16">
        <f t="shared" si="9"/>
        <v>0</v>
      </c>
      <c r="AK68" s="16">
        <f t="shared" si="10"/>
        <v>0</v>
      </c>
      <c r="AL68" s="16">
        <f t="shared" si="13"/>
        <v>0</v>
      </c>
      <c r="AM68" s="16"/>
    </row>
    <row r="69" spans="1:40">
      <c r="A69">
        <v>-1</v>
      </c>
      <c r="B69" s="16">
        <f>LCOE!C95+IF(A69&gt;=((LCOE!J$17*-1)+1),LCOE!J$38/LCOE!J$17,0)</f>
        <v>168166666.66666666</v>
      </c>
      <c r="C69" s="16"/>
      <c r="D69" s="16"/>
      <c r="E69" s="18"/>
      <c r="Z69" s="50">
        <f t="shared" si="3"/>
        <v>168166666.66666666</v>
      </c>
      <c r="AA69" s="50">
        <f t="shared" si="4"/>
        <v>0</v>
      </c>
      <c r="AB69" s="50">
        <f t="shared" si="5"/>
        <v>0</v>
      </c>
      <c r="AC69" s="50">
        <f t="shared" si="6"/>
        <v>0</v>
      </c>
      <c r="AD69" s="50">
        <f t="shared" si="11"/>
        <v>0</v>
      </c>
      <c r="AE69">
        <v>-1</v>
      </c>
      <c r="AF69" s="12">
        <f>LCOE!E95+LCOE!J$40</f>
        <v>0.12</v>
      </c>
      <c r="AG69">
        <f t="shared" si="12"/>
        <v>0.89285714285714279</v>
      </c>
      <c r="AH69" s="16">
        <f t="shared" si="7"/>
        <v>188346666.66666666</v>
      </c>
      <c r="AI69" s="16">
        <f t="shared" si="8"/>
        <v>0</v>
      </c>
      <c r="AJ69" s="16">
        <f t="shared" si="9"/>
        <v>0</v>
      </c>
      <c r="AK69" s="16">
        <f t="shared" si="10"/>
        <v>0</v>
      </c>
      <c r="AL69" s="16">
        <f t="shared" si="13"/>
        <v>0</v>
      </c>
      <c r="AM69" s="16"/>
    </row>
    <row r="70" spans="1:40">
      <c r="A70">
        <v>0</v>
      </c>
      <c r="B70" s="16">
        <f>LCOE!C96+IF(A70&gt;=((LCOE!J$17*-1)+1),LCOE!J$38/LCOE!J$17,0)</f>
        <v>168166666.66666666</v>
      </c>
      <c r="C70" s="16">
        <f>LCOE!J96+IF(AND(LCOE!J$26&gt;0,A70&gt;=LCOE!J$26,A70&lt;=(LCOE!J$26+LCOE!J$27-1)),LCOE!J$42/LCOE!J$27,0)+IF(AND(D70=0,AE70&gt;=LCOE!J$16,COUNTIF(D45:D70,0)=LCOE!J$36),LCOE!J$35*LCOE!J$38,0)</f>
        <v>0</v>
      </c>
      <c r="D70" s="16">
        <f>IF(AE69&lt;LCOE!J$16,1,0)</f>
        <v>1</v>
      </c>
      <c r="E70" s="12">
        <f>LCOE!G96+IF(AND(A70&gt;=LCOE!J$26,A70&lt;=(LCOE!J$26+LCOE!J$27-1)),0,1)*IF(A70=LCOE!J$34,0,1)*D70</f>
        <v>1</v>
      </c>
      <c r="F70" s="14">
        <f>LCOE!J$18*50%+LCOE!J96</f>
        <v>0.45</v>
      </c>
      <c r="G70" s="16">
        <f>LCOE!K96+E70*F70*N70*(LCOE!J$14+LCOE!H96)*24*365*D70</f>
        <v>1971000</v>
      </c>
      <c r="H70" s="16">
        <f>LCOE!L96+F70*(LCOE!J$15+LCOE!I96)*E70*24*365*D70*N70</f>
        <v>0</v>
      </c>
      <c r="I70" s="16">
        <f>LCOE!M96+LCOE!J$20*IF(LCOE!J$14&gt;0,(LCOE!J$14+LCOE!H96),(LCOE!J$15+LCOE!I96))*K70*D70</f>
        <v>20000000</v>
      </c>
      <c r="J70" s="16">
        <f>LCOE!N96+LCOE!J$21*IF(LCOE!J$14&gt;0,G70,H70)*K70*D70</f>
        <v>0</v>
      </c>
      <c r="K70" s="15">
        <f>LCOE!O96+100%</f>
        <v>1</v>
      </c>
      <c r="L70" s="16">
        <f>LCOE!P96+LCOE!J$23*IF(LCOE!J$14&gt;0,G70,H70)*M70*D70</f>
        <v>84082860</v>
      </c>
      <c r="M70" s="15">
        <f>LCOE!Q96+100%</f>
        <v>1</v>
      </c>
      <c r="N70" s="15">
        <f>LCOE!R96+100%</f>
        <v>1</v>
      </c>
      <c r="O70" s="18">
        <f>LCOE!S96+LCOE!J$29</f>
        <v>313.75</v>
      </c>
      <c r="P70" s="12">
        <f>LCOE!T96+IF(A70&gt;=LCOE!J$30,100%,0%)</f>
        <v>1</v>
      </c>
      <c r="Q70" s="16">
        <f>LCOE!U96+O70/1000*IF(LCOE!J$14&gt;0,G70,H70)</f>
        <v>618401.25</v>
      </c>
      <c r="R70" s="16">
        <f>LCOE!B96</f>
        <v>30</v>
      </c>
      <c r="S70" s="16">
        <f>LCOE!V96+Q70*P70*R70</f>
        <v>18552037.5</v>
      </c>
      <c r="T70" s="16">
        <f>LCOE!W96+LCOE!J$31</f>
        <v>0</v>
      </c>
      <c r="U70" s="16">
        <f>LCOE!X96+T70*IF(LCOE!J$14&gt;0,G70,H70)</f>
        <v>0</v>
      </c>
      <c r="V70" s="16">
        <f>LCOE!Y96+LCOE!J$32</f>
        <v>0</v>
      </c>
      <c r="W70" s="16">
        <f>LCOE!Z96+V70*IF(LCOE!J$14&gt;0,G70,H70)</f>
        <v>0</v>
      </c>
      <c r="X70" s="16">
        <f>LCOE!AA96+LCOE!J$34</f>
        <v>101</v>
      </c>
      <c r="Y70" s="16">
        <f>X70*H70</f>
        <v>0</v>
      </c>
      <c r="Z70" s="50">
        <f>SUM(B70:C70)</f>
        <v>168166666.66666666</v>
      </c>
      <c r="AA70" s="50">
        <f>SUM(I70:J70)</f>
        <v>20000000</v>
      </c>
      <c r="AB70" s="50">
        <f>L70</f>
        <v>84082860</v>
      </c>
      <c r="AC70" s="50">
        <f>U70+W70</f>
        <v>0</v>
      </c>
      <c r="AD70" s="50">
        <f t="shared" si="11"/>
        <v>18552037.5</v>
      </c>
      <c r="AE70">
        <v>0</v>
      </c>
      <c r="AF70" s="12">
        <f>LCOE!E96+LCOE!J$40</f>
        <v>0.12</v>
      </c>
      <c r="AG70">
        <f t="shared" si="12"/>
        <v>1</v>
      </c>
      <c r="AH70" s="16">
        <f t="shared" si="7"/>
        <v>168166666.66666666</v>
      </c>
      <c r="AI70" s="16">
        <f t="shared" si="8"/>
        <v>20000000</v>
      </c>
      <c r="AJ70" s="16">
        <f t="shared" si="9"/>
        <v>84082860</v>
      </c>
      <c r="AK70" s="16">
        <f t="shared" si="10"/>
        <v>0</v>
      </c>
      <c r="AL70" s="16">
        <f t="shared" si="13"/>
        <v>18552037.5</v>
      </c>
      <c r="AM70" s="16">
        <f t="shared" ref="AM70:AM133" si="14">(-1)*Y70/AG70</f>
        <v>0</v>
      </c>
      <c r="AN70" s="16">
        <f>IF(LCOE!J$14&gt;0,G70,H70)/AG70</f>
        <v>1971000</v>
      </c>
    </row>
    <row r="71" spans="1:40">
      <c r="A71">
        <v>1</v>
      </c>
      <c r="C71" s="16">
        <f>LCOE!J97+IF(AND(LCOE!J$26&gt;0,A71&gt;=LCOE!J$26,A71&lt;=(LCOE!J$26+LCOE!J$27-1)),LCOE!J$42/LCOE!J$27,0)+IF(AND(D71=0,AE71&gt;=LCOE!J$16,COUNTIF(D46:D71,0)=LCOE!J$36),LCOE!J$35*LCOE!J$38,0)</f>
        <v>0</v>
      </c>
      <c r="D71" s="16">
        <f>IF(AE70&lt;LCOE!J$16,1,0)</f>
        <v>1</v>
      </c>
      <c r="E71" s="12">
        <f>LCOE!G97+IF(AND(A71&gt;=LCOE!J$26,A71&lt;=(LCOE!J$26+LCOE!J$27-1)),0,1)*IF(A71=LCOE!J$34,0,1)*D71</f>
        <v>1</v>
      </c>
      <c r="F71" s="12">
        <f>IF(F70&lt;LCOE!J$18,MIN(F70*(1+LCOE!J$19),LCOE!J$18),LCOE!J$18)+LCOE!J97</f>
        <v>0.72000000000000008</v>
      </c>
      <c r="G71" s="16">
        <f>LCOE!K97+E71*F71*N71*(LCOE!J$14+LCOE!H97)*24*365*D71</f>
        <v>3153600.0000000005</v>
      </c>
      <c r="H71" s="16">
        <f>LCOE!L97+F71*(LCOE!J$15+LCOE!I97)*E71*24*365*D71*N71</f>
        <v>0</v>
      </c>
      <c r="I71" s="16">
        <f>LCOE!M97+LCOE!J$20*IF(LCOE!J$14&gt;0,(LCOE!J$14+LCOE!H97),(LCOE!J$15+LCOE!I97))*K71*D71</f>
        <v>20000000</v>
      </c>
      <c r="J71" s="16">
        <f>LCOE!N97+LCOE!J$21*IF(LCOE!J$14&gt;0,G71,H71)*K71*D71</f>
        <v>0</v>
      </c>
      <c r="K71" s="15">
        <f>LCOE!O97+K70+K70*LCOE!J$22</f>
        <v>1</v>
      </c>
      <c r="L71" s="16">
        <f>LCOE!P97+LCOE!J$23*IF(LCOE!J$14&gt;0,G71,H71)*M71*D71</f>
        <v>134532576</v>
      </c>
      <c r="M71" s="15">
        <f>LCOE!Q97+M70+M70*LCOE!J$24</f>
        <v>1</v>
      </c>
      <c r="N71" s="15">
        <f>LCOE!R97+N70-N70*LCOE!J$25</f>
        <v>1</v>
      </c>
      <c r="O71" s="18">
        <f>LCOE!S97+LCOE!J$29</f>
        <v>313.75</v>
      </c>
      <c r="P71" s="12">
        <f>LCOE!T97+IF(A71&gt;=LCOE!J$30,100%,0%)</f>
        <v>1</v>
      </c>
      <c r="Q71" s="16">
        <f>LCOE!U97+O71/1000*IF(LCOE!J$14&gt;0,G71,H71)</f>
        <v>989442.00000000012</v>
      </c>
      <c r="R71" s="16">
        <f>LCOE!B97</f>
        <v>30</v>
      </c>
      <c r="S71" s="16">
        <f>LCOE!V97+Q71*P71*R71</f>
        <v>29683260.000000004</v>
      </c>
      <c r="T71" s="16">
        <f>LCOE!W97+LCOE!J$31</f>
        <v>0</v>
      </c>
      <c r="U71" s="16">
        <f>LCOE!X97+T71*IF(LCOE!J$14&gt;0,G71,H71)</f>
        <v>0</v>
      </c>
      <c r="V71" s="16">
        <f>LCOE!Y97+LCOE!J$32</f>
        <v>0</v>
      </c>
      <c r="W71" s="16">
        <f>LCOE!Z97+V71*IF(LCOE!J$14&gt;0,G71,H71)</f>
        <v>0</v>
      </c>
      <c r="X71" s="16">
        <f>LCOE!AA97+LCOE!J$34</f>
        <v>101</v>
      </c>
      <c r="Y71" s="16">
        <f t="shared" ref="Y71:Y134" si="15">X71*H71</f>
        <v>0</v>
      </c>
      <c r="Z71" s="50">
        <f>SUM(B71:C71)</f>
        <v>0</v>
      </c>
      <c r="AA71" s="50">
        <f>SUM(I71:J71)</f>
        <v>20000000</v>
      </c>
      <c r="AB71" s="50">
        <f>L71</f>
        <v>134532576</v>
      </c>
      <c r="AC71" s="50">
        <f t="shared" ref="AC71:AC134" si="16">U71+W71</f>
        <v>0</v>
      </c>
      <c r="AD71" s="50">
        <f t="shared" si="11"/>
        <v>29683260.000000004</v>
      </c>
      <c r="AE71">
        <f t="shared" ref="AE71:AE134" si="17">AE70+1*E71</f>
        <v>1</v>
      </c>
      <c r="AF71" s="12">
        <f>LCOE!E97+LCOE!J$40</f>
        <v>0.12</v>
      </c>
      <c r="AG71">
        <f t="shared" si="12"/>
        <v>1.1200000000000001</v>
      </c>
      <c r="AH71" s="16">
        <f t="shared" si="7"/>
        <v>0</v>
      </c>
      <c r="AI71" s="16">
        <f t="shared" si="8"/>
        <v>17857142.857142854</v>
      </c>
      <c r="AJ71" s="16">
        <f t="shared" si="9"/>
        <v>120118371.42857142</v>
      </c>
      <c r="AK71" s="16">
        <f t="shared" si="10"/>
        <v>0</v>
      </c>
      <c r="AL71" s="16">
        <f t="shared" si="13"/>
        <v>26502910.714285716</v>
      </c>
      <c r="AM71" s="16">
        <f t="shared" si="14"/>
        <v>0</v>
      </c>
      <c r="AN71" s="16">
        <f>IF(LCOE!J$14&gt;0,G71,H71)/AG71</f>
        <v>2815714.2857142859</v>
      </c>
    </row>
    <row r="72" spans="1:40">
      <c r="A72">
        <v>2</v>
      </c>
      <c r="C72" s="16">
        <f>LCOE!J98+IF(AND(LCOE!J$26&gt;0,A72&gt;=LCOE!J$26,A72&lt;=(LCOE!J$26+LCOE!J$27-1)),LCOE!J$42/LCOE!J$27,0)+IF(AND(D72=0,AE72&gt;=LCOE!J$16,COUNTIF(D47:D72,0)=LCOE!J$36),LCOE!J$35*LCOE!J$38,0)</f>
        <v>0</v>
      </c>
      <c r="D72" s="16">
        <f>IF(AE71&lt;LCOE!J$16,1,0)</f>
        <v>1</v>
      </c>
      <c r="E72" s="12">
        <f>LCOE!G98+IF(AND(A72&gt;=LCOE!J$26,A72&lt;=(LCOE!J$26+LCOE!J$27-1)),0,1)*IF(A72=LCOE!J$34,0,1)*D72</f>
        <v>1</v>
      </c>
      <c r="F72" s="12">
        <f>IF(F71&lt;LCOE!J$18,MIN(F71*(1+LCOE!J$19),LCOE!J$18),LCOE!J$18)+LCOE!J98</f>
        <v>0.9</v>
      </c>
      <c r="G72" s="16">
        <f>LCOE!K98+E72*F72*N72*(LCOE!J$14+LCOE!H98)*24*365*D72</f>
        <v>3942000</v>
      </c>
      <c r="H72" s="16">
        <f>LCOE!L98+F72*(LCOE!J$15+LCOE!I98)*E72*24*365*D72*N72</f>
        <v>0</v>
      </c>
      <c r="I72" s="16">
        <f>LCOE!M98+LCOE!J$20*IF(LCOE!J$14&gt;0,(LCOE!J$14+LCOE!H98),(LCOE!J$15+LCOE!I98))*K72*D72</f>
        <v>20000000</v>
      </c>
      <c r="J72" s="16">
        <f>LCOE!N98+LCOE!J$21*IF(LCOE!J$14&gt;0,G72,H72)*K72*D72</f>
        <v>0</v>
      </c>
      <c r="K72" s="15">
        <f>LCOE!O98+K71+K71*LCOE!J$22</f>
        <v>1</v>
      </c>
      <c r="L72" s="16">
        <f>LCOE!P98+LCOE!J$23*IF(LCOE!J$14&gt;0,G72,H72)*M72*D72</f>
        <v>168165720</v>
      </c>
      <c r="M72" s="15">
        <f>LCOE!Q98+M71+M71*LCOE!J$24</f>
        <v>1</v>
      </c>
      <c r="N72" s="15">
        <f>LCOE!R98+N71-N71*LCOE!J$25</f>
        <v>1</v>
      </c>
      <c r="O72" s="18">
        <f>LCOE!S98+LCOE!J$29</f>
        <v>313.75</v>
      </c>
      <c r="P72" s="12">
        <f>LCOE!T98+IF(A72&gt;=LCOE!J$30,100%,0%)</f>
        <v>1</v>
      </c>
      <c r="Q72" s="16">
        <f>LCOE!U98+O72/1000*IF(LCOE!J$14&gt;0,G72,H72)</f>
        <v>1236802.5</v>
      </c>
      <c r="R72" s="16">
        <f>LCOE!B98</f>
        <v>30</v>
      </c>
      <c r="S72" s="16">
        <f>LCOE!V98+Q72*P72*R72</f>
        <v>37104075</v>
      </c>
      <c r="T72" s="16">
        <f>LCOE!W98+LCOE!J$31</f>
        <v>0</v>
      </c>
      <c r="U72" s="16">
        <f>LCOE!X98+T72*IF(LCOE!J$14&gt;0,G72,H72)</f>
        <v>0</v>
      </c>
      <c r="V72" s="16">
        <f>LCOE!Y98+LCOE!J$32</f>
        <v>0</v>
      </c>
      <c r="W72" s="16">
        <f>LCOE!Z98+V72*IF(LCOE!J$14&gt;0,G72,H72)</f>
        <v>0</v>
      </c>
      <c r="X72" s="16">
        <f>LCOE!AA98+LCOE!J$34</f>
        <v>101</v>
      </c>
      <c r="Y72" s="16">
        <f t="shared" si="15"/>
        <v>0</v>
      </c>
      <c r="Z72" s="50">
        <f t="shared" ref="Z72:Z135" si="18">SUM(B72:C72)</f>
        <v>0</v>
      </c>
      <c r="AA72" s="50">
        <f t="shared" ref="AA72:AA135" si="19">SUM(I72:J72)</f>
        <v>20000000</v>
      </c>
      <c r="AB72" s="50">
        <f t="shared" ref="AB72:AB135" si="20">L72</f>
        <v>168165720</v>
      </c>
      <c r="AC72" s="50">
        <f t="shared" si="16"/>
        <v>0</v>
      </c>
      <c r="AD72" s="50">
        <f t="shared" si="11"/>
        <v>37104075</v>
      </c>
      <c r="AE72">
        <f t="shared" si="17"/>
        <v>2</v>
      </c>
      <c r="AF72" s="12">
        <f>LCOE!E98+LCOE!J$40</f>
        <v>0.12</v>
      </c>
      <c r="AG72">
        <f t="shared" si="12"/>
        <v>1.2544000000000002</v>
      </c>
      <c r="AH72" s="16">
        <f t="shared" si="7"/>
        <v>0</v>
      </c>
      <c r="AI72" s="16">
        <f t="shared" si="8"/>
        <v>15943877.551020406</v>
      </c>
      <c r="AJ72" s="16">
        <f t="shared" si="9"/>
        <v>134060682.39795916</v>
      </c>
      <c r="AK72" s="16">
        <f t="shared" si="10"/>
        <v>0</v>
      </c>
      <c r="AL72" s="16">
        <f t="shared" si="13"/>
        <v>29579141.422193874</v>
      </c>
      <c r="AM72" s="16">
        <f t="shared" si="14"/>
        <v>0</v>
      </c>
      <c r="AN72" s="16">
        <f>IF(LCOE!J$14&gt;0,G72,H72)/AG72</f>
        <v>3142538.2653061221</v>
      </c>
    </row>
    <row r="73" spans="1:40">
      <c r="A73">
        <v>3</v>
      </c>
      <c r="C73" s="16">
        <f>LCOE!J99+IF(AND(LCOE!J$26&gt;0,A73&gt;=LCOE!J$26,A73&lt;=(LCOE!J$26+LCOE!J$27-1)),LCOE!J$42/LCOE!J$27,0)+IF(AND(D73=0,AE73&gt;=LCOE!J$16,COUNTIF(D48:D73,0)=LCOE!J$36),LCOE!J$35*LCOE!J$38,0)</f>
        <v>0</v>
      </c>
      <c r="D73" s="16">
        <f>IF(AE72&lt;LCOE!J$16,1,0)</f>
        <v>1</v>
      </c>
      <c r="E73" s="12">
        <f>LCOE!G99+IF(AND(A73&gt;=LCOE!J$26,A73&lt;=(LCOE!J$26+LCOE!J$27-1)),0,1)*IF(A73=LCOE!J$34,0,1)*D73</f>
        <v>1</v>
      </c>
      <c r="F73" s="12">
        <f>IF(F72&lt;LCOE!J$18,MIN(F72*(1+LCOE!J$19),LCOE!J$18),LCOE!J$18)+LCOE!J99</f>
        <v>0.9</v>
      </c>
      <c r="G73" s="16">
        <f>LCOE!K99+E73*F73*N73*(LCOE!J$14+LCOE!H99)*24*365*D73</f>
        <v>3942000</v>
      </c>
      <c r="H73" s="16">
        <f>LCOE!L99+F73*(LCOE!J$15+LCOE!I99)*E73*24*365*D73*N73</f>
        <v>0</v>
      </c>
      <c r="I73" s="16">
        <f>LCOE!M99+LCOE!J$20*IF(LCOE!J$14&gt;0,(LCOE!J$14+LCOE!H99),(LCOE!J$15+LCOE!I99))*K73*D73</f>
        <v>20000000</v>
      </c>
      <c r="J73" s="16">
        <f>LCOE!N99+LCOE!J$21*IF(LCOE!J$14&gt;0,G73,H73)*K73*D73</f>
        <v>0</v>
      </c>
      <c r="K73" s="15">
        <f>LCOE!O99+K72+K72*LCOE!J$22</f>
        <v>1</v>
      </c>
      <c r="L73" s="16">
        <f>LCOE!P99+LCOE!J$23*IF(LCOE!J$14&gt;0,G73,H73)*M73*D73</f>
        <v>168165720</v>
      </c>
      <c r="M73" s="15">
        <f>LCOE!Q99+M72+M72*LCOE!J$24</f>
        <v>1</v>
      </c>
      <c r="N73" s="15">
        <f>LCOE!R99+N72-N72*LCOE!J$25</f>
        <v>1</v>
      </c>
      <c r="O73" s="18">
        <f>LCOE!S99+LCOE!J$29</f>
        <v>313.75</v>
      </c>
      <c r="P73" s="12">
        <f>LCOE!T99+IF(A73&gt;=LCOE!J$30,100%,0%)</f>
        <v>1</v>
      </c>
      <c r="Q73" s="16">
        <f>LCOE!U99+O73/1000*IF(LCOE!J$14&gt;0,G73,H73)</f>
        <v>1236802.5</v>
      </c>
      <c r="R73" s="16">
        <f>LCOE!B99</f>
        <v>30</v>
      </c>
      <c r="S73" s="16">
        <f>LCOE!V99+Q73*P73*R73</f>
        <v>37104075</v>
      </c>
      <c r="T73" s="16">
        <f>LCOE!W99+LCOE!J$31</f>
        <v>0</v>
      </c>
      <c r="U73" s="16">
        <f>LCOE!X99+T73*IF(LCOE!J$14&gt;0,G73,H73)</f>
        <v>0</v>
      </c>
      <c r="V73" s="16">
        <f>LCOE!Y99+LCOE!J$32</f>
        <v>0</v>
      </c>
      <c r="W73" s="16">
        <f>LCOE!Z99+V73*IF(LCOE!J$14&gt;0,G73,H73)</f>
        <v>0</v>
      </c>
      <c r="X73" s="16">
        <f>LCOE!AA99+LCOE!J$34</f>
        <v>101</v>
      </c>
      <c r="Y73" s="16">
        <f t="shared" si="15"/>
        <v>0</v>
      </c>
      <c r="Z73" s="50">
        <f t="shared" si="18"/>
        <v>0</v>
      </c>
      <c r="AA73" s="50">
        <f t="shared" si="19"/>
        <v>20000000</v>
      </c>
      <c r="AB73" s="50">
        <f t="shared" si="20"/>
        <v>168165720</v>
      </c>
      <c r="AC73" s="50">
        <f t="shared" si="16"/>
        <v>0</v>
      </c>
      <c r="AD73" s="50">
        <f t="shared" si="11"/>
        <v>37104075</v>
      </c>
      <c r="AE73">
        <f t="shared" si="17"/>
        <v>3</v>
      </c>
      <c r="AF73" s="12">
        <f>LCOE!E99+LCOE!J$40</f>
        <v>0.12</v>
      </c>
      <c r="AG73">
        <f t="shared" si="12"/>
        <v>1.4049280000000004</v>
      </c>
      <c r="AH73" s="16">
        <f t="shared" si="7"/>
        <v>0</v>
      </c>
      <c r="AI73" s="16">
        <f t="shared" si="8"/>
        <v>14235604.956268217</v>
      </c>
      <c r="AJ73" s="16">
        <f t="shared" si="9"/>
        <v>119697037.85532066</v>
      </c>
      <c r="AK73" s="16">
        <f t="shared" si="10"/>
        <v>0</v>
      </c>
      <c r="AL73" s="16">
        <f t="shared" si="13"/>
        <v>26409947.698387384</v>
      </c>
      <c r="AM73" s="16">
        <f t="shared" si="14"/>
        <v>0</v>
      </c>
      <c r="AN73" s="16">
        <f>IF(LCOE!J$14&gt;0,G73,H73)/AG73</f>
        <v>2805837.7368804659</v>
      </c>
    </row>
    <row r="74" spans="1:40">
      <c r="A74">
        <v>4</v>
      </c>
      <c r="C74" s="16">
        <f>LCOE!J100+IF(AND(LCOE!J$26&gt;0,A74&gt;=LCOE!J$26,A74&lt;=(LCOE!J$26+LCOE!J$27-1)),LCOE!J$42/LCOE!J$27,0)+IF(AND(D74=0,AE74&gt;=LCOE!J$16,COUNTIF(D49:D74,0)=LCOE!J$36),LCOE!J$35*LCOE!J$38,0)</f>
        <v>0</v>
      </c>
      <c r="D74" s="16">
        <f>IF(AE73&lt;LCOE!J$16,1,0)</f>
        <v>1</v>
      </c>
      <c r="E74" s="12">
        <f>LCOE!G100+IF(AND(A74&gt;=LCOE!J$26,A74&lt;=(LCOE!J$26+LCOE!J$27-1)),0,1)*IF(A74=LCOE!J$34,0,1)*D74</f>
        <v>1</v>
      </c>
      <c r="F74" s="12">
        <f>IF(F73&lt;LCOE!J$18,MIN(F73*(1+LCOE!J$19),LCOE!J$18),LCOE!J$18)+LCOE!J100</f>
        <v>0.9</v>
      </c>
      <c r="G74" s="16">
        <f>LCOE!K100+E74*F74*N74*(LCOE!J$14+LCOE!H100)*24*365*D74</f>
        <v>3942000</v>
      </c>
      <c r="H74" s="16">
        <f>LCOE!L100+F74*(LCOE!J$15+LCOE!I100)*E74*24*365*D74*N74</f>
        <v>0</v>
      </c>
      <c r="I74" s="16">
        <f>LCOE!M100+LCOE!J$20*IF(LCOE!J$14&gt;0,(LCOE!J$14+LCOE!H100),(LCOE!J$15+LCOE!I100))*K74*D74</f>
        <v>20000000</v>
      </c>
      <c r="J74" s="16">
        <f>LCOE!N100+LCOE!J$21*IF(LCOE!J$14&gt;0,G74,H74)*K74*D74</f>
        <v>0</v>
      </c>
      <c r="K74" s="15">
        <f>LCOE!O100+K73+K73*LCOE!J$22</f>
        <v>1</v>
      </c>
      <c r="L74" s="16">
        <f>LCOE!P100+LCOE!J$23*IF(LCOE!J$14&gt;0,G74,H74)*M74*D74</f>
        <v>168165720</v>
      </c>
      <c r="M74" s="15">
        <f>LCOE!Q100+M73+M73*LCOE!J$24</f>
        <v>1</v>
      </c>
      <c r="N74" s="15">
        <f>LCOE!R100+N73-N73*LCOE!J$25</f>
        <v>1</v>
      </c>
      <c r="O74" s="18">
        <f>LCOE!S100+LCOE!J$29</f>
        <v>313.75</v>
      </c>
      <c r="P74" s="12">
        <f>LCOE!T100+IF(A74&gt;=LCOE!J$30,100%,0%)</f>
        <v>1</v>
      </c>
      <c r="Q74" s="16">
        <f>LCOE!U100+O74/1000*IF(LCOE!J$14&gt;0,G74,H74)</f>
        <v>1236802.5</v>
      </c>
      <c r="R74" s="16">
        <f>LCOE!B100</f>
        <v>30</v>
      </c>
      <c r="S74" s="16">
        <f>LCOE!V100+Q74*P74*R74</f>
        <v>37104075</v>
      </c>
      <c r="T74" s="16">
        <f>LCOE!W100+LCOE!J$31</f>
        <v>0</v>
      </c>
      <c r="U74" s="16">
        <f>LCOE!X100+T74*IF(LCOE!J$14&gt;0,G74,H74)</f>
        <v>0</v>
      </c>
      <c r="V74" s="16">
        <f>LCOE!Y100+LCOE!J$32</f>
        <v>0</v>
      </c>
      <c r="W74" s="16">
        <f>LCOE!Z100+V74*IF(LCOE!J$14&gt;0,G74,H74)</f>
        <v>0</v>
      </c>
      <c r="X74" s="16">
        <f>LCOE!AA100+LCOE!J$34</f>
        <v>101</v>
      </c>
      <c r="Y74" s="16">
        <f t="shared" si="15"/>
        <v>0</v>
      </c>
      <c r="Z74" s="50">
        <f t="shared" si="18"/>
        <v>0</v>
      </c>
      <c r="AA74" s="50">
        <f t="shared" si="19"/>
        <v>20000000</v>
      </c>
      <c r="AB74" s="50">
        <f t="shared" si="20"/>
        <v>168165720</v>
      </c>
      <c r="AC74" s="50">
        <f t="shared" si="16"/>
        <v>0</v>
      </c>
      <c r="AD74" s="50">
        <f t="shared" si="11"/>
        <v>37104075</v>
      </c>
      <c r="AE74">
        <f t="shared" si="17"/>
        <v>4</v>
      </c>
      <c r="AF74" s="12">
        <f>LCOE!E100+LCOE!J$40</f>
        <v>0.12</v>
      </c>
      <c r="AG74">
        <f t="shared" si="12"/>
        <v>1.5735193600000004</v>
      </c>
      <c r="AH74" s="16">
        <f t="shared" si="7"/>
        <v>0</v>
      </c>
      <c r="AI74" s="16">
        <f t="shared" si="8"/>
        <v>12710361.568096623</v>
      </c>
      <c r="AJ74" s="16">
        <f t="shared" si="9"/>
        <v>106872355.22796489</v>
      </c>
      <c r="AK74" s="16">
        <f t="shared" si="10"/>
        <v>0</v>
      </c>
      <c r="AL74" s="16">
        <f t="shared" si="13"/>
        <v>23580310.444988735</v>
      </c>
      <c r="AM74" s="16">
        <f t="shared" si="14"/>
        <v>0</v>
      </c>
      <c r="AN74" s="16">
        <f>IF(LCOE!J$14&gt;0,G74,H74)/AG74</f>
        <v>2505212.2650718447</v>
      </c>
    </row>
    <row r="75" spans="1:40">
      <c r="A75">
        <v>5</v>
      </c>
      <c r="C75" s="16">
        <f>LCOE!J101+IF(AND(LCOE!J$26&gt;0,A75&gt;=LCOE!J$26,A75&lt;=(LCOE!J$26+LCOE!J$27-1)),LCOE!J$42/LCOE!J$27,0)+IF(AND(D75=0,AE75&gt;=LCOE!J$16,COUNTIF(D50:D75,0)=LCOE!J$36),LCOE!J$35*LCOE!J$38,0)</f>
        <v>0</v>
      </c>
      <c r="D75" s="16">
        <f>IF(AE74&lt;LCOE!J$16,1,0)</f>
        <v>1</v>
      </c>
      <c r="E75" s="12">
        <f>LCOE!G101+IF(AND(A75&gt;=LCOE!J$26,A75&lt;=(LCOE!J$26+LCOE!J$27-1)),0,1)*IF(A75=LCOE!J$34,0,1)*D75</f>
        <v>1</v>
      </c>
      <c r="F75" s="12">
        <f>IF(F74&lt;LCOE!J$18,MIN(F74*(1+LCOE!J$19),LCOE!J$18),LCOE!J$18)+LCOE!J101</f>
        <v>0.9</v>
      </c>
      <c r="G75" s="16">
        <f>LCOE!K101+E75*F75*N75*(LCOE!J$14+LCOE!H101)*24*365*D75</f>
        <v>3942000</v>
      </c>
      <c r="H75" s="16">
        <f>LCOE!L101+F75*(LCOE!J$15+LCOE!I101)*E75*24*365*D75*N75</f>
        <v>0</v>
      </c>
      <c r="I75" s="16">
        <f>LCOE!M101+LCOE!J$20*IF(LCOE!J$14&gt;0,(LCOE!J$14+LCOE!H101),(LCOE!J$15+LCOE!I101))*K75*D75</f>
        <v>20000000</v>
      </c>
      <c r="J75" s="16">
        <f>LCOE!N101+LCOE!J$21*IF(LCOE!J$14&gt;0,G75,H75)*K75*D75</f>
        <v>0</v>
      </c>
      <c r="K75" s="15">
        <f>LCOE!O101+K74+K74*LCOE!J$22</f>
        <v>1</v>
      </c>
      <c r="L75" s="16">
        <f>LCOE!P101+LCOE!J$23*IF(LCOE!J$14&gt;0,G75,H75)*M75*D75</f>
        <v>168165720</v>
      </c>
      <c r="M75" s="15">
        <f>LCOE!Q101+M74+M74*LCOE!J$24</f>
        <v>1</v>
      </c>
      <c r="N75" s="15">
        <f>LCOE!R101+N74-N74*LCOE!J$25</f>
        <v>1</v>
      </c>
      <c r="O75" s="18">
        <f>LCOE!S101+LCOE!J$29</f>
        <v>313.75</v>
      </c>
      <c r="P75" s="12">
        <f>LCOE!T101+IF(A75&gt;=LCOE!J$30,100%,0%)</f>
        <v>1</v>
      </c>
      <c r="Q75" s="16">
        <f>LCOE!U101+O75/1000*IF(LCOE!J$14&gt;0,G75,H75)</f>
        <v>1236802.5</v>
      </c>
      <c r="R75" s="16">
        <f>LCOE!B101</f>
        <v>30</v>
      </c>
      <c r="S75" s="16">
        <f>LCOE!V101+Q75*P75*R75</f>
        <v>37104075</v>
      </c>
      <c r="T75" s="16">
        <f>LCOE!W101+LCOE!J$31</f>
        <v>0</v>
      </c>
      <c r="U75" s="16">
        <f>LCOE!X101+T75*IF(LCOE!J$14&gt;0,G75,H75)</f>
        <v>0</v>
      </c>
      <c r="V75" s="16">
        <f>LCOE!Y101+LCOE!J$32</f>
        <v>0</v>
      </c>
      <c r="W75" s="16">
        <f>LCOE!Z101+V75*IF(LCOE!J$14&gt;0,G75,H75)</f>
        <v>0</v>
      </c>
      <c r="X75" s="16">
        <f>LCOE!AA101+LCOE!J$34</f>
        <v>101</v>
      </c>
      <c r="Y75" s="16">
        <f t="shared" si="15"/>
        <v>0</v>
      </c>
      <c r="Z75" s="50">
        <f t="shared" si="18"/>
        <v>0</v>
      </c>
      <c r="AA75" s="50">
        <f t="shared" si="19"/>
        <v>20000000</v>
      </c>
      <c r="AB75" s="50">
        <f t="shared" si="20"/>
        <v>168165720</v>
      </c>
      <c r="AC75" s="50">
        <f t="shared" si="16"/>
        <v>0</v>
      </c>
      <c r="AD75" s="50">
        <f t="shared" si="11"/>
        <v>37104075</v>
      </c>
      <c r="AE75">
        <f t="shared" si="17"/>
        <v>5</v>
      </c>
      <c r="AF75" s="12">
        <f>LCOE!E101+LCOE!J$40</f>
        <v>0.12</v>
      </c>
      <c r="AG75">
        <f t="shared" si="12"/>
        <v>1.7623416832000005</v>
      </c>
      <c r="AH75" s="16">
        <f t="shared" si="7"/>
        <v>0</v>
      </c>
      <c r="AI75" s="16">
        <f t="shared" si="8"/>
        <v>11348537.114371985</v>
      </c>
      <c r="AJ75" s="16">
        <f t="shared" si="9"/>
        <v>95421745.739254355</v>
      </c>
      <c r="AK75" s="16">
        <f t="shared" si="10"/>
        <v>0</v>
      </c>
      <c r="AL75" s="16">
        <f t="shared" si="13"/>
        <v>21053848.611597084</v>
      </c>
      <c r="AM75" s="16">
        <f t="shared" si="14"/>
        <v>0</v>
      </c>
      <c r="AN75" s="16">
        <f>IF(LCOE!J$14&gt;0,G75,H75)/AG75</f>
        <v>2236796.6652427181</v>
      </c>
    </row>
    <row r="76" spans="1:40">
      <c r="A76">
        <v>6</v>
      </c>
      <c r="C76" s="16">
        <f>LCOE!J102+IF(AND(LCOE!J$26&gt;0,A76&gt;=LCOE!J$26,A76&lt;=(LCOE!J$26+LCOE!J$27-1)),LCOE!J$42/LCOE!J$27,0)+IF(AND(D76=0,AE76&gt;=LCOE!J$16,COUNTIF(D51:D76,0)=LCOE!J$36),LCOE!J$35*LCOE!J$38,0)</f>
        <v>0</v>
      </c>
      <c r="D76" s="16">
        <f>IF(AE75&lt;LCOE!J$16,1,0)</f>
        <v>1</v>
      </c>
      <c r="E76" s="12">
        <f>LCOE!G102+IF(AND(A76&gt;=LCOE!J$26,A76&lt;=(LCOE!J$26+LCOE!J$27-1)),0,1)*IF(A76=LCOE!J$34,0,1)*D76</f>
        <v>1</v>
      </c>
      <c r="F76" s="12">
        <f>IF(F75&lt;LCOE!J$18,MIN(F75*(1+LCOE!J$19),LCOE!J$18),LCOE!J$18)+LCOE!J102</f>
        <v>0.9</v>
      </c>
      <c r="G76" s="16">
        <f>LCOE!K102+E76*F76*N76*(LCOE!J$14+LCOE!H102)*24*365*D76</f>
        <v>3942000</v>
      </c>
      <c r="H76" s="16">
        <f>LCOE!L102+F76*(LCOE!J$15+LCOE!I102)*E76*24*365*D76*N76</f>
        <v>0</v>
      </c>
      <c r="I76" s="16">
        <f>LCOE!M102+LCOE!J$20*IF(LCOE!J$14&gt;0,(LCOE!J$14+LCOE!H102),(LCOE!J$15+LCOE!I102))*K76*D76</f>
        <v>20000000</v>
      </c>
      <c r="J76" s="16">
        <f>LCOE!N102+LCOE!J$21*IF(LCOE!J$14&gt;0,G76,H76)*K76*D76</f>
        <v>0</v>
      </c>
      <c r="K76" s="15">
        <f>LCOE!O102+K75+K75*LCOE!J$22</f>
        <v>1</v>
      </c>
      <c r="L76" s="16">
        <f>LCOE!P102+LCOE!J$23*IF(LCOE!J$14&gt;0,G76,H76)*M76*D76</f>
        <v>168165720</v>
      </c>
      <c r="M76" s="15">
        <f>LCOE!Q102+M75+M75*LCOE!J$24</f>
        <v>1</v>
      </c>
      <c r="N76" s="15">
        <f>LCOE!R102+N75-N75*LCOE!J$25</f>
        <v>1</v>
      </c>
      <c r="O76" s="18">
        <f>LCOE!S102+LCOE!J$29</f>
        <v>313.75</v>
      </c>
      <c r="P76" s="12">
        <f>LCOE!T102+IF(A76&gt;=LCOE!J$30,100%,0%)</f>
        <v>1</v>
      </c>
      <c r="Q76" s="16">
        <f>LCOE!U102+O76/1000*IF(LCOE!J$14&gt;0,G76,H76)</f>
        <v>1236802.5</v>
      </c>
      <c r="R76" s="16">
        <f>LCOE!B102</f>
        <v>30</v>
      </c>
      <c r="S76" s="16">
        <f>LCOE!V102+Q76*P76*R76</f>
        <v>37104075</v>
      </c>
      <c r="T76" s="16">
        <f>LCOE!W102+LCOE!J$31</f>
        <v>0</v>
      </c>
      <c r="U76" s="16">
        <f>LCOE!X102+T76*IF(LCOE!J$14&gt;0,G76,H76)</f>
        <v>0</v>
      </c>
      <c r="V76" s="16">
        <f>LCOE!Y102+LCOE!J$32</f>
        <v>0</v>
      </c>
      <c r="W76" s="16">
        <f>LCOE!Z102+V76*IF(LCOE!J$14&gt;0,G76,H76)</f>
        <v>0</v>
      </c>
      <c r="X76" s="16">
        <f>LCOE!AA102+LCOE!J$34</f>
        <v>101</v>
      </c>
      <c r="Y76" s="16">
        <f t="shared" si="15"/>
        <v>0</v>
      </c>
      <c r="Z76" s="50">
        <f t="shared" si="18"/>
        <v>0</v>
      </c>
      <c r="AA76" s="50">
        <f t="shared" si="19"/>
        <v>20000000</v>
      </c>
      <c r="AB76" s="50">
        <f t="shared" si="20"/>
        <v>168165720</v>
      </c>
      <c r="AC76" s="50">
        <f t="shared" si="16"/>
        <v>0</v>
      </c>
      <c r="AD76" s="50">
        <f t="shared" si="11"/>
        <v>37104075</v>
      </c>
      <c r="AE76">
        <f t="shared" si="17"/>
        <v>6</v>
      </c>
      <c r="AF76" s="12">
        <f>LCOE!E102+LCOE!J$40</f>
        <v>0.12</v>
      </c>
      <c r="AG76">
        <f t="shared" si="12"/>
        <v>1.9738226851840008</v>
      </c>
      <c r="AH76" s="16">
        <f t="shared" si="7"/>
        <v>0</v>
      </c>
      <c r="AI76" s="16">
        <f t="shared" si="8"/>
        <v>10132622.423546413</v>
      </c>
      <c r="AJ76" s="16">
        <f t="shared" si="9"/>
        <v>85197987.26719138</v>
      </c>
      <c r="AK76" s="16">
        <f t="shared" si="10"/>
        <v>0</v>
      </c>
      <c r="AL76" s="16">
        <f t="shared" si="13"/>
        <v>18798079.117497396</v>
      </c>
      <c r="AM76" s="16">
        <f t="shared" si="14"/>
        <v>0</v>
      </c>
      <c r="AN76" s="16">
        <f>IF(LCOE!J$14&gt;0,G76,H76)/AG76</f>
        <v>1997139.8796809982</v>
      </c>
    </row>
    <row r="77" spans="1:40">
      <c r="A77">
        <v>7</v>
      </c>
      <c r="C77" s="16">
        <f>LCOE!J103+IF(AND(LCOE!J$26&gt;0,A77&gt;=LCOE!J$26,A77&lt;=(LCOE!J$26+LCOE!J$27-1)),LCOE!J$42/LCOE!J$27,0)+IF(AND(D77=0,AE77&gt;=LCOE!J$16,COUNTIF(D52:D77,0)=LCOE!J$36),LCOE!J$35*LCOE!J$38,0)</f>
        <v>0</v>
      </c>
      <c r="D77" s="16">
        <f>IF(AE76&lt;LCOE!J$16,1,0)</f>
        <v>1</v>
      </c>
      <c r="E77" s="12">
        <f>LCOE!G103+IF(AND(A77&gt;=LCOE!J$26,A77&lt;=(LCOE!J$26+LCOE!J$27-1)),0,1)*IF(A77=LCOE!J$34,0,1)*D77</f>
        <v>1</v>
      </c>
      <c r="F77" s="12">
        <f>IF(F76&lt;LCOE!J$18,MIN(F76*(1+LCOE!J$19),LCOE!J$18),LCOE!J$18)+LCOE!J103</f>
        <v>0.9</v>
      </c>
      <c r="G77" s="16">
        <f>LCOE!K103+E77*F77*N77*(LCOE!J$14+LCOE!H103)*24*365*D77</f>
        <v>3942000</v>
      </c>
      <c r="H77" s="16">
        <f>LCOE!L103+F77*(LCOE!J$15+LCOE!I103)*E77*24*365*D77*N77</f>
        <v>0</v>
      </c>
      <c r="I77" s="16">
        <f>LCOE!M103+LCOE!J$20*IF(LCOE!J$14&gt;0,(LCOE!J$14+LCOE!H103),(LCOE!J$15+LCOE!I103))*K77*D77</f>
        <v>20000000</v>
      </c>
      <c r="J77" s="16">
        <f>LCOE!N103+LCOE!J$21*IF(LCOE!J$14&gt;0,G77,H77)*K77*D77</f>
        <v>0</v>
      </c>
      <c r="K77" s="15">
        <f>LCOE!O103+K76+K76*LCOE!J$22</f>
        <v>1</v>
      </c>
      <c r="L77" s="16">
        <f>LCOE!P103+LCOE!J$23*IF(LCOE!J$14&gt;0,G77,H77)*M77*D77</f>
        <v>168165720</v>
      </c>
      <c r="M77" s="15">
        <f>LCOE!Q103+M76+M76*LCOE!J$24</f>
        <v>1</v>
      </c>
      <c r="N77" s="15">
        <f>LCOE!R103+N76-N76*LCOE!J$25</f>
        <v>1</v>
      </c>
      <c r="O77" s="18">
        <f>LCOE!S103+LCOE!J$29</f>
        <v>313.75</v>
      </c>
      <c r="P77" s="12">
        <f>LCOE!T103+IF(A77&gt;=LCOE!J$30,100%,0%)</f>
        <v>1</v>
      </c>
      <c r="Q77" s="16">
        <f>LCOE!U103+O77/1000*IF(LCOE!J$14&gt;0,G77,H77)</f>
        <v>1236802.5</v>
      </c>
      <c r="R77" s="16">
        <f>LCOE!B103</f>
        <v>30</v>
      </c>
      <c r="S77" s="16">
        <f>LCOE!V103+Q77*P77*R77</f>
        <v>37104075</v>
      </c>
      <c r="T77" s="16">
        <f>LCOE!W103+LCOE!J$31</f>
        <v>0</v>
      </c>
      <c r="U77" s="16">
        <f>LCOE!X103+T77*IF(LCOE!J$14&gt;0,G77,H77)</f>
        <v>0</v>
      </c>
      <c r="V77" s="16">
        <f>LCOE!Y103+LCOE!J$32</f>
        <v>0</v>
      </c>
      <c r="W77" s="16">
        <f>LCOE!Z103+V77*IF(LCOE!J$14&gt;0,G77,H77)</f>
        <v>0</v>
      </c>
      <c r="X77" s="16">
        <f>LCOE!AA103+LCOE!J$34</f>
        <v>101</v>
      </c>
      <c r="Y77" s="16">
        <f t="shared" si="15"/>
        <v>0</v>
      </c>
      <c r="Z77" s="50">
        <f t="shared" si="18"/>
        <v>0</v>
      </c>
      <c r="AA77" s="50">
        <f t="shared" si="19"/>
        <v>20000000</v>
      </c>
      <c r="AB77" s="50">
        <f t="shared" si="20"/>
        <v>168165720</v>
      </c>
      <c r="AC77" s="50">
        <f t="shared" si="16"/>
        <v>0</v>
      </c>
      <c r="AD77" s="50">
        <f t="shared" si="11"/>
        <v>37104075</v>
      </c>
      <c r="AE77">
        <f t="shared" si="17"/>
        <v>7</v>
      </c>
      <c r="AF77" s="12">
        <f>LCOE!E103+LCOE!J$40</f>
        <v>0.12</v>
      </c>
      <c r="AG77">
        <f t="shared" si="12"/>
        <v>2.210681407406081</v>
      </c>
      <c r="AH77" s="16">
        <f t="shared" si="7"/>
        <v>0</v>
      </c>
      <c r="AI77" s="16">
        <f t="shared" si="8"/>
        <v>9046984.3067378681</v>
      </c>
      <c r="AJ77" s="16">
        <f t="shared" si="9"/>
        <v>76069631.488563731</v>
      </c>
      <c r="AK77" s="16">
        <f t="shared" si="10"/>
        <v>0</v>
      </c>
      <c r="AL77" s="16">
        <f t="shared" si="13"/>
        <v>16783999.212051246</v>
      </c>
      <c r="AM77" s="16">
        <f t="shared" si="14"/>
        <v>0</v>
      </c>
      <c r="AN77" s="16">
        <f>IF(LCOE!J$14&gt;0,G77,H77)/AG77</f>
        <v>1783160.6068580339</v>
      </c>
    </row>
    <row r="78" spans="1:40">
      <c r="A78">
        <v>8</v>
      </c>
      <c r="C78" s="16">
        <f>LCOE!J104+IF(AND(LCOE!J$26&gt;0,A78&gt;=LCOE!J$26,A78&lt;=(LCOE!J$26+LCOE!J$27-1)),LCOE!J$42/LCOE!J$27,0)+IF(AND(D78=0,AE78&gt;=LCOE!J$16,COUNTIF(D53:D78,0)=LCOE!J$36),LCOE!J$35*LCOE!J$38,0)</f>
        <v>0</v>
      </c>
      <c r="D78" s="16">
        <f>IF(AE77&lt;LCOE!J$16,1,0)</f>
        <v>1</v>
      </c>
      <c r="E78" s="12">
        <f>LCOE!G104+IF(AND(A78&gt;=LCOE!J$26,A78&lt;=(LCOE!J$26+LCOE!J$27-1)),0,1)*IF(A78=LCOE!J$34,0,1)*D78</f>
        <v>1</v>
      </c>
      <c r="F78" s="12">
        <f>IF(F77&lt;LCOE!J$18,MIN(F77*(1+LCOE!J$19),LCOE!J$18),LCOE!J$18)+LCOE!J104</f>
        <v>0.9</v>
      </c>
      <c r="G78" s="16">
        <f>LCOE!K104+E78*F78*N78*(LCOE!J$14+LCOE!H104)*24*365*D78</f>
        <v>3942000</v>
      </c>
      <c r="H78" s="16">
        <f>LCOE!L104+F78*(LCOE!J$15+LCOE!I104)*E78*24*365*D78*N78</f>
        <v>0</v>
      </c>
      <c r="I78" s="16">
        <f>LCOE!M104+LCOE!J$20*IF(LCOE!J$14&gt;0,(LCOE!J$14+LCOE!H104),(LCOE!J$15+LCOE!I104))*K78*D78</f>
        <v>20000000</v>
      </c>
      <c r="J78" s="16">
        <f>LCOE!N104+LCOE!J$21*IF(LCOE!J$14&gt;0,G78,H78)*K78*D78</f>
        <v>0</v>
      </c>
      <c r="K78" s="15">
        <f>LCOE!O104+K77+K77*LCOE!J$22</f>
        <v>1</v>
      </c>
      <c r="L78" s="16">
        <f>LCOE!P104+LCOE!J$23*IF(LCOE!J$14&gt;0,G78,H78)*M78*D78</f>
        <v>168165720</v>
      </c>
      <c r="M78" s="15">
        <f>LCOE!Q104+M77+M77*LCOE!J$24</f>
        <v>1</v>
      </c>
      <c r="N78" s="15">
        <f>LCOE!R104+N77-N77*LCOE!J$25</f>
        <v>1</v>
      </c>
      <c r="O78" s="18">
        <f>LCOE!S104+LCOE!J$29</f>
        <v>313.75</v>
      </c>
      <c r="P78" s="12">
        <f>LCOE!T104+IF(A78&gt;=LCOE!J$30,100%,0%)</f>
        <v>1</v>
      </c>
      <c r="Q78" s="16">
        <f>LCOE!U104+O78/1000*IF(LCOE!J$14&gt;0,G78,H78)</f>
        <v>1236802.5</v>
      </c>
      <c r="R78" s="16">
        <f>LCOE!B104</f>
        <v>30</v>
      </c>
      <c r="S78" s="16">
        <f>LCOE!V104+Q78*P78*R78</f>
        <v>37104075</v>
      </c>
      <c r="T78" s="16">
        <f>LCOE!W104+LCOE!J$31</f>
        <v>0</v>
      </c>
      <c r="U78" s="16">
        <f>LCOE!X104+T78*IF(LCOE!J$14&gt;0,G78,H78)</f>
        <v>0</v>
      </c>
      <c r="V78" s="16">
        <f>LCOE!Y104+LCOE!J$32</f>
        <v>0</v>
      </c>
      <c r="W78" s="16">
        <f>LCOE!Z104+V78*IF(LCOE!J$14&gt;0,G78,H78)</f>
        <v>0</v>
      </c>
      <c r="X78" s="16">
        <f>LCOE!AA104+LCOE!J$34</f>
        <v>101</v>
      </c>
      <c r="Y78" s="16">
        <f t="shared" si="15"/>
        <v>0</v>
      </c>
      <c r="Z78" s="50">
        <f t="shared" si="18"/>
        <v>0</v>
      </c>
      <c r="AA78" s="50">
        <f t="shared" si="19"/>
        <v>20000000</v>
      </c>
      <c r="AB78" s="50">
        <f t="shared" si="20"/>
        <v>168165720</v>
      </c>
      <c r="AC78" s="50">
        <f t="shared" si="16"/>
        <v>0</v>
      </c>
      <c r="AD78" s="50">
        <f t="shared" si="11"/>
        <v>37104075</v>
      </c>
      <c r="AE78">
        <f t="shared" si="17"/>
        <v>8</v>
      </c>
      <c r="AF78" s="12">
        <f>LCOE!E104+LCOE!J$40</f>
        <v>0.12</v>
      </c>
      <c r="AG78">
        <f t="shared" si="12"/>
        <v>2.4759631762948109</v>
      </c>
      <c r="AH78" s="16">
        <f t="shared" si="7"/>
        <v>0</v>
      </c>
      <c r="AI78" s="16">
        <f t="shared" si="8"/>
        <v>8077664.5595873827</v>
      </c>
      <c r="AJ78" s="16">
        <f t="shared" si="9"/>
        <v>67919313.829074755</v>
      </c>
      <c r="AK78" s="16">
        <f t="shared" si="10"/>
        <v>0</v>
      </c>
      <c r="AL78" s="16">
        <f t="shared" si="13"/>
        <v>14985713.58218861</v>
      </c>
      <c r="AM78" s="16">
        <f t="shared" si="14"/>
        <v>0</v>
      </c>
      <c r="AN78" s="16">
        <f>IF(LCOE!J$14&gt;0,G78,H78)/AG78</f>
        <v>1592107.6846946732</v>
      </c>
    </row>
    <row r="79" spans="1:40">
      <c r="A79">
        <v>9</v>
      </c>
      <c r="C79" s="16">
        <f>LCOE!J105+IF(AND(LCOE!J$26&gt;0,A79&gt;=LCOE!J$26,A79&lt;=(LCOE!J$26+LCOE!J$27-1)),LCOE!J$42/LCOE!J$27,0)+IF(AND(D79=0,AE79&gt;=LCOE!J$16,COUNTIF(D54:D79,0)=LCOE!J$36),LCOE!J$35*LCOE!J$38,0)</f>
        <v>0</v>
      </c>
      <c r="D79" s="16">
        <f>IF(AE78&lt;LCOE!J$16,1,0)</f>
        <v>1</v>
      </c>
      <c r="E79" s="12">
        <f>LCOE!G105+IF(AND(A79&gt;=LCOE!J$26,A79&lt;=(LCOE!J$26+LCOE!J$27-1)),0,1)*IF(A79=LCOE!J$34,0,1)*D79</f>
        <v>1</v>
      </c>
      <c r="F79" s="12">
        <f>IF(F78&lt;LCOE!J$18,MIN(F78*(1+LCOE!J$19),LCOE!J$18),LCOE!J$18)+LCOE!J105</f>
        <v>0.9</v>
      </c>
      <c r="G79" s="16">
        <f>LCOE!K105+E79*F79*N79*(LCOE!J$14+LCOE!H105)*24*365*D79</f>
        <v>3942000</v>
      </c>
      <c r="H79" s="16">
        <f>LCOE!L105+F79*(LCOE!J$15+LCOE!I105)*E79*24*365*D79*N79</f>
        <v>0</v>
      </c>
      <c r="I79" s="16">
        <f>LCOE!M105+LCOE!J$20*IF(LCOE!J$14&gt;0,(LCOE!J$14+LCOE!H105),(LCOE!J$15+LCOE!I105))*K79*D79</f>
        <v>20000000</v>
      </c>
      <c r="J79" s="16">
        <f>LCOE!N105+LCOE!J$21*IF(LCOE!J$14&gt;0,G79,H79)*K79*D79</f>
        <v>0</v>
      </c>
      <c r="K79" s="15">
        <f>LCOE!O105+K78+K78*LCOE!J$22</f>
        <v>1</v>
      </c>
      <c r="L79" s="16">
        <f>LCOE!P105+LCOE!J$23*IF(LCOE!J$14&gt;0,G79,H79)*M79*D79</f>
        <v>168165720</v>
      </c>
      <c r="M79" s="15">
        <f>LCOE!Q105+M78+M78*LCOE!J$24</f>
        <v>1</v>
      </c>
      <c r="N79" s="15">
        <f>LCOE!R105+N78-N78*LCOE!J$25</f>
        <v>1</v>
      </c>
      <c r="O79" s="18">
        <f>LCOE!S105+LCOE!J$29</f>
        <v>313.75</v>
      </c>
      <c r="P79" s="12">
        <f>LCOE!T105+IF(A79&gt;=LCOE!J$30,100%,0%)</f>
        <v>1</v>
      </c>
      <c r="Q79" s="16">
        <f>LCOE!U105+O79/1000*IF(LCOE!J$14&gt;0,G79,H79)</f>
        <v>1236802.5</v>
      </c>
      <c r="R79" s="16">
        <f>LCOE!B105</f>
        <v>30</v>
      </c>
      <c r="S79" s="16">
        <f>LCOE!V105+Q79*P79*R79</f>
        <v>37104075</v>
      </c>
      <c r="T79" s="16">
        <f>LCOE!W105+LCOE!J$31</f>
        <v>0</v>
      </c>
      <c r="U79" s="16">
        <f>LCOE!X105+T79*IF(LCOE!J$14&gt;0,G79,H79)</f>
        <v>0</v>
      </c>
      <c r="V79" s="16">
        <f>LCOE!Y105+LCOE!J$32</f>
        <v>0</v>
      </c>
      <c r="W79" s="16">
        <f>LCOE!Z105+V79*IF(LCOE!J$14&gt;0,G79,H79)</f>
        <v>0</v>
      </c>
      <c r="X79" s="16">
        <f>LCOE!AA105+LCOE!J$34</f>
        <v>101</v>
      </c>
      <c r="Y79" s="16">
        <f t="shared" si="15"/>
        <v>0</v>
      </c>
      <c r="Z79" s="50">
        <f t="shared" si="18"/>
        <v>0</v>
      </c>
      <c r="AA79" s="50">
        <f t="shared" si="19"/>
        <v>20000000</v>
      </c>
      <c r="AB79" s="50">
        <f t="shared" si="20"/>
        <v>168165720</v>
      </c>
      <c r="AC79" s="50">
        <f t="shared" si="16"/>
        <v>0</v>
      </c>
      <c r="AD79" s="50">
        <f t="shared" si="11"/>
        <v>37104075</v>
      </c>
      <c r="AE79">
        <f t="shared" si="17"/>
        <v>9</v>
      </c>
      <c r="AF79" s="12">
        <f>LCOE!E105+LCOE!J$40</f>
        <v>0.12</v>
      </c>
      <c r="AG79">
        <f t="shared" si="12"/>
        <v>2.7730787574501883</v>
      </c>
      <c r="AH79" s="16">
        <f t="shared" si="7"/>
        <v>0</v>
      </c>
      <c r="AI79" s="16">
        <f t="shared" si="8"/>
        <v>7212200.4996315911</v>
      </c>
      <c r="AJ79" s="16">
        <f t="shared" si="9"/>
        <v>60642244.490245312</v>
      </c>
      <c r="AK79" s="16">
        <f t="shared" si="10"/>
        <v>0</v>
      </c>
      <c r="AL79" s="16">
        <f t="shared" si="13"/>
        <v>13380101.412668401</v>
      </c>
      <c r="AM79" s="16">
        <f t="shared" si="14"/>
        <v>0</v>
      </c>
      <c r="AN79" s="16">
        <f>IF(LCOE!J$14&gt;0,G79,H79)/AG79</f>
        <v>1421524.7184773865</v>
      </c>
    </row>
    <row r="80" spans="1:40">
      <c r="A80">
        <v>10</v>
      </c>
      <c r="C80" s="16">
        <f>LCOE!J106+IF(AND(LCOE!J$26&gt;0,A80&gt;=LCOE!J$26,A80&lt;=(LCOE!J$26+LCOE!J$27-1)),LCOE!J$42/LCOE!J$27,0)+IF(AND(D80=0,AE80&gt;=LCOE!J$16,COUNTIF(D55:D80,0)=LCOE!J$36),LCOE!J$35*LCOE!J$38,0)</f>
        <v>0</v>
      </c>
      <c r="D80" s="16">
        <f>IF(AE79&lt;LCOE!J$16,1,0)</f>
        <v>1</v>
      </c>
      <c r="E80" s="12">
        <f>LCOE!G106+IF(AND(A80&gt;=LCOE!J$26,A80&lt;=(LCOE!J$26+LCOE!J$27-1)),0,1)*IF(A80=LCOE!J$34,0,1)*D80</f>
        <v>1</v>
      </c>
      <c r="F80" s="12">
        <f>IF(F79&lt;LCOE!J$18,MIN(F79*(1+LCOE!J$19),LCOE!J$18),LCOE!J$18)+LCOE!J106</f>
        <v>0.9</v>
      </c>
      <c r="G80" s="16">
        <f>LCOE!K106+E80*F80*N80*(LCOE!J$14+LCOE!H106)*24*365*D80</f>
        <v>3942000</v>
      </c>
      <c r="H80" s="16">
        <f>LCOE!L106+F80*(LCOE!J$15+LCOE!I106)*E80*24*365*D80*N80</f>
        <v>0</v>
      </c>
      <c r="I80" s="16">
        <f>LCOE!M106+LCOE!J$20*IF(LCOE!J$14&gt;0,(LCOE!J$14+LCOE!H106),(LCOE!J$15+LCOE!I106))*K80*D80</f>
        <v>20000000</v>
      </c>
      <c r="J80" s="16">
        <f>LCOE!N106+LCOE!J$21*IF(LCOE!J$14&gt;0,G80,H80)*K80*D80</f>
        <v>0</v>
      </c>
      <c r="K80" s="15">
        <f>LCOE!O106+K79+K79*LCOE!J$22</f>
        <v>1</v>
      </c>
      <c r="L80" s="16">
        <f>LCOE!P106+LCOE!J$23*IF(LCOE!J$14&gt;0,G80,H80)*M80*D80</f>
        <v>168165720</v>
      </c>
      <c r="M80" s="15">
        <f>LCOE!Q106+M79+M79*LCOE!J$24</f>
        <v>1</v>
      </c>
      <c r="N80" s="15">
        <f>LCOE!R106+N79-N79*LCOE!J$25</f>
        <v>1</v>
      </c>
      <c r="O80" s="18">
        <f>LCOE!S106+LCOE!J$29</f>
        <v>313.75</v>
      </c>
      <c r="P80" s="12">
        <f>LCOE!T106+IF(A80&gt;=LCOE!J$30,100%,0%)</f>
        <v>1</v>
      </c>
      <c r="Q80" s="16">
        <f>LCOE!U106+O80/1000*IF(LCOE!J$14&gt;0,G80,H80)</f>
        <v>1236802.5</v>
      </c>
      <c r="R80" s="16">
        <f>LCOE!B106</f>
        <v>30</v>
      </c>
      <c r="S80" s="16">
        <f>LCOE!V106+Q80*P80*R80</f>
        <v>37104075</v>
      </c>
      <c r="T80" s="16">
        <f>LCOE!W106+LCOE!J$31</f>
        <v>0</v>
      </c>
      <c r="U80" s="16">
        <f>LCOE!X106+T80*IF(LCOE!J$14&gt;0,G80,H80)</f>
        <v>0</v>
      </c>
      <c r="V80" s="16">
        <f>LCOE!Y106+LCOE!J$32</f>
        <v>0</v>
      </c>
      <c r="W80" s="16">
        <f>LCOE!Z106+V80*IF(LCOE!J$14&gt;0,G80,H80)</f>
        <v>0</v>
      </c>
      <c r="X80" s="16">
        <f>LCOE!AA106+LCOE!J$34</f>
        <v>101</v>
      </c>
      <c r="Y80" s="16">
        <f t="shared" si="15"/>
        <v>0</v>
      </c>
      <c r="Z80" s="50">
        <f t="shared" si="18"/>
        <v>0</v>
      </c>
      <c r="AA80" s="50">
        <f t="shared" si="19"/>
        <v>20000000</v>
      </c>
      <c r="AB80" s="50">
        <f t="shared" si="20"/>
        <v>168165720</v>
      </c>
      <c r="AC80" s="50">
        <f t="shared" si="16"/>
        <v>0</v>
      </c>
      <c r="AD80" s="50">
        <f t="shared" si="11"/>
        <v>37104075</v>
      </c>
      <c r="AE80">
        <f t="shared" si="17"/>
        <v>10</v>
      </c>
      <c r="AF80" s="12">
        <f>LCOE!E106+LCOE!J$40</f>
        <v>0.12</v>
      </c>
      <c r="AG80">
        <f t="shared" si="12"/>
        <v>3.1058482083442112</v>
      </c>
      <c r="AH80" s="16">
        <f t="shared" si="7"/>
        <v>0</v>
      </c>
      <c r="AI80" s="16">
        <f t="shared" si="8"/>
        <v>6439464.7318139197</v>
      </c>
      <c r="AJ80" s="16">
        <f t="shared" si="9"/>
        <v>54144861.152004741</v>
      </c>
      <c r="AK80" s="16">
        <f t="shared" si="10"/>
        <v>0</v>
      </c>
      <c r="AL80" s="16">
        <f t="shared" si="13"/>
        <v>11946519.118453929</v>
      </c>
      <c r="AM80" s="16">
        <f t="shared" si="14"/>
        <v>0</v>
      </c>
      <c r="AN80" s="16">
        <f>IF(LCOE!J$14&gt;0,G80,H80)/AG80</f>
        <v>1269218.4986405238</v>
      </c>
    </row>
    <row r="81" spans="1:40">
      <c r="A81">
        <v>11</v>
      </c>
      <c r="C81" s="16">
        <f>LCOE!J107+IF(AND(LCOE!J$26&gt;0,A81&gt;=LCOE!J$26,A81&lt;=(LCOE!J$26+LCOE!J$27-1)),LCOE!J$42/LCOE!J$27,0)+IF(AND(D81=0,AE81&gt;=LCOE!J$16,COUNTIF(D56:D81,0)=LCOE!J$36),LCOE!J$35*LCOE!J$38,0)</f>
        <v>0</v>
      </c>
      <c r="D81" s="16">
        <f>IF(AE80&lt;LCOE!J$16,1,0)</f>
        <v>1</v>
      </c>
      <c r="E81" s="12">
        <f>LCOE!G107+IF(AND(A81&gt;=LCOE!J$26,A81&lt;=(LCOE!J$26+LCOE!J$27-1)),0,1)*IF(A81=LCOE!J$34,0,1)*D81</f>
        <v>1</v>
      </c>
      <c r="F81" s="12">
        <f>IF(F80&lt;LCOE!J$18,MIN(F80*(1+LCOE!J$19),LCOE!J$18),LCOE!J$18)+LCOE!J107</f>
        <v>0.9</v>
      </c>
      <c r="G81" s="16">
        <f>LCOE!K107+E81*F81*N81*(LCOE!J$14+LCOE!H107)*24*365*D81</f>
        <v>3942000</v>
      </c>
      <c r="H81" s="16">
        <f>LCOE!L107+F81*(LCOE!J$15+LCOE!I107)*E81*24*365*D81*N81</f>
        <v>0</v>
      </c>
      <c r="I81" s="16">
        <f>LCOE!M107+LCOE!J$20*IF(LCOE!J$14&gt;0,(LCOE!J$14+LCOE!H107),(LCOE!J$15+LCOE!I107))*K81*D81</f>
        <v>20000000</v>
      </c>
      <c r="J81" s="16">
        <f>LCOE!N107+LCOE!J$21*IF(LCOE!J$14&gt;0,G81,H81)*K81*D81</f>
        <v>0</v>
      </c>
      <c r="K81" s="15">
        <f>LCOE!O107+K80+K80*LCOE!J$22</f>
        <v>1</v>
      </c>
      <c r="L81" s="16">
        <f>LCOE!P107+LCOE!J$23*IF(LCOE!J$14&gt;0,G81,H81)*M81*D81</f>
        <v>168165720</v>
      </c>
      <c r="M81" s="15">
        <f>LCOE!Q107+M80+M80*LCOE!J$24</f>
        <v>1</v>
      </c>
      <c r="N81" s="15">
        <f>LCOE!R107+N80-N80*LCOE!J$25</f>
        <v>1</v>
      </c>
      <c r="O81" s="18">
        <f>LCOE!S107+LCOE!J$29</f>
        <v>313.75</v>
      </c>
      <c r="P81" s="12">
        <f>LCOE!T107+IF(A81&gt;=LCOE!J$30,100%,0%)</f>
        <v>1</v>
      </c>
      <c r="Q81" s="16">
        <f>LCOE!U107+O81/1000*IF(LCOE!J$14&gt;0,G81,H81)</f>
        <v>1236802.5</v>
      </c>
      <c r="R81" s="16">
        <f>LCOE!B107</f>
        <v>30</v>
      </c>
      <c r="S81" s="16">
        <f>LCOE!V107+Q81*P81*R81</f>
        <v>37104075</v>
      </c>
      <c r="T81" s="16">
        <f>LCOE!W107+LCOE!J$31</f>
        <v>0</v>
      </c>
      <c r="U81" s="16">
        <f>LCOE!X107+T81*IF(LCOE!J$14&gt;0,G81,H81)</f>
        <v>0</v>
      </c>
      <c r="V81" s="16">
        <f>LCOE!Y107+LCOE!J$32</f>
        <v>0</v>
      </c>
      <c r="W81" s="16">
        <f>LCOE!Z107+V81*IF(LCOE!J$14&gt;0,G81,H81)</f>
        <v>0</v>
      </c>
      <c r="X81" s="16">
        <f>LCOE!AA107+LCOE!J$34</f>
        <v>101</v>
      </c>
      <c r="Y81" s="16">
        <f t="shared" si="15"/>
        <v>0</v>
      </c>
      <c r="Z81" s="50">
        <f t="shared" si="18"/>
        <v>0</v>
      </c>
      <c r="AA81" s="50">
        <f t="shared" si="19"/>
        <v>20000000</v>
      </c>
      <c r="AB81" s="50">
        <f t="shared" si="20"/>
        <v>168165720</v>
      </c>
      <c r="AC81" s="50">
        <f t="shared" si="16"/>
        <v>0</v>
      </c>
      <c r="AD81" s="50">
        <f t="shared" si="11"/>
        <v>37104075</v>
      </c>
      <c r="AE81">
        <f t="shared" si="17"/>
        <v>11</v>
      </c>
      <c r="AF81" s="12">
        <f>LCOE!E107+LCOE!J$40</f>
        <v>0.12</v>
      </c>
      <c r="AG81">
        <f t="shared" si="12"/>
        <v>3.4785499933455171</v>
      </c>
      <c r="AH81" s="16">
        <f t="shared" si="7"/>
        <v>0</v>
      </c>
      <c r="AI81" s="16">
        <f t="shared" si="8"/>
        <v>5749522.0819767136</v>
      </c>
      <c r="AJ81" s="16">
        <f t="shared" si="9"/>
        <v>48343626.028575651</v>
      </c>
      <c r="AK81" s="16">
        <f t="shared" si="10"/>
        <v>0</v>
      </c>
      <c r="AL81" s="16">
        <f t="shared" si="13"/>
        <v>10666534.927191006</v>
      </c>
      <c r="AM81" s="16">
        <f t="shared" si="14"/>
        <v>0</v>
      </c>
      <c r="AN81" s="16">
        <f>IF(LCOE!J$14&gt;0,G81,H81)/AG81</f>
        <v>1133230.8023576103</v>
      </c>
    </row>
    <row r="82" spans="1:40">
      <c r="A82">
        <v>12</v>
      </c>
      <c r="C82" s="16">
        <f>LCOE!J108+IF(AND(LCOE!J$26&gt;0,A82&gt;=LCOE!J$26,A82&lt;=(LCOE!J$26+LCOE!J$27-1)),LCOE!J$42/LCOE!J$27,0)+IF(AND(D82=0,AE82&gt;=LCOE!J$16,COUNTIF(D57:D82,0)=LCOE!J$36),LCOE!J$35*LCOE!J$38,0)</f>
        <v>0</v>
      </c>
      <c r="D82" s="16">
        <f>IF(AE81&lt;LCOE!J$16,1,0)</f>
        <v>1</v>
      </c>
      <c r="E82" s="12">
        <f>LCOE!G108+IF(AND(A82&gt;=LCOE!J$26,A82&lt;=(LCOE!J$26+LCOE!J$27-1)),0,1)*IF(A82=LCOE!J$34,0,1)*D82</f>
        <v>1</v>
      </c>
      <c r="F82" s="12">
        <f>IF(F81&lt;LCOE!J$18,MIN(F81*(1+LCOE!J$19),LCOE!J$18),LCOE!J$18)+LCOE!J108</f>
        <v>0.9</v>
      </c>
      <c r="G82" s="16">
        <f>LCOE!K108+E82*F82*N82*(LCOE!J$14+LCOE!H108)*24*365*D82</f>
        <v>3942000</v>
      </c>
      <c r="H82" s="16">
        <f>LCOE!L108+F82*(LCOE!J$15+LCOE!I108)*E82*24*365*D82*N82</f>
        <v>0</v>
      </c>
      <c r="I82" s="16">
        <f>LCOE!M108+LCOE!J$20*IF(LCOE!J$14&gt;0,(LCOE!J$14+LCOE!H108),(LCOE!J$15+LCOE!I108))*K82*D82</f>
        <v>20000000</v>
      </c>
      <c r="J82" s="16">
        <f>LCOE!N108+LCOE!J$21*IF(LCOE!J$14&gt;0,G82,H82)*K82*D82</f>
        <v>0</v>
      </c>
      <c r="K82" s="15">
        <f>LCOE!O108+K81+K81*LCOE!J$22</f>
        <v>1</v>
      </c>
      <c r="L82" s="16">
        <f>LCOE!P108+LCOE!J$23*IF(LCOE!J$14&gt;0,G82,H82)*M82*D82</f>
        <v>168165720</v>
      </c>
      <c r="M82" s="15">
        <f>LCOE!Q108+M81+M81*LCOE!J$24</f>
        <v>1</v>
      </c>
      <c r="N82" s="15">
        <f>LCOE!R108+N81-N81*LCOE!J$25</f>
        <v>1</v>
      </c>
      <c r="O82" s="18">
        <f>LCOE!S108+LCOE!J$29</f>
        <v>313.75</v>
      </c>
      <c r="P82" s="12">
        <f>LCOE!T108+IF(A82&gt;=LCOE!J$30,100%,0%)</f>
        <v>1</v>
      </c>
      <c r="Q82" s="16">
        <f>LCOE!U108+O82/1000*IF(LCOE!J$14&gt;0,G82,H82)</f>
        <v>1236802.5</v>
      </c>
      <c r="R82" s="16">
        <f>LCOE!B108</f>
        <v>30</v>
      </c>
      <c r="S82" s="16">
        <f>LCOE!V108+Q82*P82*R82</f>
        <v>37104075</v>
      </c>
      <c r="T82" s="16">
        <f>LCOE!W108+LCOE!J$31</f>
        <v>0</v>
      </c>
      <c r="U82" s="16">
        <f>LCOE!X108+T82*IF(LCOE!J$14&gt;0,G82,H82)</f>
        <v>0</v>
      </c>
      <c r="V82" s="16">
        <f>LCOE!Y108+LCOE!J$32</f>
        <v>0</v>
      </c>
      <c r="W82" s="16">
        <f>LCOE!Z108+V82*IF(LCOE!J$14&gt;0,G82,H82)</f>
        <v>0</v>
      </c>
      <c r="X82" s="16">
        <f>LCOE!AA108+LCOE!J$34</f>
        <v>101</v>
      </c>
      <c r="Y82" s="16">
        <f t="shared" si="15"/>
        <v>0</v>
      </c>
      <c r="Z82" s="50">
        <f t="shared" si="18"/>
        <v>0</v>
      </c>
      <c r="AA82" s="50">
        <f t="shared" si="19"/>
        <v>20000000</v>
      </c>
      <c r="AB82" s="50">
        <f t="shared" si="20"/>
        <v>168165720</v>
      </c>
      <c r="AC82" s="50">
        <f t="shared" si="16"/>
        <v>0</v>
      </c>
      <c r="AD82" s="50">
        <f t="shared" si="11"/>
        <v>37104075</v>
      </c>
      <c r="AE82">
        <f t="shared" si="17"/>
        <v>12</v>
      </c>
      <c r="AF82" s="12">
        <f>LCOE!E108+LCOE!J$40</f>
        <v>0.12</v>
      </c>
      <c r="AG82">
        <f t="shared" si="12"/>
        <v>3.8959759925469788</v>
      </c>
      <c r="AH82" s="16">
        <f t="shared" si="7"/>
        <v>0</v>
      </c>
      <c r="AI82" s="16">
        <f t="shared" si="8"/>
        <v>5133501.8589077806</v>
      </c>
      <c r="AJ82" s="16">
        <f t="shared" si="9"/>
        <v>43163951.811228268</v>
      </c>
      <c r="AK82" s="16">
        <f t="shared" si="10"/>
        <v>0</v>
      </c>
      <c r="AL82" s="16">
        <f t="shared" si="13"/>
        <v>9523691.8992776852</v>
      </c>
      <c r="AM82" s="16">
        <f t="shared" si="14"/>
        <v>0</v>
      </c>
      <c r="AN82" s="16">
        <f>IF(LCOE!J$14&gt;0,G82,H82)/AG82</f>
        <v>1011813.2163907235</v>
      </c>
    </row>
    <row r="83" spans="1:40">
      <c r="A83">
        <v>13</v>
      </c>
      <c r="C83" s="16">
        <f>LCOE!J109+IF(AND(LCOE!J$26&gt;0,A83&gt;=LCOE!J$26,A83&lt;=(LCOE!J$26+LCOE!J$27-1)),LCOE!J$42/LCOE!J$27,0)+IF(AND(D83=0,AE83&gt;=LCOE!J$16,COUNTIF(D58:D83,0)=LCOE!J$36),LCOE!J$35*LCOE!J$38,0)</f>
        <v>0</v>
      </c>
      <c r="D83" s="16">
        <f>IF(AE82&lt;LCOE!J$16,1,0)</f>
        <v>1</v>
      </c>
      <c r="E83" s="12">
        <f>LCOE!G109+IF(AND(A83&gt;=LCOE!J$26,A83&lt;=(LCOE!J$26+LCOE!J$27-1)),0,1)*IF(A83=LCOE!J$34,0,1)*D83</f>
        <v>1</v>
      </c>
      <c r="F83" s="12">
        <f>IF(F82&lt;LCOE!J$18,MIN(F82*(1+LCOE!J$19),LCOE!J$18),LCOE!J$18)+LCOE!J109</f>
        <v>0.9</v>
      </c>
      <c r="G83" s="16">
        <f>LCOE!K109+E83*F83*N83*(LCOE!J$14+LCOE!H109)*24*365*D83</f>
        <v>3942000</v>
      </c>
      <c r="H83" s="16">
        <f>LCOE!L109+F83*(LCOE!J$15+LCOE!I109)*E83*24*365*D83*N83</f>
        <v>0</v>
      </c>
      <c r="I83" s="16">
        <f>LCOE!M109+LCOE!J$20*IF(LCOE!J$14&gt;0,(LCOE!J$14+LCOE!H109),(LCOE!J$15+LCOE!I109))*K83*D83</f>
        <v>20000000</v>
      </c>
      <c r="J83" s="16">
        <f>LCOE!N109+LCOE!J$21*IF(LCOE!J$14&gt;0,G83,H83)*K83*D83</f>
        <v>0</v>
      </c>
      <c r="K83" s="15">
        <f>LCOE!O109+K82+K82*LCOE!J$22</f>
        <v>1</v>
      </c>
      <c r="L83" s="16">
        <f>LCOE!P109+LCOE!J$23*IF(LCOE!J$14&gt;0,G83,H83)*M83*D83</f>
        <v>168165720</v>
      </c>
      <c r="M83" s="15">
        <f>LCOE!Q109+M82+M82*LCOE!J$24</f>
        <v>1</v>
      </c>
      <c r="N83" s="15">
        <f>LCOE!R109+N82-N82*LCOE!J$25</f>
        <v>1</v>
      </c>
      <c r="O83" s="18">
        <f>LCOE!S109+LCOE!J$29</f>
        <v>313.75</v>
      </c>
      <c r="P83" s="12">
        <f>LCOE!T109+IF(A83&gt;=LCOE!J$30,100%,0%)</f>
        <v>1</v>
      </c>
      <c r="Q83" s="16">
        <f>LCOE!U109+O83/1000*IF(LCOE!J$14&gt;0,G83,H83)</f>
        <v>1236802.5</v>
      </c>
      <c r="R83" s="16">
        <f>LCOE!B109</f>
        <v>30</v>
      </c>
      <c r="S83" s="16">
        <f>LCOE!V109+Q83*P83*R83</f>
        <v>37104075</v>
      </c>
      <c r="T83" s="16">
        <f>LCOE!W109+LCOE!J$31</f>
        <v>0</v>
      </c>
      <c r="U83" s="16">
        <f>LCOE!X109+T83*IF(LCOE!J$14&gt;0,G83,H83)</f>
        <v>0</v>
      </c>
      <c r="V83" s="16">
        <f>LCOE!Y109+LCOE!J$32</f>
        <v>0</v>
      </c>
      <c r="W83" s="16">
        <f>LCOE!Z109+V83*IF(LCOE!J$14&gt;0,G83,H83)</f>
        <v>0</v>
      </c>
      <c r="X83" s="16">
        <f>LCOE!AA109+LCOE!J$34</f>
        <v>101</v>
      </c>
      <c r="Y83" s="16">
        <f t="shared" si="15"/>
        <v>0</v>
      </c>
      <c r="Z83" s="50">
        <f t="shared" si="18"/>
        <v>0</v>
      </c>
      <c r="AA83" s="50">
        <f t="shared" si="19"/>
        <v>20000000</v>
      </c>
      <c r="AB83" s="50">
        <f t="shared" si="20"/>
        <v>168165720</v>
      </c>
      <c r="AC83" s="50">
        <f t="shared" si="16"/>
        <v>0</v>
      </c>
      <c r="AD83" s="50">
        <f t="shared" si="11"/>
        <v>37104075</v>
      </c>
      <c r="AE83">
        <f t="shared" si="17"/>
        <v>13</v>
      </c>
      <c r="AF83" s="12">
        <f>LCOE!E109+LCOE!J$40</f>
        <v>0.12</v>
      </c>
      <c r="AG83">
        <f t="shared" si="12"/>
        <v>4.363493111652617</v>
      </c>
      <c r="AH83" s="16">
        <f t="shared" si="7"/>
        <v>0</v>
      </c>
      <c r="AI83" s="16">
        <f t="shared" si="8"/>
        <v>4583483.8025962319</v>
      </c>
      <c r="AJ83" s="16">
        <f t="shared" si="9"/>
        <v>38539242.688596658</v>
      </c>
      <c r="AK83" s="16">
        <f t="shared" si="10"/>
        <v>0</v>
      </c>
      <c r="AL83" s="16">
        <f t="shared" si="13"/>
        <v>8503296.3386407886</v>
      </c>
      <c r="AM83" s="16">
        <f t="shared" si="14"/>
        <v>0</v>
      </c>
      <c r="AN83" s="16">
        <f>IF(LCOE!J$14&gt;0,G83,H83)/AG83</f>
        <v>903404.65749171725</v>
      </c>
    </row>
    <row r="84" spans="1:40">
      <c r="A84">
        <v>14</v>
      </c>
      <c r="C84" s="16">
        <f>LCOE!J110+IF(AND(LCOE!J$26&gt;0,A84&gt;=LCOE!J$26,A84&lt;=(LCOE!J$26+LCOE!J$27-1)),LCOE!J$42/LCOE!J$27,0)+IF(AND(D84=0,AE84&gt;=LCOE!J$16,COUNTIF(D59:D84,0)=LCOE!J$36),LCOE!J$35*LCOE!J$38,0)</f>
        <v>0</v>
      </c>
      <c r="D84" s="16">
        <f>IF(AE83&lt;LCOE!J$16,1,0)</f>
        <v>1</v>
      </c>
      <c r="E84" s="12">
        <f>LCOE!G110+IF(AND(A84&gt;=LCOE!J$26,A84&lt;=(LCOE!J$26+LCOE!J$27-1)),0,1)*IF(A84=LCOE!J$34,0,1)*D84</f>
        <v>1</v>
      </c>
      <c r="F84" s="12">
        <f>IF(F83&lt;LCOE!J$18,MIN(F83*(1+LCOE!J$19),LCOE!J$18),LCOE!J$18)+LCOE!J110</f>
        <v>0.9</v>
      </c>
      <c r="G84" s="16">
        <f>LCOE!K110+E84*F84*N84*(LCOE!J$14+LCOE!H110)*24*365*D84</f>
        <v>3942000</v>
      </c>
      <c r="H84" s="16">
        <f>LCOE!L110+F84*(LCOE!J$15+LCOE!I110)*E84*24*365*D84*N84</f>
        <v>0</v>
      </c>
      <c r="I84" s="16">
        <f>LCOE!M110+LCOE!J$20*IF(LCOE!J$14&gt;0,(LCOE!J$14+LCOE!H110),(LCOE!J$15+LCOE!I110))*K84*D84</f>
        <v>20000000</v>
      </c>
      <c r="J84" s="16">
        <f>LCOE!N110+LCOE!J$21*IF(LCOE!J$14&gt;0,G84,H84)*K84*D84</f>
        <v>0</v>
      </c>
      <c r="K84" s="15">
        <f>LCOE!O110+K83+K83*LCOE!J$22</f>
        <v>1</v>
      </c>
      <c r="L84" s="16">
        <f>LCOE!P110+LCOE!J$23*IF(LCOE!J$14&gt;0,G84,H84)*M84*D84</f>
        <v>168165720</v>
      </c>
      <c r="M84" s="15">
        <f>LCOE!Q110+M83+M83*LCOE!J$24</f>
        <v>1</v>
      </c>
      <c r="N84" s="15">
        <f>LCOE!R110+N83-N83*LCOE!J$25</f>
        <v>1</v>
      </c>
      <c r="O84" s="18">
        <f>LCOE!S110+LCOE!J$29</f>
        <v>313.75</v>
      </c>
      <c r="P84" s="12">
        <f>LCOE!T110+IF(A84&gt;=LCOE!J$30,100%,0%)</f>
        <v>1</v>
      </c>
      <c r="Q84" s="16">
        <f>LCOE!U110+O84/1000*IF(LCOE!J$14&gt;0,G84,H84)</f>
        <v>1236802.5</v>
      </c>
      <c r="R84" s="16">
        <f>LCOE!B110</f>
        <v>30</v>
      </c>
      <c r="S84" s="16">
        <f>LCOE!V110+Q84*P84*R84</f>
        <v>37104075</v>
      </c>
      <c r="T84" s="16">
        <f>LCOE!W110+LCOE!J$31</f>
        <v>0</v>
      </c>
      <c r="U84" s="16">
        <f>LCOE!X110+T84*IF(LCOE!J$14&gt;0,G84,H84)</f>
        <v>0</v>
      </c>
      <c r="V84" s="16">
        <f>LCOE!Y110+LCOE!J$32</f>
        <v>0</v>
      </c>
      <c r="W84" s="16">
        <f>LCOE!Z110+V84*IF(LCOE!J$14&gt;0,G84,H84)</f>
        <v>0</v>
      </c>
      <c r="X84" s="16">
        <f>LCOE!AA110+LCOE!J$34</f>
        <v>101</v>
      </c>
      <c r="Y84" s="16">
        <f t="shared" si="15"/>
        <v>0</v>
      </c>
      <c r="Z84" s="50">
        <f t="shared" si="18"/>
        <v>0</v>
      </c>
      <c r="AA84" s="50">
        <f t="shared" si="19"/>
        <v>20000000</v>
      </c>
      <c r="AB84" s="50">
        <f t="shared" si="20"/>
        <v>168165720</v>
      </c>
      <c r="AC84" s="50">
        <f t="shared" si="16"/>
        <v>0</v>
      </c>
      <c r="AD84" s="50">
        <f t="shared" si="11"/>
        <v>37104075</v>
      </c>
      <c r="AE84">
        <f t="shared" si="17"/>
        <v>14</v>
      </c>
      <c r="AF84" s="12">
        <f>LCOE!E110+LCOE!J$40</f>
        <v>0.12</v>
      </c>
      <c r="AG84">
        <f t="shared" si="12"/>
        <v>4.8871122850509314</v>
      </c>
      <c r="AH84" s="16">
        <f t="shared" si="7"/>
        <v>0</v>
      </c>
      <c r="AI84" s="16">
        <f t="shared" si="8"/>
        <v>4092396.2523180638</v>
      </c>
      <c r="AJ84" s="16">
        <f t="shared" si="9"/>
        <v>34410038.114818439</v>
      </c>
      <c r="AK84" s="16">
        <f t="shared" si="10"/>
        <v>0</v>
      </c>
      <c r="AL84" s="16">
        <f t="shared" si="13"/>
        <v>7592228.8737864178</v>
      </c>
      <c r="AM84" s="16">
        <f t="shared" si="14"/>
        <v>0</v>
      </c>
      <c r="AN84" s="16">
        <f>IF(LCOE!J$14&gt;0,G84,H84)/AG84</f>
        <v>806611.30133189028</v>
      </c>
    </row>
    <row r="85" spans="1:40">
      <c r="A85">
        <v>15</v>
      </c>
      <c r="C85" s="16">
        <f>LCOE!J111+IF(AND(LCOE!J$26&gt;0,A85&gt;=LCOE!J$26,A85&lt;=(LCOE!J$26+LCOE!J$27-1)),LCOE!J$42/LCOE!J$27,0)+IF(AND(D85=0,AE85&gt;=LCOE!J$16,COUNTIF(D60:D85,0)=LCOE!J$36),LCOE!J$35*LCOE!J$38,0)</f>
        <v>0</v>
      </c>
      <c r="D85" s="16">
        <f>IF(AE84&lt;LCOE!J$16,1,0)</f>
        <v>1</v>
      </c>
      <c r="E85" s="12">
        <f>LCOE!G111+IF(AND(A85&gt;=LCOE!J$26,A85&lt;=(LCOE!J$26+LCOE!J$27-1)),0,1)*IF(A85=LCOE!J$34,0,1)*D85</f>
        <v>1</v>
      </c>
      <c r="F85" s="12">
        <f>IF(F84&lt;LCOE!J$18,MIN(F84*(1+LCOE!J$19),LCOE!J$18),LCOE!J$18)+LCOE!J111</f>
        <v>0.9</v>
      </c>
      <c r="G85" s="16">
        <f>LCOE!K111+E85*F85*N85*(LCOE!J$14+LCOE!H111)*24*365*D85</f>
        <v>3942000</v>
      </c>
      <c r="H85" s="16">
        <f>LCOE!L111+F85*(LCOE!J$15+LCOE!I111)*E85*24*365*D85*N85</f>
        <v>0</v>
      </c>
      <c r="I85" s="16">
        <f>LCOE!M111+LCOE!J$20*IF(LCOE!J$14&gt;0,(LCOE!J$14+LCOE!H111),(LCOE!J$15+LCOE!I111))*K85*D85</f>
        <v>20000000</v>
      </c>
      <c r="J85" s="16">
        <f>LCOE!N111+LCOE!J$21*IF(LCOE!J$14&gt;0,G85,H85)*K85*D85</f>
        <v>0</v>
      </c>
      <c r="K85" s="15">
        <f>LCOE!O111+K84+K84*LCOE!J$22</f>
        <v>1</v>
      </c>
      <c r="L85" s="16">
        <f>LCOE!P111+LCOE!J$23*IF(LCOE!J$14&gt;0,G85,H85)*M85*D85</f>
        <v>168165720</v>
      </c>
      <c r="M85" s="15">
        <f>LCOE!Q111+M84+M84*LCOE!J$24</f>
        <v>1</v>
      </c>
      <c r="N85" s="15">
        <f>LCOE!R111+N84-N84*LCOE!J$25</f>
        <v>1</v>
      </c>
      <c r="O85" s="18">
        <f>LCOE!S111+LCOE!J$29</f>
        <v>313.75</v>
      </c>
      <c r="P85" s="12">
        <f>LCOE!T111+IF(A85&gt;=LCOE!J$30,100%,0%)</f>
        <v>1</v>
      </c>
      <c r="Q85" s="16">
        <f>LCOE!U111+O85/1000*IF(LCOE!J$14&gt;0,G85,H85)</f>
        <v>1236802.5</v>
      </c>
      <c r="R85" s="16">
        <f>LCOE!B111</f>
        <v>30</v>
      </c>
      <c r="S85" s="16">
        <f>LCOE!V111+Q85*P85*R85</f>
        <v>37104075</v>
      </c>
      <c r="T85" s="16">
        <f>LCOE!W111+LCOE!J$31</f>
        <v>0</v>
      </c>
      <c r="U85" s="16">
        <f>LCOE!X111+T85*IF(LCOE!J$14&gt;0,G85,H85)</f>
        <v>0</v>
      </c>
      <c r="V85" s="16">
        <f>LCOE!Y111+LCOE!J$32</f>
        <v>0</v>
      </c>
      <c r="W85" s="16">
        <f>LCOE!Z111+V85*IF(LCOE!J$14&gt;0,G85,H85)</f>
        <v>0</v>
      </c>
      <c r="X85" s="16">
        <f>LCOE!AA111+LCOE!J$34</f>
        <v>101</v>
      </c>
      <c r="Y85" s="16">
        <f t="shared" si="15"/>
        <v>0</v>
      </c>
      <c r="Z85" s="50">
        <f t="shared" si="18"/>
        <v>0</v>
      </c>
      <c r="AA85" s="50">
        <f t="shared" si="19"/>
        <v>20000000</v>
      </c>
      <c r="AB85" s="50">
        <f t="shared" si="20"/>
        <v>168165720</v>
      </c>
      <c r="AC85" s="50">
        <f t="shared" si="16"/>
        <v>0</v>
      </c>
      <c r="AD85" s="50">
        <f t="shared" si="11"/>
        <v>37104075</v>
      </c>
      <c r="AE85">
        <f t="shared" si="17"/>
        <v>15</v>
      </c>
      <c r="AF85" s="12">
        <f>LCOE!E111+LCOE!J$40</f>
        <v>0.12</v>
      </c>
      <c r="AG85">
        <f t="shared" si="12"/>
        <v>5.4735657592570428</v>
      </c>
      <c r="AH85" s="16">
        <f t="shared" si="7"/>
        <v>0</v>
      </c>
      <c r="AI85" s="16">
        <f t="shared" si="8"/>
        <v>3653925.2252839855</v>
      </c>
      <c r="AJ85" s="16">
        <f t="shared" si="9"/>
        <v>30723248.316802181</v>
      </c>
      <c r="AK85" s="16">
        <f t="shared" si="10"/>
        <v>0</v>
      </c>
      <c r="AL85" s="16">
        <f t="shared" si="13"/>
        <v>6778775.7801664453</v>
      </c>
      <c r="AM85" s="16">
        <f t="shared" si="14"/>
        <v>0</v>
      </c>
      <c r="AN85" s="16">
        <f>IF(LCOE!J$14&gt;0,G85,H85)/AG85</f>
        <v>720188.66190347355</v>
      </c>
    </row>
    <row r="86" spans="1:40">
      <c r="A86">
        <v>16</v>
      </c>
      <c r="C86" s="16">
        <f>LCOE!J112+IF(AND(LCOE!J$26&gt;0,A86&gt;=LCOE!J$26,A86&lt;=(LCOE!J$26+LCOE!J$27-1)),LCOE!J$42/LCOE!J$27,0)+IF(AND(D86=0,AE86&gt;=LCOE!J$16,COUNTIF(D61:D86,0)=LCOE!J$36),LCOE!J$35*LCOE!J$38,0)</f>
        <v>0</v>
      </c>
      <c r="D86" s="16">
        <f>IF(AE85&lt;LCOE!J$16,1,0)</f>
        <v>1</v>
      </c>
      <c r="E86" s="12">
        <f>LCOE!G112+IF(AND(A86&gt;=LCOE!J$26,A86&lt;=(LCOE!J$26+LCOE!J$27-1)),0,1)*IF(A86=LCOE!J$34,0,1)*D86</f>
        <v>1</v>
      </c>
      <c r="F86" s="12">
        <f>IF(F85&lt;LCOE!J$18,MIN(F85*(1+LCOE!J$19),LCOE!J$18),LCOE!J$18)+LCOE!J112</f>
        <v>0.9</v>
      </c>
      <c r="G86" s="16">
        <f>LCOE!K112+E86*F86*N86*(LCOE!J$14+LCOE!H112)*24*365*D86</f>
        <v>3942000</v>
      </c>
      <c r="H86" s="16">
        <f>LCOE!L112+F86*(LCOE!J$15+LCOE!I112)*E86*24*365*D86*N86</f>
        <v>0</v>
      </c>
      <c r="I86" s="16">
        <f>LCOE!M112+LCOE!J$20*IF(LCOE!J$14&gt;0,(LCOE!J$14+LCOE!H112),(LCOE!J$15+LCOE!I112))*K86*D86</f>
        <v>20000000</v>
      </c>
      <c r="J86" s="16">
        <f>LCOE!N112+LCOE!J$21*IF(LCOE!J$14&gt;0,G86,H86)*K86*D86</f>
        <v>0</v>
      </c>
      <c r="K86" s="15">
        <f>LCOE!O112+K85+K85*LCOE!J$22</f>
        <v>1</v>
      </c>
      <c r="L86" s="16">
        <f>LCOE!P112+LCOE!J$23*IF(LCOE!J$14&gt;0,G86,H86)*M86*D86</f>
        <v>168165720</v>
      </c>
      <c r="M86" s="15">
        <f>LCOE!Q112+M85+M85*LCOE!J$24</f>
        <v>1</v>
      </c>
      <c r="N86" s="15">
        <f>LCOE!R112+N85-N85*LCOE!J$25</f>
        <v>1</v>
      </c>
      <c r="O86" s="18">
        <f>LCOE!S112+LCOE!J$29</f>
        <v>313.75</v>
      </c>
      <c r="P86" s="12">
        <f>LCOE!T112+IF(A86&gt;=LCOE!J$30,100%,0%)</f>
        <v>1</v>
      </c>
      <c r="Q86" s="16">
        <f>LCOE!U112+O86/1000*IF(LCOE!J$14&gt;0,G86,H86)</f>
        <v>1236802.5</v>
      </c>
      <c r="R86" s="16">
        <f>LCOE!B112</f>
        <v>30</v>
      </c>
      <c r="S86" s="16">
        <f>LCOE!V112+Q86*P86*R86</f>
        <v>37104075</v>
      </c>
      <c r="T86" s="16">
        <f>LCOE!W112+LCOE!J$31</f>
        <v>0</v>
      </c>
      <c r="U86" s="16">
        <f>LCOE!X112+T86*IF(LCOE!J$14&gt;0,G86,H86)</f>
        <v>0</v>
      </c>
      <c r="V86" s="16">
        <f>LCOE!Y112+LCOE!J$32</f>
        <v>0</v>
      </c>
      <c r="W86" s="16">
        <f>LCOE!Z112+V86*IF(LCOE!J$14&gt;0,G86,H86)</f>
        <v>0</v>
      </c>
      <c r="X86" s="16">
        <f>LCOE!AA112+LCOE!J$34</f>
        <v>101</v>
      </c>
      <c r="Y86" s="16">
        <f t="shared" si="15"/>
        <v>0</v>
      </c>
      <c r="Z86" s="50">
        <f t="shared" si="18"/>
        <v>0</v>
      </c>
      <c r="AA86" s="50">
        <f t="shared" si="19"/>
        <v>20000000</v>
      </c>
      <c r="AB86" s="50">
        <f t="shared" si="20"/>
        <v>168165720</v>
      </c>
      <c r="AC86" s="50">
        <f t="shared" si="16"/>
        <v>0</v>
      </c>
      <c r="AD86" s="50">
        <f t="shared" si="11"/>
        <v>37104075</v>
      </c>
      <c r="AE86">
        <f t="shared" si="17"/>
        <v>16</v>
      </c>
      <c r="AF86" s="12">
        <f>LCOE!E112+LCOE!J$40</f>
        <v>0.12</v>
      </c>
      <c r="AG86">
        <f t="shared" si="12"/>
        <v>6.1303936503678891</v>
      </c>
      <c r="AH86" s="16">
        <f t="shared" si="7"/>
        <v>0</v>
      </c>
      <c r="AI86" s="16">
        <f t="shared" si="8"/>
        <v>3262433.2368607009</v>
      </c>
      <c r="AJ86" s="16">
        <f t="shared" si="9"/>
        <v>27431471.711430516</v>
      </c>
      <c r="AK86" s="16">
        <f t="shared" si="10"/>
        <v>0</v>
      </c>
      <c r="AL86" s="16">
        <f t="shared" si="13"/>
        <v>6052478.3751486102</v>
      </c>
      <c r="AM86" s="16">
        <f t="shared" si="14"/>
        <v>0</v>
      </c>
      <c r="AN86" s="16">
        <f>IF(LCOE!J$14&gt;0,G86,H86)/AG86</f>
        <v>643025.59098524414</v>
      </c>
    </row>
    <row r="87" spans="1:40">
      <c r="A87">
        <v>17</v>
      </c>
      <c r="C87" s="16">
        <f>LCOE!J113+IF(AND(LCOE!J$26&gt;0,A87&gt;=LCOE!J$26,A87&lt;=(LCOE!J$26+LCOE!J$27-1)),LCOE!J$42/LCOE!J$27,0)+IF(AND(D87=0,AE87&gt;=LCOE!J$16,COUNTIF(D62:D87,0)=LCOE!J$36),LCOE!J$35*LCOE!J$38,0)</f>
        <v>0</v>
      </c>
      <c r="D87" s="16">
        <f>IF(AE86&lt;LCOE!J$16,1,0)</f>
        <v>1</v>
      </c>
      <c r="E87" s="12">
        <f>LCOE!G113+IF(AND(A87&gt;=LCOE!J$26,A87&lt;=(LCOE!J$26+LCOE!J$27-1)),0,1)*IF(A87=LCOE!J$34,0,1)*D87</f>
        <v>1</v>
      </c>
      <c r="F87" s="12">
        <f>IF(F86&lt;LCOE!J$18,MIN(F86*(1+LCOE!J$19),LCOE!J$18),LCOE!J$18)+LCOE!J113</f>
        <v>0.9</v>
      </c>
      <c r="G87" s="16">
        <f>LCOE!K113+E87*F87*N87*(LCOE!J$14+LCOE!H113)*24*365*D87</f>
        <v>3942000</v>
      </c>
      <c r="H87" s="16">
        <f>LCOE!L113+F87*(LCOE!J$15+LCOE!I113)*E87*24*365*D87*N87</f>
        <v>0</v>
      </c>
      <c r="I87" s="16">
        <f>LCOE!M113+LCOE!J$20*IF(LCOE!J$14&gt;0,(LCOE!J$14+LCOE!H113),(LCOE!J$15+LCOE!I113))*K87*D87</f>
        <v>20000000</v>
      </c>
      <c r="J87" s="16">
        <f>LCOE!N113+LCOE!J$21*IF(LCOE!J$14&gt;0,G87,H87)*K87*D87</f>
        <v>0</v>
      </c>
      <c r="K87" s="15">
        <f>LCOE!O113+K86+K86*LCOE!J$22</f>
        <v>1</v>
      </c>
      <c r="L87" s="16">
        <f>LCOE!P113+LCOE!J$23*IF(LCOE!J$14&gt;0,G87,H87)*M87*D87</f>
        <v>168165720</v>
      </c>
      <c r="M87" s="15">
        <f>LCOE!Q113+M86+M86*LCOE!J$24</f>
        <v>1</v>
      </c>
      <c r="N87" s="15">
        <f>LCOE!R113+N86-N86*LCOE!J$25</f>
        <v>1</v>
      </c>
      <c r="O87" s="18">
        <f>LCOE!S113+LCOE!J$29</f>
        <v>313.75</v>
      </c>
      <c r="P87" s="12">
        <f>LCOE!T113+IF(A87&gt;=LCOE!J$30,100%,0%)</f>
        <v>1</v>
      </c>
      <c r="Q87" s="16">
        <f>LCOE!U113+O87/1000*IF(LCOE!J$14&gt;0,G87,H87)</f>
        <v>1236802.5</v>
      </c>
      <c r="R87" s="16">
        <f>LCOE!B113</f>
        <v>30</v>
      </c>
      <c r="S87" s="16">
        <f>LCOE!V113+Q87*P87*R87</f>
        <v>37104075</v>
      </c>
      <c r="T87" s="16">
        <f>LCOE!W113+LCOE!J$31</f>
        <v>0</v>
      </c>
      <c r="U87" s="16">
        <f>LCOE!X113+T87*IF(LCOE!J$14&gt;0,G87,H87)</f>
        <v>0</v>
      </c>
      <c r="V87" s="16">
        <f>LCOE!Y113+LCOE!J$32</f>
        <v>0</v>
      </c>
      <c r="W87" s="16">
        <f>LCOE!Z113+V87*IF(LCOE!J$14&gt;0,G87,H87)</f>
        <v>0</v>
      </c>
      <c r="X87" s="16">
        <f>LCOE!AA113+LCOE!J$34</f>
        <v>101</v>
      </c>
      <c r="Y87" s="16">
        <f t="shared" si="15"/>
        <v>0</v>
      </c>
      <c r="Z87" s="50">
        <f t="shared" si="18"/>
        <v>0</v>
      </c>
      <c r="AA87" s="50">
        <f t="shared" si="19"/>
        <v>20000000</v>
      </c>
      <c r="AB87" s="50">
        <f t="shared" si="20"/>
        <v>168165720</v>
      </c>
      <c r="AC87" s="50">
        <f t="shared" si="16"/>
        <v>0</v>
      </c>
      <c r="AD87" s="50">
        <f t="shared" si="11"/>
        <v>37104075</v>
      </c>
      <c r="AE87">
        <f t="shared" si="17"/>
        <v>17</v>
      </c>
      <c r="AF87" s="12">
        <f>LCOE!E113+LCOE!J$40</f>
        <v>0.12</v>
      </c>
      <c r="AG87">
        <f t="shared" si="12"/>
        <v>6.8660408884120363</v>
      </c>
      <c r="AH87" s="16">
        <f t="shared" si="7"/>
        <v>0</v>
      </c>
      <c r="AI87" s="16">
        <f t="shared" si="8"/>
        <v>2912886.8186256257</v>
      </c>
      <c r="AJ87" s="16">
        <f t="shared" si="9"/>
        <v>24492385.456634387</v>
      </c>
      <c r="AK87" s="16">
        <f t="shared" si="10"/>
        <v>0</v>
      </c>
      <c r="AL87" s="16">
        <f t="shared" si="13"/>
        <v>5403998.5492398301</v>
      </c>
      <c r="AM87" s="16">
        <f t="shared" si="14"/>
        <v>0</v>
      </c>
      <c r="AN87" s="16">
        <f>IF(LCOE!J$14&gt;0,G87,H87)/AG87</f>
        <v>574129.99195111077</v>
      </c>
    </row>
    <row r="88" spans="1:40">
      <c r="A88">
        <v>18</v>
      </c>
      <c r="C88" s="16">
        <f>LCOE!J114+IF(AND(LCOE!J$26&gt;0,A88&gt;=LCOE!J$26,A88&lt;=(LCOE!J$26+LCOE!J$27-1)),LCOE!J$42/LCOE!J$27,0)+IF(AND(D88=0,AE88&gt;=LCOE!J$16,COUNTIF(D63:D88,0)=LCOE!J$36),LCOE!J$35*LCOE!J$38,0)</f>
        <v>0</v>
      </c>
      <c r="D88" s="16">
        <f>IF(AE87&lt;LCOE!J$16,1,0)</f>
        <v>1</v>
      </c>
      <c r="E88" s="12">
        <f>LCOE!G114+IF(AND(A88&gt;=LCOE!J$26,A88&lt;=(LCOE!J$26+LCOE!J$27-1)),0,1)*IF(A88=LCOE!J$34,0,1)*D88</f>
        <v>1</v>
      </c>
      <c r="F88" s="12">
        <f>IF(F87&lt;LCOE!J$18,MIN(F87*(1+LCOE!J$19),LCOE!J$18),LCOE!J$18)+LCOE!J114</f>
        <v>0.9</v>
      </c>
      <c r="G88" s="16">
        <f>LCOE!K114+E88*F88*N88*(LCOE!J$14+LCOE!H114)*24*365*D88</f>
        <v>3942000</v>
      </c>
      <c r="H88" s="16">
        <f>LCOE!L114+F88*(LCOE!J$15+LCOE!I114)*E88*24*365*D88*N88</f>
        <v>0</v>
      </c>
      <c r="I88" s="16">
        <f>LCOE!M114+LCOE!J$20*IF(LCOE!J$14&gt;0,(LCOE!J$14+LCOE!H114),(LCOE!J$15+LCOE!I114))*K88*D88</f>
        <v>20000000</v>
      </c>
      <c r="J88" s="16">
        <f>LCOE!N114+LCOE!J$21*IF(LCOE!J$14&gt;0,G88,H88)*K88*D88</f>
        <v>0</v>
      </c>
      <c r="K88" s="15">
        <f>LCOE!O114+K87+K87*LCOE!J$22</f>
        <v>1</v>
      </c>
      <c r="L88" s="16">
        <f>LCOE!P114+LCOE!J$23*IF(LCOE!J$14&gt;0,G88,H88)*M88*D88</f>
        <v>168165720</v>
      </c>
      <c r="M88" s="15">
        <f>LCOE!Q114+M87+M87*LCOE!J$24</f>
        <v>1</v>
      </c>
      <c r="N88" s="15">
        <f>LCOE!R114+N87-N87*LCOE!J$25</f>
        <v>1</v>
      </c>
      <c r="O88" s="18">
        <f>LCOE!S114+LCOE!J$29</f>
        <v>313.75</v>
      </c>
      <c r="P88" s="12">
        <f>LCOE!T114+IF(A88&gt;=LCOE!J$30,100%,0%)</f>
        <v>1</v>
      </c>
      <c r="Q88" s="16">
        <f>LCOE!U114+O88/1000*IF(LCOE!J$14&gt;0,G88,H88)</f>
        <v>1236802.5</v>
      </c>
      <c r="R88" s="16">
        <f>LCOE!B114</f>
        <v>30</v>
      </c>
      <c r="S88" s="16">
        <f>LCOE!V114+Q88*P88*R88</f>
        <v>37104075</v>
      </c>
      <c r="T88" s="16">
        <f>LCOE!W114+LCOE!J$31</f>
        <v>0</v>
      </c>
      <c r="U88" s="16">
        <f>LCOE!X114+T88*IF(LCOE!J$14&gt;0,G88,H88)</f>
        <v>0</v>
      </c>
      <c r="V88" s="16">
        <f>LCOE!Y114+LCOE!J$32</f>
        <v>0</v>
      </c>
      <c r="W88" s="16">
        <f>LCOE!Z114+V88*IF(LCOE!J$14&gt;0,G88,H88)</f>
        <v>0</v>
      </c>
      <c r="X88" s="16">
        <f>LCOE!AA114+LCOE!J$34</f>
        <v>101</v>
      </c>
      <c r="Y88" s="16">
        <f t="shared" si="15"/>
        <v>0</v>
      </c>
      <c r="Z88" s="50">
        <f t="shared" si="18"/>
        <v>0</v>
      </c>
      <c r="AA88" s="50">
        <f t="shared" si="19"/>
        <v>20000000</v>
      </c>
      <c r="AB88" s="50">
        <f t="shared" si="20"/>
        <v>168165720</v>
      </c>
      <c r="AC88" s="50">
        <f t="shared" si="16"/>
        <v>0</v>
      </c>
      <c r="AD88" s="50">
        <f t="shared" si="11"/>
        <v>37104075</v>
      </c>
      <c r="AE88">
        <f t="shared" si="17"/>
        <v>18</v>
      </c>
      <c r="AF88" s="12">
        <f>LCOE!E114+LCOE!J$40</f>
        <v>0.12</v>
      </c>
      <c r="AG88">
        <f t="shared" si="12"/>
        <v>7.6899657950214815</v>
      </c>
      <c r="AH88" s="16">
        <f t="shared" si="7"/>
        <v>0</v>
      </c>
      <c r="AI88" s="16">
        <f t="shared" si="8"/>
        <v>2600791.8023443082</v>
      </c>
      <c r="AJ88" s="16">
        <f t="shared" si="9"/>
        <v>21868201.300566413</v>
      </c>
      <c r="AK88" s="16">
        <f t="shared" si="10"/>
        <v>0</v>
      </c>
      <c r="AL88" s="16">
        <f t="shared" si="13"/>
        <v>4824998.704678419</v>
      </c>
      <c r="AM88" s="16">
        <f t="shared" si="14"/>
        <v>0</v>
      </c>
      <c r="AN88" s="16">
        <f>IF(LCOE!J$14&gt;0,G88,H88)/AG88</f>
        <v>512616.06424206315</v>
      </c>
    </row>
    <row r="89" spans="1:40">
      <c r="A89">
        <v>19</v>
      </c>
      <c r="C89" s="16">
        <f>LCOE!J115+IF(AND(LCOE!J$26&gt;0,A89&gt;=LCOE!J$26,A89&lt;=(LCOE!J$26+LCOE!J$27-1)),LCOE!J$42/LCOE!J$27,0)+IF(AND(D89=0,AE89&gt;=LCOE!J$16,COUNTIF(D64:D89,0)=LCOE!J$36),LCOE!J$35*LCOE!J$38,0)</f>
        <v>0</v>
      </c>
      <c r="D89" s="16">
        <f>IF(AE88&lt;LCOE!J$16,1,0)</f>
        <v>1</v>
      </c>
      <c r="E89" s="12">
        <f>LCOE!G115+IF(AND(A89&gt;=LCOE!J$26,A89&lt;=(LCOE!J$26+LCOE!J$27-1)),0,1)*IF(A89=LCOE!J$34,0,1)*D89</f>
        <v>1</v>
      </c>
      <c r="F89" s="12">
        <f>IF(F88&lt;LCOE!J$18,MIN(F88*(1+LCOE!J$19),LCOE!J$18),LCOE!J$18)+LCOE!J115</f>
        <v>0.9</v>
      </c>
      <c r="G89" s="16">
        <f>LCOE!K115+E89*F89*N89*(LCOE!J$14+LCOE!H115)*24*365*D89</f>
        <v>3942000</v>
      </c>
      <c r="H89" s="16">
        <f>LCOE!L115+F89*(LCOE!J$15+LCOE!I115)*E89*24*365*D89*N89</f>
        <v>0</v>
      </c>
      <c r="I89" s="16">
        <f>LCOE!M115+LCOE!J$20*IF(LCOE!J$14&gt;0,(LCOE!J$14+LCOE!H115),(LCOE!J$15+LCOE!I115))*K89*D89</f>
        <v>20000000</v>
      </c>
      <c r="J89" s="16">
        <f>LCOE!N115+LCOE!J$21*IF(LCOE!J$14&gt;0,G89,H89)*K89*D89</f>
        <v>0</v>
      </c>
      <c r="K89" s="15">
        <f>LCOE!O115+K88+K88*LCOE!J$22</f>
        <v>1</v>
      </c>
      <c r="L89" s="16">
        <f>LCOE!P115+LCOE!J$23*IF(LCOE!J$14&gt;0,G89,H89)*M89*D89</f>
        <v>168165720</v>
      </c>
      <c r="M89" s="15">
        <f>LCOE!Q115+M88+M88*LCOE!J$24</f>
        <v>1</v>
      </c>
      <c r="N89" s="15">
        <f>LCOE!R115+N88-N88*LCOE!J$25</f>
        <v>1</v>
      </c>
      <c r="O89" s="18">
        <f>LCOE!S115+LCOE!J$29</f>
        <v>313.75</v>
      </c>
      <c r="P89" s="12">
        <f>LCOE!T115+IF(A89&gt;=LCOE!J$30,100%,0%)</f>
        <v>1</v>
      </c>
      <c r="Q89" s="16">
        <f>LCOE!U115+O89/1000*IF(LCOE!J$14&gt;0,G89,H89)</f>
        <v>1236802.5</v>
      </c>
      <c r="R89" s="16">
        <f>LCOE!B115</f>
        <v>30</v>
      </c>
      <c r="S89" s="16">
        <f>LCOE!V115+Q89*P89*R89</f>
        <v>37104075</v>
      </c>
      <c r="T89" s="16">
        <f>LCOE!W115+LCOE!J$31</f>
        <v>0</v>
      </c>
      <c r="U89" s="16">
        <f>LCOE!X115+T89*IF(LCOE!J$14&gt;0,G89,H89)</f>
        <v>0</v>
      </c>
      <c r="V89" s="16">
        <f>LCOE!Y115+LCOE!J$32</f>
        <v>0</v>
      </c>
      <c r="W89" s="16">
        <f>LCOE!Z115+V89*IF(LCOE!J$14&gt;0,G89,H89)</f>
        <v>0</v>
      </c>
      <c r="X89" s="16">
        <f>LCOE!AA115+LCOE!J$34</f>
        <v>101</v>
      </c>
      <c r="Y89" s="16">
        <f t="shared" si="15"/>
        <v>0</v>
      </c>
      <c r="Z89" s="50">
        <f t="shared" si="18"/>
        <v>0</v>
      </c>
      <c r="AA89" s="50">
        <f t="shared" si="19"/>
        <v>20000000</v>
      </c>
      <c r="AB89" s="50">
        <f t="shared" si="20"/>
        <v>168165720</v>
      </c>
      <c r="AC89" s="50">
        <f t="shared" si="16"/>
        <v>0</v>
      </c>
      <c r="AD89" s="50">
        <f t="shared" si="11"/>
        <v>37104075</v>
      </c>
      <c r="AE89">
        <f t="shared" si="17"/>
        <v>19</v>
      </c>
      <c r="AF89" s="12">
        <f>LCOE!E115+LCOE!J$40</f>
        <v>0.12</v>
      </c>
      <c r="AG89">
        <f t="shared" si="12"/>
        <v>8.61276169042406</v>
      </c>
      <c r="AH89" s="16">
        <f t="shared" si="7"/>
        <v>0</v>
      </c>
      <c r="AI89" s="16">
        <f t="shared" si="8"/>
        <v>2322135.537807418</v>
      </c>
      <c r="AJ89" s="16">
        <f t="shared" si="9"/>
        <v>19525179.732648581</v>
      </c>
      <c r="AK89" s="16">
        <f t="shared" si="10"/>
        <v>0</v>
      </c>
      <c r="AL89" s="16">
        <f t="shared" si="13"/>
        <v>4308034.5577485887</v>
      </c>
      <c r="AM89" s="16">
        <f t="shared" si="14"/>
        <v>0</v>
      </c>
      <c r="AN89" s="16">
        <f>IF(LCOE!J$14&gt;0,G89,H89)/AG89</f>
        <v>457692.91450184205</v>
      </c>
    </row>
    <row r="90" spans="1:40">
      <c r="A90">
        <v>20</v>
      </c>
      <c r="C90" s="16">
        <f>LCOE!J116+IF(AND(LCOE!J$26&gt;0,A90&gt;=LCOE!J$26,A90&lt;=(LCOE!J$26+LCOE!J$27-1)),LCOE!J$42/LCOE!J$27,0)+IF(AND(D90=0,AE90&gt;=LCOE!J$16,COUNTIF(D65:D90,0)=LCOE!J$36),LCOE!J$35*LCOE!J$38,0)</f>
        <v>0</v>
      </c>
      <c r="D90" s="16">
        <f>IF(AE89&lt;LCOE!J$16,1,0)</f>
        <v>1</v>
      </c>
      <c r="E90" s="12">
        <f>LCOE!G116+IF(AND(A90&gt;=LCOE!J$26,A90&lt;=(LCOE!J$26+LCOE!J$27-1)),0,1)*IF(A90=LCOE!J$34,0,1)*D90</f>
        <v>1</v>
      </c>
      <c r="F90" s="12">
        <f>IF(F89&lt;LCOE!J$18,MIN(F89*(1+LCOE!J$19),LCOE!J$18),LCOE!J$18)+LCOE!J116</f>
        <v>0.9</v>
      </c>
      <c r="G90" s="16">
        <f>LCOE!K116+E90*F90*N90*(LCOE!J$14+LCOE!H116)*24*365*D90</f>
        <v>3942000</v>
      </c>
      <c r="H90" s="16">
        <f>LCOE!L116+F90*(LCOE!J$15+LCOE!I116)*E90*24*365*D90*N90</f>
        <v>0</v>
      </c>
      <c r="I90" s="16">
        <f>LCOE!M116+LCOE!J$20*IF(LCOE!J$14&gt;0,(LCOE!J$14+LCOE!H116),(LCOE!J$15+LCOE!I116))*K90*D90</f>
        <v>20000000</v>
      </c>
      <c r="J90" s="16">
        <f>LCOE!N116+LCOE!J$21*IF(LCOE!J$14&gt;0,G90,H90)*K90*D90</f>
        <v>0</v>
      </c>
      <c r="K90" s="15">
        <f>LCOE!O116+K89+K89*LCOE!J$22</f>
        <v>1</v>
      </c>
      <c r="L90" s="16">
        <f>LCOE!P116+LCOE!J$23*IF(LCOE!J$14&gt;0,G90,H90)*M90*D90</f>
        <v>168165720</v>
      </c>
      <c r="M90" s="15">
        <f>LCOE!Q116+M89+M89*LCOE!J$24</f>
        <v>1</v>
      </c>
      <c r="N90" s="15">
        <f>LCOE!R116+N89-N89*LCOE!J$25</f>
        <v>1</v>
      </c>
      <c r="O90" s="18">
        <f>LCOE!S116+LCOE!J$29</f>
        <v>313.75</v>
      </c>
      <c r="P90" s="12">
        <f>LCOE!T116+IF(A90&gt;=LCOE!J$30,100%,0%)</f>
        <v>1</v>
      </c>
      <c r="Q90" s="16">
        <f>LCOE!U116+O90/1000*IF(LCOE!J$14&gt;0,G90,H90)</f>
        <v>1236802.5</v>
      </c>
      <c r="R90" s="16">
        <f>LCOE!B116</f>
        <v>30</v>
      </c>
      <c r="S90" s="16">
        <f>LCOE!V116+Q90*P90*R90</f>
        <v>37104075</v>
      </c>
      <c r="T90" s="16">
        <f>LCOE!W116+LCOE!J$31</f>
        <v>0</v>
      </c>
      <c r="U90" s="16">
        <f>LCOE!X116+T90*IF(LCOE!J$14&gt;0,G90,H90)</f>
        <v>0</v>
      </c>
      <c r="V90" s="16">
        <f>LCOE!Y116+LCOE!J$32</f>
        <v>0</v>
      </c>
      <c r="W90" s="16">
        <f>LCOE!Z116+V90*IF(LCOE!J$14&gt;0,G90,H90)</f>
        <v>0</v>
      </c>
      <c r="X90" s="16">
        <f>LCOE!AA116+LCOE!J$34</f>
        <v>101</v>
      </c>
      <c r="Y90" s="16">
        <f t="shared" si="15"/>
        <v>0</v>
      </c>
      <c r="Z90" s="50">
        <f t="shared" si="18"/>
        <v>0</v>
      </c>
      <c r="AA90" s="50">
        <f t="shared" si="19"/>
        <v>20000000</v>
      </c>
      <c r="AB90" s="50">
        <f t="shared" si="20"/>
        <v>168165720</v>
      </c>
      <c r="AC90" s="50">
        <f t="shared" si="16"/>
        <v>0</v>
      </c>
      <c r="AD90" s="50">
        <f t="shared" si="11"/>
        <v>37104075</v>
      </c>
      <c r="AE90">
        <f t="shared" si="17"/>
        <v>20</v>
      </c>
      <c r="AF90" s="12">
        <f>LCOE!E116+LCOE!J$40</f>
        <v>0.12</v>
      </c>
      <c r="AG90">
        <f t="shared" si="12"/>
        <v>9.6462930932749469</v>
      </c>
      <c r="AH90" s="16">
        <f t="shared" si="7"/>
        <v>0</v>
      </c>
      <c r="AI90" s="16">
        <f t="shared" si="8"/>
        <v>2073335.301613766</v>
      </c>
      <c r="AJ90" s="16">
        <f t="shared" si="9"/>
        <v>17433196.189864807</v>
      </c>
      <c r="AK90" s="16">
        <f t="shared" si="10"/>
        <v>0</v>
      </c>
      <c r="AL90" s="16">
        <f t="shared" si="13"/>
        <v>3846459.4265612396</v>
      </c>
      <c r="AM90" s="16">
        <f t="shared" si="14"/>
        <v>0</v>
      </c>
      <c r="AN90" s="16">
        <f>IF(LCOE!J$14&gt;0,G90,H90)/AG90</f>
        <v>408654.38794807327</v>
      </c>
    </row>
    <row r="91" spans="1:40">
      <c r="A91">
        <v>21</v>
      </c>
      <c r="C91" s="16">
        <f>LCOE!J117+IF(AND(LCOE!J$26&gt;0,A91&gt;=LCOE!J$26,A91&lt;=(LCOE!J$26+LCOE!J$27-1)),LCOE!J$42/LCOE!J$27,0)+IF(AND(D91=0,AE91&gt;=LCOE!J$16,COUNTIF(D66:D91,0)=LCOE!J$36),LCOE!J$35*LCOE!J$38,0)</f>
        <v>0</v>
      </c>
      <c r="D91" s="16">
        <f>IF(AE90&lt;LCOE!J$16,1,0)</f>
        <v>1</v>
      </c>
      <c r="E91" s="12">
        <f>LCOE!G117+IF(AND(A91&gt;=LCOE!J$26,A91&lt;=(LCOE!J$26+LCOE!J$27-1)),0,1)*IF(A91=LCOE!J$34,0,1)*D91</f>
        <v>1</v>
      </c>
      <c r="F91" s="12">
        <f>IF(F90&lt;LCOE!J$18,MIN(F90*(1+LCOE!J$19),LCOE!J$18),LCOE!J$18)+LCOE!J117</f>
        <v>0.9</v>
      </c>
      <c r="G91" s="16">
        <f>LCOE!K117+E91*F91*N91*(LCOE!J$14+LCOE!H117)*24*365*D91</f>
        <v>3942000</v>
      </c>
      <c r="H91" s="16">
        <f>LCOE!L117+F91*(LCOE!J$15+LCOE!I117)*E91*24*365*D91*N91</f>
        <v>0</v>
      </c>
      <c r="I91" s="16">
        <f>LCOE!M117+LCOE!J$20*IF(LCOE!J$14&gt;0,(LCOE!J$14+LCOE!H117),(LCOE!J$15+LCOE!I117))*K91*D91</f>
        <v>20000000</v>
      </c>
      <c r="J91" s="16">
        <f>LCOE!N117+LCOE!J$21*IF(LCOE!J$14&gt;0,G91,H91)*K91*D91</f>
        <v>0</v>
      </c>
      <c r="K91" s="15">
        <f>LCOE!O117+K90+K90*LCOE!J$22</f>
        <v>1</v>
      </c>
      <c r="L91" s="16">
        <f>LCOE!P117+LCOE!J$23*IF(LCOE!J$14&gt;0,G91,H91)*M91*D91</f>
        <v>168165720</v>
      </c>
      <c r="M91" s="15">
        <f>LCOE!Q117+M90+M90*LCOE!J$24</f>
        <v>1</v>
      </c>
      <c r="N91" s="15">
        <f>LCOE!R117+N90-N90*LCOE!J$25</f>
        <v>1</v>
      </c>
      <c r="O91" s="18">
        <f>LCOE!S117+LCOE!J$29</f>
        <v>313.75</v>
      </c>
      <c r="P91" s="12">
        <f>LCOE!T117+IF(A91&gt;=LCOE!J$30,100%,0%)</f>
        <v>1</v>
      </c>
      <c r="Q91" s="16">
        <f>LCOE!U117+O91/1000*IF(LCOE!J$14&gt;0,G91,H91)</f>
        <v>1236802.5</v>
      </c>
      <c r="R91" s="16">
        <f>LCOE!B117</f>
        <v>30</v>
      </c>
      <c r="S91" s="16">
        <f>LCOE!V117+Q91*P91*R91</f>
        <v>37104075</v>
      </c>
      <c r="T91" s="16">
        <f>LCOE!W117+LCOE!J$31</f>
        <v>0</v>
      </c>
      <c r="U91" s="16">
        <f>LCOE!X117+T91*IF(LCOE!J$14&gt;0,G91,H91)</f>
        <v>0</v>
      </c>
      <c r="V91" s="16">
        <f>LCOE!Y117+LCOE!J$32</f>
        <v>0</v>
      </c>
      <c r="W91" s="16">
        <f>LCOE!Z117+V91*IF(LCOE!J$14&gt;0,G91,H91)</f>
        <v>0</v>
      </c>
      <c r="X91" s="16">
        <f>LCOE!AA117+LCOE!J$34</f>
        <v>101</v>
      </c>
      <c r="Y91" s="16">
        <f t="shared" si="15"/>
        <v>0</v>
      </c>
      <c r="Z91" s="50">
        <f t="shared" si="18"/>
        <v>0</v>
      </c>
      <c r="AA91" s="50">
        <f t="shared" si="19"/>
        <v>20000000</v>
      </c>
      <c r="AB91" s="50">
        <f t="shared" si="20"/>
        <v>168165720</v>
      </c>
      <c r="AC91" s="50">
        <f t="shared" si="16"/>
        <v>0</v>
      </c>
      <c r="AD91" s="50">
        <f t="shared" si="11"/>
        <v>37104075</v>
      </c>
      <c r="AE91">
        <f t="shared" si="17"/>
        <v>21</v>
      </c>
      <c r="AF91" s="12">
        <f>LCOE!E117+LCOE!J$40</f>
        <v>0.12</v>
      </c>
      <c r="AG91">
        <f t="shared" si="12"/>
        <v>10.803848264467941</v>
      </c>
      <c r="AH91" s="16">
        <f t="shared" si="7"/>
        <v>0</v>
      </c>
      <c r="AI91" s="16">
        <f t="shared" si="8"/>
        <v>1851192.2335837195</v>
      </c>
      <c r="AJ91" s="16">
        <f t="shared" si="9"/>
        <v>15565353.740950719</v>
      </c>
      <c r="AK91" s="16">
        <f t="shared" si="10"/>
        <v>0</v>
      </c>
      <c r="AL91" s="16">
        <f t="shared" si="13"/>
        <v>3434338.7737153922</v>
      </c>
      <c r="AM91" s="16">
        <f t="shared" si="14"/>
        <v>0</v>
      </c>
      <c r="AN91" s="16">
        <f>IF(LCOE!J$14&gt;0,G91,H91)/AG91</f>
        <v>364869.98923935113</v>
      </c>
    </row>
    <row r="92" spans="1:40">
      <c r="A92">
        <v>22</v>
      </c>
      <c r="C92" s="16">
        <f>LCOE!J118+IF(AND(LCOE!J$26&gt;0,A92&gt;=LCOE!J$26,A92&lt;=(LCOE!J$26+LCOE!J$27-1)),LCOE!J$42/LCOE!J$27,0)+IF(AND(D92=0,AE92&gt;=LCOE!J$16,COUNTIF(D67:D92,0)=LCOE!J$36),LCOE!J$35*LCOE!J$38,0)</f>
        <v>0</v>
      </c>
      <c r="D92" s="16">
        <f>IF(AE91&lt;LCOE!J$16,1,0)</f>
        <v>1</v>
      </c>
      <c r="E92" s="12">
        <f>LCOE!G118+IF(AND(A92&gt;=LCOE!J$26,A92&lt;=(LCOE!J$26+LCOE!J$27-1)),0,1)*IF(A92=LCOE!J$34,0,1)*D92</f>
        <v>1</v>
      </c>
      <c r="F92" s="12">
        <f>IF(F91&lt;LCOE!J$18,MIN(F91*(1+LCOE!J$19),LCOE!J$18),LCOE!J$18)+LCOE!J118</f>
        <v>0.9</v>
      </c>
      <c r="G92" s="16">
        <f>LCOE!K118+E92*F92*N92*(LCOE!J$14+LCOE!H118)*24*365*D92</f>
        <v>3942000</v>
      </c>
      <c r="H92" s="16">
        <f>LCOE!L118+F92*(LCOE!J$15+LCOE!I118)*E92*24*365*D92*N92</f>
        <v>0</v>
      </c>
      <c r="I92" s="16">
        <f>LCOE!M118+LCOE!J$20*IF(LCOE!J$14&gt;0,(LCOE!J$14+LCOE!H118),(LCOE!J$15+LCOE!I118))*K92*D92</f>
        <v>20000000</v>
      </c>
      <c r="J92" s="16">
        <f>LCOE!N118+LCOE!J$21*IF(LCOE!J$14&gt;0,G92,H92)*K92*D92</f>
        <v>0</v>
      </c>
      <c r="K92" s="15">
        <f>LCOE!O118+K91+K91*LCOE!J$22</f>
        <v>1</v>
      </c>
      <c r="L92" s="16">
        <f>LCOE!P118+LCOE!J$23*IF(LCOE!J$14&gt;0,G92,H92)*M92*D92</f>
        <v>168165720</v>
      </c>
      <c r="M92" s="15">
        <f>LCOE!Q118+M91+M91*LCOE!J$24</f>
        <v>1</v>
      </c>
      <c r="N92" s="15">
        <f>LCOE!R118+N91-N91*LCOE!J$25</f>
        <v>1</v>
      </c>
      <c r="O92" s="18">
        <f>LCOE!S118+LCOE!J$29</f>
        <v>313.75</v>
      </c>
      <c r="P92" s="12">
        <f>LCOE!T118+IF(A92&gt;=LCOE!J$30,100%,0%)</f>
        <v>1</v>
      </c>
      <c r="Q92" s="16">
        <f>LCOE!U118+O92/1000*IF(LCOE!J$14&gt;0,G92,H92)</f>
        <v>1236802.5</v>
      </c>
      <c r="R92" s="16">
        <f>LCOE!B118</f>
        <v>30</v>
      </c>
      <c r="S92" s="16">
        <f>LCOE!V118+Q92*P92*R92</f>
        <v>37104075</v>
      </c>
      <c r="T92" s="16">
        <f>LCOE!W118+LCOE!J$31</f>
        <v>0</v>
      </c>
      <c r="U92" s="16">
        <f>LCOE!X118+T92*IF(LCOE!J$14&gt;0,G92,H92)</f>
        <v>0</v>
      </c>
      <c r="V92" s="16">
        <f>LCOE!Y118+LCOE!J$32</f>
        <v>0</v>
      </c>
      <c r="W92" s="16">
        <f>LCOE!Z118+V92*IF(LCOE!J$14&gt;0,G92,H92)</f>
        <v>0</v>
      </c>
      <c r="X92" s="16">
        <f>LCOE!AA118+LCOE!J$34</f>
        <v>101</v>
      </c>
      <c r="Y92" s="16">
        <f t="shared" si="15"/>
        <v>0</v>
      </c>
      <c r="Z92" s="50">
        <f t="shared" si="18"/>
        <v>0</v>
      </c>
      <c r="AA92" s="50">
        <f t="shared" si="19"/>
        <v>20000000</v>
      </c>
      <c r="AB92" s="50">
        <f t="shared" si="20"/>
        <v>168165720</v>
      </c>
      <c r="AC92" s="50">
        <f t="shared" si="16"/>
        <v>0</v>
      </c>
      <c r="AD92" s="50">
        <f t="shared" si="11"/>
        <v>37104075</v>
      </c>
      <c r="AE92">
        <f t="shared" si="17"/>
        <v>22</v>
      </c>
      <c r="AF92" s="12">
        <f>LCOE!E118+LCOE!J$40</f>
        <v>0.12</v>
      </c>
      <c r="AG92">
        <f t="shared" si="12"/>
        <v>12.100310056204096</v>
      </c>
      <c r="AH92" s="16">
        <f t="shared" si="7"/>
        <v>0</v>
      </c>
      <c r="AI92" s="16">
        <f t="shared" si="8"/>
        <v>1652850.2085568921</v>
      </c>
      <c r="AJ92" s="16">
        <f t="shared" si="9"/>
        <v>13897637.268705998</v>
      </c>
      <c r="AK92" s="16">
        <f t="shared" si="10"/>
        <v>0</v>
      </c>
      <c r="AL92" s="16">
        <f t="shared" si="13"/>
        <v>3066373.9051030283</v>
      </c>
      <c r="AM92" s="16">
        <f t="shared" si="14"/>
        <v>0</v>
      </c>
      <c r="AN92" s="16">
        <f>IF(LCOE!J$14&gt;0,G92,H92)/AG92</f>
        <v>325776.77610656345</v>
      </c>
    </row>
    <row r="93" spans="1:40">
      <c r="A93">
        <v>23</v>
      </c>
      <c r="C93" s="16">
        <f>LCOE!J119+IF(AND(LCOE!J$26&gt;0,A93&gt;=LCOE!J$26,A93&lt;=(LCOE!J$26+LCOE!J$27-1)),LCOE!J$42/LCOE!J$27,0)+IF(AND(D93=0,AE93&gt;=LCOE!J$16,COUNTIF(D68:D93,0)=LCOE!J$36),LCOE!J$35*LCOE!J$38,0)</f>
        <v>0</v>
      </c>
      <c r="D93" s="16">
        <f>IF(AE92&lt;LCOE!J$16,1,0)</f>
        <v>1</v>
      </c>
      <c r="E93" s="12">
        <f>LCOE!G119+IF(AND(A93&gt;=LCOE!J$26,A93&lt;=(LCOE!J$26+LCOE!J$27-1)),0,1)*IF(A93=LCOE!J$34,0,1)*D93</f>
        <v>1</v>
      </c>
      <c r="F93" s="12">
        <f>IF(F92&lt;LCOE!J$18,MIN(F92*(1+LCOE!J$19),LCOE!J$18),LCOE!J$18)+LCOE!J119</f>
        <v>0.9</v>
      </c>
      <c r="G93" s="16">
        <f>LCOE!K119+E93*F93*N93*(LCOE!J$14+LCOE!H119)*24*365*D93</f>
        <v>3942000</v>
      </c>
      <c r="H93" s="16">
        <f>LCOE!L119+F93*(LCOE!J$15+LCOE!I119)*E93*24*365*D93*N93</f>
        <v>0</v>
      </c>
      <c r="I93" s="16">
        <f>LCOE!M119+LCOE!J$20*IF(LCOE!J$14&gt;0,(LCOE!J$14+LCOE!H119),(LCOE!J$15+LCOE!I119))*K93*D93</f>
        <v>20000000</v>
      </c>
      <c r="J93" s="16">
        <f>LCOE!N119+LCOE!J$21*IF(LCOE!J$14&gt;0,G93,H93)*K93*D93</f>
        <v>0</v>
      </c>
      <c r="K93" s="15">
        <f>LCOE!O119+K92+K92*LCOE!J$22</f>
        <v>1</v>
      </c>
      <c r="L93" s="16">
        <f>LCOE!P119+LCOE!J$23*IF(LCOE!J$14&gt;0,G93,H93)*M93*D93</f>
        <v>168165720</v>
      </c>
      <c r="M93" s="15">
        <f>LCOE!Q119+M92+M92*LCOE!J$24</f>
        <v>1</v>
      </c>
      <c r="N93" s="15">
        <f>LCOE!R119+N92-N92*LCOE!J$25</f>
        <v>1</v>
      </c>
      <c r="O93" s="18">
        <f>LCOE!S119+LCOE!J$29</f>
        <v>313.75</v>
      </c>
      <c r="P93" s="12">
        <f>LCOE!T119+IF(A93&gt;=LCOE!J$30,100%,0%)</f>
        <v>1</v>
      </c>
      <c r="Q93" s="16">
        <f>LCOE!U119+O93/1000*IF(LCOE!J$14&gt;0,G93,H93)</f>
        <v>1236802.5</v>
      </c>
      <c r="R93" s="16">
        <f>LCOE!B119</f>
        <v>30</v>
      </c>
      <c r="S93" s="16">
        <f>LCOE!V119+Q93*P93*R93</f>
        <v>37104075</v>
      </c>
      <c r="T93" s="16">
        <f>LCOE!W119+LCOE!J$31</f>
        <v>0</v>
      </c>
      <c r="U93" s="16">
        <f>LCOE!X119+T93*IF(LCOE!J$14&gt;0,G93,H93)</f>
        <v>0</v>
      </c>
      <c r="V93" s="16">
        <f>LCOE!Y119+LCOE!J$32</f>
        <v>0</v>
      </c>
      <c r="W93" s="16">
        <f>LCOE!Z119+V93*IF(LCOE!J$14&gt;0,G93,H93)</f>
        <v>0</v>
      </c>
      <c r="X93" s="16">
        <f>LCOE!AA119+LCOE!J$34</f>
        <v>101</v>
      </c>
      <c r="Y93" s="16">
        <f t="shared" si="15"/>
        <v>0</v>
      </c>
      <c r="Z93" s="50">
        <f t="shared" si="18"/>
        <v>0</v>
      </c>
      <c r="AA93" s="50">
        <f t="shared" si="19"/>
        <v>20000000</v>
      </c>
      <c r="AB93" s="50">
        <f t="shared" si="20"/>
        <v>168165720</v>
      </c>
      <c r="AC93" s="50">
        <f t="shared" si="16"/>
        <v>0</v>
      </c>
      <c r="AD93" s="50">
        <f t="shared" si="11"/>
        <v>37104075</v>
      </c>
      <c r="AE93">
        <f t="shared" si="17"/>
        <v>23</v>
      </c>
      <c r="AF93" s="12">
        <f>LCOE!E119+LCOE!J$40</f>
        <v>0.12</v>
      </c>
      <c r="AG93">
        <f t="shared" si="12"/>
        <v>13.552347262948587</v>
      </c>
      <c r="AH93" s="16">
        <f t="shared" si="7"/>
        <v>0</v>
      </c>
      <c r="AI93" s="16">
        <f t="shared" si="8"/>
        <v>1475759.1147829397</v>
      </c>
      <c r="AJ93" s="16">
        <f t="shared" si="9"/>
        <v>12408604.704201784</v>
      </c>
      <c r="AK93" s="16">
        <f t="shared" si="10"/>
        <v>0</v>
      </c>
      <c r="AL93" s="16">
        <f t="shared" si="13"/>
        <v>2737833.84384199</v>
      </c>
      <c r="AM93" s="16">
        <f t="shared" si="14"/>
        <v>0</v>
      </c>
      <c r="AN93" s="16">
        <f>IF(LCOE!J$14&gt;0,G93,H93)/AG93</f>
        <v>290872.12152371736</v>
      </c>
    </row>
    <row r="94" spans="1:40">
      <c r="A94">
        <v>24</v>
      </c>
      <c r="C94" s="16">
        <f>LCOE!J120+IF(AND(LCOE!J$26&gt;0,A94&gt;=LCOE!J$26,A94&lt;=(LCOE!J$26+LCOE!J$27-1)),LCOE!J$42/LCOE!J$27,0)+IF(AND(D94=0,AE94&gt;=LCOE!J$16,COUNTIF(D69:D94,0)=LCOE!J$36),LCOE!J$35*LCOE!J$38,0)</f>
        <v>0</v>
      </c>
      <c r="D94" s="16">
        <f>IF(AE93&lt;LCOE!J$16,1,0)</f>
        <v>1</v>
      </c>
      <c r="E94" s="12">
        <f>LCOE!G120+IF(AND(A94&gt;=LCOE!J$26,A94&lt;=(LCOE!J$26+LCOE!J$27-1)),0,1)*IF(A94=LCOE!J$34,0,1)*D94</f>
        <v>1</v>
      </c>
      <c r="F94" s="12">
        <f>IF(F93&lt;LCOE!J$18,MIN(F93*(1+LCOE!J$19),LCOE!J$18),LCOE!J$18)+LCOE!J120</f>
        <v>0.9</v>
      </c>
      <c r="G94" s="16">
        <f>LCOE!K120+E94*F94*N94*(LCOE!J$14+LCOE!H120)*24*365*D94</f>
        <v>3942000</v>
      </c>
      <c r="H94" s="16">
        <f>LCOE!L120+F94*(LCOE!J$15+LCOE!I120)*E94*24*365*D94*N94</f>
        <v>0</v>
      </c>
      <c r="I94" s="16">
        <f>LCOE!M120+LCOE!J$20*IF(LCOE!J$14&gt;0,(LCOE!J$14+LCOE!H120),(LCOE!J$15+LCOE!I120))*K94*D94</f>
        <v>20000000</v>
      </c>
      <c r="J94" s="16">
        <f>LCOE!N120+LCOE!J$21*IF(LCOE!J$14&gt;0,G94,H94)*K94*D94</f>
        <v>0</v>
      </c>
      <c r="K94" s="15">
        <f>LCOE!O120+K93+K93*LCOE!J$22</f>
        <v>1</v>
      </c>
      <c r="L94" s="16">
        <f>LCOE!P120+LCOE!J$23*IF(LCOE!J$14&gt;0,G94,H94)*M94*D94</f>
        <v>168165720</v>
      </c>
      <c r="M94" s="15">
        <f>LCOE!Q120+M93+M93*LCOE!J$24</f>
        <v>1</v>
      </c>
      <c r="N94" s="15">
        <f>LCOE!R120+N93-N93*LCOE!J$25</f>
        <v>1</v>
      </c>
      <c r="O94" s="18">
        <f>LCOE!S120+LCOE!J$29</f>
        <v>313.75</v>
      </c>
      <c r="P94" s="12">
        <f>LCOE!T120+IF(A94&gt;=LCOE!J$30,100%,0%)</f>
        <v>1</v>
      </c>
      <c r="Q94" s="16">
        <f>LCOE!U120+O94/1000*IF(LCOE!J$14&gt;0,G94,H94)</f>
        <v>1236802.5</v>
      </c>
      <c r="R94" s="16">
        <f>LCOE!B120</f>
        <v>30</v>
      </c>
      <c r="S94" s="16">
        <f>LCOE!V120+Q94*P94*R94</f>
        <v>37104075</v>
      </c>
      <c r="T94" s="16">
        <f>LCOE!W120+LCOE!J$31</f>
        <v>0</v>
      </c>
      <c r="U94" s="16">
        <f>LCOE!X120+T94*IF(LCOE!J$14&gt;0,G94,H94)</f>
        <v>0</v>
      </c>
      <c r="V94" s="16">
        <f>LCOE!Y120+LCOE!J$32</f>
        <v>0</v>
      </c>
      <c r="W94" s="16">
        <f>LCOE!Z120+V94*IF(LCOE!J$14&gt;0,G94,H94)</f>
        <v>0</v>
      </c>
      <c r="X94" s="16">
        <f>LCOE!AA120+LCOE!J$34</f>
        <v>101</v>
      </c>
      <c r="Y94" s="16">
        <f t="shared" si="15"/>
        <v>0</v>
      </c>
      <c r="Z94" s="50">
        <f t="shared" si="18"/>
        <v>0</v>
      </c>
      <c r="AA94" s="50">
        <f t="shared" si="19"/>
        <v>20000000</v>
      </c>
      <c r="AB94" s="50">
        <f t="shared" si="20"/>
        <v>168165720</v>
      </c>
      <c r="AC94" s="50">
        <f t="shared" si="16"/>
        <v>0</v>
      </c>
      <c r="AD94" s="50">
        <f t="shared" si="11"/>
        <v>37104075</v>
      </c>
      <c r="AE94">
        <f t="shared" si="17"/>
        <v>24</v>
      </c>
      <c r="AF94" s="12">
        <f>LCOE!E120+LCOE!J$40</f>
        <v>0.12</v>
      </c>
      <c r="AG94">
        <f t="shared" si="12"/>
        <v>15.178628934502418</v>
      </c>
      <c r="AH94" s="16">
        <f t="shared" si="7"/>
        <v>0</v>
      </c>
      <c r="AI94" s="16">
        <f t="shared" si="8"/>
        <v>1317642.0667704816</v>
      </c>
      <c r="AJ94" s="16">
        <f t="shared" si="9"/>
        <v>11079111.343037305</v>
      </c>
      <c r="AK94" s="16">
        <f t="shared" si="10"/>
        <v>0</v>
      </c>
      <c r="AL94" s="16">
        <f t="shared" si="13"/>
        <v>2444494.5034303479</v>
      </c>
      <c r="AM94" s="16">
        <f t="shared" si="14"/>
        <v>0</v>
      </c>
      <c r="AN94" s="16">
        <f>IF(LCOE!J$14&gt;0,G94,H94)/AG94</f>
        <v>259707.25136046193</v>
      </c>
    </row>
    <row r="95" spans="1:40">
      <c r="A95">
        <v>25</v>
      </c>
      <c r="C95" s="16">
        <f>LCOE!J121+IF(AND(LCOE!J$26&gt;0,A95&gt;=LCOE!J$26,A95&lt;=(LCOE!J$26+LCOE!J$27-1)),LCOE!J$42/LCOE!J$27,0)+IF(AND(D95=0,AE95&gt;=LCOE!J$16,COUNTIF(D70:D95,0)=LCOE!J$36),LCOE!J$35*LCOE!J$38,0)</f>
        <v>0</v>
      </c>
      <c r="D95" s="16">
        <f>IF(AE94&lt;LCOE!J$16,1,0)</f>
        <v>1</v>
      </c>
      <c r="E95" s="12">
        <f>LCOE!G121+IF(AND(A95&gt;=LCOE!J$26,A95&lt;=(LCOE!J$26+LCOE!J$27-1)),0,1)*IF(A95=LCOE!J$34,0,1)*D95</f>
        <v>1</v>
      </c>
      <c r="F95" s="12">
        <f>IF(F94&lt;LCOE!J$18,MIN(F94*(1+LCOE!J$19),LCOE!J$18),LCOE!J$18)+LCOE!J121</f>
        <v>0.9</v>
      </c>
      <c r="G95" s="16">
        <f>LCOE!K121+E95*F95*N95*(LCOE!J$14+LCOE!H121)*24*365*D95</f>
        <v>3942000</v>
      </c>
      <c r="H95" s="16">
        <f>LCOE!L121+F95*(LCOE!J$15+LCOE!I121)*E95*24*365*D95*N95</f>
        <v>0</v>
      </c>
      <c r="I95" s="16">
        <f>LCOE!M121+LCOE!J$20*IF(LCOE!J$14&gt;0,(LCOE!J$14+LCOE!H121),(LCOE!J$15+LCOE!I121))*K95*D95</f>
        <v>20000000</v>
      </c>
      <c r="J95" s="16">
        <f>LCOE!N121+LCOE!J$21*IF(LCOE!J$14&gt;0,G95,H95)*K95*D95</f>
        <v>0</v>
      </c>
      <c r="K95" s="15">
        <f>LCOE!O121+K94+K94*LCOE!J$22</f>
        <v>1</v>
      </c>
      <c r="L95" s="16">
        <f>LCOE!P121+LCOE!J$23*IF(LCOE!J$14&gt;0,G95,H95)*M95*D95</f>
        <v>168165720</v>
      </c>
      <c r="M95" s="15">
        <f>LCOE!Q121+M94+M94*LCOE!J$24</f>
        <v>1</v>
      </c>
      <c r="N95" s="15">
        <f>LCOE!R121+N94-N94*LCOE!J$25</f>
        <v>1</v>
      </c>
      <c r="O95" s="18">
        <f>LCOE!S121+LCOE!J$29</f>
        <v>313.75</v>
      </c>
      <c r="P95" s="12">
        <f>LCOE!T121+IF(A95&gt;=LCOE!J$30,100%,0%)</f>
        <v>1</v>
      </c>
      <c r="Q95" s="16">
        <f>LCOE!U121+O95/1000*IF(LCOE!J$14&gt;0,G95,H95)</f>
        <v>1236802.5</v>
      </c>
      <c r="R95" s="16">
        <f>LCOE!B121</f>
        <v>30</v>
      </c>
      <c r="S95" s="16">
        <f>LCOE!V121+Q95*P95*R95</f>
        <v>37104075</v>
      </c>
      <c r="T95" s="16">
        <f>LCOE!W121+LCOE!J$31</f>
        <v>0</v>
      </c>
      <c r="U95" s="16">
        <f>LCOE!X121+T95*IF(LCOE!J$14&gt;0,G95,H95)</f>
        <v>0</v>
      </c>
      <c r="V95" s="16">
        <f>LCOE!Y121+LCOE!J$32</f>
        <v>0</v>
      </c>
      <c r="W95" s="16">
        <f>LCOE!Z121+V95*IF(LCOE!J$14&gt;0,G95,H95)</f>
        <v>0</v>
      </c>
      <c r="X95" s="16">
        <f>LCOE!AA121+LCOE!J$34</f>
        <v>101</v>
      </c>
      <c r="Y95" s="16">
        <f t="shared" si="15"/>
        <v>0</v>
      </c>
      <c r="Z95" s="50">
        <f t="shared" si="18"/>
        <v>0</v>
      </c>
      <c r="AA95" s="50">
        <f t="shared" si="19"/>
        <v>20000000</v>
      </c>
      <c r="AB95" s="50">
        <f t="shared" si="20"/>
        <v>168165720</v>
      </c>
      <c r="AC95" s="50">
        <f t="shared" si="16"/>
        <v>0</v>
      </c>
      <c r="AD95" s="50">
        <f t="shared" si="11"/>
        <v>37104075</v>
      </c>
      <c r="AE95">
        <f t="shared" si="17"/>
        <v>25</v>
      </c>
      <c r="AF95" s="12">
        <f>LCOE!E121+LCOE!J$40</f>
        <v>0.12</v>
      </c>
      <c r="AG95">
        <f t="shared" si="12"/>
        <v>17.000064406642711</v>
      </c>
      <c r="AH95" s="16">
        <f t="shared" si="7"/>
        <v>0</v>
      </c>
      <c r="AI95" s="16">
        <f t="shared" si="8"/>
        <v>1176466.1310450728</v>
      </c>
      <c r="AJ95" s="16">
        <f t="shared" si="9"/>
        <v>9892063.69914045</v>
      </c>
      <c r="AK95" s="16">
        <f t="shared" si="10"/>
        <v>0</v>
      </c>
      <c r="AL95" s="16">
        <f t="shared" si="13"/>
        <v>2182584.3780628103</v>
      </c>
      <c r="AM95" s="16">
        <f t="shared" si="14"/>
        <v>0</v>
      </c>
      <c r="AN95" s="16">
        <f>IF(LCOE!J$14&gt;0,G95,H95)/AG95</f>
        <v>231881.47442898384</v>
      </c>
    </row>
    <row r="96" spans="1:40">
      <c r="A96">
        <v>26</v>
      </c>
      <c r="C96" s="16">
        <f>LCOE!J122+IF(AND(LCOE!J$26&gt;0,A96&gt;=LCOE!J$26,A96&lt;=(LCOE!J$26+LCOE!J$27-1)),LCOE!J$42/LCOE!J$27,0)+IF(AND(D96=0,AE96&gt;=LCOE!J$16,COUNTIF(D71:D96,0)=LCOE!J$36),LCOE!J$35*LCOE!J$38,0)</f>
        <v>0</v>
      </c>
      <c r="D96" s="16">
        <f>IF(AE95&lt;LCOE!J$16,1,0)</f>
        <v>1</v>
      </c>
      <c r="E96" s="12">
        <f>LCOE!G122+IF(AND(A96&gt;=LCOE!J$26,A96&lt;=(LCOE!J$26+LCOE!J$27-1)),0,1)*IF(A96=LCOE!J$34,0,1)*D96</f>
        <v>1</v>
      </c>
      <c r="F96" s="12">
        <f>IF(F95&lt;LCOE!J$18,MIN(F95*(1+LCOE!J$19),LCOE!J$18),LCOE!J$18)+LCOE!J122</f>
        <v>0.9</v>
      </c>
      <c r="G96" s="16">
        <f>LCOE!K122+E96*F96*N96*(LCOE!J$14+LCOE!H122)*24*365*D96</f>
        <v>3942000</v>
      </c>
      <c r="H96" s="16">
        <f>LCOE!L122+F96*(LCOE!J$15+LCOE!I122)*E96*24*365*D96*N96</f>
        <v>0</v>
      </c>
      <c r="I96" s="16">
        <f>LCOE!M122+LCOE!J$20*IF(LCOE!J$14&gt;0,(LCOE!J$14+LCOE!H122),(LCOE!J$15+LCOE!I122))*K96*D96</f>
        <v>20000000</v>
      </c>
      <c r="J96" s="16">
        <f>LCOE!N122+LCOE!J$21*IF(LCOE!J$14&gt;0,G96,H96)*K96*D96</f>
        <v>0</v>
      </c>
      <c r="K96" s="15">
        <f>LCOE!O122+K95+K95*LCOE!J$22</f>
        <v>1</v>
      </c>
      <c r="L96" s="16">
        <f>LCOE!P122+LCOE!J$23*IF(LCOE!J$14&gt;0,G96,H96)*M96*D96</f>
        <v>168165720</v>
      </c>
      <c r="M96" s="15">
        <f>LCOE!Q122+M95+M95*LCOE!J$24</f>
        <v>1</v>
      </c>
      <c r="N96" s="15">
        <f>LCOE!R122+N95-N95*LCOE!J$25</f>
        <v>1</v>
      </c>
      <c r="O96" s="18">
        <f>LCOE!S122+LCOE!J$29</f>
        <v>313.75</v>
      </c>
      <c r="P96" s="12">
        <f>LCOE!T122+IF(A96&gt;=LCOE!J$30,100%,0%)</f>
        <v>1</v>
      </c>
      <c r="Q96" s="16">
        <f>LCOE!U122+O96/1000*IF(LCOE!J$14&gt;0,G96,H96)</f>
        <v>1236802.5</v>
      </c>
      <c r="R96" s="16">
        <f>LCOE!B122</f>
        <v>30</v>
      </c>
      <c r="S96" s="16">
        <f>LCOE!V122+Q96*P96*R96</f>
        <v>37104075</v>
      </c>
      <c r="T96" s="16">
        <f>LCOE!W122+LCOE!J$31</f>
        <v>0</v>
      </c>
      <c r="U96" s="16">
        <f>LCOE!X122+T96*IF(LCOE!J$14&gt;0,G96,H96)</f>
        <v>0</v>
      </c>
      <c r="V96" s="16">
        <f>LCOE!Y122+LCOE!J$32</f>
        <v>0</v>
      </c>
      <c r="W96" s="16">
        <f>LCOE!Z122+V96*IF(LCOE!J$14&gt;0,G96,H96)</f>
        <v>0</v>
      </c>
      <c r="X96" s="16">
        <f>LCOE!AA122+LCOE!J$34</f>
        <v>101</v>
      </c>
      <c r="Y96" s="16">
        <f t="shared" si="15"/>
        <v>0</v>
      </c>
      <c r="Z96" s="50">
        <f t="shared" si="18"/>
        <v>0</v>
      </c>
      <c r="AA96" s="50">
        <f t="shared" si="19"/>
        <v>20000000</v>
      </c>
      <c r="AB96" s="50">
        <f t="shared" si="20"/>
        <v>168165720</v>
      </c>
      <c r="AC96" s="50">
        <f t="shared" si="16"/>
        <v>0</v>
      </c>
      <c r="AD96" s="50">
        <f t="shared" si="11"/>
        <v>37104075</v>
      </c>
      <c r="AE96">
        <f t="shared" si="17"/>
        <v>26</v>
      </c>
      <c r="AF96" s="12">
        <f>LCOE!E122+LCOE!J$40</f>
        <v>0.12</v>
      </c>
      <c r="AG96">
        <f t="shared" si="12"/>
        <v>19.040072135439836</v>
      </c>
      <c r="AH96" s="16">
        <f t="shared" si="7"/>
        <v>0</v>
      </c>
      <c r="AI96" s="16">
        <f t="shared" si="8"/>
        <v>1050416.1884331007</v>
      </c>
      <c r="AJ96" s="16">
        <f t="shared" si="9"/>
        <v>8832199.7313754018</v>
      </c>
      <c r="AK96" s="16">
        <f t="shared" si="10"/>
        <v>0</v>
      </c>
      <c r="AL96" s="16">
        <f t="shared" si="13"/>
        <v>1948736.051841795</v>
      </c>
      <c r="AM96" s="16">
        <f t="shared" si="14"/>
        <v>0</v>
      </c>
      <c r="AN96" s="16">
        <f>IF(LCOE!J$14&gt;0,G96,H96)/AG96</f>
        <v>207037.03074016413</v>
      </c>
    </row>
    <row r="97" spans="1:40">
      <c r="A97">
        <v>27</v>
      </c>
      <c r="C97" s="16">
        <f>LCOE!J123+IF(AND(LCOE!J$26&gt;0,A97&gt;=LCOE!J$26,A97&lt;=(LCOE!J$26+LCOE!J$27-1)),LCOE!J$42/LCOE!J$27,0)+IF(AND(D97=0,AE97&gt;=LCOE!J$16,COUNTIF(D72:D97,0)=LCOE!J$36),LCOE!J$35*LCOE!J$38,0)</f>
        <v>0</v>
      </c>
      <c r="D97" s="16">
        <f>IF(AE96&lt;LCOE!J$16,1,0)</f>
        <v>1</v>
      </c>
      <c r="E97" s="12">
        <f>LCOE!G123+IF(AND(A97&gt;=LCOE!J$26,A97&lt;=(LCOE!J$26+LCOE!J$27-1)),0,1)*IF(A97=LCOE!J$34,0,1)*D97</f>
        <v>1</v>
      </c>
      <c r="F97" s="12">
        <f>IF(F96&lt;LCOE!J$18,MIN(F96*(1+LCOE!J$19),LCOE!J$18),LCOE!J$18)+LCOE!J123</f>
        <v>0.9</v>
      </c>
      <c r="G97" s="16">
        <f>LCOE!K123+E97*F97*N97*(LCOE!J$14+LCOE!H123)*24*365*D97</f>
        <v>3942000</v>
      </c>
      <c r="H97" s="16">
        <f>LCOE!L123+F97*(LCOE!J$15+LCOE!I123)*E97*24*365*D97*N97</f>
        <v>0</v>
      </c>
      <c r="I97" s="16">
        <f>LCOE!M123+LCOE!J$20*IF(LCOE!J$14&gt;0,(LCOE!J$14+LCOE!H123),(LCOE!J$15+LCOE!I123))*K97*D97</f>
        <v>20000000</v>
      </c>
      <c r="J97" s="16">
        <f>LCOE!N123+LCOE!J$21*IF(LCOE!J$14&gt;0,G97,H97)*K97*D97</f>
        <v>0</v>
      </c>
      <c r="K97" s="15">
        <f>LCOE!O123+K96+K96*LCOE!J$22</f>
        <v>1</v>
      </c>
      <c r="L97" s="16">
        <f>LCOE!P123+LCOE!J$23*IF(LCOE!J$14&gt;0,G97,H97)*M97*D97</f>
        <v>168165720</v>
      </c>
      <c r="M97" s="15">
        <f>LCOE!Q123+M96+M96*LCOE!J$24</f>
        <v>1</v>
      </c>
      <c r="N97" s="15">
        <f>LCOE!R123+N96-N96*LCOE!J$25</f>
        <v>1</v>
      </c>
      <c r="O97" s="18">
        <f>LCOE!S123+LCOE!J$29</f>
        <v>313.75</v>
      </c>
      <c r="P97" s="12">
        <f>LCOE!T123+IF(A97&gt;=LCOE!J$30,100%,0%)</f>
        <v>1</v>
      </c>
      <c r="Q97" s="16">
        <f>LCOE!U123+O97/1000*IF(LCOE!J$14&gt;0,G97,H97)</f>
        <v>1236802.5</v>
      </c>
      <c r="R97" s="16">
        <f>LCOE!B123</f>
        <v>30</v>
      </c>
      <c r="S97" s="16">
        <f>LCOE!V123+Q97*P97*R97</f>
        <v>37104075</v>
      </c>
      <c r="T97" s="16">
        <f>LCOE!W123+LCOE!J$31</f>
        <v>0</v>
      </c>
      <c r="U97" s="16">
        <f>LCOE!X123+T97*IF(LCOE!J$14&gt;0,G97,H97)</f>
        <v>0</v>
      </c>
      <c r="V97" s="16">
        <f>LCOE!Y123+LCOE!J$32</f>
        <v>0</v>
      </c>
      <c r="W97" s="16">
        <f>LCOE!Z123+V97*IF(LCOE!J$14&gt;0,G97,H97)</f>
        <v>0</v>
      </c>
      <c r="X97" s="16">
        <f>LCOE!AA123+LCOE!J$34</f>
        <v>101</v>
      </c>
      <c r="Y97" s="16">
        <f t="shared" si="15"/>
        <v>0</v>
      </c>
      <c r="Z97" s="50">
        <f t="shared" si="18"/>
        <v>0</v>
      </c>
      <c r="AA97" s="50">
        <f t="shared" si="19"/>
        <v>20000000</v>
      </c>
      <c r="AB97" s="50">
        <f t="shared" si="20"/>
        <v>168165720</v>
      </c>
      <c r="AC97" s="50">
        <f t="shared" si="16"/>
        <v>0</v>
      </c>
      <c r="AD97" s="50">
        <f t="shared" si="11"/>
        <v>37104075</v>
      </c>
      <c r="AE97">
        <f t="shared" si="17"/>
        <v>27</v>
      </c>
      <c r="AF97" s="12">
        <f>LCOE!E123+LCOE!J$40</f>
        <v>0.12</v>
      </c>
      <c r="AG97">
        <f t="shared" si="12"/>
        <v>21.324880791692621</v>
      </c>
      <c r="AH97" s="16">
        <f t="shared" si="7"/>
        <v>0</v>
      </c>
      <c r="AI97" s="16">
        <f t="shared" si="8"/>
        <v>937871.59681526828</v>
      </c>
      <c r="AJ97" s="16">
        <f t="shared" si="9"/>
        <v>7885892.6172994645</v>
      </c>
      <c r="AK97" s="16">
        <f t="shared" si="10"/>
        <v>0</v>
      </c>
      <c r="AL97" s="16">
        <f t="shared" si="13"/>
        <v>1739942.9034301736</v>
      </c>
      <c r="AM97" s="16">
        <f t="shared" si="14"/>
        <v>0</v>
      </c>
      <c r="AN97" s="16">
        <f>IF(LCOE!J$14&gt;0,G97,H97)/AG97</f>
        <v>184854.49173228937</v>
      </c>
    </row>
    <row r="98" spans="1:40">
      <c r="A98">
        <v>28</v>
      </c>
      <c r="C98" s="16">
        <f>LCOE!J124+IF(AND(LCOE!J$26&gt;0,A98&gt;=LCOE!J$26,A98&lt;=(LCOE!J$26+LCOE!J$27-1)),LCOE!J$42/LCOE!J$27,0)+IF(AND(D98=0,AE98&gt;=LCOE!J$16,COUNTIF(D73:D98,0)=LCOE!J$36),LCOE!J$35*LCOE!J$38,0)</f>
        <v>0</v>
      </c>
      <c r="D98" s="16">
        <f>IF(AE97&lt;LCOE!J$16,1,0)</f>
        <v>1</v>
      </c>
      <c r="E98" s="12">
        <f>LCOE!G124+IF(AND(A98&gt;=LCOE!J$26,A98&lt;=(LCOE!J$26+LCOE!J$27-1)),0,1)*IF(A98=LCOE!J$34,0,1)*D98</f>
        <v>1</v>
      </c>
      <c r="F98" s="12">
        <f>IF(F97&lt;LCOE!J$18,MIN(F97*(1+LCOE!J$19),LCOE!J$18),LCOE!J$18)+LCOE!J124</f>
        <v>0.9</v>
      </c>
      <c r="G98" s="16">
        <f>LCOE!K124+E98*F98*N98*(LCOE!J$14+LCOE!H124)*24*365*D98</f>
        <v>3942000</v>
      </c>
      <c r="H98" s="16">
        <f>LCOE!L124+F98*(LCOE!J$15+LCOE!I124)*E98*24*365*D98*N98</f>
        <v>0</v>
      </c>
      <c r="I98" s="16">
        <f>LCOE!M124+LCOE!J$20*IF(LCOE!J$14&gt;0,(LCOE!J$14+LCOE!H124),(LCOE!J$15+LCOE!I124))*K98*D98</f>
        <v>20000000</v>
      </c>
      <c r="J98" s="16">
        <f>LCOE!N124+LCOE!J$21*IF(LCOE!J$14&gt;0,G98,H98)*K98*D98</f>
        <v>0</v>
      </c>
      <c r="K98" s="15">
        <f>LCOE!O124+K97+K97*LCOE!J$22</f>
        <v>1</v>
      </c>
      <c r="L98" s="16">
        <f>LCOE!P124+LCOE!J$23*IF(LCOE!J$14&gt;0,G98,H98)*M98*D98</f>
        <v>168165720</v>
      </c>
      <c r="M98" s="15">
        <f>LCOE!Q124+M97+M97*LCOE!J$24</f>
        <v>1</v>
      </c>
      <c r="N98" s="15">
        <f>LCOE!R124+N97-N97*LCOE!J$25</f>
        <v>1</v>
      </c>
      <c r="O98" s="18">
        <f>LCOE!S124+LCOE!J$29</f>
        <v>313.75</v>
      </c>
      <c r="P98" s="12">
        <f>LCOE!T124+IF(A98&gt;=LCOE!J$30,100%,0%)</f>
        <v>1</v>
      </c>
      <c r="Q98" s="16">
        <f>LCOE!U124+O98/1000*IF(LCOE!J$14&gt;0,G98,H98)</f>
        <v>1236802.5</v>
      </c>
      <c r="R98" s="16">
        <f>LCOE!B124</f>
        <v>30</v>
      </c>
      <c r="S98" s="16">
        <f>LCOE!V124+Q98*P98*R98</f>
        <v>37104075</v>
      </c>
      <c r="T98" s="16">
        <f>LCOE!W124+LCOE!J$31</f>
        <v>0</v>
      </c>
      <c r="U98" s="16">
        <f>LCOE!X124+T98*IF(LCOE!J$14&gt;0,G98,H98)</f>
        <v>0</v>
      </c>
      <c r="V98" s="16">
        <f>LCOE!Y124+LCOE!J$32</f>
        <v>0</v>
      </c>
      <c r="W98" s="16">
        <f>LCOE!Z124+V98*IF(LCOE!J$14&gt;0,G98,H98)</f>
        <v>0</v>
      </c>
      <c r="X98" s="16">
        <f>LCOE!AA124+LCOE!J$34</f>
        <v>101</v>
      </c>
      <c r="Y98" s="16">
        <f t="shared" si="15"/>
        <v>0</v>
      </c>
      <c r="Z98" s="50">
        <f t="shared" si="18"/>
        <v>0</v>
      </c>
      <c r="AA98" s="50">
        <f t="shared" si="19"/>
        <v>20000000</v>
      </c>
      <c r="AB98" s="50">
        <f t="shared" si="20"/>
        <v>168165720</v>
      </c>
      <c r="AC98" s="50">
        <f t="shared" si="16"/>
        <v>0</v>
      </c>
      <c r="AD98" s="50">
        <f t="shared" si="11"/>
        <v>37104075</v>
      </c>
      <c r="AE98">
        <f t="shared" si="17"/>
        <v>28</v>
      </c>
      <c r="AF98" s="12">
        <f>LCOE!E124+LCOE!J$40</f>
        <v>0.12</v>
      </c>
      <c r="AG98">
        <f t="shared" si="12"/>
        <v>23.883866486695734</v>
      </c>
      <c r="AH98" s="16">
        <f t="shared" si="7"/>
        <v>0</v>
      </c>
      <c r="AI98" s="16">
        <f t="shared" si="8"/>
        <v>837385.35429934668</v>
      </c>
      <c r="AJ98" s="16">
        <f t="shared" si="9"/>
        <v>7040975.5511602368</v>
      </c>
      <c r="AK98" s="16">
        <f t="shared" si="10"/>
        <v>0</v>
      </c>
      <c r="AL98" s="16">
        <f t="shared" si="13"/>
        <v>1553520.4494912266</v>
      </c>
      <c r="AM98" s="16">
        <f t="shared" si="14"/>
        <v>0</v>
      </c>
      <c r="AN98" s="16">
        <f>IF(LCOE!J$14&gt;0,G98,H98)/AG98</f>
        <v>165048.65333240124</v>
      </c>
    </row>
    <row r="99" spans="1:40">
      <c r="A99">
        <v>29</v>
      </c>
      <c r="C99" s="16">
        <f>LCOE!J125+IF(AND(LCOE!J$26&gt;0,A99&gt;=LCOE!J$26,A99&lt;=(LCOE!J$26+LCOE!J$27-1)),LCOE!J$42/LCOE!J$27,0)+IF(AND(D99=0,AE99&gt;=LCOE!J$16,COUNTIF(D74:D99,0)=LCOE!J$36),LCOE!J$35*LCOE!J$38,0)</f>
        <v>0</v>
      </c>
      <c r="D99" s="16">
        <f>IF(AE98&lt;LCOE!J$16,1,0)</f>
        <v>1</v>
      </c>
      <c r="E99" s="12">
        <f>LCOE!G125+IF(AND(A99&gt;=LCOE!J$26,A99&lt;=(LCOE!J$26+LCOE!J$27-1)),0,1)*IF(A99=LCOE!J$34,0,1)*D99</f>
        <v>1</v>
      </c>
      <c r="F99" s="12">
        <f>IF(F98&lt;LCOE!J$18,MIN(F98*(1+LCOE!J$19),LCOE!J$18),LCOE!J$18)+LCOE!J125</f>
        <v>0.9</v>
      </c>
      <c r="G99" s="16">
        <f>LCOE!K125+E99*F99*N99*(LCOE!J$14+LCOE!H125)*24*365*D99</f>
        <v>3942000</v>
      </c>
      <c r="H99" s="16">
        <f>LCOE!L125+F99*(LCOE!J$15+LCOE!I125)*E99*24*365*D99*N99</f>
        <v>0</v>
      </c>
      <c r="I99" s="16">
        <f>LCOE!M125+LCOE!J$20*IF(LCOE!J$14&gt;0,(LCOE!J$14+LCOE!H125),(LCOE!J$15+LCOE!I125))*K99*D99</f>
        <v>20000000</v>
      </c>
      <c r="J99" s="16">
        <f>LCOE!N125+LCOE!J$21*IF(LCOE!J$14&gt;0,G99,H99)*K99*D99</f>
        <v>0</v>
      </c>
      <c r="K99" s="15">
        <f>LCOE!O125+K98+K98*LCOE!J$22</f>
        <v>1</v>
      </c>
      <c r="L99" s="16">
        <f>LCOE!P125+LCOE!J$23*IF(LCOE!J$14&gt;0,G99,H99)*M99*D99</f>
        <v>168165720</v>
      </c>
      <c r="M99" s="15">
        <f>LCOE!Q125+M98+M98*LCOE!J$24</f>
        <v>1</v>
      </c>
      <c r="N99" s="15">
        <f>LCOE!R125+N98-N98*LCOE!J$25</f>
        <v>1</v>
      </c>
      <c r="O99" s="18">
        <f>LCOE!S125+LCOE!J$29</f>
        <v>313.75</v>
      </c>
      <c r="P99" s="12">
        <f>LCOE!T125+IF(A99&gt;=LCOE!J$30,100%,0%)</f>
        <v>1</v>
      </c>
      <c r="Q99" s="16">
        <f>LCOE!U125+O99/1000*IF(LCOE!J$14&gt;0,G99,H99)</f>
        <v>1236802.5</v>
      </c>
      <c r="R99" s="16">
        <f>LCOE!B125</f>
        <v>30</v>
      </c>
      <c r="S99" s="16">
        <f>LCOE!V125+Q99*P99*R99</f>
        <v>37104075</v>
      </c>
      <c r="T99" s="16">
        <f>LCOE!W125+LCOE!J$31</f>
        <v>0</v>
      </c>
      <c r="U99" s="16">
        <f>LCOE!X125+T99*IF(LCOE!J$14&gt;0,G99,H99)</f>
        <v>0</v>
      </c>
      <c r="V99" s="16">
        <f>LCOE!Y125+LCOE!J$32</f>
        <v>0</v>
      </c>
      <c r="W99" s="16">
        <f>LCOE!Z125+V99*IF(LCOE!J$14&gt;0,G99,H99)</f>
        <v>0</v>
      </c>
      <c r="X99" s="16">
        <f>LCOE!AA125+LCOE!J$34</f>
        <v>101</v>
      </c>
      <c r="Y99" s="16">
        <f t="shared" si="15"/>
        <v>0</v>
      </c>
      <c r="Z99" s="50">
        <f t="shared" si="18"/>
        <v>0</v>
      </c>
      <c r="AA99" s="50">
        <f t="shared" si="19"/>
        <v>20000000</v>
      </c>
      <c r="AB99" s="50">
        <f t="shared" si="20"/>
        <v>168165720</v>
      </c>
      <c r="AC99" s="50">
        <f t="shared" si="16"/>
        <v>0</v>
      </c>
      <c r="AD99" s="50">
        <f t="shared" si="11"/>
        <v>37104075</v>
      </c>
      <c r="AE99">
        <f t="shared" si="17"/>
        <v>29</v>
      </c>
      <c r="AF99" s="12">
        <f>LCOE!E125+LCOE!J$40</f>
        <v>0.12</v>
      </c>
      <c r="AG99">
        <f t="shared" si="12"/>
        <v>26.749930465099226</v>
      </c>
      <c r="AH99" s="16">
        <f t="shared" si="7"/>
        <v>0</v>
      </c>
      <c r="AI99" s="16">
        <f t="shared" si="8"/>
        <v>747665.49491013086</v>
      </c>
      <c r="AJ99" s="16">
        <f t="shared" si="9"/>
        <v>6286585.313535925</v>
      </c>
      <c r="AK99" s="16">
        <f t="shared" si="10"/>
        <v>0</v>
      </c>
      <c r="AL99" s="16">
        <f t="shared" si="13"/>
        <v>1387071.8299028808</v>
      </c>
      <c r="AM99" s="16">
        <f t="shared" si="14"/>
        <v>0</v>
      </c>
      <c r="AN99" s="16">
        <f>IF(LCOE!J$14&gt;0,G99,H99)/AG99</f>
        <v>147364.8690467868</v>
      </c>
    </row>
    <row r="100" spans="1:40">
      <c r="A100">
        <v>30</v>
      </c>
      <c r="C100" s="16">
        <f>LCOE!J126+IF(AND(LCOE!J$26&gt;0,A100&gt;=LCOE!J$26,A100&lt;=(LCOE!J$26+LCOE!J$27-1)),LCOE!J$42/LCOE!J$27,0)+IF(AND(D100=0,AE100&gt;=LCOE!J$16,COUNTIF(D75:D100,0)=LCOE!J$36),LCOE!J$35*LCOE!J$38,0)</f>
        <v>0</v>
      </c>
      <c r="D100" s="16">
        <f>IF(AE99&lt;LCOE!J$16,1,0)</f>
        <v>1</v>
      </c>
      <c r="E100" s="12">
        <f>LCOE!G126+IF(AND(A100&gt;=LCOE!J$26,A100&lt;=(LCOE!J$26+LCOE!J$27-1)),0,1)*IF(A100=LCOE!J$34,0,1)*D100</f>
        <v>1</v>
      </c>
      <c r="F100" s="12">
        <f>IF(F99&lt;LCOE!J$18,MIN(F99*(1+LCOE!J$19),LCOE!J$18),LCOE!J$18)+LCOE!J126</f>
        <v>0.9</v>
      </c>
      <c r="G100" s="16">
        <f>LCOE!K126+E100*F100*N100*(LCOE!J$14+LCOE!H126)*24*365*D100</f>
        <v>3942000</v>
      </c>
      <c r="H100" s="16">
        <f>LCOE!L126+F100*(LCOE!J$15+LCOE!I126)*E100*24*365*D100*N100</f>
        <v>0</v>
      </c>
      <c r="I100" s="16">
        <f>LCOE!M126+LCOE!J$20*IF(LCOE!J$14&gt;0,(LCOE!J$14+LCOE!H126),(LCOE!J$15+LCOE!I126))*K100*D100</f>
        <v>20000000</v>
      </c>
      <c r="J100" s="16">
        <f>LCOE!N126+LCOE!J$21*IF(LCOE!J$14&gt;0,G100,H100)*K100*D100</f>
        <v>0</v>
      </c>
      <c r="K100" s="15">
        <f>LCOE!O126+K99+K99*LCOE!J$22</f>
        <v>1</v>
      </c>
      <c r="L100" s="16">
        <f>LCOE!P126+LCOE!J$23*IF(LCOE!J$14&gt;0,G100,H100)*M100*D100</f>
        <v>168165720</v>
      </c>
      <c r="M100" s="15">
        <f>LCOE!Q126+M99+M99*LCOE!J$24</f>
        <v>1</v>
      </c>
      <c r="N100" s="15">
        <f>LCOE!R126+N99-N99*LCOE!J$25</f>
        <v>1</v>
      </c>
      <c r="O100" s="18">
        <f>LCOE!S126+LCOE!J$29</f>
        <v>313.75</v>
      </c>
      <c r="P100" s="12">
        <f>LCOE!T126+IF(A100&gt;=LCOE!J$30,100%,0%)</f>
        <v>1</v>
      </c>
      <c r="Q100" s="16">
        <f>LCOE!U126+O100/1000*IF(LCOE!J$14&gt;0,G100,H100)</f>
        <v>1236802.5</v>
      </c>
      <c r="R100" s="16">
        <f>LCOE!B126</f>
        <v>30</v>
      </c>
      <c r="S100" s="16">
        <f>LCOE!V126+Q100*P100*R100</f>
        <v>37104075</v>
      </c>
      <c r="T100" s="16">
        <f>LCOE!W126+LCOE!J$31</f>
        <v>0</v>
      </c>
      <c r="U100" s="16">
        <f>LCOE!X126+T100*IF(LCOE!J$14&gt;0,G100,H100)</f>
        <v>0</v>
      </c>
      <c r="V100" s="16">
        <f>LCOE!Y126+LCOE!J$32</f>
        <v>0</v>
      </c>
      <c r="W100" s="16">
        <f>LCOE!Z126+V100*IF(LCOE!J$14&gt;0,G100,H100)</f>
        <v>0</v>
      </c>
      <c r="X100" s="16">
        <f>LCOE!AA126+LCOE!J$34</f>
        <v>101</v>
      </c>
      <c r="Y100" s="16">
        <f t="shared" si="15"/>
        <v>0</v>
      </c>
      <c r="Z100" s="50">
        <f t="shared" si="18"/>
        <v>0</v>
      </c>
      <c r="AA100" s="50">
        <f t="shared" si="19"/>
        <v>20000000</v>
      </c>
      <c r="AB100" s="50">
        <f t="shared" si="20"/>
        <v>168165720</v>
      </c>
      <c r="AC100" s="50">
        <f t="shared" si="16"/>
        <v>0</v>
      </c>
      <c r="AD100" s="50">
        <f t="shared" si="11"/>
        <v>37104075</v>
      </c>
      <c r="AE100">
        <f t="shared" si="17"/>
        <v>30</v>
      </c>
      <c r="AF100" s="12">
        <f>LCOE!E126+LCOE!J$40</f>
        <v>0.12</v>
      </c>
      <c r="AG100">
        <f t="shared" si="12"/>
        <v>29.959922120911134</v>
      </c>
      <c r="AH100" s="16">
        <f t="shared" si="7"/>
        <v>0</v>
      </c>
      <c r="AI100" s="16">
        <f t="shared" si="8"/>
        <v>667558.47759833105</v>
      </c>
      <c r="AJ100" s="16">
        <f t="shared" si="9"/>
        <v>5613022.6013713609</v>
      </c>
      <c r="AK100" s="16">
        <f t="shared" si="10"/>
        <v>0</v>
      </c>
      <c r="AL100" s="16">
        <f t="shared" si="13"/>
        <v>1238456.9909847148</v>
      </c>
      <c r="AM100" s="16">
        <f t="shared" si="14"/>
        <v>0</v>
      </c>
      <c r="AN100" s="16">
        <f>IF(LCOE!J$14&gt;0,G100,H100)/AG100</f>
        <v>131575.77593463106</v>
      </c>
    </row>
    <row r="101" spans="1:40">
      <c r="A101">
        <v>31</v>
      </c>
      <c r="C101" s="16">
        <f>LCOE!J127+IF(AND(LCOE!J$26&gt;0,A101&gt;=LCOE!J$26,A101&lt;=(LCOE!J$26+LCOE!J$27-1)),LCOE!J$42/LCOE!J$27,0)+IF(AND(D101=0,AE101&gt;=LCOE!J$16,COUNTIF(D76:D101,0)=LCOE!J$36),LCOE!J$35*LCOE!J$38,0)</f>
        <v>0</v>
      </c>
      <c r="D101" s="16">
        <f>IF(AE100&lt;LCOE!J$16,1,0)</f>
        <v>0</v>
      </c>
      <c r="E101" s="12">
        <f>LCOE!G127+IF(AND(A101&gt;=LCOE!J$26,A101&lt;=(LCOE!J$26+LCOE!J$27-1)),0,1)*IF(A101=LCOE!J$34,0,1)*D101</f>
        <v>0</v>
      </c>
      <c r="F101" s="12">
        <f>IF(F100&lt;LCOE!J$18,MIN(F100*(1+LCOE!J$19),LCOE!J$18),LCOE!J$18)+LCOE!J127</f>
        <v>0.9</v>
      </c>
      <c r="G101" s="16">
        <f>LCOE!K127+E101*F101*N101*(LCOE!J$14+LCOE!H127)*24*365*D101</f>
        <v>0</v>
      </c>
      <c r="H101" s="16">
        <f>LCOE!L127+F101*(LCOE!J$15+LCOE!I127)*E101*24*365*D101*N101</f>
        <v>0</v>
      </c>
      <c r="I101" s="16">
        <f>LCOE!M127+LCOE!J$20*IF(LCOE!J$14&gt;0,(LCOE!J$14+LCOE!H127),(LCOE!J$15+LCOE!I127))*K101*D101</f>
        <v>0</v>
      </c>
      <c r="J101" s="16">
        <f>LCOE!N127+LCOE!J$21*IF(LCOE!J$14&gt;0,G101,H101)*K101*D101</f>
        <v>0</v>
      </c>
      <c r="K101" s="15">
        <f>LCOE!O127+K100+K100*LCOE!J$22</f>
        <v>1</v>
      </c>
      <c r="L101" s="16">
        <f>LCOE!P127+LCOE!J$23*IF(LCOE!J$14&gt;0,G101,H101)*M101*D101</f>
        <v>0</v>
      </c>
      <c r="M101" s="15">
        <f>LCOE!Q127+M100+M100*LCOE!J$24</f>
        <v>1</v>
      </c>
      <c r="N101" s="15">
        <f>LCOE!R127+N100-N100*LCOE!J$25</f>
        <v>1</v>
      </c>
      <c r="O101" s="18">
        <f>LCOE!S127+LCOE!J$29</f>
        <v>313.75</v>
      </c>
      <c r="P101" s="12">
        <f>LCOE!T127+IF(A101&gt;=LCOE!J$30,100%,0%)</f>
        <v>1</v>
      </c>
      <c r="Q101" s="16">
        <f>LCOE!U127+O101/1000*IF(LCOE!J$14&gt;0,G101,H101)</f>
        <v>0</v>
      </c>
      <c r="R101" s="16">
        <f>LCOE!B127</f>
        <v>30</v>
      </c>
      <c r="S101" s="16">
        <f>LCOE!V127+Q101*P101*R101</f>
        <v>0</v>
      </c>
      <c r="T101" s="16">
        <f>LCOE!W127+LCOE!J$31</f>
        <v>0</v>
      </c>
      <c r="U101" s="16">
        <f>LCOE!X127+T101*IF(LCOE!J$14&gt;0,G101,H101)</f>
        <v>0</v>
      </c>
      <c r="V101" s="16">
        <f>LCOE!Y127+LCOE!J$32</f>
        <v>0</v>
      </c>
      <c r="W101" s="16">
        <f>LCOE!Z127+V101*IF(LCOE!J$14&gt;0,G101,H101)</f>
        <v>0</v>
      </c>
      <c r="X101" s="16">
        <f>LCOE!AA127+LCOE!J$34</f>
        <v>101</v>
      </c>
      <c r="Y101" s="16">
        <f t="shared" si="15"/>
        <v>0</v>
      </c>
      <c r="Z101" s="50">
        <f t="shared" si="18"/>
        <v>0</v>
      </c>
      <c r="AA101" s="50">
        <f t="shared" si="19"/>
        <v>0</v>
      </c>
      <c r="AB101" s="50">
        <f t="shared" si="20"/>
        <v>0</v>
      </c>
      <c r="AC101" s="50">
        <f t="shared" si="16"/>
        <v>0</v>
      </c>
      <c r="AD101" s="50">
        <f t="shared" si="11"/>
        <v>0</v>
      </c>
      <c r="AE101">
        <f t="shared" si="17"/>
        <v>30</v>
      </c>
      <c r="AF101" s="12">
        <f>LCOE!E127+LCOE!J$40</f>
        <v>0.12</v>
      </c>
      <c r="AG101">
        <f t="shared" si="12"/>
        <v>33.555112775420469</v>
      </c>
      <c r="AH101" s="16">
        <f t="shared" si="7"/>
        <v>0</v>
      </c>
      <c r="AI101" s="16">
        <f t="shared" si="8"/>
        <v>0</v>
      </c>
      <c r="AJ101" s="16">
        <f t="shared" si="9"/>
        <v>0</v>
      </c>
      <c r="AK101" s="16">
        <f t="shared" si="10"/>
        <v>0</v>
      </c>
      <c r="AL101" s="16">
        <f t="shared" si="13"/>
        <v>0</v>
      </c>
      <c r="AM101" s="16">
        <f t="shared" si="14"/>
        <v>0</v>
      </c>
      <c r="AN101" s="16">
        <f>IF(LCOE!J$14&gt;0,G101,H101)/AG101</f>
        <v>0</v>
      </c>
    </row>
    <row r="102" spans="1:40">
      <c r="A102">
        <v>32</v>
      </c>
      <c r="C102" s="16">
        <f>LCOE!J128+IF(AND(LCOE!J$26&gt;0,A102&gt;=LCOE!J$26,A102&lt;=(LCOE!J$26+LCOE!J$27-1)),LCOE!J$42/LCOE!J$27,0)+IF(AND(D102=0,AE102&gt;=LCOE!J$16,COUNTIF(D77:D102,0)=LCOE!J$36),LCOE!J$35*LCOE!J$38,0)</f>
        <v>25225000</v>
      </c>
      <c r="D102" s="16">
        <f>IF(AE101&lt;LCOE!J$16,1,0)</f>
        <v>0</v>
      </c>
      <c r="E102" s="12">
        <f>LCOE!G128+IF(AND(A102&gt;=LCOE!J$26,A102&lt;=(LCOE!J$26+LCOE!J$27-1)),0,1)*IF(A102=LCOE!J$34,0,1)*D102</f>
        <v>0</v>
      </c>
      <c r="F102" s="12">
        <f>IF(F101&lt;LCOE!J$18,MIN(F101*(1+LCOE!J$19),LCOE!J$18),LCOE!J$18)+LCOE!J128</f>
        <v>0.9</v>
      </c>
      <c r="G102" s="16">
        <f>LCOE!K128+E102*F102*N102*(LCOE!J$14+LCOE!H128)*24*365*D102</f>
        <v>0</v>
      </c>
      <c r="H102" s="16">
        <f>LCOE!L128+F102*(LCOE!J$15+LCOE!I128)*E102*24*365*D102*N102</f>
        <v>0</v>
      </c>
      <c r="I102" s="16">
        <f>LCOE!M128+LCOE!J$20*IF(LCOE!J$14&gt;0,(LCOE!J$14+LCOE!H128),(LCOE!J$15+LCOE!I128))*K102*D102</f>
        <v>0</v>
      </c>
      <c r="J102" s="16">
        <f>LCOE!N128+LCOE!J$21*IF(LCOE!J$14&gt;0,G102,H102)*K102*D102</f>
        <v>0</v>
      </c>
      <c r="K102" s="15">
        <f>LCOE!O128+K101+K101*LCOE!J$22</f>
        <v>1</v>
      </c>
      <c r="L102" s="16">
        <f>LCOE!P128+LCOE!J$23*IF(LCOE!J$14&gt;0,G102,H102)*M102*D102</f>
        <v>0</v>
      </c>
      <c r="M102" s="15">
        <f>LCOE!Q128+M101+M101*LCOE!J$24</f>
        <v>1</v>
      </c>
      <c r="N102" s="15">
        <f>LCOE!R128+N101-N101*LCOE!J$25</f>
        <v>1</v>
      </c>
      <c r="O102" s="18">
        <f>LCOE!S128+LCOE!J$29</f>
        <v>313.75</v>
      </c>
      <c r="P102" s="12">
        <f>LCOE!T128+IF(A102&gt;=LCOE!J$30,100%,0%)</f>
        <v>1</v>
      </c>
      <c r="Q102" s="16">
        <f>LCOE!U128+O102/1000*IF(LCOE!J$14&gt;0,G102,H102)</f>
        <v>0</v>
      </c>
      <c r="R102" s="16">
        <f>LCOE!B128</f>
        <v>30</v>
      </c>
      <c r="S102" s="16">
        <f>LCOE!V128+Q102*P102*R102</f>
        <v>0</v>
      </c>
      <c r="T102" s="16">
        <f>LCOE!W128+LCOE!J$31</f>
        <v>0</v>
      </c>
      <c r="U102" s="16">
        <f>LCOE!X128+T102*IF(LCOE!J$14&gt;0,G102,H102)</f>
        <v>0</v>
      </c>
      <c r="V102" s="16">
        <f>LCOE!Y128+LCOE!J$32</f>
        <v>0</v>
      </c>
      <c r="W102" s="16">
        <f>LCOE!Z128+V102*IF(LCOE!J$14&gt;0,G102,H102)</f>
        <v>0</v>
      </c>
      <c r="X102" s="16">
        <f>LCOE!AA128+LCOE!J$34</f>
        <v>101</v>
      </c>
      <c r="Y102" s="16">
        <f t="shared" si="15"/>
        <v>0</v>
      </c>
      <c r="Z102" s="50">
        <f t="shared" si="18"/>
        <v>25225000</v>
      </c>
      <c r="AA102" s="50">
        <f t="shared" si="19"/>
        <v>0</v>
      </c>
      <c r="AB102" s="50">
        <f t="shared" si="20"/>
        <v>0</v>
      </c>
      <c r="AC102" s="50">
        <f t="shared" si="16"/>
        <v>0</v>
      </c>
      <c r="AD102" s="50">
        <f t="shared" si="11"/>
        <v>0</v>
      </c>
      <c r="AE102">
        <f t="shared" si="17"/>
        <v>30</v>
      </c>
      <c r="AF102" s="12">
        <f>LCOE!E128+LCOE!J$40</f>
        <v>0.12</v>
      </c>
      <c r="AG102">
        <f t="shared" si="12"/>
        <v>37.581726308470934</v>
      </c>
      <c r="AH102" s="16">
        <f t="shared" si="7"/>
        <v>671203.86628738442</v>
      </c>
      <c r="AI102" s="16">
        <f t="shared" si="8"/>
        <v>0</v>
      </c>
      <c r="AJ102" s="16">
        <f t="shared" si="9"/>
        <v>0</v>
      </c>
      <c r="AK102" s="16">
        <f t="shared" si="10"/>
        <v>0</v>
      </c>
      <c r="AL102" s="16">
        <f t="shared" si="13"/>
        <v>0</v>
      </c>
      <c r="AM102" s="16">
        <f t="shared" si="14"/>
        <v>0</v>
      </c>
      <c r="AN102" s="16">
        <f>IF(LCOE!J$14&gt;0,G102,H102)/AG102</f>
        <v>0</v>
      </c>
    </row>
    <row r="103" spans="1:40">
      <c r="A103">
        <v>33</v>
      </c>
      <c r="C103" s="16">
        <f>LCOE!J129+IF(AND(LCOE!J$26&gt;0,A103&gt;=LCOE!J$26,A103&lt;=(LCOE!J$26+LCOE!J$27-1)),LCOE!J$42/LCOE!J$27,0)+IF(AND(D103=0,AE103&gt;=LCOE!J$16,COUNTIF(D78:D103,0)=LCOE!J$36),LCOE!J$35*LCOE!J$38,0)</f>
        <v>0</v>
      </c>
      <c r="D103" s="16">
        <f>IF(AE102&lt;LCOE!J$16,1,0)</f>
        <v>0</v>
      </c>
      <c r="E103" s="12">
        <f>LCOE!G129+IF(AND(A103&gt;=LCOE!J$26,A103&lt;=(LCOE!J$26+LCOE!J$27-1)),0,1)*IF(A103=LCOE!J$34,0,1)*D103</f>
        <v>0</v>
      </c>
      <c r="F103" s="12">
        <f>IF(F102&lt;LCOE!J$18,MIN(F102*(1+LCOE!J$19),LCOE!J$18),LCOE!J$18)+LCOE!J129</f>
        <v>0.9</v>
      </c>
      <c r="G103" s="16">
        <f>LCOE!K129+E103*F103*N103*(LCOE!J$14+LCOE!H129)*24*365*D103</f>
        <v>0</v>
      </c>
      <c r="H103" s="16">
        <f>LCOE!L129+F103*(LCOE!J$15+LCOE!I129)*E103*24*365*D103*N103</f>
        <v>0</v>
      </c>
      <c r="I103" s="16">
        <f>LCOE!M129+LCOE!J$20*IF(LCOE!J$14&gt;0,(LCOE!J$14+LCOE!H129),(LCOE!J$15+LCOE!I129))*K103*D103</f>
        <v>0</v>
      </c>
      <c r="J103" s="16">
        <f>LCOE!N129+LCOE!J$21*IF(LCOE!J$14&gt;0,G103,H103)*K103*D103</f>
        <v>0</v>
      </c>
      <c r="K103" s="15">
        <f>LCOE!O129+K102+K102*LCOE!J$22</f>
        <v>1</v>
      </c>
      <c r="L103" s="16">
        <f>LCOE!P129+LCOE!J$23*IF(LCOE!J$14&gt;0,G103,H103)*M103*D103</f>
        <v>0</v>
      </c>
      <c r="M103" s="15">
        <f>LCOE!Q129+M102+M102*LCOE!J$24</f>
        <v>1</v>
      </c>
      <c r="N103" s="15">
        <f>LCOE!R129+N102-N102*LCOE!J$25</f>
        <v>1</v>
      </c>
      <c r="O103" s="18">
        <f>LCOE!S129+LCOE!J$29</f>
        <v>313.75</v>
      </c>
      <c r="P103" s="12">
        <f>LCOE!T129+IF(A103&gt;=LCOE!J$30,100%,0%)</f>
        <v>1</v>
      </c>
      <c r="Q103" s="16">
        <f>LCOE!U129+O103/1000*IF(LCOE!J$14&gt;0,G103,H103)</f>
        <v>0</v>
      </c>
      <c r="R103" s="16">
        <f>LCOE!B129</f>
        <v>30</v>
      </c>
      <c r="S103" s="16">
        <f>LCOE!V129+Q103*P103*R103</f>
        <v>0</v>
      </c>
      <c r="T103" s="16">
        <f>LCOE!W129+LCOE!J$31</f>
        <v>0</v>
      </c>
      <c r="U103" s="16">
        <f>LCOE!X129+T103*IF(LCOE!J$14&gt;0,G103,H103)</f>
        <v>0</v>
      </c>
      <c r="V103" s="16">
        <f>LCOE!Y129+LCOE!J$32</f>
        <v>0</v>
      </c>
      <c r="W103" s="16">
        <f>LCOE!Z129+V103*IF(LCOE!J$14&gt;0,G103,H103)</f>
        <v>0</v>
      </c>
      <c r="X103" s="16">
        <f>LCOE!AA129+LCOE!J$34</f>
        <v>101</v>
      </c>
      <c r="Y103" s="16">
        <f t="shared" si="15"/>
        <v>0</v>
      </c>
      <c r="Z103" s="50">
        <f t="shared" si="18"/>
        <v>0</v>
      </c>
      <c r="AA103" s="50">
        <f t="shared" si="19"/>
        <v>0</v>
      </c>
      <c r="AB103" s="50">
        <f t="shared" si="20"/>
        <v>0</v>
      </c>
      <c r="AC103" s="50">
        <f t="shared" si="16"/>
        <v>0</v>
      </c>
      <c r="AD103" s="50">
        <f t="shared" si="11"/>
        <v>0</v>
      </c>
      <c r="AE103">
        <f t="shared" si="17"/>
        <v>30</v>
      </c>
      <c r="AF103" s="12">
        <f>LCOE!E129+LCOE!J$40</f>
        <v>0.12</v>
      </c>
      <c r="AG103">
        <f t="shared" si="12"/>
        <v>42.091533465487451</v>
      </c>
      <c r="AH103" s="16">
        <f t="shared" si="7"/>
        <v>0</v>
      </c>
      <c r="AI103" s="16">
        <f t="shared" si="8"/>
        <v>0</v>
      </c>
      <c r="AJ103" s="16">
        <f t="shared" si="9"/>
        <v>0</v>
      </c>
      <c r="AK103" s="16">
        <f t="shared" si="10"/>
        <v>0</v>
      </c>
      <c r="AL103" s="16">
        <f t="shared" si="13"/>
        <v>0</v>
      </c>
      <c r="AM103" s="16">
        <f t="shared" si="14"/>
        <v>0</v>
      </c>
      <c r="AN103" s="16">
        <f>IF(LCOE!J$14&gt;0,G103,H103)/AG103</f>
        <v>0</v>
      </c>
    </row>
    <row r="104" spans="1:40">
      <c r="A104">
        <v>34</v>
      </c>
      <c r="C104" s="16">
        <f>LCOE!J130+IF(AND(LCOE!J$26&gt;0,A104&gt;=LCOE!J$26,A104&lt;=(LCOE!J$26+LCOE!J$27-1)),LCOE!J$42/LCOE!J$27,0)+IF(AND(D104=0,AE104&gt;=LCOE!J$16,COUNTIF(D79:D104,0)=LCOE!J$36),LCOE!J$35*LCOE!J$38,0)</f>
        <v>0</v>
      </c>
      <c r="D104" s="16">
        <f>IF(AE103&lt;LCOE!J$16,1,0)</f>
        <v>0</v>
      </c>
      <c r="E104" s="12">
        <f>LCOE!G130+IF(AND(A104&gt;=LCOE!J$26,A104&lt;=(LCOE!J$26+LCOE!J$27-1)),0,1)*IF(A104=LCOE!J$34,0,1)*D104</f>
        <v>0</v>
      </c>
      <c r="F104" s="12">
        <f>IF(F103&lt;LCOE!J$18,MIN(F103*(1+LCOE!J$19),LCOE!J$18),LCOE!J$18)+LCOE!J130</f>
        <v>0.9</v>
      </c>
      <c r="G104" s="16">
        <f>LCOE!K130+E104*F104*N104*(LCOE!J$14+LCOE!H130)*24*365*D104</f>
        <v>0</v>
      </c>
      <c r="H104" s="16">
        <f>LCOE!L130+F104*(LCOE!J$15+LCOE!I130)*E104*24*365*D104*N104</f>
        <v>0</v>
      </c>
      <c r="I104" s="16">
        <f>LCOE!M130+LCOE!J$20*IF(LCOE!J$14&gt;0,(LCOE!J$14+LCOE!H130),(LCOE!J$15+LCOE!I130))*K104*D104</f>
        <v>0</v>
      </c>
      <c r="J104" s="16">
        <f>LCOE!N130+LCOE!J$21*IF(LCOE!J$14&gt;0,G104,H104)*K104*D104</f>
        <v>0</v>
      </c>
      <c r="K104" s="15">
        <f>LCOE!O130+K103+K103*LCOE!J$22</f>
        <v>1</v>
      </c>
      <c r="L104" s="16">
        <f>LCOE!P130+LCOE!J$23*IF(LCOE!J$14&gt;0,G104,H104)*M104*D104</f>
        <v>0</v>
      </c>
      <c r="M104" s="15">
        <f>LCOE!Q130+M103+M103*LCOE!J$24</f>
        <v>1</v>
      </c>
      <c r="N104" s="15">
        <f>LCOE!R130+N103-N103*LCOE!J$25</f>
        <v>1</v>
      </c>
      <c r="O104" s="18">
        <f>LCOE!S130+LCOE!J$29</f>
        <v>313.75</v>
      </c>
      <c r="P104" s="12">
        <f>LCOE!T130+IF(A104&gt;=LCOE!J$30,100%,0%)</f>
        <v>1</v>
      </c>
      <c r="Q104" s="16">
        <f>LCOE!U130+O104/1000*IF(LCOE!J$14&gt;0,G104,H104)</f>
        <v>0</v>
      </c>
      <c r="R104" s="16">
        <f>LCOE!B130</f>
        <v>30</v>
      </c>
      <c r="S104" s="16">
        <f>LCOE!V130+Q104*P104*R104</f>
        <v>0</v>
      </c>
      <c r="T104" s="16">
        <f>LCOE!W130+LCOE!J$31</f>
        <v>0</v>
      </c>
      <c r="U104" s="16">
        <f>LCOE!X130+T104*IF(LCOE!J$14&gt;0,G104,H104)</f>
        <v>0</v>
      </c>
      <c r="V104" s="16">
        <f>LCOE!Y130+LCOE!J$32</f>
        <v>0</v>
      </c>
      <c r="W104" s="16">
        <f>LCOE!Z130+V104*IF(LCOE!J$14&gt;0,G104,H104)</f>
        <v>0</v>
      </c>
      <c r="X104" s="16">
        <f>LCOE!AA130+LCOE!J$34</f>
        <v>101</v>
      </c>
      <c r="Y104" s="16">
        <f t="shared" si="15"/>
        <v>0</v>
      </c>
      <c r="Z104" s="50">
        <f t="shared" si="18"/>
        <v>0</v>
      </c>
      <c r="AA104" s="50">
        <f t="shared" si="19"/>
        <v>0</v>
      </c>
      <c r="AB104" s="50">
        <f t="shared" si="20"/>
        <v>0</v>
      </c>
      <c r="AC104" s="50">
        <f t="shared" si="16"/>
        <v>0</v>
      </c>
      <c r="AD104" s="50">
        <f t="shared" si="11"/>
        <v>0</v>
      </c>
      <c r="AE104">
        <f t="shared" si="17"/>
        <v>30</v>
      </c>
      <c r="AF104" s="12">
        <f>LCOE!E130+LCOE!J$40</f>
        <v>0.12</v>
      </c>
      <c r="AG104">
        <f t="shared" si="12"/>
        <v>47.142517481345948</v>
      </c>
      <c r="AH104" s="16">
        <f t="shared" si="7"/>
        <v>0</v>
      </c>
      <c r="AI104" s="16">
        <f t="shared" si="8"/>
        <v>0</v>
      </c>
      <c r="AJ104" s="16">
        <f t="shared" si="9"/>
        <v>0</v>
      </c>
      <c r="AK104" s="16">
        <f t="shared" si="10"/>
        <v>0</v>
      </c>
      <c r="AL104" s="16">
        <f t="shared" si="13"/>
        <v>0</v>
      </c>
      <c r="AM104" s="16">
        <f t="shared" si="14"/>
        <v>0</v>
      </c>
      <c r="AN104" s="16">
        <f>IF(LCOE!J$14&gt;0,G104,H104)/AG104</f>
        <v>0</v>
      </c>
    </row>
    <row r="105" spans="1:40">
      <c r="A105">
        <v>35</v>
      </c>
      <c r="C105" s="16">
        <f>LCOE!J131+IF(AND(LCOE!J$26&gt;0,A105&gt;=LCOE!J$26,A105&lt;=(LCOE!J$26+LCOE!J$27-1)),LCOE!J$42/LCOE!J$27,0)+IF(AND(D105=0,AE105&gt;=LCOE!J$16,COUNTIF(D80:D105,0)=LCOE!J$36),LCOE!J$35*LCOE!J$38,0)</f>
        <v>0</v>
      </c>
      <c r="D105" s="16">
        <f>IF(AE104&lt;LCOE!J$16,1,0)</f>
        <v>0</v>
      </c>
      <c r="E105" s="12">
        <f>LCOE!G131+IF(AND(A105&gt;=LCOE!J$26,A105&lt;=(LCOE!J$26+LCOE!J$27-1)),0,1)*IF(A105=LCOE!J$34,0,1)*D105</f>
        <v>0</v>
      </c>
      <c r="F105" s="12">
        <f>IF(F104&lt;LCOE!J$18,MIN(F104*(1+LCOE!J$19),LCOE!J$18),LCOE!J$18)+LCOE!J131</f>
        <v>0.9</v>
      </c>
      <c r="G105" s="16">
        <f>LCOE!K131+E105*F105*N105*(LCOE!J$14+LCOE!H131)*24*365*D105</f>
        <v>0</v>
      </c>
      <c r="H105" s="16">
        <f>LCOE!L131+F105*(LCOE!J$15+LCOE!I131)*E105*24*365*D105*N105</f>
        <v>0</v>
      </c>
      <c r="I105" s="16">
        <f>LCOE!M131+LCOE!J$20*IF(LCOE!J$14&gt;0,(LCOE!J$14+LCOE!H131),(LCOE!J$15+LCOE!I131))*K105*D105</f>
        <v>0</v>
      </c>
      <c r="J105" s="16">
        <f>LCOE!N131+LCOE!J$21*IF(LCOE!J$14&gt;0,G105,H105)*K105*D105</f>
        <v>0</v>
      </c>
      <c r="K105" s="15">
        <f>LCOE!O131+K104+K104*LCOE!J$22</f>
        <v>1</v>
      </c>
      <c r="L105" s="16">
        <f>LCOE!P131+LCOE!J$23*IF(LCOE!J$14&gt;0,G105,H105)*M105*D105</f>
        <v>0</v>
      </c>
      <c r="M105" s="15">
        <f>LCOE!Q131+M104+M104*LCOE!J$24</f>
        <v>1</v>
      </c>
      <c r="N105" s="15">
        <f>LCOE!R131+N104-N104*LCOE!J$25</f>
        <v>1</v>
      </c>
      <c r="O105" s="18">
        <f>LCOE!S131+LCOE!J$29</f>
        <v>313.75</v>
      </c>
      <c r="P105" s="12">
        <f>LCOE!T131+IF(A105&gt;=LCOE!J$30,100%,0%)</f>
        <v>1</v>
      </c>
      <c r="Q105" s="16">
        <f>LCOE!U131+O105/1000*IF(LCOE!J$14&gt;0,G105,H105)</f>
        <v>0</v>
      </c>
      <c r="R105" s="16">
        <f>LCOE!B131</f>
        <v>30</v>
      </c>
      <c r="S105" s="16">
        <f>LCOE!V131+Q105*P105*R105</f>
        <v>0</v>
      </c>
      <c r="T105" s="16">
        <f>LCOE!W131+LCOE!J$31</f>
        <v>0</v>
      </c>
      <c r="U105" s="16">
        <f>LCOE!X131+T105*IF(LCOE!J$14&gt;0,G105,H105)</f>
        <v>0</v>
      </c>
      <c r="V105" s="16">
        <f>LCOE!Y131+LCOE!J$32</f>
        <v>0</v>
      </c>
      <c r="W105" s="16">
        <f>LCOE!Z131+V105*IF(LCOE!J$14&gt;0,G105,H105)</f>
        <v>0</v>
      </c>
      <c r="X105" s="16">
        <f>LCOE!AA131+LCOE!J$34</f>
        <v>101</v>
      </c>
      <c r="Y105" s="16">
        <f t="shared" si="15"/>
        <v>0</v>
      </c>
      <c r="Z105" s="50">
        <f t="shared" si="18"/>
        <v>0</v>
      </c>
      <c r="AA105" s="50">
        <f t="shared" si="19"/>
        <v>0</v>
      </c>
      <c r="AB105" s="50">
        <f t="shared" si="20"/>
        <v>0</v>
      </c>
      <c r="AC105" s="50">
        <f t="shared" si="16"/>
        <v>0</v>
      </c>
      <c r="AD105" s="50">
        <f t="shared" si="11"/>
        <v>0</v>
      </c>
      <c r="AE105">
        <f t="shared" si="17"/>
        <v>30</v>
      </c>
      <c r="AF105" s="12">
        <f>LCOE!E131+LCOE!J$40</f>
        <v>0.12</v>
      </c>
      <c r="AG105">
        <f t="shared" si="12"/>
        <v>52.799619579107464</v>
      </c>
      <c r="AH105" s="16">
        <f t="shared" si="7"/>
        <v>0</v>
      </c>
      <c r="AI105" s="16">
        <f t="shared" si="8"/>
        <v>0</v>
      </c>
      <c r="AJ105" s="16">
        <f t="shared" si="9"/>
        <v>0</v>
      </c>
      <c r="AK105" s="16">
        <f t="shared" si="10"/>
        <v>0</v>
      </c>
      <c r="AL105" s="16">
        <f t="shared" si="13"/>
        <v>0</v>
      </c>
      <c r="AM105" s="16">
        <f t="shared" si="14"/>
        <v>0</v>
      </c>
      <c r="AN105" s="16">
        <f>IF(LCOE!J$14&gt;0,G105,H105)/AG105</f>
        <v>0</v>
      </c>
    </row>
    <row r="106" spans="1:40">
      <c r="A106">
        <v>36</v>
      </c>
      <c r="C106" s="16">
        <f>LCOE!J132+IF(AND(LCOE!J$26&gt;0,A106&gt;=LCOE!J$26,A106&lt;=(LCOE!J$26+LCOE!J$27-1)),LCOE!J$42/LCOE!J$27,0)+IF(AND(D106=0,AE106&gt;=LCOE!J$16,COUNTIF(D81:D106,0)=LCOE!J$36),LCOE!J$35*LCOE!J$38,0)</f>
        <v>0</v>
      </c>
      <c r="D106" s="16">
        <f>IF(AE105&lt;LCOE!J$16,1,0)</f>
        <v>0</v>
      </c>
      <c r="E106" s="12">
        <f>LCOE!G132+IF(AND(A106&gt;=LCOE!J$26,A106&lt;=(LCOE!J$26+LCOE!J$27-1)),0,1)*IF(A106=LCOE!J$34,0,1)*D106</f>
        <v>0</v>
      </c>
      <c r="F106" s="12">
        <f>IF(F105&lt;LCOE!J$18,MIN(F105*(1+LCOE!J$19),LCOE!J$18),LCOE!J$18)+LCOE!J132</f>
        <v>0.9</v>
      </c>
      <c r="G106" s="16">
        <f>LCOE!K132+E106*F106*N106*(LCOE!J$14+LCOE!H132)*24*365*D106</f>
        <v>0</v>
      </c>
      <c r="H106" s="16">
        <f>LCOE!L132+F106*(LCOE!J$15+LCOE!I132)*E106*24*365*D106*N106</f>
        <v>0</v>
      </c>
      <c r="I106" s="16">
        <f>LCOE!M132+LCOE!J$20*IF(LCOE!J$14&gt;0,(LCOE!J$14+LCOE!H132),(LCOE!J$15+LCOE!I132))*K106*D106</f>
        <v>0</v>
      </c>
      <c r="J106" s="16">
        <f>LCOE!N132+LCOE!J$21*IF(LCOE!J$14&gt;0,G106,H106)*K106*D106</f>
        <v>0</v>
      </c>
      <c r="K106" s="15">
        <f>LCOE!O132+K105+K105*LCOE!J$22</f>
        <v>1</v>
      </c>
      <c r="L106" s="16">
        <f>LCOE!P132+LCOE!J$23*IF(LCOE!J$14&gt;0,G106,H106)*M106*D106</f>
        <v>0</v>
      </c>
      <c r="M106" s="15">
        <f>LCOE!Q132+M105+M105*LCOE!J$24</f>
        <v>1</v>
      </c>
      <c r="N106" s="15">
        <f>LCOE!R132+N105-N105*LCOE!J$25</f>
        <v>1</v>
      </c>
      <c r="O106" s="18">
        <f>LCOE!S132+LCOE!J$29</f>
        <v>313.75</v>
      </c>
      <c r="P106" s="12">
        <f>LCOE!T132+IF(A106&gt;=LCOE!J$30,100%,0%)</f>
        <v>1</v>
      </c>
      <c r="Q106" s="16">
        <f>LCOE!U132+O106/1000*IF(LCOE!J$14&gt;0,G106,H106)</f>
        <v>0</v>
      </c>
      <c r="R106" s="16">
        <f>LCOE!B132</f>
        <v>30</v>
      </c>
      <c r="S106" s="16">
        <f>LCOE!V132+Q106*P106*R106</f>
        <v>0</v>
      </c>
      <c r="T106" s="16">
        <f>LCOE!W132+LCOE!J$31</f>
        <v>0</v>
      </c>
      <c r="U106" s="16">
        <f>LCOE!X132+T106*IF(LCOE!J$14&gt;0,G106,H106)</f>
        <v>0</v>
      </c>
      <c r="V106" s="16">
        <f>LCOE!Y132+LCOE!J$32</f>
        <v>0</v>
      </c>
      <c r="W106" s="16">
        <f>LCOE!Z132+V106*IF(LCOE!J$14&gt;0,G106,H106)</f>
        <v>0</v>
      </c>
      <c r="X106" s="16">
        <f>LCOE!AA132+LCOE!J$34</f>
        <v>101</v>
      </c>
      <c r="Y106" s="16">
        <f t="shared" si="15"/>
        <v>0</v>
      </c>
      <c r="Z106" s="50">
        <f t="shared" si="18"/>
        <v>0</v>
      </c>
      <c r="AA106" s="50">
        <f t="shared" si="19"/>
        <v>0</v>
      </c>
      <c r="AB106" s="50">
        <f t="shared" si="20"/>
        <v>0</v>
      </c>
      <c r="AC106" s="50">
        <f t="shared" si="16"/>
        <v>0</v>
      </c>
      <c r="AD106" s="50">
        <f t="shared" si="11"/>
        <v>0</v>
      </c>
      <c r="AE106">
        <f t="shared" si="17"/>
        <v>30</v>
      </c>
      <c r="AF106" s="12">
        <f>LCOE!E132+LCOE!J$40</f>
        <v>0.12</v>
      </c>
      <c r="AG106">
        <f t="shared" si="12"/>
        <v>59.135573928600358</v>
      </c>
      <c r="AH106" s="16">
        <f t="shared" si="7"/>
        <v>0</v>
      </c>
      <c r="AI106" s="16">
        <f t="shared" si="8"/>
        <v>0</v>
      </c>
      <c r="AJ106" s="16">
        <f t="shared" si="9"/>
        <v>0</v>
      </c>
      <c r="AK106" s="16">
        <f t="shared" si="10"/>
        <v>0</v>
      </c>
      <c r="AL106" s="16">
        <f t="shared" si="13"/>
        <v>0</v>
      </c>
      <c r="AM106" s="16">
        <f t="shared" si="14"/>
        <v>0</v>
      </c>
      <c r="AN106" s="16">
        <f>IF(LCOE!J$14&gt;0,G106,H106)/AG106</f>
        <v>0</v>
      </c>
    </row>
    <row r="107" spans="1:40">
      <c r="A107">
        <v>37</v>
      </c>
      <c r="C107" s="16">
        <f>LCOE!J133+IF(AND(LCOE!J$26&gt;0,A107&gt;=LCOE!J$26,A107&lt;=(LCOE!J$26+LCOE!J$27-1)),LCOE!J$42/LCOE!J$27,0)+IF(AND(D107=0,AE107&gt;=LCOE!J$16,COUNTIF(D82:D107,0)=LCOE!J$36),LCOE!J$35*LCOE!J$38,0)</f>
        <v>0</v>
      </c>
      <c r="D107" s="16">
        <f>IF(AE106&lt;LCOE!J$16,1,0)</f>
        <v>0</v>
      </c>
      <c r="E107" s="12">
        <f>LCOE!G133+IF(AND(A107&gt;=LCOE!J$26,A107&lt;=(LCOE!J$26+LCOE!J$27-1)),0,1)*IF(A107=LCOE!J$34,0,1)*D107</f>
        <v>0</v>
      </c>
      <c r="F107" s="12">
        <f>IF(F106&lt;LCOE!J$18,MIN(F106*(1+LCOE!J$19),LCOE!J$18),LCOE!J$18)+LCOE!J133</f>
        <v>0.9</v>
      </c>
      <c r="G107" s="16">
        <f>LCOE!K133+E107*F107*N107*(LCOE!J$14+LCOE!H133)*24*365*D107</f>
        <v>0</v>
      </c>
      <c r="H107" s="16">
        <f>LCOE!L133+F107*(LCOE!J$15+LCOE!I133)*E107*24*365*D107*N107</f>
        <v>0</v>
      </c>
      <c r="I107" s="16">
        <f>LCOE!M133+LCOE!J$20*IF(LCOE!J$14&gt;0,(LCOE!J$14+LCOE!H133),(LCOE!J$15+LCOE!I133))*K107*D107</f>
        <v>0</v>
      </c>
      <c r="J107" s="16">
        <f>LCOE!N133+LCOE!J$21*IF(LCOE!J$14&gt;0,G107,H107)*K107*D107</f>
        <v>0</v>
      </c>
      <c r="K107" s="15">
        <f>LCOE!O133+K106+K106*LCOE!J$22</f>
        <v>1</v>
      </c>
      <c r="L107" s="16">
        <f>LCOE!P133+LCOE!J$23*IF(LCOE!J$14&gt;0,G107,H107)*M107*D107</f>
        <v>0</v>
      </c>
      <c r="M107" s="15">
        <f>LCOE!Q133+M106+M106*LCOE!J$24</f>
        <v>1</v>
      </c>
      <c r="N107" s="15">
        <f>LCOE!R133+N106-N106*LCOE!J$25</f>
        <v>1</v>
      </c>
      <c r="O107" s="18">
        <f>LCOE!S133+LCOE!J$29</f>
        <v>313.75</v>
      </c>
      <c r="P107" s="12">
        <f>LCOE!T133+IF(A107&gt;=LCOE!J$30,100%,0%)</f>
        <v>1</v>
      </c>
      <c r="Q107" s="16">
        <f>LCOE!U133+O107/1000*IF(LCOE!J$14&gt;0,G107,H107)</f>
        <v>0</v>
      </c>
      <c r="R107" s="16">
        <f>LCOE!B133</f>
        <v>30</v>
      </c>
      <c r="S107" s="16">
        <f>LCOE!V133+Q107*P107*R107</f>
        <v>0</v>
      </c>
      <c r="T107" s="16">
        <f>LCOE!W133+LCOE!J$31</f>
        <v>0</v>
      </c>
      <c r="U107" s="16">
        <f>LCOE!X133+T107*IF(LCOE!J$14&gt;0,G107,H107)</f>
        <v>0</v>
      </c>
      <c r="V107" s="16">
        <f>LCOE!Y133+LCOE!J$32</f>
        <v>0</v>
      </c>
      <c r="W107" s="16">
        <f>LCOE!Z133+V107*IF(LCOE!J$14&gt;0,G107,H107)</f>
        <v>0</v>
      </c>
      <c r="X107" s="16">
        <f>LCOE!AA133+LCOE!J$34</f>
        <v>101</v>
      </c>
      <c r="Y107" s="16">
        <f t="shared" si="15"/>
        <v>0</v>
      </c>
      <c r="Z107" s="50">
        <f t="shared" si="18"/>
        <v>0</v>
      </c>
      <c r="AA107" s="50">
        <f t="shared" si="19"/>
        <v>0</v>
      </c>
      <c r="AB107" s="50">
        <f t="shared" si="20"/>
        <v>0</v>
      </c>
      <c r="AC107" s="50">
        <f t="shared" si="16"/>
        <v>0</v>
      </c>
      <c r="AD107" s="50">
        <f t="shared" si="11"/>
        <v>0</v>
      </c>
      <c r="AE107">
        <f t="shared" si="17"/>
        <v>30</v>
      </c>
      <c r="AF107" s="12">
        <f>LCOE!E133+LCOE!J$40</f>
        <v>0.12</v>
      </c>
      <c r="AG107">
        <f t="shared" si="12"/>
        <v>66.23184280003241</v>
      </c>
      <c r="AH107" s="16">
        <f t="shared" si="7"/>
        <v>0</v>
      </c>
      <c r="AI107" s="16">
        <f t="shared" si="8"/>
        <v>0</v>
      </c>
      <c r="AJ107" s="16">
        <f t="shared" si="9"/>
        <v>0</v>
      </c>
      <c r="AK107" s="16">
        <f t="shared" si="10"/>
        <v>0</v>
      </c>
      <c r="AL107" s="16">
        <f t="shared" si="13"/>
        <v>0</v>
      </c>
      <c r="AM107" s="16">
        <f t="shared" si="14"/>
        <v>0</v>
      </c>
      <c r="AN107" s="16">
        <f>IF(LCOE!J$14&gt;0,G107,H107)/AG107</f>
        <v>0</v>
      </c>
    </row>
    <row r="108" spans="1:40">
      <c r="A108">
        <v>38</v>
      </c>
      <c r="C108" s="16">
        <f>LCOE!J134+IF(AND(LCOE!J$26&gt;0,A108&gt;=LCOE!J$26,A108&lt;=(LCOE!J$26+LCOE!J$27-1)),LCOE!J$42/LCOE!J$27,0)+IF(AND(D108=0,AE108&gt;=LCOE!J$16,COUNTIF(D83:D108,0)=LCOE!J$36),LCOE!J$35*LCOE!J$38,0)</f>
        <v>0</v>
      </c>
      <c r="D108" s="16">
        <f>IF(AE107&lt;LCOE!J$16,1,0)</f>
        <v>0</v>
      </c>
      <c r="E108" s="12">
        <f>LCOE!G134+IF(AND(A108&gt;=LCOE!J$26,A108&lt;=(LCOE!J$26+LCOE!J$27-1)),0,1)*IF(A108=LCOE!J$34,0,1)*D108</f>
        <v>0</v>
      </c>
      <c r="F108" s="12">
        <f>IF(F107&lt;LCOE!J$18,MIN(F107*(1+LCOE!J$19),LCOE!J$18),LCOE!J$18)+LCOE!J134</f>
        <v>0.9</v>
      </c>
      <c r="G108" s="16">
        <f>LCOE!K134+E108*F108*N108*(LCOE!J$14+LCOE!H134)*24*365*D108</f>
        <v>0</v>
      </c>
      <c r="H108" s="16">
        <f>LCOE!L134+F108*(LCOE!J$15+LCOE!I134)*E108*24*365*D108*N108</f>
        <v>0</v>
      </c>
      <c r="I108" s="16">
        <f>LCOE!M134+LCOE!J$20*IF(LCOE!J$14&gt;0,(LCOE!J$14+LCOE!H134),(LCOE!J$15+LCOE!I134))*K108*D108</f>
        <v>0</v>
      </c>
      <c r="J108" s="16">
        <f>LCOE!N134+LCOE!J$21*IF(LCOE!J$14&gt;0,G108,H108)*K108*D108</f>
        <v>0</v>
      </c>
      <c r="K108" s="15">
        <f>LCOE!O134+K107+K107*LCOE!J$22</f>
        <v>1</v>
      </c>
      <c r="L108" s="16">
        <f>LCOE!P134+LCOE!J$23*IF(LCOE!J$14&gt;0,G108,H108)*M108*D108</f>
        <v>0</v>
      </c>
      <c r="M108" s="15">
        <f>LCOE!Q134+M107+M107*LCOE!J$24</f>
        <v>1</v>
      </c>
      <c r="N108" s="15">
        <f>LCOE!R134+N107-N107*LCOE!J$25</f>
        <v>1</v>
      </c>
      <c r="O108" s="18">
        <f>LCOE!S134+LCOE!J$29</f>
        <v>313.75</v>
      </c>
      <c r="P108" s="12">
        <f>LCOE!T134+IF(A108&gt;=LCOE!J$30,100%,0%)</f>
        <v>1</v>
      </c>
      <c r="Q108" s="16">
        <f>LCOE!U134+O108/1000*IF(LCOE!J$14&gt;0,G108,H108)</f>
        <v>0</v>
      </c>
      <c r="R108" s="16">
        <f>LCOE!B134</f>
        <v>30</v>
      </c>
      <c r="S108" s="16">
        <f>LCOE!V134+Q108*P108*R108</f>
        <v>0</v>
      </c>
      <c r="T108" s="16">
        <f>LCOE!W134+LCOE!J$31</f>
        <v>0</v>
      </c>
      <c r="U108" s="16">
        <f>LCOE!X134+T108*IF(LCOE!J$14&gt;0,G108,H108)</f>
        <v>0</v>
      </c>
      <c r="V108" s="16">
        <f>LCOE!Y134+LCOE!J$32</f>
        <v>0</v>
      </c>
      <c r="W108" s="16">
        <f>LCOE!Z134+V108*IF(LCOE!J$14&gt;0,G108,H108)</f>
        <v>0</v>
      </c>
      <c r="X108" s="16">
        <f>LCOE!AA134+LCOE!J$34</f>
        <v>101</v>
      </c>
      <c r="Y108" s="16">
        <f t="shared" si="15"/>
        <v>0</v>
      </c>
      <c r="Z108" s="50">
        <f t="shared" si="18"/>
        <v>0</v>
      </c>
      <c r="AA108" s="50">
        <f t="shared" si="19"/>
        <v>0</v>
      </c>
      <c r="AB108" s="50">
        <f t="shared" si="20"/>
        <v>0</v>
      </c>
      <c r="AC108" s="50">
        <f t="shared" si="16"/>
        <v>0</v>
      </c>
      <c r="AD108" s="50">
        <f t="shared" si="11"/>
        <v>0</v>
      </c>
      <c r="AE108">
        <f t="shared" si="17"/>
        <v>30</v>
      </c>
      <c r="AF108" s="12">
        <f>LCOE!E134+LCOE!J$40</f>
        <v>0.12</v>
      </c>
      <c r="AG108">
        <f t="shared" si="12"/>
        <v>74.179663936036306</v>
      </c>
      <c r="AH108" s="16">
        <f t="shared" si="7"/>
        <v>0</v>
      </c>
      <c r="AI108" s="16">
        <f t="shared" si="8"/>
        <v>0</v>
      </c>
      <c r="AJ108" s="16">
        <f t="shared" si="9"/>
        <v>0</v>
      </c>
      <c r="AK108" s="16">
        <f t="shared" si="10"/>
        <v>0</v>
      </c>
      <c r="AL108" s="16">
        <f t="shared" si="13"/>
        <v>0</v>
      </c>
      <c r="AM108" s="16">
        <f t="shared" si="14"/>
        <v>0</v>
      </c>
      <c r="AN108" s="16">
        <f>IF(LCOE!J$14&gt;0,G108,H108)/AG108</f>
        <v>0</v>
      </c>
    </row>
    <row r="109" spans="1:40">
      <c r="A109">
        <v>39</v>
      </c>
      <c r="C109" s="16">
        <f>LCOE!J135+IF(AND(LCOE!J$26&gt;0,A109&gt;=LCOE!J$26,A109&lt;=(LCOE!J$26+LCOE!J$27-1)),LCOE!J$42/LCOE!J$27,0)+IF(AND(D109=0,AE109&gt;=LCOE!J$16,COUNTIF(D84:D109,0)=LCOE!J$36),LCOE!J$35*LCOE!J$38,0)</f>
        <v>0</v>
      </c>
      <c r="D109" s="16">
        <f>IF(AE108&lt;LCOE!J$16,1,0)</f>
        <v>0</v>
      </c>
      <c r="E109" s="12">
        <f>LCOE!G135+IF(AND(A109&gt;=LCOE!J$26,A109&lt;=(LCOE!J$26+LCOE!J$27-1)),0,1)*IF(A109=LCOE!J$34,0,1)*D109</f>
        <v>0</v>
      </c>
      <c r="F109" s="12">
        <f>IF(F108&lt;LCOE!J$18,MIN(F108*(1+LCOE!J$19),LCOE!J$18),LCOE!J$18)+LCOE!J135</f>
        <v>0.9</v>
      </c>
      <c r="G109" s="16">
        <f>LCOE!K135+E109*F109*N109*(LCOE!J$14+LCOE!H135)*24*365*D109</f>
        <v>0</v>
      </c>
      <c r="H109" s="16">
        <f>LCOE!L135+F109*(LCOE!J$15+LCOE!I135)*E109*24*365*D109*N109</f>
        <v>0</v>
      </c>
      <c r="I109" s="16">
        <f>LCOE!M135+LCOE!J$20*IF(LCOE!J$14&gt;0,(LCOE!J$14+LCOE!H135),(LCOE!J$15+LCOE!I135))*K109*D109</f>
        <v>0</v>
      </c>
      <c r="J109" s="16">
        <f>LCOE!N135+LCOE!J$21*IF(LCOE!J$14&gt;0,G109,H109)*K109*D109</f>
        <v>0</v>
      </c>
      <c r="K109" s="15">
        <f>LCOE!O135+K108+K108*LCOE!J$22</f>
        <v>1</v>
      </c>
      <c r="L109" s="16">
        <f>LCOE!P135+LCOE!J$23*IF(LCOE!J$14&gt;0,G109,H109)*M109*D109</f>
        <v>0</v>
      </c>
      <c r="M109" s="15">
        <f>LCOE!Q135+M108+M108*LCOE!J$24</f>
        <v>1</v>
      </c>
      <c r="N109" s="15">
        <f>LCOE!R135+N108-N108*LCOE!J$25</f>
        <v>1</v>
      </c>
      <c r="O109" s="18">
        <f>LCOE!S135+LCOE!J$29</f>
        <v>313.75</v>
      </c>
      <c r="P109" s="12">
        <f>LCOE!T135+IF(A109&gt;=LCOE!J$30,100%,0%)</f>
        <v>1</v>
      </c>
      <c r="Q109" s="16">
        <f>LCOE!U135+O109/1000*IF(LCOE!J$14&gt;0,G109,H109)</f>
        <v>0</v>
      </c>
      <c r="R109" s="16">
        <f>LCOE!B135</f>
        <v>30</v>
      </c>
      <c r="S109" s="16">
        <f>LCOE!V135+Q109*P109*R109</f>
        <v>0</v>
      </c>
      <c r="T109" s="16">
        <f>LCOE!W135+LCOE!J$31</f>
        <v>0</v>
      </c>
      <c r="U109" s="16">
        <f>LCOE!X135+T109*IF(LCOE!J$14&gt;0,G109,H109)</f>
        <v>0</v>
      </c>
      <c r="V109" s="16">
        <f>LCOE!Y135+LCOE!J$32</f>
        <v>0</v>
      </c>
      <c r="W109" s="16">
        <f>LCOE!Z135+V109*IF(LCOE!J$14&gt;0,G109,H109)</f>
        <v>0</v>
      </c>
      <c r="X109" s="16">
        <f>LCOE!AA135+LCOE!J$34</f>
        <v>101</v>
      </c>
      <c r="Y109" s="16">
        <f t="shared" si="15"/>
        <v>0</v>
      </c>
      <c r="Z109" s="50">
        <f t="shared" si="18"/>
        <v>0</v>
      </c>
      <c r="AA109" s="50">
        <f t="shared" si="19"/>
        <v>0</v>
      </c>
      <c r="AB109" s="50">
        <f t="shared" si="20"/>
        <v>0</v>
      </c>
      <c r="AC109" s="50">
        <f t="shared" si="16"/>
        <v>0</v>
      </c>
      <c r="AD109" s="50">
        <f t="shared" si="11"/>
        <v>0</v>
      </c>
      <c r="AE109">
        <f t="shared" si="17"/>
        <v>30</v>
      </c>
      <c r="AF109" s="12">
        <f>LCOE!E135+LCOE!J$40</f>
        <v>0.12</v>
      </c>
      <c r="AG109">
        <f t="shared" si="12"/>
        <v>83.081223608360659</v>
      </c>
      <c r="AH109" s="16">
        <f t="shared" ref="AH109:AH170" si="21">Z109/AG109</f>
        <v>0</v>
      </c>
      <c r="AI109" s="16">
        <f t="shared" ref="AI109:AI170" si="22">AA109/AG109</f>
        <v>0</v>
      </c>
      <c r="AJ109" s="16">
        <f t="shared" ref="AJ109:AJ170" si="23">AB109/AG109</f>
        <v>0</v>
      </c>
      <c r="AK109" s="16">
        <f t="shared" ref="AK109:AK170" si="24">AC109/AG109</f>
        <v>0</v>
      </c>
      <c r="AL109" s="16">
        <f t="shared" si="13"/>
        <v>0</v>
      </c>
      <c r="AM109" s="16">
        <f t="shared" si="14"/>
        <v>0</v>
      </c>
      <c r="AN109" s="16">
        <f>IF(LCOE!J$14&gt;0,G109,H109)/AG109</f>
        <v>0</v>
      </c>
    </row>
    <row r="110" spans="1:40">
      <c r="A110">
        <v>40</v>
      </c>
      <c r="C110" s="16">
        <f>LCOE!J136+IF(AND(LCOE!J$26&gt;0,A110&gt;=LCOE!J$26,A110&lt;=(LCOE!J$26+LCOE!J$27-1)),LCOE!J$42/LCOE!J$27,0)+IF(AND(D110=0,AE110&gt;=LCOE!J$16,COUNTIF(D85:D110,0)=LCOE!J$36),LCOE!J$35*LCOE!J$38,0)</f>
        <v>0</v>
      </c>
      <c r="D110" s="16">
        <f>IF(AE109&lt;LCOE!J$16,1,0)</f>
        <v>0</v>
      </c>
      <c r="E110" s="12">
        <f>LCOE!G136+IF(AND(A110&gt;=LCOE!J$26,A110&lt;=(LCOE!J$26+LCOE!J$27-1)),0,1)*IF(A110=LCOE!J$34,0,1)*D110</f>
        <v>0</v>
      </c>
      <c r="F110" s="12">
        <f>IF(F109&lt;LCOE!J$18,MIN(F109*(1+LCOE!J$19),LCOE!J$18),LCOE!J$18)+LCOE!J136</f>
        <v>0.9</v>
      </c>
      <c r="G110" s="16">
        <f>LCOE!K136+E110*F110*N110*(LCOE!J$14+LCOE!H136)*24*365*D110</f>
        <v>0</v>
      </c>
      <c r="H110" s="16">
        <f>LCOE!L136+F110*(LCOE!J$15+LCOE!I136)*E110*24*365*D110*N110</f>
        <v>0</v>
      </c>
      <c r="I110" s="16">
        <f>LCOE!M136+LCOE!J$20*IF(LCOE!J$14&gt;0,(LCOE!J$14+LCOE!H136),(LCOE!J$15+LCOE!I136))*K110*D110</f>
        <v>0</v>
      </c>
      <c r="J110" s="16">
        <f>LCOE!N136+LCOE!J$21*IF(LCOE!J$14&gt;0,G110,H110)*K110*D110</f>
        <v>0</v>
      </c>
      <c r="K110" s="15">
        <f>LCOE!O136+K109+K109*LCOE!J$22</f>
        <v>1</v>
      </c>
      <c r="L110" s="16">
        <f>LCOE!P136+LCOE!J$23*IF(LCOE!J$14&gt;0,G110,H110)*M110*D110</f>
        <v>0</v>
      </c>
      <c r="M110" s="15">
        <f>LCOE!Q136+M109+M109*LCOE!J$24</f>
        <v>1</v>
      </c>
      <c r="N110" s="15">
        <f>LCOE!R136+N109-N109*LCOE!J$25</f>
        <v>1</v>
      </c>
      <c r="O110" s="18">
        <f>LCOE!S136+LCOE!J$29</f>
        <v>313.75</v>
      </c>
      <c r="P110" s="12">
        <f>LCOE!T136+IF(A110&gt;=LCOE!J$30,100%,0%)</f>
        <v>1</v>
      </c>
      <c r="Q110" s="16">
        <f>LCOE!U136+O110/1000*IF(LCOE!J$14&gt;0,G110,H110)</f>
        <v>0</v>
      </c>
      <c r="R110" s="16">
        <f>LCOE!B136</f>
        <v>30</v>
      </c>
      <c r="S110" s="16">
        <f>LCOE!V136+Q110*P110*R110</f>
        <v>0</v>
      </c>
      <c r="T110" s="16">
        <f>LCOE!W136+LCOE!J$31</f>
        <v>0</v>
      </c>
      <c r="U110" s="16">
        <f>LCOE!X136+T110*IF(LCOE!J$14&gt;0,G110,H110)</f>
        <v>0</v>
      </c>
      <c r="V110" s="16">
        <f>LCOE!Y136+LCOE!J$32</f>
        <v>0</v>
      </c>
      <c r="W110" s="16">
        <f>LCOE!Z136+V110*IF(LCOE!J$14&gt;0,G110,H110)</f>
        <v>0</v>
      </c>
      <c r="X110" s="16">
        <f>LCOE!AA136+LCOE!J$34</f>
        <v>101</v>
      </c>
      <c r="Y110" s="16">
        <f t="shared" si="15"/>
        <v>0</v>
      </c>
      <c r="Z110" s="50">
        <f t="shared" si="18"/>
        <v>0</v>
      </c>
      <c r="AA110" s="50">
        <f t="shared" si="19"/>
        <v>0</v>
      </c>
      <c r="AB110" s="50">
        <f t="shared" si="20"/>
        <v>0</v>
      </c>
      <c r="AC110" s="50">
        <f t="shared" si="16"/>
        <v>0</v>
      </c>
      <c r="AD110" s="50">
        <f t="shared" ref="AD110:AD170" si="25">S110</f>
        <v>0</v>
      </c>
      <c r="AE110">
        <f t="shared" si="17"/>
        <v>30</v>
      </c>
      <c r="AF110" s="12">
        <f>LCOE!E136+LCOE!J$40</f>
        <v>0.12</v>
      </c>
      <c r="AG110">
        <f t="shared" ref="AG110:AG170" si="26">(1+AF110)^A110</f>
        <v>93.050970441363958</v>
      </c>
      <c r="AH110" s="16">
        <f t="shared" si="21"/>
        <v>0</v>
      </c>
      <c r="AI110" s="16">
        <f t="shared" si="22"/>
        <v>0</v>
      </c>
      <c r="AJ110" s="16">
        <f t="shared" si="23"/>
        <v>0</v>
      </c>
      <c r="AK110" s="16">
        <f t="shared" si="24"/>
        <v>0</v>
      </c>
      <c r="AL110" s="16">
        <f t="shared" ref="AL110:AL170" si="27">AD110/AG110</f>
        <v>0</v>
      </c>
      <c r="AM110" s="16">
        <f t="shared" si="14"/>
        <v>0</v>
      </c>
      <c r="AN110" s="16">
        <f>IF(LCOE!J$14&gt;0,G110,H110)/AG110</f>
        <v>0</v>
      </c>
    </row>
    <row r="111" spans="1:40">
      <c r="A111">
        <v>41</v>
      </c>
      <c r="C111" s="16">
        <f>LCOE!J137+IF(AND(LCOE!J$26&gt;0,A111&gt;=LCOE!J$26,A111&lt;=(LCOE!J$26+LCOE!J$27-1)),LCOE!J$42/LCOE!J$27,0)+IF(AND(D111=0,AE111&gt;=LCOE!J$16,COUNTIF(D86:D111,0)=LCOE!J$36),LCOE!J$35*LCOE!J$38,0)</f>
        <v>0</v>
      </c>
      <c r="D111" s="16">
        <f>IF(AE110&lt;LCOE!J$16,1,0)</f>
        <v>0</v>
      </c>
      <c r="E111" s="12">
        <f>LCOE!G137+IF(AND(A111&gt;=LCOE!J$26,A111&lt;=(LCOE!J$26+LCOE!J$27-1)),0,1)*IF(A111=LCOE!J$34,0,1)*D111</f>
        <v>0</v>
      </c>
      <c r="F111" s="12">
        <f>IF(F110&lt;LCOE!J$18,MIN(F110*(1+LCOE!J$19),LCOE!J$18),LCOE!J$18)+LCOE!J137</f>
        <v>0.9</v>
      </c>
      <c r="G111" s="16">
        <f>LCOE!K137+E111*F111*N111*(LCOE!J$14+LCOE!H137)*24*365*D111</f>
        <v>0</v>
      </c>
      <c r="H111" s="16">
        <f>LCOE!L137+F111*(LCOE!J$15+LCOE!I137)*E111*24*365*D111*N111</f>
        <v>0</v>
      </c>
      <c r="I111" s="16">
        <f>LCOE!M137+LCOE!J$20*IF(LCOE!J$14&gt;0,(LCOE!J$14+LCOE!H137),(LCOE!J$15+LCOE!I137))*K111*D111</f>
        <v>0</v>
      </c>
      <c r="J111" s="16">
        <f>LCOE!N137+LCOE!J$21*IF(LCOE!J$14&gt;0,G111,H111)*K111*D111</f>
        <v>0</v>
      </c>
      <c r="K111" s="15">
        <f>LCOE!O137+K110+K110*LCOE!J$22</f>
        <v>1</v>
      </c>
      <c r="L111" s="16">
        <f>LCOE!P137+LCOE!J$23*IF(LCOE!J$14&gt;0,G111,H111)*M111*D111</f>
        <v>0</v>
      </c>
      <c r="M111" s="15">
        <f>LCOE!Q137+M110+M110*LCOE!J$24</f>
        <v>1</v>
      </c>
      <c r="N111" s="15">
        <f>LCOE!R137+N110-N110*LCOE!J$25</f>
        <v>1</v>
      </c>
      <c r="O111" s="18">
        <f>LCOE!S137+LCOE!J$29</f>
        <v>313.75</v>
      </c>
      <c r="P111" s="12">
        <f>LCOE!T137+IF(A111&gt;=LCOE!J$30,100%,0%)</f>
        <v>1</v>
      </c>
      <c r="Q111" s="16">
        <f>LCOE!U137+O111/1000*IF(LCOE!J$14&gt;0,G111,H111)</f>
        <v>0</v>
      </c>
      <c r="R111" s="16">
        <f>LCOE!B137</f>
        <v>30</v>
      </c>
      <c r="S111" s="16">
        <f>LCOE!V137+Q111*P111*R111</f>
        <v>0</v>
      </c>
      <c r="T111" s="16">
        <f>LCOE!W137+LCOE!J$31</f>
        <v>0</v>
      </c>
      <c r="U111" s="16">
        <f>LCOE!X137+T111*IF(LCOE!J$14&gt;0,G111,H111)</f>
        <v>0</v>
      </c>
      <c r="V111" s="16">
        <f>LCOE!Y137+LCOE!J$32</f>
        <v>0</v>
      </c>
      <c r="W111" s="16">
        <f>LCOE!Z137+V111*IF(LCOE!J$14&gt;0,G111,H111)</f>
        <v>0</v>
      </c>
      <c r="X111" s="16">
        <f>LCOE!AA137+LCOE!J$34</f>
        <v>101</v>
      </c>
      <c r="Y111" s="16">
        <f t="shared" si="15"/>
        <v>0</v>
      </c>
      <c r="Z111" s="50">
        <f t="shared" si="18"/>
        <v>0</v>
      </c>
      <c r="AA111" s="50">
        <f t="shared" si="19"/>
        <v>0</v>
      </c>
      <c r="AB111" s="50">
        <f t="shared" si="20"/>
        <v>0</v>
      </c>
      <c r="AC111" s="50">
        <f t="shared" si="16"/>
        <v>0</v>
      </c>
      <c r="AD111" s="50">
        <f t="shared" si="25"/>
        <v>0</v>
      </c>
      <c r="AE111">
        <f t="shared" si="17"/>
        <v>30</v>
      </c>
      <c r="AF111" s="12">
        <f>LCOE!E137+LCOE!J$40</f>
        <v>0.12</v>
      </c>
      <c r="AG111">
        <f t="shared" si="26"/>
        <v>104.21708689432762</v>
      </c>
      <c r="AH111" s="16">
        <f t="shared" si="21"/>
        <v>0</v>
      </c>
      <c r="AI111" s="16">
        <f t="shared" si="22"/>
        <v>0</v>
      </c>
      <c r="AJ111" s="16">
        <f t="shared" si="23"/>
        <v>0</v>
      </c>
      <c r="AK111" s="16">
        <f t="shared" si="24"/>
        <v>0</v>
      </c>
      <c r="AL111" s="16">
        <f t="shared" si="27"/>
        <v>0</v>
      </c>
      <c r="AM111" s="16">
        <f t="shared" si="14"/>
        <v>0</v>
      </c>
      <c r="AN111" s="16">
        <f>IF(LCOE!J$14&gt;0,G111,H111)/AG111</f>
        <v>0</v>
      </c>
    </row>
    <row r="112" spans="1:40">
      <c r="A112">
        <v>42</v>
      </c>
      <c r="C112" s="16">
        <f>LCOE!J138+IF(AND(LCOE!J$26&gt;0,A112&gt;=LCOE!J$26,A112&lt;=(LCOE!J$26+LCOE!J$27-1)),LCOE!J$42/LCOE!J$27,0)+IF(AND(D112=0,AE112&gt;=LCOE!J$16,COUNTIF(D87:D112,0)=LCOE!J$36),LCOE!J$35*LCOE!J$38,0)</f>
        <v>0</v>
      </c>
      <c r="D112" s="16">
        <f>IF(AE111&lt;LCOE!J$16,1,0)</f>
        <v>0</v>
      </c>
      <c r="E112" s="12">
        <f>LCOE!G138+IF(AND(A112&gt;=LCOE!J$26,A112&lt;=(LCOE!J$26+LCOE!J$27-1)),0,1)*IF(A112=LCOE!J$34,0,1)*D112</f>
        <v>0</v>
      </c>
      <c r="F112" s="12">
        <f>IF(F111&lt;LCOE!J$18,MIN(F111*(1+LCOE!J$19),LCOE!J$18),LCOE!J$18)+LCOE!J138</f>
        <v>0.9</v>
      </c>
      <c r="G112" s="16">
        <f>LCOE!K138+E112*F112*N112*(LCOE!J$14+LCOE!H138)*24*365*D112</f>
        <v>0</v>
      </c>
      <c r="H112" s="16">
        <f>LCOE!L138+F112*(LCOE!J$15+LCOE!I138)*E112*24*365*D112*N112</f>
        <v>0</v>
      </c>
      <c r="I112" s="16">
        <f>LCOE!M138+LCOE!J$20*IF(LCOE!J$14&gt;0,(LCOE!J$14+LCOE!H138),(LCOE!J$15+LCOE!I138))*K112*D112</f>
        <v>0</v>
      </c>
      <c r="J112" s="16">
        <f>LCOE!N138+LCOE!J$21*IF(LCOE!J$14&gt;0,G112,H112)*K112*D112</f>
        <v>0</v>
      </c>
      <c r="K112" s="15">
        <f>LCOE!O138+K111+K111*LCOE!J$22</f>
        <v>1</v>
      </c>
      <c r="L112" s="16">
        <f>LCOE!P138+LCOE!J$23*IF(LCOE!J$14&gt;0,G112,H112)*M112*D112</f>
        <v>0</v>
      </c>
      <c r="M112" s="15">
        <f>LCOE!Q138+M111+M111*LCOE!J$24</f>
        <v>1</v>
      </c>
      <c r="N112" s="15">
        <f>LCOE!R138+N111-N111*LCOE!J$25</f>
        <v>1</v>
      </c>
      <c r="O112" s="18">
        <f>LCOE!S138+LCOE!J$29</f>
        <v>313.75</v>
      </c>
      <c r="P112" s="12">
        <f>LCOE!T138+IF(A112&gt;=LCOE!J$30,100%,0%)</f>
        <v>1</v>
      </c>
      <c r="Q112" s="16">
        <f>LCOE!U138+O112/1000*IF(LCOE!J$14&gt;0,G112,H112)</f>
        <v>0</v>
      </c>
      <c r="R112" s="16">
        <f>LCOE!B138</f>
        <v>30</v>
      </c>
      <c r="S112" s="16">
        <f>LCOE!V138+Q112*P112*R112</f>
        <v>0</v>
      </c>
      <c r="T112" s="16">
        <f>LCOE!W138+LCOE!J$31</f>
        <v>0</v>
      </c>
      <c r="U112" s="16">
        <f>LCOE!X138+T112*IF(LCOE!J$14&gt;0,G112,H112)</f>
        <v>0</v>
      </c>
      <c r="V112" s="16">
        <f>LCOE!Y138+LCOE!J$32</f>
        <v>0</v>
      </c>
      <c r="W112" s="16">
        <f>LCOE!Z138+V112*IF(LCOE!J$14&gt;0,G112,H112)</f>
        <v>0</v>
      </c>
      <c r="X112" s="16">
        <f>LCOE!AA138+LCOE!J$34</f>
        <v>101</v>
      </c>
      <c r="Y112" s="16">
        <f t="shared" si="15"/>
        <v>0</v>
      </c>
      <c r="Z112" s="50">
        <f t="shared" si="18"/>
        <v>0</v>
      </c>
      <c r="AA112" s="50">
        <f t="shared" si="19"/>
        <v>0</v>
      </c>
      <c r="AB112" s="50">
        <f t="shared" si="20"/>
        <v>0</v>
      </c>
      <c r="AC112" s="50">
        <f t="shared" si="16"/>
        <v>0</v>
      </c>
      <c r="AD112" s="50">
        <f t="shared" si="25"/>
        <v>0</v>
      </c>
      <c r="AE112">
        <f t="shared" si="17"/>
        <v>30</v>
      </c>
      <c r="AF112" s="12">
        <f>LCOE!E138+LCOE!J$40</f>
        <v>0.12</v>
      </c>
      <c r="AG112">
        <f t="shared" si="26"/>
        <v>116.72313732164696</v>
      </c>
      <c r="AH112" s="16">
        <f t="shared" si="21"/>
        <v>0</v>
      </c>
      <c r="AI112" s="16">
        <f t="shared" si="22"/>
        <v>0</v>
      </c>
      <c r="AJ112" s="16">
        <f t="shared" si="23"/>
        <v>0</v>
      </c>
      <c r="AK112" s="16">
        <f t="shared" si="24"/>
        <v>0</v>
      </c>
      <c r="AL112" s="16">
        <f t="shared" si="27"/>
        <v>0</v>
      </c>
      <c r="AM112" s="16">
        <f t="shared" si="14"/>
        <v>0</v>
      </c>
      <c r="AN112" s="16">
        <f>IF(LCOE!J$14&gt;0,G112,H112)/AG112</f>
        <v>0</v>
      </c>
    </row>
    <row r="113" spans="1:40">
      <c r="A113">
        <v>43</v>
      </c>
      <c r="C113" s="16">
        <f>LCOE!J139+IF(AND(LCOE!J$26&gt;0,A113&gt;=LCOE!J$26,A113&lt;=(LCOE!J$26+LCOE!J$27-1)),LCOE!J$42/LCOE!J$27,0)+IF(AND(D113=0,AE113&gt;=LCOE!J$16,COUNTIF(D88:D113,0)=LCOE!J$36),LCOE!J$35*LCOE!J$38,0)</f>
        <v>0</v>
      </c>
      <c r="D113" s="16">
        <f>IF(AE112&lt;LCOE!J$16,1,0)</f>
        <v>0</v>
      </c>
      <c r="E113" s="12">
        <f>LCOE!G139+IF(AND(A113&gt;=LCOE!J$26,A113&lt;=(LCOE!J$26+LCOE!J$27-1)),0,1)*IF(A113=LCOE!J$34,0,1)*D113</f>
        <v>0</v>
      </c>
      <c r="F113" s="12">
        <f>IF(F112&lt;LCOE!J$18,MIN(F112*(1+LCOE!J$19),LCOE!J$18),LCOE!J$18)+LCOE!J139</f>
        <v>0.9</v>
      </c>
      <c r="G113" s="16">
        <f>LCOE!K139+E113*F113*N113*(LCOE!J$14+LCOE!H139)*24*365*D113</f>
        <v>0</v>
      </c>
      <c r="H113" s="16">
        <f>LCOE!L139+F113*(LCOE!J$15+LCOE!I139)*E113*24*365*D113*N113</f>
        <v>0</v>
      </c>
      <c r="I113" s="16">
        <f>LCOE!M139+LCOE!J$20*IF(LCOE!J$14&gt;0,(LCOE!J$14+LCOE!H139),(LCOE!J$15+LCOE!I139))*K113*D113</f>
        <v>0</v>
      </c>
      <c r="J113" s="16">
        <f>LCOE!N139+LCOE!J$21*IF(LCOE!J$14&gt;0,G113,H113)*K113*D113</f>
        <v>0</v>
      </c>
      <c r="K113" s="15">
        <f>LCOE!O139+K112+K112*LCOE!J$22</f>
        <v>1</v>
      </c>
      <c r="L113" s="16">
        <f>LCOE!P139+LCOE!J$23*IF(LCOE!J$14&gt;0,G113,H113)*M113*D113</f>
        <v>0</v>
      </c>
      <c r="M113" s="15">
        <f>LCOE!Q139+M112+M112*LCOE!J$24</f>
        <v>1</v>
      </c>
      <c r="N113" s="15">
        <f>LCOE!R139+N112-N112*LCOE!J$25</f>
        <v>1</v>
      </c>
      <c r="O113" s="18">
        <f>LCOE!S139+LCOE!J$29</f>
        <v>313.75</v>
      </c>
      <c r="P113" s="12">
        <f>LCOE!T139+IF(A113&gt;=LCOE!J$30,100%,0%)</f>
        <v>1</v>
      </c>
      <c r="Q113" s="16">
        <f>LCOE!U139+O113/1000*IF(LCOE!J$14&gt;0,G113,H113)</f>
        <v>0</v>
      </c>
      <c r="R113" s="16">
        <f>LCOE!B139</f>
        <v>30</v>
      </c>
      <c r="S113" s="16">
        <f>LCOE!V139+Q113*P113*R113</f>
        <v>0</v>
      </c>
      <c r="T113" s="16">
        <f>LCOE!W139+LCOE!J$31</f>
        <v>0</v>
      </c>
      <c r="U113" s="16">
        <f>LCOE!X139+T113*IF(LCOE!J$14&gt;0,G113,H113)</f>
        <v>0</v>
      </c>
      <c r="V113" s="16">
        <f>LCOE!Y139+LCOE!J$32</f>
        <v>0</v>
      </c>
      <c r="W113" s="16">
        <f>LCOE!Z139+V113*IF(LCOE!J$14&gt;0,G113,H113)</f>
        <v>0</v>
      </c>
      <c r="X113" s="16">
        <f>LCOE!AA139+LCOE!J$34</f>
        <v>101</v>
      </c>
      <c r="Y113" s="16">
        <f t="shared" si="15"/>
        <v>0</v>
      </c>
      <c r="Z113" s="50">
        <f t="shared" si="18"/>
        <v>0</v>
      </c>
      <c r="AA113" s="50">
        <f t="shared" si="19"/>
        <v>0</v>
      </c>
      <c r="AB113" s="50">
        <f t="shared" si="20"/>
        <v>0</v>
      </c>
      <c r="AC113" s="50">
        <f t="shared" si="16"/>
        <v>0</v>
      </c>
      <c r="AD113" s="50">
        <f t="shared" si="25"/>
        <v>0</v>
      </c>
      <c r="AE113">
        <f t="shared" si="17"/>
        <v>30</v>
      </c>
      <c r="AF113" s="12">
        <f>LCOE!E139+LCOE!J$40</f>
        <v>0.12</v>
      </c>
      <c r="AG113">
        <f t="shared" si="26"/>
        <v>130.72991380024462</v>
      </c>
      <c r="AH113" s="16">
        <f t="shared" si="21"/>
        <v>0</v>
      </c>
      <c r="AI113" s="16">
        <f t="shared" si="22"/>
        <v>0</v>
      </c>
      <c r="AJ113" s="16">
        <f t="shared" si="23"/>
        <v>0</v>
      </c>
      <c r="AK113" s="16">
        <f t="shared" si="24"/>
        <v>0</v>
      </c>
      <c r="AL113" s="16">
        <f t="shared" si="27"/>
        <v>0</v>
      </c>
      <c r="AM113" s="16">
        <f t="shared" si="14"/>
        <v>0</v>
      </c>
      <c r="AN113" s="16">
        <f>IF(LCOE!J$14&gt;0,G113,H113)/AG113</f>
        <v>0</v>
      </c>
    </row>
    <row r="114" spans="1:40">
      <c r="A114">
        <v>44</v>
      </c>
      <c r="C114" s="16">
        <f>LCOE!J140+IF(AND(LCOE!J$26&gt;0,A114&gt;=LCOE!J$26,A114&lt;=(LCOE!J$26+LCOE!J$27-1)),LCOE!J$42/LCOE!J$27,0)+IF(AND(D114=0,AE114&gt;=LCOE!J$16,COUNTIF(D89:D114,0)=LCOE!J$36),LCOE!J$35*LCOE!J$38,0)</f>
        <v>0</v>
      </c>
      <c r="D114" s="16">
        <f>IF(AE113&lt;LCOE!J$16,1,0)</f>
        <v>0</v>
      </c>
      <c r="E114" s="12">
        <f>LCOE!G140+IF(AND(A114&gt;=LCOE!J$26,A114&lt;=(LCOE!J$26+LCOE!J$27-1)),0,1)*IF(A114=LCOE!J$34,0,1)*D114</f>
        <v>0</v>
      </c>
      <c r="F114" s="12">
        <f>IF(F113&lt;LCOE!J$18,MIN(F113*(1+LCOE!J$19),LCOE!J$18),LCOE!J$18)+LCOE!J140</f>
        <v>0.9</v>
      </c>
      <c r="G114" s="16">
        <f>LCOE!K140+E114*F114*N114*(LCOE!J$14+LCOE!H140)*24*365*D114</f>
        <v>0</v>
      </c>
      <c r="H114" s="16">
        <f>LCOE!L140+F114*(LCOE!J$15+LCOE!I140)*E114*24*365*D114*N114</f>
        <v>0</v>
      </c>
      <c r="I114" s="16">
        <f>LCOE!M140+LCOE!J$20*IF(LCOE!J$14&gt;0,(LCOE!J$14+LCOE!H140),(LCOE!J$15+LCOE!I140))*K114*D114</f>
        <v>0</v>
      </c>
      <c r="J114" s="16">
        <f>LCOE!N140+LCOE!J$21*IF(LCOE!J$14&gt;0,G114,H114)*K114*D114</f>
        <v>0</v>
      </c>
      <c r="K114" s="15">
        <f>LCOE!O140+K113+K113*LCOE!J$22</f>
        <v>1</v>
      </c>
      <c r="L114" s="16">
        <f>LCOE!P140+LCOE!J$23*IF(LCOE!J$14&gt;0,G114,H114)*M114*D114</f>
        <v>0</v>
      </c>
      <c r="M114" s="15">
        <f>LCOE!Q140+M113+M113*LCOE!J$24</f>
        <v>1</v>
      </c>
      <c r="N114" s="15">
        <f>LCOE!R140+N113-N113*LCOE!J$25</f>
        <v>1</v>
      </c>
      <c r="O114" s="18">
        <f>LCOE!S140+LCOE!J$29</f>
        <v>313.75</v>
      </c>
      <c r="P114" s="12">
        <f>LCOE!T140+IF(A114&gt;=LCOE!J$30,100%,0%)</f>
        <v>1</v>
      </c>
      <c r="Q114" s="16">
        <f>LCOE!U140+O114/1000*IF(LCOE!J$14&gt;0,G114,H114)</f>
        <v>0</v>
      </c>
      <c r="R114" s="16">
        <f>LCOE!B140</f>
        <v>30</v>
      </c>
      <c r="S114" s="16">
        <f>LCOE!V140+Q114*P114*R114</f>
        <v>0</v>
      </c>
      <c r="T114" s="16">
        <f>LCOE!W140+LCOE!J$31</f>
        <v>0</v>
      </c>
      <c r="U114" s="16">
        <f>LCOE!X140+T114*IF(LCOE!J$14&gt;0,G114,H114)</f>
        <v>0</v>
      </c>
      <c r="V114" s="16">
        <f>LCOE!Y140+LCOE!J$32</f>
        <v>0</v>
      </c>
      <c r="W114" s="16">
        <f>LCOE!Z140+V114*IF(LCOE!J$14&gt;0,G114,H114)</f>
        <v>0</v>
      </c>
      <c r="X114" s="16">
        <f>LCOE!AA140+LCOE!J$34</f>
        <v>101</v>
      </c>
      <c r="Y114" s="16">
        <f t="shared" si="15"/>
        <v>0</v>
      </c>
      <c r="Z114" s="50">
        <f t="shared" si="18"/>
        <v>0</v>
      </c>
      <c r="AA114" s="50">
        <f t="shared" si="19"/>
        <v>0</v>
      </c>
      <c r="AB114" s="50">
        <f t="shared" si="20"/>
        <v>0</v>
      </c>
      <c r="AC114" s="50">
        <f t="shared" si="16"/>
        <v>0</v>
      </c>
      <c r="AD114" s="50">
        <f t="shared" si="25"/>
        <v>0</v>
      </c>
      <c r="AE114">
        <f t="shared" si="17"/>
        <v>30</v>
      </c>
      <c r="AF114" s="12">
        <f>LCOE!E140+LCOE!J$40</f>
        <v>0.12</v>
      </c>
      <c r="AG114">
        <f t="shared" si="26"/>
        <v>146.41750345627395</v>
      </c>
      <c r="AH114" s="16">
        <f t="shared" si="21"/>
        <v>0</v>
      </c>
      <c r="AI114" s="16">
        <f t="shared" si="22"/>
        <v>0</v>
      </c>
      <c r="AJ114" s="16">
        <f t="shared" si="23"/>
        <v>0</v>
      </c>
      <c r="AK114" s="16">
        <f t="shared" si="24"/>
        <v>0</v>
      </c>
      <c r="AL114" s="16">
        <f t="shared" si="27"/>
        <v>0</v>
      </c>
      <c r="AM114" s="16">
        <f t="shared" si="14"/>
        <v>0</v>
      </c>
      <c r="AN114" s="16">
        <f>IF(LCOE!J$14&gt;0,G114,H114)/AG114</f>
        <v>0</v>
      </c>
    </row>
    <row r="115" spans="1:40">
      <c r="A115">
        <v>45</v>
      </c>
      <c r="C115" s="16">
        <f>LCOE!J141+IF(AND(LCOE!J$26&gt;0,A115&gt;=LCOE!J$26,A115&lt;=(LCOE!J$26+LCOE!J$27-1)),LCOE!J$42/LCOE!J$27,0)+IF(AND(D115=0,AE115&gt;=LCOE!J$16,COUNTIF(D90:D115,0)=LCOE!J$36),LCOE!J$35*LCOE!J$38,0)</f>
        <v>0</v>
      </c>
      <c r="D115" s="16">
        <f>IF(AE114&lt;LCOE!J$16,1,0)</f>
        <v>0</v>
      </c>
      <c r="E115" s="12">
        <f>LCOE!G141+IF(AND(A115&gt;=LCOE!J$26,A115&lt;=(LCOE!J$26+LCOE!J$27-1)),0,1)*IF(A115=LCOE!J$34,0,1)*D115</f>
        <v>0</v>
      </c>
      <c r="F115" s="12">
        <f>IF(F114&lt;LCOE!J$18,MIN(F114*(1+LCOE!J$19),LCOE!J$18),LCOE!J$18)+LCOE!J141</f>
        <v>0.9</v>
      </c>
      <c r="G115" s="16">
        <f>LCOE!K141+E115*F115*N115*(LCOE!J$14+LCOE!H141)*24*365*D115</f>
        <v>0</v>
      </c>
      <c r="H115" s="16">
        <f>LCOE!L141+F115*(LCOE!J$15+LCOE!I141)*E115*24*365*D115*N115</f>
        <v>0</v>
      </c>
      <c r="I115" s="16">
        <f>LCOE!M141+LCOE!J$20*IF(LCOE!J$14&gt;0,(LCOE!J$14+LCOE!H141),(LCOE!J$15+LCOE!I141))*K115*D115</f>
        <v>0</v>
      </c>
      <c r="J115" s="16">
        <f>LCOE!N141+LCOE!J$21*IF(LCOE!J$14&gt;0,G115,H115)*K115*D115</f>
        <v>0</v>
      </c>
      <c r="K115" s="15">
        <f>LCOE!O141+K114+K114*LCOE!J$22</f>
        <v>1</v>
      </c>
      <c r="L115" s="16">
        <f>LCOE!P141+LCOE!J$23*IF(LCOE!J$14&gt;0,G115,H115)*M115*D115</f>
        <v>0</v>
      </c>
      <c r="M115" s="15">
        <f>LCOE!Q141+M114+M114*LCOE!J$24</f>
        <v>1</v>
      </c>
      <c r="N115" s="15">
        <f>LCOE!R141+N114-N114*LCOE!J$25</f>
        <v>1</v>
      </c>
      <c r="O115" s="18">
        <f>LCOE!S141+LCOE!J$29</f>
        <v>313.75</v>
      </c>
      <c r="P115" s="12">
        <f>LCOE!T141+IF(A115&gt;=LCOE!J$30,100%,0%)</f>
        <v>1</v>
      </c>
      <c r="Q115" s="16">
        <f>LCOE!U141+O115/1000*IF(LCOE!J$14&gt;0,G115,H115)</f>
        <v>0</v>
      </c>
      <c r="R115" s="16">
        <f>LCOE!B141</f>
        <v>30</v>
      </c>
      <c r="S115" s="16">
        <f>LCOE!V141+Q115*P115*R115</f>
        <v>0</v>
      </c>
      <c r="T115" s="16">
        <f>LCOE!W141+LCOE!J$31</f>
        <v>0</v>
      </c>
      <c r="U115" s="16">
        <f>LCOE!X141+T115*IF(LCOE!J$14&gt;0,G115,H115)</f>
        <v>0</v>
      </c>
      <c r="V115" s="16">
        <f>LCOE!Y141+LCOE!J$32</f>
        <v>0</v>
      </c>
      <c r="W115" s="16">
        <f>LCOE!Z141+V115*IF(LCOE!J$14&gt;0,G115,H115)</f>
        <v>0</v>
      </c>
      <c r="X115" s="16">
        <f>LCOE!AA141+LCOE!J$34</f>
        <v>101</v>
      </c>
      <c r="Y115" s="16">
        <f t="shared" si="15"/>
        <v>0</v>
      </c>
      <c r="Z115" s="50">
        <f t="shared" si="18"/>
        <v>0</v>
      </c>
      <c r="AA115" s="50">
        <f t="shared" si="19"/>
        <v>0</v>
      </c>
      <c r="AB115" s="50">
        <f t="shared" si="20"/>
        <v>0</v>
      </c>
      <c r="AC115" s="50">
        <f t="shared" si="16"/>
        <v>0</v>
      </c>
      <c r="AD115" s="50">
        <f t="shared" si="25"/>
        <v>0</v>
      </c>
      <c r="AE115">
        <f t="shared" si="17"/>
        <v>30</v>
      </c>
      <c r="AF115" s="12">
        <f>LCOE!E141+LCOE!J$40</f>
        <v>0.12</v>
      </c>
      <c r="AG115">
        <f t="shared" si="26"/>
        <v>163.98760387102686</v>
      </c>
      <c r="AH115" s="16">
        <f t="shared" si="21"/>
        <v>0</v>
      </c>
      <c r="AI115" s="16">
        <f t="shared" si="22"/>
        <v>0</v>
      </c>
      <c r="AJ115" s="16">
        <f t="shared" si="23"/>
        <v>0</v>
      </c>
      <c r="AK115" s="16">
        <f t="shared" si="24"/>
        <v>0</v>
      </c>
      <c r="AL115" s="16">
        <f t="shared" si="27"/>
        <v>0</v>
      </c>
      <c r="AM115" s="16">
        <f t="shared" si="14"/>
        <v>0</v>
      </c>
      <c r="AN115" s="16">
        <f>IF(LCOE!J$14&gt;0,G115,H115)/AG115</f>
        <v>0</v>
      </c>
    </row>
    <row r="116" spans="1:40">
      <c r="A116">
        <v>46</v>
      </c>
      <c r="C116" s="16">
        <f>LCOE!J142+IF(AND(LCOE!J$26&gt;0,A116&gt;=LCOE!J$26,A116&lt;=(LCOE!J$26+LCOE!J$27-1)),LCOE!J$42/LCOE!J$27,0)+IF(AND(D116=0,AE116&gt;=LCOE!J$16,COUNTIF(D91:D116,0)=LCOE!J$36),LCOE!J$35*LCOE!J$38,0)</f>
        <v>0</v>
      </c>
      <c r="D116" s="16">
        <f>IF(AE115&lt;LCOE!J$16,1,0)</f>
        <v>0</v>
      </c>
      <c r="E116" s="12">
        <f>LCOE!G142+IF(AND(A116&gt;=LCOE!J$26,A116&lt;=(LCOE!J$26+LCOE!J$27-1)),0,1)*IF(A116=LCOE!J$34,0,1)*D116</f>
        <v>0</v>
      </c>
      <c r="F116" s="12">
        <f>IF(F115&lt;LCOE!J$18,MIN(F115*(1+LCOE!J$19),LCOE!J$18),LCOE!J$18)+LCOE!J142</f>
        <v>0.9</v>
      </c>
      <c r="G116" s="16">
        <f>LCOE!K142+E116*F116*N116*(LCOE!J$14+LCOE!H142)*24*365*D116</f>
        <v>0</v>
      </c>
      <c r="H116" s="16">
        <f>LCOE!L142+F116*(LCOE!J$15+LCOE!I142)*E116*24*365*D116*N116</f>
        <v>0</v>
      </c>
      <c r="I116" s="16">
        <f>LCOE!M142+LCOE!J$20*IF(LCOE!J$14&gt;0,(LCOE!J$14+LCOE!H142),(LCOE!J$15+LCOE!I142))*K116*D116</f>
        <v>0</v>
      </c>
      <c r="J116" s="16">
        <f>LCOE!N142+LCOE!J$21*IF(LCOE!J$14&gt;0,G116,H116)*K116*D116</f>
        <v>0</v>
      </c>
      <c r="K116" s="15">
        <f>LCOE!O142+K115+K115*LCOE!J$22</f>
        <v>1</v>
      </c>
      <c r="L116" s="16">
        <f>LCOE!P142+LCOE!J$23*IF(LCOE!J$14&gt;0,G116,H116)*M116*D116</f>
        <v>0</v>
      </c>
      <c r="M116" s="15">
        <f>LCOE!Q142+M115+M115*LCOE!J$24</f>
        <v>1</v>
      </c>
      <c r="N116" s="15">
        <f>LCOE!R142+N115-N115*LCOE!J$25</f>
        <v>1</v>
      </c>
      <c r="O116" s="18">
        <f>LCOE!S142+LCOE!J$29</f>
        <v>313.75</v>
      </c>
      <c r="P116" s="12">
        <f>LCOE!T142+IF(A116&gt;=LCOE!J$30,100%,0%)</f>
        <v>1</v>
      </c>
      <c r="Q116" s="16">
        <f>LCOE!U142+O116/1000*IF(LCOE!J$14&gt;0,G116,H116)</f>
        <v>0</v>
      </c>
      <c r="R116" s="16">
        <f>LCOE!B142</f>
        <v>30</v>
      </c>
      <c r="S116" s="16">
        <f>LCOE!V142+Q116*P116*R116</f>
        <v>0</v>
      </c>
      <c r="T116" s="16">
        <f>LCOE!W142+LCOE!J$31</f>
        <v>0</v>
      </c>
      <c r="U116" s="16">
        <f>LCOE!X142+T116*IF(LCOE!J$14&gt;0,G116,H116)</f>
        <v>0</v>
      </c>
      <c r="V116" s="16">
        <f>LCOE!Y142+LCOE!J$32</f>
        <v>0</v>
      </c>
      <c r="W116" s="16">
        <f>LCOE!Z142+V116*IF(LCOE!J$14&gt;0,G116,H116)</f>
        <v>0</v>
      </c>
      <c r="X116" s="16">
        <f>LCOE!AA142+LCOE!J$34</f>
        <v>101</v>
      </c>
      <c r="Y116" s="16">
        <f t="shared" si="15"/>
        <v>0</v>
      </c>
      <c r="Z116" s="50">
        <f t="shared" si="18"/>
        <v>0</v>
      </c>
      <c r="AA116" s="50">
        <f t="shared" si="19"/>
        <v>0</v>
      </c>
      <c r="AB116" s="50">
        <f t="shared" si="20"/>
        <v>0</v>
      </c>
      <c r="AC116" s="50">
        <f t="shared" si="16"/>
        <v>0</v>
      </c>
      <c r="AD116" s="50">
        <f t="shared" si="25"/>
        <v>0</v>
      </c>
      <c r="AE116">
        <f t="shared" si="17"/>
        <v>30</v>
      </c>
      <c r="AF116" s="12">
        <f>LCOE!E142+LCOE!J$40</f>
        <v>0.12</v>
      </c>
      <c r="AG116">
        <f t="shared" si="26"/>
        <v>183.6661163355501</v>
      </c>
      <c r="AH116" s="16">
        <f t="shared" si="21"/>
        <v>0</v>
      </c>
      <c r="AI116" s="16">
        <f t="shared" si="22"/>
        <v>0</v>
      </c>
      <c r="AJ116" s="16">
        <f t="shared" si="23"/>
        <v>0</v>
      </c>
      <c r="AK116" s="16">
        <f t="shared" si="24"/>
        <v>0</v>
      </c>
      <c r="AL116" s="16">
        <f t="shared" si="27"/>
        <v>0</v>
      </c>
      <c r="AM116" s="16">
        <f t="shared" si="14"/>
        <v>0</v>
      </c>
      <c r="AN116" s="16">
        <f>IF(LCOE!J$14&gt;0,G116,H116)/AG116</f>
        <v>0</v>
      </c>
    </row>
    <row r="117" spans="1:40">
      <c r="A117">
        <v>47</v>
      </c>
      <c r="C117" s="16">
        <f>LCOE!J143+IF(AND(LCOE!J$26&gt;0,A117&gt;=LCOE!J$26,A117&lt;=(LCOE!J$26+LCOE!J$27-1)),LCOE!J$42/LCOE!J$27,0)+IF(AND(D117=0,AE117&gt;=LCOE!J$16,COUNTIF(D92:D117,0)=LCOE!J$36),LCOE!J$35*LCOE!J$38,0)</f>
        <v>0</v>
      </c>
      <c r="D117" s="16">
        <f>IF(AE116&lt;LCOE!J$16,1,0)</f>
        <v>0</v>
      </c>
      <c r="E117" s="12">
        <f>LCOE!G143+IF(AND(A117&gt;=LCOE!J$26,A117&lt;=(LCOE!J$26+LCOE!J$27-1)),0,1)*IF(A117=LCOE!J$34,0,1)*D117</f>
        <v>0</v>
      </c>
      <c r="F117" s="12">
        <f>IF(F116&lt;LCOE!J$18,MIN(F116*(1+LCOE!J$19),LCOE!J$18),LCOE!J$18)+LCOE!J143</f>
        <v>0.9</v>
      </c>
      <c r="G117" s="16">
        <f>LCOE!K143+E117*F117*N117*(LCOE!J$14+LCOE!H143)*24*365*D117</f>
        <v>0</v>
      </c>
      <c r="H117" s="16">
        <f>LCOE!L143+F117*(LCOE!J$15+LCOE!I143)*E117*24*365*D117*N117</f>
        <v>0</v>
      </c>
      <c r="I117" s="16">
        <f>LCOE!M143+LCOE!J$20*IF(LCOE!J$14&gt;0,(LCOE!J$14+LCOE!H143),(LCOE!J$15+LCOE!I143))*K117*D117</f>
        <v>0</v>
      </c>
      <c r="J117" s="16">
        <f>LCOE!N143+LCOE!J$21*IF(LCOE!J$14&gt;0,G117,H117)*K117*D117</f>
        <v>0</v>
      </c>
      <c r="K117" s="15">
        <f>LCOE!O143+K116+K116*LCOE!J$22</f>
        <v>1</v>
      </c>
      <c r="L117" s="16">
        <f>LCOE!P143+LCOE!J$23*IF(LCOE!J$14&gt;0,G117,H117)*M117*D117</f>
        <v>0</v>
      </c>
      <c r="M117" s="15">
        <f>LCOE!Q143+M116+M116*LCOE!J$24</f>
        <v>1</v>
      </c>
      <c r="N117" s="15">
        <f>LCOE!R143+N116-N116*LCOE!J$25</f>
        <v>1</v>
      </c>
      <c r="O117" s="18">
        <f>LCOE!S143+LCOE!J$29</f>
        <v>313.75</v>
      </c>
      <c r="P117" s="12">
        <f>LCOE!T143+IF(A117&gt;=LCOE!J$30,100%,0%)</f>
        <v>1</v>
      </c>
      <c r="Q117" s="16">
        <f>LCOE!U143+O117/1000*IF(LCOE!J$14&gt;0,G117,H117)</f>
        <v>0</v>
      </c>
      <c r="R117" s="16">
        <f>LCOE!B143</f>
        <v>30</v>
      </c>
      <c r="S117" s="16">
        <f>LCOE!V143+Q117*P117*R117</f>
        <v>0</v>
      </c>
      <c r="T117" s="16">
        <f>LCOE!W143+LCOE!J$31</f>
        <v>0</v>
      </c>
      <c r="U117" s="16">
        <f>LCOE!X143+T117*IF(LCOE!J$14&gt;0,G117,H117)</f>
        <v>0</v>
      </c>
      <c r="V117" s="16">
        <f>LCOE!Y143+LCOE!J$32</f>
        <v>0</v>
      </c>
      <c r="W117" s="16">
        <f>LCOE!Z143+V117*IF(LCOE!J$14&gt;0,G117,H117)</f>
        <v>0</v>
      </c>
      <c r="X117" s="16">
        <f>LCOE!AA143+LCOE!J$34</f>
        <v>101</v>
      </c>
      <c r="Y117" s="16">
        <f t="shared" si="15"/>
        <v>0</v>
      </c>
      <c r="Z117" s="50">
        <f t="shared" si="18"/>
        <v>0</v>
      </c>
      <c r="AA117" s="50">
        <f t="shared" si="19"/>
        <v>0</v>
      </c>
      <c r="AB117" s="50">
        <f t="shared" si="20"/>
        <v>0</v>
      </c>
      <c r="AC117" s="50">
        <f t="shared" si="16"/>
        <v>0</v>
      </c>
      <c r="AD117" s="50">
        <f t="shared" si="25"/>
        <v>0</v>
      </c>
      <c r="AE117">
        <f t="shared" si="17"/>
        <v>30</v>
      </c>
      <c r="AF117" s="12">
        <f>LCOE!E143+LCOE!J$40</f>
        <v>0.12</v>
      </c>
      <c r="AG117">
        <f t="shared" si="26"/>
        <v>205.70605029581608</v>
      </c>
      <c r="AH117" s="16">
        <f t="shared" si="21"/>
        <v>0</v>
      </c>
      <c r="AI117" s="16">
        <f t="shared" si="22"/>
        <v>0</v>
      </c>
      <c r="AJ117" s="16">
        <f t="shared" si="23"/>
        <v>0</v>
      </c>
      <c r="AK117" s="16">
        <f t="shared" si="24"/>
        <v>0</v>
      </c>
      <c r="AL117" s="16">
        <f t="shared" si="27"/>
        <v>0</v>
      </c>
      <c r="AM117" s="16">
        <f t="shared" si="14"/>
        <v>0</v>
      </c>
      <c r="AN117" s="16">
        <f>IF(LCOE!J$14&gt;0,G117,H117)/AG117</f>
        <v>0</v>
      </c>
    </row>
    <row r="118" spans="1:40">
      <c r="A118">
        <v>48</v>
      </c>
      <c r="C118" s="16">
        <f>LCOE!J144+IF(AND(LCOE!J$26&gt;0,A118&gt;=LCOE!J$26,A118&lt;=(LCOE!J$26+LCOE!J$27-1)),LCOE!J$42/LCOE!J$27,0)+IF(AND(D118=0,AE118&gt;=LCOE!J$16,COUNTIF(D93:D118,0)=LCOE!J$36),LCOE!J$35*LCOE!J$38,0)</f>
        <v>0</v>
      </c>
      <c r="D118" s="16">
        <f>IF(AE117&lt;LCOE!J$16,1,0)</f>
        <v>0</v>
      </c>
      <c r="E118" s="12">
        <f>LCOE!G144+IF(AND(A118&gt;=LCOE!J$26,A118&lt;=(LCOE!J$26+LCOE!J$27-1)),0,1)*IF(A118=LCOE!J$34,0,1)*D118</f>
        <v>0</v>
      </c>
      <c r="F118" s="12">
        <f>IF(F117&lt;LCOE!J$18,MIN(F117*(1+LCOE!J$19),LCOE!J$18),LCOE!J$18)+LCOE!J144</f>
        <v>0.9</v>
      </c>
      <c r="G118" s="16">
        <f>LCOE!K144+E118*F118*N118*(LCOE!J$14+LCOE!H144)*24*365*D118</f>
        <v>0</v>
      </c>
      <c r="H118" s="16">
        <f>LCOE!L144+F118*(LCOE!J$15+LCOE!I144)*E118*24*365*D118*N118</f>
        <v>0</v>
      </c>
      <c r="I118" s="16">
        <f>LCOE!M144+LCOE!J$20*IF(LCOE!J$14&gt;0,(LCOE!J$14+LCOE!H144),(LCOE!J$15+LCOE!I144))*K118*D118</f>
        <v>0</v>
      </c>
      <c r="J118" s="16">
        <f>LCOE!N144+LCOE!J$21*IF(LCOE!J$14&gt;0,G118,H118)*K118*D118</f>
        <v>0</v>
      </c>
      <c r="K118" s="15">
        <f>LCOE!O144+K117+K117*LCOE!J$22</f>
        <v>1</v>
      </c>
      <c r="L118" s="16">
        <f>LCOE!P144+LCOE!J$23*IF(LCOE!J$14&gt;0,G118,H118)*M118*D118</f>
        <v>0</v>
      </c>
      <c r="M118" s="15">
        <f>LCOE!Q144+M117+M117*LCOE!J$24</f>
        <v>1</v>
      </c>
      <c r="N118" s="15">
        <f>LCOE!R144+N117-N117*LCOE!J$25</f>
        <v>1</v>
      </c>
      <c r="O118" s="18">
        <f>LCOE!S144+LCOE!J$29</f>
        <v>313.75</v>
      </c>
      <c r="P118" s="12">
        <f>LCOE!T144+IF(A118&gt;=LCOE!J$30,100%,0%)</f>
        <v>1</v>
      </c>
      <c r="Q118" s="16">
        <f>LCOE!U144+O118/1000*IF(LCOE!J$14&gt;0,G118,H118)</f>
        <v>0</v>
      </c>
      <c r="R118" s="16">
        <f>LCOE!B144</f>
        <v>30</v>
      </c>
      <c r="S118" s="16">
        <f>LCOE!V144+Q118*P118*R118</f>
        <v>0</v>
      </c>
      <c r="T118" s="16">
        <f>LCOE!W144+LCOE!J$31</f>
        <v>0</v>
      </c>
      <c r="U118" s="16">
        <f>LCOE!X144+T118*IF(LCOE!J$14&gt;0,G118,H118)</f>
        <v>0</v>
      </c>
      <c r="V118" s="16">
        <f>LCOE!Y144+LCOE!J$32</f>
        <v>0</v>
      </c>
      <c r="W118" s="16">
        <f>LCOE!Z144+V118*IF(LCOE!J$14&gt;0,G118,H118)</f>
        <v>0</v>
      </c>
      <c r="X118" s="16">
        <f>LCOE!AA144+LCOE!J$34</f>
        <v>101</v>
      </c>
      <c r="Y118" s="16">
        <f t="shared" si="15"/>
        <v>0</v>
      </c>
      <c r="Z118" s="50">
        <f t="shared" si="18"/>
        <v>0</v>
      </c>
      <c r="AA118" s="50">
        <f t="shared" si="19"/>
        <v>0</v>
      </c>
      <c r="AB118" s="50">
        <f t="shared" si="20"/>
        <v>0</v>
      </c>
      <c r="AC118" s="50">
        <f t="shared" si="16"/>
        <v>0</v>
      </c>
      <c r="AD118" s="50">
        <f t="shared" si="25"/>
        <v>0</v>
      </c>
      <c r="AE118">
        <f t="shared" si="17"/>
        <v>30</v>
      </c>
      <c r="AF118" s="12">
        <f>LCOE!E144+LCOE!J$40</f>
        <v>0.12</v>
      </c>
      <c r="AG118">
        <f t="shared" si="26"/>
        <v>230.39077633131407</v>
      </c>
      <c r="AH118" s="16">
        <f t="shared" si="21"/>
        <v>0</v>
      </c>
      <c r="AI118" s="16">
        <f t="shared" si="22"/>
        <v>0</v>
      </c>
      <c r="AJ118" s="16">
        <f t="shared" si="23"/>
        <v>0</v>
      </c>
      <c r="AK118" s="16">
        <f t="shared" si="24"/>
        <v>0</v>
      </c>
      <c r="AL118" s="16">
        <f t="shared" si="27"/>
        <v>0</v>
      </c>
      <c r="AM118" s="16">
        <f t="shared" si="14"/>
        <v>0</v>
      </c>
      <c r="AN118" s="16">
        <f>IF(LCOE!J$14&gt;0,G118,H118)/AG118</f>
        <v>0</v>
      </c>
    </row>
    <row r="119" spans="1:40">
      <c r="A119">
        <v>49</v>
      </c>
      <c r="C119" s="16">
        <f>LCOE!J145+IF(AND(LCOE!J$26&gt;0,A119&gt;=LCOE!J$26,A119&lt;=(LCOE!J$26+LCOE!J$27-1)),LCOE!J$42/LCOE!J$27,0)+IF(AND(D119=0,AE119&gt;=LCOE!J$16,COUNTIF(D94:D119,0)=LCOE!J$36),LCOE!J$35*LCOE!J$38,0)</f>
        <v>0</v>
      </c>
      <c r="D119" s="16">
        <f>IF(AE118&lt;LCOE!J$16,1,0)</f>
        <v>0</v>
      </c>
      <c r="E119" s="12">
        <f>LCOE!G145+IF(AND(A119&gt;=LCOE!J$26,A119&lt;=(LCOE!J$26+LCOE!J$27-1)),0,1)*IF(A119=LCOE!J$34,0,1)*D119</f>
        <v>0</v>
      </c>
      <c r="F119" s="12">
        <f>IF(F118&lt;LCOE!J$18,MIN(F118*(1+LCOE!J$19),LCOE!J$18),LCOE!J$18)+LCOE!J145</f>
        <v>0.9</v>
      </c>
      <c r="G119" s="16">
        <f>LCOE!K145+E119*F119*N119*(LCOE!J$14+LCOE!H145)*24*365*D119</f>
        <v>0</v>
      </c>
      <c r="H119" s="16">
        <f>LCOE!L145+F119*(LCOE!J$15+LCOE!I145)*E119*24*365*D119*N119</f>
        <v>0</v>
      </c>
      <c r="I119" s="16">
        <f>LCOE!M145+LCOE!J$20*IF(LCOE!J$14&gt;0,(LCOE!J$14+LCOE!H145),(LCOE!J$15+LCOE!I145))*K119*D119</f>
        <v>0</v>
      </c>
      <c r="J119" s="16">
        <f>LCOE!N145+LCOE!J$21*IF(LCOE!J$14&gt;0,G119,H119)*K119*D119</f>
        <v>0</v>
      </c>
      <c r="K119" s="15">
        <f>LCOE!O145+K118+K118*LCOE!J$22</f>
        <v>1</v>
      </c>
      <c r="L119" s="16">
        <f>LCOE!P145+LCOE!J$23*IF(LCOE!J$14&gt;0,G119,H119)*M119*D119</f>
        <v>0</v>
      </c>
      <c r="M119" s="15">
        <f>LCOE!Q145+M118+M118*LCOE!J$24</f>
        <v>1</v>
      </c>
      <c r="N119" s="15">
        <f>LCOE!R145+N118-N118*LCOE!J$25</f>
        <v>1</v>
      </c>
      <c r="O119" s="18">
        <f>LCOE!S145+LCOE!J$29</f>
        <v>313.75</v>
      </c>
      <c r="P119" s="12">
        <f>LCOE!T145+IF(A119&gt;=LCOE!J$30,100%,0%)</f>
        <v>1</v>
      </c>
      <c r="Q119" s="16">
        <f>LCOE!U145+O119/1000*IF(LCOE!J$14&gt;0,G119,H119)</f>
        <v>0</v>
      </c>
      <c r="R119" s="16">
        <f>LCOE!B145</f>
        <v>30</v>
      </c>
      <c r="S119" s="16">
        <f>LCOE!V145+Q119*P119*R119</f>
        <v>0</v>
      </c>
      <c r="T119" s="16">
        <f>LCOE!W145+LCOE!J$31</f>
        <v>0</v>
      </c>
      <c r="U119" s="16">
        <f>LCOE!X145+T119*IF(LCOE!J$14&gt;0,G119,H119)</f>
        <v>0</v>
      </c>
      <c r="V119" s="16">
        <f>LCOE!Y145+LCOE!J$32</f>
        <v>0</v>
      </c>
      <c r="W119" s="16">
        <f>LCOE!Z145+V119*IF(LCOE!J$14&gt;0,G119,H119)</f>
        <v>0</v>
      </c>
      <c r="X119" s="16">
        <f>LCOE!AA145+LCOE!J$34</f>
        <v>101</v>
      </c>
      <c r="Y119" s="16">
        <f t="shared" si="15"/>
        <v>0</v>
      </c>
      <c r="Z119" s="50">
        <f t="shared" si="18"/>
        <v>0</v>
      </c>
      <c r="AA119" s="50">
        <f t="shared" si="19"/>
        <v>0</v>
      </c>
      <c r="AB119" s="50">
        <f t="shared" si="20"/>
        <v>0</v>
      </c>
      <c r="AC119" s="50">
        <f t="shared" si="16"/>
        <v>0</v>
      </c>
      <c r="AD119" s="50">
        <f t="shared" si="25"/>
        <v>0</v>
      </c>
      <c r="AE119">
        <f t="shared" si="17"/>
        <v>30</v>
      </c>
      <c r="AF119" s="12">
        <f>LCOE!E145+LCOE!J$40</f>
        <v>0.12</v>
      </c>
      <c r="AG119">
        <f t="shared" si="26"/>
        <v>258.03766949107177</v>
      </c>
      <c r="AH119" s="16">
        <f t="shared" si="21"/>
        <v>0</v>
      </c>
      <c r="AI119" s="16">
        <f t="shared" si="22"/>
        <v>0</v>
      </c>
      <c r="AJ119" s="16">
        <f t="shared" si="23"/>
        <v>0</v>
      </c>
      <c r="AK119" s="16">
        <f t="shared" si="24"/>
        <v>0</v>
      </c>
      <c r="AL119" s="16">
        <f t="shared" si="27"/>
        <v>0</v>
      </c>
      <c r="AM119" s="16">
        <f t="shared" si="14"/>
        <v>0</v>
      </c>
      <c r="AN119" s="16">
        <f>IF(LCOE!J$14&gt;0,G119,H119)/AG119</f>
        <v>0</v>
      </c>
    </row>
    <row r="120" spans="1:40">
      <c r="A120">
        <v>50</v>
      </c>
      <c r="C120" s="16">
        <f>LCOE!J146+IF(AND(LCOE!J$26&gt;0,A120&gt;=LCOE!J$26,A120&lt;=(LCOE!J$26+LCOE!J$27-1)),LCOE!J$42/LCOE!J$27,0)+IF(AND(D120=0,AE120&gt;=LCOE!J$16,COUNTIF(D95:D120,0)=LCOE!J$36),LCOE!J$35*LCOE!J$38,0)</f>
        <v>0</v>
      </c>
      <c r="D120" s="16">
        <f>IF(AE119&lt;LCOE!J$16,1,0)</f>
        <v>0</v>
      </c>
      <c r="E120" s="12">
        <f>LCOE!G146+IF(AND(A120&gt;=LCOE!J$26,A120&lt;=(LCOE!J$26+LCOE!J$27-1)),0,1)*IF(A120=LCOE!J$34,0,1)*D120</f>
        <v>0</v>
      </c>
      <c r="F120" s="12">
        <f>IF(F119&lt;LCOE!J$18,MIN(F119*(1+LCOE!J$19),LCOE!J$18),LCOE!J$18)+LCOE!J146</f>
        <v>0.9</v>
      </c>
      <c r="G120" s="16">
        <f>LCOE!K146+E120*F120*N120*(LCOE!J$14+LCOE!H146)*24*365*D120</f>
        <v>0</v>
      </c>
      <c r="H120" s="16">
        <f>LCOE!L146+F120*(LCOE!J$15+LCOE!I146)*E120*24*365*D120*N120</f>
        <v>0</v>
      </c>
      <c r="I120" s="16">
        <f>LCOE!M146+LCOE!J$20*IF(LCOE!J$14&gt;0,(LCOE!J$14+LCOE!H146),(LCOE!J$15+LCOE!I146))*K120*D120</f>
        <v>0</v>
      </c>
      <c r="J120" s="16">
        <f>LCOE!N146+LCOE!J$21*IF(LCOE!J$14&gt;0,G120,H120)*K120*D120</f>
        <v>0</v>
      </c>
      <c r="K120" s="15">
        <f>LCOE!O146+K119+K119*LCOE!J$22</f>
        <v>1</v>
      </c>
      <c r="L120" s="16">
        <f>LCOE!P146+LCOE!J$23*IF(LCOE!J$14&gt;0,G120,H120)*M120*D120</f>
        <v>0</v>
      </c>
      <c r="M120" s="15">
        <f>LCOE!Q146+M119+M119*LCOE!J$24</f>
        <v>1</v>
      </c>
      <c r="N120" s="15">
        <f>LCOE!R146+N119-N119*LCOE!J$25</f>
        <v>1</v>
      </c>
      <c r="O120" s="18">
        <f>LCOE!S146+LCOE!J$29</f>
        <v>313.75</v>
      </c>
      <c r="P120" s="12">
        <f>LCOE!T146+IF(A120&gt;=LCOE!J$30,100%,0%)</f>
        <v>1</v>
      </c>
      <c r="Q120" s="16">
        <f>LCOE!U146+O120/1000*IF(LCOE!J$14&gt;0,G120,H120)</f>
        <v>0</v>
      </c>
      <c r="R120" s="16">
        <f>LCOE!B146</f>
        <v>30</v>
      </c>
      <c r="S120" s="16">
        <f>LCOE!V146+Q120*P120*R120</f>
        <v>0</v>
      </c>
      <c r="T120" s="16">
        <f>LCOE!W146+LCOE!J$31</f>
        <v>0</v>
      </c>
      <c r="U120" s="16">
        <f>LCOE!X146+T120*IF(LCOE!J$14&gt;0,G120,H120)</f>
        <v>0</v>
      </c>
      <c r="V120" s="16">
        <f>LCOE!Y146+LCOE!J$32</f>
        <v>0</v>
      </c>
      <c r="W120" s="16">
        <f>LCOE!Z146+V120*IF(LCOE!J$14&gt;0,G120,H120)</f>
        <v>0</v>
      </c>
      <c r="X120" s="16">
        <f>LCOE!AA146+LCOE!J$34</f>
        <v>101</v>
      </c>
      <c r="Y120" s="16">
        <f t="shared" si="15"/>
        <v>0</v>
      </c>
      <c r="Z120" s="50">
        <f t="shared" si="18"/>
        <v>0</v>
      </c>
      <c r="AA120" s="50">
        <f t="shared" si="19"/>
        <v>0</v>
      </c>
      <c r="AB120" s="50">
        <f t="shared" si="20"/>
        <v>0</v>
      </c>
      <c r="AC120" s="50">
        <f t="shared" si="16"/>
        <v>0</v>
      </c>
      <c r="AD120" s="50">
        <f t="shared" si="25"/>
        <v>0</v>
      </c>
      <c r="AE120">
        <f t="shared" si="17"/>
        <v>30</v>
      </c>
      <c r="AF120" s="12">
        <f>LCOE!E146+LCOE!J$40</f>
        <v>0.12</v>
      </c>
      <c r="AG120">
        <f t="shared" si="26"/>
        <v>289.00218983000042</v>
      </c>
      <c r="AH120" s="16">
        <f t="shared" si="21"/>
        <v>0</v>
      </c>
      <c r="AI120" s="16">
        <f t="shared" si="22"/>
        <v>0</v>
      </c>
      <c r="AJ120" s="16">
        <f t="shared" si="23"/>
        <v>0</v>
      </c>
      <c r="AK120" s="16">
        <f t="shared" si="24"/>
        <v>0</v>
      </c>
      <c r="AL120" s="16">
        <f t="shared" si="27"/>
        <v>0</v>
      </c>
      <c r="AM120" s="16">
        <f t="shared" si="14"/>
        <v>0</v>
      </c>
      <c r="AN120" s="16">
        <f>IF(LCOE!J$14&gt;0,G120,H120)/AG120</f>
        <v>0</v>
      </c>
    </row>
    <row r="121" spans="1:40">
      <c r="A121">
        <v>51</v>
      </c>
      <c r="C121" s="16">
        <f>LCOE!J147+IF(AND(LCOE!J$26&gt;0,A121&gt;=LCOE!J$26,A121&lt;=(LCOE!J$26+LCOE!J$27-1)),LCOE!J$42/LCOE!J$27,0)+IF(AND(D121=0,AE121&gt;=LCOE!J$16,COUNTIF(D96:D121,0)=LCOE!J$36),LCOE!J$35*LCOE!J$38,0)</f>
        <v>0</v>
      </c>
      <c r="D121" s="16">
        <f>IF(AE120&lt;LCOE!J$16,1,0)</f>
        <v>0</v>
      </c>
      <c r="E121" s="12">
        <f>LCOE!G147+IF(AND(A121&gt;=LCOE!J$26,A121&lt;=(LCOE!J$26+LCOE!J$27-1)),0,1)*IF(A121=LCOE!J$34,0,1)*D121</f>
        <v>0</v>
      </c>
      <c r="F121" s="12">
        <f>IF(F120&lt;LCOE!J$18,MIN(F120*(1+LCOE!J$19),LCOE!J$18),LCOE!J$18)+LCOE!J147</f>
        <v>0.9</v>
      </c>
      <c r="G121" s="16">
        <f>LCOE!K147+E121*F121*N121*(LCOE!J$14+LCOE!H147)*24*365*D121</f>
        <v>0</v>
      </c>
      <c r="H121" s="16">
        <f>LCOE!L147+F121*(LCOE!J$15+LCOE!I147)*E121*24*365*D121*N121</f>
        <v>0</v>
      </c>
      <c r="I121" s="16">
        <f>LCOE!M147+LCOE!J$20*IF(LCOE!J$14&gt;0,(LCOE!J$14+LCOE!H147),(LCOE!J$15+LCOE!I147))*K121*D121</f>
        <v>0</v>
      </c>
      <c r="J121" s="16">
        <f>LCOE!N147+LCOE!J$21*IF(LCOE!J$14&gt;0,G121,H121)*K121*D121</f>
        <v>0</v>
      </c>
      <c r="K121" s="15">
        <f>LCOE!O147+K120+K120*LCOE!J$22</f>
        <v>1</v>
      </c>
      <c r="L121" s="16">
        <f>LCOE!P147+LCOE!J$23*IF(LCOE!J$14&gt;0,G121,H121)*M121*D121</f>
        <v>0</v>
      </c>
      <c r="M121" s="15">
        <f>LCOE!Q147+M120+M120*LCOE!J$24</f>
        <v>1</v>
      </c>
      <c r="N121" s="15">
        <f>LCOE!R147+N120-N120*LCOE!J$25</f>
        <v>1</v>
      </c>
      <c r="O121" s="18">
        <f>LCOE!S147+LCOE!J$29</f>
        <v>313.75</v>
      </c>
      <c r="P121" s="12">
        <f>LCOE!T147+IF(A121&gt;=LCOE!J$30,100%,0%)</f>
        <v>1</v>
      </c>
      <c r="Q121" s="16">
        <f>LCOE!U147+O121/1000*IF(LCOE!J$14&gt;0,G121,H121)</f>
        <v>0</v>
      </c>
      <c r="R121" s="16">
        <f>LCOE!B147</f>
        <v>30</v>
      </c>
      <c r="S121" s="16">
        <f>LCOE!V147+Q121*P121*R121</f>
        <v>0</v>
      </c>
      <c r="T121" s="16">
        <f>LCOE!W147+LCOE!J$31</f>
        <v>0</v>
      </c>
      <c r="U121" s="16">
        <f>LCOE!X147+T121*IF(LCOE!J$14&gt;0,G121,H121)</f>
        <v>0</v>
      </c>
      <c r="V121" s="16">
        <f>LCOE!Y147+LCOE!J$32</f>
        <v>0</v>
      </c>
      <c r="W121" s="16">
        <f>LCOE!Z147+V121*IF(LCOE!J$14&gt;0,G121,H121)</f>
        <v>0</v>
      </c>
      <c r="X121" s="16">
        <f>LCOE!AA147+LCOE!J$34</f>
        <v>101</v>
      </c>
      <c r="Y121" s="16">
        <f t="shared" si="15"/>
        <v>0</v>
      </c>
      <c r="Z121" s="50">
        <f t="shared" si="18"/>
        <v>0</v>
      </c>
      <c r="AA121" s="50">
        <f t="shared" si="19"/>
        <v>0</v>
      </c>
      <c r="AB121" s="50">
        <f t="shared" si="20"/>
        <v>0</v>
      </c>
      <c r="AC121" s="50">
        <f t="shared" si="16"/>
        <v>0</v>
      </c>
      <c r="AD121" s="50">
        <f t="shared" si="25"/>
        <v>0</v>
      </c>
      <c r="AE121">
        <f t="shared" si="17"/>
        <v>30</v>
      </c>
      <c r="AF121" s="12">
        <f>LCOE!E147+LCOE!J$40</f>
        <v>0.12</v>
      </c>
      <c r="AG121">
        <f t="shared" si="26"/>
        <v>323.68245260960049</v>
      </c>
      <c r="AH121" s="16">
        <f t="shared" si="21"/>
        <v>0</v>
      </c>
      <c r="AI121" s="16">
        <f t="shared" si="22"/>
        <v>0</v>
      </c>
      <c r="AJ121" s="16">
        <f t="shared" si="23"/>
        <v>0</v>
      </c>
      <c r="AK121" s="16">
        <f t="shared" si="24"/>
        <v>0</v>
      </c>
      <c r="AL121" s="16">
        <f t="shared" si="27"/>
        <v>0</v>
      </c>
      <c r="AM121" s="16">
        <f t="shared" si="14"/>
        <v>0</v>
      </c>
      <c r="AN121" s="16">
        <f>IF(LCOE!J$14&gt;0,G121,H121)/AG121</f>
        <v>0</v>
      </c>
    </row>
    <row r="122" spans="1:40">
      <c r="A122">
        <v>52</v>
      </c>
      <c r="C122" s="16">
        <f>LCOE!J148+IF(AND(LCOE!J$26&gt;0,A122&gt;=LCOE!J$26,A122&lt;=(LCOE!J$26+LCOE!J$27-1)),LCOE!J$42/LCOE!J$27,0)+IF(AND(D122=0,AE122&gt;=LCOE!J$16,COUNTIF(D97:D122,0)=LCOE!J$36),LCOE!J$35*LCOE!J$38,0)</f>
        <v>0</v>
      </c>
      <c r="D122" s="16">
        <f>IF(AE121&lt;LCOE!J$16,1,0)</f>
        <v>0</v>
      </c>
      <c r="E122" s="12">
        <f>LCOE!G148+IF(AND(A122&gt;=LCOE!J$26,A122&lt;=(LCOE!J$26+LCOE!J$27-1)),0,1)*IF(A122=LCOE!J$34,0,1)*D122</f>
        <v>0</v>
      </c>
      <c r="F122" s="12">
        <f>IF(F121&lt;LCOE!J$18,MIN(F121*(1+LCOE!J$19),LCOE!J$18),LCOE!J$18)+LCOE!J148</f>
        <v>0.9</v>
      </c>
      <c r="G122" s="16">
        <f>LCOE!K148+E122*F122*N122*(LCOE!J$14+LCOE!H148)*24*365*D122</f>
        <v>0</v>
      </c>
      <c r="H122" s="16">
        <f>LCOE!L148+F122*(LCOE!J$15+LCOE!I148)*E122*24*365*D122*N122</f>
        <v>0</v>
      </c>
      <c r="I122" s="16">
        <f>LCOE!M148+LCOE!J$20*IF(LCOE!J$14&gt;0,(LCOE!J$14+LCOE!H148),(LCOE!J$15+LCOE!I148))*K122*D122</f>
        <v>0</v>
      </c>
      <c r="J122" s="16">
        <f>LCOE!N148+LCOE!J$21*IF(LCOE!J$14&gt;0,G122,H122)*K122*D122</f>
        <v>0</v>
      </c>
      <c r="K122" s="15">
        <f>LCOE!O148+K121+K121*LCOE!J$22</f>
        <v>1</v>
      </c>
      <c r="L122" s="16">
        <f>LCOE!P148+LCOE!J$23*IF(LCOE!J$14&gt;0,G122,H122)*M122*D122</f>
        <v>0</v>
      </c>
      <c r="M122" s="15">
        <f>LCOE!Q148+M121+M121*LCOE!J$24</f>
        <v>1</v>
      </c>
      <c r="N122" s="15">
        <f>LCOE!R148+N121-N121*LCOE!J$25</f>
        <v>1</v>
      </c>
      <c r="O122" s="18">
        <f>LCOE!S148+LCOE!J$29</f>
        <v>313.75</v>
      </c>
      <c r="P122" s="12">
        <f>LCOE!T148+IF(A122&gt;=LCOE!J$30,100%,0%)</f>
        <v>1</v>
      </c>
      <c r="Q122" s="16">
        <f>LCOE!U148+O122/1000*IF(LCOE!J$14&gt;0,G122,H122)</f>
        <v>0</v>
      </c>
      <c r="R122" s="16">
        <f>LCOE!B148</f>
        <v>30</v>
      </c>
      <c r="S122" s="16">
        <f>LCOE!V148+Q122*P122*R122</f>
        <v>0</v>
      </c>
      <c r="T122" s="16">
        <f>LCOE!W148+LCOE!J$31</f>
        <v>0</v>
      </c>
      <c r="U122" s="16">
        <f>LCOE!X148+T122*IF(LCOE!J$14&gt;0,G122,H122)</f>
        <v>0</v>
      </c>
      <c r="V122" s="16">
        <f>LCOE!Y148+LCOE!J$32</f>
        <v>0</v>
      </c>
      <c r="W122" s="16">
        <f>LCOE!Z148+V122*IF(LCOE!J$14&gt;0,G122,H122)</f>
        <v>0</v>
      </c>
      <c r="X122" s="16">
        <f>LCOE!AA148+LCOE!J$34</f>
        <v>101</v>
      </c>
      <c r="Y122" s="16">
        <f t="shared" si="15"/>
        <v>0</v>
      </c>
      <c r="Z122" s="50">
        <f t="shared" si="18"/>
        <v>0</v>
      </c>
      <c r="AA122" s="50">
        <f t="shared" si="19"/>
        <v>0</v>
      </c>
      <c r="AB122" s="50">
        <f t="shared" si="20"/>
        <v>0</v>
      </c>
      <c r="AC122" s="50">
        <f t="shared" si="16"/>
        <v>0</v>
      </c>
      <c r="AD122" s="50">
        <f t="shared" si="25"/>
        <v>0</v>
      </c>
      <c r="AE122">
        <f t="shared" si="17"/>
        <v>30</v>
      </c>
      <c r="AF122" s="12">
        <f>LCOE!E148+LCOE!J$40</f>
        <v>0.12</v>
      </c>
      <c r="AG122">
        <f t="shared" si="26"/>
        <v>362.52434692275256</v>
      </c>
      <c r="AH122" s="16">
        <f t="shared" si="21"/>
        <v>0</v>
      </c>
      <c r="AI122" s="16">
        <f t="shared" si="22"/>
        <v>0</v>
      </c>
      <c r="AJ122" s="16">
        <f t="shared" si="23"/>
        <v>0</v>
      </c>
      <c r="AK122" s="16">
        <f t="shared" si="24"/>
        <v>0</v>
      </c>
      <c r="AL122" s="16">
        <f t="shared" si="27"/>
        <v>0</v>
      </c>
      <c r="AM122" s="16">
        <f t="shared" si="14"/>
        <v>0</v>
      </c>
      <c r="AN122" s="16">
        <f>IF(LCOE!J$14&gt;0,G122,H122)/AG122</f>
        <v>0</v>
      </c>
    </row>
    <row r="123" spans="1:40">
      <c r="A123">
        <v>53</v>
      </c>
      <c r="C123" s="16">
        <f>LCOE!J149+IF(AND(LCOE!J$26&gt;0,A123&gt;=LCOE!J$26,A123&lt;=(LCOE!J$26+LCOE!J$27-1)),LCOE!J$42/LCOE!J$27,0)+IF(AND(D123=0,AE123&gt;=LCOE!J$16,COUNTIF(D98:D123,0)=LCOE!J$36),LCOE!J$35*LCOE!J$38,0)</f>
        <v>0</v>
      </c>
      <c r="D123" s="16">
        <f>IF(AE122&lt;LCOE!J$16,1,0)</f>
        <v>0</v>
      </c>
      <c r="E123" s="12">
        <f>LCOE!G149+IF(AND(A123&gt;=LCOE!J$26,A123&lt;=(LCOE!J$26+LCOE!J$27-1)),0,1)*IF(A123=LCOE!J$34,0,1)*D123</f>
        <v>0</v>
      </c>
      <c r="F123" s="12">
        <f>IF(F122&lt;LCOE!J$18,MIN(F122*(1+LCOE!J$19),LCOE!J$18),LCOE!J$18)+LCOE!J149</f>
        <v>0.9</v>
      </c>
      <c r="G123" s="16">
        <f>LCOE!K149+E123*F123*N123*(LCOE!J$14+LCOE!H149)*24*365*D123</f>
        <v>0</v>
      </c>
      <c r="H123" s="16">
        <f>LCOE!L149+F123*(LCOE!J$15+LCOE!I149)*E123*24*365*D123*N123</f>
        <v>0</v>
      </c>
      <c r="I123" s="16">
        <f>LCOE!M149+LCOE!J$20*IF(LCOE!J$14&gt;0,(LCOE!J$14+LCOE!H149),(LCOE!J$15+LCOE!I149))*K123*D123</f>
        <v>0</v>
      </c>
      <c r="J123" s="16">
        <f>LCOE!N149+LCOE!J$21*IF(LCOE!J$14&gt;0,G123,H123)*K123*D123</f>
        <v>0</v>
      </c>
      <c r="K123" s="15">
        <f>LCOE!O149+K122+K122*LCOE!J$22</f>
        <v>1</v>
      </c>
      <c r="L123" s="16">
        <f>LCOE!P149+LCOE!J$23*IF(LCOE!J$14&gt;0,G123,H123)*M123*D123</f>
        <v>0</v>
      </c>
      <c r="M123" s="15">
        <f>LCOE!Q149+M122+M122*LCOE!J$24</f>
        <v>1</v>
      </c>
      <c r="N123" s="15">
        <f>LCOE!R149+N122-N122*LCOE!J$25</f>
        <v>1</v>
      </c>
      <c r="O123" s="18">
        <f>LCOE!S149+LCOE!J$29</f>
        <v>313.75</v>
      </c>
      <c r="P123" s="12">
        <f>LCOE!T149+IF(A123&gt;=LCOE!J$30,100%,0%)</f>
        <v>1</v>
      </c>
      <c r="Q123" s="16">
        <f>LCOE!U149+O123/1000*IF(LCOE!J$14&gt;0,G123,H123)</f>
        <v>0</v>
      </c>
      <c r="R123" s="16">
        <f>LCOE!B149</f>
        <v>30</v>
      </c>
      <c r="S123" s="16">
        <f>LCOE!V149+Q123*P123*R123</f>
        <v>0</v>
      </c>
      <c r="T123" s="16">
        <f>LCOE!W149+LCOE!J$31</f>
        <v>0</v>
      </c>
      <c r="U123" s="16">
        <f>LCOE!X149+T123*IF(LCOE!J$14&gt;0,G123,H123)</f>
        <v>0</v>
      </c>
      <c r="V123" s="16">
        <f>LCOE!Y149+LCOE!J$32</f>
        <v>0</v>
      </c>
      <c r="W123" s="16">
        <f>LCOE!Z149+V123*IF(LCOE!J$14&gt;0,G123,H123)</f>
        <v>0</v>
      </c>
      <c r="X123" s="16">
        <f>LCOE!AA149+LCOE!J$34</f>
        <v>101</v>
      </c>
      <c r="Y123" s="16">
        <f t="shared" si="15"/>
        <v>0</v>
      </c>
      <c r="Z123" s="50">
        <f t="shared" si="18"/>
        <v>0</v>
      </c>
      <c r="AA123" s="50">
        <f t="shared" si="19"/>
        <v>0</v>
      </c>
      <c r="AB123" s="50">
        <f t="shared" si="20"/>
        <v>0</v>
      </c>
      <c r="AC123" s="50">
        <f t="shared" si="16"/>
        <v>0</v>
      </c>
      <c r="AD123" s="50">
        <f t="shared" si="25"/>
        <v>0</v>
      </c>
      <c r="AE123">
        <f t="shared" si="17"/>
        <v>30</v>
      </c>
      <c r="AF123" s="12">
        <f>LCOE!E149+LCOE!J$40</f>
        <v>0.12</v>
      </c>
      <c r="AG123">
        <f t="shared" si="26"/>
        <v>406.02726855348288</v>
      </c>
      <c r="AH123" s="16">
        <f t="shared" si="21"/>
        <v>0</v>
      </c>
      <c r="AI123" s="16">
        <f t="shared" si="22"/>
        <v>0</v>
      </c>
      <c r="AJ123" s="16">
        <f t="shared" si="23"/>
        <v>0</v>
      </c>
      <c r="AK123" s="16">
        <f t="shared" si="24"/>
        <v>0</v>
      </c>
      <c r="AL123" s="16">
        <f t="shared" si="27"/>
        <v>0</v>
      </c>
      <c r="AM123" s="16">
        <f t="shared" si="14"/>
        <v>0</v>
      </c>
      <c r="AN123" s="16">
        <f>IF(LCOE!J$14&gt;0,G123,H123)/AG123</f>
        <v>0</v>
      </c>
    </row>
    <row r="124" spans="1:40">
      <c r="A124">
        <v>54</v>
      </c>
      <c r="C124" s="16">
        <f>LCOE!J150+IF(AND(LCOE!J$26&gt;0,A124&gt;=LCOE!J$26,A124&lt;=(LCOE!J$26+LCOE!J$27-1)),LCOE!J$42/LCOE!J$27,0)+IF(AND(D124=0,AE124&gt;=LCOE!J$16,COUNTIF(D99:D124,0)=LCOE!J$36),LCOE!J$35*LCOE!J$38,0)</f>
        <v>0</v>
      </c>
      <c r="D124" s="16">
        <f>IF(AE123&lt;LCOE!J$16,1,0)</f>
        <v>0</v>
      </c>
      <c r="E124" s="12">
        <f>LCOE!G150+IF(AND(A124&gt;=LCOE!J$26,A124&lt;=(LCOE!J$26+LCOE!J$27-1)),0,1)*IF(A124=LCOE!J$34,0,1)*D124</f>
        <v>0</v>
      </c>
      <c r="F124" s="12">
        <f>IF(F123&lt;LCOE!J$18,MIN(F123*(1+LCOE!J$19),LCOE!J$18),LCOE!J$18)+LCOE!J150</f>
        <v>0.9</v>
      </c>
      <c r="G124" s="16">
        <f>LCOE!K150+E124*F124*N124*(LCOE!J$14+LCOE!H150)*24*365*D124</f>
        <v>0</v>
      </c>
      <c r="H124" s="16">
        <f>LCOE!L150+F124*(LCOE!J$15+LCOE!I150)*E124*24*365*D124*N124</f>
        <v>0</v>
      </c>
      <c r="I124" s="16">
        <f>LCOE!M150+LCOE!J$20*IF(LCOE!J$14&gt;0,(LCOE!J$14+LCOE!H150),(LCOE!J$15+LCOE!I150))*K124*D124</f>
        <v>0</v>
      </c>
      <c r="J124" s="16">
        <f>LCOE!N150+LCOE!J$21*IF(LCOE!J$14&gt;0,G124,H124)*K124*D124</f>
        <v>0</v>
      </c>
      <c r="K124" s="15">
        <f>LCOE!O150+K123+K123*LCOE!J$22</f>
        <v>1</v>
      </c>
      <c r="L124" s="16">
        <f>LCOE!P150+LCOE!J$23*IF(LCOE!J$14&gt;0,G124,H124)*M124*D124</f>
        <v>0</v>
      </c>
      <c r="M124" s="15">
        <f>LCOE!Q150+M123+M123*LCOE!J$24</f>
        <v>1</v>
      </c>
      <c r="N124" s="15">
        <f>LCOE!R150+N123-N123*LCOE!J$25</f>
        <v>1</v>
      </c>
      <c r="O124" s="18">
        <f>LCOE!S150+LCOE!J$29</f>
        <v>313.75</v>
      </c>
      <c r="P124" s="12">
        <f>LCOE!T150+IF(A124&gt;=LCOE!J$30,100%,0%)</f>
        <v>1</v>
      </c>
      <c r="Q124" s="16">
        <f>LCOE!U150+O124/1000*IF(LCOE!J$14&gt;0,G124,H124)</f>
        <v>0</v>
      </c>
      <c r="R124" s="16">
        <f>LCOE!B150</f>
        <v>30</v>
      </c>
      <c r="S124" s="16">
        <f>LCOE!V150+Q124*P124*R124</f>
        <v>0</v>
      </c>
      <c r="T124" s="16">
        <f>LCOE!W150+LCOE!J$31</f>
        <v>0</v>
      </c>
      <c r="U124" s="16">
        <f>LCOE!X150+T124*IF(LCOE!J$14&gt;0,G124,H124)</f>
        <v>0</v>
      </c>
      <c r="V124" s="16">
        <f>LCOE!Y150+LCOE!J$32</f>
        <v>0</v>
      </c>
      <c r="W124" s="16">
        <f>LCOE!Z150+V124*IF(LCOE!J$14&gt;0,G124,H124)</f>
        <v>0</v>
      </c>
      <c r="X124" s="16">
        <f>LCOE!AA150+LCOE!J$34</f>
        <v>101</v>
      </c>
      <c r="Y124" s="16">
        <f t="shared" si="15"/>
        <v>0</v>
      </c>
      <c r="Z124" s="50">
        <f t="shared" si="18"/>
        <v>0</v>
      </c>
      <c r="AA124" s="50">
        <f t="shared" si="19"/>
        <v>0</v>
      </c>
      <c r="AB124" s="50">
        <f t="shared" si="20"/>
        <v>0</v>
      </c>
      <c r="AC124" s="50">
        <f t="shared" si="16"/>
        <v>0</v>
      </c>
      <c r="AD124" s="50">
        <f t="shared" si="25"/>
        <v>0</v>
      </c>
      <c r="AE124">
        <f t="shared" si="17"/>
        <v>30</v>
      </c>
      <c r="AF124" s="12">
        <f>LCOE!E150+LCOE!J$40</f>
        <v>0.12</v>
      </c>
      <c r="AG124">
        <f t="shared" si="26"/>
        <v>454.75054077990086</v>
      </c>
      <c r="AH124" s="16">
        <f t="shared" si="21"/>
        <v>0</v>
      </c>
      <c r="AI124" s="16">
        <f t="shared" si="22"/>
        <v>0</v>
      </c>
      <c r="AJ124" s="16">
        <f t="shared" si="23"/>
        <v>0</v>
      </c>
      <c r="AK124" s="16">
        <f t="shared" si="24"/>
        <v>0</v>
      </c>
      <c r="AL124" s="16">
        <f t="shared" si="27"/>
        <v>0</v>
      </c>
      <c r="AM124" s="16">
        <f t="shared" si="14"/>
        <v>0</v>
      </c>
      <c r="AN124" s="16">
        <f>IF(LCOE!J$14&gt;0,G124,H124)/AG124</f>
        <v>0</v>
      </c>
    </row>
    <row r="125" spans="1:40">
      <c r="A125">
        <v>55</v>
      </c>
      <c r="C125" s="16">
        <f>LCOE!J151+IF(AND(LCOE!J$26&gt;0,A125&gt;=LCOE!J$26,A125&lt;=(LCOE!J$26+LCOE!J$27-1)),LCOE!J$42/LCOE!J$27,0)+IF(AND(D125=0,AE125&gt;=LCOE!J$16,COUNTIF(D100:D125,0)=LCOE!J$36),LCOE!J$35*LCOE!J$38,0)</f>
        <v>0</v>
      </c>
      <c r="D125" s="16">
        <f>IF(AE124&lt;LCOE!J$16,1,0)</f>
        <v>0</v>
      </c>
      <c r="E125" s="12">
        <f>LCOE!G151+IF(AND(A125&gt;=LCOE!J$26,A125&lt;=(LCOE!J$26+LCOE!J$27-1)),0,1)*IF(A125=LCOE!J$34,0,1)*D125</f>
        <v>0</v>
      </c>
      <c r="F125" s="12">
        <f>IF(F124&lt;LCOE!J$18,MIN(F124*(1+LCOE!J$19),LCOE!J$18),LCOE!J$18)+LCOE!J151</f>
        <v>0.9</v>
      </c>
      <c r="G125" s="16">
        <f>LCOE!K151+E125*F125*N125*(LCOE!J$14+LCOE!H151)*24*365*D125</f>
        <v>0</v>
      </c>
      <c r="H125" s="16">
        <f>LCOE!L151+F125*(LCOE!J$15+LCOE!I151)*E125*24*365*D125*N125</f>
        <v>0</v>
      </c>
      <c r="I125" s="16">
        <f>LCOE!M151+LCOE!J$20*IF(LCOE!J$14&gt;0,(LCOE!J$14+LCOE!H151),(LCOE!J$15+LCOE!I151))*K125*D125</f>
        <v>0</v>
      </c>
      <c r="J125" s="16">
        <f>LCOE!N151+LCOE!J$21*IF(LCOE!J$14&gt;0,G125,H125)*K125*D125</f>
        <v>0</v>
      </c>
      <c r="K125" s="15">
        <f>LCOE!O151+K124+K124*LCOE!J$22</f>
        <v>1</v>
      </c>
      <c r="L125" s="16">
        <f>LCOE!P151+LCOE!J$23*IF(LCOE!J$14&gt;0,G125,H125)*M125*D125</f>
        <v>0</v>
      </c>
      <c r="M125" s="15">
        <f>LCOE!Q151+M124+M124*LCOE!J$24</f>
        <v>1</v>
      </c>
      <c r="N125" s="15">
        <f>LCOE!R151+N124-N124*LCOE!J$25</f>
        <v>1</v>
      </c>
      <c r="O125" s="18">
        <f>LCOE!S151+LCOE!J$29</f>
        <v>313.75</v>
      </c>
      <c r="P125" s="12">
        <f>LCOE!T151+IF(A125&gt;=LCOE!J$30,100%,0%)</f>
        <v>1</v>
      </c>
      <c r="Q125" s="16">
        <f>LCOE!U151+O125/1000*IF(LCOE!J$14&gt;0,G125,H125)</f>
        <v>0</v>
      </c>
      <c r="R125" s="16">
        <f>LCOE!B151</f>
        <v>30</v>
      </c>
      <c r="S125" s="16">
        <f>LCOE!V151+Q125*P125*R125</f>
        <v>0</v>
      </c>
      <c r="T125" s="16">
        <f>LCOE!W151+LCOE!J$31</f>
        <v>0</v>
      </c>
      <c r="U125" s="16">
        <f>LCOE!X151+T125*IF(LCOE!J$14&gt;0,G125,H125)</f>
        <v>0</v>
      </c>
      <c r="V125" s="16">
        <f>LCOE!Y151+LCOE!J$32</f>
        <v>0</v>
      </c>
      <c r="W125" s="16">
        <f>LCOE!Z151+V125*IF(LCOE!J$14&gt;0,G125,H125)</f>
        <v>0</v>
      </c>
      <c r="X125" s="16">
        <f>LCOE!AA151+LCOE!J$34</f>
        <v>101</v>
      </c>
      <c r="Y125" s="16">
        <f t="shared" si="15"/>
        <v>0</v>
      </c>
      <c r="Z125" s="50">
        <f t="shared" si="18"/>
        <v>0</v>
      </c>
      <c r="AA125" s="50">
        <f t="shared" si="19"/>
        <v>0</v>
      </c>
      <c r="AB125" s="50">
        <f t="shared" si="20"/>
        <v>0</v>
      </c>
      <c r="AC125" s="50">
        <f t="shared" si="16"/>
        <v>0</v>
      </c>
      <c r="AD125" s="50">
        <f t="shared" si="25"/>
        <v>0</v>
      </c>
      <c r="AE125">
        <f t="shared" si="17"/>
        <v>30</v>
      </c>
      <c r="AF125" s="12">
        <f>LCOE!E151+LCOE!J$40</f>
        <v>0.12</v>
      </c>
      <c r="AG125">
        <f t="shared" si="26"/>
        <v>509.32060567348896</v>
      </c>
      <c r="AH125" s="16">
        <f t="shared" si="21"/>
        <v>0</v>
      </c>
      <c r="AI125" s="16">
        <f t="shared" si="22"/>
        <v>0</v>
      </c>
      <c r="AJ125" s="16">
        <f t="shared" si="23"/>
        <v>0</v>
      </c>
      <c r="AK125" s="16">
        <f t="shared" si="24"/>
        <v>0</v>
      </c>
      <c r="AL125" s="16">
        <f t="shared" si="27"/>
        <v>0</v>
      </c>
      <c r="AM125" s="16">
        <f t="shared" si="14"/>
        <v>0</v>
      </c>
      <c r="AN125" s="16">
        <f>IF(LCOE!J$14&gt;0,G125,H125)/AG125</f>
        <v>0</v>
      </c>
    </row>
    <row r="126" spans="1:40">
      <c r="A126">
        <v>56</v>
      </c>
      <c r="C126" s="16">
        <f>LCOE!J152+IF(AND(LCOE!J$26&gt;0,A126&gt;=LCOE!J$26,A126&lt;=(LCOE!J$26+LCOE!J$27-1)),LCOE!J$42/LCOE!J$27,0)+IF(AND(D126=0,AE126&gt;=LCOE!J$16,COUNTIF(D101:D126,0)=LCOE!J$36),LCOE!J$35*LCOE!J$38,0)</f>
        <v>0</v>
      </c>
      <c r="D126" s="16">
        <f>IF(AE125&lt;LCOE!J$16,1,0)</f>
        <v>0</v>
      </c>
      <c r="E126" s="12">
        <f>LCOE!G152+IF(AND(A126&gt;=LCOE!J$26,A126&lt;=(LCOE!J$26+LCOE!J$27-1)),0,1)*IF(A126=LCOE!J$34,0,1)*D126</f>
        <v>0</v>
      </c>
      <c r="F126" s="12">
        <f>IF(F125&lt;LCOE!J$18,MIN(F125*(1+LCOE!J$19),LCOE!J$18),LCOE!J$18)+LCOE!J152</f>
        <v>0.9</v>
      </c>
      <c r="G126" s="16">
        <f>LCOE!K152+E126*F126*N126*(LCOE!J$14+LCOE!H152)*24*365*D126</f>
        <v>0</v>
      </c>
      <c r="H126" s="16">
        <f>LCOE!L152+F126*(LCOE!J$15+LCOE!I152)*E126*24*365*D126*N126</f>
        <v>0</v>
      </c>
      <c r="I126" s="16">
        <f>LCOE!M152+LCOE!J$20*IF(LCOE!J$14&gt;0,(LCOE!J$14+LCOE!H152),(LCOE!J$15+LCOE!I152))*K126*D126</f>
        <v>0</v>
      </c>
      <c r="J126" s="16">
        <f>LCOE!N152+LCOE!J$21*IF(LCOE!J$14&gt;0,G126,H126)*K126*D126</f>
        <v>0</v>
      </c>
      <c r="K126" s="15">
        <f>LCOE!O152+K125+K125*LCOE!J$22</f>
        <v>1</v>
      </c>
      <c r="L126" s="16">
        <f>LCOE!P152+LCOE!J$23*IF(LCOE!J$14&gt;0,G126,H126)*M126*D126</f>
        <v>0</v>
      </c>
      <c r="M126" s="15">
        <f>LCOE!Q152+M125+M125*LCOE!J$24</f>
        <v>1</v>
      </c>
      <c r="N126" s="15">
        <f>LCOE!R152+N125-N125*LCOE!J$25</f>
        <v>1</v>
      </c>
      <c r="O126" s="18">
        <f>LCOE!S152+LCOE!J$29</f>
        <v>313.75</v>
      </c>
      <c r="P126" s="12">
        <f>LCOE!T152+IF(A126&gt;=LCOE!J$30,100%,0%)</f>
        <v>1</v>
      </c>
      <c r="Q126" s="16">
        <f>LCOE!U152+O126/1000*IF(LCOE!J$14&gt;0,G126,H126)</f>
        <v>0</v>
      </c>
      <c r="R126" s="16">
        <f>LCOE!B152</f>
        <v>30</v>
      </c>
      <c r="S126" s="16">
        <f>LCOE!V152+Q126*P126*R126</f>
        <v>0</v>
      </c>
      <c r="T126" s="16">
        <f>LCOE!W152+LCOE!J$31</f>
        <v>0</v>
      </c>
      <c r="U126" s="16">
        <f>LCOE!X152+T126*IF(LCOE!J$14&gt;0,G126,H126)</f>
        <v>0</v>
      </c>
      <c r="V126" s="16">
        <f>LCOE!Y152+LCOE!J$32</f>
        <v>0</v>
      </c>
      <c r="W126" s="16">
        <f>LCOE!Z152+V126*IF(LCOE!J$14&gt;0,G126,H126)</f>
        <v>0</v>
      </c>
      <c r="X126" s="16">
        <f>LCOE!AA152+LCOE!J$34</f>
        <v>101</v>
      </c>
      <c r="Y126" s="16">
        <f t="shared" si="15"/>
        <v>0</v>
      </c>
      <c r="Z126" s="50">
        <f t="shared" si="18"/>
        <v>0</v>
      </c>
      <c r="AA126" s="50">
        <f t="shared" si="19"/>
        <v>0</v>
      </c>
      <c r="AB126" s="50">
        <f t="shared" si="20"/>
        <v>0</v>
      </c>
      <c r="AC126" s="50">
        <f t="shared" si="16"/>
        <v>0</v>
      </c>
      <c r="AD126" s="50">
        <f t="shared" si="25"/>
        <v>0</v>
      </c>
      <c r="AE126">
        <f t="shared" si="17"/>
        <v>30</v>
      </c>
      <c r="AF126" s="12">
        <f>LCOE!E152+LCOE!J$40</f>
        <v>0.12</v>
      </c>
      <c r="AG126">
        <f t="shared" si="26"/>
        <v>570.43907835430764</v>
      </c>
      <c r="AH126" s="16">
        <f t="shared" si="21"/>
        <v>0</v>
      </c>
      <c r="AI126" s="16">
        <f t="shared" si="22"/>
        <v>0</v>
      </c>
      <c r="AJ126" s="16">
        <f t="shared" si="23"/>
        <v>0</v>
      </c>
      <c r="AK126" s="16">
        <f t="shared" si="24"/>
        <v>0</v>
      </c>
      <c r="AL126" s="16">
        <f t="shared" si="27"/>
        <v>0</v>
      </c>
      <c r="AM126" s="16">
        <f t="shared" si="14"/>
        <v>0</v>
      </c>
      <c r="AN126" s="16">
        <f>IF(LCOE!J$14&gt;0,G126,H126)/AG126</f>
        <v>0</v>
      </c>
    </row>
    <row r="127" spans="1:40">
      <c r="A127">
        <v>57</v>
      </c>
      <c r="C127" s="16">
        <f>LCOE!J153+IF(AND(LCOE!J$26&gt;0,A127&gt;=LCOE!J$26,A127&lt;=(LCOE!J$26+LCOE!J$27-1)),LCOE!J$42/LCOE!J$27,0)+IF(AND(D127=0,AE127&gt;=LCOE!J$16,COUNTIF(D102:D127,0)=LCOE!J$36),LCOE!J$35*LCOE!J$38,0)</f>
        <v>0</v>
      </c>
      <c r="D127" s="16">
        <f>IF(AE126&lt;LCOE!J$16,1,0)</f>
        <v>0</v>
      </c>
      <c r="E127" s="12">
        <f>LCOE!G153+IF(AND(A127&gt;=LCOE!J$26,A127&lt;=(LCOE!J$26+LCOE!J$27-1)),0,1)*IF(A127=LCOE!J$34,0,1)*D127</f>
        <v>0</v>
      </c>
      <c r="F127" s="12">
        <f>IF(F126&lt;LCOE!J$18,MIN(F126*(1+LCOE!J$19),LCOE!J$18),LCOE!J$18)+LCOE!J153</f>
        <v>0.9</v>
      </c>
      <c r="G127" s="16">
        <f>LCOE!K153+E127*F127*N127*(LCOE!J$14+LCOE!H153)*24*365*D127</f>
        <v>0</v>
      </c>
      <c r="H127" s="16">
        <f>LCOE!L153+F127*(LCOE!J$15+LCOE!I153)*E127*24*365*D127*N127</f>
        <v>0</v>
      </c>
      <c r="I127" s="16">
        <f>LCOE!M153+LCOE!J$20*IF(LCOE!J$14&gt;0,(LCOE!J$14+LCOE!H153),(LCOE!J$15+LCOE!I153))*K127*D127</f>
        <v>0</v>
      </c>
      <c r="J127" s="16">
        <f>LCOE!N153+LCOE!J$21*IF(LCOE!J$14&gt;0,G127,H127)*K127*D127</f>
        <v>0</v>
      </c>
      <c r="K127" s="15">
        <f>LCOE!O153+K126+K126*LCOE!J$22</f>
        <v>1</v>
      </c>
      <c r="L127" s="16">
        <f>LCOE!P153+LCOE!J$23*IF(LCOE!J$14&gt;0,G127,H127)*M127*D127</f>
        <v>0</v>
      </c>
      <c r="M127" s="15">
        <f>LCOE!Q153+M126+M126*LCOE!J$24</f>
        <v>1</v>
      </c>
      <c r="N127" s="15">
        <f>LCOE!R153+N126-N126*LCOE!J$25</f>
        <v>1</v>
      </c>
      <c r="O127" s="18">
        <f>LCOE!S153+LCOE!J$29</f>
        <v>313.75</v>
      </c>
      <c r="P127" s="12">
        <f>LCOE!T153+IF(A127&gt;=LCOE!J$30,100%,0%)</f>
        <v>1</v>
      </c>
      <c r="Q127" s="16">
        <f>LCOE!U153+O127/1000*IF(LCOE!J$14&gt;0,G127,H127)</f>
        <v>0</v>
      </c>
      <c r="R127" s="16">
        <f>LCOE!B153</f>
        <v>30</v>
      </c>
      <c r="S127" s="16">
        <f>LCOE!V153+Q127*P127*R127</f>
        <v>0</v>
      </c>
      <c r="T127" s="16">
        <f>LCOE!W153+LCOE!J$31</f>
        <v>0</v>
      </c>
      <c r="U127" s="16">
        <f>LCOE!X153+T127*IF(LCOE!J$14&gt;0,G127,H127)</f>
        <v>0</v>
      </c>
      <c r="V127" s="16">
        <f>LCOE!Y153+LCOE!J$32</f>
        <v>0</v>
      </c>
      <c r="W127" s="16">
        <f>LCOE!Z153+V127*IF(LCOE!J$14&gt;0,G127,H127)</f>
        <v>0</v>
      </c>
      <c r="X127" s="16">
        <f>LCOE!AA153+LCOE!J$34</f>
        <v>101</v>
      </c>
      <c r="Y127" s="16">
        <f t="shared" si="15"/>
        <v>0</v>
      </c>
      <c r="Z127" s="50">
        <f t="shared" si="18"/>
        <v>0</v>
      </c>
      <c r="AA127" s="50">
        <f t="shared" si="19"/>
        <v>0</v>
      </c>
      <c r="AB127" s="50">
        <f t="shared" si="20"/>
        <v>0</v>
      </c>
      <c r="AC127" s="50">
        <f t="shared" si="16"/>
        <v>0</v>
      </c>
      <c r="AD127" s="50">
        <f t="shared" si="25"/>
        <v>0</v>
      </c>
      <c r="AE127">
        <f t="shared" si="17"/>
        <v>30</v>
      </c>
      <c r="AF127" s="12">
        <f>LCOE!E153+LCOE!J$40</f>
        <v>0.12</v>
      </c>
      <c r="AG127">
        <f t="shared" si="26"/>
        <v>638.89176775682472</v>
      </c>
      <c r="AH127" s="16">
        <f t="shared" si="21"/>
        <v>0</v>
      </c>
      <c r="AI127" s="16">
        <f t="shared" si="22"/>
        <v>0</v>
      </c>
      <c r="AJ127" s="16">
        <f t="shared" si="23"/>
        <v>0</v>
      </c>
      <c r="AK127" s="16">
        <f t="shared" si="24"/>
        <v>0</v>
      </c>
      <c r="AL127" s="16">
        <f t="shared" si="27"/>
        <v>0</v>
      </c>
      <c r="AM127" s="16">
        <f t="shared" si="14"/>
        <v>0</v>
      </c>
      <c r="AN127" s="16">
        <f>IF(LCOE!J$14&gt;0,G127,H127)/AG127</f>
        <v>0</v>
      </c>
    </row>
    <row r="128" spans="1:40">
      <c r="A128">
        <v>58</v>
      </c>
      <c r="C128" s="16">
        <f>LCOE!J154+IF(AND(LCOE!J$26&gt;0,A128&gt;=LCOE!J$26,A128&lt;=(LCOE!J$26+LCOE!J$27-1)),LCOE!J$42/LCOE!J$27,0)+IF(AND(D128=0,AE128&gt;=LCOE!J$16,COUNTIF(D103:D128,0)=LCOE!J$36),LCOE!J$35*LCOE!J$38,0)</f>
        <v>0</v>
      </c>
      <c r="D128" s="16">
        <f>IF(AE127&lt;LCOE!J$16,1,0)</f>
        <v>0</v>
      </c>
      <c r="E128" s="12">
        <f>LCOE!G154+IF(AND(A128&gt;=LCOE!J$26,A128&lt;=(LCOE!J$26+LCOE!J$27-1)),0,1)*IF(A128=LCOE!J$34,0,1)*D128</f>
        <v>0</v>
      </c>
      <c r="F128" s="12">
        <f>IF(F127&lt;LCOE!J$18,MIN(F127*(1+LCOE!J$19),LCOE!J$18),LCOE!J$18)+LCOE!J154</f>
        <v>0.9</v>
      </c>
      <c r="G128" s="16">
        <f>LCOE!K154+E128*F128*N128*(LCOE!J$14+LCOE!H154)*24*365*D128</f>
        <v>0</v>
      </c>
      <c r="H128" s="16">
        <f>LCOE!L154+F128*(LCOE!J$15+LCOE!I154)*E128*24*365*D128*N128</f>
        <v>0</v>
      </c>
      <c r="I128" s="16">
        <f>LCOE!M154+LCOE!J$20*IF(LCOE!J$14&gt;0,(LCOE!J$14+LCOE!H154),(LCOE!J$15+LCOE!I154))*K128*D128</f>
        <v>0</v>
      </c>
      <c r="J128" s="16">
        <f>LCOE!N154+LCOE!J$21*IF(LCOE!J$14&gt;0,G128,H128)*K128*D128</f>
        <v>0</v>
      </c>
      <c r="K128" s="15">
        <f>LCOE!O154+K127+K127*LCOE!J$22</f>
        <v>1</v>
      </c>
      <c r="L128" s="16">
        <f>LCOE!P154+LCOE!J$23*IF(LCOE!J$14&gt;0,G128,H128)*M128*D128</f>
        <v>0</v>
      </c>
      <c r="M128" s="15">
        <f>LCOE!Q154+M127+M127*LCOE!J$24</f>
        <v>1</v>
      </c>
      <c r="N128" s="15">
        <f>LCOE!R154+N127-N127*LCOE!J$25</f>
        <v>1</v>
      </c>
      <c r="O128" s="18">
        <f>LCOE!S154+LCOE!J$29</f>
        <v>313.75</v>
      </c>
      <c r="P128" s="12">
        <f>LCOE!T154+IF(A128&gt;=LCOE!J$30,100%,0%)</f>
        <v>1</v>
      </c>
      <c r="Q128" s="16">
        <f>LCOE!U154+O128/1000*IF(LCOE!J$14&gt;0,G128,H128)</f>
        <v>0</v>
      </c>
      <c r="R128" s="16">
        <f>LCOE!B154</f>
        <v>30</v>
      </c>
      <c r="S128" s="16">
        <f>LCOE!V154+Q128*P128*R128</f>
        <v>0</v>
      </c>
      <c r="T128" s="16">
        <f>LCOE!W154+LCOE!J$31</f>
        <v>0</v>
      </c>
      <c r="U128" s="16">
        <f>LCOE!X154+T128*IF(LCOE!J$14&gt;0,G128,H128)</f>
        <v>0</v>
      </c>
      <c r="V128" s="16">
        <f>LCOE!Y154+LCOE!J$32</f>
        <v>0</v>
      </c>
      <c r="W128" s="16">
        <f>LCOE!Z154+V128*IF(LCOE!J$14&gt;0,G128,H128)</f>
        <v>0</v>
      </c>
      <c r="X128" s="16">
        <f>LCOE!AA154+LCOE!J$34</f>
        <v>101</v>
      </c>
      <c r="Y128" s="16">
        <f t="shared" si="15"/>
        <v>0</v>
      </c>
      <c r="Z128" s="50">
        <f t="shared" si="18"/>
        <v>0</v>
      </c>
      <c r="AA128" s="50">
        <f t="shared" si="19"/>
        <v>0</v>
      </c>
      <c r="AB128" s="50">
        <f t="shared" si="20"/>
        <v>0</v>
      </c>
      <c r="AC128" s="50">
        <f t="shared" si="16"/>
        <v>0</v>
      </c>
      <c r="AD128" s="50">
        <f t="shared" si="25"/>
        <v>0</v>
      </c>
      <c r="AE128">
        <f t="shared" si="17"/>
        <v>30</v>
      </c>
      <c r="AF128" s="12">
        <f>LCOE!E154+LCOE!J$40</f>
        <v>0.12</v>
      </c>
      <c r="AG128">
        <f t="shared" si="26"/>
        <v>715.5587798876436</v>
      </c>
      <c r="AH128" s="16">
        <f t="shared" si="21"/>
        <v>0</v>
      </c>
      <c r="AI128" s="16">
        <f t="shared" si="22"/>
        <v>0</v>
      </c>
      <c r="AJ128" s="16">
        <f t="shared" si="23"/>
        <v>0</v>
      </c>
      <c r="AK128" s="16">
        <f t="shared" si="24"/>
        <v>0</v>
      </c>
      <c r="AL128" s="16">
        <f t="shared" si="27"/>
        <v>0</v>
      </c>
      <c r="AM128" s="16">
        <f t="shared" si="14"/>
        <v>0</v>
      </c>
      <c r="AN128" s="16">
        <f>IF(LCOE!J$14&gt;0,G128,H128)/AG128</f>
        <v>0</v>
      </c>
    </row>
    <row r="129" spans="1:40">
      <c r="A129">
        <v>59</v>
      </c>
      <c r="C129" s="16">
        <f>LCOE!J155+IF(AND(LCOE!J$26&gt;0,A129&gt;=LCOE!J$26,A129&lt;=(LCOE!J$26+LCOE!J$27-1)),LCOE!J$42/LCOE!J$27,0)+IF(AND(D129=0,AE129&gt;=LCOE!J$16,COUNTIF(D104:D129,0)=LCOE!J$36),LCOE!J$35*LCOE!J$38,0)</f>
        <v>0</v>
      </c>
      <c r="D129" s="16">
        <f>IF(AE128&lt;LCOE!J$16,1,0)</f>
        <v>0</v>
      </c>
      <c r="E129" s="12">
        <f>LCOE!G155+IF(AND(A129&gt;=LCOE!J$26,A129&lt;=(LCOE!J$26+LCOE!J$27-1)),0,1)*IF(A129=LCOE!J$34,0,1)*D129</f>
        <v>0</v>
      </c>
      <c r="F129" s="12">
        <f>IF(F128&lt;LCOE!J$18,MIN(F128*(1+LCOE!J$19),LCOE!J$18),LCOE!J$18)+LCOE!J155</f>
        <v>0.9</v>
      </c>
      <c r="G129" s="16">
        <f>LCOE!K155+E129*F129*N129*(LCOE!J$14+LCOE!H155)*24*365*D129</f>
        <v>0</v>
      </c>
      <c r="H129" s="16">
        <f>LCOE!L155+F129*(LCOE!J$15+LCOE!I155)*E129*24*365*D129*N129</f>
        <v>0</v>
      </c>
      <c r="I129" s="16">
        <f>LCOE!M155+LCOE!J$20*IF(LCOE!J$14&gt;0,(LCOE!J$14+LCOE!H155),(LCOE!J$15+LCOE!I155))*K129*D129</f>
        <v>0</v>
      </c>
      <c r="J129" s="16">
        <f>LCOE!N155+LCOE!J$21*IF(LCOE!J$14&gt;0,G129,H129)*K129*D129</f>
        <v>0</v>
      </c>
      <c r="K129" s="15">
        <f>LCOE!O155+K128+K128*LCOE!J$22</f>
        <v>1</v>
      </c>
      <c r="L129" s="16">
        <f>LCOE!P155+LCOE!J$23*IF(LCOE!J$14&gt;0,G129,H129)*M129*D129</f>
        <v>0</v>
      </c>
      <c r="M129" s="15">
        <f>LCOE!Q155+M128+M128*LCOE!J$24</f>
        <v>1</v>
      </c>
      <c r="N129" s="15">
        <f>LCOE!R155+N128-N128*LCOE!J$25</f>
        <v>1</v>
      </c>
      <c r="O129" s="18">
        <f>LCOE!S155+LCOE!J$29</f>
        <v>313.75</v>
      </c>
      <c r="P129" s="12">
        <f>LCOE!T155+IF(A129&gt;=LCOE!J$30,100%,0%)</f>
        <v>1</v>
      </c>
      <c r="Q129" s="16">
        <f>LCOE!U155+O129/1000*IF(LCOE!J$14&gt;0,G129,H129)</f>
        <v>0</v>
      </c>
      <c r="R129" s="16">
        <f>LCOE!B155</f>
        <v>30</v>
      </c>
      <c r="S129" s="16">
        <f>LCOE!V155+Q129*P129*R129</f>
        <v>0</v>
      </c>
      <c r="T129" s="16">
        <f>LCOE!W155+LCOE!J$31</f>
        <v>0</v>
      </c>
      <c r="U129" s="16">
        <f>LCOE!X155+T129*IF(LCOE!J$14&gt;0,G129,H129)</f>
        <v>0</v>
      </c>
      <c r="V129" s="16">
        <f>LCOE!Y155+LCOE!J$32</f>
        <v>0</v>
      </c>
      <c r="W129" s="16">
        <f>LCOE!Z155+V129*IF(LCOE!J$14&gt;0,G129,H129)</f>
        <v>0</v>
      </c>
      <c r="X129" s="16">
        <f>LCOE!AA155+LCOE!J$34</f>
        <v>101</v>
      </c>
      <c r="Y129" s="16">
        <f t="shared" si="15"/>
        <v>0</v>
      </c>
      <c r="Z129" s="50">
        <f t="shared" si="18"/>
        <v>0</v>
      </c>
      <c r="AA129" s="50">
        <f t="shared" si="19"/>
        <v>0</v>
      </c>
      <c r="AB129" s="50">
        <f t="shared" si="20"/>
        <v>0</v>
      </c>
      <c r="AC129" s="50">
        <f t="shared" si="16"/>
        <v>0</v>
      </c>
      <c r="AD129" s="50">
        <f t="shared" si="25"/>
        <v>0</v>
      </c>
      <c r="AE129">
        <f t="shared" si="17"/>
        <v>30</v>
      </c>
      <c r="AF129" s="12">
        <f>LCOE!E155+LCOE!J$40</f>
        <v>0.12</v>
      </c>
      <c r="AG129">
        <f t="shared" si="26"/>
        <v>801.4258334741611</v>
      </c>
      <c r="AH129" s="16">
        <f t="shared" si="21"/>
        <v>0</v>
      </c>
      <c r="AI129" s="16">
        <f t="shared" si="22"/>
        <v>0</v>
      </c>
      <c r="AJ129" s="16">
        <f t="shared" si="23"/>
        <v>0</v>
      </c>
      <c r="AK129" s="16">
        <f t="shared" si="24"/>
        <v>0</v>
      </c>
      <c r="AL129" s="16">
        <f t="shared" si="27"/>
        <v>0</v>
      </c>
      <c r="AM129" s="16">
        <f t="shared" si="14"/>
        <v>0</v>
      </c>
      <c r="AN129" s="16">
        <f>IF(LCOE!J$14&gt;0,G129,H129)/AG129</f>
        <v>0</v>
      </c>
    </row>
    <row r="130" spans="1:40">
      <c r="A130">
        <v>60</v>
      </c>
      <c r="C130" s="16">
        <f>LCOE!J156+IF(AND(LCOE!J$26&gt;0,A130&gt;=LCOE!J$26,A130&lt;=(LCOE!J$26+LCOE!J$27-1)),LCOE!J$42/LCOE!J$27,0)+IF(AND(D130=0,AE130&gt;=LCOE!J$16,COUNTIF(D105:D130,0)=LCOE!J$36),LCOE!J$35*LCOE!J$38,0)</f>
        <v>0</v>
      </c>
      <c r="D130" s="16">
        <f>IF(AE129&lt;LCOE!J$16,1,0)</f>
        <v>0</v>
      </c>
      <c r="E130" s="12">
        <f>LCOE!G156+IF(AND(A130&gt;=LCOE!J$26,A130&lt;=(LCOE!J$26+LCOE!J$27-1)),0,1)*IF(A130=LCOE!J$34,0,1)*D130</f>
        <v>0</v>
      </c>
      <c r="F130" s="12">
        <f>IF(F129&lt;LCOE!J$18,MIN(F129*(1+LCOE!J$19),LCOE!J$18),LCOE!J$18)+LCOE!J156</f>
        <v>0.9</v>
      </c>
      <c r="G130" s="16">
        <f>LCOE!K156+E130*F130*N130*(LCOE!J$14+LCOE!H156)*24*365*D130</f>
        <v>0</v>
      </c>
      <c r="H130" s="16">
        <f>LCOE!L156+F130*(LCOE!J$15+LCOE!I156)*E130*24*365*D130*N130</f>
        <v>0</v>
      </c>
      <c r="I130" s="16">
        <f>LCOE!M156+LCOE!J$20*IF(LCOE!J$14&gt;0,(LCOE!J$14+LCOE!H156),(LCOE!J$15+LCOE!I156))*K130*D130</f>
        <v>0</v>
      </c>
      <c r="J130" s="16">
        <f>LCOE!N156+LCOE!J$21*IF(LCOE!J$14&gt;0,G130,H130)*K130*D130</f>
        <v>0</v>
      </c>
      <c r="K130" s="15">
        <f>LCOE!O156+K129+K129*LCOE!J$22</f>
        <v>1</v>
      </c>
      <c r="L130" s="16">
        <f>LCOE!P156+LCOE!J$23*IF(LCOE!J$14&gt;0,G130,H130)*M130*D130</f>
        <v>0</v>
      </c>
      <c r="M130" s="15">
        <f>LCOE!Q156+M129+M129*LCOE!J$24</f>
        <v>1</v>
      </c>
      <c r="N130" s="15">
        <f>LCOE!R156+N129-N129*LCOE!J$25</f>
        <v>1</v>
      </c>
      <c r="O130" s="18">
        <f>LCOE!S156+LCOE!J$29</f>
        <v>313.75</v>
      </c>
      <c r="P130" s="12">
        <f>LCOE!T156+IF(A130&gt;=LCOE!J$30,100%,0%)</f>
        <v>1</v>
      </c>
      <c r="Q130" s="16">
        <f>LCOE!U156+O130/1000*IF(LCOE!J$14&gt;0,G130,H130)</f>
        <v>0</v>
      </c>
      <c r="R130" s="16">
        <f>LCOE!B156</f>
        <v>30</v>
      </c>
      <c r="S130" s="16">
        <f>LCOE!V156+Q130*P130*R130</f>
        <v>0</v>
      </c>
      <c r="T130" s="16">
        <f>LCOE!W156+LCOE!J$31</f>
        <v>0</v>
      </c>
      <c r="U130" s="16">
        <f>LCOE!X156+T130*IF(LCOE!J$14&gt;0,G130,H130)</f>
        <v>0</v>
      </c>
      <c r="V130" s="16">
        <f>LCOE!Y156+LCOE!J$32</f>
        <v>0</v>
      </c>
      <c r="W130" s="16">
        <f>LCOE!Z156+V130*IF(LCOE!J$14&gt;0,G130,H130)</f>
        <v>0</v>
      </c>
      <c r="X130" s="16">
        <f>LCOE!AA156+LCOE!J$34</f>
        <v>101</v>
      </c>
      <c r="Y130" s="16">
        <f t="shared" si="15"/>
        <v>0</v>
      </c>
      <c r="Z130" s="50">
        <f t="shared" si="18"/>
        <v>0</v>
      </c>
      <c r="AA130" s="50">
        <f t="shared" si="19"/>
        <v>0</v>
      </c>
      <c r="AB130" s="50">
        <f t="shared" si="20"/>
        <v>0</v>
      </c>
      <c r="AC130" s="50">
        <f t="shared" si="16"/>
        <v>0</v>
      </c>
      <c r="AD130" s="50">
        <f t="shared" si="25"/>
        <v>0</v>
      </c>
      <c r="AE130">
        <f t="shared" si="17"/>
        <v>30</v>
      </c>
      <c r="AF130" s="12">
        <f>LCOE!E156+LCOE!J$40</f>
        <v>0.12</v>
      </c>
      <c r="AG130">
        <f t="shared" si="26"/>
        <v>897.59693349106033</v>
      </c>
      <c r="AH130" s="16">
        <f t="shared" si="21"/>
        <v>0</v>
      </c>
      <c r="AI130" s="16">
        <f t="shared" si="22"/>
        <v>0</v>
      </c>
      <c r="AJ130" s="16">
        <f t="shared" si="23"/>
        <v>0</v>
      </c>
      <c r="AK130" s="16">
        <f t="shared" si="24"/>
        <v>0</v>
      </c>
      <c r="AL130" s="16">
        <f t="shared" si="27"/>
        <v>0</v>
      </c>
      <c r="AM130" s="16">
        <f t="shared" si="14"/>
        <v>0</v>
      </c>
      <c r="AN130" s="16">
        <f>IF(LCOE!J$14&gt;0,G130,H130)/AG130</f>
        <v>0</v>
      </c>
    </row>
    <row r="131" spans="1:40">
      <c r="A131">
        <v>61</v>
      </c>
      <c r="C131" s="16">
        <f>LCOE!J157+IF(AND(LCOE!J$26&gt;0,A131&gt;=LCOE!J$26,A131&lt;=(LCOE!J$26+LCOE!J$27-1)),LCOE!J$42/LCOE!J$27,0)+IF(AND(D131=0,AE131&gt;=LCOE!J$16,COUNTIF(D106:D131,0)=LCOE!J$36),LCOE!J$35*LCOE!J$38,0)</f>
        <v>0</v>
      </c>
      <c r="D131" s="16">
        <f>IF(AE130&lt;LCOE!J$16,1,0)</f>
        <v>0</v>
      </c>
      <c r="E131" s="12">
        <f>LCOE!G157+IF(AND(A131&gt;=LCOE!J$26,A131&lt;=(LCOE!J$26+LCOE!J$27-1)),0,1)*IF(A131=LCOE!J$34,0,1)*D131</f>
        <v>0</v>
      </c>
      <c r="F131" s="12">
        <f>IF(F130&lt;LCOE!J$18,MIN(F130*(1+LCOE!J$19),LCOE!J$18),LCOE!J$18)+LCOE!J157</f>
        <v>0.9</v>
      </c>
      <c r="G131" s="16">
        <f>LCOE!K157+E131*F131*N131*(LCOE!J$14+LCOE!H157)*24*365*D131</f>
        <v>0</v>
      </c>
      <c r="H131" s="16">
        <f>LCOE!L157+F131*(LCOE!J$15+LCOE!I157)*E131*24*365*D131*N131</f>
        <v>0</v>
      </c>
      <c r="I131" s="16">
        <f>LCOE!M157+LCOE!J$20*IF(LCOE!J$14&gt;0,(LCOE!J$14+LCOE!H157),(LCOE!J$15+LCOE!I157))*K131*D131</f>
        <v>0</v>
      </c>
      <c r="J131" s="16">
        <f>LCOE!N157+LCOE!J$21*IF(LCOE!J$14&gt;0,G131,H131)*K131*D131</f>
        <v>0</v>
      </c>
      <c r="K131" s="15">
        <f>LCOE!O157+K130+K130*LCOE!J$22</f>
        <v>1</v>
      </c>
      <c r="L131" s="16">
        <f>LCOE!P157+LCOE!J$23*IF(LCOE!J$14&gt;0,G131,H131)*M131*D131</f>
        <v>0</v>
      </c>
      <c r="M131" s="15">
        <f>LCOE!Q157+M130+M130*LCOE!J$24</f>
        <v>1</v>
      </c>
      <c r="N131" s="15">
        <f>LCOE!R157+N130-N130*LCOE!J$25</f>
        <v>1</v>
      </c>
      <c r="O131" s="18">
        <f>LCOE!S157+LCOE!J$29</f>
        <v>313.75</v>
      </c>
      <c r="P131" s="12">
        <f>LCOE!T157+IF(A131&gt;=LCOE!J$30,100%,0%)</f>
        <v>1</v>
      </c>
      <c r="Q131" s="16">
        <f>LCOE!U157+O131/1000*IF(LCOE!J$14&gt;0,G131,H131)</f>
        <v>0</v>
      </c>
      <c r="R131" s="16">
        <f>LCOE!B157</f>
        <v>30</v>
      </c>
      <c r="S131" s="16">
        <f>LCOE!V157+Q131*P131*R131</f>
        <v>0</v>
      </c>
      <c r="T131" s="16">
        <f>LCOE!W157+LCOE!J$31</f>
        <v>0</v>
      </c>
      <c r="U131" s="16">
        <f>LCOE!X157+T131*IF(LCOE!J$14&gt;0,G131,H131)</f>
        <v>0</v>
      </c>
      <c r="V131" s="16">
        <f>LCOE!Y157+LCOE!J$32</f>
        <v>0</v>
      </c>
      <c r="W131" s="16">
        <f>LCOE!Z157+V131*IF(LCOE!J$14&gt;0,G131,H131)</f>
        <v>0</v>
      </c>
      <c r="X131" s="16">
        <f>LCOE!AA157+LCOE!J$34</f>
        <v>101</v>
      </c>
      <c r="Y131" s="16">
        <f t="shared" si="15"/>
        <v>0</v>
      </c>
      <c r="Z131" s="50">
        <f t="shared" si="18"/>
        <v>0</v>
      </c>
      <c r="AA131" s="50">
        <f t="shared" si="19"/>
        <v>0</v>
      </c>
      <c r="AB131" s="50">
        <f t="shared" si="20"/>
        <v>0</v>
      </c>
      <c r="AC131" s="50">
        <f t="shared" si="16"/>
        <v>0</v>
      </c>
      <c r="AD131" s="50">
        <f t="shared" si="25"/>
        <v>0</v>
      </c>
      <c r="AE131">
        <f t="shared" si="17"/>
        <v>30</v>
      </c>
      <c r="AF131" s="12">
        <f>LCOE!E157+LCOE!J$40</f>
        <v>0.12</v>
      </c>
      <c r="AG131">
        <f t="shared" si="26"/>
        <v>1005.3085655099877</v>
      </c>
      <c r="AH131" s="16">
        <f t="shared" si="21"/>
        <v>0</v>
      </c>
      <c r="AI131" s="16">
        <f t="shared" si="22"/>
        <v>0</v>
      </c>
      <c r="AJ131" s="16">
        <f t="shared" si="23"/>
        <v>0</v>
      </c>
      <c r="AK131" s="16">
        <f t="shared" si="24"/>
        <v>0</v>
      </c>
      <c r="AL131" s="16">
        <f t="shared" si="27"/>
        <v>0</v>
      </c>
      <c r="AM131" s="16">
        <f t="shared" si="14"/>
        <v>0</v>
      </c>
      <c r="AN131" s="16">
        <f>IF(LCOE!J$14&gt;0,G131,H131)/AG131</f>
        <v>0</v>
      </c>
    </row>
    <row r="132" spans="1:40">
      <c r="A132">
        <v>62</v>
      </c>
      <c r="C132" s="16">
        <f>LCOE!J158+IF(AND(LCOE!J$26&gt;0,A132&gt;=LCOE!J$26,A132&lt;=(LCOE!J$26+LCOE!J$27-1)),LCOE!J$42/LCOE!J$27,0)+IF(AND(D132=0,AE132&gt;=LCOE!J$16,COUNTIF(D107:D132,0)=LCOE!J$36),LCOE!J$35*LCOE!J$38,0)</f>
        <v>0</v>
      </c>
      <c r="D132" s="16">
        <f>IF(AE131&lt;LCOE!J$16,1,0)</f>
        <v>0</v>
      </c>
      <c r="E132" s="12">
        <f>LCOE!G158+IF(AND(A132&gt;=LCOE!J$26,A132&lt;=(LCOE!J$26+LCOE!J$27-1)),0,1)*IF(A132=LCOE!J$34,0,1)*D132</f>
        <v>0</v>
      </c>
      <c r="F132" s="12">
        <f>IF(F131&lt;LCOE!J$18,MIN(F131*(1+LCOE!J$19),LCOE!J$18),LCOE!J$18)+LCOE!J158</f>
        <v>0.9</v>
      </c>
      <c r="G132" s="16">
        <f>LCOE!K158+E132*F132*N132*(LCOE!J$14+LCOE!H158)*24*365*D132</f>
        <v>0</v>
      </c>
      <c r="H132" s="16">
        <f>LCOE!L158+F132*(LCOE!J$15+LCOE!I158)*E132*24*365*D132*N132</f>
        <v>0</v>
      </c>
      <c r="I132" s="16">
        <f>LCOE!M158+LCOE!J$20*IF(LCOE!J$14&gt;0,(LCOE!J$14+LCOE!H158),(LCOE!J$15+LCOE!I158))*K132*D132</f>
        <v>0</v>
      </c>
      <c r="J132" s="16">
        <f>LCOE!N158+LCOE!J$21*IF(LCOE!J$14&gt;0,G132,H132)*K132*D132</f>
        <v>0</v>
      </c>
      <c r="K132" s="15">
        <f>LCOE!O158+K131+K131*LCOE!J$22</f>
        <v>1</v>
      </c>
      <c r="L132" s="16">
        <f>LCOE!P158+LCOE!J$23*IF(LCOE!J$14&gt;0,G132,H132)*M132*D132</f>
        <v>0</v>
      </c>
      <c r="M132" s="15">
        <f>LCOE!Q158+M131+M131*LCOE!J$24</f>
        <v>1</v>
      </c>
      <c r="N132" s="15">
        <f>LCOE!R158+N131-N131*LCOE!J$25</f>
        <v>1</v>
      </c>
      <c r="O132" s="18">
        <f>LCOE!S158+LCOE!J$29</f>
        <v>313.75</v>
      </c>
      <c r="P132" s="12">
        <f>LCOE!T158+IF(A132&gt;=LCOE!J$30,100%,0%)</f>
        <v>1</v>
      </c>
      <c r="Q132" s="16">
        <f>LCOE!U158+O132/1000*IF(LCOE!J$14&gt;0,G132,H132)</f>
        <v>0</v>
      </c>
      <c r="R132" s="16">
        <f>LCOE!B158</f>
        <v>30</v>
      </c>
      <c r="S132" s="16">
        <f>LCOE!V158+Q132*P132*R132</f>
        <v>0</v>
      </c>
      <c r="T132" s="16">
        <f>LCOE!W158+LCOE!J$31</f>
        <v>0</v>
      </c>
      <c r="U132" s="16">
        <f>LCOE!X158+T132*IF(LCOE!J$14&gt;0,G132,H132)</f>
        <v>0</v>
      </c>
      <c r="V132" s="16">
        <f>LCOE!Y158+LCOE!J$32</f>
        <v>0</v>
      </c>
      <c r="W132" s="16">
        <f>LCOE!Z158+V132*IF(LCOE!J$14&gt;0,G132,H132)</f>
        <v>0</v>
      </c>
      <c r="X132" s="16">
        <f>LCOE!AA158+LCOE!J$34</f>
        <v>101</v>
      </c>
      <c r="Y132" s="16">
        <f t="shared" si="15"/>
        <v>0</v>
      </c>
      <c r="Z132" s="50">
        <f t="shared" si="18"/>
        <v>0</v>
      </c>
      <c r="AA132" s="50">
        <f t="shared" si="19"/>
        <v>0</v>
      </c>
      <c r="AB132" s="50">
        <f t="shared" si="20"/>
        <v>0</v>
      </c>
      <c r="AC132" s="50">
        <f t="shared" si="16"/>
        <v>0</v>
      </c>
      <c r="AD132" s="50">
        <f t="shared" si="25"/>
        <v>0</v>
      </c>
      <c r="AE132">
        <f t="shared" si="17"/>
        <v>30</v>
      </c>
      <c r="AF132" s="12">
        <f>LCOE!E158+LCOE!J$40</f>
        <v>0.12</v>
      </c>
      <c r="AG132">
        <f t="shared" si="26"/>
        <v>1125.9455933711863</v>
      </c>
      <c r="AH132" s="16">
        <f t="shared" si="21"/>
        <v>0</v>
      </c>
      <c r="AI132" s="16">
        <f t="shared" si="22"/>
        <v>0</v>
      </c>
      <c r="AJ132" s="16">
        <f t="shared" si="23"/>
        <v>0</v>
      </c>
      <c r="AK132" s="16">
        <f t="shared" si="24"/>
        <v>0</v>
      </c>
      <c r="AL132" s="16">
        <f t="shared" si="27"/>
        <v>0</v>
      </c>
      <c r="AM132" s="16">
        <f t="shared" si="14"/>
        <v>0</v>
      </c>
      <c r="AN132" s="16">
        <f>IF(LCOE!J$14&gt;0,G132,H132)/AG132</f>
        <v>0</v>
      </c>
    </row>
    <row r="133" spans="1:40">
      <c r="A133">
        <v>63</v>
      </c>
      <c r="C133" s="16">
        <f>LCOE!J159+IF(AND(LCOE!J$26&gt;0,A133&gt;=LCOE!J$26,A133&lt;=(LCOE!J$26+LCOE!J$27-1)),LCOE!J$42/LCOE!J$27,0)+IF(AND(D133=0,AE133&gt;=LCOE!J$16,COUNTIF(D108:D133,0)=LCOE!J$36),LCOE!J$35*LCOE!J$38,0)</f>
        <v>0</v>
      </c>
      <c r="D133" s="16">
        <f>IF(AE132&lt;LCOE!J$16,1,0)</f>
        <v>0</v>
      </c>
      <c r="E133" s="12">
        <f>LCOE!G159+IF(AND(A133&gt;=LCOE!J$26,A133&lt;=(LCOE!J$26+LCOE!J$27-1)),0,1)*IF(A133=LCOE!J$34,0,1)*D133</f>
        <v>0</v>
      </c>
      <c r="F133" s="12">
        <f>IF(F132&lt;LCOE!J$18,MIN(F132*(1+LCOE!J$19),LCOE!J$18),LCOE!J$18)+LCOE!J159</f>
        <v>0.9</v>
      </c>
      <c r="G133" s="16">
        <f>LCOE!K159+E133*F133*N133*(LCOE!J$14+LCOE!H159)*24*365*D133</f>
        <v>0</v>
      </c>
      <c r="H133" s="16">
        <f>LCOE!L159+F133*(LCOE!J$15+LCOE!I159)*E133*24*365*D133*N133</f>
        <v>0</v>
      </c>
      <c r="I133" s="16">
        <f>LCOE!M159+LCOE!J$20*IF(LCOE!J$14&gt;0,(LCOE!J$14+LCOE!H159),(LCOE!J$15+LCOE!I159))*K133*D133</f>
        <v>0</v>
      </c>
      <c r="J133" s="16">
        <f>LCOE!N159+LCOE!J$21*IF(LCOE!J$14&gt;0,G133,H133)*K133*D133</f>
        <v>0</v>
      </c>
      <c r="K133" s="15">
        <f>LCOE!O159+K132+K132*LCOE!J$22</f>
        <v>1</v>
      </c>
      <c r="L133" s="16">
        <f>LCOE!P159+LCOE!J$23*IF(LCOE!J$14&gt;0,G133,H133)*M133*D133</f>
        <v>0</v>
      </c>
      <c r="M133" s="15">
        <f>LCOE!Q159+M132+M132*LCOE!J$24</f>
        <v>1</v>
      </c>
      <c r="N133" s="15">
        <f>LCOE!R159+N132-N132*LCOE!J$25</f>
        <v>1</v>
      </c>
      <c r="O133" s="18">
        <f>LCOE!S159+LCOE!J$29</f>
        <v>313.75</v>
      </c>
      <c r="P133" s="12">
        <f>LCOE!T159+IF(A133&gt;=LCOE!J$30,100%,0%)</f>
        <v>1</v>
      </c>
      <c r="Q133" s="16">
        <f>LCOE!U159+O133/1000*IF(LCOE!J$14&gt;0,G133,H133)</f>
        <v>0</v>
      </c>
      <c r="R133" s="16">
        <f>LCOE!B159</f>
        <v>30</v>
      </c>
      <c r="S133" s="16">
        <f>LCOE!V159+Q133*P133*R133</f>
        <v>0</v>
      </c>
      <c r="T133" s="16">
        <f>LCOE!W159+LCOE!J$31</f>
        <v>0</v>
      </c>
      <c r="U133" s="16">
        <f>LCOE!X159+T133*IF(LCOE!J$14&gt;0,G133,H133)</f>
        <v>0</v>
      </c>
      <c r="V133" s="16">
        <f>LCOE!Y159+LCOE!J$32</f>
        <v>0</v>
      </c>
      <c r="W133" s="16">
        <f>LCOE!Z159+V133*IF(LCOE!J$14&gt;0,G133,H133)</f>
        <v>0</v>
      </c>
      <c r="X133" s="16">
        <f>LCOE!AA159+LCOE!J$34</f>
        <v>101</v>
      </c>
      <c r="Y133" s="16">
        <f t="shared" si="15"/>
        <v>0</v>
      </c>
      <c r="Z133" s="50">
        <f t="shared" si="18"/>
        <v>0</v>
      </c>
      <c r="AA133" s="50">
        <f t="shared" si="19"/>
        <v>0</v>
      </c>
      <c r="AB133" s="50">
        <f t="shared" si="20"/>
        <v>0</v>
      </c>
      <c r="AC133" s="50">
        <f t="shared" si="16"/>
        <v>0</v>
      </c>
      <c r="AD133" s="50">
        <f t="shared" si="25"/>
        <v>0</v>
      </c>
      <c r="AE133">
        <f t="shared" si="17"/>
        <v>30</v>
      </c>
      <c r="AF133" s="12">
        <f>LCOE!E159+LCOE!J$40</f>
        <v>0.12</v>
      </c>
      <c r="AG133">
        <f t="shared" si="26"/>
        <v>1261.0590645757286</v>
      </c>
      <c r="AH133" s="16">
        <f t="shared" si="21"/>
        <v>0</v>
      </c>
      <c r="AI133" s="16">
        <f t="shared" si="22"/>
        <v>0</v>
      </c>
      <c r="AJ133" s="16">
        <f t="shared" si="23"/>
        <v>0</v>
      </c>
      <c r="AK133" s="16">
        <f t="shared" si="24"/>
        <v>0</v>
      </c>
      <c r="AL133" s="16">
        <f t="shared" si="27"/>
        <v>0</v>
      </c>
      <c r="AM133" s="16">
        <f t="shared" si="14"/>
        <v>0</v>
      </c>
      <c r="AN133" s="16">
        <f>IF(LCOE!J$14&gt;0,G133,H133)/AG133</f>
        <v>0</v>
      </c>
    </row>
    <row r="134" spans="1:40">
      <c r="A134">
        <v>64</v>
      </c>
      <c r="C134" s="16">
        <f>LCOE!J160+IF(AND(LCOE!J$26&gt;0,A134&gt;=LCOE!J$26,A134&lt;=(LCOE!J$26+LCOE!J$27-1)),LCOE!J$42/LCOE!J$27,0)+IF(AND(D134=0,AE134&gt;=LCOE!J$16,COUNTIF(D109:D134,0)=LCOE!J$36),LCOE!J$35*LCOE!J$38,0)</f>
        <v>0</v>
      </c>
      <c r="D134" s="16">
        <f>IF(AE133&lt;LCOE!J$16,1,0)</f>
        <v>0</v>
      </c>
      <c r="E134" s="12">
        <f>LCOE!G160+IF(AND(A134&gt;=LCOE!J$26,A134&lt;=(LCOE!J$26+LCOE!J$27-1)),0,1)*IF(A134=LCOE!J$34,0,1)*D134</f>
        <v>0</v>
      </c>
      <c r="F134" s="12">
        <f>IF(F133&lt;LCOE!J$18,MIN(F133*(1+LCOE!J$19),LCOE!J$18),LCOE!J$18)+LCOE!J160</f>
        <v>0.9</v>
      </c>
      <c r="G134" s="16">
        <f>LCOE!K160+E134*F134*N134*(LCOE!J$14+LCOE!H160)*24*365*D134</f>
        <v>0</v>
      </c>
      <c r="H134" s="16">
        <f>LCOE!L160+F134*(LCOE!J$15+LCOE!I160)*E134*24*365*D134*N134</f>
        <v>0</v>
      </c>
      <c r="I134" s="16">
        <f>LCOE!M160+LCOE!J$20*IF(LCOE!J$14&gt;0,(LCOE!J$14+LCOE!H160),(LCOE!J$15+LCOE!I160))*K134*D134</f>
        <v>0</v>
      </c>
      <c r="J134" s="16">
        <f>LCOE!N160+LCOE!J$21*IF(LCOE!J$14&gt;0,G134,H134)*K134*D134</f>
        <v>0</v>
      </c>
      <c r="K134" s="15">
        <f>LCOE!O160+K133+K133*LCOE!J$22</f>
        <v>1</v>
      </c>
      <c r="L134" s="16">
        <f>LCOE!P160+LCOE!J$23*IF(LCOE!J$14&gt;0,G134,H134)*M134*D134</f>
        <v>0</v>
      </c>
      <c r="M134" s="15">
        <f>LCOE!Q160+M133+M133*LCOE!J$24</f>
        <v>1</v>
      </c>
      <c r="N134" s="15">
        <f>LCOE!R160+N133-N133*LCOE!J$25</f>
        <v>1</v>
      </c>
      <c r="O134" s="18">
        <f>LCOE!S160+LCOE!J$29</f>
        <v>313.75</v>
      </c>
      <c r="P134" s="12">
        <f>LCOE!T160+IF(A134&gt;=LCOE!J$30,100%,0%)</f>
        <v>1</v>
      </c>
      <c r="Q134" s="16">
        <f>LCOE!U160+O134/1000*IF(LCOE!J$14&gt;0,G134,H134)</f>
        <v>0</v>
      </c>
      <c r="R134" s="16">
        <f>LCOE!B160</f>
        <v>30</v>
      </c>
      <c r="S134" s="16">
        <f>LCOE!V160+Q134*P134*R134</f>
        <v>0</v>
      </c>
      <c r="T134" s="16">
        <f>LCOE!W160+LCOE!J$31</f>
        <v>0</v>
      </c>
      <c r="U134" s="16">
        <f>LCOE!X160+T134*IF(LCOE!J$14&gt;0,G134,H134)</f>
        <v>0</v>
      </c>
      <c r="V134" s="16">
        <f>LCOE!Y160+LCOE!J$32</f>
        <v>0</v>
      </c>
      <c r="W134" s="16">
        <f>LCOE!Z160+V134*IF(LCOE!J$14&gt;0,G134,H134)</f>
        <v>0</v>
      </c>
      <c r="X134" s="16">
        <f>LCOE!AA160+LCOE!J$34</f>
        <v>101</v>
      </c>
      <c r="Y134" s="16">
        <f t="shared" si="15"/>
        <v>0</v>
      </c>
      <c r="Z134" s="50">
        <f t="shared" si="18"/>
        <v>0</v>
      </c>
      <c r="AA134" s="50">
        <f t="shared" si="19"/>
        <v>0</v>
      </c>
      <c r="AB134" s="50">
        <f t="shared" si="20"/>
        <v>0</v>
      </c>
      <c r="AC134" s="50">
        <f t="shared" si="16"/>
        <v>0</v>
      </c>
      <c r="AD134" s="50">
        <f t="shared" si="25"/>
        <v>0</v>
      </c>
      <c r="AE134">
        <f t="shared" si="17"/>
        <v>30</v>
      </c>
      <c r="AF134" s="12">
        <f>LCOE!E160+LCOE!J$40</f>
        <v>0.12</v>
      </c>
      <c r="AG134">
        <f t="shared" si="26"/>
        <v>1412.3861523248163</v>
      </c>
      <c r="AH134" s="16">
        <f t="shared" si="21"/>
        <v>0</v>
      </c>
      <c r="AI134" s="16">
        <f t="shared" si="22"/>
        <v>0</v>
      </c>
      <c r="AJ134" s="16">
        <f t="shared" si="23"/>
        <v>0</v>
      </c>
      <c r="AK134" s="16">
        <f t="shared" si="24"/>
        <v>0</v>
      </c>
      <c r="AL134" s="16">
        <f t="shared" si="27"/>
        <v>0</v>
      </c>
      <c r="AM134" s="16">
        <f t="shared" ref="AM134:AM170" si="28">(-1)*Y134/AG134</f>
        <v>0</v>
      </c>
      <c r="AN134" s="16">
        <f>IF(LCOE!J$14&gt;0,G134,H134)/AG134</f>
        <v>0</v>
      </c>
    </row>
    <row r="135" spans="1:40">
      <c r="A135">
        <v>65</v>
      </c>
      <c r="C135" s="16">
        <f>LCOE!J161+IF(AND(LCOE!J$26&gt;0,A135&gt;=LCOE!J$26,A135&lt;=(LCOE!J$26+LCOE!J$27-1)),LCOE!J$42/LCOE!J$27,0)+IF(AND(D135=0,AE135&gt;=LCOE!J$16,COUNTIF(D110:D135,0)=LCOE!J$36),LCOE!J$35*LCOE!J$38,0)</f>
        <v>0</v>
      </c>
      <c r="D135" s="16">
        <f>IF(AE134&lt;LCOE!J$16,1,0)</f>
        <v>0</v>
      </c>
      <c r="E135" s="12">
        <f>LCOE!G161+IF(AND(A135&gt;=LCOE!J$26,A135&lt;=(LCOE!J$26+LCOE!J$27-1)),0,1)*IF(A135=LCOE!J$34,0,1)*D135</f>
        <v>0</v>
      </c>
      <c r="F135" s="12">
        <f>IF(F134&lt;LCOE!J$18,MIN(F134*(1+LCOE!J$19),LCOE!J$18),LCOE!J$18)+LCOE!J161</f>
        <v>0.9</v>
      </c>
      <c r="G135" s="16">
        <f>LCOE!K161+E135*F135*N135*(LCOE!J$14+LCOE!H161)*24*365*D135</f>
        <v>0</v>
      </c>
      <c r="H135" s="16">
        <f>LCOE!L161+F135*(LCOE!J$15+LCOE!I161)*E135*24*365*D135*N135</f>
        <v>0</v>
      </c>
      <c r="I135" s="16">
        <f>LCOE!M161+LCOE!J$20*IF(LCOE!J$14&gt;0,(LCOE!J$14+LCOE!H161),(LCOE!J$15+LCOE!I161))*K135*D135</f>
        <v>0</v>
      </c>
      <c r="J135" s="16">
        <f>LCOE!N161+LCOE!J$21*IF(LCOE!J$14&gt;0,G135,H135)*K135*D135</f>
        <v>0</v>
      </c>
      <c r="K135" s="15">
        <f>LCOE!O161+K134+K134*LCOE!J$22</f>
        <v>1</v>
      </c>
      <c r="L135" s="16">
        <f>LCOE!P161+LCOE!J$23*IF(LCOE!J$14&gt;0,G135,H135)*M135*D135</f>
        <v>0</v>
      </c>
      <c r="M135" s="15">
        <f>LCOE!Q161+M134+M134*LCOE!J$24</f>
        <v>1</v>
      </c>
      <c r="N135" s="15">
        <f>LCOE!R161+N134-N134*LCOE!J$25</f>
        <v>1</v>
      </c>
      <c r="O135" s="18">
        <f>LCOE!S161+LCOE!J$29</f>
        <v>313.75</v>
      </c>
      <c r="P135" s="12">
        <f>LCOE!T161+IF(A135&gt;=LCOE!J$30,100%,0%)</f>
        <v>1</v>
      </c>
      <c r="Q135" s="16">
        <f>LCOE!U161+O135/1000*IF(LCOE!J$14&gt;0,G135,H135)</f>
        <v>0</v>
      </c>
      <c r="R135" s="16">
        <f>LCOE!B161</f>
        <v>30</v>
      </c>
      <c r="S135" s="16">
        <f>LCOE!V161+Q135*P135*R135</f>
        <v>0</v>
      </c>
      <c r="T135" s="16">
        <f>LCOE!W161+LCOE!J$31</f>
        <v>0</v>
      </c>
      <c r="U135" s="16">
        <f>LCOE!X161+T135*IF(LCOE!J$14&gt;0,G135,H135)</f>
        <v>0</v>
      </c>
      <c r="V135" s="16">
        <f>LCOE!Y161+LCOE!J$32</f>
        <v>0</v>
      </c>
      <c r="W135" s="16">
        <f>LCOE!Z161+V135*IF(LCOE!J$14&gt;0,G135,H135)</f>
        <v>0</v>
      </c>
      <c r="X135" s="16">
        <f>LCOE!AA161+LCOE!J$34</f>
        <v>101</v>
      </c>
      <c r="Y135" s="16">
        <f t="shared" ref="Y135:Y170" si="29">X135*H135</f>
        <v>0</v>
      </c>
      <c r="Z135" s="50">
        <f t="shared" si="18"/>
        <v>0</v>
      </c>
      <c r="AA135" s="50">
        <f t="shared" si="19"/>
        <v>0</v>
      </c>
      <c r="AB135" s="50">
        <f t="shared" si="20"/>
        <v>0</v>
      </c>
      <c r="AC135" s="50">
        <f t="shared" ref="AC135:AC170" si="30">U135+W135</f>
        <v>0</v>
      </c>
      <c r="AD135" s="50">
        <f t="shared" si="25"/>
        <v>0</v>
      </c>
      <c r="AE135">
        <f t="shared" ref="AE135:AE170" si="31">AE134+1*E135</f>
        <v>30</v>
      </c>
      <c r="AF135" s="12">
        <f>LCOE!E161+LCOE!J$40</f>
        <v>0.12</v>
      </c>
      <c r="AG135">
        <f t="shared" si="26"/>
        <v>1581.8724906037944</v>
      </c>
      <c r="AH135" s="16">
        <f t="shared" si="21"/>
        <v>0</v>
      </c>
      <c r="AI135" s="16">
        <f t="shared" si="22"/>
        <v>0</v>
      </c>
      <c r="AJ135" s="16">
        <f t="shared" si="23"/>
        <v>0</v>
      </c>
      <c r="AK135" s="16">
        <f t="shared" si="24"/>
        <v>0</v>
      </c>
      <c r="AL135" s="16">
        <f t="shared" si="27"/>
        <v>0</v>
      </c>
      <c r="AM135" s="16">
        <f t="shared" si="28"/>
        <v>0</v>
      </c>
      <c r="AN135" s="16">
        <f>IF(LCOE!J$14&gt;0,G135,H135)/AG135</f>
        <v>0</v>
      </c>
    </row>
    <row r="136" spans="1:40">
      <c r="A136">
        <v>66</v>
      </c>
      <c r="C136" s="16">
        <f>LCOE!J162+IF(AND(LCOE!J$26&gt;0,A136&gt;=LCOE!J$26,A136&lt;=(LCOE!J$26+LCOE!J$27-1)),LCOE!J$42/LCOE!J$27,0)+IF(AND(D136=0,AE136&gt;=LCOE!J$16,COUNTIF(D111:D136,0)=LCOE!J$36),LCOE!J$35*LCOE!J$38,0)</f>
        <v>0</v>
      </c>
      <c r="D136" s="16">
        <f>IF(AE135&lt;LCOE!J$16,1,0)</f>
        <v>0</v>
      </c>
      <c r="E136" s="12">
        <f>LCOE!G162+IF(AND(A136&gt;=LCOE!J$26,A136&lt;=(LCOE!J$26+LCOE!J$27-1)),0,1)*IF(A136=LCOE!J$34,0,1)*D136</f>
        <v>0</v>
      </c>
      <c r="F136" s="12">
        <f>IF(F135&lt;LCOE!J$18,MIN(F135*(1+LCOE!J$19),LCOE!J$18),LCOE!J$18)+LCOE!J162</f>
        <v>0.9</v>
      </c>
      <c r="G136" s="16">
        <f>LCOE!K162+E136*F136*N136*(LCOE!J$14+LCOE!H162)*24*365*D136</f>
        <v>0</v>
      </c>
      <c r="H136" s="16">
        <f>LCOE!L162+F136*(LCOE!J$15+LCOE!I162)*E136*24*365*D136*N136</f>
        <v>0</v>
      </c>
      <c r="I136" s="16">
        <f>LCOE!M162+LCOE!J$20*IF(LCOE!J$14&gt;0,(LCOE!J$14+LCOE!H162),(LCOE!J$15+LCOE!I162))*K136*D136</f>
        <v>0</v>
      </c>
      <c r="J136" s="16">
        <f>LCOE!N162+LCOE!J$21*IF(LCOE!J$14&gt;0,G136,H136)*K136*D136</f>
        <v>0</v>
      </c>
      <c r="K136" s="15">
        <f>LCOE!O162+K135+K135*LCOE!J$22</f>
        <v>1</v>
      </c>
      <c r="L136" s="16">
        <f>LCOE!P162+LCOE!J$23*IF(LCOE!J$14&gt;0,G136,H136)*M136*D136</f>
        <v>0</v>
      </c>
      <c r="M136" s="15">
        <f>LCOE!Q162+M135+M135*LCOE!J$24</f>
        <v>1</v>
      </c>
      <c r="N136" s="15">
        <f>LCOE!R162+N135-N135*LCOE!J$25</f>
        <v>1</v>
      </c>
      <c r="O136" s="18">
        <f>LCOE!S162+LCOE!J$29</f>
        <v>313.75</v>
      </c>
      <c r="P136" s="12">
        <f>LCOE!T162+IF(A136&gt;=LCOE!J$30,100%,0%)</f>
        <v>1</v>
      </c>
      <c r="Q136" s="16">
        <f>LCOE!U162+O136/1000*IF(LCOE!J$14&gt;0,G136,H136)</f>
        <v>0</v>
      </c>
      <c r="R136" s="16">
        <f>LCOE!B162</f>
        <v>30</v>
      </c>
      <c r="S136" s="16">
        <f>LCOE!V162+Q136*P136*R136</f>
        <v>0</v>
      </c>
      <c r="T136" s="16">
        <f>LCOE!W162+LCOE!J$31</f>
        <v>0</v>
      </c>
      <c r="U136" s="16">
        <f>LCOE!X162+T136*IF(LCOE!J$14&gt;0,G136,H136)</f>
        <v>0</v>
      </c>
      <c r="V136" s="16">
        <f>LCOE!Y162+LCOE!J$32</f>
        <v>0</v>
      </c>
      <c r="W136" s="16">
        <f>LCOE!Z162+V136*IF(LCOE!J$14&gt;0,G136,H136)</f>
        <v>0</v>
      </c>
      <c r="X136" s="16">
        <f>LCOE!AA162+LCOE!J$34</f>
        <v>101</v>
      </c>
      <c r="Y136" s="16">
        <f t="shared" si="29"/>
        <v>0</v>
      </c>
      <c r="Z136" s="50">
        <f t="shared" ref="Z136:Z170" si="32">SUM(B136:C136)</f>
        <v>0</v>
      </c>
      <c r="AA136" s="50">
        <f t="shared" ref="AA136:AA170" si="33">SUM(I136:J136)</f>
        <v>0</v>
      </c>
      <c r="AB136" s="50">
        <f t="shared" ref="AB136:AB170" si="34">L136</f>
        <v>0</v>
      </c>
      <c r="AC136" s="50">
        <f t="shared" si="30"/>
        <v>0</v>
      </c>
      <c r="AD136" s="50">
        <f t="shared" si="25"/>
        <v>0</v>
      </c>
      <c r="AE136">
        <f t="shared" si="31"/>
        <v>30</v>
      </c>
      <c r="AF136" s="12">
        <f>LCOE!E162+LCOE!J$40</f>
        <v>0.12</v>
      </c>
      <c r="AG136">
        <f t="shared" si="26"/>
        <v>1771.6971894762498</v>
      </c>
      <c r="AH136" s="16">
        <f t="shared" si="21"/>
        <v>0</v>
      </c>
      <c r="AI136" s="16">
        <f t="shared" si="22"/>
        <v>0</v>
      </c>
      <c r="AJ136" s="16">
        <f t="shared" si="23"/>
        <v>0</v>
      </c>
      <c r="AK136" s="16">
        <f t="shared" si="24"/>
        <v>0</v>
      </c>
      <c r="AL136" s="16">
        <f t="shared" si="27"/>
        <v>0</v>
      </c>
      <c r="AM136" s="16">
        <f t="shared" si="28"/>
        <v>0</v>
      </c>
      <c r="AN136" s="16">
        <f>IF(LCOE!J$14&gt;0,G136,H136)/AG136</f>
        <v>0</v>
      </c>
    </row>
    <row r="137" spans="1:40">
      <c r="A137">
        <v>67</v>
      </c>
      <c r="C137" s="16">
        <f>LCOE!J163+IF(AND(LCOE!J$26&gt;0,A137&gt;=LCOE!J$26,A137&lt;=(LCOE!J$26+LCOE!J$27-1)),LCOE!J$42/LCOE!J$27,0)+IF(AND(D137=0,AE137&gt;=LCOE!J$16,COUNTIF(D112:D137,0)=LCOE!J$36),LCOE!J$35*LCOE!J$38,0)</f>
        <v>0</v>
      </c>
      <c r="D137" s="16">
        <f>IF(AE136&lt;LCOE!J$16,1,0)</f>
        <v>0</v>
      </c>
      <c r="E137" s="12">
        <f>LCOE!G163+IF(AND(A137&gt;=LCOE!J$26,A137&lt;=(LCOE!J$26+LCOE!J$27-1)),0,1)*IF(A137=LCOE!J$34,0,1)*D137</f>
        <v>0</v>
      </c>
      <c r="F137" s="12">
        <f>IF(F136&lt;LCOE!J$18,MIN(F136*(1+LCOE!J$19),LCOE!J$18),LCOE!J$18)+LCOE!J163</f>
        <v>0.9</v>
      </c>
      <c r="G137" s="16">
        <f>LCOE!K163+E137*F137*N137*(LCOE!J$14+LCOE!H163)*24*365*D137</f>
        <v>0</v>
      </c>
      <c r="H137" s="16">
        <f>LCOE!L163+F137*(LCOE!J$15+LCOE!I163)*E137*24*365*D137*N137</f>
        <v>0</v>
      </c>
      <c r="I137" s="16">
        <f>LCOE!M163+LCOE!J$20*IF(LCOE!J$14&gt;0,(LCOE!J$14+LCOE!H163),(LCOE!J$15+LCOE!I163))*K137*D137</f>
        <v>0</v>
      </c>
      <c r="J137" s="16">
        <f>LCOE!N163+LCOE!J$21*IF(LCOE!J$14&gt;0,G137,H137)*K137*D137</f>
        <v>0</v>
      </c>
      <c r="K137" s="15">
        <f>LCOE!O163+K136+K136*LCOE!J$22</f>
        <v>1</v>
      </c>
      <c r="L137" s="16">
        <f>LCOE!P163+LCOE!J$23*IF(LCOE!J$14&gt;0,G137,H137)*M137*D137</f>
        <v>0</v>
      </c>
      <c r="M137" s="15">
        <f>LCOE!Q163+M136+M136*LCOE!J$24</f>
        <v>1</v>
      </c>
      <c r="N137" s="15">
        <f>LCOE!R163+N136-N136*LCOE!J$25</f>
        <v>1</v>
      </c>
      <c r="O137" s="18">
        <f>LCOE!S163+LCOE!J$29</f>
        <v>313.75</v>
      </c>
      <c r="P137" s="12">
        <f>LCOE!T163+IF(A137&gt;=LCOE!J$30,100%,0%)</f>
        <v>1</v>
      </c>
      <c r="Q137" s="16">
        <f>LCOE!U163+O137/1000*IF(LCOE!J$14&gt;0,G137,H137)</f>
        <v>0</v>
      </c>
      <c r="R137" s="16">
        <f>LCOE!B163</f>
        <v>30</v>
      </c>
      <c r="S137" s="16">
        <f>LCOE!V163+Q137*P137*R137</f>
        <v>0</v>
      </c>
      <c r="T137" s="16">
        <f>LCOE!W163+LCOE!J$31</f>
        <v>0</v>
      </c>
      <c r="U137" s="16">
        <f>LCOE!X163+T137*IF(LCOE!J$14&gt;0,G137,H137)</f>
        <v>0</v>
      </c>
      <c r="V137" s="16">
        <f>LCOE!Y163+LCOE!J$32</f>
        <v>0</v>
      </c>
      <c r="W137" s="16">
        <f>LCOE!Z163+V137*IF(LCOE!J$14&gt;0,G137,H137)</f>
        <v>0</v>
      </c>
      <c r="X137" s="16">
        <f>LCOE!AA163+LCOE!J$34</f>
        <v>101</v>
      </c>
      <c r="Y137" s="16">
        <f t="shared" si="29"/>
        <v>0</v>
      </c>
      <c r="Z137" s="50">
        <f t="shared" si="32"/>
        <v>0</v>
      </c>
      <c r="AA137" s="50">
        <f t="shared" si="33"/>
        <v>0</v>
      </c>
      <c r="AB137" s="50">
        <f t="shared" si="34"/>
        <v>0</v>
      </c>
      <c r="AC137" s="50">
        <f t="shared" si="30"/>
        <v>0</v>
      </c>
      <c r="AD137" s="50">
        <f t="shared" si="25"/>
        <v>0</v>
      </c>
      <c r="AE137">
        <f t="shared" si="31"/>
        <v>30</v>
      </c>
      <c r="AF137" s="12">
        <f>LCOE!E163+LCOE!J$40</f>
        <v>0.12</v>
      </c>
      <c r="AG137">
        <f t="shared" si="26"/>
        <v>1984.3008522134</v>
      </c>
      <c r="AH137" s="16">
        <f t="shared" si="21"/>
        <v>0</v>
      </c>
      <c r="AI137" s="16">
        <f t="shared" si="22"/>
        <v>0</v>
      </c>
      <c r="AJ137" s="16">
        <f t="shared" si="23"/>
        <v>0</v>
      </c>
      <c r="AK137" s="16">
        <f t="shared" si="24"/>
        <v>0</v>
      </c>
      <c r="AL137" s="16">
        <f t="shared" si="27"/>
        <v>0</v>
      </c>
      <c r="AM137" s="16">
        <f t="shared" si="28"/>
        <v>0</v>
      </c>
      <c r="AN137" s="16">
        <f>IF(LCOE!J$14&gt;0,G137,H137)/AG137</f>
        <v>0</v>
      </c>
    </row>
    <row r="138" spans="1:40">
      <c r="A138">
        <v>68</v>
      </c>
      <c r="C138" s="16">
        <f>LCOE!J164+IF(AND(LCOE!J$26&gt;0,A138&gt;=LCOE!J$26,A138&lt;=(LCOE!J$26+LCOE!J$27-1)),LCOE!J$42/LCOE!J$27,0)+IF(AND(D138=0,AE138&gt;=LCOE!J$16,COUNTIF(D113:D138,0)=LCOE!J$36),LCOE!J$35*LCOE!J$38,0)</f>
        <v>0</v>
      </c>
      <c r="D138" s="16">
        <f>IF(AE137&lt;LCOE!J$16,1,0)</f>
        <v>0</v>
      </c>
      <c r="E138" s="12">
        <f>LCOE!G164+IF(AND(A138&gt;=LCOE!J$26,A138&lt;=(LCOE!J$26+LCOE!J$27-1)),0,1)*IF(A138=LCOE!J$34,0,1)*D138</f>
        <v>0</v>
      </c>
      <c r="F138" s="12">
        <f>IF(F137&lt;LCOE!J$18,MIN(F137*(1+LCOE!J$19),LCOE!J$18),LCOE!J$18)+LCOE!J164</f>
        <v>0.9</v>
      </c>
      <c r="G138" s="16">
        <f>LCOE!K164+E138*F138*N138*(LCOE!J$14+LCOE!H164)*24*365*D138</f>
        <v>0</v>
      </c>
      <c r="H138" s="16">
        <f>LCOE!L164+F138*(LCOE!J$15+LCOE!I164)*E138*24*365*D138*N138</f>
        <v>0</v>
      </c>
      <c r="I138" s="16">
        <f>LCOE!M164+LCOE!J$20*IF(LCOE!J$14&gt;0,(LCOE!J$14+LCOE!H164),(LCOE!J$15+LCOE!I164))*K138*D138</f>
        <v>0</v>
      </c>
      <c r="J138" s="16">
        <f>LCOE!N164+LCOE!J$21*IF(LCOE!J$14&gt;0,G138,H138)*K138*D138</f>
        <v>0</v>
      </c>
      <c r="K138" s="15">
        <f>LCOE!O164+K137+K137*LCOE!J$22</f>
        <v>1</v>
      </c>
      <c r="L138" s="16">
        <f>LCOE!P164+LCOE!J$23*IF(LCOE!J$14&gt;0,G138,H138)*M138*D138</f>
        <v>0</v>
      </c>
      <c r="M138" s="15">
        <f>LCOE!Q164+M137+M137*LCOE!J$24</f>
        <v>1</v>
      </c>
      <c r="N138" s="15">
        <f>LCOE!R164+N137-N137*LCOE!J$25</f>
        <v>1</v>
      </c>
      <c r="O138" s="18">
        <f>LCOE!S164+LCOE!J$29</f>
        <v>313.75</v>
      </c>
      <c r="P138" s="12">
        <f>LCOE!T164+IF(A138&gt;=LCOE!J$30,100%,0%)</f>
        <v>1</v>
      </c>
      <c r="Q138" s="16">
        <f>LCOE!U164+O138/1000*IF(LCOE!J$14&gt;0,G138,H138)</f>
        <v>0</v>
      </c>
      <c r="R138" s="16">
        <f>LCOE!B164</f>
        <v>30</v>
      </c>
      <c r="S138" s="16">
        <f>LCOE!V164+Q138*P138*R138</f>
        <v>0</v>
      </c>
      <c r="T138" s="16">
        <f>LCOE!W164+LCOE!J$31</f>
        <v>0</v>
      </c>
      <c r="U138" s="16">
        <f>LCOE!X164+T138*IF(LCOE!J$14&gt;0,G138,H138)</f>
        <v>0</v>
      </c>
      <c r="V138" s="16">
        <f>LCOE!Y164+LCOE!J$32</f>
        <v>0</v>
      </c>
      <c r="W138" s="16">
        <f>LCOE!Z164+V138*IF(LCOE!J$14&gt;0,G138,H138)</f>
        <v>0</v>
      </c>
      <c r="X138" s="16">
        <f>LCOE!AA164+LCOE!J$34</f>
        <v>101</v>
      </c>
      <c r="Y138" s="16">
        <f t="shared" si="29"/>
        <v>0</v>
      </c>
      <c r="Z138" s="50">
        <f t="shared" si="32"/>
        <v>0</v>
      </c>
      <c r="AA138" s="50">
        <f t="shared" si="33"/>
        <v>0</v>
      </c>
      <c r="AB138" s="50">
        <f t="shared" si="34"/>
        <v>0</v>
      </c>
      <c r="AC138" s="50">
        <f t="shared" si="30"/>
        <v>0</v>
      </c>
      <c r="AD138" s="50">
        <f t="shared" si="25"/>
        <v>0</v>
      </c>
      <c r="AE138">
        <f t="shared" si="31"/>
        <v>30</v>
      </c>
      <c r="AF138" s="12">
        <f>LCOE!E164+LCOE!J$40</f>
        <v>0.12</v>
      </c>
      <c r="AG138">
        <f t="shared" si="26"/>
        <v>2222.4169544790079</v>
      </c>
      <c r="AH138" s="16">
        <f t="shared" si="21"/>
        <v>0</v>
      </c>
      <c r="AI138" s="16">
        <f t="shared" si="22"/>
        <v>0</v>
      </c>
      <c r="AJ138" s="16">
        <f t="shared" si="23"/>
        <v>0</v>
      </c>
      <c r="AK138" s="16">
        <f t="shared" si="24"/>
        <v>0</v>
      </c>
      <c r="AL138" s="16">
        <f t="shared" si="27"/>
        <v>0</v>
      </c>
      <c r="AM138" s="16">
        <f t="shared" si="28"/>
        <v>0</v>
      </c>
      <c r="AN138" s="16">
        <f>IF(LCOE!J$14&gt;0,G138,H138)/AG138</f>
        <v>0</v>
      </c>
    </row>
    <row r="139" spans="1:40">
      <c r="A139">
        <v>69</v>
      </c>
      <c r="C139" s="16">
        <f>LCOE!J165+IF(AND(LCOE!J$26&gt;0,A139&gt;=LCOE!J$26,A139&lt;=(LCOE!J$26+LCOE!J$27-1)),LCOE!J$42/LCOE!J$27,0)+IF(AND(D139=0,AE139&gt;=LCOE!J$16,COUNTIF(D114:D139,0)=LCOE!J$36),LCOE!J$35*LCOE!J$38,0)</f>
        <v>0</v>
      </c>
      <c r="D139" s="16">
        <f>IF(AE138&lt;LCOE!J$16,1,0)</f>
        <v>0</v>
      </c>
      <c r="E139" s="12">
        <f>LCOE!G165+IF(AND(A139&gt;=LCOE!J$26,A139&lt;=(LCOE!J$26+LCOE!J$27-1)),0,1)*IF(A139=LCOE!J$34,0,1)*D139</f>
        <v>0</v>
      </c>
      <c r="F139" s="12">
        <f>IF(F138&lt;LCOE!J$18,MIN(F138*(1+LCOE!J$19),LCOE!J$18),LCOE!J$18)+LCOE!J165</f>
        <v>0.9</v>
      </c>
      <c r="G139" s="16">
        <f>LCOE!K165+E139*F139*N139*(LCOE!J$14+LCOE!H165)*24*365*D139</f>
        <v>0</v>
      </c>
      <c r="H139" s="16">
        <f>LCOE!L165+F139*(LCOE!J$15+LCOE!I165)*E139*24*365*D139*N139</f>
        <v>0</v>
      </c>
      <c r="I139" s="16">
        <f>LCOE!M165+LCOE!J$20*IF(LCOE!J$14&gt;0,(LCOE!J$14+LCOE!H165),(LCOE!J$15+LCOE!I165))*K139*D139</f>
        <v>0</v>
      </c>
      <c r="J139" s="16">
        <f>LCOE!N165+LCOE!J$21*IF(LCOE!J$14&gt;0,G139,H139)*K139*D139</f>
        <v>0</v>
      </c>
      <c r="K139" s="15">
        <f>LCOE!O165+K138+K138*LCOE!J$22</f>
        <v>1</v>
      </c>
      <c r="L139" s="16">
        <f>LCOE!P165+LCOE!J$23*IF(LCOE!J$14&gt;0,G139,H139)*M139*D139</f>
        <v>0</v>
      </c>
      <c r="M139" s="15">
        <f>LCOE!Q165+M138+M138*LCOE!J$24</f>
        <v>1</v>
      </c>
      <c r="N139" s="15">
        <f>LCOE!R165+N138-N138*LCOE!J$25</f>
        <v>1</v>
      </c>
      <c r="O139" s="18">
        <f>LCOE!S165+LCOE!J$29</f>
        <v>313.75</v>
      </c>
      <c r="P139" s="12">
        <f>LCOE!T165+IF(A139&gt;=LCOE!J$30,100%,0%)</f>
        <v>1</v>
      </c>
      <c r="Q139" s="16">
        <f>LCOE!U165+O139/1000*IF(LCOE!J$14&gt;0,G139,H139)</f>
        <v>0</v>
      </c>
      <c r="R139" s="16">
        <f>LCOE!B165</f>
        <v>30</v>
      </c>
      <c r="S139" s="16">
        <f>LCOE!V165+Q139*P139*R139</f>
        <v>0</v>
      </c>
      <c r="T139" s="16">
        <f>LCOE!W165+LCOE!J$31</f>
        <v>0</v>
      </c>
      <c r="U139" s="16">
        <f>LCOE!X165+T139*IF(LCOE!J$14&gt;0,G139,H139)</f>
        <v>0</v>
      </c>
      <c r="V139" s="16">
        <f>LCOE!Y165+LCOE!J$32</f>
        <v>0</v>
      </c>
      <c r="W139" s="16">
        <f>LCOE!Z165+V139*IF(LCOE!J$14&gt;0,G139,H139)</f>
        <v>0</v>
      </c>
      <c r="X139" s="16">
        <f>LCOE!AA165+LCOE!J$34</f>
        <v>101</v>
      </c>
      <c r="Y139" s="16">
        <f t="shared" si="29"/>
        <v>0</v>
      </c>
      <c r="Z139" s="50">
        <f t="shared" si="32"/>
        <v>0</v>
      </c>
      <c r="AA139" s="50">
        <f t="shared" si="33"/>
        <v>0</v>
      </c>
      <c r="AB139" s="50">
        <f t="shared" si="34"/>
        <v>0</v>
      </c>
      <c r="AC139" s="50">
        <f t="shared" si="30"/>
        <v>0</v>
      </c>
      <c r="AD139" s="50">
        <f t="shared" si="25"/>
        <v>0</v>
      </c>
      <c r="AE139">
        <f t="shared" si="31"/>
        <v>30</v>
      </c>
      <c r="AF139" s="12">
        <f>LCOE!E165+LCOE!J$40</f>
        <v>0.12</v>
      </c>
      <c r="AG139">
        <f t="shared" si="26"/>
        <v>2489.106989016489</v>
      </c>
      <c r="AH139" s="16">
        <f t="shared" si="21"/>
        <v>0</v>
      </c>
      <c r="AI139" s="16">
        <f t="shared" si="22"/>
        <v>0</v>
      </c>
      <c r="AJ139" s="16">
        <f t="shared" si="23"/>
        <v>0</v>
      </c>
      <c r="AK139" s="16">
        <f t="shared" si="24"/>
        <v>0</v>
      </c>
      <c r="AL139" s="16">
        <f t="shared" si="27"/>
        <v>0</v>
      </c>
      <c r="AM139" s="16">
        <f t="shared" si="28"/>
        <v>0</v>
      </c>
      <c r="AN139" s="16">
        <f>IF(LCOE!J$14&gt;0,G139,H139)/AG139</f>
        <v>0</v>
      </c>
    </row>
    <row r="140" spans="1:40">
      <c r="A140">
        <v>70</v>
      </c>
      <c r="C140" s="16">
        <f>LCOE!J166+IF(AND(LCOE!J$26&gt;0,A140&gt;=LCOE!J$26,A140&lt;=(LCOE!J$26+LCOE!J$27-1)),LCOE!J$42/LCOE!J$27,0)+IF(AND(D140=0,AE140&gt;=LCOE!J$16,COUNTIF(D115:D140,0)=LCOE!J$36),LCOE!J$35*LCOE!J$38,0)</f>
        <v>0</v>
      </c>
      <c r="D140" s="16">
        <f>IF(AE139&lt;LCOE!J$16,1,0)</f>
        <v>0</v>
      </c>
      <c r="E140" s="12">
        <f>LCOE!G166+IF(AND(A140&gt;=LCOE!J$26,A140&lt;=(LCOE!J$26+LCOE!J$27-1)),0,1)*IF(A140=LCOE!J$34,0,1)*D140</f>
        <v>0</v>
      </c>
      <c r="F140" s="12">
        <f>IF(F139&lt;LCOE!J$18,MIN(F139*(1+LCOE!J$19),LCOE!J$18),LCOE!J$18)+LCOE!J166</f>
        <v>0.9</v>
      </c>
      <c r="G140" s="16">
        <f>LCOE!K166+E140*F140*N140*(LCOE!J$14+LCOE!H166)*24*365*D140</f>
        <v>0</v>
      </c>
      <c r="H140" s="16">
        <f>LCOE!L166+F140*(LCOE!J$15+LCOE!I166)*E140*24*365*D140*N140</f>
        <v>0</v>
      </c>
      <c r="I140" s="16">
        <f>LCOE!M166+LCOE!J$20*IF(LCOE!J$14&gt;0,(LCOE!J$14+LCOE!H166),(LCOE!J$15+LCOE!I166))*K140*D140</f>
        <v>0</v>
      </c>
      <c r="J140" s="16">
        <f>LCOE!N166+LCOE!J$21*IF(LCOE!J$14&gt;0,G140,H140)*K140*D140</f>
        <v>0</v>
      </c>
      <c r="K140" s="15">
        <f>LCOE!O166+K139+K139*LCOE!J$22</f>
        <v>1</v>
      </c>
      <c r="L140" s="16">
        <f>LCOE!P166+LCOE!J$23*IF(LCOE!J$14&gt;0,G140,H140)*M140*D140</f>
        <v>0</v>
      </c>
      <c r="M140" s="15">
        <f>LCOE!Q166+M139+M139*LCOE!J$24</f>
        <v>1</v>
      </c>
      <c r="N140" s="15">
        <f>LCOE!R166+N139-N139*LCOE!J$25</f>
        <v>1</v>
      </c>
      <c r="O140" s="18">
        <f>LCOE!S166+LCOE!J$29</f>
        <v>313.75</v>
      </c>
      <c r="P140" s="12">
        <f>LCOE!T166+IF(A140&gt;=LCOE!J$30,100%,0%)</f>
        <v>1</v>
      </c>
      <c r="Q140" s="16">
        <f>LCOE!U166+O140/1000*IF(LCOE!J$14&gt;0,G140,H140)</f>
        <v>0</v>
      </c>
      <c r="R140" s="16">
        <f>LCOE!B166</f>
        <v>30</v>
      </c>
      <c r="S140" s="16">
        <f>LCOE!V166+Q140*P140*R140</f>
        <v>0</v>
      </c>
      <c r="T140" s="16">
        <f>LCOE!W166+LCOE!J$31</f>
        <v>0</v>
      </c>
      <c r="U140" s="16">
        <f>LCOE!X166+T140*IF(LCOE!J$14&gt;0,G140,H140)</f>
        <v>0</v>
      </c>
      <c r="V140" s="16">
        <f>LCOE!Y166+LCOE!J$32</f>
        <v>0</v>
      </c>
      <c r="W140" s="16">
        <f>LCOE!Z166+V140*IF(LCOE!J$14&gt;0,G140,H140)</f>
        <v>0</v>
      </c>
      <c r="X140" s="16">
        <f>LCOE!AA166+LCOE!J$34</f>
        <v>101</v>
      </c>
      <c r="Y140" s="16">
        <f t="shared" si="29"/>
        <v>0</v>
      </c>
      <c r="Z140" s="50">
        <f t="shared" si="32"/>
        <v>0</v>
      </c>
      <c r="AA140" s="50">
        <f t="shared" si="33"/>
        <v>0</v>
      </c>
      <c r="AB140" s="50">
        <f t="shared" si="34"/>
        <v>0</v>
      </c>
      <c r="AC140" s="50">
        <f t="shared" si="30"/>
        <v>0</v>
      </c>
      <c r="AD140" s="50">
        <f t="shared" si="25"/>
        <v>0</v>
      </c>
      <c r="AE140">
        <f t="shared" si="31"/>
        <v>30</v>
      </c>
      <c r="AF140" s="12">
        <f>LCOE!E166+LCOE!J$40</f>
        <v>0.12</v>
      </c>
      <c r="AG140">
        <f t="shared" si="26"/>
        <v>2787.7998276984681</v>
      </c>
      <c r="AH140" s="16">
        <f t="shared" si="21"/>
        <v>0</v>
      </c>
      <c r="AI140" s="16">
        <f t="shared" si="22"/>
        <v>0</v>
      </c>
      <c r="AJ140" s="16">
        <f t="shared" si="23"/>
        <v>0</v>
      </c>
      <c r="AK140" s="16">
        <f t="shared" si="24"/>
        <v>0</v>
      </c>
      <c r="AL140" s="16">
        <f t="shared" si="27"/>
        <v>0</v>
      </c>
      <c r="AM140" s="16">
        <f t="shared" si="28"/>
        <v>0</v>
      </c>
      <c r="AN140" s="16">
        <f>IF(LCOE!J$14&gt;0,G140,H140)/AG140</f>
        <v>0</v>
      </c>
    </row>
    <row r="141" spans="1:40">
      <c r="A141">
        <v>71</v>
      </c>
      <c r="C141" s="16">
        <f>LCOE!J167+IF(AND(LCOE!J$26&gt;0,A141&gt;=LCOE!J$26,A141&lt;=(LCOE!J$26+LCOE!J$27-1)),LCOE!J$42/LCOE!J$27,0)+IF(AND(D141=0,AE141&gt;=LCOE!J$16,COUNTIF(D116:D141,0)=LCOE!J$36),LCOE!J$35*LCOE!J$38,0)</f>
        <v>0</v>
      </c>
      <c r="D141" s="16">
        <f>IF(AE140&lt;LCOE!J$16,1,0)</f>
        <v>0</v>
      </c>
      <c r="E141" s="12">
        <f>LCOE!G167+IF(AND(A141&gt;=LCOE!J$26,A141&lt;=(LCOE!J$26+LCOE!J$27-1)),0,1)*IF(A141=LCOE!J$34,0,1)*D141</f>
        <v>0</v>
      </c>
      <c r="F141" s="12">
        <f>IF(F140&lt;LCOE!J$18,MIN(F140*(1+LCOE!J$19),LCOE!J$18),LCOE!J$18)+LCOE!J167</f>
        <v>0.9</v>
      </c>
      <c r="G141" s="16">
        <f>LCOE!K167+E141*F141*N141*(LCOE!J$14+LCOE!H167)*24*365*D141</f>
        <v>0</v>
      </c>
      <c r="H141" s="16">
        <f>LCOE!L167+F141*(LCOE!J$15+LCOE!I167)*E141*24*365*D141*N141</f>
        <v>0</v>
      </c>
      <c r="I141" s="16">
        <f>LCOE!M167+LCOE!J$20*IF(LCOE!J$14&gt;0,(LCOE!J$14+LCOE!H167),(LCOE!J$15+LCOE!I167))*K141*D141</f>
        <v>0</v>
      </c>
      <c r="J141" s="16">
        <f>LCOE!N167+LCOE!J$21*IF(LCOE!J$14&gt;0,G141,H141)*K141*D141</f>
        <v>0</v>
      </c>
      <c r="K141" s="15">
        <f>LCOE!O167+K140+K140*LCOE!J$22</f>
        <v>1</v>
      </c>
      <c r="L141" s="16">
        <f>LCOE!P167+LCOE!J$23*IF(LCOE!J$14&gt;0,G141,H141)*M141*D141</f>
        <v>0</v>
      </c>
      <c r="M141" s="15">
        <f>LCOE!Q167+M140+M140*LCOE!J$24</f>
        <v>1</v>
      </c>
      <c r="N141" s="15">
        <f>LCOE!R167+N140-N140*LCOE!J$25</f>
        <v>1</v>
      </c>
      <c r="O141" s="18">
        <f>LCOE!S167+LCOE!J$29</f>
        <v>313.75</v>
      </c>
      <c r="P141" s="12">
        <f>LCOE!T167+IF(A141&gt;=LCOE!J$30,100%,0%)</f>
        <v>1</v>
      </c>
      <c r="Q141" s="16">
        <f>LCOE!U167+O141/1000*IF(LCOE!J$14&gt;0,G141,H141)</f>
        <v>0</v>
      </c>
      <c r="R141" s="16">
        <f>LCOE!B167</f>
        <v>30</v>
      </c>
      <c r="S141" s="16">
        <f>LCOE!V167+Q141*P141*R141</f>
        <v>0</v>
      </c>
      <c r="T141" s="16">
        <f>LCOE!W167+LCOE!J$31</f>
        <v>0</v>
      </c>
      <c r="U141" s="16">
        <f>LCOE!X167+T141*IF(LCOE!J$14&gt;0,G141,H141)</f>
        <v>0</v>
      </c>
      <c r="V141" s="16">
        <f>LCOE!Y167+LCOE!J$32</f>
        <v>0</v>
      </c>
      <c r="W141" s="16">
        <f>LCOE!Z167+V141*IF(LCOE!J$14&gt;0,G141,H141)</f>
        <v>0</v>
      </c>
      <c r="X141" s="16">
        <f>LCOE!AA167+LCOE!J$34</f>
        <v>101</v>
      </c>
      <c r="Y141" s="16">
        <f t="shared" si="29"/>
        <v>0</v>
      </c>
      <c r="Z141" s="50">
        <f t="shared" si="32"/>
        <v>0</v>
      </c>
      <c r="AA141" s="50">
        <f t="shared" si="33"/>
        <v>0</v>
      </c>
      <c r="AB141" s="50">
        <f t="shared" si="34"/>
        <v>0</v>
      </c>
      <c r="AC141" s="50">
        <f t="shared" si="30"/>
        <v>0</v>
      </c>
      <c r="AD141" s="50">
        <f t="shared" si="25"/>
        <v>0</v>
      </c>
      <c r="AE141">
        <f t="shared" si="31"/>
        <v>30</v>
      </c>
      <c r="AF141" s="12">
        <f>LCOE!E167+LCOE!J$40</f>
        <v>0.12</v>
      </c>
      <c r="AG141">
        <f t="shared" si="26"/>
        <v>3122.3358070222844</v>
      </c>
      <c r="AH141" s="16">
        <f t="shared" si="21"/>
        <v>0</v>
      </c>
      <c r="AI141" s="16">
        <f t="shared" si="22"/>
        <v>0</v>
      </c>
      <c r="AJ141" s="16">
        <f t="shared" si="23"/>
        <v>0</v>
      </c>
      <c r="AK141" s="16">
        <f t="shared" si="24"/>
        <v>0</v>
      </c>
      <c r="AL141" s="16">
        <f t="shared" si="27"/>
        <v>0</v>
      </c>
      <c r="AM141" s="16">
        <f t="shared" si="28"/>
        <v>0</v>
      </c>
      <c r="AN141" s="16">
        <f>IF(LCOE!J$14&gt;0,G141,H141)/AG141</f>
        <v>0</v>
      </c>
    </row>
    <row r="142" spans="1:40">
      <c r="A142">
        <v>72</v>
      </c>
      <c r="C142" s="16">
        <f>LCOE!J168+IF(AND(LCOE!J$26&gt;0,A142&gt;=LCOE!J$26,A142&lt;=(LCOE!J$26+LCOE!J$27-1)),LCOE!J$42/LCOE!J$27,0)+IF(AND(D142=0,AE142&gt;=LCOE!J$16,COUNTIF(D117:D142,0)=LCOE!J$36),LCOE!J$35*LCOE!J$38,0)</f>
        <v>0</v>
      </c>
      <c r="D142" s="16">
        <f>IF(AE141&lt;LCOE!J$16,1,0)</f>
        <v>0</v>
      </c>
      <c r="E142" s="12">
        <f>LCOE!G168+IF(AND(A142&gt;=LCOE!J$26,A142&lt;=(LCOE!J$26+LCOE!J$27-1)),0,1)*IF(A142=LCOE!J$34,0,1)*D142</f>
        <v>0</v>
      </c>
      <c r="F142" s="12">
        <f>IF(F141&lt;LCOE!J$18,MIN(F141*(1+LCOE!J$19),LCOE!J$18),LCOE!J$18)+LCOE!J168</f>
        <v>0.9</v>
      </c>
      <c r="G142" s="16">
        <f>LCOE!K168+E142*F142*N142*(LCOE!J$14+LCOE!H168)*24*365*D142</f>
        <v>0</v>
      </c>
      <c r="H142" s="16">
        <f>LCOE!L168+F142*(LCOE!J$15+LCOE!I168)*E142*24*365*D142*N142</f>
        <v>0</v>
      </c>
      <c r="I142" s="16">
        <f>LCOE!M168+LCOE!J$20*IF(LCOE!J$14&gt;0,(LCOE!J$14+LCOE!H168),(LCOE!J$15+LCOE!I168))*K142*D142</f>
        <v>0</v>
      </c>
      <c r="J142" s="16">
        <f>LCOE!N168+LCOE!J$21*IF(LCOE!J$14&gt;0,G142,H142)*K142*D142</f>
        <v>0</v>
      </c>
      <c r="K142" s="15">
        <f>LCOE!O168+K141+K141*LCOE!J$22</f>
        <v>1</v>
      </c>
      <c r="L142" s="16">
        <f>LCOE!P168+LCOE!J$23*IF(LCOE!J$14&gt;0,G142,H142)*M142*D142</f>
        <v>0</v>
      </c>
      <c r="M142" s="15">
        <f>LCOE!Q168+M141+M141*LCOE!J$24</f>
        <v>1</v>
      </c>
      <c r="N142" s="15">
        <f>LCOE!R168+N141-N141*LCOE!J$25</f>
        <v>1</v>
      </c>
      <c r="O142" s="18">
        <f>LCOE!S168+LCOE!J$29</f>
        <v>313.75</v>
      </c>
      <c r="P142" s="12">
        <f>LCOE!T168+IF(A142&gt;=LCOE!J$30,100%,0%)</f>
        <v>1</v>
      </c>
      <c r="Q142" s="16">
        <f>LCOE!U168+O142/1000*IF(LCOE!J$14&gt;0,G142,H142)</f>
        <v>0</v>
      </c>
      <c r="R142" s="16">
        <f>LCOE!B168</f>
        <v>30</v>
      </c>
      <c r="S142" s="16">
        <f>LCOE!V168+Q142*P142*R142</f>
        <v>0</v>
      </c>
      <c r="T142" s="16">
        <f>LCOE!W168+LCOE!J$31</f>
        <v>0</v>
      </c>
      <c r="U142" s="16">
        <f>LCOE!X168+T142*IF(LCOE!J$14&gt;0,G142,H142)</f>
        <v>0</v>
      </c>
      <c r="V142" s="16">
        <f>LCOE!Y168+LCOE!J$32</f>
        <v>0</v>
      </c>
      <c r="W142" s="16">
        <f>LCOE!Z168+V142*IF(LCOE!J$14&gt;0,G142,H142)</f>
        <v>0</v>
      </c>
      <c r="X142" s="16">
        <f>LCOE!AA168+LCOE!J$34</f>
        <v>101</v>
      </c>
      <c r="Y142" s="16">
        <f t="shared" si="29"/>
        <v>0</v>
      </c>
      <c r="Z142" s="50">
        <f t="shared" si="32"/>
        <v>0</v>
      </c>
      <c r="AA142" s="50">
        <f t="shared" si="33"/>
        <v>0</v>
      </c>
      <c r="AB142" s="50">
        <f t="shared" si="34"/>
        <v>0</v>
      </c>
      <c r="AC142" s="50">
        <f t="shared" si="30"/>
        <v>0</v>
      </c>
      <c r="AD142" s="50">
        <f t="shared" si="25"/>
        <v>0</v>
      </c>
      <c r="AE142">
        <f t="shared" si="31"/>
        <v>30</v>
      </c>
      <c r="AF142" s="12">
        <f>LCOE!E168+LCOE!J$40</f>
        <v>0.12</v>
      </c>
      <c r="AG142">
        <f t="shared" si="26"/>
        <v>3497.0161038649589</v>
      </c>
      <c r="AH142" s="16">
        <f t="shared" si="21"/>
        <v>0</v>
      </c>
      <c r="AI142" s="16">
        <f t="shared" si="22"/>
        <v>0</v>
      </c>
      <c r="AJ142" s="16">
        <f t="shared" si="23"/>
        <v>0</v>
      </c>
      <c r="AK142" s="16">
        <f t="shared" si="24"/>
        <v>0</v>
      </c>
      <c r="AL142" s="16">
        <f t="shared" si="27"/>
        <v>0</v>
      </c>
      <c r="AM142" s="16">
        <f t="shared" si="28"/>
        <v>0</v>
      </c>
      <c r="AN142" s="16">
        <f>IF(LCOE!J$14&gt;0,G142,H142)/AG142</f>
        <v>0</v>
      </c>
    </row>
    <row r="143" spans="1:40">
      <c r="A143">
        <v>73</v>
      </c>
      <c r="C143" s="16">
        <f>LCOE!J169+IF(AND(LCOE!J$26&gt;0,A143&gt;=LCOE!J$26,A143&lt;=(LCOE!J$26+LCOE!J$27-1)),LCOE!J$42/LCOE!J$27,0)+IF(AND(D143=0,AE143&gt;=LCOE!J$16,COUNTIF(D118:D143,0)=LCOE!J$36),LCOE!J$35*LCOE!J$38,0)</f>
        <v>0</v>
      </c>
      <c r="D143" s="16">
        <f>IF(AE142&lt;LCOE!J$16,1,0)</f>
        <v>0</v>
      </c>
      <c r="E143" s="12">
        <f>LCOE!G169+IF(AND(A143&gt;=LCOE!J$26,A143&lt;=(LCOE!J$26+LCOE!J$27-1)),0,1)*IF(A143=LCOE!J$34,0,1)*D143</f>
        <v>0</v>
      </c>
      <c r="F143" s="12">
        <f>IF(F142&lt;LCOE!J$18,MIN(F142*(1+LCOE!J$19),LCOE!J$18),LCOE!J$18)+LCOE!J169</f>
        <v>0.9</v>
      </c>
      <c r="G143" s="16">
        <f>LCOE!K169+E143*F143*N143*(LCOE!J$14+LCOE!H169)*24*365*D143</f>
        <v>0</v>
      </c>
      <c r="H143" s="16">
        <f>LCOE!L169+F143*(LCOE!J$15+LCOE!I169)*E143*24*365*D143*N143</f>
        <v>0</v>
      </c>
      <c r="I143" s="16">
        <f>LCOE!M169+LCOE!J$20*IF(LCOE!J$14&gt;0,(LCOE!J$14+LCOE!H169),(LCOE!J$15+LCOE!I169))*K143*D143</f>
        <v>0</v>
      </c>
      <c r="J143" s="16">
        <f>LCOE!N169+LCOE!J$21*IF(LCOE!J$14&gt;0,G143,H143)*K143*D143</f>
        <v>0</v>
      </c>
      <c r="K143" s="15">
        <f>LCOE!O169+K142+K142*LCOE!J$22</f>
        <v>1</v>
      </c>
      <c r="L143" s="16">
        <f>LCOE!P169+LCOE!J$23*IF(LCOE!J$14&gt;0,G143,H143)*M143*D143</f>
        <v>0</v>
      </c>
      <c r="M143" s="15">
        <f>LCOE!Q169+M142+M142*LCOE!J$24</f>
        <v>1</v>
      </c>
      <c r="N143" s="15">
        <f>LCOE!R169+N142-N142*LCOE!J$25</f>
        <v>1</v>
      </c>
      <c r="O143" s="18">
        <f>LCOE!S169+LCOE!J$29</f>
        <v>313.75</v>
      </c>
      <c r="P143" s="12">
        <f>LCOE!T169+IF(A143&gt;=LCOE!J$30,100%,0%)</f>
        <v>1</v>
      </c>
      <c r="Q143" s="16">
        <f>LCOE!U169+O143/1000*IF(LCOE!J$14&gt;0,G143,H143)</f>
        <v>0</v>
      </c>
      <c r="R143" s="16">
        <f>LCOE!B169</f>
        <v>30</v>
      </c>
      <c r="S143" s="16">
        <f>LCOE!V169+Q143*P143*R143</f>
        <v>0</v>
      </c>
      <c r="T143" s="16">
        <f>LCOE!W169+LCOE!J$31</f>
        <v>0</v>
      </c>
      <c r="U143" s="16">
        <f>LCOE!X169+T143*IF(LCOE!J$14&gt;0,G143,H143)</f>
        <v>0</v>
      </c>
      <c r="V143" s="16">
        <f>LCOE!Y169+LCOE!J$32</f>
        <v>0</v>
      </c>
      <c r="W143" s="16">
        <f>LCOE!Z169+V143*IF(LCOE!J$14&gt;0,G143,H143)</f>
        <v>0</v>
      </c>
      <c r="X143" s="16">
        <f>LCOE!AA169+LCOE!J$34</f>
        <v>101</v>
      </c>
      <c r="Y143" s="16">
        <f t="shared" si="29"/>
        <v>0</v>
      </c>
      <c r="Z143" s="50">
        <f t="shared" si="32"/>
        <v>0</v>
      </c>
      <c r="AA143" s="50">
        <f t="shared" si="33"/>
        <v>0</v>
      </c>
      <c r="AB143" s="50">
        <f t="shared" si="34"/>
        <v>0</v>
      </c>
      <c r="AC143" s="50">
        <f t="shared" si="30"/>
        <v>0</v>
      </c>
      <c r="AD143" s="50">
        <f t="shared" si="25"/>
        <v>0</v>
      </c>
      <c r="AE143">
        <f t="shared" si="31"/>
        <v>30</v>
      </c>
      <c r="AF143" s="12">
        <f>LCOE!E169+LCOE!J$40</f>
        <v>0.12</v>
      </c>
      <c r="AG143">
        <f t="shared" si="26"/>
        <v>3916.658036328754</v>
      </c>
      <c r="AH143" s="16">
        <f t="shared" si="21"/>
        <v>0</v>
      </c>
      <c r="AI143" s="16">
        <f t="shared" si="22"/>
        <v>0</v>
      </c>
      <c r="AJ143" s="16">
        <f t="shared" si="23"/>
        <v>0</v>
      </c>
      <c r="AK143" s="16">
        <f t="shared" si="24"/>
        <v>0</v>
      </c>
      <c r="AL143" s="16">
        <f t="shared" si="27"/>
        <v>0</v>
      </c>
      <c r="AM143" s="16">
        <f t="shared" si="28"/>
        <v>0</v>
      </c>
      <c r="AN143" s="16">
        <f>IF(LCOE!J$14&gt;0,G143,H143)/AG143</f>
        <v>0</v>
      </c>
    </row>
    <row r="144" spans="1:40">
      <c r="A144">
        <v>74</v>
      </c>
      <c r="C144" s="16">
        <f>LCOE!J170+IF(AND(LCOE!J$26&gt;0,A144&gt;=LCOE!J$26,A144&lt;=(LCOE!J$26+LCOE!J$27-1)),LCOE!J$42/LCOE!J$27,0)+IF(AND(D144=0,AE144&gt;=LCOE!J$16,COUNTIF(D119:D144,0)=LCOE!J$36),LCOE!J$35*LCOE!J$38,0)</f>
        <v>0</v>
      </c>
      <c r="D144" s="16">
        <f>IF(AE143&lt;LCOE!J$16,1,0)</f>
        <v>0</v>
      </c>
      <c r="E144" s="12">
        <f>LCOE!G170+IF(AND(A144&gt;=LCOE!J$26,A144&lt;=(LCOE!J$26+LCOE!J$27-1)),0,1)*IF(A144=LCOE!J$34,0,1)*D144</f>
        <v>0</v>
      </c>
      <c r="F144" s="12">
        <f>IF(F143&lt;LCOE!J$18,MIN(F143*(1+LCOE!J$19),LCOE!J$18),LCOE!J$18)+LCOE!J170</f>
        <v>0.9</v>
      </c>
      <c r="G144" s="16">
        <f>LCOE!K170+E144*F144*N144*(LCOE!J$14+LCOE!H170)*24*365*D144</f>
        <v>0</v>
      </c>
      <c r="H144" s="16">
        <f>LCOE!L170+F144*(LCOE!J$15+LCOE!I170)*E144*24*365*D144*N144</f>
        <v>0</v>
      </c>
      <c r="I144" s="16">
        <f>LCOE!M170+LCOE!J$20*IF(LCOE!J$14&gt;0,(LCOE!J$14+LCOE!H170),(LCOE!J$15+LCOE!I170))*K144*D144</f>
        <v>0</v>
      </c>
      <c r="J144" s="16">
        <f>LCOE!N170+LCOE!J$21*IF(LCOE!J$14&gt;0,G144,H144)*K144*D144</f>
        <v>0</v>
      </c>
      <c r="K144" s="15">
        <f>LCOE!O170+K143+K143*LCOE!J$22</f>
        <v>1</v>
      </c>
      <c r="L144" s="16">
        <f>LCOE!P170+LCOE!J$23*IF(LCOE!J$14&gt;0,G144,H144)*M144*D144</f>
        <v>0</v>
      </c>
      <c r="M144" s="15">
        <f>LCOE!Q170+M143+M143*LCOE!J$24</f>
        <v>1</v>
      </c>
      <c r="N144" s="15">
        <f>LCOE!R170+N143-N143*LCOE!J$25</f>
        <v>1</v>
      </c>
      <c r="O144" s="18">
        <f>LCOE!S170+LCOE!J$29</f>
        <v>313.75</v>
      </c>
      <c r="P144" s="12">
        <f>LCOE!T170+IF(A144&gt;=LCOE!J$30,100%,0%)</f>
        <v>1</v>
      </c>
      <c r="Q144" s="16">
        <f>LCOE!U170+O144/1000*IF(LCOE!J$14&gt;0,G144,H144)</f>
        <v>0</v>
      </c>
      <c r="R144" s="16">
        <f>LCOE!B170</f>
        <v>30</v>
      </c>
      <c r="S144" s="16">
        <f>LCOE!V170+Q144*P144*R144</f>
        <v>0</v>
      </c>
      <c r="T144" s="16">
        <f>LCOE!W170+LCOE!J$31</f>
        <v>0</v>
      </c>
      <c r="U144" s="16">
        <f>LCOE!X170+T144*IF(LCOE!J$14&gt;0,G144,H144)</f>
        <v>0</v>
      </c>
      <c r="V144" s="16">
        <f>LCOE!Y170+LCOE!J$32</f>
        <v>0</v>
      </c>
      <c r="W144" s="16">
        <f>LCOE!Z170+V144*IF(LCOE!J$14&gt;0,G144,H144)</f>
        <v>0</v>
      </c>
      <c r="X144" s="16">
        <f>LCOE!AA170+LCOE!J$34</f>
        <v>101</v>
      </c>
      <c r="Y144" s="16">
        <f t="shared" si="29"/>
        <v>0</v>
      </c>
      <c r="Z144" s="50">
        <f t="shared" si="32"/>
        <v>0</v>
      </c>
      <c r="AA144" s="50">
        <f t="shared" si="33"/>
        <v>0</v>
      </c>
      <c r="AB144" s="50">
        <f t="shared" si="34"/>
        <v>0</v>
      </c>
      <c r="AC144" s="50">
        <f t="shared" si="30"/>
        <v>0</v>
      </c>
      <c r="AD144" s="50">
        <f t="shared" si="25"/>
        <v>0</v>
      </c>
      <c r="AE144">
        <f t="shared" si="31"/>
        <v>30</v>
      </c>
      <c r="AF144" s="12">
        <f>LCOE!E170+LCOE!J$40</f>
        <v>0.12</v>
      </c>
      <c r="AG144">
        <f t="shared" si="26"/>
        <v>4386.6570006882048</v>
      </c>
      <c r="AH144" s="16">
        <f t="shared" si="21"/>
        <v>0</v>
      </c>
      <c r="AI144" s="16">
        <f t="shared" si="22"/>
        <v>0</v>
      </c>
      <c r="AJ144" s="16">
        <f t="shared" si="23"/>
        <v>0</v>
      </c>
      <c r="AK144" s="16">
        <f t="shared" si="24"/>
        <v>0</v>
      </c>
      <c r="AL144" s="16">
        <f t="shared" si="27"/>
        <v>0</v>
      </c>
      <c r="AM144" s="16">
        <f t="shared" si="28"/>
        <v>0</v>
      </c>
      <c r="AN144" s="16">
        <f>IF(LCOE!J$14&gt;0,G144,H144)/AG144</f>
        <v>0</v>
      </c>
    </row>
    <row r="145" spans="1:40">
      <c r="A145">
        <v>75</v>
      </c>
      <c r="C145" s="16">
        <f>LCOE!J171+IF(AND(LCOE!J$26&gt;0,A145&gt;=LCOE!J$26,A145&lt;=(LCOE!J$26+LCOE!J$27-1)),LCOE!J$42/LCOE!J$27,0)+IF(AND(D145=0,AE145&gt;=LCOE!J$16,COUNTIF(D120:D145,0)=LCOE!J$36),LCOE!J$35*LCOE!J$38,0)</f>
        <v>0</v>
      </c>
      <c r="D145" s="16">
        <f>IF(AE144&lt;LCOE!J$16,1,0)</f>
        <v>0</v>
      </c>
      <c r="E145" s="12">
        <f>LCOE!G171+IF(AND(A145&gt;=LCOE!J$26,A145&lt;=(LCOE!J$26+LCOE!J$27-1)),0,1)*IF(A145=LCOE!J$34,0,1)*D145</f>
        <v>0</v>
      </c>
      <c r="F145" s="12">
        <f>IF(F144&lt;LCOE!J$18,MIN(F144*(1+LCOE!J$19),LCOE!J$18),LCOE!J$18)+LCOE!J171</f>
        <v>0.9</v>
      </c>
      <c r="G145" s="16">
        <f>LCOE!K171+E145*F145*N145*(LCOE!J$14+LCOE!H171)*24*365*D145</f>
        <v>0</v>
      </c>
      <c r="H145" s="16">
        <f>LCOE!L171+F145*(LCOE!J$15+LCOE!I171)*E145*24*365*D145*N145</f>
        <v>0</v>
      </c>
      <c r="I145" s="16">
        <f>LCOE!M171+LCOE!J$20*IF(LCOE!J$14&gt;0,(LCOE!J$14+LCOE!H171),(LCOE!J$15+LCOE!I171))*K145*D145</f>
        <v>0</v>
      </c>
      <c r="J145" s="16">
        <f>LCOE!N171+LCOE!J$21*IF(LCOE!J$14&gt;0,G145,H145)*K145*D145</f>
        <v>0</v>
      </c>
      <c r="K145" s="15">
        <f>LCOE!O171+K144+K144*LCOE!J$22</f>
        <v>1</v>
      </c>
      <c r="L145" s="16">
        <f>LCOE!P171+LCOE!J$23*IF(LCOE!J$14&gt;0,G145,H145)*M145*D145</f>
        <v>0</v>
      </c>
      <c r="M145" s="15">
        <f>LCOE!Q171+M144+M144*LCOE!J$24</f>
        <v>1</v>
      </c>
      <c r="N145" s="15">
        <f>LCOE!R171+N144-N144*LCOE!J$25</f>
        <v>1</v>
      </c>
      <c r="O145" s="18">
        <f>LCOE!S171+LCOE!J$29</f>
        <v>313.75</v>
      </c>
      <c r="P145" s="12">
        <f>LCOE!T171+IF(A145&gt;=LCOE!J$30,100%,0%)</f>
        <v>1</v>
      </c>
      <c r="Q145" s="16">
        <f>LCOE!U171+O145/1000*IF(LCOE!J$14&gt;0,G145,H145)</f>
        <v>0</v>
      </c>
      <c r="R145" s="16">
        <f>LCOE!B171</f>
        <v>30</v>
      </c>
      <c r="S145" s="16">
        <f>LCOE!V171+Q145*P145*R145</f>
        <v>0</v>
      </c>
      <c r="T145" s="16">
        <f>LCOE!W171+LCOE!J$31</f>
        <v>0</v>
      </c>
      <c r="U145" s="16">
        <f>LCOE!X171+T145*IF(LCOE!J$14&gt;0,G145,H145)</f>
        <v>0</v>
      </c>
      <c r="V145" s="16">
        <f>LCOE!Y171+LCOE!J$32</f>
        <v>0</v>
      </c>
      <c r="W145" s="16">
        <f>LCOE!Z171+V145*IF(LCOE!J$14&gt;0,G145,H145)</f>
        <v>0</v>
      </c>
      <c r="X145" s="16">
        <f>LCOE!AA171+LCOE!J$34</f>
        <v>101</v>
      </c>
      <c r="Y145" s="16">
        <f t="shared" si="29"/>
        <v>0</v>
      </c>
      <c r="Z145" s="50">
        <f t="shared" si="32"/>
        <v>0</v>
      </c>
      <c r="AA145" s="50">
        <f t="shared" si="33"/>
        <v>0</v>
      </c>
      <c r="AB145" s="50">
        <f t="shared" si="34"/>
        <v>0</v>
      </c>
      <c r="AC145" s="50">
        <f t="shared" si="30"/>
        <v>0</v>
      </c>
      <c r="AD145" s="50">
        <f t="shared" si="25"/>
        <v>0</v>
      </c>
      <c r="AE145">
        <f t="shared" si="31"/>
        <v>30</v>
      </c>
      <c r="AF145" s="12">
        <f>LCOE!E171+LCOE!J$40</f>
        <v>0.12</v>
      </c>
      <c r="AG145">
        <f t="shared" si="26"/>
        <v>4913.0558407707904</v>
      </c>
      <c r="AH145" s="16">
        <f t="shared" si="21"/>
        <v>0</v>
      </c>
      <c r="AI145" s="16">
        <f t="shared" si="22"/>
        <v>0</v>
      </c>
      <c r="AJ145" s="16">
        <f t="shared" si="23"/>
        <v>0</v>
      </c>
      <c r="AK145" s="16">
        <f t="shared" si="24"/>
        <v>0</v>
      </c>
      <c r="AL145" s="16">
        <f t="shared" si="27"/>
        <v>0</v>
      </c>
      <c r="AM145" s="16">
        <f t="shared" si="28"/>
        <v>0</v>
      </c>
      <c r="AN145" s="16">
        <f>IF(LCOE!J$14&gt;0,G145,H145)/AG145</f>
        <v>0</v>
      </c>
    </row>
    <row r="146" spans="1:40">
      <c r="A146">
        <v>76</v>
      </c>
      <c r="C146" s="16">
        <f>LCOE!J172+IF(AND(LCOE!J$26&gt;0,A146&gt;=LCOE!J$26,A146&lt;=(LCOE!J$26+LCOE!J$27-1)),LCOE!J$42/LCOE!J$27,0)+IF(AND(D146=0,AE146&gt;=LCOE!J$16,COUNTIF(D121:D146,0)=LCOE!J$36),LCOE!J$35*LCOE!J$38,0)</f>
        <v>0</v>
      </c>
      <c r="D146" s="16">
        <f>IF(AE145&lt;LCOE!J$16,1,0)</f>
        <v>0</v>
      </c>
      <c r="E146" s="12">
        <f>LCOE!G172+IF(AND(A146&gt;=LCOE!J$26,A146&lt;=(LCOE!J$26+LCOE!J$27-1)),0,1)*IF(A146=LCOE!J$34,0,1)*D146</f>
        <v>0</v>
      </c>
      <c r="F146" s="12">
        <f>IF(F145&lt;LCOE!J$18,MIN(F145*(1+LCOE!J$19),LCOE!J$18),LCOE!J$18)+LCOE!J172</f>
        <v>0.9</v>
      </c>
      <c r="G146" s="16">
        <f>LCOE!K172+E146*F146*N146*(LCOE!J$14+LCOE!H172)*24*365*D146</f>
        <v>0</v>
      </c>
      <c r="H146" s="16">
        <f>LCOE!L172+F146*(LCOE!J$15+LCOE!I172)*E146*24*365*D146*N146</f>
        <v>0</v>
      </c>
      <c r="I146" s="16">
        <f>LCOE!M172+LCOE!J$20*IF(LCOE!J$14&gt;0,(LCOE!J$14+LCOE!H172),(LCOE!J$15+LCOE!I172))*K146*D146</f>
        <v>0</v>
      </c>
      <c r="J146" s="16">
        <f>LCOE!N172+LCOE!J$21*IF(LCOE!J$14&gt;0,G146,H146)*K146*D146</f>
        <v>0</v>
      </c>
      <c r="K146" s="15">
        <f>LCOE!O172+K145+K145*LCOE!J$22</f>
        <v>1</v>
      </c>
      <c r="L146" s="16">
        <f>LCOE!P172+LCOE!J$23*IF(LCOE!J$14&gt;0,G146,H146)*M146*D146</f>
        <v>0</v>
      </c>
      <c r="M146" s="15">
        <f>LCOE!Q172+M145+M145*LCOE!J$24</f>
        <v>1</v>
      </c>
      <c r="N146" s="15">
        <f>LCOE!R172+N145-N145*LCOE!J$25</f>
        <v>1</v>
      </c>
      <c r="O146" s="18">
        <f>LCOE!S172+LCOE!J$29</f>
        <v>313.75</v>
      </c>
      <c r="P146" s="12">
        <f>LCOE!T172+IF(A146&gt;=LCOE!J$30,100%,0%)</f>
        <v>1</v>
      </c>
      <c r="Q146" s="16">
        <f>LCOE!U172+O146/1000*IF(LCOE!J$14&gt;0,G146,H146)</f>
        <v>0</v>
      </c>
      <c r="R146" s="16">
        <f>LCOE!B172</f>
        <v>30</v>
      </c>
      <c r="S146" s="16">
        <f>LCOE!V172+Q146*P146*R146</f>
        <v>0</v>
      </c>
      <c r="T146" s="16">
        <f>LCOE!W172+LCOE!J$31</f>
        <v>0</v>
      </c>
      <c r="U146" s="16">
        <f>LCOE!X172+T146*IF(LCOE!J$14&gt;0,G146,H146)</f>
        <v>0</v>
      </c>
      <c r="V146" s="16">
        <f>LCOE!Y172+LCOE!J$32</f>
        <v>0</v>
      </c>
      <c r="W146" s="16">
        <f>LCOE!Z172+V146*IF(LCOE!J$14&gt;0,G146,H146)</f>
        <v>0</v>
      </c>
      <c r="X146" s="16">
        <f>LCOE!AA172+LCOE!J$34</f>
        <v>101</v>
      </c>
      <c r="Y146" s="16">
        <f t="shared" si="29"/>
        <v>0</v>
      </c>
      <c r="Z146" s="50">
        <f t="shared" si="32"/>
        <v>0</v>
      </c>
      <c r="AA146" s="50">
        <f t="shared" si="33"/>
        <v>0</v>
      </c>
      <c r="AB146" s="50">
        <f t="shared" si="34"/>
        <v>0</v>
      </c>
      <c r="AC146" s="50">
        <f t="shared" si="30"/>
        <v>0</v>
      </c>
      <c r="AD146" s="50">
        <f t="shared" si="25"/>
        <v>0</v>
      </c>
      <c r="AE146">
        <f t="shared" si="31"/>
        <v>30</v>
      </c>
      <c r="AF146" s="12">
        <f>LCOE!E172+LCOE!J$40</f>
        <v>0.12</v>
      </c>
      <c r="AG146">
        <f t="shared" si="26"/>
        <v>5502.6225416632842</v>
      </c>
      <c r="AH146" s="16">
        <f t="shared" si="21"/>
        <v>0</v>
      </c>
      <c r="AI146" s="16">
        <f t="shared" si="22"/>
        <v>0</v>
      </c>
      <c r="AJ146" s="16">
        <f t="shared" si="23"/>
        <v>0</v>
      </c>
      <c r="AK146" s="16">
        <f t="shared" si="24"/>
        <v>0</v>
      </c>
      <c r="AL146" s="16">
        <f t="shared" si="27"/>
        <v>0</v>
      </c>
      <c r="AM146" s="16">
        <f t="shared" si="28"/>
        <v>0</v>
      </c>
      <c r="AN146" s="16">
        <f>IF(LCOE!J$14&gt;0,G146,H146)/AG146</f>
        <v>0</v>
      </c>
    </row>
    <row r="147" spans="1:40">
      <c r="A147">
        <v>77</v>
      </c>
      <c r="C147" s="16">
        <f>LCOE!J173+IF(AND(LCOE!J$26&gt;0,A147&gt;=LCOE!J$26,A147&lt;=(LCOE!J$26+LCOE!J$27-1)),LCOE!J$42/LCOE!J$27,0)+IF(AND(D147=0,AE147&gt;=LCOE!J$16,COUNTIF(D122:D147,0)=LCOE!J$36),LCOE!J$35*LCOE!J$38,0)</f>
        <v>0</v>
      </c>
      <c r="D147" s="16">
        <f>IF(AE146&lt;LCOE!J$16,1,0)</f>
        <v>0</v>
      </c>
      <c r="E147" s="12">
        <f>LCOE!G173+IF(AND(A147&gt;=LCOE!J$26,A147&lt;=(LCOE!J$26+LCOE!J$27-1)),0,1)*IF(A147=LCOE!J$34,0,1)*D147</f>
        <v>0</v>
      </c>
      <c r="F147" s="12">
        <f>IF(F146&lt;LCOE!J$18,MIN(F146*(1+LCOE!J$19),LCOE!J$18),LCOE!J$18)+LCOE!J173</f>
        <v>0.9</v>
      </c>
      <c r="G147" s="16">
        <f>LCOE!K173+E147*F147*N147*(LCOE!J$14+LCOE!H173)*24*365*D147</f>
        <v>0</v>
      </c>
      <c r="H147" s="16">
        <f>LCOE!L173+F147*(LCOE!J$15+LCOE!I173)*E147*24*365*D147*N147</f>
        <v>0</v>
      </c>
      <c r="I147" s="16">
        <f>LCOE!M173+LCOE!J$20*IF(LCOE!J$14&gt;0,(LCOE!J$14+LCOE!H173),(LCOE!J$15+LCOE!I173))*K147*D147</f>
        <v>0</v>
      </c>
      <c r="J147" s="16">
        <f>LCOE!N173+LCOE!J$21*IF(LCOE!J$14&gt;0,G147,H147)*K147*D147</f>
        <v>0</v>
      </c>
      <c r="K147" s="15">
        <f>LCOE!O173+K146+K146*LCOE!J$22</f>
        <v>1</v>
      </c>
      <c r="L147" s="16">
        <f>LCOE!P173+LCOE!J$23*IF(LCOE!J$14&gt;0,G147,H147)*M147*D147</f>
        <v>0</v>
      </c>
      <c r="M147" s="15">
        <f>LCOE!Q173+M146+M146*LCOE!J$24</f>
        <v>1</v>
      </c>
      <c r="N147" s="15">
        <f>LCOE!R173+N146-N146*LCOE!J$25</f>
        <v>1</v>
      </c>
      <c r="O147" s="18">
        <f>LCOE!S173+LCOE!J$29</f>
        <v>313.75</v>
      </c>
      <c r="P147" s="12">
        <f>LCOE!T173+IF(A147&gt;=LCOE!J$30,100%,0%)</f>
        <v>1</v>
      </c>
      <c r="Q147" s="16">
        <f>LCOE!U173+O147/1000*IF(LCOE!J$14&gt;0,G147,H147)</f>
        <v>0</v>
      </c>
      <c r="R147" s="16">
        <f>LCOE!B173</f>
        <v>30</v>
      </c>
      <c r="S147" s="16">
        <f>LCOE!V173+Q147*P147*R147</f>
        <v>0</v>
      </c>
      <c r="T147" s="16">
        <f>LCOE!W173+LCOE!J$31</f>
        <v>0</v>
      </c>
      <c r="U147" s="16">
        <f>LCOE!X173+T147*IF(LCOE!J$14&gt;0,G147,H147)</f>
        <v>0</v>
      </c>
      <c r="V147" s="16">
        <f>LCOE!Y173+LCOE!J$32</f>
        <v>0</v>
      </c>
      <c r="W147" s="16">
        <f>LCOE!Z173+V147*IF(LCOE!J$14&gt;0,G147,H147)</f>
        <v>0</v>
      </c>
      <c r="X147" s="16">
        <f>LCOE!AA173+LCOE!J$34</f>
        <v>101</v>
      </c>
      <c r="Y147" s="16">
        <f t="shared" si="29"/>
        <v>0</v>
      </c>
      <c r="Z147" s="50">
        <f t="shared" si="32"/>
        <v>0</v>
      </c>
      <c r="AA147" s="50">
        <f t="shared" si="33"/>
        <v>0</v>
      </c>
      <c r="AB147" s="50">
        <f t="shared" si="34"/>
        <v>0</v>
      </c>
      <c r="AC147" s="50">
        <f t="shared" si="30"/>
        <v>0</v>
      </c>
      <c r="AD147" s="50">
        <f t="shared" si="25"/>
        <v>0</v>
      </c>
      <c r="AE147">
        <f t="shared" si="31"/>
        <v>30</v>
      </c>
      <c r="AF147" s="12">
        <f>LCOE!E173+LCOE!J$40</f>
        <v>0.12</v>
      </c>
      <c r="AG147">
        <f t="shared" si="26"/>
        <v>6162.9372466628802</v>
      </c>
      <c r="AH147" s="16">
        <f t="shared" si="21"/>
        <v>0</v>
      </c>
      <c r="AI147" s="16">
        <f t="shared" si="22"/>
        <v>0</v>
      </c>
      <c r="AJ147" s="16">
        <f t="shared" si="23"/>
        <v>0</v>
      </c>
      <c r="AK147" s="16">
        <f t="shared" si="24"/>
        <v>0</v>
      </c>
      <c r="AL147" s="16">
        <f t="shared" si="27"/>
        <v>0</v>
      </c>
      <c r="AM147" s="16">
        <f t="shared" si="28"/>
        <v>0</v>
      </c>
      <c r="AN147" s="16">
        <f>IF(LCOE!J$14&gt;0,G147,H147)/AG147</f>
        <v>0</v>
      </c>
    </row>
    <row r="148" spans="1:40">
      <c r="A148">
        <v>78</v>
      </c>
      <c r="C148" s="16">
        <f>LCOE!J174+IF(AND(LCOE!J$26&gt;0,A148&gt;=LCOE!J$26,A148&lt;=(LCOE!J$26+LCOE!J$27-1)),LCOE!J$42/LCOE!J$27,0)+IF(AND(D148=0,AE148&gt;=LCOE!J$16,COUNTIF(D123:D148,0)=LCOE!J$36),LCOE!J$35*LCOE!J$38,0)</f>
        <v>0</v>
      </c>
      <c r="D148" s="16">
        <f>IF(AE147&lt;LCOE!J$16,1,0)</f>
        <v>0</v>
      </c>
      <c r="E148" s="12">
        <f>LCOE!G174+IF(AND(A148&gt;=LCOE!J$26,A148&lt;=(LCOE!J$26+LCOE!J$27-1)),0,1)*IF(A148=LCOE!J$34,0,1)*D148</f>
        <v>0</v>
      </c>
      <c r="F148" s="12">
        <f>IF(F147&lt;LCOE!J$18,MIN(F147*(1+LCOE!J$19),LCOE!J$18),LCOE!J$18)+LCOE!J174</f>
        <v>0.9</v>
      </c>
      <c r="G148" s="16">
        <f>LCOE!K174+E148*F148*N148*(LCOE!J$14+LCOE!H174)*24*365*D148</f>
        <v>0</v>
      </c>
      <c r="H148" s="16">
        <f>LCOE!L174+F148*(LCOE!J$15+LCOE!I174)*E148*24*365*D148*N148</f>
        <v>0</v>
      </c>
      <c r="I148" s="16">
        <f>LCOE!M174+LCOE!J$20*IF(LCOE!J$14&gt;0,(LCOE!J$14+LCOE!H174),(LCOE!J$15+LCOE!I174))*K148*D148</f>
        <v>0</v>
      </c>
      <c r="J148" s="16">
        <f>LCOE!N174+LCOE!J$21*IF(LCOE!J$14&gt;0,G148,H148)*K148*D148</f>
        <v>0</v>
      </c>
      <c r="K148" s="15">
        <f>LCOE!O174+K147+K147*LCOE!J$22</f>
        <v>1</v>
      </c>
      <c r="L148" s="16">
        <f>LCOE!P174+LCOE!J$23*IF(LCOE!J$14&gt;0,G148,H148)*M148*D148</f>
        <v>0</v>
      </c>
      <c r="M148" s="15">
        <f>LCOE!Q174+M147+M147*LCOE!J$24</f>
        <v>1</v>
      </c>
      <c r="N148" s="15">
        <f>LCOE!R174+N147-N147*LCOE!J$25</f>
        <v>1</v>
      </c>
      <c r="O148" s="18">
        <f>LCOE!S174+LCOE!J$29</f>
        <v>313.75</v>
      </c>
      <c r="P148" s="12">
        <f>LCOE!T174+IF(A148&gt;=LCOE!J$30,100%,0%)</f>
        <v>1</v>
      </c>
      <c r="Q148" s="16">
        <f>LCOE!U174+O148/1000*IF(LCOE!J$14&gt;0,G148,H148)</f>
        <v>0</v>
      </c>
      <c r="R148" s="16">
        <f>LCOE!B174</f>
        <v>30</v>
      </c>
      <c r="S148" s="16">
        <f>LCOE!V174+Q148*P148*R148</f>
        <v>0</v>
      </c>
      <c r="T148" s="16">
        <f>LCOE!W174+LCOE!J$31</f>
        <v>0</v>
      </c>
      <c r="U148" s="16">
        <f>LCOE!X174+T148*IF(LCOE!J$14&gt;0,G148,H148)</f>
        <v>0</v>
      </c>
      <c r="V148" s="16">
        <f>LCOE!Y174+LCOE!J$32</f>
        <v>0</v>
      </c>
      <c r="W148" s="16">
        <f>LCOE!Z174+V148*IF(LCOE!J$14&gt;0,G148,H148)</f>
        <v>0</v>
      </c>
      <c r="X148" s="16">
        <f>LCOE!AA174+LCOE!J$34</f>
        <v>101</v>
      </c>
      <c r="Y148" s="16">
        <f t="shared" si="29"/>
        <v>0</v>
      </c>
      <c r="Z148" s="50">
        <f t="shared" si="32"/>
        <v>0</v>
      </c>
      <c r="AA148" s="50">
        <f t="shared" si="33"/>
        <v>0</v>
      </c>
      <c r="AB148" s="50">
        <f t="shared" si="34"/>
        <v>0</v>
      </c>
      <c r="AC148" s="50">
        <f t="shared" si="30"/>
        <v>0</v>
      </c>
      <c r="AD148" s="50">
        <f t="shared" si="25"/>
        <v>0</v>
      </c>
      <c r="AE148">
        <f t="shared" si="31"/>
        <v>30</v>
      </c>
      <c r="AF148" s="12">
        <f>LCOE!E174+LCOE!J$40</f>
        <v>0.12</v>
      </c>
      <c r="AG148">
        <f t="shared" si="26"/>
        <v>6902.4897162624256</v>
      </c>
      <c r="AH148" s="16">
        <f t="shared" si="21"/>
        <v>0</v>
      </c>
      <c r="AI148" s="16">
        <f t="shared" si="22"/>
        <v>0</v>
      </c>
      <c r="AJ148" s="16">
        <f t="shared" si="23"/>
        <v>0</v>
      </c>
      <c r="AK148" s="16">
        <f t="shared" si="24"/>
        <v>0</v>
      </c>
      <c r="AL148" s="16">
        <f t="shared" si="27"/>
        <v>0</v>
      </c>
      <c r="AM148" s="16">
        <f t="shared" si="28"/>
        <v>0</v>
      </c>
      <c r="AN148" s="16">
        <f>IF(LCOE!J$14&gt;0,G148,H148)/AG148</f>
        <v>0</v>
      </c>
    </row>
    <row r="149" spans="1:40">
      <c r="A149">
        <v>79</v>
      </c>
      <c r="C149" s="16">
        <f>LCOE!J175+IF(AND(LCOE!J$26&gt;0,A149&gt;=LCOE!J$26,A149&lt;=(LCOE!J$26+LCOE!J$27-1)),LCOE!J$42/LCOE!J$27,0)+IF(AND(D149=0,AE149&gt;=LCOE!J$16,COUNTIF(D124:D149,0)=LCOE!J$36),LCOE!J$35*LCOE!J$38,0)</f>
        <v>0</v>
      </c>
      <c r="D149" s="16">
        <f>IF(AE148&lt;LCOE!J$16,1,0)</f>
        <v>0</v>
      </c>
      <c r="E149" s="12">
        <f>LCOE!G175+IF(AND(A149&gt;=LCOE!J$26,A149&lt;=(LCOE!J$26+LCOE!J$27-1)),0,1)*IF(A149=LCOE!J$34,0,1)*D149</f>
        <v>0</v>
      </c>
      <c r="F149" s="12">
        <f>IF(F148&lt;LCOE!J$18,MIN(F148*(1+LCOE!J$19),LCOE!J$18),LCOE!J$18)+LCOE!J175</f>
        <v>0.9</v>
      </c>
      <c r="G149" s="16">
        <f>LCOE!K175+E149*F149*N149*(LCOE!J$14+LCOE!H175)*24*365*D149</f>
        <v>0</v>
      </c>
      <c r="H149" s="16">
        <f>LCOE!L175+F149*(LCOE!J$15+LCOE!I175)*E149*24*365*D149*N149</f>
        <v>0</v>
      </c>
      <c r="I149" s="16">
        <f>LCOE!M175+LCOE!J$20*IF(LCOE!J$14&gt;0,(LCOE!J$14+LCOE!H175),(LCOE!J$15+LCOE!I175))*K149*D149</f>
        <v>0</v>
      </c>
      <c r="J149" s="16">
        <f>LCOE!N175+LCOE!J$21*IF(LCOE!J$14&gt;0,G149,H149)*K149*D149</f>
        <v>0</v>
      </c>
      <c r="K149" s="15">
        <f>LCOE!O175+K148+K148*LCOE!J$22</f>
        <v>1</v>
      </c>
      <c r="L149" s="16">
        <f>LCOE!P175+LCOE!J$23*IF(LCOE!J$14&gt;0,G149,H149)*M149*D149</f>
        <v>0</v>
      </c>
      <c r="M149" s="15">
        <f>LCOE!Q175+M148+M148*LCOE!J$24</f>
        <v>1</v>
      </c>
      <c r="N149" s="15">
        <f>LCOE!R175+N148-N148*LCOE!J$25</f>
        <v>1</v>
      </c>
      <c r="O149" s="18">
        <f>LCOE!S175+LCOE!J$29</f>
        <v>313.75</v>
      </c>
      <c r="P149" s="12">
        <f>LCOE!T175+IF(A149&gt;=LCOE!J$30,100%,0%)</f>
        <v>1</v>
      </c>
      <c r="Q149" s="16">
        <f>LCOE!U175+O149/1000*IF(LCOE!J$14&gt;0,G149,H149)</f>
        <v>0</v>
      </c>
      <c r="R149" s="16">
        <f>LCOE!B175</f>
        <v>30</v>
      </c>
      <c r="S149" s="16">
        <f>LCOE!V175+Q149*P149*R149</f>
        <v>0</v>
      </c>
      <c r="T149" s="16">
        <f>LCOE!W175+LCOE!J$31</f>
        <v>0</v>
      </c>
      <c r="U149" s="16">
        <f>LCOE!X175+T149*IF(LCOE!J$14&gt;0,G149,H149)</f>
        <v>0</v>
      </c>
      <c r="V149" s="16">
        <f>LCOE!Y175+LCOE!J$32</f>
        <v>0</v>
      </c>
      <c r="W149" s="16">
        <f>LCOE!Z175+V149*IF(LCOE!J$14&gt;0,G149,H149)</f>
        <v>0</v>
      </c>
      <c r="X149" s="16">
        <f>LCOE!AA175+LCOE!J$34</f>
        <v>101</v>
      </c>
      <c r="Y149" s="16">
        <f t="shared" si="29"/>
        <v>0</v>
      </c>
      <c r="Z149" s="50">
        <f t="shared" si="32"/>
        <v>0</v>
      </c>
      <c r="AA149" s="50">
        <f t="shared" si="33"/>
        <v>0</v>
      </c>
      <c r="AB149" s="50">
        <f t="shared" si="34"/>
        <v>0</v>
      </c>
      <c r="AC149" s="50">
        <f t="shared" si="30"/>
        <v>0</v>
      </c>
      <c r="AD149" s="50">
        <f t="shared" si="25"/>
        <v>0</v>
      </c>
      <c r="AE149">
        <f t="shared" si="31"/>
        <v>30</v>
      </c>
      <c r="AF149" s="12">
        <f>LCOE!E175+LCOE!J$40</f>
        <v>0.12</v>
      </c>
      <c r="AG149">
        <f t="shared" si="26"/>
        <v>7730.7884822139167</v>
      </c>
      <c r="AH149" s="16">
        <f t="shared" si="21"/>
        <v>0</v>
      </c>
      <c r="AI149" s="16">
        <f t="shared" si="22"/>
        <v>0</v>
      </c>
      <c r="AJ149" s="16">
        <f t="shared" si="23"/>
        <v>0</v>
      </c>
      <c r="AK149" s="16">
        <f t="shared" si="24"/>
        <v>0</v>
      </c>
      <c r="AL149" s="16">
        <f t="shared" si="27"/>
        <v>0</v>
      </c>
      <c r="AM149" s="16">
        <f t="shared" si="28"/>
        <v>0</v>
      </c>
      <c r="AN149" s="16">
        <f>IF(LCOE!J$14&gt;0,G149,H149)/AG149</f>
        <v>0</v>
      </c>
    </row>
    <row r="150" spans="1:40">
      <c r="A150">
        <v>80</v>
      </c>
      <c r="C150" s="16">
        <f>LCOE!J176+IF(AND(LCOE!J$26&gt;0,A150&gt;=LCOE!J$26,A150&lt;=(LCOE!J$26+LCOE!J$27-1)),LCOE!J$42/LCOE!J$27,0)+IF(AND(D150=0,AE150&gt;=LCOE!J$16,COUNTIF(D125:D150,0)=LCOE!J$36),LCOE!J$35*LCOE!J$38,0)</f>
        <v>0</v>
      </c>
      <c r="D150" s="16">
        <f>IF(AE149&lt;LCOE!J$16,1,0)</f>
        <v>0</v>
      </c>
      <c r="E150" s="12">
        <f>LCOE!G176+IF(AND(A150&gt;=LCOE!J$26,A150&lt;=(LCOE!J$26+LCOE!J$27-1)),0,1)*IF(A150=LCOE!J$34,0,1)*D150</f>
        <v>0</v>
      </c>
      <c r="F150" s="12">
        <f>IF(F149&lt;LCOE!J$18,MIN(F149*(1+LCOE!J$19),LCOE!J$18),LCOE!J$18)+LCOE!J176</f>
        <v>0.9</v>
      </c>
      <c r="G150" s="16">
        <f>LCOE!K176+E150*F150*N150*(LCOE!J$14+LCOE!H176)*24*365*D150</f>
        <v>0</v>
      </c>
      <c r="H150" s="16">
        <f>LCOE!L176+F150*(LCOE!J$15+LCOE!I176)*E150*24*365*D150*N150</f>
        <v>0</v>
      </c>
      <c r="I150" s="16">
        <f>LCOE!M176+LCOE!J$20*IF(LCOE!J$14&gt;0,(LCOE!J$14+LCOE!H176),(LCOE!J$15+LCOE!I176))*K150*D150</f>
        <v>0</v>
      </c>
      <c r="J150" s="16">
        <f>LCOE!N176+LCOE!J$21*IF(LCOE!J$14&gt;0,G150,H150)*K150*D150</f>
        <v>0</v>
      </c>
      <c r="K150" s="15">
        <f>LCOE!O176+K149+K149*LCOE!J$22</f>
        <v>1</v>
      </c>
      <c r="L150" s="16">
        <f>LCOE!P176+LCOE!J$23*IF(LCOE!J$14&gt;0,G150,H150)*M150*D150</f>
        <v>0</v>
      </c>
      <c r="M150" s="15">
        <f>LCOE!Q176+M149+M149*LCOE!J$24</f>
        <v>1</v>
      </c>
      <c r="N150" s="15">
        <f>LCOE!R176+N149-N149*LCOE!J$25</f>
        <v>1</v>
      </c>
      <c r="O150" s="18">
        <f>LCOE!S176+LCOE!J$29</f>
        <v>313.75</v>
      </c>
      <c r="P150" s="12">
        <f>LCOE!T176+IF(A150&gt;=LCOE!J$30,100%,0%)</f>
        <v>1</v>
      </c>
      <c r="Q150" s="16">
        <f>LCOE!U176+O150/1000*IF(LCOE!J$14&gt;0,G150,H150)</f>
        <v>0</v>
      </c>
      <c r="R150" s="16">
        <f>LCOE!B176</f>
        <v>30</v>
      </c>
      <c r="S150" s="16">
        <f>LCOE!V176+Q150*P150*R150</f>
        <v>0</v>
      </c>
      <c r="T150" s="16">
        <f>LCOE!W176+LCOE!J$31</f>
        <v>0</v>
      </c>
      <c r="U150" s="16">
        <f>LCOE!X176+T150*IF(LCOE!J$14&gt;0,G150,H150)</f>
        <v>0</v>
      </c>
      <c r="V150" s="16">
        <f>LCOE!Y176+LCOE!J$32</f>
        <v>0</v>
      </c>
      <c r="W150" s="16">
        <f>LCOE!Z176+V150*IF(LCOE!J$14&gt;0,G150,H150)</f>
        <v>0</v>
      </c>
      <c r="X150" s="16">
        <f>LCOE!AA176+LCOE!J$34</f>
        <v>101</v>
      </c>
      <c r="Y150" s="16">
        <f t="shared" si="29"/>
        <v>0</v>
      </c>
      <c r="Z150" s="50">
        <f t="shared" si="32"/>
        <v>0</v>
      </c>
      <c r="AA150" s="50">
        <f t="shared" si="33"/>
        <v>0</v>
      </c>
      <c r="AB150" s="50">
        <f t="shared" si="34"/>
        <v>0</v>
      </c>
      <c r="AC150" s="50">
        <f t="shared" si="30"/>
        <v>0</v>
      </c>
      <c r="AD150" s="50">
        <f t="shared" si="25"/>
        <v>0</v>
      </c>
      <c r="AE150">
        <f t="shared" si="31"/>
        <v>30</v>
      </c>
      <c r="AF150" s="12">
        <f>LCOE!E176+LCOE!J$40</f>
        <v>0.12</v>
      </c>
      <c r="AG150">
        <f t="shared" si="26"/>
        <v>8658.4831000795875</v>
      </c>
      <c r="AH150" s="16">
        <f t="shared" si="21"/>
        <v>0</v>
      </c>
      <c r="AI150" s="16">
        <f t="shared" si="22"/>
        <v>0</v>
      </c>
      <c r="AJ150" s="16">
        <f t="shared" si="23"/>
        <v>0</v>
      </c>
      <c r="AK150" s="16">
        <f t="shared" si="24"/>
        <v>0</v>
      </c>
      <c r="AL150" s="16">
        <f t="shared" si="27"/>
        <v>0</v>
      </c>
      <c r="AM150" s="16">
        <f t="shared" si="28"/>
        <v>0</v>
      </c>
      <c r="AN150" s="16">
        <f>IF(LCOE!J$14&gt;0,G150,H150)/AG150</f>
        <v>0</v>
      </c>
    </row>
    <row r="151" spans="1:40">
      <c r="A151">
        <v>81</v>
      </c>
      <c r="C151" s="16">
        <f>LCOE!J177+IF(AND(LCOE!J$26&gt;0,A151&gt;=LCOE!J$26,A151&lt;=(LCOE!J$26+LCOE!J$27-1)),LCOE!J$42/LCOE!J$27,0)+IF(AND(D151=0,AE151&gt;=LCOE!J$16,COUNTIF(D126:D151,0)=LCOE!J$36),LCOE!J$35*LCOE!J$38,0)</f>
        <v>0</v>
      </c>
      <c r="D151" s="16">
        <f>IF(AE150&lt;LCOE!J$16,1,0)</f>
        <v>0</v>
      </c>
      <c r="E151" s="12">
        <f>LCOE!G177+IF(AND(A151&gt;=LCOE!J$26,A151&lt;=(LCOE!J$26+LCOE!J$27-1)),0,1)*IF(A151=LCOE!J$34,0,1)*D151</f>
        <v>0</v>
      </c>
      <c r="F151" s="12">
        <f>IF(F150&lt;LCOE!J$18,MIN(F150*(1+LCOE!J$19),LCOE!J$18),LCOE!J$18)+LCOE!J177</f>
        <v>0.9</v>
      </c>
      <c r="G151" s="16">
        <f>LCOE!K177+E151*F151*N151*(LCOE!J$14+LCOE!H177)*24*365*D151</f>
        <v>0</v>
      </c>
      <c r="H151" s="16">
        <f>LCOE!L177+F151*(LCOE!J$15+LCOE!I177)*E151*24*365*D151*N151</f>
        <v>0</v>
      </c>
      <c r="I151" s="16">
        <f>LCOE!M177+LCOE!J$20*IF(LCOE!J$14&gt;0,(LCOE!J$14+LCOE!H177),(LCOE!J$15+LCOE!I177))*K151*D151</f>
        <v>0</v>
      </c>
      <c r="J151" s="16">
        <f>LCOE!N177+LCOE!J$21*IF(LCOE!J$14&gt;0,G151,H151)*K151*D151</f>
        <v>0</v>
      </c>
      <c r="K151" s="15">
        <f>LCOE!O177+K150+K150*LCOE!J$22</f>
        <v>1</v>
      </c>
      <c r="L151" s="16">
        <f>LCOE!P177+LCOE!J$23*IF(LCOE!J$14&gt;0,G151,H151)*M151*D151</f>
        <v>0</v>
      </c>
      <c r="M151" s="15">
        <f>LCOE!Q177+M150+M150*LCOE!J$24</f>
        <v>1</v>
      </c>
      <c r="N151" s="15">
        <f>LCOE!R177+N150-N150*LCOE!J$25</f>
        <v>1</v>
      </c>
      <c r="O151" s="18">
        <f>LCOE!S177+LCOE!J$29</f>
        <v>313.75</v>
      </c>
      <c r="P151" s="12">
        <f>LCOE!T177+IF(A151&gt;=LCOE!J$30,100%,0%)</f>
        <v>1</v>
      </c>
      <c r="Q151" s="16">
        <f>LCOE!U177+O151/1000*IF(LCOE!J$14&gt;0,G151,H151)</f>
        <v>0</v>
      </c>
      <c r="R151" s="16">
        <f>LCOE!B177</f>
        <v>30</v>
      </c>
      <c r="S151" s="16">
        <f>LCOE!V177+Q151*P151*R151</f>
        <v>0</v>
      </c>
      <c r="T151" s="16">
        <f>LCOE!W177+LCOE!J$31</f>
        <v>0</v>
      </c>
      <c r="U151" s="16">
        <f>LCOE!X177+T151*IF(LCOE!J$14&gt;0,G151,H151)</f>
        <v>0</v>
      </c>
      <c r="V151" s="16">
        <f>LCOE!Y177+LCOE!J$32</f>
        <v>0</v>
      </c>
      <c r="W151" s="16">
        <f>LCOE!Z177+V151*IF(LCOE!J$14&gt;0,G151,H151)</f>
        <v>0</v>
      </c>
      <c r="X151" s="16">
        <f>LCOE!AA177+LCOE!J$34</f>
        <v>101</v>
      </c>
      <c r="Y151" s="16">
        <f t="shared" si="29"/>
        <v>0</v>
      </c>
      <c r="Z151" s="50">
        <f t="shared" si="32"/>
        <v>0</v>
      </c>
      <c r="AA151" s="50">
        <f t="shared" si="33"/>
        <v>0</v>
      </c>
      <c r="AB151" s="50">
        <f t="shared" si="34"/>
        <v>0</v>
      </c>
      <c r="AC151" s="50">
        <f t="shared" si="30"/>
        <v>0</v>
      </c>
      <c r="AD151" s="50">
        <f t="shared" si="25"/>
        <v>0</v>
      </c>
      <c r="AE151">
        <f t="shared" si="31"/>
        <v>30</v>
      </c>
      <c r="AF151" s="12">
        <f>LCOE!E177+LCOE!J$40</f>
        <v>0.12</v>
      </c>
      <c r="AG151">
        <f t="shared" si="26"/>
        <v>9697.5010720891387</v>
      </c>
      <c r="AH151" s="16">
        <f t="shared" si="21"/>
        <v>0</v>
      </c>
      <c r="AI151" s="16">
        <f t="shared" si="22"/>
        <v>0</v>
      </c>
      <c r="AJ151" s="16">
        <f t="shared" si="23"/>
        <v>0</v>
      </c>
      <c r="AK151" s="16">
        <f t="shared" si="24"/>
        <v>0</v>
      </c>
      <c r="AL151" s="16">
        <f t="shared" si="27"/>
        <v>0</v>
      </c>
      <c r="AM151" s="16">
        <f t="shared" si="28"/>
        <v>0</v>
      </c>
      <c r="AN151" s="16">
        <f>IF(LCOE!J$14&gt;0,G151,H151)/AG151</f>
        <v>0</v>
      </c>
    </row>
    <row r="152" spans="1:40">
      <c r="A152">
        <v>82</v>
      </c>
      <c r="C152" s="16">
        <f>LCOE!J178+IF(AND(LCOE!J$26&gt;0,A152&gt;=LCOE!J$26,A152&lt;=(LCOE!J$26+LCOE!J$27-1)),LCOE!J$42/LCOE!J$27,0)+IF(AND(D152=0,AE152&gt;=LCOE!J$16,COUNTIF(D127:D152,0)=LCOE!J$36),LCOE!J$35*LCOE!J$38,0)</f>
        <v>0</v>
      </c>
      <c r="D152" s="16">
        <f>IF(AE151&lt;LCOE!J$16,1,0)</f>
        <v>0</v>
      </c>
      <c r="E152" s="12">
        <f>LCOE!G178+IF(AND(A152&gt;=LCOE!J$26,A152&lt;=(LCOE!J$26+LCOE!J$27-1)),0,1)*IF(A152=LCOE!J$34,0,1)*D152</f>
        <v>0</v>
      </c>
      <c r="F152" s="12">
        <f>IF(F151&lt;LCOE!J$18,MIN(F151*(1+LCOE!J$19),LCOE!J$18),LCOE!J$18)+LCOE!J178</f>
        <v>0.9</v>
      </c>
      <c r="G152" s="16">
        <f>LCOE!K178+E152*F152*N152*(LCOE!J$14+LCOE!H178)*24*365*D152</f>
        <v>0</v>
      </c>
      <c r="H152" s="16">
        <f>LCOE!L178+F152*(LCOE!J$15+LCOE!I178)*E152*24*365*D152*N152</f>
        <v>0</v>
      </c>
      <c r="I152" s="16">
        <f>LCOE!M178+LCOE!J$20*IF(LCOE!J$14&gt;0,(LCOE!J$14+LCOE!H178),(LCOE!J$15+LCOE!I178))*K152*D152</f>
        <v>0</v>
      </c>
      <c r="J152" s="16">
        <f>LCOE!N178+LCOE!J$21*IF(LCOE!J$14&gt;0,G152,H152)*K152*D152</f>
        <v>0</v>
      </c>
      <c r="K152" s="15">
        <f>LCOE!O178+K151+K151*LCOE!J$22</f>
        <v>1</v>
      </c>
      <c r="L152" s="16">
        <f>LCOE!P178+LCOE!J$23*IF(LCOE!J$14&gt;0,G152,H152)*M152*D152</f>
        <v>0</v>
      </c>
      <c r="M152" s="15">
        <f>LCOE!Q178+M151+M151*LCOE!J$24</f>
        <v>1</v>
      </c>
      <c r="N152" s="15">
        <f>LCOE!R178+N151-N151*LCOE!J$25</f>
        <v>1</v>
      </c>
      <c r="O152" s="18">
        <f>LCOE!S178+LCOE!J$29</f>
        <v>313.75</v>
      </c>
      <c r="P152" s="12">
        <f>LCOE!T178+IF(A152&gt;=LCOE!J$30,100%,0%)</f>
        <v>1</v>
      </c>
      <c r="Q152" s="16">
        <f>LCOE!U178+O152/1000*IF(LCOE!J$14&gt;0,G152,H152)</f>
        <v>0</v>
      </c>
      <c r="R152" s="16">
        <f>LCOE!B178</f>
        <v>30</v>
      </c>
      <c r="S152" s="16">
        <f>LCOE!V178+Q152*P152*R152</f>
        <v>0</v>
      </c>
      <c r="T152" s="16">
        <f>LCOE!W178+LCOE!J$31</f>
        <v>0</v>
      </c>
      <c r="U152" s="16">
        <f>LCOE!X178+T152*IF(LCOE!J$14&gt;0,G152,H152)</f>
        <v>0</v>
      </c>
      <c r="V152" s="16">
        <f>LCOE!Y178+LCOE!J$32</f>
        <v>0</v>
      </c>
      <c r="W152" s="16">
        <f>LCOE!Z178+V152*IF(LCOE!J$14&gt;0,G152,H152)</f>
        <v>0</v>
      </c>
      <c r="X152" s="16">
        <f>LCOE!AA178+LCOE!J$34</f>
        <v>101</v>
      </c>
      <c r="Y152" s="16">
        <f t="shared" si="29"/>
        <v>0</v>
      </c>
      <c r="Z152" s="50">
        <f t="shared" si="32"/>
        <v>0</v>
      </c>
      <c r="AA152" s="50">
        <f t="shared" si="33"/>
        <v>0</v>
      </c>
      <c r="AB152" s="50">
        <f t="shared" si="34"/>
        <v>0</v>
      </c>
      <c r="AC152" s="50">
        <f t="shared" si="30"/>
        <v>0</v>
      </c>
      <c r="AD152" s="50">
        <f t="shared" si="25"/>
        <v>0</v>
      </c>
      <c r="AE152">
        <f t="shared" si="31"/>
        <v>30</v>
      </c>
      <c r="AF152" s="12">
        <f>LCOE!E178+LCOE!J$40</f>
        <v>0.12</v>
      </c>
      <c r="AG152">
        <f t="shared" si="26"/>
        <v>10861.201200739837</v>
      </c>
      <c r="AH152" s="16">
        <f t="shared" si="21"/>
        <v>0</v>
      </c>
      <c r="AI152" s="16">
        <f t="shared" si="22"/>
        <v>0</v>
      </c>
      <c r="AJ152" s="16">
        <f t="shared" si="23"/>
        <v>0</v>
      </c>
      <c r="AK152" s="16">
        <f t="shared" si="24"/>
        <v>0</v>
      </c>
      <c r="AL152" s="16">
        <f t="shared" si="27"/>
        <v>0</v>
      </c>
      <c r="AM152" s="16">
        <f t="shared" si="28"/>
        <v>0</v>
      </c>
      <c r="AN152" s="16">
        <f>IF(LCOE!J$14&gt;0,G152,H152)/AG152</f>
        <v>0</v>
      </c>
    </row>
    <row r="153" spans="1:40">
      <c r="A153">
        <v>83</v>
      </c>
      <c r="C153" s="16">
        <f>LCOE!J179+IF(AND(LCOE!J$26&gt;0,A153&gt;=LCOE!J$26,A153&lt;=(LCOE!J$26+LCOE!J$27-1)),LCOE!J$42/LCOE!J$27,0)+IF(AND(D153=0,AE153&gt;=LCOE!J$16,COUNTIF(D128:D153,0)=LCOE!J$36),LCOE!J$35*LCOE!J$38,0)</f>
        <v>0</v>
      </c>
      <c r="D153" s="16">
        <f>IF(AE152&lt;LCOE!J$16,1,0)</f>
        <v>0</v>
      </c>
      <c r="E153" s="12">
        <f>LCOE!G179+IF(AND(A153&gt;=LCOE!J$26,A153&lt;=(LCOE!J$26+LCOE!J$27-1)),0,1)*IF(A153=LCOE!J$34,0,1)*D153</f>
        <v>0</v>
      </c>
      <c r="F153" s="12">
        <f>IF(F152&lt;LCOE!J$18,MIN(F152*(1+LCOE!J$19),LCOE!J$18),LCOE!J$18)+LCOE!J179</f>
        <v>0.9</v>
      </c>
      <c r="G153" s="16">
        <f>LCOE!K179+E153*F153*N153*(LCOE!J$14+LCOE!H179)*24*365*D153</f>
        <v>0</v>
      </c>
      <c r="H153" s="16">
        <f>LCOE!L179+F153*(LCOE!J$15+LCOE!I179)*E153*24*365*D153*N153</f>
        <v>0</v>
      </c>
      <c r="I153" s="16">
        <f>LCOE!M179+LCOE!J$20*IF(LCOE!J$14&gt;0,(LCOE!J$14+LCOE!H179),(LCOE!J$15+LCOE!I179))*K153*D153</f>
        <v>0</v>
      </c>
      <c r="J153" s="16">
        <f>LCOE!N179+LCOE!J$21*IF(LCOE!J$14&gt;0,G153,H153)*K153*D153</f>
        <v>0</v>
      </c>
      <c r="K153" s="15">
        <f>LCOE!O179+K152+K152*LCOE!J$22</f>
        <v>1</v>
      </c>
      <c r="L153" s="16">
        <f>LCOE!P179+LCOE!J$23*IF(LCOE!J$14&gt;0,G153,H153)*M153*D153</f>
        <v>0</v>
      </c>
      <c r="M153" s="15">
        <f>LCOE!Q179+M152+M152*LCOE!J$24</f>
        <v>1</v>
      </c>
      <c r="N153" s="15">
        <f>LCOE!R179+N152-N152*LCOE!J$25</f>
        <v>1</v>
      </c>
      <c r="O153" s="18">
        <f>LCOE!S179+LCOE!J$29</f>
        <v>313.75</v>
      </c>
      <c r="P153" s="12">
        <f>LCOE!T179+IF(A153&gt;=LCOE!J$30,100%,0%)</f>
        <v>1</v>
      </c>
      <c r="Q153" s="16">
        <f>LCOE!U179+O153/1000*IF(LCOE!J$14&gt;0,G153,H153)</f>
        <v>0</v>
      </c>
      <c r="R153" s="16">
        <f>LCOE!B179</f>
        <v>30</v>
      </c>
      <c r="S153" s="16">
        <f>LCOE!V179+Q153*P153*R153</f>
        <v>0</v>
      </c>
      <c r="T153" s="16">
        <f>LCOE!W179+LCOE!J$31</f>
        <v>0</v>
      </c>
      <c r="U153" s="16">
        <f>LCOE!X179+T153*IF(LCOE!J$14&gt;0,G153,H153)</f>
        <v>0</v>
      </c>
      <c r="V153" s="16">
        <f>LCOE!Y179+LCOE!J$32</f>
        <v>0</v>
      </c>
      <c r="W153" s="16">
        <f>LCOE!Z179+V153*IF(LCOE!J$14&gt;0,G153,H153)</f>
        <v>0</v>
      </c>
      <c r="X153" s="16">
        <f>LCOE!AA179+LCOE!J$34</f>
        <v>101</v>
      </c>
      <c r="Y153" s="16">
        <f t="shared" si="29"/>
        <v>0</v>
      </c>
      <c r="Z153" s="50">
        <f t="shared" si="32"/>
        <v>0</v>
      </c>
      <c r="AA153" s="50">
        <f t="shared" si="33"/>
        <v>0</v>
      </c>
      <c r="AB153" s="50">
        <f t="shared" si="34"/>
        <v>0</v>
      </c>
      <c r="AC153" s="50">
        <f t="shared" si="30"/>
        <v>0</v>
      </c>
      <c r="AD153" s="50">
        <f t="shared" si="25"/>
        <v>0</v>
      </c>
      <c r="AE153">
        <f t="shared" si="31"/>
        <v>30</v>
      </c>
      <c r="AF153" s="12">
        <f>LCOE!E179+LCOE!J$40</f>
        <v>0.12</v>
      </c>
      <c r="AG153">
        <f t="shared" si="26"/>
        <v>12164.545344828619</v>
      </c>
      <c r="AH153" s="16">
        <f t="shared" si="21"/>
        <v>0</v>
      </c>
      <c r="AI153" s="16">
        <f t="shared" si="22"/>
        <v>0</v>
      </c>
      <c r="AJ153" s="16">
        <f t="shared" si="23"/>
        <v>0</v>
      </c>
      <c r="AK153" s="16">
        <f t="shared" si="24"/>
        <v>0</v>
      </c>
      <c r="AL153" s="16">
        <f t="shared" si="27"/>
        <v>0</v>
      </c>
      <c r="AM153" s="16">
        <f t="shared" si="28"/>
        <v>0</v>
      </c>
      <c r="AN153" s="16">
        <f>IF(LCOE!J$14&gt;0,G153,H153)/AG153</f>
        <v>0</v>
      </c>
    </row>
    <row r="154" spans="1:40">
      <c r="A154">
        <v>84</v>
      </c>
      <c r="C154" s="16">
        <f>LCOE!J180+IF(AND(LCOE!J$26&gt;0,A154&gt;=LCOE!J$26,A154&lt;=(LCOE!J$26+LCOE!J$27-1)),LCOE!J$42/LCOE!J$27,0)+IF(AND(D154=0,AE154&gt;=LCOE!J$16,COUNTIF(D129:D154,0)=LCOE!J$36),LCOE!J$35*LCOE!J$38,0)</f>
        <v>0</v>
      </c>
      <c r="D154" s="16">
        <f>IF(AE153&lt;LCOE!J$16,1,0)</f>
        <v>0</v>
      </c>
      <c r="E154" s="12">
        <f>LCOE!G180+IF(AND(A154&gt;=LCOE!J$26,A154&lt;=(LCOE!J$26+LCOE!J$27-1)),0,1)*IF(A154=LCOE!J$34,0,1)*D154</f>
        <v>0</v>
      </c>
      <c r="F154" s="12">
        <f>IF(F153&lt;LCOE!J$18,MIN(F153*(1+LCOE!J$19),LCOE!J$18),LCOE!J$18)+LCOE!J180</f>
        <v>0.9</v>
      </c>
      <c r="G154" s="16">
        <f>LCOE!K180+E154*F154*N154*(LCOE!J$14+LCOE!H180)*24*365*D154</f>
        <v>0</v>
      </c>
      <c r="H154" s="16">
        <f>LCOE!L180+F154*(LCOE!J$15+LCOE!I180)*E154*24*365*D154*N154</f>
        <v>0</v>
      </c>
      <c r="I154" s="16">
        <f>LCOE!M180+LCOE!J$20*IF(LCOE!J$14&gt;0,(LCOE!J$14+LCOE!H180),(LCOE!J$15+LCOE!I180))*K154*D154</f>
        <v>0</v>
      </c>
      <c r="J154" s="16">
        <f>LCOE!N180+LCOE!J$21*IF(LCOE!J$14&gt;0,G154,H154)*K154*D154</f>
        <v>0</v>
      </c>
      <c r="K154" s="15">
        <f>LCOE!O180+K153+K153*LCOE!J$22</f>
        <v>1</v>
      </c>
      <c r="L154" s="16">
        <f>LCOE!P180+LCOE!J$23*IF(LCOE!J$14&gt;0,G154,H154)*M154*D154</f>
        <v>0</v>
      </c>
      <c r="M154" s="15">
        <f>LCOE!Q180+M153+M153*LCOE!J$24</f>
        <v>1</v>
      </c>
      <c r="N154" s="15">
        <f>LCOE!R180+N153-N153*LCOE!J$25</f>
        <v>1</v>
      </c>
      <c r="O154" s="18">
        <f>LCOE!S180+LCOE!J$29</f>
        <v>313.75</v>
      </c>
      <c r="P154" s="12">
        <f>LCOE!T180+IF(A154&gt;=LCOE!J$30,100%,0%)</f>
        <v>1</v>
      </c>
      <c r="Q154" s="16">
        <f>LCOE!U180+O154/1000*IF(LCOE!J$14&gt;0,G154,H154)</f>
        <v>0</v>
      </c>
      <c r="R154" s="16">
        <f>LCOE!B180</f>
        <v>30</v>
      </c>
      <c r="S154" s="16">
        <f>LCOE!V180+Q154*P154*R154</f>
        <v>0</v>
      </c>
      <c r="T154" s="16">
        <f>LCOE!W180+LCOE!J$31</f>
        <v>0</v>
      </c>
      <c r="U154" s="16">
        <f>LCOE!X180+T154*IF(LCOE!J$14&gt;0,G154,H154)</f>
        <v>0</v>
      </c>
      <c r="V154" s="16">
        <f>LCOE!Y180+LCOE!J$32</f>
        <v>0</v>
      </c>
      <c r="W154" s="16">
        <f>LCOE!Z180+V154*IF(LCOE!J$14&gt;0,G154,H154)</f>
        <v>0</v>
      </c>
      <c r="X154" s="16">
        <f>LCOE!AA180+LCOE!J$34</f>
        <v>101</v>
      </c>
      <c r="Y154" s="16">
        <f t="shared" si="29"/>
        <v>0</v>
      </c>
      <c r="Z154" s="50">
        <f t="shared" si="32"/>
        <v>0</v>
      </c>
      <c r="AA154" s="50">
        <f t="shared" si="33"/>
        <v>0</v>
      </c>
      <c r="AB154" s="50">
        <f t="shared" si="34"/>
        <v>0</v>
      </c>
      <c r="AC154" s="50">
        <f t="shared" si="30"/>
        <v>0</v>
      </c>
      <c r="AD154" s="50">
        <f t="shared" si="25"/>
        <v>0</v>
      </c>
      <c r="AE154">
        <f t="shared" si="31"/>
        <v>30</v>
      </c>
      <c r="AF154" s="12">
        <f>LCOE!E180+LCOE!J$40</f>
        <v>0.12</v>
      </c>
      <c r="AG154">
        <f t="shared" si="26"/>
        <v>13624.290786208052</v>
      </c>
      <c r="AH154" s="16">
        <f t="shared" si="21"/>
        <v>0</v>
      </c>
      <c r="AI154" s="16">
        <f t="shared" si="22"/>
        <v>0</v>
      </c>
      <c r="AJ154" s="16">
        <f t="shared" si="23"/>
        <v>0</v>
      </c>
      <c r="AK154" s="16">
        <f t="shared" si="24"/>
        <v>0</v>
      </c>
      <c r="AL154" s="16">
        <f t="shared" si="27"/>
        <v>0</v>
      </c>
      <c r="AM154" s="16">
        <f t="shared" si="28"/>
        <v>0</v>
      </c>
      <c r="AN154" s="16">
        <f>IF(LCOE!J$14&gt;0,G154,H154)/AG154</f>
        <v>0</v>
      </c>
    </row>
    <row r="155" spans="1:40">
      <c r="A155">
        <v>85</v>
      </c>
      <c r="C155" s="16">
        <f>LCOE!J181+IF(AND(LCOE!J$26&gt;0,A155&gt;=LCOE!J$26,A155&lt;=(LCOE!J$26+LCOE!J$27-1)),LCOE!J$42/LCOE!J$27,0)+IF(AND(D155=0,AE155&gt;=LCOE!J$16,COUNTIF(D130:D155,0)=LCOE!J$36),LCOE!J$35*LCOE!J$38,0)</f>
        <v>0</v>
      </c>
      <c r="D155" s="16">
        <f>IF(AE154&lt;LCOE!J$16,1,0)</f>
        <v>0</v>
      </c>
      <c r="E155" s="12">
        <f>LCOE!G181+IF(AND(A155&gt;=LCOE!J$26,A155&lt;=(LCOE!J$26+LCOE!J$27-1)),0,1)*IF(A155=LCOE!J$34,0,1)*D155</f>
        <v>0</v>
      </c>
      <c r="F155" s="12">
        <f>IF(F154&lt;LCOE!J$18,MIN(F154*(1+LCOE!J$19),LCOE!J$18),LCOE!J$18)+LCOE!J181</f>
        <v>0.9</v>
      </c>
      <c r="G155" s="16">
        <f>LCOE!K181+E155*F155*N155*(LCOE!J$14+LCOE!H181)*24*365*D155</f>
        <v>0</v>
      </c>
      <c r="H155" s="16">
        <f>LCOE!L181+F155*(LCOE!J$15+LCOE!I181)*E155*24*365*D155*N155</f>
        <v>0</v>
      </c>
      <c r="I155" s="16">
        <f>LCOE!M181+LCOE!J$20*IF(LCOE!J$14&gt;0,(LCOE!J$14+LCOE!H181),(LCOE!J$15+LCOE!I181))*K155*D155</f>
        <v>0</v>
      </c>
      <c r="J155" s="16">
        <f>LCOE!N181+LCOE!J$21*IF(LCOE!J$14&gt;0,G155,H155)*K155*D155</f>
        <v>0</v>
      </c>
      <c r="K155" s="15">
        <f>LCOE!O181+K154+K154*LCOE!J$22</f>
        <v>1</v>
      </c>
      <c r="L155" s="16">
        <f>LCOE!P181+LCOE!J$23*IF(LCOE!J$14&gt;0,G155,H155)*M155*D155</f>
        <v>0</v>
      </c>
      <c r="M155" s="15">
        <f>LCOE!Q181+M154+M154*LCOE!J$24</f>
        <v>1</v>
      </c>
      <c r="N155" s="15">
        <f>LCOE!R181+N154-N154*LCOE!J$25</f>
        <v>1</v>
      </c>
      <c r="O155" s="18">
        <f>LCOE!S181+LCOE!J$29</f>
        <v>313.75</v>
      </c>
      <c r="P155" s="12">
        <f>LCOE!T181+IF(A155&gt;=LCOE!J$30,100%,0%)</f>
        <v>1</v>
      </c>
      <c r="Q155" s="16">
        <f>LCOE!U181+O155/1000*IF(LCOE!J$14&gt;0,G155,H155)</f>
        <v>0</v>
      </c>
      <c r="R155" s="16">
        <f>LCOE!B181</f>
        <v>30</v>
      </c>
      <c r="S155" s="16">
        <f>LCOE!V181+Q155*P155*R155</f>
        <v>0</v>
      </c>
      <c r="T155" s="16">
        <f>LCOE!W181+LCOE!J$31</f>
        <v>0</v>
      </c>
      <c r="U155" s="16">
        <f>LCOE!X181+T155*IF(LCOE!J$14&gt;0,G155,H155)</f>
        <v>0</v>
      </c>
      <c r="V155" s="16">
        <f>LCOE!Y181+LCOE!J$32</f>
        <v>0</v>
      </c>
      <c r="W155" s="16">
        <f>LCOE!Z181+V155*IF(LCOE!J$14&gt;0,G155,H155)</f>
        <v>0</v>
      </c>
      <c r="X155" s="16">
        <f>LCOE!AA181+LCOE!J$34</f>
        <v>101</v>
      </c>
      <c r="Y155" s="16">
        <f t="shared" si="29"/>
        <v>0</v>
      </c>
      <c r="Z155" s="50">
        <f t="shared" si="32"/>
        <v>0</v>
      </c>
      <c r="AA155" s="50">
        <f t="shared" si="33"/>
        <v>0</v>
      </c>
      <c r="AB155" s="50">
        <f t="shared" si="34"/>
        <v>0</v>
      </c>
      <c r="AC155" s="50">
        <f t="shared" si="30"/>
        <v>0</v>
      </c>
      <c r="AD155" s="50">
        <f t="shared" si="25"/>
        <v>0</v>
      </c>
      <c r="AE155">
        <f t="shared" si="31"/>
        <v>30</v>
      </c>
      <c r="AF155" s="12">
        <f>LCOE!E181+LCOE!J$40</f>
        <v>0.12</v>
      </c>
      <c r="AG155">
        <f t="shared" si="26"/>
        <v>15259.205680553019</v>
      </c>
      <c r="AH155" s="16">
        <f t="shared" si="21"/>
        <v>0</v>
      </c>
      <c r="AI155" s="16">
        <f t="shared" si="22"/>
        <v>0</v>
      </c>
      <c r="AJ155" s="16">
        <f t="shared" si="23"/>
        <v>0</v>
      </c>
      <c r="AK155" s="16">
        <f t="shared" si="24"/>
        <v>0</v>
      </c>
      <c r="AL155" s="16">
        <f t="shared" si="27"/>
        <v>0</v>
      </c>
      <c r="AM155" s="16">
        <f t="shared" si="28"/>
        <v>0</v>
      </c>
      <c r="AN155" s="16">
        <f>IF(LCOE!J$14&gt;0,G155,H155)/AG155</f>
        <v>0</v>
      </c>
    </row>
    <row r="156" spans="1:40">
      <c r="A156">
        <v>86</v>
      </c>
      <c r="C156" s="16">
        <f>LCOE!J182+IF(AND(LCOE!J$26&gt;0,A156&gt;=LCOE!J$26,A156&lt;=(LCOE!J$26+LCOE!J$27-1)),LCOE!J$42/LCOE!J$27,0)+IF(AND(D156=0,AE156&gt;=LCOE!J$16,COUNTIF(D131:D156,0)=LCOE!J$36),LCOE!J$35*LCOE!J$38,0)</f>
        <v>0</v>
      </c>
      <c r="D156" s="16">
        <f>IF(AE155&lt;LCOE!J$16,1,0)</f>
        <v>0</v>
      </c>
      <c r="E156" s="12">
        <f>LCOE!G182+IF(AND(A156&gt;=LCOE!J$26,A156&lt;=(LCOE!J$26+LCOE!J$27-1)),0,1)*IF(A156=LCOE!J$34,0,1)*D156</f>
        <v>0</v>
      </c>
      <c r="F156" s="12">
        <f>IF(F155&lt;LCOE!J$18,MIN(F155*(1+LCOE!J$19),LCOE!J$18),LCOE!J$18)+LCOE!J182</f>
        <v>0.9</v>
      </c>
      <c r="G156" s="16">
        <f>LCOE!K182+E156*F156*N156*(LCOE!J$14+LCOE!H182)*24*365*D156</f>
        <v>0</v>
      </c>
      <c r="H156" s="16">
        <f>LCOE!L182+F156*(LCOE!J$15+LCOE!I182)*E156*24*365*D156*N156</f>
        <v>0</v>
      </c>
      <c r="I156" s="16">
        <f>LCOE!M182+LCOE!J$20*IF(LCOE!J$14&gt;0,(LCOE!J$14+LCOE!H182),(LCOE!J$15+LCOE!I182))*K156*D156</f>
        <v>0</v>
      </c>
      <c r="J156" s="16">
        <f>LCOE!N182+LCOE!J$21*IF(LCOE!J$14&gt;0,G156,H156)*K156*D156</f>
        <v>0</v>
      </c>
      <c r="K156" s="15">
        <f>LCOE!O182+K155+K155*LCOE!J$22</f>
        <v>1</v>
      </c>
      <c r="L156" s="16">
        <f>LCOE!P182+LCOE!J$23*IF(LCOE!J$14&gt;0,G156,H156)*M156*D156</f>
        <v>0</v>
      </c>
      <c r="M156" s="15">
        <f>LCOE!Q182+M155+M155*LCOE!J$24</f>
        <v>1</v>
      </c>
      <c r="N156" s="15">
        <f>LCOE!R182+N155-N155*LCOE!J$25</f>
        <v>1</v>
      </c>
      <c r="O156" s="18">
        <f>LCOE!S182+LCOE!J$29</f>
        <v>313.75</v>
      </c>
      <c r="P156" s="12">
        <f>LCOE!T182+IF(A156&gt;=LCOE!J$30,100%,0%)</f>
        <v>1</v>
      </c>
      <c r="Q156" s="16">
        <f>LCOE!U182+O156/1000*IF(LCOE!J$14&gt;0,G156,H156)</f>
        <v>0</v>
      </c>
      <c r="R156" s="16">
        <f>LCOE!B182</f>
        <v>30</v>
      </c>
      <c r="S156" s="16">
        <f>LCOE!V182+Q156*P156*R156</f>
        <v>0</v>
      </c>
      <c r="T156" s="16">
        <f>LCOE!W182+LCOE!J$31</f>
        <v>0</v>
      </c>
      <c r="U156" s="16">
        <f>LCOE!X182+T156*IF(LCOE!J$14&gt;0,G156,H156)</f>
        <v>0</v>
      </c>
      <c r="V156" s="16">
        <f>LCOE!Y182+LCOE!J$32</f>
        <v>0</v>
      </c>
      <c r="W156" s="16">
        <f>LCOE!Z182+V156*IF(LCOE!J$14&gt;0,G156,H156)</f>
        <v>0</v>
      </c>
      <c r="X156" s="16">
        <f>LCOE!AA182+LCOE!J$34</f>
        <v>101</v>
      </c>
      <c r="Y156" s="16">
        <f t="shared" si="29"/>
        <v>0</v>
      </c>
      <c r="Z156" s="50">
        <f t="shared" si="32"/>
        <v>0</v>
      </c>
      <c r="AA156" s="50">
        <f t="shared" si="33"/>
        <v>0</v>
      </c>
      <c r="AB156" s="50">
        <f t="shared" si="34"/>
        <v>0</v>
      </c>
      <c r="AC156" s="50">
        <f t="shared" si="30"/>
        <v>0</v>
      </c>
      <c r="AD156" s="50">
        <f t="shared" si="25"/>
        <v>0</v>
      </c>
      <c r="AE156">
        <f t="shared" si="31"/>
        <v>30</v>
      </c>
      <c r="AF156" s="12">
        <f>LCOE!E182+LCOE!J$40</f>
        <v>0.12</v>
      </c>
      <c r="AG156">
        <f t="shared" si="26"/>
        <v>17090.310362219385</v>
      </c>
      <c r="AH156" s="16">
        <f t="shared" si="21"/>
        <v>0</v>
      </c>
      <c r="AI156" s="16">
        <f t="shared" si="22"/>
        <v>0</v>
      </c>
      <c r="AJ156" s="16">
        <f t="shared" si="23"/>
        <v>0</v>
      </c>
      <c r="AK156" s="16">
        <f t="shared" si="24"/>
        <v>0</v>
      </c>
      <c r="AL156" s="16">
        <f t="shared" si="27"/>
        <v>0</v>
      </c>
      <c r="AM156" s="16">
        <f t="shared" si="28"/>
        <v>0</v>
      </c>
      <c r="AN156" s="16">
        <f>IF(LCOE!J$14&gt;0,G156,H156)/AG156</f>
        <v>0</v>
      </c>
    </row>
    <row r="157" spans="1:40">
      <c r="A157">
        <v>87</v>
      </c>
      <c r="C157" s="16">
        <f>LCOE!J183+IF(AND(LCOE!J$26&gt;0,A157&gt;=LCOE!J$26,A157&lt;=(LCOE!J$26+LCOE!J$27-1)),LCOE!J$42/LCOE!J$27,0)+IF(AND(D157=0,AE157&gt;=LCOE!J$16,COUNTIF(D132:D157,0)=LCOE!J$36),LCOE!J$35*LCOE!J$38,0)</f>
        <v>0</v>
      </c>
      <c r="D157" s="16">
        <f>IF(AE156&lt;LCOE!J$16,1,0)</f>
        <v>0</v>
      </c>
      <c r="E157" s="12">
        <f>LCOE!G183+IF(AND(A157&gt;=LCOE!J$26,A157&lt;=(LCOE!J$26+LCOE!J$27-1)),0,1)*IF(A157=LCOE!J$34,0,1)*D157</f>
        <v>0</v>
      </c>
      <c r="F157" s="12">
        <f>IF(F156&lt;LCOE!J$18,MIN(F156*(1+LCOE!J$19),LCOE!J$18),LCOE!J$18)+LCOE!J183</f>
        <v>0.9</v>
      </c>
      <c r="G157" s="16">
        <f>LCOE!K183+E157*F157*N157*(LCOE!J$14+LCOE!H183)*24*365*D157</f>
        <v>0</v>
      </c>
      <c r="H157" s="16">
        <f>LCOE!L183+F157*(LCOE!J$15+LCOE!I183)*E157*24*365*D157*N157</f>
        <v>0</v>
      </c>
      <c r="I157" s="16">
        <f>LCOE!M183+LCOE!J$20*IF(LCOE!J$14&gt;0,(LCOE!J$14+LCOE!H183),(LCOE!J$15+LCOE!I183))*K157*D157</f>
        <v>0</v>
      </c>
      <c r="J157" s="16">
        <f>LCOE!N183+LCOE!J$21*IF(LCOE!J$14&gt;0,G157,H157)*K157*D157</f>
        <v>0</v>
      </c>
      <c r="K157" s="15">
        <f>LCOE!O183+K156+K156*LCOE!J$22</f>
        <v>1</v>
      </c>
      <c r="L157" s="16">
        <f>LCOE!P183+LCOE!J$23*IF(LCOE!J$14&gt;0,G157,H157)*M157*D157</f>
        <v>0</v>
      </c>
      <c r="M157" s="15">
        <f>LCOE!Q183+M156+M156*LCOE!J$24</f>
        <v>1</v>
      </c>
      <c r="N157" s="15">
        <f>LCOE!R183+N156-N156*LCOE!J$25</f>
        <v>1</v>
      </c>
      <c r="O157" s="18">
        <f>LCOE!S183+LCOE!J$29</f>
        <v>313.75</v>
      </c>
      <c r="P157" s="12">
        <f>LCOE!T183+IF(A157&gt;=LCOE!J$30,100%,0%)</f>
        <v>1</v>
      </c>
      <c r="Q157" s="16">
        <f>LCOE!U183+O157/1000*IF(LCOE!J$14&gt;0,G157,H157)</f>
        <v>0</v>
      </c>
      <c r="R157" s="16">
        <f>LCOE!B183</f>
        <v>30</v>
      </c>
      <c r="S157" s="16">
        <f>LCOE!V183+Q157*P157*R157</f>
        <v>0</v>
      </c>
      <c r="T157" s="16">
        <f>LCOE!W183+LCOE!J$31</f>
        <v>0</v>
      </c>
      <c r="U157" s="16">
        <f>LCOE!X183+T157*IF(LCOE!J$14&gt;0,G157,H157)</f>
        <v>0</v>
      </c>
      <c r="V157" s="16">
        <f>LCOE!Y183+LCOE!J$32</f>
        <v>0</v>
      </c>
      <c r="W157" s="16">
        <f>LCOE!Z183+V157*IF(LCOE!J$14&gt;0,G157,H157)</f>
        <v>0</v>
      </c>
      <c r="X157" s="16">
        <f>LCOE!AA183+LCOE!J$34</f>
        <v>101</v>
      </c>
      <c r="Y157" s="16">
        <f t="shared" si="29"/>
        <v>0</v>
      </c>
      <c r="Z157" s="50">
        <f t="shared" si="32"/>
        <v>0</v>
      </c>
      <c r="AA157" s="50">
        <f t="shared" si="33"/>
        <v>0</v>
      </c>
      <c r="AB157" s="50">
        <f t="shared" si="34"/>
        <v>0</v>
      </c>
      <c r="AC157" s="50">
        <f t="shared" si="30"/>
        <v>0</v>
      </c>
      <c r="AD157" s="50">
        <f t="shared" si="25"/>
        <v>0</v>
      </c>
      <c r="AE157">
        <f t="shared" si="31"/>
        <v>30</v>
      </c>
      <c r="AF157" s="12">
        <f>LCOE!E183+LCOE!J$40</f>
        <v>0.12</v>
      </c>
      <c r="AG157">
        <f t="shared" si="26"/>
        <v>19141.14760568571</v>
      </c>
      <c r="AH157" s="16">
        <f t="shared" si="21"/>
        <v>0</v>
      </c>
      <c r="AI157" s="16">
        <f t="shared" si="22"/>
        <v>0</v>
      </c>
      <c r="AJ157" s="16">
        <f t="shared" si="23"/>
        <v>0</v>
      </c>
      <c r="AK157" s="16">
        <f t="shared" si="24"/>
        <v>0</v>
      </c>
      <c r="AL157" s="16">
        <f t="shared" si="27"/>
        <v>0</v>
      </c>
      <c r="AM157" s="16">
        <f t="shared" si="28"/>
        <v>0</v>
      </c>
      <c r="AN157" s="16">
        <f>IF(LCOE!J$14&gt;0,G157,H157)/AG157</f>
        <v>0</v>
      </c>
    </row>
    <row r="158" spans="1:40">
      <c r="A158">
        <v>88</v>
      </c>
      <c r="C158" s="16">
        <f>LCOE!J184+IF(AND(LCOE!J$26&gt;0,A158&gt;=LCOE!J$26,A158&lt;=(LCOE!J$26+LCOE!J$27-1)),LCOE!J$42/LCOE!J$27,0)+IF(AND(D158=0,AE158&gt;=LCOE!J$16,COUNTIF(D133:D158,0)=LCOE!J$36),LCOE!J$35*LCOE!J$38,0)</f>
        <v>0</v>
      </c>
      <c r="D158" s="16">
        <f>IF(AE157&lt;LCOE!J$16,1,0)</f>
        <v>0</v>
      </c>
      <c r="E158" s="12">
        <f>LCOE!G184+IF(AND(A158&gt;=LCOE!J$26,A158&lt;=(LCOE!J$26+LCOE!J$27-1)),0,1)*IF(A158=LCOE!J$34,0,1)*D158</f>
        <v>0</v>
      </c>
      <c r="F158" s="12">
        <f>IF(F157&lt;LCOE!J$18,MIN(F157*(1+LCOE!J$19),LCOE!J$18),LCOE!J$18)+LCOE!J184</f>
        <v>0.9</v>
      </c>
      <c r="G158" s="16">
        <f>LCOE!K184+E158*F158*N158*(LCOE!J$14+LCOE!H184)*24*365*D158</f>
        <v>0</v>
      </c>
      <c r="H158" s="16">
        <f>LCOE!L184+F158*(LCOE!J$15+LCOE!I184)*E158*24*365*D158*N158</f>
        <v>0</v>
      </c>
      <c r="I158" s="16">
        <f>LCOE!M184+LCOE!J$20*IF(LCOE!J$14&gt;0,(LCOE!J$14+LCOE!H184),(LCOE!J$15+LCOE!I184))*K158*D158</f>
        <v>0</v>
      </c>
      <c r="J158" s="16">
        <f>LCOE!N184+LCOE!J$21*IF(LCOE!J$14&gt;0,G158,H158)*K158*D158</f>
        <v>0</v>
      </c>
      <c r="K158" s="15">
        <f>LCOE!O184+K157+K157*LCOE!J$22</f>
        <v>1</v>
      </c>
      <c r="L158" s="16">
        <f>LCOE!P184+LCOE!J$23*IF(LCOE!J$14&gt;0,G158,H158)*M158*D158</f>
        <v>0</v>
      </c>
      <c r="M158" s="15">
        <f>LCOE!Q184+M157+M157*LCOE!J$24</f>
        <v>1</v>
      </c>
      <c r="N158" s="15">
        <f>LCOE!R184+N157-N157*LCOE!J$25</f>
        <v>1</v>
      </c>
      <c r="O158" s="18">
        <f>LCOE!S184+LCOE!J$29</f>
        <v>313.75</v>
      </c>
      <c r="P158" s="12">
        <f>LCOE!T184+IF(A158&gt;=LCOE!J$30,100%,0%)</f>
        <v>1</v>
      </c>
      <c r="Q158" s="16">
        <f>LCOE!U184+O158/1000*IF(LCOE!J$14&gt;0,G158,H158)</f>
        <v>0</v>
      </c>
      <c r="R158" s="16">
        <f>LCOE!B184</f>
        <v>30</v>
      </c>
      <c r="S158" s="16">
        <f>LCOE!V184+Q158*P158*R158</f>
        <v>0</v>
      </c>
      <c r="T158" s="16">
        <f>LCOE!W184+LCOE!J$31</f>
        <v>0</v>
      </c>
      <c r="U158" s="16">
        <f>LCOE!X184+T158*IF(LCOE!J$14&gt;0,G158,H158)</f>
        <v>0</v>
      </c>
      <c r="V158" s="16">
        <f>LCOE!Y184+LCOE!J$32</f>
        <v>0</v>
      </c>
      <c r="W158" s="16">
        <f>LCOE!Z184+V158*IF(LCOE!J$14&gt;0,G158,H158)</f>
        <v>0</v>
      </c>
      <c r="X158" s="16">
        <f>LCOE!AA184+LCOE!J$34</f>
        <v>101</v>
      </c>
      <c r="Y158" s="16">
        <f t="shared" si="29"/>
        <v>0</v>
      </c>
      <c r="Z158" s="50">
        <f t="shared" si="32"/>
        <v>0</v>
      </c>
      <c r="AA158" s="50">
        <f t="shared" si="33"/>
        <v>0</v>
      </c>
      <c r="AB158" s="50">
        <f t="shared" si="34"/>
        <v>0</v>
      </c>
      <c r="AC158" s="50">
        <f t="shared" si="30"/>
        <v>0</v>
      </c>
      <c r="AD158" s="50">
        <f t="shared" si="25"/>
        <v>0</v>
      </c>
      <c r="AE158">
        <f t="shared" si="31"/>
        <v>30</v>
      </c>
      <c r="AF158" s="12">
        <f>LCOE!E184+LCOE!J$40</f>
        <v>0.12</v>
      </c>
      <c r="AG158">
        <f t="shared" si="26"/>
        <v>21438.085318367997</v>
      </c>
      <c r="AH158" s="16">
        <f t="shared" si="21"/>
        <v>0</v>
      </c>
      <c r="AI158" s="16">
        <f t="shared" si="22"/>
        <v>0</v>
      </c>
      <c r="AJ158" s="16">
        <f t="shared" si="23"/>
        <v>0</v>
      </c>
      <c r="AK158" s="16">
        <f t="shared" si="24"/>
        <v>0</v>
      </c>
      <c r="AL158" s="16">
        <f t="shared" si="27"/>
        <v>0</v>
      </c>
      <c r="AM158" s="16">
        <f t="shared" si="28"/>
        <v>0</v>
      </c>
      <c r="AN158" s="16">
        <f>IF(LCOE!J$14&gt;0,G158,H158)/AG158</f>
        <v>0</v>
      </c>
    </row>
    <row r="159" spans="1:40">
      <c r="A159">
        <v>89</v>
      </c>
      <c r="C159" s="16">
        <f>LCOE!J185+IF(AND(LCOE!J$26&gt;0,A159&gt;=LCOE!J$26,A159&lt;=(LCOE!J$26+LCOE!J$27-1)),LCOE!J$42/LCOE!J$27,0)+IF(AND(D159=0,AE159&gt;=LCOE!J$16,COUNTIF(D134:D159,0)=LCOE!J$36),LCOE!J$35*LCOE!J$38,0)</f>
        <v>0</v>
      </c>
      <c r="D159" s="16">
        <f>IF(AE158&lt;LCOE!J$16,1,0)</f>
        <v>0</v>
      </c>
      <c r="E159" s="12">
        <f>LCOE!G185+IF(AND(A159&gt;=LCOE!J$26,A159&lt;=(LCOE!J$26+LCOE!J$27-1)),0,1)*IF(A159=LCOE!J$34,0,1)*D159</f>
        <v>0</v>
      </c>
      <c r="F159" s="12">
        <f>IF(F158&lt;LCOE!J$18,MIN(F158*(1+LCOE!J$19),LCOE!J$18),LCOE!J$18)+LCOE!J185</f>
        <v>0.9</v>
      </c>
      <c r="G159" s="16">
        <f>LCOE!K185+E159*F159*N159*(LCOE!J$14+LCOE!H185)*24*365*D159</f>
        <v>0</v>
      </c>
      <c r="H159" s="16">
        <f>LCOE!L185+F159*(LCOE!J$15+LCOE!I185)*E159*24*365*D159*N159</f>
        <v>0</v>
      </c>
      <c r="I159" s="16">
        <f>LCOE!M185+LCOE!J$20*IF(LCOE!J$14&gt;0,(LCOE!J$14+LCOE!H185),(LCOE!J$15+LCOE!I185))*K159*D159</f>
        <v>0</v>
      </c>
      <c r="J159" s="16">
        <f>LCOE!N185+LCOE!J$21*IF(LCOE!J$14&gt;0,G159,H159)*K159*D159</f>
        <v>0</v>
      </c>
      <c r="K159" s="15">
        <f>LCOE!O185+K158+K158*LCOE!J$22</f>
        <v>1</v>
      </c>
      <c r="L159" s="16">
        <f>LCOE!P185+LCOE!J$23*IF(LCOE!J$14&gt;0,G159,H159)*M159*D159</f>
        <v>0</v>
      </c>
      <c r="M159" s="15">
        <f>LCOE!Q185+M158+M158*LCOE!J$24</f>
        <v>1</v>
      </c>
      <c r="N159" s="15">
        <f>LCOE!R185+N158-N158*LCOE!J$25</f>
        <v>1</v>
      </c>
      <c r="O159" s="18">
        <f>LCOE!S185+LCOE!J$29</f>
        <v>313.75</v>
      </c>
      <c r="P159" s="12">
        <f>LCOE!T185+IF(A159&gt;=LCOE!J$30,100%,0%)</f>
        <v>1</v>
      </c>
      <c r="Q159" s="16">
        <f>LCOE!U185+O159/1000*IF(LCOE!J$14&gt;0,G159,H159)</f>
        <v>0</v>
      </c>
      <c r="R159" s="16">
        <f>LCOE!B185</f>
        <v>30</v>
      </c>
      <c r="S159" s="16">
        <f>LCOE!V185+Q159*P159*R159</f>
        <v>0</v>
      </c>
      <c r="T159" s="16">
        <f>LCOE!W185+LCOE!J$31</f>
        <v>0</v>
      </c>
      <c r="U159" s="16">
        <f>LCOE!X185+T159*IF(LCOE!J$14&gt;0,G159,H159)</f>
        <v>0</v>
      </c>
      <c r="V159" s="16">
        <f>LCOE!Y185+LCOE!J$32</f>
        <v>0</v>
      </c>
      <c r="W159" s="16">
        <f>LCOE!Z185+V159*IF(LCOE!J$14&gt;0,G159,H159)</f>
        <v>0</v>
      </c>
      <c r="X159" s="16">
        <f>LCOE!AA185+LCOE!J$34</f>
        <v>101</v>
      </c>
      <c r="Y159" s="16">
        <f t="shared" si="29"/>
        <v>0</v>
      </c>
      <c r="Z159" s="50">
        <f t="shared" si="32"/>
        <v>0</v>
      </c>
      <c r="AA159" s="50">
        <f t="shared" si="33"/>
        <v>0</v>
      </c>
      <c r="AB159" s="50">
        <f t="shared" si="34"/>
        <v>0</v>
      </c>
      <c r="AC159" s="50">
        <f t="shared" si="30"/>
        <v>0</v>
      </c>
      <c r="AD159" s="50">
        <f t="shared" si="25"/>
        <v>0</v>
      </c>
      <c r="AE159">
        <f t="shared" si="31"/>
        <v>30</v>
      </c>
      <c r="AF159" s="12">
        <f>LCOE!E185+LCOE!J$40</f>
        <v>0.12</v>
      </c>
      <c r="AG159">
        <f t="shared" si="26"/>
        <v>24010.655556572161</v>
      </c>
      <c r="AH159" s="16">
        <f t="shared" si="21"/>
        <v>0</v>
      </c>
      <c r="AI159" s="16">
        <f t="shared" si="22"/>
        <v>0</v>
      </c>
      <c r="AJ159" s="16">
        <f t="shared" si="23"/>
        <v>0</v>
      </c>
      <c r="AK159" s="16">
        <f t="shared" si="24"/>
        <v>0</v>
      </c>
      <c r="AL159" s="16">
        <f t="shared" si="27"/>
        <v>0</v>
      </c>
      <c r="AM159" s="16">
        <f t="shared" si="28"/>
        <v>0</v>
      </c>
      <c r="AN159" s="16">
        <f>IF(LCOE!J$14&gt;0,G159,H159)/AG159</f>
        <v>0</v>
      </c>
    </row>
    <row r="160" spans="1:40">
      <c r="A160">
        <v>90</v>
      </c>
      <c r="C160" s="16">
        <f>LCOE!J186+IF(AND(LCOE!J$26&gt;0,A160&gt;=LCOE!J$26,A160&lt;=(LCOE!J$26+LCOE!J$27-1)),LCOE!J$42/LCOE!J$27,0)+IF(AND(D160=0,AE160&gt;=LCOE!J$16,COUNTIF(D135:D160,0)=LCOE!J$36),LCOE!J$35*LCOE!J$38,0)</f>
        <v>0</v>
      </c>
      <c r="D160" s="16">
        <f>IF(AE159&lt;LCOE!J$16,1,0)</f>
        <v>0</v>
      </c>
      <c r="E160" s="12">
        <f>LCOE!G186+IF(AND(A160&gt;=LCOE!J$26,A160&lt;=(LCOE!J$26+LCOE!J$27-1)),0,1)*IF(A160=LCOE!J$34,0,1)*D160</f>
        <v>0</v>
      </c>
      <c r="F160" s="12">
        <f>IF(F159&lt;LCOE!J$18,MIN(F159*(1+LCOE!J$19),LCOE!J$18),LCOE!J$18)+LCOE!J186</f>
        <v>0.9</v>
      </c>
      <c r="G160" s="16">
        <f>LCOE!K186+E160*F160*N160*(LCOE!J$14+LCOE!H186)*24*365*D160</f>
        <v>0</v>
      </c>
      <c r="H160" s="16">
        <f>LCOE!L186+F160*(LCOE!J$15+LCOE!I186)*E160*24*365*D160*N160</f>
        <v>0</v>
      </c>
      <c r="I160" s="16">
        <f>LCOE!M186+LCOE!J$20*IF(LCOE!J$14&gt;0,(LCOE!J$14+LCOE!H186),(LCOE!J$15+LCOE!I186))*K160*D160</f>
        <v>0</v>
      </c>
      <c r="J160" s="16">
        <f>LCOE!N186+LCOE!J$21*IF(LCOE!J$14&gt;0,G160,H160)*K160*D160</f>
        <v>0</v>
      </c>
      <c r="K160" s="15">
        <f>LCOE!O186+K159+K159*LCOE!J$22</f>
        <v>1</v>
      </c>
      <c r="L160" s="16">
        <f>LCOE!P186+LCOE!J$23*IF(LCOE!J$14&gt;0,G160,H160)*M160*D160</f>
        <v>0</v>
      </c>
      <c r="M160" s="15">
        <f>LCOE!Q186+M159+M159*LCOE!J$24</f>
        <v>1</v>
      </c>
      <c r="N160" s="15">
        <f>LCOE!R186+N159-N159*LCOE!J$25</f>
        <v>1</v>
      </c>
      <c r="O160" s="18">
        <f>LCOE!S186+LCOE!J$29</f>
        <v>313.75</v>
      </c>
      <c r="P160" s="12">
        <f>LCOE!T186+IF(A160&gt;=LCOE!J$30,100%,0%)</f>
        <v>1</v>
      </c>
      <c r="Q160" s="16">
        <f>LCOE!U186+O160/1000*IF(LCOE!J$14&gt;0,G160,H160)</f>
        <v>0</v>
      </c>
      <c r="R160" s="16">
        <f>LCOE!B186</f>
        <v>30</v>
      </c>
      <c r="S160" s="16">
        <f>LCOE!V186+Q160*P160*R160</f>
        <v>0</v>
      </c>
      <c r="T160" s="16">
        <f>LCOE!W186+LCOE!J$31</f>
        <v>0</v>
      </c>
      <c r="U160" s="16">
        <f>LCOE!X186+T160*IF(LCOE!J$14&gt;0,G160,H160)</f>
        <v>0</v>
      </c>
      <c r="V160" s="16">
        <f>LCOE!Y186+LCOE!J$32</f>
        <v>0</v>
      </c>
      <c r="W160" s="16">
        <f>LCOE!Z186+V160*IF(LCOE!J$14&gt;0,G160,H160)</f>
        <v>0</v>
      </c>
      <c r="X160" s="16">
        <f>LCOE!AA186+LCOE!J$34</f>
        <v>101</v>
      </c>
      <c r="Y160" s="16">
        <f t="shared" si="29"/>
        <v>0</v>
      </c>
      <c r="Z160" s="50">
        <f t="shared" si="32"/>
        <v>0</v>
      </c>
      <c r="AA160" s="50">
        <f t="shared" si="33"/>
        <v>0</v>
      </c>
      <c r="AB160" s="50">
        <f t="shared" si="34"/>
        <v>0</v>
      </c>
      <c r="AC160" s="50">
        <f t="shared" si="30"/>
        <v>0</v>
      </c>
      <c r="AD160" s="50">
        <f t="shared" si="25"/>
        <v>0</v>
      </c>
      <c r="AE160">
        <f t="shared" si="31"/>
        <v>30</v>
      </c>
      <c r="AF160" s="12">
        <f>LCOE!E186+LCOE!J$40</f>
        <v>0.12</v>
      </c>
      <c r="AG160">
        <f t="shared" si="26"/>
        <v>26891.934223360819</v>
      </c>
      <c r="AH160" s="16">
        <f t="shared" si="21"/>
        <v>0</v>
      </c>
      <c r="AI160" s="16">
        <f t="shared" si="22"/>
        <v>0</v>
      </c>
      <c r="AJ160" s="16">
        <f t="shared" si="23"/>
        <v>0</v>
      </c>
      <c r="AK160" s="16">
        <f t="shared" si="24"/>
        <v>0</v>
      </c>
      <c r="AL160" s="16">
        <f t="shared" si="27"/>
        <v>0</v>
      </c>
      <c r="AM160" s="16">
        <f t="shared" si="28"/>
        <v>0</v>
      </c>
      <c r="AN160" s="16">
        <f>IF(LCOE!J$14&gt;0,G160,H160)/AG160</f>
        <v>0</v>
      </c>
    </row>
    <row r="161" spans="1:40">
      <c r="A161">
        <v>91</v>
      </c>
      <c r="C161" s="16">
        <f>LCOE!J187+IF(AND(LCOE!J$26&gt;0,A161&gt;=LCOE!J$26,A161&lt;=(LCOE!J$26+LCOE!J$27-1)),LCOE!J$42/LCOE!J$27,0)+IF(AND(D161=0,AE161&gt;=LCOE!J$16,COUNTIF(D136:D161,0)=LCOE!J$36),LCOE!J$35*LCOE!J$38,0)</f>
        <v>0</v>
      </c>
      <c r="D161" s="16">
        <f>IF(AE160&lt;LCOE!J$16,1,0)</f>
        <v>0</v>
      </c>
      <c r="E161" s="12">
        <f>LCOE!G187+IF(AND(A161&gt;=LCOE!J$26,A161&lt;=(LCOE!J$26+LCOE!J$27-1)),0,1)*IF(A161=LCOE!J$34,0,1)*D161</f>
        <v>0</v>
      </c>
      <c r="F161" s="12">
        <f>IF(F160&lt;LCOE!J$18,MIN(F160*(1+LCOE!J$19),LCOE!J$18),LCOE!J$18)+LCOE!J187</f>
        <v>0.9</v>
      </c>
      <c r="G161" s="16">
        <f>LCOE!K187+E161*F161*N161*(LCOE!J$14+LCOE!H187)*24*365*D161</f>
        <v>0</v>
      </c>
      <c r="H161" s="16">
        <f>LCOE!L187+F161*(LCOE!J$15+LCOE!I187)*E161*24*365*D161*N161</f>
        <v>0</v>
      </c>
      <c r="I161" s="16">
        <f>LCOE!M187+LCOE!J$20*IF(LCOE!J$14&gt;0,(LCOE!J$14+LCOE!H187),(LCOE!J$15+LCOE!I187))*K161*D161</f>
        <v>0</v>
      </c>
      <c r="J161" s="16">
        <f>LCOE!N187+LCOE!J$21*IF(LCOE!J$14&gt;0,G161,H161)*K161*D161</f>
        <v>0</v>
      </c>
      <c r="K161" s="15">
        <f>LCOE!O187+K160+K160*LCOE!J$22</f>
        <v>1</v>
      </c>
      <c r="L161" s="16">
        <f>LCOE!P187+LCOE!J$23*IF(LCOE!J$14&gt;0,G161,H161)*M161*D161</f>
        <v>0</v>
      </c>
      <c r="M161" s="15">
        <f>LCOE!Q187+M160+M160*LCOE!J$24</f>
        <v>1</v>
      </c>
      <c r="N161" s="15">
        <f>LCOE!R187+N160-N160*LCOE!J$25</f>
        <v>1</v>
      </c>
      <c r="O161" s="18">
        <f>LCOE!S187+LCOE!J$29</f>
        <v>313.75</v>
      </c>
      <c r="P161" s="12">
        <f>LCOE!T187+IF(A161&gt;=LCOE!J$30,100%,0%)</f>
        <v>1</v>
      </c>
      <c r="Q161" s="16">
        <f>LCOE!U187+O161/1000*IF(LCOE!J$14&gt;0,G161,H161)</f>
        <v>0</v>
      </c>
      <c r="R161" s="16">
        <f>LCOE!B187</f>
        <v>30</v>
      </c>
      <c r="S161" s="16">
        <f>LCOE!V187+Q161*P161*R161</f>
        <v>0</v>
      </c>
      <c r="T161" s="16">
        <f>LCOE!W187+LCOE!J$31</f>
        <v>0</v>
      </c>
      <c r="U161" s="16">
        <f>LCOE!X187+T161*IF(LCOE!J$14&gt;0,G161,H161)</f>
        <v>0</v>
      </c>
      <c r="V161" s="16">
        <f>LCOE!Y187+LCOE!J$32</f>
        <v>0</v>
      </c>
      <c r="W161" s="16">
        <f>LCOE!Z187+V161*IF(LCOE!J$14&gt;0,G161,H161)</f>
        <v>0</v>
      </c>
      <c r="X161" s="16">
        <f>LCOE!AA187+LCOE!J$34</f>
        <v>101</v>
      </c>
      <c r="Y161" s="16">
        <f t="shared" si="29"/>
        <v>0</v>
      </c>
      <c r="Z161" s="50">
        <f t="shared" si="32"/>
        <v>0</v>
      </c>
      <c r="AA161" s="50">
        <f t="shared" si="33"/>
        <v>0</v>
      </c>
      <c r="AB161" s="50">
        <f t="shared" si="34"/>
        <v>0</v>
      </c>
      <c r="AC161" s="50">
        <f t="shared" si="30"/>
        <v>0</v>
      </c>
      <c r="AD161" s="50">
        <f t="shared" si="25"/>
        <v>0</v>
      </c>
      <c r="AE161">
        <f t="shared" si="31"/>
        <v>30</v>
      </c>
      <c r="AF161" s="12">
        <f>LCOE!E187+LCOE!J$40</f>
        <v>0.12</v>
      </c>
      <c r="AG161">
        <f t="shared" si="26"/>
        <v>30118.966330164123</v>
      </c>
      <c r="AH161" s="16">
        <f t="shared" si="21"/>
        <v>0</v>
      </c>
      <c r="AI161" s="16">
        <f t="shared" si="22"/>
        <v>0</v>
      </c>
      <c r="AJ161" s="16">
        <f t="shared" si="23"/>
        <v>0</v>
      </c>
      <c r="AK161" s="16">
        <f t="shared" si="24"/>
        <v>0</v>
      </c>
      <c r="AL161" s="16">
        <f t="shared" si="27"/>
        <v>0</v>
      </c>
      <c r="AM161" s="16">
        <f t="shared" si="28"/>
        <v>0</v>
      </c>
      <c r="AN161" s="16">
        <f>IF(LCOE!J$14&gt;0,G161,H161)/AG161</f>
        <v>0</v>
      </c>
    </row>
    <row r="162" spans="1:40">
      <c r="A162">
        <v>92</v>
      </c>
      <c r="C162" s="16">
        <f>LCOE!J188+IF(AND(LCOE!J$26&gt;0,A162&gt;=LCOE!J$26,A162&lt;=(LCOE!J$26+LCOE!J$27-1)),LCOE!J$42/LCOE!J$27,0)+IF(AND(D162=0,AE162&gt;=LCOE!J$16,COUNTIF(D137:D162,0)=LCOE!J$36),LCOE!J$35*LCOE!J$38,0)</f>
        <v>0</v>
      </c>
      <c r="D162" s="16">
        <f>IF(AE161&lt;LCOE!J$16,1,0)</f>
        <v>0</v>
      </c>
      <c r="E162" s="12">
        <f>LCOE!G188+IF(AND(A162&gt;=LCOE!J$26,A162&lt;=(LCOE!J$26+LCOE!J$27-1)),0,1)*IF(A162=LCOE!J$34,0,1)*D162</f>
        <v>0</v>
      </c>
      <c r="F162" s="12">
        <f>IF(F161&lt;LCOE!J$18,MIN(F161*(1+LCOE!J$19),LCOE!J$18),LCOE!J$18)+LCOE!J188</f>
        <v>0.9</v>
      </c>
      <c r="G162" s="16">
        <f>LCOE!K188+E162*F162*N162*(LCOE!J$14+LCOE!H188)*24*365*D162</f>
        <v>0</v>
      </c>
      <c r="H162" s="16">
        <f>LCOE!L188+F162*(LCOE!J$15+LCOE!I188)*E162*24*365*D162*N162</f>
        <v>0</v>
      </c>
      <c r="I162" s="16">
        <f>LCOE!M188+LCOE!J$20*IF(LCOE!J$14&gt;0,(LCOE!J$14+LCOE!H188),(LCOE!J$15+LCOE!I188))*K162*D162</f>
        <v>0</v>
      </c>
      <c r="J162" s="16">
        <f>LCOE!N188+LCOE!J$21*IF(LCOE!J$14&gt;0,G162,H162)*K162*D162</f>
        <v>0</v>
      </c>
      <c r="K162" s="15">
        <f>LCOE!O188+K161+K161*LCOE!J$22</f>
        <v>1</v>
      </c>
      <c r="L162" s="16">
        <f>LCOE!P188+LCOE!J$23*IF(LCOE!J$14&gt;0,G162,H162)*M162*D162</f>
        <v>0</v>
      </c>
      <c r="M162" s="15">
        <f>LCOE!Q188+M161+M161*LCOE!J$24</f>
        <v>1</v>
      </c>
      <c r="N162" s="15">
        <f>LCOE!R188+N161-N161*LCOE!J$25</f>
        <v>1</v>
      </c>
      <c r="O162" s="18">
        <f>LCOE!S188+LCOE!J$29</f>
        <v>313.75</v>
      </c>
      <c r="P162" s="12">
        <f>LCOE!T188+IF(A162&gt;=LCOE!J$30,100%,0%)</f>
        <v>1</v>
      </c>
      <c r="Q162" s="16">
        <f>LCOE!U188+O162/1000*IF(LCOE!J$14&gt;0,G162,H162)</f>
        <v>0</v>
      </c>
      <c r="R162" s="16">
        <f>LCOE!B188</f>
        <v>30</v>
      </c>
      <c r="S162" s="16">
        <f>LCOE!V188+Q162*P162*R162</f>
        <v>0</v>
      </c>
      <c r="T162" s="16">
        <f>LCOE!W188+LCOE!J$31</f>
        <v>0</v>
      </c>
      <c r="U162" s="16">
        <f>LCOE!X188+T162*IF(LCOE!J$14&gt;0,G162,H162)</f>
        <v>0</v>
      </c>
      <c r="V162" s="16">
        <f>LCOE!Y188+LCOE!J$32</f>
        <v>0</v>
      </c>
      <c r="W162" s="16">
        <f>LCOE!Z188+V162*IF(LCOE!J$14&gt;0,G162,H162)</f>
        <v>0</v>
      </c>
      <c r="X162" s="16">
        <f>LCOE!AA188+LCOE!J$34</f>
        <v>101</v>
      </c>
      <c r="Y162" s="16">
        <f t="shared" si="29"/>
        <v>0</v>
      </c>
      <c r="Z162" s="50">
        <f t="shared" si="32"/>
        <v>0</v>
      </c>
      <c r="AA162" s="50">
        <f t="shared" si="33"/>
        <v>0</v>
      </c>
      <c r="AB162" s="50">
        <f t="shared" si="34"/>
        <v>0</v>
      </c>
      <c r="AC162" s="50">
        <f t="shared" si="30"/>
        <v>0</v>
      </c>
      <c r="AD162" s="50">
        <f t="shared" si="25"/>
        <v>0</v>
      </c>
      <c r="AE162">
        <f t="shared" si="31"/>
        <v>30</v>
      </c>
      <c r="AF162" s="12">
        <f>LCOE!E188+LCOE!J$40</f>
        <v>0.12</v>
      </c>
      <c r="AG162">
        <f t="shared" si="26"/>
        <v>33733.242289783819</v>
      </c>
      <c r="AH162" s="16">
        <f t="shared" si="21"/>
        <v>0</v>
      </c>
      <c r="AI162" s="16">
        <f t="shared" si="22"/>
        <v>0</v>
      </c>
      <c r="AJ162" s="16">
        <f t="shared" si="23"/>
        <v>0</v>
      </c>
      <c r="AK162" s="16">
        <f t="shared" si="24"/>
        <v>0</v>
      </c>
      <c r="AL162" s="16">
        <f t="shared" si="27"/>
        <v>0</v>
      </c>
      <c r="AM162" s="16">
        <f t="shared" si="28"/>
        <v>0</v>
      </c>
      <c r="AN162" s="16">
        <f>IF(LCOE!J$14&gt;0,G162,H162)/AG162</f>
        <v>0</v>
      </c>
    </row>
    <row r="163" spans="1:40">
      <c r="A163">
        <v>93</v>
      </c>
      <c r="C163" s="16">
        <f>LCOE!J189+IF(AND(LCOE!J$26&gt;0,A163&gt;=LCOE!J$26,A163&lt;=(LCOE!J$26+LCOE!J$27-1)),LCOE!J$42/LCOE!J$27,0)+IF(AND(D163=0,AE163&gt;=LCOE!J$16,COUNTIF(D138:D163,0)=LCOE!J$36),LCOE!J$35*LCOE!J$38,0)</f>
        <v>0</v>
      </c>
      <c r="D163" s="16">
        <f>IF(AE162&lt;LCOE!J$16,1,0)</f>
        <v>0</v>
      </c>
      <c r="E163" s="12">
        <f>LCOE!G189+IF(AND(A163&gt;=LCOE!J$26,A163&lt;=(LCOE!J$26+LCOE!J$27-1)),0,1)*IF(A163=LCOE!J$34,0,1)*D163</f>
        <v>0</v>
      </c>
      <c r="F163" s="12">
        <f>IF(F162&lt;LCOE!J$18,MIN(F162*(1+LCOE!J$19),LCOE!J$18),LCOE!J$18)+LCOE!J189</f>
        <v>0.9</v>
      </c>
      <c r="G163" s="16">
        <f>LCOE!K189+E163*F163*N163*(LCOE!J$14+LCOE!H189)*24*365*D163</f>
        <v>0</v>
      </c>
      <c r="H163" s="16">
        <f>LCOE!L189+F163*(LCOE!J$15+LCOE!I189)*E163*24*365*D163*N163</f>
        <v>0</v>
      </c>
      <c r="I163" s="16">
        <f>LCOE!M189+LCOE!J$20*IF(LCOE!J$14&gt;0,(LCOE!J$14+LCOE!H189),(LCOE!J$15+LCOE!I189))*K163*D163</f>
        <v>0</v>
      </c>
      <c r="J163" s="16">
        <f>LCOE!N189+LCOE!J$21*IF(LCOE!J$14&gt;0,G163,H163)*K163*D163</f>
        <v>0</v>
      </c>
      <c r="K163" s="15">
        <f>LCOE!O189+K162+K162*LCOE!J$22</f>
        <v>1</v>
      </c>
      <c r="L163" s="16">
        <f>LCOE!P189+LCOE!J$23*IF(LCOE!J$14&gt;0,G163,H163)*M163*D163</f>
        <v>0</v>
      </c>
      <c r="M163" s="15">
        <f>LCOE!Q189+M162+M162*LCOE!J$24</f>
        <v>1</v>
      </c>
      <c r="N163" s="15">
        <f>LCOE!R189+N162-N162*LCOE!J$25</f>
        <v>1</v>
      </c>
      <c r="O163" s="18">
        <f>LCOE!S189+LCOE!J$29</f>
        <v>313.75</v>
      </c>
      <c r="P163" s="12">
        <f>LCOE!T189+IF(A163&gt;=LCOE!J$30,100%,0%)</f>
        <v>1</v>
      </c>
      <c r="Q163" s="16">
        <f>LCOE!U189+O163/1000*IF(LCOE!J$14&gt;0,G163,H163)</f>
        <v>0</v>
      </c>
      <c r="R163" s="16">
        <f>LCOE!B189</f>
        <v>30</v>
      </c>
      <c r="S163" s="16">
        <f>LCOE!V189+Q163*P163*R163</f>
        <v>0</v>
      </c>
      <c r="T163" s="16">
        <f>LCOE!W189+LCOE!J$31</f>
        <v>0</v>
      </c>
      <c r="U163" s="16">
        <f>LCOE!X189+T163*IF(LCOE!J$14&gt;0,G163,H163)</f>
        <v>0</v>
      </c>
      <c r="V163" s="16">
        <f>LCOE!Y189+LCOE!J$32</f>
        <v>0</v>
      </c>
      <c r="W163" s="16">
        <f>LCOE!Z189+V163*IF(LCOE!J$14&gt;0,G163,H163)</f>
        <v>0</v>
      </c>
      <c r="X163" s="16">
        <f>LCOE!AA189+LCOE!J$34</f>
        <v>101</v>
      </c>
      <c r="Y163" s="16">
        <f t="shared" si="29"/>
        <v>0</v>
      </c>
      <c r="Z163" s="50">
        <f t="shared" si="32"/>
        <v>0</v>
      </c>
      <c r="AA163" s="50">
        <f t="shared" si="33"/>
        <v>0</v>
      </c>
      <c r="AB163" s="50">
        <f t="shared" si="34"/>
        <v>0</v>
      </c>
      <c r="AC163" s="50">
        <f t="shared" si="30"/>
        <v>0</v>
      </c>
      <c r="AD163" s="50">
        <f t="shared" si="25"/>
        <v>0</v>
      </c>
      <c r="AE163">
        <f t="shared" si="31"/>
        <v>30</v>
      </c>
      <c r="AF163" s="12">
        <f>LCOE!E189+LCOE!J$40</f>
        <v>0.12</v>
      </c>
      <c r="AG163">
        <f t="shared" si="26"/>
        <v>37781.231364557876</v>
      </c>
      <c r="AH163" s="16">
        <f t="shared" si="21"/>
        <v>0</v>
      </c>
      <c r="AI163" s="16">
        <f t="shared" si="22"/>
        <v>0</v>
      </c>
      <c r="AJ163" s="16">
        <f t="shared" si="23"/>
        <v>0</v>
      </c>
      <c r="AK163" s="16">
        <f t="shared" si="24"/>
        <v>0</v>
      </c>
      <c r="AL163" s="16">
        <f t="shared" si="27"/>
        <v>0</v>
      </c>
      <c r="AM163" s="16">
        <f t="shared" si="28"/>
        <v>0</v>
      </c>
      <c r="AN163" s="16">
        <f>IF(LCOE!J$14&gt;0,G163,H163)/AG163</f>
        <v>0</v>
      </c>
    </row>
    <row r="164" spans="1:40">
      <c r="A164">
        <v>94</v>
      </c>
      <c r="C164" s="16">
        <f>LCOE!J190+IF(AND(LCOE!J$26&gt;0,A164&gt;=LCOE!J$26,A164&lt;=(LCOE!J$26+LCOE!J$27-1)),LCOE!J$42/LCOE!J$27,0)+IF(AND(D164=0,AE164&gt;=LCOE!J$16,COUNTIF(D139:D164,0)=LCOE!J$36),LCOE!J$35*LCOE!J$38,0)</f>
        <v>0</v>
      </c>
      <c r="D164" s="16">
        <f>IF(AE163&lt;LCOE!J$16,1,0)</f>
        <v>0</v>
      </c>
      <c r="E164" s="12">
        <f>LCOE!G190+IF(AND(A164&gt;=LCOE!J$26,A164&lt;=(LCOE!J$26+LCOE!J$27-1)),0,1)*IF(A164=LCOE!J$34,0,1)*D164</f>
        <v>0</v>
      </c>
      <c r="F164" s="12">
        <f>IF(F163&lt;LCOE!J$18,MIN(F163*(1+LCOE!J$19),LCOE!J$18),LCOE!J$18)+LCOE!J190</f>
        <v>0.9</v>
      </c>
      <c r="G164" s="16">
        <f>LCOE!K190+E164*F164*N164*(LCOE!J$14+LCOE!H190)*24*365*D164</f>
        <v>0</v>
      </c>
      <c r="H164" s="16">
        <f>LCOE!L190+F164*(LCOE!J$15+LCOE!I190)*E164*24*365*D164*N164</f>
        <v>0</v>
      </c>
      <c r="I164" s="16">
        <f>LCOE!M190+LCOE!J$20*IF(LCOE!J$14&gt;0,(LCOE!J$14+LCOE!H190),(LCOE!J$15+LCOE!I190))*K164*D164</f>
        <v>0</v>
      </c>
      <c r="J164" s="16">
        <f>LCOE!N190+LCOE!J$21*IF(LCOE!J$14&gt;0,G164,H164)*K164*D164</f>
        <v>0</v>
      </c>
      <c r="K164" s="15">
        <f>LCOE!O190+K163+K163*LCOE!J$22</f>
        <v>1</v>
      </c>
      <c r="L164" s="16">
        <f>LCOE!P190+LCOE!J$23*IF(LCOE!J$14&gt;0,G164,H164)*M164*D164</f>
        <v>0</v>
      </c>
      <c r="M164" s="15">
        <f>LCOE!Q190+M163+M163*LCOE!J$24</f>
        <v>1</v>
      </c>
      <c r="N164" s="15">
        <f>LCOE!R190+N163-N163*LCOE!J$25</f>
        <v>1</v>
      </c>
      <c r="O164" s="18">
        <f>LCOE!S190+LCOE!J$29</f>
        <v>313.75</v>
      </c>
      <c r="P164" s="12">
        <f>LCOE!T190+IF(A164&gt;=LCOE!J$30,100%,0%)</f>
        <v>1</v>
      </c>
      <c r="Q164" s="16">
        <f>LCOE!U190+O164/1000*IF(LCOE!J$14&gt;0,G164,H164)</f>
        <v>0</v>
      </c>
      <c r="R164" s="16">
        <f>LCOE!B190</f>
        <v>30</v>
      </c>
      <c r="S164" s="16">
        <f>LCOE!V190+Q164*P164*R164</f>
        <v>0</v>
      </c>
      <c r="T164" s="16">
        <f>LCOE!W190+LCOE!J$31</f>
        <v>0</v>
      </c>
      <c r="U164" s="16">
        <f>LCOE!X190+T164*IF(LCOE!J$14&gt;0,G164,H164)</f>
        <v>0</v>
      </c>
      <c r="V164" s="16">
        <f>LCOE!Y190+LCOE!J$32</f>
        <v>0</v>
      </c>
      <c r="W164" s="16">
        <f>LCOE!Z190+V164*IF(LCOE!J$14&gt;0,G164,H164)</f>
        <v>0</v>
      </c>
      <c r="X164" s="16">
        <f>LCOE!AA190+LCOE!J$34</f>
        <v>101</v>
      </c>
      <c r="Y164" s="16">
        <f t="shared" si="29"/>
        <v>0</v>
      </c>
      <c r="Z164" s="50">
        <f t="shared" si="32"/>
        <v>0</v>
      </c>
      <c r="AA164" s="50">
        <f t="shared" si="33"/>
        <v>0</v>
      </c>
      <c r="AB164" s="50">
        <f t="shared" si="34"/>
        <v>0</v>
      </c>
      <c r="AC164" s="50">
        <f t="shared" si="30"/>
        <v>0</v>
      </c>
      <c r="AD164" s="50">
        <f t="shared" si="25"/>
        <v>0</v>
      </c>
      <c r="AE164">
        <f t="shared" si="31"/>
        <v>30</v>
      </c>
      <c r="AF164" s="12">
        <f>LCOE!E190+LCOE!J$40</f>
        <v>0.12</v>
      </c>
      <c r="AG164">
        <f t="shared" si="26"/>
        <v>42314.979128304825</v>
      </c>
      <c r="AH164" s="16">
        <f t="shared" si="21"/>
        <v>0</v>
      </c>
      <c r="AI164" s="16">
        <f t="shared" si="22"/>
        <v>0</v>
      </c>
      <c r="AJ164" s="16">
        <f t="shared" si="23"/>
        <v>0</v>
      </c>
      <c r="AK164" s="16">
        <f t="shared" si="24"/>
        <v>0</v>
      </c>
      <c r="AL164" s="16">
        <f t="shared" si="27"/>
        <v>0</v>
      </c>
      <c r="AM164" s="16">
        <f t="shared" si="28"/>
        <v>0</v>
      </c>
      <c r="AN164" s="16">
        <f>IF(LCOE!J$14&gt;0,G164,H164)/AG164</f>
        <v>0</v>
      </c>
    </row>
    <row r="165" spans="1:40">
      <c r="A165">
        <v>95</v>
      </c>
      <c r="C165" s="16">
        <f>LCOE!J191+IF(AND(LCOE!J$26&gt;0,A165&gt;=LCOE!J$26,A165&lt;=(LCOE!J$26+LCOE!J$27-1)),LCOE!J$42/LCOE!J$27,0)+IF(AND(D165=0,AE165&gt;=LCOE!J$16,COUNTIF(D140:D165,0)=LCOE!J$36),LCOE!J$35*LCOE!J$38,0)</f>
        <v>0</v>
      </c>
      <c r="D165" s="16">
        <f>IF(AE164&lt;LCOE!J$16,1,0)</f>
        <v>0</v>
      </c>
      <c r="E165" s="12">
        <f>LCOE!G191+IF(AND(A165&gt;=LCOE!J$26,A165&lt;=(LCOE!J$26+LCOE!J$27-1)),0,1)*IF(A165=LCOE!J$34,0,1)*D165</f>
        <v>0</v>
      </c>
      <c r="F165" s="12">
        <f>IF(F164&lt;LCOE!J$18,MIN(F164*(1+LCOE!J$19),LCOE!J$18),LCOE!J$18)+LCOE!J191</f>
        <v>0.9</v>
      </c>
      <c r="G165" s="16">
        <f>LCOE!K191+E165*F165*N165*(LCOE!J$14+LCOE!H191)*24*365*D165</f>
        <v>0</v>
      </c>
      <c r="H165" s="16">
        <f>LCOE!L191+F165*(LCOE!J$15+LCOE!I191)*E165*24*365*D165*N165</f>
        <v>0</v>
      </c>
      <c r="I165" s="16">
        <f>LCOE!M191+LCOE!J$20*IF(LCOE!J$14&gt;0,(LCOE!J$14+LCOE!H191),(LCOE!J$15+LCOE!I191))*K165*D165</f>
        <v>0</v>
      </c>
      <c r="J165" s="16">
        <f>LCOE!N191+LCOE!J$21*IF(LCOE!J$14&gt;0,G165,H165)*K165*D165</f>
        <v>0</v>
      </c>
      <c r="K165" s="15">
        <f>LCOE!O191+K164+K164*LCOE!J$22</f>
        <v>1</v>
      </c>
      <c r="L165" s="16">
        <f>LCOE!P191+LCOE!J$23*IF(LCOE!J$14&gt;0,G165,H165)*M165*D165</f>
        <v>0</v>
      </c>
      <c r="M165" s="15">
        <f>LCOE!Q191+M164+M164*LCOE!J$24</f>
        <v>1</v>
      </c>
      <c r="N165" s="15">
        <f>LCOE!R191+N164-N164*LCOE!J$25</f>
        <v>1</v>
      </c>
      <c r="O165" s="18">
        <f>LCOE!S191+LCOE!J$29</f>
        <v>313.75</v>
      </c>
      <c r="P165" s="12">
        <f>LCOE!T191+IF(A165&gt;=LCOE!J$30,100%,0%)</f>
        <v>1</v>
      </c>
      <c r="Q165" s="16">
        <f>LCOE!U191+O165/1000*IF(LCOE!J$14&gt;0,G165,H165)</f>
        <v>0</v>
      </c>
      <c r="R165" s="16">
        <f>LCOE!B191</f>
        <v>30</v>
      </c>
      <c r="S165" s="16">
        <f>LCOE!V191+Q165*P165*R165</f>
        <v>0</v>
      </c>
      <c r="T165" s="16">
        <f>LCOE!W191+LCOE!J$31</f>
        <v>0</v>
      </c>
      <c r="U165" s="16">
        <f>LCOE!X191+T165*IF(LCOE!J$14&gt;0,G165,H165)</f>
        <v>0</v>
      </c>
      <c r="V165" s="16">
        <f>LCOE!Y191+LCOE!J$32</f>
        <v>0</v>
      </c>
      <c r="W165" s="16">
        <f>LCOE!Z191+V165*IF(LCOE!J$14&gt;0,G165,H165)</f>
        <v>0</v>
      </c>
      <c r="X165" s="16">
        <f>LCOE!AA191+LCOE!J$34</f>
        <v>101</v>
      </c>
      <c r="Y165" s="16">
        <f t="shared" si="29"/>
        <v>0</v>
      </c>
      <c r="Z165" s="50">
        <f t="shared" si="32"/>
        <v>0</v>
      </c>
      <c r="AA165" s="50">
        <f t="shared" si="33"/>
        <v>0</v>
      </c>
      <c r="AB165" s="50">
        <f t="shared" si="34"/>
        <v>0</v>
      </c>
      <c r="AC165" s="50">
        <f t="shared" si="30"/>
        <v>0</v>
      </c>
      <c r="AD165" s="50">
        <f t="shared" si="25"/>
        <v>0</v>
      </c>
      <c r="AE165">
        <f t="shared" si="31"/>
        <v>30</v>
      </c>
      <c r="AF165" s="12">
        <f>LCOE!E191+LCOE!J$40</f>
        <v>0.12</v>
      </c>
      <c r="AG165">
        <f t="shared" si="26"/>
        <v>47392.7766237014</v>
      </c>
      <c r="AH165" s="16">
        <f t="shared" si="21"/>
        <v>0</v>
      </c>
      <c r="AI165" s="16">
        <f t="shared" si="22"/>
        <v>0</v>
      </c>
      <c r="AJ165" s="16">
        <f t="shared" si="23"/>
        <v>0</v>
      </c>
      <c r="AK165" s="16">
        <f t="shared" si="24"/>
        <v>0</v>
      </c>
      <c r="AL165" s="16">
        <f t="shared" si="27"/>
        <v>0</v>
      </c>
      <c r="AM165" s="16">
        <f t="shared" si="28"/>
        <v>0</v>
      </c>
      <c r="AN165" s="16">
        <f>IF(LCOE!J$14&gt;0,G165,H165)/AG165</f>
        <v>0</v>
      </c>
    </row>
    <row r="166" spans="1:40">
      <c r="A166">
        <v>96</v>
      </c>
      <c r="C166" s="16">
        <f>LCOE!J192+IF(AND(LCOE!J$26&gt;0,A166&gt;=LCOE!J$26,A166&lt;=(LCOE!J$26+LCOE!J$27-1)),LCOE!J$42/LCOE!J$27,0)+IF(AND(D166=0,AE166&gt;=LCOE!J$16,COUNTIF(D141:D166,0)=LCOE!J$36),LCOE!J$35*LCOE!J$38,0)</f>
        <v>0</v>
      </c>
      <c r="D166" s="16">
        <f>IF(AE165&lt;LCOE!J$16,1,0)</f>
        <v>0</v>
      </c>
      <c r="E166" s="12">
        <f>LCOE!G192+IF(AND(A166&gt;=LCOE!J$26,A166&lt;=(LCOE!J$26+LCOE!J$27-1)),0,1)*IF(A166=LCOE!J$34,0,1)*D166</f>
        <v>0</v>
      </c>
      <c r="F166" s="12">
        <f>IF(F165&lt;LCOE!J$18,MIN(F165*(1+LCOE!J$19),LCOE!J$18),LCOE!J$18)+LCOE!J192</f>
        <v>0.9</v>
      </c>
      <c r="G166" s="16">
        <f>LCOE!K192+E166*F166*N166*(LCOE!J$14+LCOE!H192)*24*365*D166</f>
        <v>0</v>
      </c>
      <c r="H166" s="16">
        <f>LCOE!L192+F166*(LCOE!J$15+LCOE!I192)*E166*24*365*D166*N166</f>
        <v>0</v>
      </c>
      <c r="I166" s="16">
        <f>LCOE!M192+LCOE!J$20*IF(LCOE!J$14&gt;0,(LCOE!J$14+LCOE!H192),(LCOE!J$15+LCOE!I192))*K166*D166</f>
        <v>0</v>
      </c>
      <c r="J166" s="16">
        <f>LCOE!N192+LCOE!J$21*IF(LCOE!J$14&gt;0,G166,H166)*K166*D166</f>
        <v>0</v>
      </c>
      <c r="K166" s="15">
        <f>LCOE!O192+K165+K165*LCOE!J$22</f>
        <v>1</v>
      </c>
      <c r="L166" s="16">
        <f>LCOE!P192+LCOE!J$23*IF(LCOE!J$14&gt;0,G166,H166)*M166*D166</f>
        <v>0</v>
      </c>
      <c r="M166" s="15">
        <f>LCOE!Q192+M165+M165*LCOE!J$24</f>
        <v>1</v>
      </c>
      <c r="N166" s="15">
        <f>LCOE!R192+N165-N165*LCOE!J$25</f>
        <v>1</v>
      </c>
      <c r="O166" s="18">
        <f>LCOE!S192+LCOE!J$29</f>
        <v>313.75</v>
      </c>
      <c r="P166" s="12">
        <f>LCOE!T192+IF(A166&gt;=LCOE!J$30,100%,0%)</f>
        <v>1</v>
      </c>
      <c r="Q166" s="16">
        <f>LCOE!U192+O166/1000*IF(LCOE!J$14&gt;0,G166,H166)</f>
        <v>0</v>
      </c>
      <c r="R166" s="16">
        <f>LCOE!B192</f>
        <v>30</v>
      </c>
      <c r="S166" s="16">
        <f>LCOE!V192+Q166*P166*R166</f>
        <v>0</v>
      </c>
      <c r="T166" s="16">
        <f>LCOE!W192+LCOE!J$31</f>
        <v>0</v>
      </c>
      <c r="U166" s="16">
        <f>LCOE!X192+T166*IF(LCOE!J$14&gt;0,G166,H166)</f>
        <v>0</v>
      </c>
      <c r="V166" s="16">
        <f>LCOE!Y192+LCOE!J$32</f>
        <v>0</v>
      </c>
      <c r="W166" s="16">
        <f>LCOE!Z192+V166*IF(LCOE!J$14&gt;0,G166,H166)</f>
        <v>0</v>
      </c>
      <c r="X166" s="16">
        <f>LCOE!AA192+LCOE!J$34</f>
        <v>101</v>
      </c>
      <c r="Y166" s="16">
        <f t="shared" si="29"/>
        <v>0</v>
      </c>
      <c r="Z166" s="50">
        <f t="shared" si="32"/>
        <v>0</v>
      </c>
      <c r="AA166" s="50">
        <f t="shared" si="33"/>
        <v>0</v>
      </c>
      <c r="AB166" s="50">
        <f t="shared" si="34"/>
        <v>0</v>
      </c>
      <c r="AC166" s="50">
        <f t="shared" si="30"/>
        <v>0</v>
      </c>
      <c r="AD166" s="50">
        <f t="shared" si="25"/>
        <v>0</v>
      </c>
      <c r="AE166">
        <f t="shared" si="31"/>
        <v>30</v>
      </c>
      <c r="AF166" s="12">
        <f>LCOE!E192+LCOE!J$40</f>
        <v>0.12</v>
      </c>
      <c r="AG166">
        <f t="shared" si="26"/>
        <v>53079.909818545588</v>
      </c>
      <c r="AH166" s="16">
        <f t="shared" si="21"/>
        <v>0</v>
      </c>
      <c r="AI166" s="16">
        <f t="shared" si="22"/>
        <v>0</v>
      </c>
      <c r="AJ166" s="16">
        <f t="shared" si="23"/>
        <v>0</v>
      </c>
      <c r="AK166" s="16">
        <f t="shared" si="24"/>
        <v>0</v>
      </c>
      <c r="AL166" s="16">
        <f t="shared" si="27"/>
        <v>0</v>
      </c>
      <c r="AM166" s="16">
        <f t="shared" si="28"/>
        <v>0</v>
      </c>
      <c r="AN166" s="16">
        <f>IF(LCOE!J$14&gt;0,G166,H166)/AG166</f>
        <v>0</v>
      </c>
    </row>
    <row r="167" spans="1:40">
      <c r="A167">
        <v>97</v>
      </c>
      <c r="C167" s="16">
        <f>LCOE!J193+IF(AND(LCOE!J$26&gt;0,A167&gt;=LCOE!J$26,A167&lt;=(LCOE!J$26+LCOE!J$27-1)),LCOE!J$42/LCOE!J$27,0)+IF(AND(D167=0,AE167&gt;=LCOE!J$16,COUNTIF(D142:D167,0)=LCOE!J$36),LCOE!J$35*LCOE!J$38,0)</f>
        <v>0</v>
      </c>
      <c r="D167" s="16">
        <f>IF(AE166&lt;LCOE!J$16,1,0)</f>
        <v>0</v>
      </c>
      <c r="E167" s="12">
        <f>LCOE!G193+IF(AND(A167&gt;=LCOE!J$26,A167&lt;=(LCOE!J$26+LCOE!J$27-1)),0,1)*IF(A167=LCOE!J$34,0,1)*D167</f>
        <v>0</v>
      </c>
      <c r="F167" s="12">
        <f>IF(F166&lt;LCOE!J$18,MIN(F166*(1+LCOE!J$19),LCOE!J$18),LCOE!J$18)+LCOE!J193</f>
        <v>0.9</v>
      </c>
      <c r="G167" s="16">
        <f>LCOE!K193+E167*F167*N167*(LCOE!J$14+LCOE!H193)*24*365*D167</f>
        <v>0</v>
      </c>
      <c r="H167" s="16">
        <f>LCOE!L193+F167*(LCOE!J$15+LCOE!I193)*E167*24*365*D167*N167</f>
        <v>0</v>
      </c>
      <c r="I167" s="16">
        <f>LCOE!M193+LCOE!J$20*IF(LCOE!J$14&gt;0,(LCOE!J$14+LCOE!H193),(LCOE!J$15+LCOE!I193))*K167*D167</f>
        <v>0</v>
      </c>
      <c r="J167" s="16">
        <f>LCOE!N193+LCOE!J$21*IF(LCOE!J$14&gt;0,G167,H167)*K167*D167</f>
        <v>0</v>
      </c>
      <c r="K167" s="15">
        <f>LCOE!O193+K166+K166*LCOE!J$22</f>
        <v>1</v>
      </c>
      <c r="L167" s="16">
        <f>LCOE!P193+LCOE!J$23*IF(LCOE!J$14&gt;0,G167,H167)*M167*D167</f>
        <v>0</v>
      </c>
      <c r="M167" s="15">
        <f>LCOE!Q193+M166+M166*LCOE!J$24</f>
        <v>1</v>
      </c>
      <c r="N167" s="15">
        <f>LCOE!R193+N166-N166*LCOE!J$25</f>
        <v>1</v>
      </c>
      <c r="O167" s="18">
        <f>LCOE!S193+LCOE!J$29</f>
        <v>313.75</v>
      </c>
      <c r="P167" s="12">
        <f>LCOE!T193+IF(A167&gt;=LCOE!J$30,100%,0%)</f>
        <v>1</v>
      </c>
      <c r="Q167" s="16">
        <f>LCOE!U193+O167/1000*IF(LCOE!J$14&gt;0,G167,H167)</f>
        <v>0</v>
      </c>
      <c r="R167" s="16">
        <f>LCOE!B193</f>
        <v>30</v>
      </c>
      <c r="S167" s="16">
        <f>LCOE!V193+Q167*P167*R167</f>
        <v>0</v>
      </c>
      <c r="T167" s="16">
        <f>LCOE!W193+LCOE!J$31</f>
        <v>0</v>
      </c>
      <c r="U167" s="16">
        <f>LCOE!X193+T167*IF(LCOE!J$14&gt;0,G167,H167)</f>
        <v>0</v>
      </c>
      <c r="V167" s="16">
        <f>LCOE!Y193+LCOE!J$32</f>
        <v>0</v>
      </c>
      <c r="W167" s="16">
        <f>LCOE!Z193+V167*IF(LCOE!J$14&gt;0,G167,H167)</f>
        <v>0</v>
      </c>
      <c r="X167" s="16">
        <f>LCOE!AA193+LCOE!J$34</f>
        <v>101</v>
      </c>
      <c r="Y167" s="16">
        <f t="shared" si="29"/>
        <v>0</v>
      </c>
      <c r="Z167" s="50">
        <f t="shared" si="32"/>
        <v>0</v>
      </c>
      <c r="AA167" s="50">
        <f t="shared" si="33"/>
        <v>0</v>
      </c>
      <c r="AB167" s="50">
        <f t="shared" si="34"/>
        <v>0</v>
      </c>
      <c r="AC167" s="50">
        <f t="shared" si="30"/>
        <v>0</v>
      </c>
      <c r="AD167" s="50">
        <f t="shared" si="25"/>
        <v>0</v>
      </c>
      <c r="AE167">
        <f t="shared" si="31"/>
        <v>30</v>
      </c>
      <c r="AF167" s="12">
        <f>LCOE!E193+LCOE!J$40</f>
        <v>0.12</v>
      </c>
      <c r="AG167">
        <f t="shared" si="26"/>
        <v>59449.498996771064</v>
      </c>
      <c r="AH167" s="16">
        <f t="shared" si="21"/>
        <v>0</v>
      </c>
      <c r="AI167" s="16">
        <f t="shared" si="22"/>
        <v>0</v>
      </c>
      <c r="AJ167" s="16">
        <f t="shared" si="23"/>
        <v>0</v>
      </c>
      <c r="AK167" s="16">
        <f t="shared" si="24"/>
        <v>0</v>
      </c>
      <c r="AL167" s="16">
        <f t="shared" si="27"/>
        <v>0</v>
      </c>
      <c r="AM167" s="16">
        <f t="shared" si="28"/>
        <v>0</v>
      </c>
      <c r="AN167" s="16">
        <f>IF(LCOE!J$14&gt;0,G167,H167)/AG167</f>
        <v>0</v>
      </c>
    </row>
    <row r="168" spans="1:40">
      <c r="A168">
        <v>98</v>
      </c>
      <c r="C168" s="16">
        <f>LCOE!J194+IF(AND(LCOE!J$26&gt;0,A168&gt;=LCOE!J$26,A168&lt;=(LCOE!J$26+LCOE!J$27-1)),LCOE!J$42/LCOE!J$27,0)+IF(AND(D168=0,AE168&gt;=LCOE!J$16,COUNTIF(D143:D168,0)=LCOE!J$36),LCOE!J$35*LCOE!J$38,0)</f>
        <v>0</v>
      </c>
      <c r="D168" s="16">
        <f>IF(AE167&lt;LCOE!J$16,1,0)</f>
        <v>0</v>
      </c>
      <c r="E168" s="12">
        <f>LCOE!G194+IF(AND(A168&gt;=LCOE!J$26,A168&lt;=(LCOE!J$26+LCOE!J$27-1)),0,1)*IF(A168=LCOE!J$34,0,1)*D168</f>
        <v>0</v>
      </c>
      <c r="F168" s="12">
        <f>IF(F167&lt;LCOE!J$18,MIN(F167*(1+LCOE!J$19),LCOE!J$18),LCOE!J$18)+LCOE!J194</f>
        <v>0.9</v>
      </c>
      <c r="G168" s="16">
        <f>LCOE!K194+E168*F168*N168*(LCOE!J$14+LCOE!H194)*24*365*D168</f>
        <v>0</v>
      </c>
      <c r="H168" s="16">
        <f>LCOE!L194+F168*(LCOE!J$15+LCOE!I194)*E168*24*365*D168*N168</f>
        <v>0</v>
      </c>
      <c r="I168" s="16">
        <f>LCOE!M194+LCOE!J$20*IF(LCOE!J$14&gt;0,(LCOE!J$14+LCOE!H194),(LCOE!J$15+LCOE!I194))*K168*D168</f>
        <v>0</v>
      </c>
      <c r="J168" s="16">
        <f>LCOE!N194+LCOE!J$21*IF(LCOE!J$14&gt;0,G168,H168)*K168*D168</f>
        <v>0</v>
      </c>
      <c r="K168" s="15">
        <f>LCOE!O194+K167+K167*LCOE!J$22</f>
        <v>1</v>
      </c>
      <c r="L168" s="16">
        <f>LCOE!P194+LCOE!J$23*IF(LCOE!J$14&gt;0,G168,H168)*M168*D168</f>
        <v>0</v>
      </c>
      <c r="M168" s="15">
        <f>LCOE!Q194+M167+M167*LCOE!J$24</f>
        <v>1</v>
      </c>
      <c r="N168" s="15">
        <f>LCOE!R194+N167-N167*LCOE!J$25</f>
        <v>1</v>
      </c>
      <c r="O168" s="18">
        <f>LCOE!S194+LCOE!J$29</f>
        <v>313.75</v>
      </c>
      <c r="P168" s="12">
        <f>LCOE!T194+IF(A168&gt;=LCOE!J$30,100%,0%)</f>
        <v>1</v>
      </c>
      <c r="Q168" s="16">
        <f>LCOE!U194+O168/1000*IF(LCOE!J$14&gt;0,G168,H168)</f>
        <v>0</v>
      </c>
      <c r="R168" s="16">
        <f>LCOE!B194</f>
        <v>30</v>
      </c>
      <c r="S168" s="16">
        <f>LCOE!V194+Q168*P168*R168</f>
        <v>0</v>
      </c>
      <c r="T168" s="16">
        <f>LCOE!W194+LCOE!J$31</f>
        <v>0</v>
      </c>
      <c r="U168" s="16">
        <f>LCOE!X194+T168*IF(LCOE!J$14&gt;0,G168,H168)</f>
        <v>0</v>
      </c>
      <c r="V168" s="16">
        <f>LCOE!Y194+LCOE!J$32</f>
        <v>0</v>
      </c>
      <c r="W168" s="16">
        <f>LCOE!Z194+V168*IF(LCOE!J$14&gt;0,G168,H168)</f>
        <v>0</v>
      </c>
      <c r="X168" s="16">
        <f>LCOE!AA194+LCOE!J$34</f>
        <v>101</v>
      </c>
      <c r="Y168" s="16">
        <f t="shared" si="29"/>
        <v>0</v>
      </c>
      <c r="Z168" s="50">
        <f t="shared" si="32"/>
        <v>0</v>
      </c>
      <c r="AA168" s="50">
        <f t="shared" si="33"/>
        <v>0</v>
      </c>
      <c r="AB168" s="50">
        <f t="shared" si="34"/>
        <v>0</v>
      </c>
      <c r="AC168" s="50">
        <f t="shared" si="30"/>
        <v>0</v>
      </c>
      <c r="AD168" s="50">
        <f t="shared" si="25"/>
        <v>0</v>
      </c>
      <c r="AE168">
        <f t="shared" si="31"/>
        <v>30</v>
      </c>
      <c r="AF168" s="12">
        <f>LCOE!E194+LCOE!J$40</f>
        <v>0.12</v>
      </c>
      <c r="AG168">
        <f t="shared" si="26"/>
        <v>66583.438876383589</v>
      </c>
      <c r="AH168" s="16">
        <f t="shared" si="21"/>
        <v>0</v>
      </c>
      <c r="AI168" s="16">
        <f t="shared" si="22"/>
        <v>0</v>
      </c>
      <c r="AJ168" s="16">
        <f t="shared" si="23"/>
        <v>0</v>
      </c>
      <c r="AK168" s="16">
        <f t="shared" si="24"/>
        <v>0</v>
      </c>
      <c r="AL168" s="16">
        <f t="shared" si="27"/>
        <v>0</v>
      </c>
      <c r="AM168" s="16">
        <f t="shared" si="28"/>
        <v>0</v>
      </c>
      <c r="AN168" s="16">
        <f>IF(LCOE!J$14&gt;0,G168,H168)/AG168</f>
        <v>0</v>
      </c>
    </row>
    <row r="169" spans="1:40">
      <c r="A169">
        <v>99</v>
      </c>
      <c r="C169" s="16">
        <f>LCOE!J195+IF(AND(LCOE!J$26&gt;0,A169&gt;=LCOE!J$26,A169&lt;=(LCOE!J$26+LCOE!J$27-1)),LCOE!J$42/LCOE!J$27,0)+IF(AND(D169=0,AE169&gt;=LCOE!J$16,COUNTIF(D144:D169,0)=LCOE!J$36),LCOE!J$35*LCOE!J$38,0)</f>
        <v>0</v>
      </c>
      <c r="D169" s="16">
        <f>IF(AE168&lt;LCOE!J$16,1,0)</f>
        <v>0</v>
      </c>
      <c r="E169" s="12">
        <f>LCOE!G195+IF(AND(A169&gt;=LCOE!J$26,A169&lt;=(LCOE!J$26+LCOE!J$27-1)),0,1)*IF(A169=LCOE!J$34,0,1)*D169</f>
        <v>0</v>
      </c>
      <c r="F169" s="12">
        <f>IF(F168&lt;LCOE!J$18,MIN(F168*(1+LCOE!J$19),LCOE!J$18),LCOE!J$18)+LCOE!J195</f>
        <v>0.9</v>
      </c>
      <c r="G169" s="16">
        <f>LCOE!K195+E169*F169*N169*(LCOE!J$14+LCOE!H195)*24*365*D169</f>
        <v>0</v>
      </c>
      <c r="H169" s="16">
        <f>LCOE!L195+F169*(LCOE!J$15+LCOE!I195)*E169*24*365*D169*N169</f>
        <v>0</v>
      </c>
      <c r="I169" s="16">
        <f>LCOE!M195+LCOE!J$20*IF(LCOE!J$14&gt;0,(LCOE!J$14+LCOE!H195),(LCOE!J$15+LCOE!I195))*K169*D169</f>
        <v>0</v>
      </c>
      <c r="J169" s="16">
        <f>LCOE!N195+LCOE!J$21*IF(LCOE!J$14&gt;0,G169,H169)*K169*D169</f>
        <v>0</v>
      </c>
      <c r="K169" s="15">
        <f>LCOE!O195+K168+K168*LCOE!J$22</f>
        <v>1</v>
      </c>
      <c r="L169" s="16">
        <f>LCOE!P195+LCOE!J$23*IF(LCOE!J$14&gt;0,G169,H169)*M169*D169</f>
        <v>0</v>
      </c>
      <c r="M169" s="15">
        <f>LCOE!Q195+M168+M168*LCOE!J$24</f>
        <v>1</v>
      </c>
      <c r="N169" s="15">
        <f>LCOE!R195+N168-N168*LCOE!J$25</f>
        <v>1</v>
      </c>
      <c r="O169" s="18">
        <f>LCOE!S195+LCOE!J$29</f>
        <v>313.75</v>
      </c>
      <c r="P169" s="12">
        <f>LCOE!T195+IF(A169&gt;=LCOE!J$30,100%,0%)</f>
        <v>1</v>
      </c>
      <c r="Q169" s="16">
        <f>LCOE!U195+O169/1000*IF(LCOE!J$14&gt;0,G169,H169)</f>
        <v>0</v>
      </c>
      <c r="R169" s="16">
        <f>LCOE!B195</f>
        <v>30</v>
      </c>
      <c r="S169" s="16">
        <f>LCOE!V195+Q169*P169*R169</f>
        <v>0</v>
      </c>
      <c r="T169" s="16">
        <f>LCOE!W195+LCOE!J$31</f>
        <v>0</v>
      </c>
      <c r="U169" s="16">
        <f>LCOE!X195+T169*IF(LCOE!J$14&gt;0,G169,H169)</f>
        <v>0</v>
      </c>
      <c r="V169" s="16">
        <f>LCOE!Y195+LCOE!J$32</f>
        <v>0</v>
      </c>
      <c r="W169" s="16">
        <f>LCOE!Z195+V169*IF(LCOE!J$14&gt;0,G169,H169)</f>
        <v>0</v>
      </c>
      <c r="X169" s="16">
        <f>LCOE!AA195+LCOE!J$34</f>
        <v>101</v>
      </c>
      <c r="Y169" s="16">
        <f t="shared" si="29"/>
        <v>0</v>
      </c>
      <c r="Z169" s="50">
        <f t="shared" si="32"/>
        <v>0</v>
      </c>
      <c r="AA169" s="50">
        <f t="shared" si="33"/>
        <v>0</v>
      </c>
      <c r="AB169" s="50">
        <f t="shared" si="34"/>
        <v>0</v>
      </c>
      <c r="AC169" s="50">
        <f t="shared" si="30"/>
        <v>0</v>
      </c>
      <c r="AD169" s="50">
        <f t="shared" si="25"/>
        <v>0</v>
      </c>
      <c r="AE169">
        <f t="shared" si="31"/>
        <v>30</v>
      </c>
      <c r="AF169" s="12">
        <f>LCOE!E195+LCOE!J$40</f>
        <v>0.12</v>
      </c>
      <c r="AG169">
        <f t="shared" si="26"/>
        <v>74573.451541549628</v>
      </c>
      <c r="AH169" s="16">
        <f t="shared" si="21"/>
        <v>0</v>
      </c>
      <c r="AI169" s="16">
        <f t="shared" si="22"/>
        <v>0</v>
      </c>
      <c r="AJ169" s="16">
        <f t="shared" si="23"/>
        <v>0</v>
      </c>
      <c r="AK169" s="16">
        <f t="shared" si="24"/>
        <v>0</v>
      </c>
      <c r="AL169" s="16">
        <f t="shared" si="27"/>
        <v>0</v>
      </c>
      <c r="AM169" s="16">
        <f t="shared" si="28"/>
        <v>0</v>
      </c>
      <c r="AN169" s="16">
        <f>IF(LCOE!J$14&gt;0,G169,H169)/AG169</f>
        <v>0</v>
      </c>
    </row>
    <row r="170" spans="1:40">
      <c r="A170">
        <v>100</v>
      </c>
      <c r="C170" s="16">
        <f>LCOE!J196+IF(AND(LCOE!J$26&gt;0,A170&gt;=LCOE!J$26,A170&lt;=(LCOE!J$26+LCOE!J$27-1)),LCOE!J$42/LCOE!J$27,0)+IF(AND(D170=0,AE170&gt;=LCOE!J$16,COUNTIF(D145:D170,0)=LCOE!J$36),LCOE!J$35*LCOE!J$38,0)</f>
        <v>0</v>
      </c>
      <c r="D170" s="16">
        <f>IF(AE169&lt;LCOE!J$16,1,0)</f>
        <v>0</v>
      </c>
      <c r="E170" s="12">
        <f>LCOE!G196+IF(AND(A170&gt;=LCOE!J$26,A170&lt;=(LCOE!J$26+LCOE!J$27-1)),0,1)*IF(A170=LCOE!J$34,0,1)*D170</f>
        <v>0</v>
      </c>
      <c r="F170" s="12">
        <f>IF(F169&lt;LCOE!J$18,MIN(F169*(1+LCOE!J$19),LCOE!J$18),LCOE!J$18)+LCOE!J196</f>
        <v>0.9</v>
      </c>
      <c r="G170" s="16">
        <f>LCOE!K196+E170*F170*N170*(LCOE!J$14+LCOE!H196)*24*365*D170</f>
        <v>0</v>
      </c>
      <c r="H170" s="16">
        <f>LCOE!L196+F170*(LCOE!J$15+LCOE!I196)*E170*24*365*D170*N170</f>
        <v>0</v>
      </c>
      <c r="I170" s="16">
        <f>LCOE!M196+LCOE!J$20*IF(LCOE!J$14&gt;0,(LCOE!J$14+LCOE!H196),(LCOE!J$15+LCOE!I196))*K170*D170</f>
        <v>0</v>
      </c>
      <c r="J170" s="16">
        <f>LCOE!N196+LCOE!J$21*IF(LCOE!J$14&gt;0,G170,H170)*K170*D170</f>
        <v>0</v>
      </c>
      <c r="K170" s="15">
        <f>LCOE!O196+K169+K169*LCOE!J$22</f>
        <v>1</v>
      </c>
      <c r="L170" s="16">
        <f>LCOE!P196+LCOE!J$23*IF(LCOE!J$14&gt;0,G170,H170)*M170*D170</f>
        <v>0</v>
      </c>
      <c r="M170" s="15">
        <f>LCOE!Q196+M169+M169*LCOE!J$24</f>
        <v>1</v>
      </c>
      <c r="N170" s="15">
        <f>LCOE!R196+N169-N169*LCOE!J$25</f>
        <v>1</v>
      </c>
      <c r="O170" s="18">
        <f>LCOE!S196+LCOE!J$29</f>
        <v>313.75</v>
      </c>
      <c r="P170" s="12">
        <f>LCOE!T196+IF(A170&gt;=LCOE!J$30,100%,0%)</f>
        <v>1</v>
      </c>
      <c r="Q170" s="16">
        <f>LCOE!U196+O170/1000*IF(LCOE!J$14&gt;0,G170,H170)</f>
        <v>0</v>
      </c>
      <c r="R170" s="16">
        <f>LCOE!B196</f>
        <v>30</v>
      </c>
      <c r="S170" s="16">
        <f>LCOE!V196+Q170*P170*R170</f>
        <v>0</v>
      </c>
      <c r="T170" s="16">
        <f>LCOE!W196+LCOE!J$31</f>
        <v>0</v>
      </c>
      <c r="U170" s="16">
        <f>LCOE!X196+T170*IF(LCOE!J$14&gt;0,G170,H170)</f>
        <v>0</v>
      </c>
      <c r="V170" s="16">
        <f>LCOE!Y196+LCOE!J$32</f>
        <v>0</v>
      </c>
      <c r="W170" s="16">
        <f>LCOE!Z196+V170*IF(LCOE!J$14&gt;0,G170,H170)</f>
        <v>0</v>
      </c>
      <c r="X170" s="16">
        <f>LCOE!AA196+LCOE!J$34</f>
        <v>101</v>
      </c>
      <c r="Y170" s="16">
        <f t="shared" si="29"/>
        <v>0</v>
      </c>
      <c r="Z170" s="50">
        <f t="shared" si="32"/>
        <v>0</v>
      </c>
      <c r="AA170" s="50">
        <f t="shared" si="33"/>
        <v>0</v>
      </c>
      <c r="AB170" s="50">
        <f t="shared" si="34"/>
        <v>0</v>
      </c>
      <c r="AC170" s="50">
        <f t="shared" si="30"/>
        <v>0</v>
      </c>
      <c r="AD170" s="50">
        <f t="shared" si="25"/>
        <v>0</v>
      </c>
      <c r="AE170">
        <f t="shared" si="31"/>
        <v>30</v>
      </c>
      <c r="AF170" s="12">
        <f>LCOE!E196+LCOE!J$40</f>
        <v>0.12</v>
      </c>
      <c r="AG170">
        <f t="shared" si="26"/>
        <v>83522.265726535581</v>
      </c>
      <c r="AH170" s="16">
        <f t="shared" si="21"/>
        <v>0</v>
      </c>
      <c r="AI170" s="16">
        <f t="shared" si="22"/>
        <v>0</v>
      </c>
      <c r="AJ170" s="16">
        <f t="shared" si="23"/>
        <v>0</v>
      </c>
      <c r="AK170" s="16">
        <f t="shared" si="24"/>
        <v>0</v>
      </c>
      <c r="AL170" s="16">
        <f t="shared" si="27"/>
        <v>0</v>
      </c>
      <c r="AM170" s="16">
        <f t="shared" si="28"/>
        <v>0</v>
      </c>
      <c r="AN170" s="16">
        <f>IF(LCOE!J$14&gt;0,G170,H170)/AG170</f>
        <v>0</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42D6-2EA0-8648-9061-9D610E9BFC49}">
  <dimension ref="A2:AN170"/>
  <sheetViews>
    <sheetView workbookViewId="0">
      <pane xSplit="1760" ySplit="5160" activePane="bottomRight"/>
      <selection pane="bottomRight" activeCell="G59" sqref="G59"/>
      <selection pane="bottomLeft" activeCell="A41" sqref="A41:D41"/>
      <selection pane="topRight" activeCell="C11" sqref="C11"/>
    </sheetView>
    <sheetView workbookViewId="1"/>
  </sheetViews>
  <sheetFormatPr defaultColWidth="11" defaultRowHeight="15.95"/>
  <cols>
    <col min="2" max="2" width="40.875" bestFit="1" customWidth="1"/>
    <col min="3" max="3" width="14.625" bestFit="1" customWidth="1"/>
    <col min="4" max="5" width="14.625" customWidth="1"/>
    <col min="6" max="6" width="18.125" customWidth="1"/>
    <col min="7" max="8" width="15.625" customWidth="1"/>
    <col min="9" max="9" width="11.125" bestFit="1" customWidth="1"/>
    <col min="10" max="10" width="11.625" bestFit="1" customWidth="1"/>
    <col min="11" max="11" width="12.625" bestFit="1" customWidth="1"/>
    <col min="12" max="12" width="11.125" bestFit="1" customWidth="1"/>
    <col min="17" max="17" width="13.625" bestFit="1" customWidth="1"/>
    <col min="18" max="18" width="13.625" customWidth="1"/>
    <col min="19" max="20" width="12.125" customWidth="1"/>
    <col min="26" max="26" width="12.875" bestFit="1" customWidth="1"/>
    <col min="27" max="28" width="11.125" bestFit="1" customWidth="1"/>
    <col min="29" max="30" width="11" bestFit="1" customWidth="1"/>
    <col min="34" max="34" width="17.625" customWidth="1"/>
    <col min="35" max="37" width="11.625" bestFit="1" customWidth="1"/>
    <col min="38" max="38" width="11.625" customWidth="1"/>
  </cols>
  <sheetData>
    <row r="2" spans="2:10" ht="21">
      <c r="B2" s="26" t="s">
        <v>221</v>
      </c>
      <c r="C2" s="26" t="str">
        <f>LCOE!K3</f>
        <v>LCOE 8</v>
      </c>
      <c r="D2" s="26"/>
      <c r="E2" s="26"/>
      <c r="F2" s="26" t="s">
        <v>222</v>
      </c>
      <c r="G2" t="str">
        <f>C4</f>
        <v>USD</v>
      </c>
      <c r="I2" t="str">
        <f>C6</f>
        <v>USD</v>
      </c>
    </row>
    <row r="3" spans="2:10">
      <c r="B3" t="str">
        <f>LCOE!C5</f>
        <v>Name</v>
      </c>
      <c r="C3" t="str">
        <f>LCOE!K5</f>
        <v>CCGT in Belgium (2020)</v>
      </c>
      <c r="F3" s="24" t="str">
        <f>LCOE!C46</f>
        <v>LCOE (LCOHeat for pure heat plants)</v>
      </c>
      <c r="G3" s="25">
        <f>SUM(AH45:AM170)/SUM(AN45:AN170)</f>
        <v>77.652830840881094</v>
      </c>
      <c r="H3" s="24" t="str">
        <f t="shared" ref="H3:H9" si="0">_xlfn.CONCAT(C$4,"/MWh")</f>
        <v>USD/MWh</v>
      </c>
      <c r="I3" s="25">
        <f>G3*C$7</f>
        <v>77.652830840881094</v>
      </c>
      <c r="J3" t="str">
        <f t="shared" ref="J3:J9" si="1">_xlfn.CONCAT(C$6,"/MWh")</f>
        <v>USD/MWh</v>
      </c>
    </row>
    <row r="4" spans="2:10">
      <c r="B4" t="str">
        <f>LCOE!C6</f>
        <v>Currency used for LCOE calculations</v>
      </c>
      <c r="C4" t="str">
        <f>LCOE!K6</f>
        <v>USD</v>
      </c>
      <c r="F4" s="24" t="str">
        <f>LCOE!C47</f>
        <v>Of which: Capital costs</v>
      </c>
      <c r="G4" s="22">
        <f>SUM(AH45:AH170)/SUM(AN45:AN170)</f>
        <v>20.039072392761934</v>
      </c>
      <c r="H4" t="str">
        <f t="shared" si="0"/>
        <v>USD/MWh</v>
      </c>
      <c r="I4" s="25">
        <f t="shared" ref="I4:I9" si="2">G4*C$7</f>
        <v>20.039072392761934</v>
      </c>
      <c r="J4" t="str">
        <f t="shared" si="1"/>
        <v>USD/MWh</v>
      </c>
    </row>
    <row r="5" spans="2:10">
      <c r="B5" t="str">
        <f>LCOE!C7</f>
        <v>Price reference year</v>
      </c>
      <c r="C5">
        <f>LCOE!K7</f>
        <v>0</v>
      </c>
      <c r="F5" s="24" t="str">
        <f>LCOE!C48</f>
        <v>O&amp;M</v>
      </c>
      <c r="G5" s="23">
        <f>SUM(AI45:AI170)/SUM(AN45:AN170)</f>
        <v>5.5412584481191169</v>
      </c>
      <c r="H5" t="str">
        <f t="shared" si="0"/>
        <v>USD/MWh</v>
      </c>
      <c r="I5" s="25">
        <f t="shared" si="2"/>
        <v>5.5412584481191169</v>
      </c>
      <c r="J5" t="str">
        <f t="shared" si="1"/>
        <v>USD/MWh</v>
      </c>
    </row>
    <row r="6" spans="2:10">
      <c r="B6" t="str">
        <f>LCOE!C8</f>
        <v>Currency used</v>
      </c>
      <c r="C6" t="str">
        <f>LCOE!K8</f>
        <v>USD</v>
      </c>
      <c r="F6" s="24" t="str">
        <f>LCOE!C49</f>
        <v>Fuel</v>
      </c>
      <c r="G6" s="23">
        <f>SUM(AJ45:AJ170)/SUM(AN45:AN170)</f>
        <v>42.660000000000018</v>
      </c>
      <c r="H6" t="str">
        <f t="shared" si="0"/>
        <v>USD/MWh</v>
      </c>
      <c r="I6" s="25">
        <f t="shared" si="2"/>
        <v>42.660000000000018</v>
      </c>
      <c r="J6" t="str">
        <f t="shared" si="1"/>
        <v>USD/MWh</v>
      </c>
    </row>
    <row r="7" spans="2:10">
      <c r="B7" t="str">
        <f>LCOE!C9</f>
        <v>Conversion rate at reference year</v>
      </c>
      <c r="C7">
        <f>LCOE!K9</f>
        <v>1</v>
      </c>
      <c r="F7" s="24" t="str">
        <f>LCOE!C50</f>
        <v>Taxes and fees</v>
      </c>
      <c r="G7" s="23">
        <f>SUM(AK45:AK170)/SUM(AN45:AN170)</f>
        <v>0</v>
      </c>
      <c r="H7" t="str">
        <f t="shared" si="0"/>
        <v>USD/MWh</v>
      </c>
      <c r="I7" s="25">
        <f t="shared" si="2"/>
        <v>0</v>
      </c>
      <c r="J7" t="str">
        <f t="shared" si="1"/>
        <v>USD/MWh</v>
      </c>
    </row>
    <row r="8" spans="2:10">
      <c r="B8" t="str">
        <f>LCOE!C10</f>
        <v>Debt %</v>
      </c>
      <c r="C8">
        <f>LCOE!K10</f>
        <v>0.9</v>
      </c>
      <c r="F8" s="24" t="str">
        <f>LCOE!C51</f>
        <v>Emission costs</v>
      </c>
      <c r="G8" s="23">
        <f>SUM(AL45:AL170)/SUM(AN45:AN170)</f>
        <v>9.4125000000000032</v>
      </c>
      <c r="H8" t="str">
        <f t="shared" si="0"/>
        <v>USD/MWh</v>
      </c>
      <c r="I8" s="25">
        <f t="shared" si="2"/>
        <v>9.4125000000000032</v>
      </c>
      <c r="J8" t="str">
        <f t="shared" si="1"/>
        <v>USD/MWh</v>
      </c>
    </row>
    <row r="9" spans="2:10">
      <c r="B9" t="str">
        <f>LCOE!C11</f>
        <v>Cost of debt (private discount rate)</v>
      </c>
      <c r="C9" s="3">
        <f>LCOE!K11</f>
        <v>0.14000000000000001</v>
      </c>
      <c r="F9" s="24" t="str">
        <f>LCOE!C52</f>
        <v>Heat credit (for CHP plants)</v>
      </c>
      <c r="G9" s="18">
        <f>IF(C15&gt;0,SUM(AM45:AM170)/SUM(AN45:AN170),0)</f>
        <v>0</v>
      </c>
      <c r="H9" t="str">
        <f t="shared" si="0"/>
        <v>USD/MWh</v>
      </c>
      <c r="I9" s="25">
        <f t="shared" si="2"/>
        <v>0</v>
      </c>
      <c r="J9" t="str">
        <f t="shared" si="1"/>
        <v>USD/MWh</v>
      </c>
    </row>
    <row r="10" spans="2:10">
      <c r="B10" t="str">
        <f>LCOE!C12</f>
        <v>Cost of equity (discount rate)</v>
      </c>
      <c r="C10" s="3">
        <f>LCOE!K12</f>
        <v>0.14000000000000001</v>
      </c>
      <c r="F10" s="24" t="str">
        <f>LCOE!C53</f>
        <v>WACC average over lifetime</v>
      </c>
      <c r="G10" s="12">
        <f>AVERAGE(AF70:AF170)</f>
        <v>0.14000000000000018</v>
      </c>
      <c r="I10" s="14">
        <f>G10</f>
        <v>0.14000000000000018</v>
      </c>
    </row>
    <row r="11" spans="2:10">
      <c r="B11" t="str">
        <f>LCOE!C13</f>
        <v>Construction cost per kW</v>
      </c>
      <c r="C11">
        <f>LCOE!K13</f>
        <v>1009</v>
      </c>
      <c r="F11" s="24" t="str">
        <f>LCOE!C54</f>
        <v>Plant type</v>
      </c>
      <c r="G11" t="str">
        <f>IF(AND(LCOE!K$14&gt;0,LCOE!K$15=0),"Electric only",IF(AND(LCOE!K$14&gt;0,LCOE!K$15&gt;0),"CHP",IF(AND(LCOE!K$14=0,LCOE!K$15&gt;0),"Heat only","Error: no generation")))</f>
        <v>Electric only</v>
      </c>
      <c r="I11" s="18" t="str">
        <f>G11</f>
        <v>Electric only</v>
      </c>
    </row>
    <row r="12" spans="2:10">
      <c r="B12" t="str">
        <f>LCOE!C14</f>
        <v>Maximum electric power, in MW_e</v>
      </c>
      <c r="C12">
        <f>LCOE!K14</f>
        <v>500</v>
      </c>
    </row>
    <row r="13" spans="2:10">
      <c r="B13" t="str">
        <f>LCOE!C15</f>
        <v>Maximum heat power, in MW_h</v>
      </c>
      <c r="C13">
        <f>LCOE!K15</f>
        <v>0</v>
      </c>
    </row>
    <row r="14" spans="2:10">
      <c r="B14" t="str">
        <f>LCOE!C16</f>
        <v>Plant lifetime</v>
      </c>
      <c r="C14">
        <f>LCOE!K16</f>
        <v>30</v>
      </c>
    </row>
    <row r="15" spans="2:10">
      <c r="B15" t="str">
        <f>LCOE!C17</f>
        <v>Construction period, years</v>
      </c>
      <c r="C15">
        <f>LCOE!K17</f>
        <v>3</v>
      </c>
    </row>
    <row r="16" spans="2:10">
      <c r="B16" t="str">
        <f>LCOE!C18</f>
        <v>Capacity factor (settled down)</v>
      </c>
      <c r="C16" s="14">
        <f>LCOE!K18</f>
        <v>0.9</v>
      </c>
    </row>
    <row r="17" spans="2:3">
      <c r="B17" t="str">
        <f>LCOE!C19</f>
        <v>Capacity factor ramp-up on startup, per year</v>
      </c>
      <c r="C17" s="14">
        <f>LCOE!K19</f>
        <v>0.6</v>
      </c>
    </row>
    <row r="18" spans="2:3">
      <c r="B18" t="str">
        <f>LCOE!C20</f>
        <v>Fixed OPEX/MW capacity at project start</v>
      </c>
      <c r="C18" s="18">
        <f>LCOE!K20</f>
        <v>40000</v>
      </c>
    </row>
    <row r="19" spans="2:3">
      <c r="B19" t="str">
        <f>LCOE!C21</f>
        <v>Variable OPEX/MWh produced at project start</v>
      </c>
      <c r="C19" s="18">
        <f>LCOE!K21</f>
        <v>0</v>
      </c>
    </row>
    <row r="20" spans="2:3">
      <c r="B20" t="str">
        <f>LCOE!C22</f>
        <v>OPEX escalator</v>
      </c>
      <c r="C20" s="14">
        <f>LCOE!K22</f>
        <v>0</v>
      </c>
    </row>
    <row r="21" spans="2:3">
      <c r="B21" t="str">
        <f>LCOE!C23</f>
        <v>FUELEX/MWh produced at project start</v>
      </c>
      <c r="C21">
        <f>LCOE!K23</f>
        <v>42.66</v>
      </c>
    </row>
    <row r="22" spans="2:3">
      <c r="B22" t="str">
        <f>LCOE!C24</f>
        <v>FUELEX escalator</v>
      </c>
      <c r="C22" s="14">
        <f>LCOE!K24</f>
        <v>0</v>
      </c>
    </row>
    <row r="23" spans="2:3">
      <c r="B23" t="str">
        <f>LCOE!C25</f>
        <v>Efficiency loss/year</v>
      </c>
      <c r="C23" s="14">
        <f>LCOE!K25</f>
        <v>0</v>
      </c>
    </row>
    <row r="24" spans="2:3">
      <c r="B24" t="str">
        <f>LCOE!C26</f>
        <v>Refurbishment year</v>
      </c>
      <c r="C24">
        <f>LCOE!K26</f>
        <v>101</v>
      </c>
    </row>
    <row r="25" spans="2:3">
      <c r="B25" t="str">
        <f>LCOE!C27</f>
        <v>Refurbishment time required, years</v>
      </c>
      <c r="C25">
        <f>LCOE!K27</f>
        <v>1</v>
      </c>
    </row>
    <row r="26" spans="2:3">
      <c r="B26" t="str">
        <f>LCOE!C28</f>
        <v>Refurbishment cost, per kW</v>
      </c>
      <c r="C26">
        <f>LCOE!K28</f>
        <v>0</v>
      </c>
    </row>
    <row r="27" spans="2:3">
      <c r="B27" t="str">
        <f>LCOE!C29</f>
        <v>Emission factor, gCO2e/kWh</v>
      </c>
      <c r="C27">
        <f>LCOE!K29</f>
        <v>313.75</v>
      </c>
    </row>
    <row r="28" spans="2:3">
      <c r="B28" t="str">
        <f>LCOE!C30</f>
        <v>Emissions taxed starting from year</v>
      </c>
      <c r="C28">
        <f>LCOE!K30</f>
        <v>0</v>
      </c>
    </row>
    <row r="29" spans="2:3">
      <c r="B29" t="str">
        <f>LCOE!C31</f>
        <v>Taxes, per MWh produced</v>
      </c>
      <c r="C29">
        <f>LCOE!K31</f>
        <v>0</v>
      </c>
    </row>
    <row r="30" spans="2:3">
      <c r="B30" t="str">
        <f>LCOE!C32</f>
        <v>Waste fee, per MWh produced</v>
      </c>
      <c r="C30">
        <f>LCOE!K32</f>
        <v>0</v>
      </c>
    </row>
    <row r="31" spans="2:3">
      <c r="B31" t="str">
        <f>LCOE!C33</f>
        <v>Heat credit, per MWh produced</v>
      </c>
      <c r="C31">
        <f>LCOE!K33</f>
        <v>30</v>
      </c>
    </row>
    <row r="32" spans="2:3">
      <c r="B32" t="str">
        <f>LCOE!C34</f>
        <v>Outage at year</v>
      </c>
      <c r="C32">
        <f>LCOE!K34</f>
        <v>101</v>
      </c>
    </row>
    <row r="33" spans="1:40">
      <c r="B33" t="str">
        <f>LCOE!C35</f>
        <v>Decommissioning costs, % of initial capital cost</v>
      </c>
      <c r="C33" s="14">
        <f>LCOE!K35</f>
        <v>0.05</v>
      </c>
    </row>
    <row r="34" spans="1:40">
      <c r="B34" t="str">
        <f>LCOE!C36</f>
        <v>Decommissioning delay, years</v>
      </c>
      <c r="C34">
        <f>LCOE!K36</f>
        <v>2</v>
      </c>
    </row>
    <row r="35" spans="1:40">
      <c r="B35" t="str">
        <f>LCOE!C37</f>
        <v>Results reference year/LC start year</v>
      </c>
      <c r="C35">
        <f>LCOE!K37</f>
        <v>2020</v>
      </c>
    </row>
    <row r="36" spans="1:40">
      <c r="B36" t="str">
        <f>LCOE!C38</f>
        <v>Total cost</v>
      </c>
      <c r="C36" s="16">
        <f>LCOE!K38</f>
        <v>504500000</v>
      </c>
    </row>
    <row r="37" spans="1:40">
      <c r="B37" t="str">
        <f>LCOE!C39</f>
        <v>Equity share</v>
      </c>
      <c r="C37">
        <f>LCOE!K39</f>
        <v>9.9999999999999978E-2</v>
      </c>
    </row>
    <row r="38" spans="1:40">
      <c r="B38" t="str">
        <f>LCOE!C40</f>
        <v>WACC (average discount rate)</v>
      </c>
      <c r="C38" s="3">
        <f>LCOE!K40</f>
        <v>0.14000000000000001</v>
      </c>
    </row>
    <row r="39" spans="1:40">
      <c r="B39" t="str">
        <f>LCOE!C41</f>
        <v>Interest during construction (IDC)</v>
      </c>
      <c r="C39" s="14">
        <f>LCOE!K41</f>
        <v>0.14000000000000001</v>
      </c>
    </row>
    <row r="40" spans="1:40">
      <c r="B40" t="str">
        <f>LCOE!C42</f>
        <v>Total overnight cost of refurbishment</v>
      </c>
      <c r="C40" s="16">
        <f>LCOE!K42</f>
        <v>0</v>
      </c>
    </row>
    <row r="41" spans="1:40">
      <c r="B41" t="str">
        <f>LCOE!C43</f>
        <v>Overrides</v>
      </c>
      <c r="C41">
        <f>LCOE!K43</f>
        <v>0</v>
      </c>
    </row>
    <row r="43" spans="1:40">
      <c r="Z43" s="48" t="s">
        <v>223</v>
      </c>
      <c r="AA43" s="48"/>
      <c r="AB43" s="48"/>
      <c r="AC43" s="48"/>
      <c r="AD43" s="48"/>
    </row>
    <row r="44" spans="1:40" ht="183.95">
      <c r="A44" t="s">
        <v>224</v>
      </c>
      <c r="B44" s="17" t="s">
        <v>161</v>
      </c>
      <c r="C44" s="43" t="s">
        <v>225</v>
      </c>
      <c r="D44" s="17" t="s">
        <v>226</v>
      </c>
      <c r="E44" s="17" t="s">
        <v>164</v>
      </c>
      <c r="F44" s="17" t="s">
        <v>167</v>
      </c>
      <c r="G44" s="17" t="s">
        <v>168</v>
      </c>
      <c r="H44" s="17" t="s">
        <v>169</v>
      </c>
      <c r="I44" s="17" t="s">
        <v>170</v>
      </c>
      <c r="J44" s="17" t="s">
        <v>171</v>
      </c>
      <c r="K44" s="17" t="s">
        <v>227</v>
      </c>
      <c r="L44" s="17" t="s">
        <v>173</v>
      </c>
      <c r="M44" s="17" t="s">
        <v>228</v>
      </c>
      <c r="N44" s="17" t="s">
        <v>229</v>
      </c>
      <c r="O44" s="17" t="s">
        <v>230</v>
      </c>
      <c r="P44" s="17" t="s">
        <v>177</v>
      </c>
      <c r="Q44" s="17" t="s">
        <v>231</v>
      </c>
      <c r="R44" s="17" t="s">
        <v>232</v>
      </c>
      <c r="S44" s="17" t="s">
        <v>233</v>
      </c>
      <c r="T44" s="17" t="s">
        <v>180</v>
      </c>
      <c r="U44" s="17" t="s">
        <v>181</v>
      </c>
      <c r="V44" s="17" t="s">
        <v>182</v>
      </c>
      <c r="W44" s="17" t="s">
        <v>183</v>
      </c>
      <c r="X44" s="17" t="s">
        <v>234</v>
      </c>
      <c r="Y44" s="17" t="s">
        <v>185</v>
      </c>
      <c r="Z44" s="49" t="s">
        <v>235</v>
      </c>
      <c r="AA44" s="49" t="s">
        <v>236</v>
      </c>
      <c r="AB44" s="49" t="s">
        <v>237</v>
      </c>
      <c r="AC44" s="49" t="s">
        <v>238</v>
      </c>
      <c r="AD44" s="49" t="s">
        <v>239</v>
      </c>
      <c r="AE44" s="17" t="s">
        <v>240</v>
      </c>
      <c r="AF44" s="17" t="s">
        <v>241</v>
      </c>
      <c r="AG44" s="17" t="s">
        <v>242</v>
      </c>
      <c r="AH44" s="17" t="s">
        <v>243</v>
      </c>
      <c r="AI44" s="17" t="s">
        <v>244</v>
      </c>
      <c r="AJ44" s="17" t="s">
        <v>245</v>
      </c>
      <c r="AK44" s="17" t="s">
        <v>246</v>
      </c>
      <c r="AL44" s="17" t="s">
        <v>247</v>
      </c>
      <c r="AM44" s="17" t="s">
        <v>248</v>
      </c>
      <c r="AN44" s="17" t="s">
        <v>249</v>
      </c>
    </row>
    <row r="45" spans="1:40">
      <c r="A45">
        <v>-25</v>
      </c>
      <c r="B45" s="16">
        <f>LCOE!C71+IF(A45&gt;=((LCOE!K$17*-1)+1),LCOE!K$38/LCOE!K$17,0)</f>
        <v>0</v>
      </c>
      <c r="C45" s="16"/>
      <c r="D45" s="16"/>
      <c r="E45" s="18"/>
      <c r="Z45" s="50">
        <f t="shared" ref="Z45:Z69" si="3">SUM(B45:C45)</f>
        <v>0</v>
      </c>
      <c r="AA45" s="50">
        <f t="shared" ref="AA45:AA69" si="4">SUM(I45:J45)</f>
        <v>0</v>
      </c>
      <c r="AB45" s="50">
        <f t="shared" ref="AB45:AB69" si="5">L45</f>
        <v>0</v>
      </c>
      <c r="AC45" s="50">
        <f t="shared" ref="AC45:AC69" si="6">SUM(S45:W45)</f>
        <v>0</v>
      </c>
      <c r="AD45" s="50">
        <f>S45</f>
        <v>0</v>
      </c>
      <c r="AE45">
        <v>-25</v>
      </c>
      <c r="AF45" s="12">
        <f>LCOE!E71+LCOE!K$40</f>
        <v>0.14000000000000001</v>
      </c>
      <c r="AG45">
        <f>(1+AF45)^A45</f>
        <v>3.779015877353091E-2</v>
      </c>
      <c r="AH45" s="16">
        <f t="shared" ref="AH45:AH108" si="7">Z45/AG45</f>
        <v>0</v>
      </c>
      <c r="AI45" s="16">
        <f t="shared" ref="AI45:AI108" si="8">AA45/AG45</f>
        <v>0</v>
      </c>
      <c r="AJ45" s="16">
        <f t="shared" ref="AJ45:AJ108" si="9">AB45/AG45</f>
        <v>0</v>
      </c>
      <c r="AK45" s="16">
        <f t="shared" ref="AK45:AK108" si="10">AC45/AG45</f>
        <v>0</v>
      </c>
      <c r="AL45" s="16">
        <f>AD45/AG45</f>
        <v>0</v>
      </c>
      <c r="AM45" s="16"/>
    </row>
    <row r="46" spans="1:40">
      <c r="A46">
        <v>-24</v>
      </c>
      <c r="B46" s="16">
        <f>LCOE!C72+IF(A46&gt;=((LCOE!K$17*-1)+1),LCOE!K$38/LCOE!K$17,0)</f>
        <v>0</v>
      </c>
      <c r="C46" s="16"/>
      <c r="D46" s="16"/>
      <c r="E46" s="18"/>
      <c r="Z46" s="50">
        <f t="shared" si="3"/>
        <v>0</v>
      </c>
      <c r="AA46" s="50">
        <f t="shared" si="4"/>
        <v>0</v>
      </c>
      <c r="AB46" s="50">
        <f t="shared" si="5"/>
        <v>0</v>
      </c>
      <c r="AC46" s="50">
        <f t="shared" si="6"/>
        <v>0</v>
      </c>
      <c r="AD46" s="50">
        <f t="shared" ref="AD46:AD109" si="11">S46</f>
        <v>0</v>
      </c>
      <c r="AE46">
        <v>-24</v>
      </c>
      <c r="AF46" s="12">
        <f>LCOE!E72+LCOE!K$40</f>
        <v>0.14000000000000001</v>
      </c>
      <c r="AG46">
        <f t="shared" ref="AG46:AG109" si="12">(1+AF46)^A46</f>
        <v>4.3080781001825233E-2</v>
      </c>
      <c r="AH46" s="16">
        <f t="shared" si="7"/>
        <v>0</v>
      </c>
      <c r="AI46" s="16">
        <f t="shared" si="8"/>
        <v>0</v>
      </c>
      <c r="AJ46" s="16">
        <f t="shared" si="9"/>
        <v>0</v>
      </c>
      <c r="AK46" s="16">
        <f t="shared" si="10"/>
        <v>0</v>
      </c>
      <c r="AL46" s="16">
        <f t="shared" ref="AL46:AL109" si="13">AD46/AG46</f>
        <v>0</v>
      </c>
      <c r="AM46" s="16"/>
    </row>
    <row r="47" spans="1:40">
      <c r="A47">
        <v>-23</v>
      </c>
      <c r="B47" s="16">
        <f>LCOE!C73+IF(A47&gt;=((LCOE!K$17*-1)+1),LCOE!K$38/LCOE!K$17,0)</f>
        <v>0</v>
      </c>
      <c r="C47" s="16"/>
      <c r="D47" s="16"/>
      <c r="E47" s="18"/>
      <c r="Z47" s="50">
        <f t="shared" si="3"/>
        <v>0</v>
      </c>
      <c r="AA47" s="50">
        <f t="shared" si="4"/>
        <v>0</v>
      </c>
      <c r="AB47" s="50">
        <f t="shared" si="5"/>
        <v>0</v>
      </c>
      <c r="AC47" s="50">
        <f t="shared" si="6"/>
        <v>0</v>
      </c>
      <c r="AD47" s="50">
        <f t="shared" si="11"/>
        <v>0</v>
      </c>
      <c r="AE47">
        <v>-23</v>
      </c>
      <c r="AF47" s="12">
        <f>LCOE!E73+LCOE!K$40</f>
        <v>0.14000000000000001</v>
      </c>
      <c r="AG47">
        <f t="shared" si="12"/>
        <v>4.9112090342080778E-2</v>
      </c>
      <c r="AH47" s="16">
        <f t="shared" si="7"/>
        <v>0</v>
      </c>
      <c r="AI47" s="16">
        <f t="shared" si="8"/>
        <v>0</v>
      </c>
      <c r="AJ47" s="16">
        <f t="shared" si="9"/>
        <v>0</v>
      </c>
      <c r="AK47" s="16">
        <f t="shared" si="10"/>
        <v>0</v>
      </c>
      <c r="AL47" s="16">
        <f t="shared" si="13"/>
        <v>0</v>
      </c>
      <c r="AM47" s="16"/>
    </row>
    <row r="48" spans="1:40">
      <c r="A48">
        <v>-22</v>
      </c>
      <c r="B48" s="16">
        <f>LCOE!C74+IF(A48&gt;=((LCOE!K$17*-1)+1),LCOE!K$38/LCOE!K$17,0)</f>
        <v>0</v>
      </c>
      <c r="C48" s="16"/>
      <c r="D48" s="16"/>
      <c r="E48" s="18"/>
      <c r="Z48" s="50">
        <f t="shared" si="3"/>
        <v>0</v>
      </c>
      <c r="AA48" s="50">
        <f t="shared" si="4"/>
        <v>0</v>
      </c>
      <c r="AB48" s="50">
        <f t="shared" si="5"/>
        <v>0</v>
      </c>
      <c r="AC48" s="50">
        <f t="shared" si="6"/>
        <v>0</v>
      </c>
      <c r="AD48" s="50">
        <f t="shared" si="11"/>
        <v>0</v>
      </c>
      <c r="AE48">
        <v>-22</v>
      </c>
      <c r="AF48" s="12">
        <f>LCOE!E74+LCOE!K$40</f>
        <v>0.14000000000000001</v>
      </c>
      <c r="AG48">
        <f t="shared" si="12"/>
        <v>5.5987782989972097E-2</v>
      </c>
      <c r="AH48" s="16">
        <f t="shared" si="7"/>
        <v>0</v>
      </c>
      <c r="AI48" s="16">
        <f t="shared" si="8"/>
        <v>0</v>
      </c>
      <c r="AJ48" s="16">
        <f t="shared" si="9"/>
        <v>0</v>
      </c>
      <c r="AK48" s="16">
        <f t="shared" si="10"/>
        <v>0</v>
      </c>
      <c r="AL48" s="16">
        <f t="shared" si="13"/>
        <v>0</v>
      </c>
      <c r="AM48" s="16"/>
    </row>
    <row r="49" spans="1:39">
      <c r="A49">
        <v>-21</v>
      </c>
      <c r="B49" s="16">
        <f>LCOE!C75+IF(A49&gt;=((LCOE!K$17*-1)+1),LCOE!K$38/LCOE!K$17,0)</f>
        <v>0</v>
      </c>
      <c r="C49" s="16"/>
      <c r="D49" s="16"/>
      <c r="E49" s="18"/>
      <c r="Z49" s="50">
        <f t="shared" si="3"/>
        <v>0</v>
      </c>
      <c r="AA49" s="50">
        <f t="shared" si="4"/>
        <v>0</v>
      </c>
      <c r="AB49" s="50">
        <f t="shared" si="5"/>
        <v>0</v>
      </c>
      <c r="AC49" s="50">
        <f t="shared" si="6"/>
        <v>0</v>
      </c>
      <c r="AD49" s="50">
        <f t="shared" si="11"/>
        <v>0</v>
      </c>
      <c r="AE49">
        <v>-21</v>
      </c>
      <c r="AF49" s="12">
        <f>LCOE!E75+LCOE!K$40</f>
        <v>0.14000000000000001</v>
      </c>
      <c r="AG49">
        <f t="shared" si="12"/>
        <v>6.3826072608568193E-2</v>
      </c>
      <c r="AH49" s="16">
        <f t="shared" si="7"/>
        <v>0</v>
      </c>
      <c r="AI49" s="16">
        <f t="shared" si="8"/>
        <v>0</v>
      </c>
      <c r="AJ49" s="16">
        <f t="shared" si="9"/>
        <v>0</v>
      </c>
      <c r="AK49" s="16">
        <f t="shared" si="10"/>
        <v>0</v>
      </c>
      <c r="AL49" s="16">
        <f t="shared" si="13"/>
        <v>0</v>
      </c>
      <c r="AM49" s="16"/>
    </row>
    <row r="50" spans="1:39">
      <c r="A50">
        <v>-20</v>
      </c>
      <c r="B50" s="16">
        <f>LCOE!C76+IF(A50&gt;=((LCOE!K$17*-1)+1),LCOE!K$38/LCOE!K$17,0)</f>
        <v>0</v>
      </c>
      <c r="C50" s="16"/>
      <c r="D50" s="16"/>
      <c r="E50" s="18"/>
      <c r="Z50" s="50">
        <f t="shared" si="3"/>
        <v>0</v>
      </c>
      <c r="AA50" s="50">
        <f t="shared" si="4"/>
        <v>0</v>
      </c>
      <c r="AB50" s="50">
        <f t="shared" si="5"/>
        <v>0</v>
      </c>
      <c r="AC50" s="50">
        <f t="shared" si="6"/>
        <v>0</v>
      </c>
      <c r="AD50" s="50">
        <f t="shared" si="11"/>
        <v>0</v>
      </c>
      <c r="AE50">
        <v>-20</v>
      </c>
      <c r="AF50" s="12">
        <f>LCOE!E76+LCOE!K$40</f>
        <v>0.14000000000000001</v>
      </c>
      <c r="AG50">
        <f t="shared" si="12"/>
        <v>7.2761722773767745E-2</v>
      </c>
      <c r="AH50" s="16">
        <f t="shared" si="7"/>
        <v>0</v>
      </c>
      <c r="AI50" s="16">
        <f t="shared" si="8"/>
        <v>0</v>
      </c>
      <c r="AJ50" s="16">
        <f t="shared" si="9"/>
        <v>0</v>
      </c>
      <c r="AK50" s="16">
        <f t="shared" si="10"/>
        <v>0</v>
      </c>
      <c r="AL50" s="16">
        <f t="shared" si="13"/>
        <v>0</v>
      </c>
      <c r="AM50" s="16"/>
    </row>
    <row r="51" spans="1:39">
      <c r="A51">
        <v>-19</v>
      </c>
      <c r="B51" s="16">
        <f>LCOE!C77+IF(A51&gt;=((LCOE!K$17*-1)+1),LCOE!K$38/LCOE!K$17,0)</f>
        <v>0</v>
      </c>
      <c r="C51" s="16"/>
      <c r="D51" s="16"/>
      <c r="E51" s="18"/>
      <c r="Z51" s="50">
        <f t="shared" si="3"/>
        <v>0</v>
      </c>
      <c r="AA51" s="50">
        <f t="shared" si="4"/>
        <v>0</v>
      </c>
      <c r="AB51" s="50">
        <f t="shared" si="5"/>
        <v>0</v>
      </c>
      <c r="AC51" s="50">
        <f t="shared" si="6"/>
        <v>0</v>
      </c>
      <c r="AD51" s="50">
        <f t="shared" si="11"/>
        <v>0</v>
      </c>
      <c r="AE51">
        <v>-19</v>
      </c>
      <c r="AF51" s="12">
        <f>LCOE!E77+LCOE!K$40</f>
        <v>0.14000000000000001</v>
      </c>
      <c r="AG51">
        <f t="shared" si="12"/>
        <v>8.2948363962095248E-2</v>
      </c>
      <c r="AH51" s="16">
        <f t="shared" si="7"/>
        <v>0</v>
      </c>
      <c r="AI51" s="16">
        <f t="shared" si="8"/>
        <v>0</v>
      </c>
      <c r="AJ51" s="16">
        <f t="shared" si="9"/>
        <v>0</v>
      </c>
      <c r="AK51" s="16">
        <f t="shared" si="10"/>
        <v>0</v>
      </c>
      <c r="AL51" s="16">
        <f t="shared" si="13"/>
        <v>0</v>
      </c>
      <c r="AM51" s="16"/>
    </row>
    <row r="52" spans="1:39">
      <c r="A52">
        <v>-18</v>
      </c>
      <c r="B52" s="16">
        <f>LCOE!C78+IF(A52&gt;=((LCOE!K$17*-1)+1),LCOE!K$38/LCOE!K$17,0)</f>
        <v>0</v>
      </c>
      <c r="C52" s="16"/>
      <c r="D52" s="16"/>
      <c r="E52" s="18"/>
      <c r="Z52" s="50">
        <f t="shared" si="3"/>
        <v>0</v>
      </c>
      <c r="AA52" s="50">
        <f t="shared" si="4"/>
        <v>0</v>
      </c>
      <c r="AB52" s="50">
        <f t="shared" si="5"/>
        <v>0</v>
      </c>
      <c r="AC52" s="50">
        <f t="shared" si="6"/>
        <v>0</v>
      </c>
      <c r="AD52" s="50">
        <f t="shared" si="11"/>
        <v>0</v>
      </c>
      <c r="AE52">
        <v>-18</v>
      </c>
      <c r="AF52" s="12">
        <f>LCOE!E78+LCOE!K$40</f>
        <v>0.14000000000000001</v>
      </c>
      <c r="AG52">
        <f t="shared" si="12"/>
        <v>9.4561134916788581E-2</v>
      </c>
      <c r="AH52" s="16">
        <f t="shared" si="7"/>
        <v>0</v>
      </c>
      <c r="AI52" s="16">
        <f t="shared" si="8"/>
        <v>0</v>
      </c>
      <c r="AJ52" s="16">
        <f t="shared" si="9"/>
        <v>0</v>
      </c>
      <c r="AK52" s="16">
        <f t="shared" si="10"/>
        <v>0</v>
      </c>
      <c r="AL52" s="16">
        <f t="shared" si="13"/>
        <v>0</v>
      </c>
      <c r="AM52" s="16"/>
    </row>
    <row r="53" spans="1:39">
      <c r="A53">
        <v>-17</v>
      </c>
      <c r="B53" s="16">
        <f>LCOE!C79+IF(A53&gt;=((LCOE!K$17*-1)+1),LCOE!K$38/LCOE!K$17,0)</f>
        <v>0</v>
      </c>
      <c r="C53" s="16"/>
      <c r="D53" s="16"/>
      <c r="E53" s="18"/>
      <c r="Z53" s="50">
        <f t="shared" si="3"/>
        <v>0</v>
      </c>
      <c r="AA53" s="50">
        <f t="shared" si="4"/>
        <v>0</v>
      </c>
      <c r="AB53" s="50">
        <f t="shared" si="5"/>
        <v>0</v>
      </c>
      <c r="AC53" s="50">
        <f t="shared" si="6"/>
        <v>0</v>
      </c>
      <c r="AD53" s="50">
        <f t="shared" si="11"/>
        <v>0</v>
      </c>
      <c r="AE53">
        <v>-17</v>
      </c>
      <c r="AF53" s="12">
        <f>LCOE!E79+LCOE!K$40</f>
        <v>0.14000000000000001</v>
      </c>
      <c r="AG53">
        <f t="shared" si="12"/>
        <v>0.107799693805139</v>
      </c>
      <c r="AH53" s="16">
        <f t="shared" si="7"/>
        <v>0</v>
      </c>
      <c r="AI53" s="16">
        <f t="shared" si="8"/>
        <v>0</v>
      </c>
      <c r="AJ53" s="16">
        <f t="shared" si="9"/>
        <v>0</v>
      </c>
      <c r="AK53" s="16">
        <f t="shared" si="10"/>
        <v>0</v>
      </c>
      <c r="AL53" s="16">
        <f t="shared" si="13"/>
        <v>0</v>
      </c>
      <c r="AM53" s="16"/>
    </row>
    <row r="54" spans="1:39">
      <c r="A54">
        <v>-16</v>
      </c>
      <c r="B54" s="16">
        <f>LCOE!C80+IF(A54&gt;=((LCOE!K$17*-1)+1),LCOE!K$38/LCOE!K$17,0)</f>
        <v>0</v>
      </c>
      <c r="C54" s="16"/>
      <c r="D54" s="16"/>
      <c r="E54" s="18"/>
      <c r="Z54" s="50">
        <f t="shared" si="3"/>
        <v>0</v>
      </c>
      <c r="AA54" s="50">
        <f t="shared" si="4"/>
        <v>0</v>
      </c>
      <c r="AB54" s="50">
        <f t="shared" si="5"/>
        <v>0</v>
      </c>
      <c r="AC54" s="50">
        <f t="shared" si="6"/>
        <v>0</v>
      </c>
      <c r="AD54" s="50">
        <f t="shared" si="11"/>
        <v>0</v>
      </c>
      <c r="AE54">
        <v>-16</v>
      </c>
      <c r="AF54" s="12">
        <f>LCOE!E80+LCOE!K$40</f>
        <v>0.14000000000000001</v>
      </c>
      <c r="AG54">
        <f t="shared" si="12"/>
        <v>0.12289165093785848</v>
      </c>
      <c r="AH54" s="16">
        <f t="shared" si="7"/>
        <v>0</v>
      </c>
      <c r="AI54" s="16">
        <f t="shared" si="8"/>
        <v>0</v>
      </c>
      <c r="AJ54" s="16">
        <f t="shared" si="9"/>
        <v>0</v>
      </c>
      <c r="AK54" s="16">
        <f t="shared" si="10"/>
        <v>0</v>
      </c>
      <c r="AL54" s="16">
        <f t="shared" si="13"/>
        <v>0</v>
      </c>
      <c r="AM54" s="16"/>
    </row>
    <row r="55" spans="1:39">
      <c r="A55">
        <v>-15</v>
      </c>
      <c r="B55" s="16">
        <f>LCOE!C81+IF(A55&gt;=((LCOE!K$17*-1)+1),LCOE!K$38/LCOE!K$17,0)</f>
        <v>0</v>
      </c>
      <c r="C55" s="16"/>
      <c r="D55" s="16"/>
      <c r="E55" s="18"/>
      <c r="Z55" s="50">
        <f t="shared" si="3"/>
        <v>0</v>
      </c>
      <c r="AA55" s="50">
        <f t="shared" si="4"/>
        <v>0</v>
      </c>
      <c r="AB55" s="50">
        <f t="shared" si="5"/>
        <v>0</v>
      </c>
      <c r="AC55" s="50">
        <f t="shared" si="6"/>
        <v>0</v>
      </c>
      <c r="AD55" s="50">
        <f t="shared" si="11"/>
        <v>0</v>
      </c>
      <c r="AE55">
        <v>-15</v>
      </c>
      <c r="AF55" s="12">
        <f>LCOE!E81+LCOE!K$40</f>
        <v>0.14000000000000001</v>
      </c>
      <c r="AG55">
        <f t="shared" si="12"/>
        <v>0.1400964820691587</v>
      </c>
      <c r="AH55" s="16">
        <f t="shared" si="7"/>
        <v>0</v>
      </c>
      <c r="AI55" s="16">
        <f t="shared" si="8"/>
        <v>0</v>
      </c>
      <c r="AJ55" s="16">
        <f t="shared" si="9"/>
        <v>0</v>
      </c>
      <c r="AK55" s="16">
        <f t="shared" si="10"/>
        <v>0</v>
      </c>
      <c r="AL55" s="16">
        <f t="shared" si="13"/>
        <v>0</v>
      </c>
      <c r="AM55" s="16"/>
    </row>
    <row r="56" spans="1:39">
      <c r="A56">
        <v>-14</v>
      </c>
      <c r="B56" s="16">
        <f>LCOE!C82+IF(A56&gt;=((LCOE!K$17*-1)+1),LCOE!K$38/LCOE!K$17,0)</f>
        <v>0</v>
      </c>
      <c r="C56" s="16"/>
      <c r="D56" s="16"/>
      <c r="E56" s="18"/>
      <c r="Z56" s="50">
        <f t="shared" si="3"/>
        <v>0</v>
      </c>
      <c r="AA56" s="50">
        <f t="shared" si="4"/>
        <v>0</v>
      </c>
      <c r="AB56" s="50">
        <f t="shared" si="5"/>
        <v>0</v>
      </c>
      <c r="AC56" s="50">
        <f t="shared" si="6"/>
        <v>0</v>
      </c>
      <c r="AD56" s="50">
        <f t="shared" si="11"/>
        <v>0</v>
      </c>
      <c r="AE56">
        <v>-14</v>
      </c>
      <c r="AF56" s="12">
        <f>LCOE!E82+LCOE!K$40</f>
        <v>0.14000000000000001</v>
      </c>
      <c r="AG56">
        <f t="shared" si="12"/>
        <v>0.15970998955884091</v>
      </c>
      <c r="AH56" s="16">
        <f t="shared" si="7"/>
        <v>0</v>
      </c>
      <c r="AI56" s="16">
        <f t="shared" si="8"/>
        <v>0</v>
      </c>
      <c r="AJ56" s="16">
        <f t="shared" si="9"/>
        <v>0</v>
      </c>
      <c r="AK56" s="16">
        <f t="shared" si="10"/>
        <v>0</v>
      </c>
      <c r="AL56" s="16">
        <f t="shared" si="13"/>
        <v>0</v>
      </c>
      <c r="AM56" s="16"/>
    </row>
    <row r="57" spans="1:39">
      <c r="A57">
        <v>-13</v>
      </c>
      <c r="B57" s="16">
        <f>LCOE!C83+IF(A57&gt;=((LCOE!K$17*-1)+1),LCOE!K$38/LCOE!K$17,0)</f>
        <v>0</v>
      </c>
      <c r="C57" s="16"/>
      <c r="D57" s="16"/>
      <c r="E57" s="18"/>
      <c r="Z57" s="50">
        <f t="shared" si="3"/>
        <v>0</v>
      </c>
      <c r="AA57" s="50">
        <f t="shared" si="4"/>
        <v>0</v>
      </c>
      <c r="AB57" s="50">
        <f t="shared" si="5"/>
        <v>0</v>
      </c>
      <c r="AC57" s="50">
        <f t="shared" si="6"/>
        <v>0</v>
      </c>
      <c r="AD57" s="50">
        <f t="shared" si="11"/>
        <v>0</v>
      </c>
      <c r="AE57">
        <v>-13</v>
      </c>
      <c r="AF57" s="12">
        <f>LCOE!E83+LCOE!K$40</f>
        <v>0.14000000000000001</v>
      </c>
      <c r="AG57">
        <f t="shared" si="12"/>
        <v>0.18206938809707865</v>
      </c>
      <c r="AH57" s="16">
        <f t="shared" si="7"/>
        <v>0</v>
      </c>
      <c r="AI57" s="16">
        <f t="shared" si="8"/>
        <v>0</v>
      </c>
      <c r="AJ57" s="16">
        <f t="shared" si="9"/>
        <v>0</v>
      </c>
      <c r="AK57" s="16">
        <f t="shared" si="10"/>
        <v>0</v>
      </c>
      <c r="AL57" s="16">
        <f t="shared" si="13"/>
        <v>0</v>
      </c>
      <c r="AM57" s="16"/>
    </row>
    <row r="58" spans="1:39">
      <c r="A58">
        <v>-12</v>
      </c>
      <c r="B58" s="16">
        <f>LCOE!C84+IF(A58&gt;=((LCOE!K$17*-1)+1),LCOE!K$38/LCOE!K$17,0)</f>
        <v>0</v>
      </c>
      <c r="C58" s="16"/>
      <c r="D58" s="16"/>
      <c r="E58" s="18"/>
      <c r="Z58" s="50">
        <f t="shared" si="3"/>
        <v>0</v>
      </c>
      <c r="AA58" s="50">
        <f t="shared" si="4"/>
        <v>0</v>
      </c>
      <c r="AB58" s="50">
        <f t="shared" si="5"/>
        <v>0</v>
      </c>
      <c r="AC58" s="50">
        <f t="shared" si="6"/>
        <v>0</v>
      </c>
      <c r="AD58" s="50">
        <f t="shared" si="11"/>
        <v>0</v>
      </c>
      <c r="AE58">
        <v>-12</v>
      </c>
      <c r="AF58" s="12">
        <f>LCOE!E84+LCOE!K$40</f>
        <v>0.14000000000000001</v>
      </c>
      <c r="AG58">
        <f t="shared" si="12"/>
        <v>0.20755910243066969</v>
      </c>
      <c r="AH58" s="16">
        <f t="shared" si="7"/>
        <v>0</v>
      </c>
      <c r="AI58" s="16">
        <f t="shared" si="8"/>
        <v>0</v>
      </c>
      <c r="AJ58" s="16">
        <f t="shared" si="9"/>
        <v>0</v>
      </c>
      <c r="AK58" s="16">
        <f t="shared" si="10"/>
        <v>0</v>
      </c>
      <c r="AL58" s="16">
        <f t="shared" si="13"/>
        <v>0</v>
      </c>
      <c r="AM58" s="16"/>
    </row>
    <row r="59" spans="1:39">
      <c r="A59">
        <v>-11</v>
      </c>
      <c r="B59" s="16">
        <f>LCOE!C85+IF(A59&gt;=((LCOE!K$17*-1)+1),LCOE!K$38/LCOE!K$17,0)</f>
        <v>0</v>
      </c>
      <c r="C59" s="16"/>
      <c r="D59" s="16"/>
      <c r="E59" s="18"/>
      <c r="Z59" s="50">
        <f t="shared" si="3"/>
        <v>0</v>
      </c>
      <c r="AA59" s="50">
        <f t="shared" si="4"/>
        <v>0</v>
      </c>
      <c r="AB59" s="50">
        <f t="shared" si="5"/>
        <v>0</v>
      </c>
      <c r="AC59" s="50">
        <f t="shared" si="6"/>
        <v>0</v>
      </c>
      <c r="AD59" s="50">
        <f t="shared" si="11"/>
        <v>0</v>
      </c>
      <c r="AE59">
        <v>-11</v>
      </c>
      <c r="AF59" s="12">
        <f>LCOE!E85+LCOE!K$40</f>
        <v>0.14000000000000001</v>
      </c>
      <c r="AG59">
        <f t="shared" si="12"/>
        <v>0.23661737677096348</v>
      </c>
      <c r="AH59" s="16">
        <f t="shared" si="7"/>
        <v>0</v>
      </c>
      <c r="AI59" s="16">
        <f t="shared" si="8"/>
        <v>0</v>
      </c>
      <c r="AJ59" s="16">
        <f t="shared" si="9"/>
        <v>0</v>
      </c>
      <c r="AK59" s="16">
        <f t="shared" si="10"/>
        <v>0</v>
      </c>
      <c r="AL59" s="16">
        <f t="shared" si="13"/>
        <v>0</v>
      </c>
      <c r="AM59" s="16"/>
    </row>
    <row r="60" spans="1:39">
      <c r="A60">
        <v>-10</v>
      </c>
      <c r="B60" s="16">
        <f>LCOE!C86+IF(A60&gt;=((LCOE!K$17*-1)+1),LCOE!K$38/LCOE!K$17,0)</f>
        <v>0</v>
      </c>
      <c r="C60" s="16"/>
      <c r="D60" s="16"/>
      <c r="E60" s="18"/>
      <c r="Z60" s="50">
        <f t="shared" si="3"/>
        <v>0</v>
      </c>
      <c r="AA60" s="50">
        <f t="shared" si="4"/>
        <v>0</v>
      </c>
      <c r="AB60" s="50">
        <f t="shared" si="5"/>
        <v>0</v>
      </c>
      <c r="AC60" s="50">
        <f t="shared" si="6"/>
        <v>0</v>
      </c>
      <c r="AD60" s="50">
        <f t="shared" si="11"/>
        <v>0</v>
      </c>
      <c r="AE60">
        <v>-10</v>
      </c>
      <c r="AF60" s="12">
        <f>LCOE!E86+LCOE!K$40</f>
        <v>0.14000000000000001</v>
      </c>
      <c r="AG60">
        <f t="shared" si="12"/>
        <v>0.26974380951889843</v>
      </c>
      <c r="AH60" s="16">
        <f t="shared" si="7"/>
        <v>0</v>
      </c>
      <c r="AI60" s="16">
        <f t="shared" si="8"/>
        <v>0</v>
      </c>
      <c r="AJ60" s="16">
        <f t="shared" si="9"/>
        <v>0</v>
      </c>
      <c r="AK60" s="16">
        <f t="shared" si="10"/>
        <v>0</v>
      </c>
      <c r="AL60" s="16">
        <f t="shared" si="13"/>
        <v>0</v>
      </c>
      <c r="AM60" s="16"/>
    </row>
    <row r="61" spans="1:39">
      <c r="A61">
        <v>-9</v>
      </c>
      <c r="B61" s="16">
        <f>LCOE!C87+IF(A61&gt;=((LCOE!K$17*-1)+1),LCOE!K$38/LCOE!K$17,0)</f>
        <v>0</v>
      </c>
      <c r="C61" s="16"/>
      <c r="D61" s="16"/>
      <c r="E61" s="18"/>
      <c r="Z61" s="50">
        <f t="shared" si="3"/>
        <v>0</v>
      </c>
      <c r="AA61" s="50">
        <f t="shared" si="4"/>
        <v>0</v>
      </c>
      <c r="AB61" s="50">
        <f t="shared" si="5"/>
        <v>0</v>
      </c>
      <c r="AC61" s="50">
        <f t="shared" si="6"/>
        <v>0</v>
      </c>
      <c r="AD61" s="50">
        <f t="shared" si="11"/>
        <v>0</v>
      </c>
      <c r="AE61">
        <v>-9</v>
      </c>
      <c r="AF61" s="12">
        <f>LCOE!E87+LCOE!K$40</f>
        <v>0.14000000000000001</v>
      </c>
      <c r="AG61">
        <f t="shared" si="12"/>
        <v>0.3075079428515442</v>
      </c>
      <c r="AH61" s="16">
        <f t="shared" si="7"/>
        <v>0</v>
      </c>
      <c r="AI61" s="16">
        <f t="shared" si="8"/>
        <v>0</v>
      </c>
      <c r="AJ61" s="16">
        <f t="shared" si="9"/>
        <v>0</v>
      </c>
      <c r="AK61" s="16">
        <f t="shared" si="10"/>
        <v>0</v>
      </c>
      <c r="AL61" s="16">
        <f t="shared" si="13"/>
        <v>0</v>
      </c>
      <c r="AM61" s="16"/>
    </row>
    <row r="62" spans="1:39">
      <c r="A62">
        <v>-8</v>
      </c>
      <c r="B62" s="16">
        <f>LCOE!C88+IF(A62&gt;=((LCOE!K$17*-1)+1),LCOE!K$38/LCOE!K$17,0)</f>
        <v>0</v>
      </c>
      <c r="C62" s="16"/>
      <c r="D62" s="16"/>
      <c r="E62" s="18"/>
      <c r="Z62" s="50">
        <f t="shared" si="3"/>
        <v>0</v>
      </c>
      <c r="AA62" s="50">
        <f t="shared" si="4"/>
        <v>0</v>
      </c>
      <c r="AB62" s="50">
        <f t="shared" si="5"/>
        <v>0</v>
      </c>
      <c r="AC62" s="50">
        <f t="shared" si="6"/>
        <v>0</v>
      </c>
      <c r="AD62" s="50">
        <f t="shared" si="11"/>
        <v>0</v>
      </c>
      <c r="AE62">
        <v>-8</v>
      </c>
      <c r="AF62" s="12">
        <f>LCOE!E88+LCOE!K$40</f>
        <v>0.14000000000000001</v>
      </c>
      <c r="AG62">
        <f t="shared" si="12"/>
        <v>0.35055905485076044</v>
      </c>
      <c r="AH62" s="16">
        <f t="shared" si="7"/>
        <v>0</v>
      </c>
      <c r="AI62" s="16">
        <f t="shared" si="8"/>
        <v>0</v>
      </c>
      <c r="AJ62" s="16">
        <f t="shared" si="9"/>
        <v>0</v>
      </c>
      <c r="AK62" s="16">
        <f t="shared" si="10"/>
        <v>0</v>
      </c>
      <c r="AL62" s="16">
        <f t="shared" si="13"/>
        <v>0</v>
      </c>
      <c r="AM62" s="16"/>
    </row>
    <row r="63" spans="1:39">
      <c r="A63">
        <v>-7</v>
      </c>
      <c r="B63" s="16">
        <f>LCOE!C89+IF(A63&gt;=((LCOE!K$17*-1)+1),LCOE!K$38/LCOE!K$17,0)</f>
        <v>0</v>
      </c>
      <c r="C63" s="16"/>
      <c r="D63" s="16"/>
      <c r="E63" s="18"/>
      <c r="Z63" s="50">
        <f t="shared" si="3"/>
        <v>0</v>
      </c>
      <c r="AA63" s="50">
        <f t="shared" si="4"/>
        <v>0</v>
      </c>
      <c r="AB63" s="50">
        <f t="shared" si="5"/>
        <v>0</v>
      </c>
      <c r="AC63" s="50">
        <f t="shared" si="6"/>
        <v>0</v>
      </c>
      <c r="AD63" s="50">
        <f t="shared" si="11"/>
        <v>0</v>
      </c>
      <c r="AE63">
        <v>-7</v>
      </c>
      <c r="AF63" s="12">
        <f>LCOE!E89+LCOE!K$40</f>
        <v>0.14000000000000001</v>
      </c>
      <c r="AG63">
        <f t="shared" si="12"/>
        <v>0.39963732252986695</v>
      </c>
      <c r="AH63" s="16">
        <f t="shared" si="7"/>
        <v>0</v>
      </c>
      <c r="AI63" s="16">
        <f t="shared" si="8"/>
        <v>0</v>
      </c>
      <c r="AJ63" s="16">
        <f t="shared" si="9"/>
        <v>0</v>
      </c>
      <c r="AK63" s="16">
        <f t="shared" si="10"/>
        <v>0</v>
      </c>
      <c r="AL63" s="16">
        <f t="shared" si="13"/>
        <v>0</v>
      </c>
      <c r="AM63" s="16"/>
    </row>
    <row r="64" spans="1:39">
      <c r="A64">
        <v>-6</v>
      </c>
      <c r="B64" s="16">
        <f>LCOE!C90+IF(A64&gt;=((LCOE!K$17*-1)+1),LCOE!K$38/LCOE!K$17,0)</f>
        <v>0</v>
      </c>
      <c r="C64" s="16"/>
      <c r="D64" s="16"/>
      <c r="E64" s="18"/>
      <c r="Z64" s="50">
        <f t="shared" si="3"/>
        <v>0</v>
      </c>
      <c r="AA64" s="50">
        <f t="shared" si="4"/>
        <v>0</v>
      </c>
      <c r="AB64" s="50">
        <f t="shared" si="5"/>
        <v>0</v>
      </c>
      <c r="AC64" s="50">
        <f t="shared" si="6"/>
        <v>0</v>
      </c>
      <c r="AD64" s="50">
        <f t="shared" si="11"/>
        <v>0</v>
      </c>
      <c r="AE64">
        <v>-6</v>
      </c>
      <c r="AF64" s="12">
        <f>LCOE!E90+LCOE!K$40</f>
        <v>0.14000000000000001</v>
      </c>
      <c r="AG64">
        <f t="shared" si="12"/>
        <v>0.45558654768404844</v>
      </c>
      <c r="AH64" s="16">
        <f t="shared" si="7"/>
        <v>0</v>
      </c>
      <c r="AI64" s="16">
        <f t="shared" si="8"/>
        <v>0</v>
      </c>
      <c r="AJ64" s="16">
        <f t="shared" si="9"/>
        <v>0</v>
      </c>
      <c r="AK64" s="16">
        <f t="shared" si="10"/>
        <v>0</v>
      </c>
      <c r="AL64" s="16">
        <f t="shared" si="13"/>
        <v>0</v>
      </c>
      <c r="AM64" s="16"/>
    </row>
    <row r="65" spans="1:40">
      <c r="A65">
        <v>-5</v>
      </c>
      <c r="B65" s="16">
        <f>LCOE!C91+IF(A65&gt;=((LCOE!K$17*-1)+1),LCOE!K$38/LCOE!K$17,0)</f>
        <v>0</v>
      </c>
      <c r="C65" s="16"/>
      <c r="D65" s="16"/>
      <c r="E65" s="18"/>
      <c r="Z65" s="50">
        <f t="shared" si="3"/>
        <v>0</v>
      </c>
      <c r="AA65" s="50">
        <f t="shared" si="4"/>
        <v>0</v>
      </c>
      <c r="AB65" s="50">
        <f t="shared" si="5"/>
        <v>0</v>
      </c>
      <c r="AC65" s="50">
        <f t="shared" si="6"/>
        <v>0</v>
      </c>
      <c r="AD65" s="50">
        <f t="shared" si="11"/>
        <v>0</v>
      </c>
      <c r="AE65">
        <v>-5</v>
      </c>
      <c r="AF65" s="12">
        <f>LCOE!E91+LCOE!K$40</f>
        <v>0.14000000000000001</v>
      </c>
      <c r="AG65">
        <f t="shared" si="12"/>
        <v>0.51936866435981521</v>
      </c>
      <c r="AH65" s="16">
        <f t="shared" si="7"/>
        <v>0</v>
      </c>
      <c r="AI65" s="16">
        <f t="shared" si="8"/>
        <v>0</v>
      </c>
      <c r="AJ65" s="16">
        <f t="shared" si="9"/>
        <v>0</v>
      </c>
      <c r="AK65" s="16">
        <f t="shared" si="10"/>
        <v>0</v>
      </c>
      <c r="AL65" s="16">
        <f t="shared" si="13"/>
        <v>0</v>
      </c>
      <c r="AM65" s="16"/>
    </row>
    <row r="66" spans="1:40">
      <c r="A66">
        <v>-4</v>
      </c>
      <c r="B66" s="16">
        <f>LCOE!C92+IF(A66&gt;=((LCOE!K$17*-1)+1),LCOE!K$38/LCOE!K$17,0)</f>
        <v>0</v>
      </c>
      <c r="C66" s="16"/>
      <c r="D66" s="16"/>
      <c r="E66" s="18"/>
      <c r="Z66" s="50">
        <f t="shared" si="3"/>
        <v>0</v>
      </c>
      <c r="AA66" s="50">
        <f t="shared" si="4"/>
        <v>0</v>
      </c>
      <c r="AB66" s="50">
        <f t="shared" si="5"/>
        <v>0</v>
      </c>
      <c r="AC66" s="50">
        <f t="shared" si="6"/>
        <v>0</v>
      </c>
      <c r="AD66" s="50">
        <f t="shared" si="11"/>
        <v>0</v>
      </c>
      <c r="AE66">
        <v>-4</v>
      </c>
      <c r="AF66" s="12">
        <f>LCOE!E92+LCOE!K$40</f>
        <v>0.14000000000000001</v>
      </c>
      <c r="AG66">
        <f t="shared" si="12"/>
        <v>0.59208027737018942</v>
      </c>
      <c r="AH66" s="16">
        <f t="shared" si="7"/>
        <v>0</v>
      </c>
      <c r="AI66" s="16">
        <f t="shared" si="8"/>
        <v>0</v>
      </c>
      <c r="AJ66" s="16">
        <f t="shared" si="9"/>
        <v>0</v>
      </c>
      <c r="AK66" s="16">
        <f t="shared" si="10"/>
        <v>0</v>
      </c>
      <c r="AL66" s="16">
        <f t="shared" si="13"/>
        <v>0</v>
      </c>
      <c r="AM66" s="16"/>
    </row>
    <row r="67" spans="1:40">
      <c r="A67">
        <v>-3</v>
      </c>
      <c r="B67" s="16">
        <f>LCOE!C93+IF(A67&gt;=((LCOE!K$17*-1)+1),LCOE!K$38/LCOE!K$17,0)</f>
        <v>0</v>
      </c>
      <c r="C67" s="16"/>
      <c r="D67" s="16"/>
      <c r="E67" s="18"/>
      <c r="Z67" s="50">
        <f t="shared" si="3"/>
        <v>0</v>
      </c>
      <c r="AA67" s="50">
        <f t="shared" si="4"/>
        <v>0</v>
      </c>
      <c r="AB67" s="50">
        <f t="shared" si="5"/>
        <v>0</v>
      </c>
      <c r="AC67" s="50">
        <f t="shared" si="6"/>
        <v>0</v>
      </c>
      <c r="AD67" s="50">
        <f t="shared" si="11"/>
        <v>0</v>
      </c>
      <c r="AE67">
        <v>-3</v>
      </c>
      <c r="AF67" s="12">
        <f>LCOE!E93+LCOE!K$40</f>
        <v>0.14000000000000001</v>
      </c>
      <c r="AG67">
        <f t="shared" si="12"/>
        <v>0.67497151620201612</v>
      </c>
      <c r="AH67" s="16">
        <f t="shared" si="7"/>
        <v>0</v>
      </c>
      <c r="AI67" s="16">
        <f t="shared" si="8"/>
        <v>0</v>
      </c>
      <c r="AJ67" s="16">
        <f t="shared" si="9"/>
        <v>0</v>
      </c>
      <c r="AK67" s="16">
        <f t="shared" si="10"/>
        <v>0</v>
      </c>
      <c r="AL67" s="16">
        <f t="shared" si="13"/>
        <v>0</v>
      </c>
      <c r="AM67" s="16"/>
    </row>
    <row r="68" spans="1:40">
      <c r="A68">
        <v>-2</v>
      </c>
      <c r="B68" s="16">
        <f>LCOE!C94+IF(A68&gt;=((LCOE!K$17*-1)+1),LCOE!K$38/LCOE!K$17,0)</f>
        <v>168166666.66666666</v>
      </c>
      <c r="C68" s="16"/>
      <c r="D68" s="16"/>
      <c r="E68" s="18"/>
      <c r="Z68" s="50">
        <f t="shared" si="3"/>
        <v>168166666.66666666</v>
      </c>
      <c r="AA68" s="50">
        <f t="shared" si="4"/>
        <v>0</v>
      </c>
      <c r="AB68" s="50">
        <f t="shared" si="5"/>
        <v>0</v>
      </c>
      <c r="AC68" s="50">
        <f t="shared" si="6"/>
        <v>0</v>
      </c>
      <c r="AD68" s="50">
        <f t="shared" si="11"/>
        <v>0</v>
      </c>
      <c r="AE68">
        <v>-2</v>
      </c>
      <c r="AF68" s="12">
        <f>LCOE!E94+LCOE!K$40</f>
        <v>0.14000000000000001</v>
      </c>
      <c r="AG68">
        <f t="shared" si="12"/>
        <v>0.76946752847029842</v>
      </c>
      <c r="AH68" s="16">
        <f t="shared" si="7"/>
        <v>218549400.00000003</v>
      </c>
      <c r="AI68" s="16">
        <f t="shared" si="8"/>
        <v>0</v>
      </c>
      <c r="AJ68" s="16">
        <f t="shared" si="9"/>
        <v>0</v>
      </c>
      <c r="AK68" s="16">
        <f t="shared" si="10"/>
        <v>0</v>
      </c>
      <c r="AL68" s="16">
        <f t="shared" si="13"/>
        <v>0</v>
      </c>
      <c r="AM68" s="16"/>
    </row>
    <row r="69" spans="1:40">
      <c r="A69">
        <v>-1</v>
      </c>
      <c r="B69" s="16">
        <f>LCOE!C95+IF(A69&gt;=((LCOE!K$17*-1)+1),LCOE!K$38/LCOE!K$17,0)</f>
        <v>168166666.66666666</v>
      </c>
      <c r="C69" s="16"/>
      <c r="D69" s="16"/>
      <c r="E69" s="18"/>
      <c r="Z69" s="50">
        <f t="shared" si="3"/>
        <v>168166666.66666666</v>
      </c>
      <c r="AA69" s="50">
        <f t="shared" si="4"/>
        <v>0</v>
      </c>
      <c r="AB69" s="50">
        <f t="shared" si="5"/>
        <v>0</v>
      </c>
      <c r="AC69" s="50">
        <f t="shared" si="6"/>
        <v>0</v>
      </c>
      <c r="AD69" s="50">
        <f t="shared" si="11"/>
        <v>0</v>
      </c>
      <c r="AE69">
        <v>-1</v>
      </c>
      <c r="AF69" s="12">
        <f>LCOE!E95+LCOE!K$40</f>
        <v>0.14000000000000001</v>
      </c>
      <c r="AG69">
        <f t="shared" si="12"/>
        <v>0.8771929824561403</v>
      </c>
      <c r="AH69" s="16">
        <f t="shared" si="7"/>
        <v>191710000</v>
      </c>
      <c r="AI69" s="16">
        <f t="shared" si="8"/>
        <v>0</v>
      </c>
      <c r="AJ69" s="16">
        <f t="shared" si="9"/>
        <v>0</v>
      </c>
      <c r="AK69" s="16">
        <f t="shared" si="10"/>
        <v>0</v>
      </c>
      <c r="AL69" s="16">
        <f t="shared" si="13"/>
        <v>0</v>
      </c>
      <c r="AM69" s="16"/>
    </row>
    <row r="70" spans="1:40">
      <c r="A70">
        <v>0</v>
      </c>
      <c r="B70" s="16">
        <f>LCOE!C96+IF(A70&gt;=((LCOE!K$17*-1)+1),LCOE!K$38/LCOE!K$17,0)</f>
        <v>168166666.66666666</v>
      </c>
      <c r="C70" s="16">
        <f>LCOE!K96+IF(AND(LCOE!K$26&gt;0,A70&gt;=LCOE!K$26,A70&lt;=(LCOE!K$26+LCOE!K$27-1)),LCOE!K$42/LCOE!K$27,0)+IF(AND(D70=0,AE70&gt;=LCOE!K$16,COUNTIF(D45:D70,0)=LCOE!K$36),LCOE!K$35*LCOE!K$38,0)</f>
        <v>0</v>
      </c>
      <c r="D70" s="16">
        <f>IF(AE69&lt;LCOE!K$16,1,0)</f>
        <v>1</v>
      </c>
      <c r="E70" s="12">
        <f>LCOE!G96+IF(AND(A70&gt;=LCOE!K$26,A70&lt;=(LCOE!K$26+LCOE!K$27-1)),0,1)*IF(A70=LCOE!K$34,0,1)*D70</f>
        <v>1</v>
      </c>
      <c r="F70" s="14">
        <f>LCOE!K$18*50%+LCOE!J96</f>
        <v>0.45</v>
      </c>
      <c r="G70" s="16">
        <f>LCOE!K96+E70*F70*N70*(LCOE!K$14+LCOE!H96)*24*365*D70</f>
        <v>1971000</v>
      </c>
      <c r="H70" s="16">
        <f>LCOE!L96+F70*(LCOE!K$15+LCOE!I96)*E70*24*365*D70*N70</f>
        <v>0</v>
      </c>
      <c r="I70" s="16">
        <f>LCOE!M96+LCOE!K$20*IF(LCOE!K$14&gt;0,(LCOE!K$14+LCOE!H96),(LCOE!K$15+LCOE!I96))*K70*D70</f>
        <v>20000000</v>
      </c>
      <c r="J70" s="16">
        <f>LCOE!N96+LCOE!K$21*IF(LCOE!K$14&gt;0,G70,H70)*K70*D70</f>
        <v>0</v>
      </c>
      <c r="K70" s="15">
        <f>LCOE!O96+100%</f>
        <v>1</v>
      </c>
      <c r="L70" s="16">
        <f>LCOE!P96+LCOE!K$23*IF(LCOE!K$14&gt;0,G70,H70)*M70*D70</f>
        <v>84082860</v>
      </c>
      <c r="M70" s="15">
        <f>LCOE!Q96+100%</f>
        <v>1</v>
      </c>
      <c r="N70" s="15">
        <f>LCOE!R96+100%</f>
        <v>1</v>
      </c>
      <c r="O70" s="18">
        <f>LCOE!S96+LCOE!K$29</f>
        <v>313.75</v>
      </c>
      <c r="P70" s="12">
        <f>LCOE!T96+IF(A70&gt;=LCOE!K$30,100%,0%)</f>
        <v>1</v>
      </c>
      <c r="Q70" s="16">
        <f>LCOE!U96+O70/1000*IF(LCOE!K$14&gt;0,G70,H70)</f>
        <v>618401.25</v>
      </c>
      <c r="R70" s="16">
        <f>LCOE!B96</f>
        <v>30</v>
      </c>
      <c r="S70" s="16">
        <f>LCOE!V96+Q70*P70*R70</f>
        <v>18552037.5</v>
      </c>
      <c r="T70" s="16">
        <f>LCOE!W96+LCOE!K$31</f>
        <v>0</v>
      </c>
      <c r="U70" s="16">
        <f>LCOE!X96+T70*IF(LCOE!K$14&gt;0,G70,H70)</f>
        <v>0</v>
      </c>
      <c r="V70" s="16">
        <f>LCOE!Y96+LCOE!K$32</f>
        <v>0</v>
      </c>
      <c r="W70" s="16">
        <f>LCOE!Z96+V70*IF(LCOE!K$14&gt;0,G70,H70)</f>
        <v>0</v>
      </c>
      <c r="X70" s="16">
        <f>LCOE!AA96+LCOE!K$34</f>
        <v>101</v>
      </c>
      <c r="Y70" s="16">
        <f>X70*H70</f>
        <v>0</v>
      </c>
      <c r="Z70" s="50">
        <f>SUM(B70:C70)</f>
        <v>168166666.66666666</v>
      </c>
      <c r="AA70" s="50">
        <f>SUM(I70:J70)</f>
        <v>20000000</v>
      </c>
      <c r="AB70" s="50">
        <f>L70</f>
        <v>84082860</v>
      </c>
      <c r="AC70" s="50">
        <f>U70+W70</f>
        <v>0</v>
      </c>
      <c r="AD70" s="50">
        <f t="shared" si="11"/>
        <v>18552037.5</v>
      </c>
      <c r="AE70">
        <v>0</v>
      </c>
      <c r="AF70" s="12">
        <f>LCOE!E96+LCOE!K$40</f>
        <v>0.14000000000000001</v>
      </c>
      <c r="AG70">
        <f t="shared" si="12"/>
        <v>1</v>
      </c>
      <c r="AH70" s="16">
        <f t="shared" si="7"/>
        <v>168166666.66666666</v>
      </c>
      <c r="AI70" s="16">
        <f t="shared" si="8"/>
        <v>20000000</v>
      </c>
      <c r="AJ70" s="16">
        <f t="shared" si="9"/>
        <v>84082860</v>
      </c>
      <c r="AK70" s="16">
        <f t="shared" si="10"/>
        <v>0</v>
      </c>
      <c r="AL70" s="16">
        <f t="shared" si="13"/>
        <v>18552037.5</v>
      </c>
      <c r="AM70" s="16">
        <f t="shared" ref="AM70:AM133" si="14">(-1)*Y70/AG70</f>
        <v>0</v>
      </c>
      <c r="AN70" s="16">
        <f>IF(LCOE!K$14&gt;0,G70,H70)/AG70</f>
        <v>1971000</v>
      </c>
    </row>
    <row r="71" spans="1:40">
      <c r="A71">
        <v>1</v>
      </c>
      <c r="C71" s="16">
        <f>LCOE!K97+IF(AND(LCOE!K$26&gt;0,A71&gt;=LCOE!K$26,A71&lt;=(LCOE!K$26+LCOE!K$27-1)),LCOE!K$42/LCOE!K$27,0)+IF(AND(D71=0,AE71&gt;=LCOE!K$16,COUNTIF(D46:D71,0)=LCOE!K$36),LCOE!K$35*LCOE!K$38,0)</f>
        <v>0</v>
      </c>
      <c r="D71" s="16">
        <f>IF(AE70&lt;LCOE!K$16,1,0)</f>
        <v>1</v>
      </c>
      <c r="E71" s="12">
        <f>LCOE!G97+IF(AND(A71&gt;=LCOE!K$26,A71&lt;=(LCOE!K$26+LCOE!K$27-1)),0,1)*IF(A71=LCOE!K$34,0,1)*D71</f>
        <v>1</v>
      </c>
      <c r="F71" s="12">
        <f>IF(F70&lt;LCOE!K$18,MIN(F70*(1+LCOE!K$19),LCOE!K$18),LCOE!K$18)+LCOE!J97</f>
        <v>0.72000000000000008</v>
      </c>
      <c r="G71" s="16">
        <f>LCOE!K97+E71*F71*N71*(LCOE!K$14+LCOE!H97)*24*365*D71</f>
        <v>3153600.0000000005</v>
      </c>
      <c r="H71" s="16">
        <f>LCOE!L97+F71*(LCOE!K$15+LCOE!I97)*E71*24*365*D71*N71</f>
        <v>0</v>
      </c>
      <c r="I71" s="16">
        <f>LCOE!M97+LCOE!K$20*IF(LCOE!K$14&gt;0,(LCOE!K$14+LCOE!H97),(LCOE!K$15+LCOE!I97))*K71*D71</f>
        <v>20000000</v>
      </c>
      <c r="J71" s="16">
        <f>LCOE!N97+LCOE!K$21*IF(LCOE!K$14&gt;0,G71,H71)*K71*D71</f>
        <v>0</v>
      </c>
      <c r="K71" s="15">
        <f>LCOE!O97+K70+K70*LCOE!K$22</f>
        <v>1</v>
      </c>
      <c r="L71" s="16">
        <f>LCOE!P97+LCOE!K$23*IF(LCOE!K$14&gt;0,G71,H71)*M71*D71</f>
        <v>134532576</v>
      </c>
      <c r="M71" s="15">
        <f>LCOE!Q97+M70+M70*LCOE!K$24</f>
        <v>1</v>
      </c>
      <c r="N71" s="15">
        <f>LCOE!R97+N70-N70*LCOE!K$25</f>
        <v>1</v>
      </c>
      <c r="O71" s="18">
        <f>LCOE!S97+LCOE!K$29</f>
        <v>313.75</v>
      </c>
      <c r="P71" s="12">
        <f>LCOE!T97+IF(A71&gt;=LCOE!K$30,100%,0%)</f>
        <v>1</v>
      </c>
      <c r="Q71" s="16">
        <f>LCOE!U97+O71/1000*IF(LCOE!K$14&gt;0,G71,H71)</f>
        <v>989442.00000000012</v>
      </c>
      <c r="R71" s="16">
        <f>LCOE!B97</f>
        <v>30</v>
      </c>
      <c r="S71" s="16">
        <f>LCOE!V97+Q71*P71*R71</f>
        <v>29683260.000000004</v>
      </c>
      <c r="T71" s="16">
        <f>LCOE!W97+LCOE!K$31</f>
        <v>0</v>
      </c>
      <c r="U71" s="16">
        <f>LCOE!X97+T71*IF(LCOE!K$14&gt;0,G71,H71)</f>
        <v>0</v>
      </c>
      <c r="V71" s="16">
        <f>LCOE!Y97+LCOE!K$32</f>
        <v>0</v>
      </c>
      <c r="W71" s="16">
        <f>LCOE!Z97+V71*IF(LCOE!K$14&gt;0,G71,H71)</f>
        <v>0</v>
      </c>
      <c r="X71" s="16">
        <f>LCOE!AA97+LCOE!K$34</f>
        <v>101</v>
      </c>
      <c r="Y71" s="16">
        <f t="shared" ref="Y71:Y134" si="15">X71*H71</f>
        <v>0</v>
      </c>
      <c r="Z71" s="50">
        <f>SUM(B71:C71)</f>
        <v>0</v>
      </c>
      <c r="AA71" s="50">
        <f>SUM(I71:J71)</f>
        <v>20000000</v>
      </c>
      <c r="AB71" s="50">
        <f>L71</f>
        <v>134532576</v>
      </c>
      <c r="AC71" s="50">
        <f t="shared" ref="AC71:AC134" si="16">U71+W71</f>
        <v>0</v>
      </c>
      <c r="AD71" s="50">
        <f t="shared" si="11"/>
        <v>29683260.000000004</v>
      </c>
      <c r="AE71">
        <f t="shared" ref="AE71:AE134" si="17">AE70+1*E71</f>
        <v>1</v>
      </c>
      <c r="AF71" s="12">
        <f>LCOE!E97+LCOE!K$40</f>
        <v>0.14000000000000001</v>
      </c>
      <c r="AG71">
        <f t="shared" si="12"/>
        <v>1.1400000000000001</v>
      </c>
      <c r="AH71" s="16">
        <f t="shared" si="7"/>
        <v>0</v>
      </c>
      <c r="AI71" s="16">
        <f t="shared" si="8"/>
        <v>17543859.649122804</v>
      </c>
      <c r="AJ71" s="16">
        <f t="shared" si="9"/>
        <v>118011031.57894735</v>
      </c>
      <c r="AK71" s="16">
        <f t="shared" si="10"/>
        <v>0</v>
      </c>
      <c r="AL71" s="16">
        <f t="shared" si="13"/>
        <v>26037947.368421052</v>
      </c>
      <c r="AM71" s="16">
        <f t="shared" si="14"/>
        <v>0</v>
      </c>
      <c r="AN71" s="16">
        <f>IF(LCOE!K$14&gt;0,G71,H71)/AG71</f>
        <v>2766315.7894736845</v>
      </c>
    </row>
    <row r="72" spans="1:40">
      <c r="A72">
        <v>2</v>
      </c>
      <c r="C72" s="16">
        <f>LCOE!K98+IF(AND(LCOE!K$26&gt;0,A72&gt;=LCOE!K$26,A72&lt;=(LCOE!K$26+LCOE!K$27-1)),LCOE!K$42/LCOE!K$27,0)+IF(AND(D72=0,AE72&gt;=LCOE!K$16,COUNTIF(D47:D72,0)=LCOE!K$36),LCOE!K$35*LCOE!K$38,0)</f>
        <v>0</v>
      </c>
      <c r="D72" s="16">
        <f>IF(AE71&lt;LCOE!K$16,1,0)</f>
        <v>1</v>
      </c>
      <c r="E72" s="12">
        <f>LCOE!G98+IF(AND(A72&gt;=LCOE!K$26,A72&lt;=(LCOE!K$26+LCOE!K$27-1)),0,1)*IF(A72=LCOE!K$34,0,1)*D72</f>
        <v>1</v>
      </c>
      <c r="F72" s="12">
        <f>IF(F71&lt;LCOE!K$18,MIN(F71*(1+LCOE!K$19),LCOE!K$18),LCOE!K$18)+LCOE!J98</f>
        <v>0.9</v>
      </c>
      <c r="G72" s="16">
        <f>LCOE!K98+E72*F72*N72*(LCOE!K$14+LCOE!H98)*24*365*D72</f>
        <v>3942000</v>
      </c>
      <c r="H72" s="16">
        <f>LCOE!L98+F72*(LCOE!K$15+LCOE!I98)*E72*24*365*D72*N72</f>
        <v>0</v>
      </c>
      <c r="I72" s="16">
        <f>LCOE!M98+LCOE!K$20*IF(LCOE!K$14&gt;0,(LCOE!K$14+LCOE!H98),(LCOE!K$15+LCOE!I98))*K72*D72</f>
        <v>20000000</v>
      </c>
      <c r="J72" s="16">
        <f>LCOE!N98+LCOE!K$21*IF(LCOE!K$14&gt;0,G72,H72)*K72*D72</f>
        <v>0</v>
      </c>
      <c r="K72" s="15">
        <f>LCOE!O98+K71+K71*LCOE!K$22</f>
        <v>1</v>
      </c>
      <c r="L72" s="16">
        <f>LCOE!P98+LCOE!K$23*IF(LCOE!K$14&gt;0,G72,H72)*M72*D72</f>
        <v>168165720</v>
      </c>
      <c r="M72" s="15">
        <f>LCOE!Q98+M71+M71*LCOE!K$24</f>
        <v>1</v>
      </c>
      <c r="N72" s="15">
        <f>LCOE!R98+N71-N71*LCOE!K$25</f>
        <v>1</v>
      </c>
      <c r="O72" s="18">
        <f>LCOE!S98+LCOE!K$29</f>
        <v>313.75</v>
      </c>
      <c r="P72" s="12">
        <f>LCOE!T98+IF(A72&gt;=LCOE!K$30,100%,0%)</f>
        <v>1</v>
      </c>
      <c r="Q72" s="16">
        <f>LCOE!U98+O72/1000*IF(LCOE!K$14&gt;0,G72,H72)</f>
        <v>1236802.5</v>
      </c>
      <c r="R72" s="16">
        <f>LCOE!B98</f>
        <v>30</v>
      </c>
      <c r="S72" s="16">
        <f>LCOE!V98+Q72*P72*R72</f>
        <v>37104075</v>
      </c>
      <c r="T72" s="16">
        <f>LCOE!W98+LCOE!K$31</f>
        <v>0</v>
      </c>
      <c r="U72" s="16">
        <f>LCOE!X98+T72*IF(LCOE!K$14&gt;0,G72,H72)</f>
        <v>0</v>
      </c>
      <c r="V72" s="16">
        <f>LCOE!Y98+LCOE!K$32</f>
        <v>0</v>
      </c>
      <c r="W72" s="16">
        <f>LCOE!Z98+V72*IF(LCOE!K$14&gt;0,G72,H72)</f>
        <v>0</v>
      </c>
      <c r="X72" s="16">
        <f>LCOE!AA98+LCOE!K$34</f>
        <v>101</v>
      </c>
      <c r="Y72" s="16">
        <f t="shared" si="15"/>
        <v>0</v>
      </c>
      <c r="Z72" s="50">
        <f t="shared" ref="Z72:Z135" si="18">SUM(B72:C72)</f>
        <v>0</v>
      </c>
      <c r="AA72" s="50">
        <f t="shared" ref="AA72:AA135" si="19">SUM(I72:J72)</f>
        <v>20000000</v>
      </c>
      <c r="AB72" s="50">
        <f t="shared" ref="AB72:AB135" si="20">L72</f>
        <v>168165720</v>
      </c>
      <c r="AC72" s="50">
        <f t="shared" si="16"/>
        <v>0</v>
      </c>
      <c r="AD72" s="50">
        <f t="shared" si="11"/>
        <v>37104075</v>
      </c>
      <c r="AE72">
        <f t="shared" si="17"/>
        <v>2</v>
      </c>
      <c r="AF72" s="12">
        <f>LCOE!E98+LCOE!K$40</f>
        <v>0.14000000000000001</v>
      </c>
      <c r="AG72">
        <f t="shared" si="12"/>
        <v>1.2996000000000003</v>
      </c>
      <c r="AH72" s="16">
        <f t="shared" si="7"/>
        <v>0</v>
      </c>
      <c r="AI72" s="16">
        <f t="shared" si="8"/>
        <v>15389350.569405967</v>
      </c>
      <c r="AJ72" s="16">
        <f t="shared" si="9"/>
        <v>129398060.94182822</v>
      </c>
      <c r="AK72" s="16">
        <f t="shared" si="10"/>
        <v>0</v>
      </c>
      <c r="AL72" s="16">
        <f t="shared" si="13"/>
        <v>28550380.886426587</v>
      </c>
      <c r="AM72" s="16">
        <f t="shared" si="14"/>
        <v>0</v>
      </c>
      <c r="AN72" s="16">
        <f>IF(LCOE!K$14&gt;0,G72,H72)/AG72</f>
        <v>3033240.997229916</v>
      </c>
    </row>
    <row r="73" spans="1:40">
      <c r="A73">
        <v>3</v>
      </c>
      <c r="C73" s="16">
        <f>LCOE!K99+IF(AND(LCOE!K$26&gt;0,A73&gt;=LCOE!K$26,A73&lt;=(LCOE!K$26+LCOE!K$27-1)),LCOE!K$42/LCOE!K$27,0)+IF(AND(D73=0,AE73&gt;=LCOE!K$16,COUNTIF(D48:D73,0)=LCOE!K$36),LCOE!K$35*LCOE!K$38,0)</f>
        <v>0</v>
      </c>
      <c r="D73" s="16">
        <f>IF(AE72&lt;LCOE!K$16,1,0)</f>
        <v>1</v>
      </c>
      <c r="E73" s="12">
        <f>LCOE!G99+IF(AND(A73&gt;=LCOE!K$26,A73&lt;=(LCOE!K$26+LCOE!K$27-1)),0,1)*IF(A73=LCOE!K$34,0,1)*D73</f>
        <v>1</v>
      </c>
      <c r="F73" s="12">
        <f>IF(F72&lt;LCOE!K$18,MIN(F72*(1+LCOE!K$19),LCOE!K$18),LCOE!K$18)+LCOE!J99</f>
        <v>0.9</v>
      </c>
      <c r="G73" s="16">
        <f>LCOE!K99+E73*F73*N73*(LCOE!K$14+LCOE!H99)*24*365*D73</f>
        <v>3942000</v>
      </c>
      <c r="H73" s="16">
        <f>LCOE!L99+F73*(LCOE!K$15+LCOE!I99)*E73*24*365*D73*N73</f>
        <v>0</v>
      </c>
      <c r="I73" s="16">
        <f>LCOE!M99+LCOE!K$20*IF(LCOE!K$14&gt;0,(LCOE!K$14+LCOE!H99),(LCOE!K$15+LCOE!I99))*K73*D73</f>
        <v>20000000</v>
      </c>
      <c r="J73" s="16">
        <f>LCOE!N99+LCOE!K$21*IF(LCOE!K$14&gt;0,G73,H73)*K73*D73</f>
        <v>0</v>
      </c>
      <c r="K73" s="15">
        <f>LCOE!O99+K72+K72*LCOE!K$22</f>
        <v>1</v>
      </c>
      <c r="L73" s="16">
        <f>LCOE!P99+LCOE!K$23*IF(LCOE!K$14&gt;0,G73,H73)*M73*D73</f>
        <v>168165720</v>
      </c>
      <c r="M73" s="15">
        <f>LCOE!Q99+M72+M72*LCOE!K$24</f>
        <v>1</v>
      </c>
      <c r="N73" s="15">
        <f>LCOE!R99+N72-N72*LCOE!K$25</f>
        <v>1</v>
      </c>
      <c r="O73" s="18">
        <f>LCOE!S99+LCOE!K$29</f>
        <v>313.75</v>
      </c>
      <c r="P73" s="12">
        <f>LCOE!T99+IF(A73&gt;=LCOE!K$30,100%,0%)</f>
        <v>1</v>
      </c>
      <c r="Q73" s="16">
        <f>LCOE!U99+O73/1000*IF(LCOE!K$14&gt;0,G73,H73)</f>
        <v>1236802.5</v>
      </c>
      <c r="R73" s="16">
        <f>LCOE!B99</f>
        <v>30</v>
      </c>
      <c r="S73" s="16">
        <f>LCOE!V99+Q73*P73*R73</f>
        <v>37104075</v>
      </c>
      <c r="T73" s="16">
        <f>LCOE!W99+LCOE!K$31</f>
        <v>0</v>
      </c>
      <c r="U73" s="16">
        <f>LCOE!X99+T73*IF(LCOE!K$14&gt;0,G73,H73)</f>
        <v>0</v>
      </c>
      <c r="V73" s="16">
        <f>LCOE!Y99+LCOE!K$32</f>
        <v>0</v>
      </c>
      <c r="W73" s="16">
        <f>LCOE!Z99+V73*IF(LCOE!K$14&gt;0,G73,H73)</f>
        <v>0</v>
      </c>
      <c r="X73" s="16">
        <f>LCOE!AA99+LCOE!K$34</f>
        <v>101</v>
      </c>
      <c r="Y73" s="16">
        <f t="shared" si="15"/>
        <v>0</v>
      </c>
      <c r="Z73" s="50">
        <f t="shared" si="18"/>
        <v>0</v>
      </c>
      <c r="AA73" s="50">
        <f t="shared" si="19"/>
        <v>20000000</v>
      </c>
      <c r="AB73" s="50">
        <f t="shared" si="20"/>
        <v>168165720</v>
      </c>
      <c r="AC73" s="50">
        <f t="shared" si="16"/>
        <v>0</v>
      </c>
      <c r="AD73" s="50">
        <f t="shared" si="11"/>
        <v>37104075</v>
      </c>
      <c r="AE73">
        <f t="shared" si="17"/>
        <v>3</v>
      </c>
      <c r="AF73" s="12">
        <f>LCOE!E99+LCOE!K$40</f>
        <v>0.14000000000000001</v>
      </c>
      <c r="AG73">
        <f t="shared" si="12"/>
        <v>1.4815440000000004</v>
      </c>
      <c r="AH73" s="16">
        <f t="shared" si="7"/>
        <v>0</v>
      </c>
      <c r="AI73" s="16">
        <f t="shared" si="8"/>
        <v>13499430.324040322</v>
      </c>
      <c r="AJ73" s="16">
        <f t="shared" si="9"/>
        <v>113507071.00160371</v>
      </c>
      <c r="AK73" s="16">
        <f t="shared" si="10"/>
        <v>0</v>
      </c>
      <c r="AL73" s="16">
        <f t="shared" si="13"/>
        <v>25044193.760023318</v>
      </c>
      <c r="AM73" s="16">
        <f t="shared" si="14"/>
        <v>0</v>
      </c>
      <c r="AN73" s="16">
        <f>IF(LCOE!K$14&gt;0,G73,H73)/AG73</f>
        <v>2660737.7168683475</v>
      </c>
    </row>
    <row r="74" spans="1:40">
      <c r="A74">
        <v>4</v>
      </c>
      <c r="C74" s="16">
        <f>LCOE!K100+IF(AND(LCOE!K$26&gt;0,A74&gt;=LCOE!K$26,A74&lt;=(LCOE!K$26+LCOE!K$27-1)),LCOE!K$42/LCOE!K$27,0)+IF(AND(D74=0,AE74&gt;=LCOE!K$16,COUNTIF(D49:D74,0)=LCOE!K$36),LCOE!K$35*LCOE!K$38,0)</f>
        <v>0</v>
      </c>
      <c r="D74" s="16">
        <f>IF(AE73&lt;LCOE!K$16,1,0)</f>
        <v>1</v>
      </c>
      <c r="E74" s="12">
        <f>LCOE!G100+IF(AND(A74&gt;=LCOE!K$26,A74&lt;=(LCOE!K$26+LCOE!K$27-1)),0,1)*IF(A74=LCOE!K$34,0,1)*D74</f>
        <v>1</v>
      </c>
      <c r="F74" s="12">
        <f>IF(F73&lt;LCOE!K$18,MIN(F73*(1+LCOE!K$19),LCOE!K$18),LCOE!K$18)+LCOE!J100</f>
        <v>0.9</v>
      </c>
      <c r="G74" s="16">
        <f>LCOE!K100+E74*F74*N74*(LCOE!K$14+LCOE!H100)*24*365*D74</f>
        <v>3942000</v>
      </c>
      <c r="H74" s="16">
        <f>LCOE!L100+F74*(LCOE!K$15+LCOE!I100)*E74*24*365*D74*N74</f>
        <v>0</v>
      </c>
      <c r="I74" s="16">
        <f>LCOE!M100+LCOE!K$20*IF(LCOE!K$14&gt;0,(LCOE!K$14+LCOE!H100),(LCOE!K$15+LCOE!I100))*K74*D74</f>
        <v>20000000</v>
      </c>
      <c r="J74" s="16">
        <f>LCOE!N100+LCOE!K$21*IF(LCOE!K$14&gt;0,G74,H74)*K74*D74</f>
        <v>0</v>
      </c>
      <c r="K74" s="15">
        <f>LCOE!O100+K73+K73*LCOE!K$22</f>
        <v>1</v>
      </c>
      <c r="L74" s="16">
        <f>LCOE!P100+LCOE!K$23*IF(LCOE!K$14&gt;0,G74,H74)*M74*D74</f>
        <v>168165720</v>
      </c>
      <c r="M74" s="15">
        <f>LCOE!Q100+M73+M73*LCOE!K$24</f>
        <v>1</v>
      </c>
      <c r="N74" s="15">
        <f>LCOE!R100+N73-N73*LCOE!K$25</f>
        <v>1</v>
      </c>
      <c r="O74" s="18">
        <f>LCOE!S100+LCOE!K$29</f>
        <v>313.75</v>
      </c>
      <c r="P74" s="12">
        <f>LCOE!T100+IF(A74&gt;=LCOE!K$30,100%,0%)</f>
        <v>1</v>
      </c>
      <c r="Q74" s="16">
        <f>LCOE!U100+O74/1000*IF(LCOE!K$14&gt;0,G74,H74)</f>
        <v>1236802.5</v>
      </c>
      <c r="R74" s="16">
        <f>LCOE!B100</f>
        <v>30</v>
      </c>
      <c r="S74" s="16">
        <f>LCOE!V100+Q74*P74*R74</f>
        <v>37104075</v>
      </c>
      <c r="T74" s="16">
        <f>LCOE!W100+LCOE!K$31</f>
        <v>0</v>
      </c>
      <c r="U74" s="16">
        <f>LCOE!X100+T74*IF(LCOE!K$14&gt;0,G74,H74)</f>
        <v>0</v>
      </c>
      <c r="V74" s="16">
        <f>LCOE!Y100+LCOE!K$32</f>
        <v>0</v>
      </c>
      <c r="W74" s="16">
        <f>LCOE!Z100+V74*IF(LCOE!K$14&gt;0,G74,H74)</f>
        <v>0</v>
      </c>
      <c r="X74" s="16">
        <f>LCOE!AA100+LCOE!K$34</f>
        <v>101</v>
      </c>
      <c r="Y74" s="16">
        <f t="shared" si="15"/>
        <v>0</v>
      </c>
      <c r="Z74" s="50">
        <f t="shared" si="18"/>
        <v>0</v>
      </c>
      <c r="AA74" s="50">
        <f t="shared" si="19"/>
        <v>20000000</v>
      </c>
      <c r="AB74" s="50">
        <f t="shared" si="20"/>
        <v>168165720</v>
      </c>
      <c r="AC74" s="50">
        <f t="shared" si="16"/>
        <v>0</v>
      </c>
      <c r="AD74" s="50">
        <f t="shared" si="11"/>
        <v>37104075</v>
      </c>
      <c r="AE74">
        <f t="shared" si="17"/>
        <v>4</v>
      </c>
      <c r="AF74" s="12">
        <f>LCOE!E100+LCOE!K$40</f>
        <v>0.14000000000000001</v>
      </c>
      <c r="AG74">
        <f t="shared" si="12"/>
        <v>1.6889601600000008</v>
      </c>
      <c r="AH74" s="16">
        <f t="shared" si="7"/>
        <v>0</v>
      </c>
      <c r="AI74" s="16">
        <f t="shared" si="8"/>
        <v>11841605.547403788</v>
      </c>
      <c r="AJ74" s="16">
        <f t="shared" si="9"/>
        <v>99567606.141757607</v>
      </c>
      <c r="AK74" s="16">
        <f t="shared" si="10"/>
        <v>0</v>
      </c>
      <c r="AL74" s="16">
        <f t="shared" si="13"/>
        <v>21968591.017564312</v>
      </c>
      <c r="AM74" s="16">
        <f t="shared" si="14"/>
        <v>0</v>
      </c>
      <c r="AN74" s="16">
        <f>IF(LCOE!K$14&gt;0,G74,H74)/AG74</f>
        <v>2333980.4533932866</v>
      </c>
    </row>
    <row r="75" spans="1:40">
      <c r="A75">
        <v>5</v>
      </c>
      <c r="C75" s="16">
        <f>LCOE!K101+IF(AND(LCOE!K$26&gt;0,A75&gt;=LCOE!K$26,A75&lt;=(LCOE!K$26+LCOE!K$27-1)),LCOE!K$42/LCOE!K$27,0)+IF(AND(D75=0,AE75&gt;=LCOE!K$16,COUNTIF(D50:D75,0)=LCOE!K$36),LCOE!K$35*LCOE!K$38,0)</f>
        <v>0</v>
      </c>
      <c r="D75" s="16">
        <f>IF(AE74&lt;LCOE!K$16,1,0)</f>
        <v>1</v>
      </c>
      <c r="E75" s="12">
        <f>LCOE!G101+IF(AND(A75&gt;=LCOE!K$26,A75&lt;=(LCOE!K$26+LCOE!K$27-1)),0,1)*IF(A75=LCOE!K$34,0,1)*D75</f>
        <v>1</v>
      </c>
      <c r="F75" s="12">
        <f>IF(F74&lt;LCOE!K$18,MIN(F74*(1+LCOE!K$19),LCOE!K$18),LCOE!K$18)+LCOE!J101</f>
        <v>0.9</v>
      </c>
      <c r="G75" s="16">
        <f>LCOE!K101+E75*F75*N75*(LCOE!K$14+LCOE!H101)*24*365*D75</f>
        <v>3942000</v>
      </c>
      <c r="H75" s="16">
        <f>LCOE!L101+F75*(LCOE!K$15+LCOE!I101)*E75*24*365*D75*N75</f>
        <v>0</v>
      </c>
      <c r="I75" s="16">
        <f>LCOE!M101+LCOE!K$20*IF(LCOE!K$14&gt;0,(LCOE!K$14+LCOE!H101),(LCOE!K$15+LCOE!I101))*K75*D75</f>
        <v>20000000</v>
      </c>
      <c r="J75" s="16">
        <f>LCOE!N101+LCOE!K$21*IF(LCOE!K$14&gt;0,G75,H75)*K75*D75</f>
        <v>0</v>
      </c>
      <c r="K75" s="15">
        <f>LCOE!O101+K74+K74*LCOE!K$22</f>
        <v>1</v>
      </c>
      <c r="L75" s="16">
        <f>LCOE!P101+LCOE!K$23*IF(LCOE!K$14&gt;0,G75,H75)*M75*D75</f>
        <v>168165720</v>
      </c>
      <c r="M75" s="15">
        <f>LCOE!Q101+M74+M74*LCOE!K$24</f>
        <v>1</v>
      </c>
      <c r="N75" s="15">
        <f>LCOE!R101+N74-N74*LCOE!K$25</f>
        <v>1</v>
      </c>
      <c r="O75" s="18">
        <f>LCOE!S101+LCOE!K$29</f>
        <v>313.75</v>
      </c>
      <c r="P75" s="12">
        <f>LCOE!T101+IF(A75&gt;=LCOE!K$30,100%,0%)</f>
        <v>1</v>
      </c>
      <c r="Q75" s="16">
        <f>LCOE!U101+O75/1000*IF(LCOE!K$14&gt;0,G75,H75)</f>
        <v>1236802.5</v>
      </c>
      <c r="R75" s="16">
        <f>LCOE!B101</f>
        <v>30</v>
      </c>
      <c r="S75" s="16">
        <f>LCOE!V101+Q75*P75*R75</f>
        <v>37104075</v>
      </c>
      <c r="T75" s="16">
        <f>LCOE!W101+LCOE!K$31</f>
        <v>0</v>
      </c>
      <c r="U75" s="16">
        <f>LCOE!X101+T75*IF(LCOE!K$14&gt;0,G75,H75)</f>
        <v>0</v>
      </c>
      <c r="V75" s="16">
        <f>LCOE!Y101+LCOE!K$32</f>
        <v>0</v>
      </c>
      <c r="W75" s="16">
        <f>LCOE!Z101+V75*IF(LCOE!K$14&gt;0,G75,H75)</f>
        <v>0</v>
      </c>
      <c r="X75" s="16">
        <f>LCOE!AA101+LCOE!K$34</f>
        <v>101</v>
      </c>
      <c r="Y75" s="16">
        <f t="shared" si="15"/>
        <v>0</v>
      </c>
      <c r="Z75" s="50">
        <f t="shared" si="18"/>
        <v>0</v>
      </c>
      <c r="AA75" s="50">
        <f t="shared" si="19"/>
        <v>20000000</v>
      </c>
      <c r="AB75" s="50">
        <f t="shared" si="20"/>
        <v>168165720</v>
      </c>
      <c r="AC75" s="50">
        <f t="shared" si="16"/>
        <v>0</v>
      </c>
      <c r="AD75" s="50">
        <f t="shared" si="11"/>
        <v>37104075</v>
      </c>
      <c r="AE75">
        <f t="shared" si="17"/>
        <v>5</v>
      </c>
      <c r="AF75" s="12">
        <f>LCOE!E101+LCOE!K$40</f>
        <v>0.14000000000000001</v>
      </c>
      <c r="AG75">
        <f t="shared" si="12"/>
        <v>1.9254145824000011</v>
      </c>
      <c r="AH75" s="16">
        <f t="shared" si="7"/>
        <v>0</v>
      </c>
      <c r="AI75" s="16">
        <f t="shared" si="8"/>
        <v>10387373.287196305</v>
      </c>
      <c r="AJ75" s="16">
        <f t="shared" si="9"/>
        <v>87340005.387506664</v>
      </c>
      <c r="AK75" s="16">
        <f t="shared" si="10"/>
        <v>0</v>
      </c>
      <c r="AL75" s="16">
        <f t="shared" si="13"/>
        <v>19270693.875056412</v>
      </c>
      <c r="AM75" s="16">
        <f t="shared" si="14"/>
        <v>0</v>
      </c>
      <c r="AN75" s="16">
        <f>IF(LCOE!K$14&gt;0,G75,H75)/AG75</f>
        <v>2047351.2749063917</v>
      </c>
    </row>
    <row r="76" spans="1:40">
      <c r="A76">
        <v>6</v>
      </c>
      <c r="C76" s="16">
        <f>LCOE!K102+IF(AND(LCOE!K$26&gt;0,A76&gt;=LCOE!K$26,A76&lt;=(LCOE!K$26+LCOE!K$27-1)),LCOE!K$42/LCOE!K$27,0)+IF(AND(D76=0,AE76&gt;=LCOE!K$16,COUNTIF(D51:D76,0)=LCOE!K$36),LCOE!K$35*LCOE!K$38,0)</f>
        <v>0</v>
      </c>
      <c r="D76" s="16">
        <f>IF(AE75&lt;LCOE!K$16,1,0)</f>
        <v>1</v>
      </c>
      <c r="E76" s="12">
        <f>LCOE!G102+IF(AND(A76&gt;=LCOE!K$26,A76&lt;=(LCOE!K$26+LCOE!K$27-1)),0,1)*IF(A76=LCOE!K$34,0,1)*D76</f>
        <v>1</v>
      </c>
      <c r="F76" s="12">
        <f>IF(F75&lt;LCOE!K$18,MIN(F75*(1+LCOE!K$19),LCOE!K$18),LCOE!K$18)+LCOE!J102</f>
        <v>0.9</v>
      </c>
      <c r="G76" s="16">
        <f>LCOE!K102+E76*F76*N76*(LCOE!K$14+LCOE!H102)*24*365*D76</f>
        <v>3942000</v>
      </c>
      <c r="H76" s="16">
        <f>LCOE!L102+F76*(LCOE!K$15+LCOE!I102)*E76*24*365*D76*N76</f>
        <v>0</v>
      </c>
      <c r="I76" s="16">
        <f>LCOE!M102+LCOE!K$20*IF(LCOE!K$14&gt;0,(LCOE!K$14+LCOE!H102),(LCOE!K$15+LCOE!I102))*K76*D76</f>
        <v>20000000</v>
      </c>
      <c r="J76" s="16">
        <f>LCOE!N102+LCOE!K$21*IF(LCOE!K$14&gt;0,G76,H76)*K76*D76</f>
        <v>0</v>
      </c>
      <c r="K76" s="15">
        <f>LCOE!O102+K75+K75*LCOE!K$22</f>
        <v>1</v>
      </c>
      <c r="L76" s="16">
        <f>LCOE!P102+LCOE!K$23*IF(LCOE!K$14&gt;0,G76,H76)*M76*D76</f>
        <v>168165720</v>
      </c>
      <c r="M76" s="15">
        <f>LCOE!Q102+M75+M75*LCOE!K$24</f>
        <v>1</v>
      </c>
      <c r="N76" s="15">
        <f>LCOE!R102+N75-N75*LCOE!K$25</f>
        <v>1</v>
      </c>
      <c r="O76" s="18">
        <f>LCOE!S102+LCOE!K$29</f>
        <v>313.75</v>
      </c>
      <c r="P76" s="12">
        <f>LCOE!T102+IF(A76&gt;=LCOE!K$30,100%,0%)</f>
        <v>1</v>
      </c>
      <c r="Q76" s="16">
        <f>LCOE!U102+O76/1000*IF(LCOE!K$14&gt;0,G76,H76)</f>
        <v>1236802.5</v>
      </c>
      <c r="R76" s="16">
        <f>LCOE!B102</f>
        <v>30</v>
      </c>
      <c r="S76" s="16">
        <f>LCOE!V102+Q76*P76*R76</f>
        <v>37104075</v>
      </c>
      <c r="T76" s="16">
        <f>LCOE!W102+LCOE!K$31</f>
        <v>0</v>
      </c>
      <c r="U76" s="16">
        <f>LCOE!X102+T76*IF(LCOE!K$14&gt;0,G76,H76)</f>
        <v>0</v>
      </c>
      <c r="V76" s="16">
        <f>LCOE!Y102+LCOE!K$32</f>
        <v>0</v>
      </c>
      <c r="W76" s="16">
        <f>LCOE!Z102+V76*IF(LCOE!K$14&gt;0,G76,H76)</f>
        <v>0</v>
      </c>
      <c r="X76" s="16">
        <f>LCOE!AA102+LCOE!K$34</f>
        <v>101</v>
      </c>
      <c r="Y76" s="16">
        <f t="shared" si="15"/>
        <v>0</v>
      </c>
      <c r="Z76" s="50">
        <f t="shared" si="18"/>
        <v>0</v>
      </c>
      <c r="AA76" s="50">
        <f t="shared" si="19"/>
        <v>20000000</v>
      </c>
      <c r="AB76" s="50">
        <f t="shared" si="20"/>
        <v>168165720</v>
      </c>
      <c r="AC76" s="50">
        <f t="shared" si="16"/>
        <v>0</v>
      </c>
      <c r="AD76" s="50">
        <f t="shared" si="11"/>
        <v>37104075</v>
      </c>
      <c r="AE76">
        <f t="shared" si="17"/>
        <v>6</v>
      </c>
      <c r="AF76" s="12">
        <f>LCOE!E102+LCOE!K$40</f>
        <v>0.14000000000000001</v>
      </c>
      <c r="AG76">
        <f t="shared" si="12"/>
        <v>2.1949726239360015</v>
      </c>
      <c r="AH76" s="16">
        <f t="shared" si="7"/>
        <v>0</v>
      </c>
      <c r="AI76" s="16">
        <f t="shared" si="8"/>
        <v>9111730.9536809679</v>
      </c>
      <c r="AJ76" s="16">
        <f t="shared" si="9"/>
        <v>76614039.813602328</v>
      </c>
      <c r="AK76" s="16">
        <f t="shared" si="10"/>
        <v>0</v>
      </c>
      <c r="AL76" s="16">
        <f t="shared" si="13"/>
        <v>16904117.434260007</v>
      </c>
      <c r="AM76" s="16">
        <f t="shared" si="14"/>
        <v>0</v>
      </c>
      <c r="AN76" s="16">
        <f>IF(LCOE!K$14&gt;0,G76,H76)/AG76</f>
        <v>1795922.1709705188</v>
      </c>
    </row>
    <row r="77" spans="1:40">
      <c r="A77">
        <v>7</v>
      </c>
      <c r="C77" s="16">
        <f>LCOE!K103+IF(AND(LCOE!K$26&gt;0,A77&gt;=LCOE!K$26,A77&lt;=(LCOE!K$26+LCOE!K$27-1)),LCOE!K$42/LCOE!K$27,0)+IF(AND(D77=0,AE77&gt;=LCOE!K$16,COUNTIF(D52:D77,0)=LCOE!K$36),LCOE!K$35*LCOE!K$38,0)</f>
        <v>0</v>
      </c>
      <c r="D77" s="16">
        <f>IF(AE76&lt;LCOE!K$16,1,0)</f>
        <v>1</v>
      </c>
      <c r="E77" s="12">
        <f>LCOE!G103+IF(AND(A77&gt;=LCOE!K$26,A77&lt;=(LCOE!K$26+LCOE!K$27-1)),0,1)*IF(A77=LCOE!K$34,0,1)*D77</f>
        <v>1</v>
      </c>
      <c r="F77" s="12">
        <f>IF(F76&lt;LCOE!K$18,MIN(F76*(1+LCOE!K$19),LCOE!K$18),LCOE!K$18)+LCOE!J103</f>
        <v>0.9</v>
      </c>
      <c r="G77" s="16">
        <f>LCOE!K103+E77*F77*N77*(LCOE!K$14+LCOE!H103)*24*365*D77</f>
        <v>3942000</v>
      </c>
      <c r="H77" s="16">
        <f>LCOE!L103+F77*(LCOE!K$15+LCOE!I103)*E77*24*365*D77*N77</f>
        <v>0</v>
      </c>
      <c r="I77" s="16">
        <f>LCOE!M103+LCOE!K$20*IF(LCOE!K$14&gt;0,(LCOE!K$14+LCOE!H103),(LCOE!K$15+LCOE!I103))*K77*D77</f>
        <v>20000000</v>
      </c>
      <c r="J77" s="16">
        <f>LCOE!N103+LCOE!K$21*IF(LCOE!K$14&gt;0,G77,H77)*K77*D77</f>
        <v>0</v>
      </c>
      <c r="K77" s="15">
        <f>LCOE!O103+K76+K76*LCOE!K$22</f>
        <v>1</v>
      </c>
      <c r="L77" s="16">
        <f>LCOE!P103+LCOE!K$23*IF(LCOE!K$14&gt;0,G77,H77)*M77*D77</f>
        <v>168165720</v>
      </c>
      <c r="M77" s="15">
        <f>LCOE!Q103+M76+M76*LCOE!K$24</f>
        <v>1</v>
      </c>
      <c r="N77" s="15">
        <f>LCOE!R103+N76-N76*LCOE!K$25</f>
        <v>1</v>
      </c>
      <c r="O77" s="18">
        <f>LCOE!S103+LCOE!K$29</f>
        <v>313.75</v>
      </c>
      <c r="P77" s="12">
        <f>LCOE!T103+IF(A77&gt;=LCOE!K$30,100%,0%)</f>
        <v>1</v>
      </c>
      <c r="Q77" s="16">
        <f>LCOE!U103+O77/1000*IF(LCOE!K$14&gt;0,G77,H77)</f>
        <v>1236802.5</v>
      </c>
      <c r="R77" s="16">
        <f>LCOE!B103</f>
        <v>30</v>
      </c>
      <c r="S77" s="16">
        <f>LCOE!V103+Q77*P77*R77</f>
        <v>37104075</v>
      </c>
      <c r="T77" s="16">
        <f>LCOE!W103+LCOE!K$31</f>
        <v>0</v>
      </c>
      <c r="U77" s="16">
        <f>LCOE!X103+T77*IF(LCOE!K$14&gt;0,G77,H77)</f>
        <v>0</v>
      </c>
      <c r="V77" s="16">
        <f>LCOE!Y103+LCOE!K$32</f>
        <v>0</v>
      </c>
      <c r="W77" s="16">
        <f>LCOE!Z103+V77*IF(LCOE!K$14&gt;0,G77,H77)</f>
        <v>0</v>
      </c>
      <c r="X77" s="16">
        <f>LCOE!AA103+LCOE!K$34</f>
        <v>101</v>
      </c>
      <c r="Y77" s="16">
        <f t="shared" si="15"/>
        <v>0</v>
      </c>
      <c r="Z77" s="50">
        <f t="shared" si="18"/>
        <v>0</v>
      </c>
      <c r="AA77" s="50">
        <f t="shared" si="19"/>
        <v>20000000</v>
      </c>
      <c r="AB77" s="50">
        <f t="shared" si="20"/>
        <v>168165720</v>
      </c>
      <c r="AC77" s="50">
        <f t="shared" si="16"/>
        <v>0</v>
      </c>
      <c r="AD77" s="50">
        <f t="shared" si="11"/>
        <v>37104075</v>
      </c>
      <c r="AE77">
        <f t="shared" si="17"/>
        <v>7</v>
      </c>
      <c r="AF77" s="12">
        <f>LCOE!E103+LCOE!K$40</f>
        <v>0.14000000000000001</v>
      </c>
      <c r="AG77">
        <f t="shared" si="12"/>
        <v>2.502268791287042</v>
      </c>
      <c r="AH77" s="16">
        <f t="shared" si="7"/>
        <v>0</v>
      </c>
      <c r="AI77" s="16">
        <f t="shared" si="8"/>
        <v>7992746.4505973393</v>
      </c>
      <c r="AJ77" s="16">
        <f t="shared" si="9"/>
        <v>67205298.082107306</v>
      </c>
      <c r="AK77" s="16">
        <f t="shared" si="10"/>
        <v>0</v>
      </c>
      <c r="AL77" s="16">
        <f t="shared" si="13"/>
        <v>14828173.187947374</v>
      </c>
      <c r="AM77" s="16">
        <f t="shared" si="14"/>
        <v>0</v>
      </c>
      <c r="AN77" s="16">
        <f>IF(LCOE!K$14&gt;0,G77,H77)/AG77</f>
        <v>1575370.3254127356</v>
      </c>
    </row>
    <row r="78" spans="1:40">
      <c r="A78">
        <v>8</v>
      </c>
      <c r="C78" s="16">
        <f>LCOE!K104+IF(AND(LCOE!K$26&gt;0,A78&gt;=LCOE!K$26,A78&lt;=(LCOE!K$26+LCOE!K$27-1)),LCOE!K$42/LCOE!K$27,0)+IF(AND(D78=0,AE78&gt;=LCOE!K$16,COUNTIF(D53:D78,0)=LCOE!K$36),LCOE!K$35*LCOE!K$38,0)</f>
        <v>0</v>
      </c>
      <c r="D78" s="16">
        <f>IF(AE77&lt;LCOE!K$16,1,0)</f>
        <v>1</v>
      </c>
      <c r="E78" s="12">
        <f>LCOE!G104+IF(AND(A78&gt;=LCOE!K$26,A78&lt;=(LCOE!K$26+LCOE!K$27-1)),0,1)*IF(A78=LCOE!K$34,0,1)*D78</f>
        <v>1</v>
      </c>
      <c r="F78" s="12">
        <f>IF(F77&lt;LCOE!K$18,MIN(F77*(1+LCOE!K$19),LCOE!K$18),LCOE!K$18)+LCOE!J104</f>
        <v>0.9</v>
      </c>
      <c r="G78" s="16">
        <f>LCOE!K104+E78*F78*N78*(LCOE!K$14+LCOE!H104)*24*365*D78</f>
        <v>3942000</v>
      </c>
      <c r="H78" s="16">
        <f>LCOE!L104+F78*(LCOE!K$15+LCOE!I104)*E78*24*365*D78*N78</f>
        <v>0</v>
      </c>
      <c r="I78" s="16">
        <f>LCOE!M104+LCOE!K$20*IF(LCOE!K$14&gt;0,(LCOE!K$14+LCOE!H104),(LCOE!K$15+LCOE!I104))*K78*D78</f>
        <v>20000000</v>
      </c>
      <c r="J78" s="16">
        <f>LCOE!N104+LCOE!K$21*IF(LCOE!K$14&gt;0,G78,H78)*K78*D78</f>
        <v>0</v>
      </c>
      <c r="K78" s="15">
        <f>LCOE!O104+K77+K77*LCOE!K$22</f>
        <v>1</v>
      </c>
      <c r="L78" s="16">
        <f>LCOE!P104+LCOE!K$23*IF(LCOE!K$14&gt;0,G78,H78)*M78*D78</f>
        <v>168165720</v>
      </c>
      <c r="M78" s="15">
        <f>LCOE!Q104+M77+M77*LCOE!K$24</f>
        <v>1</v>
      </c>
      <c r="N78" s="15">
        <f>LCOE!R104+N77-N77*LCOE!K$25</f>
        <v>1</v>
      </c>
      <c r="O78" s="18">
        <f>LCOE!S104+LCOE!K$29</f>
        <v>313.75</v>
      </c>
      <c r="P78" s="12">
        <f>LCOE!T104+IF(A78&gt;=LCOE!K$30,100%,0%)</f>
        <v>1</v>
      </c>
      <c r="Q78" s="16">
        <f>LCOE!U104+O78/1000*IF(LCOE!K$14&gt;0,G78,H78)</f>
        <v>1236802.5</v>
      </c>
      <c r="R78" s="16">
        <f>LCOE!B104</f>
        <v>30</v>
      </c>
      <c r="S78" s="16">
        <f>LCOE!V104+Q78*P78*R78</f>
        <v>37104075</v>
      </c>
      <c r="T78" s="16">
        <f>LCOE!W104+LCOE!K$31</f>
        <v>0</v>
      </c>
      <c r="U78" s="16">
        <f>LCOE!X104+T78*IF(LCOE!K$14&gt;0,G78,H78)</f>
        <v>0</v>
      </c>
      <c r="V78" s="16">
        <f>LCOE!Y104+LCOE!K$32</f>
        <v>0</v>
      </c>
      <c r="W78" s="16">
        <f>LCOE!Z104+V78*IF(LCOE!K$14&gt;0,G78,H78)</f>
        <v>0</v>
      </c>
      <c r="X78" s="16">
        <f>LCOE!AA104+LCOE!K$34</f>
        <v>101</v>
      </c>
      <c r="Y78" s="16">
        <f t="shared" si="15"/>
        <v>0</v>
      </c>
      <c r="Z78" s="50">
        <f t="shared" si="18"/>
        <v>0</v>
      </c>
      <c r="AA78" s="50">
        <f t="shared" si="19"/>
        <v>20000000</v>
      </c>
      <c r="AB78" s="50">
        <f t="shared" si="20"/>
        <v>168165720</v>
      </c>
      <c r="AC78" s="50">
        <f t="shared" si="16"/>
        <v>0</v>
      </c>
      <c r="AD78" s="50">
        <f t="shared" si="11"/>
        <v>37104075</v>
      </c>
      <c r="AE78">
        <f t="shared" si="17"/>
        <v>8</v>
      </c>
      <c r="AF78" s="12">
        <f>LCOE!E104+LCOE!K$40</f>
        <v>0.14000000000000001</v>
      </c>
      <c r="AG78">
        <f t="shared" si="12"/>
        <v>2.8525864220672283</v>
      </c>
      <c r="AH78" s="16">
        <f t="shared" si="7"/>
        <v>0</v>
      </c>
      <c r="AI78" s="16">
        <f t="shared" si="8"/>
        <v>7011181.0970152086</v>
      </c>
      <c r="AJ78" s="16">
        <f t="shared" si="9"/>
        <v>58952015.861497626</v>
      </c>
      <c r="AK78" s="16">
        <f t="shared" si="10"/>
        <v>0</v>
      </c>
      <c r="AL78" s="16">
        <f t="shared" si="13"/>
        <v>13007169.46311173</v>
      </c>
      <c r="AM78" s="16">
        <f t="shared" si="14"/>
        <v>0</v>
      </c>
      <c r="AN78" s="16">
        <f>IF(LCOE!K$14&gt;0,G78,H78)/AG78</f>
        <v>1381903.7942216976</v>
      </c>
    </row>
    <row r="79" spans="1:40">
      <c r="A79">
        <v>9</v>
      </c>
      <c r="C79" s="16">
        <f>LCOE!K105+IF(AND(LCOE!K$26&gt;0,A79&gt;=LCOE!K$26,A79&lt;=(LCOE!K$26+LCOE!K$27-1)),LCOE!K$42/LCOE!K$27,0)+IF(AND(D79=0,AE79&gt;=LCOE!K$16,COUNTIF(D54:D79,0)=LCOE!K$36),LCOE!K$35*LCOE!K$38,0)</f>
        <v>0</v>
      </c>
      <c r="D79" s="16">
        <f>IF(AE78&lt;LCOE!K$16,1,0)</f>
        <v>1</v>
      </c>
      <c r="E79" s="12">
        <f>LCOE!G105+IF(AND(A79&gt;=LCOE!K$26,A79&lt;=(LCOE!K$26+LCOE!K$27-1)),0,1)*IF(A79=LCOE!K$34,0,1)*D79</f>
        <v>1</v>
      </c>
      <c r="F79" s="12">
        <f>IF(F78&lt;LCOE!K$18,MIN(F78*(1+LCOE!K$19),LCOE!K$18),LCOE!K$18)+LCOE!J105</f>
        <v>0.9</v>
      </c>
      <c r="G79" s="16">
        <f>LCOE!K105+E79*F79*N79*(LCOE!K$14+LCOE!H105)*24*365*D79</f>
        <v>3942000</v>
      </c>
      <c r="H79" s="16">
        <f>LCOE!L105+F79*(LCOE!K$15+LCOE!I105)*E79*24*365*D79*N79</f>
        <v>0</v>
      </c>
      <c r="I79" s="16">
        <f>LCOE!M105+LCOE!K$20*IF(LCOE!K$14&gt;0,(LCOE!K$14+LCOE!H105),(LCOE!K$15+LCOE!I105))*K79*D79</f>
        <v>20000000</v>
      </c>
      <c r="J79" s="16">
        <f>LCOE!N105+LCOE!K$21*IF(LCOE!K$14&gt;0,G79,H79)*K79*D79</f>
        <v>0</v>
      </c>
      <c r="K79" s="15">
        <f>LCOE!O105+K78+K78*LCOE!K$22</f>
        <v>1</v>
      </c>
      <c r="L79" s="16">
        <f>LCOE!P105+LCOE!K$23*IF(LCOE!K$14&gt;0,G79,H79)*M79*D79</f>
        <v>168165720</v>
      </c>
      <c r="M79" s="15">
        <f>LCOE!Q105+M78+M78*LCOE!K$24</f>
        <v>1</v>
      </c>
      <c r="N79" s="15">
        <f>LCOE!R105+N78-N78*LCOE!K$25</f>
        <v>1</v>
      </c>
      <c r="O79" s="18">
        <f>LCOE!S105+LCOE!K$29</f>
        <v>313.75</v>
      </c>
      <c r="P79" s="12">
        <f>LCOE!T105+IF(A79&gt;=LCOE!K$30,100%,0%)</f>
        <v>1</v>
      </c>
      <c r="Q79" s="16">
        <f>LCOE!U105+O79/1000*IF(LCOE!K$14&gt;0,G79,H79)</f>
        <v>1236802.5</v>
      </c>
      <c r="R79" s="16">
        <f>LCOE!B105</f>
        <v>30</v>
      </c>
      <c r="S79" s="16">
        <f>LCOE!V105+Q79*P79*R79</f>
        <v>37104075</v>
      </c>
      <c r="T79" s="16">
        <f>LCOE!W105+LCOE!K$31</f>
        <v>0</v>
      </c>
      <c r="U79" s="16">
        <f>LCOE!X105+T79*IF(LCOE!K$14&gt;0,G79,H79)</f>
        <v>0</v>
      </c>
      <c r="V79" s="16">
        <f>LCOE!Y105+LCOE!K$32</f>
        <v>0</v>
      </c>
      <c r="W79" s="16">
        <f>LCOE!Z105+V79*IF(LCOE!K$14&gt;0,G79,H79)</f>
        <v>0</v>
      </c>
      <c r="X79" s="16">
        <f>LCOE!AA105+LCOE!K$34</f>
        <v>101</v>
      </c>
      <c r="Y79" s="16">
        <f t="shared" si="15"/>
        <v>0</v>
      </c>
      <c r="Z79" s="50">
        <f t="shared" si="18"/>
        <v>0</v>
      </c>
      <c r="AA79" s="50">
        <f t="shared" si="19"/>
        <v>20000000</v>
      </c>
      <c r="AB79" s="50">
        <f t="shared" si="20"/>
        <v>168165720</v>
      </c>
      <c r="AC79" s="50">
        <f t="shared" si="16"/>
        <v>0</v>
      </c>
      <c r="AD79" s="50">
        <f t="shared" si="11"/>
        <v>37104075</v>
      </c>
      <c r="AE79">
        <f t="shared" si="17"/>
        <v>9</v>
      </c>
      <c r="AF79" s="12">
        <f>LCOE!E105+LCOE!K$40</f>
        <v>0.14000000000000001</v>
      </c>
      <c r="AG79">
        <f t="shared" si="12"/>
        <v>3.2519485211566406</v>
      </c>
      <c r="AH79" s="16">
        <f t="shared" si="7"/>
        <v>0</v>
      </c>
      <c r="AI79" s="16">
        <f t="shared" si="8"/>
        <v>6150158.8570308844</v>
      </c>
      <c r="AJ79" s="16">
        <f t="shared" si="9"/>
        <v>51712294.615348786</v>
      </c>
      <c r="AK79" s="16">
        <f t="shared" si="10"/>
        <v>0</v>
      </c>
      <c r="AL79" s="16">
        <f t="shared" si="13"/>
        <v>11409797.77465941</v>
      </c>
      <c r="AM79" s="16">
        <f t="shared" si="14"/>
        <v>0</v>
      </c>
      <c r="AN79" s="16">
        <f>IF(LCOE!K$14&gt;0,G79,H79)/AG79</f>
        <v>1212196.3107207874</v>
      </c>
    </row>
    <row r="80" spans="1:40">
      <c r="A80">
        <v>10</v>
      </c>
      <c r="C80" s="16">
        <f>LCOE!K106+IF(AND(LCOE!K$26&gt;0,A80&gt;=LCOE!K$26,A80&lt;=(LCOE!K$26+LCOE!K$27-1)),LCOE!K$42/LCOE!K$27,0)+IF(AND(D80=0,AE80&gt;=LCOE!K$16,COUNTIF(D55:D80,0)=LCOE!K$36),LCOE!K$35*LCOE!K$38,0)</f>
        <v>0</v>
      </c>
      <c r="D80" s="16">
        <f>IF(AE79&lt;LCOE!K$16,1,0)</f>
        <v>1</v>
      </c>
      <c r="E80" s="12">
        <f>LCOE!G106+IF(AND(A80&gt;=LCOE!K$26,A80&lt;=(LCOE!K$26+LCOE!K$27-1)),0,1)*IF(A80=LCOE!K$34,0,1)*D80</f>
        <v>1</v>
      </c>
      <c r="F80" s="12">
        <f>IF(F79&lt;LCOE!K$18,MIN(F79*(1+LCOE!K$19),LCOE!K$18),LCOE!K$18)+LCOE!J106</f>
        <v>0.9</v>
      </c>
      <c r="G80" s="16">
        <f>LCOE!K106+E80*F80*N80*(LCOE!K$14+LCOE!H106)*24*365*D80</f>
        <v>3942000</v>
      </c>
      <c r="H80" s="16">
        <f>LCOE!L106+F80*(LCOE!K$15+LCOE!I106)*E80*24*365*D80*N80</f>
        <v>0</v>
      </c>
      <c r="I80" s="16">
        <f>LCOE!M106+LCOE!K$20*IF(LCOE!K$14&gt;0,(LCOE!K$14+LCOE!H106),(LCOE!K$15+LCOE!I106))*K80*D80</f>
        <v>20000000</v>
      </c>
      <c r="J80" s="16">
        <f>LCOE!N106+LCOE!K$21*IF(LCOE!K$14&gt;0,G80,H80)*K80*D80</f>
        <v>0</v>
      </c>
      <c r="K80" s="15">
        <f>LCOE!O106+K79+K79*LCOE!K$22</f>
        <v>1</v>
      </c>
      <c r="L80" s="16">
        <f>LCOE!P106+LCOE!K$23*IF(LCOE!K$14&gt;0,G80,H80)*M80*D80</f>
        <v>168165720</v>
      </c>
      <c r="M80" s="15">
        <f>LCOE!Q106+M79+M79*LCOE!K$24</f>
        <v>1</v>
      </c>
      <c r="N80" s="15">
        <f>LCOE!R106+N79-N79*LCOE!K$25</f>
        <v>1</v>
      </c>
      <c r="O80" s="18">
        <f>LCOE!S106+LCOE!K$29</f>
        <v>313.75</v>
      </c>
      <c r="P80" s="12">
        <f>LCOE!T106+IF(A80&gt;=LCOE!K$30,100%,0%)</f>
        <v>1</v>
      </c>
      <c r="Q80" s="16">
        <f>LCOE!U106+O80/1000*IF(LCOE!K$14&gt;0,G80,H80)</f>
        <v>1236802.5</v>
      </c>
      <c r="R80" s="16">
        <f>LCOE!B106</f>
        <v>30</v>
      </c>
      <c r="S80" s="16">
        <f>LCOE!V106+Q80*P80*R80</f>
        <v>37104075</v>
      </c>
      <c r="T80" s="16">
        <f>LCOE!W106+LCOE!K$31</f>
        <v>0</v>
      </c>
      <c r="U80" s="16">
        <f>LCOE!X106+T80*IF(LCOE!K$14&gt;0,G80,H80)</f>
        <v>0</v>
      </c>
      <c r="V80" s="16">
        <f>LCOE!Y106+LCOE!K$32</f>
        <v>0</v>
      </c>
      <c r="W80" s="16">
        <f>LCOE!Z106+V80*IF(LCOE!K$14&gt;0,G80,H80)</f>
        <v>0</v>
      </c>
      <c r="X80" s="16">
        <f>LCOE!AA106+LCOE!K$34</f>
        <v>101</v>
      </c>
      <c r="Y80" s="16">
        <f t="shared" si="15"/>
        <v>0</v>
      </c>
      <c r="Z80" s="50">
        <f t="shared" si="18"/>
        <v>0</v>
      </c>
      <c r="AA80" s="50">
        <f t="shared" si="19"/>
        <v>20000000</v>
      </c>
      <c r="AB80" s="50">
        <f t="shared" si="20"/>
        <v>168165720</v>
      </c>
      <c r="AC80" s="50">
        <f t="shared" si="16"/>
        <v>0</v>
      </c>
      <c r="AD80" s="50">
        <f t="shared" si="11"/>
        <v>37104075</v>
      </c>
      <c r="AE80">
        <f t="shared" si="17"/>
        <v>10</v>
      </c>
      <c r="AF80" s="12">
        <f>LCOE!E106+LCOE!K$40</f>
        <v>0.14000000000000001</v>
      </c>
      <c r="AG80">
        <f t="shared" si="12"/>
        <v>3.7072213141185708</v>
      </c>
      <c r="AH80" s="16">
        <f t="shared" si="7"/>
        <v>0</v>
      </c>
      <c r="AI80" s="16">
        <f t="shared" si="8"/>
        <v>5394876.1903779684</v>
      </c>
      <c r="AJ80" s="16">
        <f t="shared" si="9"/>
        <v>45361661.943288401</v>
      </c>
      <c r="AK80" s="16">
        <f t="shared" si="10"/>
        <v>0</v>
      </c>
      <c r="AL80" s="16">
        <f t="shared" si="13"/>
        <v>10008594.53917492</v>
      </c>
      <c r="AM80" s="16">
        <f t="shared" si="14"/>
        <v>0</v>
      </c>
      <c r="AN80" s="16">
        <f>IF(LCOE!K$14&gt;0,G80,H80)/AG80</f>
        <v>1063330.0971234976</v>
      </c>
    </row>
    <row r="81" spans="1:40">
      <c r="A81">
        <v>11</v>
      </c>
      <c r="C81" s="16">
        <f>LCOE!K107+IF(AND(LCOE!K$26&gt;0,A81&gt;=LCOE!K$26,A81&lt;=(LCOE!K$26+LCOE!K$27-1)),LCOE!K$42/LCOE!K$27,0)+IF(AND(D81=0,AE81&gt;=LCOE!K$16,COUNTIF(D56:D81,0)=LCOE!K$36),LCOE!K$35*LCOE!K$38,0)</f>
        <v>0</v>
      </c>
      <c r="D81" s="16">
        <f>IF(AE80&lt;LCOE!K$16,1,0)</f>
        <v>1</v>
      </c>
      <c r="E81" s="12">
        <f>LCOE!G107+IF(AND(A81&gt;=LCOE!K$26,A81&lt;=(LCOE!K$26+LCOE!K$27-1)),0,1)*IF(A81=LCOE!K$34,0,1)*D81</f>
        <v>1</v>
      </c>
      <c r="F81" s="12">
        <f>IF(F80&lt;LCOE!K$18,MIN(F80*(1+LCOE!K$19),LCOE!K$18),LCOE!K$18)+LCOE!J107</f>
        <v>0.9</v>
      </c>
      <c r="G81" s="16">
        <f>LCOE!K107+E81*F81*N81*(LCOE!K$14+LCOE!H107)*24*365*D81</f>
        <v>3942000</v>
      </c>
      <c r="H81" s="16">
        <f>LCOE!L107+F81*(LCOE!K$15+LCOE!I107)*E81*24*365*D81*N81</f>
        <v>0</v>
      </c>
      <c r="I81" s="16">
        <f>LCOE!M107+LCOE!K$20*IF(LCOE!K$14&gt;0,(LCOE!K$14+LCOE!H107),(LCOE!K$15+LCOE!I107))*K81*D81</f>
        <v>20000000</v>
      </c>
      <c r="J81" s="16">
        <f>LCOE!N107+LCOE!K$21*IF(LCOE!K$14&gt;0,G81,H81)*K81*D81</f>
        <v>0</v>
      </c>
      <c r="K81" s="15">
        <f>LCOE!O107+K80+K80*LCOE!K$22</f>
        <v>1</v>
      </c>
      <c r="L81" s="16">
        <f>LCOE!P107+LCOE!K$23*IF(LCOE!K$14&gt;0,G81,H81)*M81*D81</f>
        <v>168165720</v>
      </c>
      <c r="M81" s="15">
        <f>LCOE!Q107+M80+M80*LCOE!K$24</f>
        <v>1</v>
      </c>
      <c r="N81" s="15">
        <f>LCOE!R107+N80-N80*LCOE!K$25</f>
        <v>1</v>
      </c>
      <c r="O81" s="18">
        <f>LCOE!S107+LCOE!K$29</f>
        <v>313.75</v>
      </c>
      <c r="P81" s="12">
        <f>LCOE!T107+IF(A81&gt;=LCOE!K$30,100%,0%)</f>
        <v>1</v>
      </c>
      <c r="Q81" s="16">
        <f>LCOE!U107+O81/1000*IF(LCOE!K$14&gt;0,G81,H81)</f>
        <v>1236802.5</v>
      </c>
      <c r="R81" s="16">
        <f>LCOE!B107</f>
        <v>30</v>
      </c>
      <c r="S81" s="16">
        <f>LCOE!V107+Q81*P81*R81</f>
        <v>37104075</v>
      </c>
      <c r="T81" s="16">
        <f>LCOE!W107+LCOE!K$31</f>
        <v>0</v>
      </c>
      <c r="U81" s="16">
        <f>LCOE!X107+T81*IF(LCOE!K$14&gt;0,G81,H81)</f>
        <v>0</v>
      </c>
      <c r="V81" s="16">
        <f>LCOE!Y107+LCOE!K$32</f>
        <v>0</v>
      </c>
      <c r="W81" s="16">
        <f>LCOE!Z107+V81*IF(LCOE!K$14&gt;0,G81,H81)</f>
        <v>0</v>
      </c>
      <c r="X81" s="16">
        <f>LCOE!AA107+LCOE!K$34</f>
        <v>101</v>
      </c>
      <c r="Y81" s="16">
        <f t="shared" si="15"/>
        <v>0</v>
      </c>
      <c r="Z81" s="50">
        <f t="shared" si="18"/>
        <v>0</v>
      </c>
      <c r="AA81" s="50">
        <f t="shared" si="19"/>
        <v>20000000</v>
      </c>
      <c r="AB81" s="50">
        <f t="shared" si="20"/>
        <v>168165720</v>
      </c>
      <c r="AC81" s="50">
        <f t="shared" si="16"/>
        <v>0</v>
      </c>
      <c r="AD81" s="50">
        <f t="shared" si="11"/>
        <v>37104075</v>
      </c>
      <c r="AE81">
        <f t="shared" si="17"/>
        <v>11</v>
      </c>
      <c r="AF81" s="12">
        <f>LCOE!E107+LCOE!K$40</f>
        <v>0.14000000000000001</v>
      </c>
      <c r="AG81">
        <f t="shared" si="12"/>
        <v>4.2262322980951712</v>
      </c>
      <c r="AH81" s="16">
        <f t="shared" si="7"/>
        <v>0</v>
      </c>
      <c r="AI81" s="16">
        <f t="shared" si="8"/>
        <v>4732347.5354192695</v>
      </c>
      <c r="AJ81" s="16">
        <f t="shared" si="9"/>
        <v>39790931.529200353</v>
      </c>
      <c r="AK81" s="16">
        <f t="shared" si="10"/>
        <v>0</v>
      </c>
      <c r="AL81" s="16">
        <f t="shared" si="13"/>
        <v>8779468.8940130863</v>
      </c>
      <c r="AM81" s="16">
        <f t="shared" si="14"/>
        <v>0</v>
      </c>
      <c r="AN81" s="16">
        <f>IF(LCOE!K$14&gt;0,G81,H81)/AG81</f>
        <v>932745.6992311381</v>
      </c>
    </row>
    <row r="82" spans="1:40">
      <c r="A82">
        <v>12</v>
      </c>
      <c r="C82" s="16">
        <f>LCOE!K108+IF(AND(LCOE!K$26&gt;0,A82&gt;=LCOE!K$26,A82&lt;=(LCOE!K$26+LCOE!K$27-1)),LCOE!K$42/LCOE!K$27,0)+IF(AND(D82=0,AE82&gt;=LCOE!K$16,COUNTIF(D57:D82,0)=LCOE!K$36),LCOE!K$35*LCOE!K$38,0)</f>
        <v>0</v>
      </c>
      <c r="D82" s="16">
        <f>IF(AE81&lt;LCOE!K$16,1,0)</f>
        <v>1</v>
      </c>
      <c r="E82" s="12">
        <f>LCOE!G108+IF(AND(A82&gt;=LCOE!K$26,A82&lt;=(LCOE!K$26+LCOE!K$27-1)),0,1)*IF(A82=LCOE!K$34,0,1)*D82</f>
        <v>1</v>
      </c>
      <c r="F82" s="12">
        <f>IF(F81&lt;LCOE!K$18,MIN(F81*(1+LCOE!K$19),LCOE!K$18),LCOE!K$18)+LCOE!J108</f>
        <v>0.9</v>
      </c>
      <c r="G82" s="16">
        <f>LCOE!K108+E82*F82*N82*(LCOE!K$14+LCOE!H108)*24*365*D82</f>
        <v>3942000</v>
      </c>
      <c r="H82" s="16">
        <f>LCOE!L108+F82*(LCOE!K$15+LCOE!I108)*E82*24*365*D82*N82</f>
        <v>0</v>
      </c>
      <c r="I82" s="16">
        <f>LCOE!M108+LCOE!K$20*IF(LCOE!K$14&gt;0,(LCOE!K$14+LCOE!H108),(LCOE!K$15+LCOE!I108))*K82*D82</f>
        <v>20000000</v>
      </c>
      <c r="J82" s="16">
        <f>LCOE!N108+LCOE!K$21*IF(LCOE!K$14&gt;0,G82,H82)*K82*D82</f>
        <v>0</v>
      </c>
      <c r="K82" s="15">
        <f>LCOE!O108+K81+K81*LCOE!K$22</f>
        <v>1</v>
      </c>
      <c r="L82" s="16">
        <f>LCOE!P108+LCOE!K$23*IF(LCOE!K$14&gt;0,G82,H82)*M82*D82</f>
        <v>168165720</v>
      </c>
      <c r="M82" s="15">
        <f>LCOE!Q108+M81+M81*LCOE!K$24</f>
        <v>1</v>
      </c>
      <c r="N82" s="15">
        <f>LCOE!R108+N81-N81*LCOE!K$25</f>
        <v>1</v>
      </c>
      <c r="O82" s="18">
        <f>LCOE!S108+LCOE!K$29</f>
        <v>313.75</v>
      </c>
      <c r="P82" s="12">
        <f>LCOE!T108+IF(A82&gt;=LCOE!K$30,100%,0%)</f>
        <v>1</v>
      </c>
      <c r="Q82" s="16">
        <f>LCOE!U108+O82/1000*IF(LCOE!K$14&gt;0,G82,H82)</f>
        <v>1236802.5</v>
      </c>
      <c r="R82" s="16">
        <f>LCOE!B108</f>
        <v>30</v>
      </c>
      <c r="S82" s="16">
        <f>LCOE!V108+Q82*P82*R82</f>
        <v>37104075</v>
      </c>
      <c r="T82" s="16">
        <f>LCOE!W108+LCOE!K$31</f>
        <v>0</v>
      </c>
      <c r="U82" s="16">
        <f>LCOE!X108+T82*IF(LCOE!K$14&gt;0,G82,H82)</f>
        <v>0</v>
      </c>
      <c r="V82" s="16">
        <f>LCOE!Y108+LCOE!K$32</f>
        <v>0</v>
      </c>
      <c r="W82" s="16">
        <f>LCOE!Z108+V82*IF(LCOE!K$14&gt;0,G82,H82)</f>
        <v>0</v>
      </c>
      <c r="X82" s="16">
        <f>LCOE!AA108+LCOE!K$34</f>
        <v>101</v>
      </c>
      <c r="Y82" s="16">
        <f t="shared" si="15"/>
        <v>0</v>
      </c>
      <c r="Z82" s="50">
        <f t="shared" si="18"/>
        <v>0</v>
      </c>
      <c r="AA82" s="50">
        <f t="shared" si="19"/>
        <v>20000000</v>
      </c>
      <c r="AB82" s="50">
        <f t="shared" si="20"/>
        <v>168165720</v>
      </c>
      <c r="AC82" s="50">
        <f t="shared" si="16"/>
        <v>0</v>
      </c>
      <c r="AD82" s="50">
        <f t="shared" si="11"/>
        <v>37104075</v>
      </c>
      <c r="AE82">
        <f t="shared" si="17"/>
        <v>12</v>
      </c>
      <c r="AF82" s="12">
        <f>LCOE!E108+LCOE!K$40</f>
        <v>0.14000000000000001</v>
      </c>
      <c r="AG82">
        <f t="shared" si="12"/>
        <v>4.8179048198284962</v>
      </c>
      <c r="AH82" s="16">
        <f t="shared" si="7"/>
        <v>0</v>
      </c>
      <c r="AI82" s="16">
        <f t="shared" si="8"/>
        <v>4151182.0486133937</v>
      </c>
      <c r="AJ82" s="16">
        <f t="shared" si="9"/>
        <v>34904325.902807318</v>
      </c>
      <c r="AK82" s="16">
        <f t="shared" si="10"/>
        <v>0</v>
      </c>
      <c r="AL82" s="16">
        <f t="shared" si="13"/>
        <v>7701288.5035202503</v>
      </c>
      <c r="AM82" s="16">
        <f t="shared" si="14"/>
        <v>0</v>
      </c>
      <c r="AN82" s="16">
        <f>IF(LCOE!K$14&gt;0,G82,H82)/AG82</f>
        <v>818197.98178169993</v>
      </c>
    </row>
    <row r="83" spans="1:40">
      <c r="A83">
        <v>13</v>
      </c>
      <c r="C83" s="16">
        <f>LCOE!K109+IF(AND(LCOE!K$26&gt;0,A83&gt;=LCOE!K$26,A83&lt;=(LCOE!K$26+LCOE!K$27-1)),LCOE!K$42/LCOE!K$27,0)+IF(AND(D83=0,AE83&gt;=LCOE!K$16,COUNTIF(D58:D83,0)=LCOE!K$36),LCOE!K$35*LCOE!K$38,0)</f>
        <v>0</v>
      </c>
      <c r="D83" s="16">
        <f>IF(AE82&lt;LCOE!K$16,1,0)</f>
        <v>1</v>
      </c>
      <c r="E83" s="12">
        <f>LCOE!G109+IF(AND(A83&gt;=LCOE!K$26,A83&lt;=(LCOE!K$26+LCOE!K$27-1)),0,1)*IF(A83=LCOE!K$34,0,1)*D83</f>
        <v>1</v>
      </c>
      <c r="F83" s="12">
        <f>IF(F82&lt;LCOE!K$18,MIN(F82*(1+LCOE!K$19),LCOE!K$18),LCOE!K$18)+LCOE!J109</f>
        <v>0.9</v>
      </c>
      <c r="G83" s="16">
        <f>LCOE!K109+E83*F83*N83*(LCOE!K$14+LCOE!H109)*24*365*D83</f>
        <v>3942000</v>
      </c>
      <c r="H83" s="16">
        <f>LCOE!L109+F83*(LCOE!K$15+LCOE!I109)*E83*24*365*D83*N83</f>
        <v>0</v>
      </c>
      <c r="I83" s="16">
        <f>LCOE!M109+LCOE!K$20*IF(LCOE!K$14&gt;0,(LCOE!K$14+LCOE!H109),(LCOE!K$15+LCOE!I109))*K83*D83</f>
        <v>20000000</v>
      </c>
      <c r="J83" s="16">
        <f>LCOE!N109+LCOE!K$21*IF(LCOE!K$14&gt;0,G83,H83)*K83*D83</f>
        <v>0</v>
      </c>
      <c r="K83" s="15">
        <f>LCOE!O109+K82+K82*LCOE!K$22</f>
        <v>1</v>
      </c>
      <c r="L83" s="16">
        <f>LCOE!P109+LCOE!K$23*IF(LCOE!K$14&gt;0,G83,H83)*M83*D83</f>
        <v>168165720</v>
      </c>
      <c r="M83" s="15">
        <f>LCOE!Q109+M82+M82*LCOE!K$24</f>
        <v>1</v>
      </c>
      <c r="N83" s="15">
        <f>LCOE!R109+N82-N82*LCOE!K$25</f>
        <v>1</v>
      </c>
      <c r="O83" s="18">
        <f>LCOE!S109+LCOE!K$29</f>
        <v>313.75</v>
      </c>
      <c r="P83" s="12">
        <f>LCOE!T109+IF(A83&gt;=LCOE!K$30,100%,0%)</f>
        <v>1</v>
      </c>
      <c r="Q83" s="16">
        <f>LCOE!U109+O83/1000*IF(LCOE!K$14&gt;0,G83,H83)</f>
        <v>1236802.5</v>
      </c>
      <c r="R83" s="16">
        <f>LCOE!B109</f>
        <v>30</v>
      </c>
      <c r="S83" s="16">
        <f>LCOE!V109+Q83*P83*R83</f>
        <v>37104075</v>
      </c>
      <c r="T83" s="16">
        <f>LCOE!W109+LCOE!K$31</f>
        <v>0</v>
      </c>
      <c r="U83" s="16">
        <f>LCOE!X109+T83*IF(LCOE!K$14&gt;0,G83,H83)</f>
        <v>0</v>
      </c>
      <c r="V83" s="16">
        <f>LCOE!Y109+LCOE!K$32</f>
        <v>0</v>
      </c>
      <c r="W83" s="16">
        <f>LCOE!Z109+V83*IF(LCOE!K$14&gt;0,G83,H83)</f>
        <v>0</v>
      </c>
      <c r="X83" s="16">
        <f>LCOE!AA109+LCOE!K$34</f>
        <v>101</v>
      </c>
      <c r="Y83" s="16">
        <f t="shared" si="15"/>
        <v>0</v>
      </c>
      <c r="Z83" s="50">
        <f t="shared" si="18"/>
        <v>0</v>
      </c>
      <c r="AA83" s="50">
        <f t="shared" si="19"/>
        <v>20000000</v>
      </c>
      <c r="AB83" s="50">
        <f t="shared" si="20"/>
        <v>168165720</v>
      </c>
      <c r="AC83" s="50">
        <f t="shared" si="16"/>
        <v>0</v>
      </c>
      <c r="AD83" s="50">
        <f t="shared" si="11"/>
        <v>37104075</v>
      </c>
      <c r="AE83">
        <f t="shared" si="17"/>
        <v>13</v>
      </c>
      <c r="AF83" s="12">
        <f>LCOE!E109+LCOE!K$40</f>
        <v>0.14000000000000001</v>
      </c>
      <c r="AG83">
        <f t="shared" si="12"/>
        <v>5.492411494604486</v>
      </c>
      <c r="AH83" s="16">
        <f t="shared" si="7"/>
        <v>0</v>
      </c>
      <c r="AI83" s="16">
        <f t="shared" si="8"/>
        <v>3641387.7619415731</v>
      </c>
      <c r="AJ83" s="16">
        <f t="shared" si="9"/>
        <v>30617829.739304662</v>
      </c>
      <c r="AK83" s="16">
        <f t="shared" si="10"/>
        <v>0</v>
      </c>
      <c r="AL83" s="16">
        <f t="shared" si="13"/>
        <v>6755516.231158114</v>
      </c>
      <c r="AM83" s="16">
        <f t="shared" si="14"/>
        <v>0</v>
      </c>
      <c r="AN83" s="16">
        <f>IF(LCOE!K$14&gt;0,G83,H83)/AG83</f>
        <v>717717.52787868411</v>
      </c>
    </row>
    <row r="84" spans="1:40">
      <c r="A84">
        <v>14</v>
      </c>
      <c r="C84" s="16">
        <f>LCOE!K110+IF(AND(LCOE!K$26&gt;0,A84&gt;=LCOE!K$26,A84&lt;=(LCOE!K$26+LCOE!K$27-1)),LCOE!K$42/LCOE!K$27,0)+IF(AND(D84=0,AE84&gt;=LCOE!K$16,COUNTIF(D59:D84,0)=LCOE!K$36),LCOE!K$35*LCOE!K$38,0)</f>
        <v>0</v>
      </c>
      <c r="D84" s="16">
        <f>IF(AE83&lt;LCOE!K$16,1,0)</f>
        <v>1</v>
      </c>
      <c r="E84" s="12">
        <f>LCOE!G110+IF(AND(A84&gt;=LCOE!K$26,A84&lt;=(LCOE!K$26+LCOE!K$27-1)),0,1)*IF(A84=LCOE!K$34,0,1)*D84</f>
        <v>1</v>
      </c>
      <c r="F84" s="12">
        <f>IF(F83&lt;LCOE!K$18,MIN(F83*(1+LCOE!K$19),LCOE!K$18),LCOE!K$18)+LCOE!J110</f>
        <v>0.9</v>
      </c>
      <c r="G84" s="16">
        <f>LCOE!K110+E84*F84*N84*(LCOE!K$14+LCOE!H110)*24*365*D84</f>
        <v>3942000</v>
      </c>
      <c r="H84" s="16">
        <f>LCOE!L110+F84*(LCOE!K$15+LCOE!I110)*E84*24*365*D84*N84</f>
        <v>0</v>
      </c>
      <c r="I84" s="16">
        <f>LCOE!M110+LCOE!K$20*IF(LCOE!K$14&gt;0,(LCOE!K$14+LCOE!H110),(LCOE!K$15+LCOE!I110))*K84*D84</f>
        <v>20000000</v>
      </c>
      <c r="J84" s="16">
        <f>LCOE!N110+LCOE!K$21*IF(LCOE!K$14&gt;0,G84,H84)*K84*D84</f>
        <v>0</v>
      </c>
      <c r="K84" s="15">
        <f>LCOE!O110+K83+K83*LCOE!K$22</f>
        <v>1</v>
      </c>
      <c r="L84" s="16">
        <f>LCOE!P110+LCOE!K$23*IF(LCOE!K$14&gt;0,G84,H84)*M84*D84</f>
        <v>168165720</v>
      </c>
      <c r="M84" s="15">
        <f>LCOE!Q110+M83+M83*LCOE!K$24</f>
        <v>1</v>
      </c>
      <c r="N84" s="15">
        <f>LCOE!R110+N83-N83*LCOE!K$25</f>
        <v>1</v>
      </c>
      <c r="O84" s="18">
        <f>LCOE!S110+LCOE!K$29</f>
        <v>313.75</v>
      </c>
      <c r="P84" s="12">
        <f>LCOE!T110+IF(A84&gt;=LCOE!K$30,100%,0%)</f>
        <v>1</v>
      </c>
      <c r="Q84" s="16">
        <f>LCOE!U110+O84/1000*IF(LCOE!K$14&gt;0,G84,H84)</f>
        <v>1236802.5</v>
      </c>
      <c r="R84" s="16">
        <f>LCOE!B110</f>
        <v>30</v>
      </c>
      <c r="S84" s="16">
        <f>LCOE!V110+Q84*P84*R84</f>
        <v>37104075</v>
      </c>
      <c r="T84" s="16">
        <f>LCOE!W110+LCOE!K$31</f>
        <v>0</v>
      </c>
      <c r="U84" s="16">
        <f>LCOE!X110+T84*IF(LCOE!K$14&gt;0,G84,H84)</f>
        <v>0</v>
      </c>
      <c r="V84" s="16">
        <f>LCOE!Y110+LCOE!K$32</f>
        <v>0</v>
      </c>
      <c r="W84" s="16">
        <f>LCOE!Z110+V84*IF(LCOE!K$14&gt;0,G84,H84)</f>
        <v>0</v>
      </c>
      <c r="X84" s="16">
        <f>LCOE!AA110+LCOE!K$34</f>
        <v>101</v>
      </c>
      <c r="Y84" s="16">
        <f t="shared" si="15"/>
        <v>0</v>
      </c>
      <c r="Z84" s="50">
        <f t="shared" si="18"/>
        <v>0</v>
      </c>
      <c r="AA84" s="50">
        <f t="shared" si="19"/>
        <v>20000000</v>
      </c>
      <c r="AB84" s="50">
        <f t="shared" si="20"/>
        <v>168165720</v>
      </c>
      <c r="AC84" s="50">
        <f t="shared" si="16"/>
        <v>0</v>
      </c>
      <c r="AD84" s="50">
        <f t="shared" si="11"/>
        <v>37104075</v>
      </c>
      <c r="AE84">
        <f t="shared" si="17"/>
        <v>14</v>
      </c>
      <c r="AF84" s="12">
        <f>LCOE!E110+LCOE!K$40</f>
        <v>0.14000000000000001</v>
      </c>
      <c r="AG84">
        <f t="shared" si="12"/>
        <v>6.2613491038491143</v>
      </c>
      <c r="AH84" s="16">
        <f t="shared" si="7"/>
        <v>0</v>
      </c>
      <c r="AI84" s="16">
        <f t="shared" si="8"/>
        <v>3194199.7911768183</v>
      </c>
      <c r="AJ84" s="16">
        <f t="shared" si="9"/>
        <v>26857745.385354966</v>
      </c>
      <c r="AK84" s="16">
        <f t="shared" si="10"/>
        <v>0</v>
      </c>
      <c r="AL84" s="16">
        <f t="shared" si="13"/>
        <v>5925891.4308404503</v>
      </c>
      <c r="AM84" s="16">
        <f t="shared" si="14"/>
        <v>0</v>
      </c>
      <c r="AN84" s="16">
        <f>IF(LCOE!K$14&gt;0,G84,H84)/AG84</f>
        <v>629576.77884095092</v>
      </c>
    </row>
    <row r="85" spans="1:40">
      <c r="A85">
        <v>15</v>
      </c>
      <c r="C85" s="16">
        <f>LCOE!K111+IF(AND(LCOE!K$26&gt;0,A85&gt;=LCOE!K$26,A85&lt;=(LCOE!K$26+LCOE!K$27-1)),LCOE!K$42/LCOE!K$27,0)+IF(AND(D85=0,AE85&gt;=LCOE!K$16,COUNTIF(D60:D85,0)=LCOE!K$36),LCOE!K$35*LCOE!K$38,0)</f>
        <v>0</v>
      </c>
      <c r="D85" s="16">
        <f>IF(AE84&lt;LCOE!K$16,1,0)</f>
        <v>1</v>
      </c>
      <c r="E85" s="12">
        <f>LCOE!G111+IF(AND(A85&gt;=LCOE!K$26,A85&lt;=(LCOE!K$26+LCOE!K$27-1)),0,1)*IF(A85=LCOE!K$34,0,1)*D85</f>
        <v>1</v>
      </c>
      <c r="F85" s="12">
        <f>IF(F84&lt;LCOE!K$18,MIN(F84*(1+LCOE!K$19),LCOE!K$18),LCOE!K$18)+LCOE!J111</f>
        <v>0.9</v>
      </c>
      <c r="G85" s="16">
        <f>LCOE!K111+E85*F85*N85*(LCOE!K$14+LCOE!H111)*24*365*D85</f>
        <v>3942000</v>
      </c>
      <c r="H85" s="16">
        <f>LCOE!L111+F85*(LCOE!K$15+LCOE!I111)*E85*24*365*D85*N85</f>
        <v>0</v>
      </c>
      <c r="I85" s="16">
        <f>LCOE!M111+LCOE!K$20*IF(LCOE!K$14&gt;0,(LCOE!K$14+LCOE!H111),(LCOE!K$15+LCOE!I111))*K85*D85</f>
        <v>20000000</v>
      </c>
      <c r="J85" s="16">
        <f>LCOE!N111+LCOE!K$21*IF(LCOE!K$14&gt;0,G85,H85)*K85*D85</f>
        <v>0</v>
      </c>
      <c r="K85" s="15">
        <f>LCOE!O111+K84+K84*LCOE!K$22</f>
        <v>1</v>
      </c>
      <c r="L85" s="16">
        <f>LCOE!P111+LCOE!K$23*IF(LCOE!K$14&gt;0,G85,H85)*M85*D85</f>
        <v>168165720</v>
      </c>
      <c r="M85" s="15">
        <f>LCOE!Q111+M84+M84*LCOE!K$24</f>
        <v>1</v>
      </c>
      <c r="N85" s="15">
        <f>LCOE!R111+N84-N84*LCOE!K$25</f>
        <v>1</v>
      </c>
      <c r="O85" s="18">
        <f>LCOE!S111+LCOE!K$29</f>
        <v>313.75</v>
      </c>
      <c r="P85" s="12">
        <f>LCOE!T111+IF(A85&gt;=LCOE!K$30,100%,0%)</f>
        <v>1</v>
      </c>
      <c r="Q85" s="16">
        <f>LCOE!U111+O85/1000*IF(LCOE!K$14&gt;0,G85,H85)</f>
        <v>1236802.5</v>
      </c>
      <c r="R85" s="16">
        <f>LCOE!B111</f>
        <v>30</v>
      </c>
      <c r="S85" s="16">
        <f>LCOE!V111+Q85*P85*R85</f>
        <v>37104075</v>
      </c>
      <c r="T85" s="16">
        <f>LCOE!W111+LCOE!K$31</f>
        <v>0</v>
      </c>
      <c r="U85" s="16">
        <f>LCOE!X111+T85*IF(LCOE!K$14&gt;0,G85,H85)</f>
        <v>0</v>
      </c>
      <c r="V85" s="16">
        <f>LCOE!Y111+LCOE!K$32</f>
        <v>0</v>
      </c>
      <c r="W85" s="16">
        <f>LCOE!Z111+V85*IF(LCOE!K$14&gt;0,G85,H85)</f>
        <v>0</v>
      </c>
      <c r="X85" s="16">
        <f>LCOE!AA111+LCOE!K$34</f>
        <v>101</v>
      </c>
      <c r="Y85" s="16">
        <f t="shared" si="15"/>
        <v>0</v>
      </c>
      <c r="Z85" s="50">
        <f t="shared" si="18"/>
        <v>0</v>
      </c>
      <c r="AA85" s="50">
        <f t="shared" si="19"/>
        <v>20000000</v>
      </c>
      <c r="AB85" s="50">
        <f t="shared" si="20"/>
        <v>168165720</v>
      </c>
      <c r="AC85" s="50">
        <f t="shared" si="16"/>
        <v>0</v>
      </c>
      <c r="AD85" s="50">
        <f t="shared" si="11"/>
        <v>37104075</v>
      </c>
      <c r="AE85">
        <f t="shared" si="17"/>
        <v>15</v>
      </c>
      <c r="AF85" s="12">
        <f>LCOE!E111+LCOE!K$40</f>
        <v>0.14000000000000001</v>
      </c>
      <c r="AG85">
        <f t="shared" si="12"/>
        <v>7.137937978387991</v>
      </c>
      <c r="AH85" s="16">
        <f t="shared" si="7"/>
        <v>0</v>
      </c>
      <c r="AI85" s="16">
        <f t="shared" si="8"/>
        <v>2801929.6413831739</v>
      </c>
      <c r="AJ85" s="16">
        <f t="shared" si="9"/>
        <v>23559425.776627161</v>
      </c>
      <c r="AK85" s="16">
        <f t="shared" si="10"/>
        <v>0</v>
      </c>
      <c r="AL85" s="16">
        <f t="shared" si="13"/>
        <v>5198150.3779302193</v>
      </c>
      <c r="AM85" s="16">
        <f t="shared" si="14"/>
        <v>0</v>
      </c>
      <c r="AN85" s="16">
        <f>IF(LCOE!K$14&gt;0,G85,H85)/AG85</f>
        <v>552260.33231662354</v>
      </c>
    </row>
    <row r="86" spans="1:40">
      <c r="A86">
        <v>16</v>
      </c>
      <c r="C86" s="16">
        <f>LCOE!K112+IF(AND(LCOE!K$26&gt;0,A86&gt;=LCOE!K$26,A86&lt;=(LCOE!K$26+LCOE!K$27-1)),LCOE!K$42/LCOE!K$27,0)+IF(AND(D86=0,AE86&gt;=LCOE!K$16,COUNTIF(D61:D86,0)=LCOE!K$36),LCOE!K$35*LCOE!K$38,0)</f>
        <v>0</v>
      </c>
      <c r="D86" s="16">
        <f>IF(AE85&lt;LCOE!K$16,1,0)</f>
        <v>1</v>
      </c>
      <c r="E86" s="12">
        <f>LCOE!G112+IF(AND(A86&gt;=LCOE!K$26,A86&lt;=(LCOE!K$26+LCOE!K$27-1)),0,1)*IF(A86=LCOE!K$34,0,1)*D86</f>
        <v>1</v>
      </c>
      <c r="F86" s="12">
        <f>IF(F85&lt;LCOE!K$18,MIN(F85*(1+LCOE!K$19),LCOE!K$18),LCOE!K$18)+LCOE!J112</f>
        <v>0.9</v>
      </c>
      <c r="G86" s="16">
        <f>LCOE!K112+E86*F86*N86*(LCOE!K$14+LCOE!H112)*24*365*D86</f>
        <v>3942000</v>
      </c>
      <c r="H86" s="16">
        <f>LCOE!L112+F86*(LCOE!K$15+LCOE!I112)*E86*24*365*D86*N86</f>
        <v>0</v>
      </c>
      <c r="I86" s="16">
        <f>LCOE!M112+LCOE!K$20*IF(LCOE!K$14&gt;0,(LCOE!K$14+LCOE!H112),(LCOE!K$15+LCOE!I112))*K86*D86</f>
        <v>20000000</v>
      </c>
      <c r="J86" s="16">
        <f>LCOE!N112+LCOE!K$21*IF(LCOE!K$14&gt;0,G86,H86)*K86*D86</f>
        <v>0</v>
      </c>
      <c r="K86" s="15">
        <f>LCOE!O112+K85+K85*LCOE!K$22</f>
        <v>1</v>
      </c>
      <c r="L86" s="16">
        <f>LCOE!P112+LCOE!K$23*IF(LCOE!K$14&gt;0,G86,H86)*M86*D86</f>
        <v>168165720</v>
      </c>
      <c r="M86" s="15">
        <f>LCOE!Q112+M85+M85*LCOE!K$24</f>
        <v>1</v>
      </c>
      <c r="N86" s="15">
        <f>LCOE!R112+N85-N85*LCOE!K$25</f>
        <v>1</v>
      </c>
      <c r="O86" s="18">
        <f>LCOE!S112+LCOE!K$29</f>
        <v>313.75</v>
      </c>
      <c r="P86" s="12">
        <f>LCOE!T112+IF(A86&gt;=LCOE!K$30,100%,0%)</f>
        <v>1</v>
      </c>
      <c r="Q86" s="16">
        <f>LCOE!U112+O86/1000*IF(LCOE!K$14&gt;0,G86,H86)</f>
        <v>1236802.5</v>
      </c>
      <c r="R86" s="16">
        <f>LCOE!B112</f>
        <v>30</v>
      </c>
      <c r="S86" s="16">
        <f>LCOE!V112+Q86*P86*R86</f>
        <v>37104075</v>
      </c>
      <c r="T86" s="16">
        <f>LCOE!W112+LCOE!K$31</f>
        <v>0</v>
      </c>
      <c r="U86" s="16">
        <f>LCOE!X112+T86*IF(LCOE!K$14&gt;0,G86,H86)</f>
        <v>0</v>
      </c>
      <c r="V86" s="16">
        <f>LCOE!Y112+LCOE!K$32</f>
        <v>0</v>
      </c>
      <c r="W86" s="16">
        <f>LCOE!Z112+V86*IF(LCOE!K$14&gt;0,G86,H86)</f>
        <v>0</v>
      </c>
      <c r="X86" s="16">
        <f>LCOE!AA112+LCOE!K$34</f>
        <v>101</v>
      </c>
      <c r="Y86" s="16">
        <f t="shared" si="15"/>
        <v>0</v>
      </c>
      <c r="Z86" s="50">
        <f t="shared" si="18"/>
        <v>0</v>
      </c>
      <c r="AA86" s="50">
        <f t="shared" si="19"/>
        <v>20000000</v>
      </c>
      <c r="AB86" s="50">
        <f t="shared" si="20"/>
        <v>168165720</v>
      </c>
      <c r="AC86" s="50">
        <f t="shared" si="16"/>
        <v>0</v>
      </c>
      <c r="AD86" s="50">
        <f t="shared" si="11"/>
        <v>37104075</v>
      </c>
      <c r="AE86">
        <f t="shared" si="17"/>
        <v>16</v>
      </c>
      <c r="AF86" s="12">
        <f>LCOE!E112+LCOE!K$40</f>
        <v>0.14000000000000001</v>
      </c>
      <c r="AG86">
        <f t="shared" si="12"/>
        <v>8.1372492953623112</v>
      </c>
      <c r="AH86" s="16">
        <f t="shared" si="7"/>
        <v>0</v>
      </c>
      <c r="AI86" s="16">
        <f t="shared" si="8"/>
        <v>2457833.0187571696</v>
      </c>
      <c r="AJ86" s="16">
        <f t="shared" si="9"/>
        <v>20666162.961953647</v>
      </c>
      <c r="AK86" s="16">
        <f t="shared" si="10"/>
        <v>0</v>
      </c>
      <c r="AL86" s="16">
        <f t="shared" si="13"/>
        <v>4559781.0332721211</v>
      </c>
      <c r="AM86" s="16">
        <f t="shared" si="14"/>
        <v>0</v>
      </c>
      <c r="AN86" s="16">
        <f>IF(LCOE!K$14&gt;0,G86,H86)/AG86</f>
        <v>484438.88799703814</v>
      </c>
    </row>
    <row r="87" spans="1:40">
      <c r="A87">
        <v>17</v>
      </c>
      <c r="C87" s="16">
        <f>LCOE!K113+IF(AND(LCOE!K$26&gt;0,A87&gt;=LCOE!K$26,A87&lt;=(LCOE!K$26+LCOE!K$27-1)),LCOE!K$42/LCOE!K$27,0)+IF(AND(D87=0,AE87&gt;=LCOE!K$16,COUNTIF(D62:D87,0)=LCOE!K$36),LCOE!K$35*LCOE!K$38,0)</f>
        <v>0</v>
      </c>
      <c r="D87" s="16">
        <f>IF(AE86&lt;LCOE!K$16,1,0)</f>
        <v>1</v>
      </c>
      <c r="E87" s="12">
        <f>LCOE!G113+IF(AND(A87&gt;=LCOE!K$26,A87&lt;=(LCOE!K$26+LCOE!K$27-1)),0,1)*IF(A87=LCOE!K$34,0,1)*D87</f>
        <v>1</v>
      </c>
      <c r="F87" s="12">
        <f>IF(F86&lt;LCOE!K$18,MIN(F86*(1+LCOE!K$19),LCOE!K$18),LCOE!K$18)+LCOE!J113</f>
        <v>0.9</v>
      </c>
      <c r="G87" s="16">
        <f>LCOE!K113+E87*F87*N87*(LCOE!K$14+LCOE!H113)*24*365*D87</f>
        <v>3942000</v>
      </c>
      <c r="H87" s="16">
        <f>LCOE!L113+F87*(LCOE!K$15+LCOE!I113)*E87*24*365*D87*N87</f>
        <v>0</v>
      </c>
      <c r="I87" s="16">
        <f>LCOE!M113+LCOE!K$20*IF(LCOE!K$14&gt;0,(LCOE!K$14+LCOE!H113),(LCOE!K$15+LCOE!I113))*K87*D87</f>
        <v>20000000</v>
      </c>
      <c r="J87" s="16">
        <f>LCOE!N113+LCOE!K$21*IF(LCOE!K$14&gt;0,G87,H87)*K87*D87</f>
        <v>0</v>
      </c>
      <c r="K87" s="15">
        <f>LCOE!O113+K86+K86*LCOE!K$22</f>
        <v>1</v>
      </c>
      <c r="L87" s="16">
        <f>LCOE!P113+LCOE!K$23*IF(LCOE!K$14&gt;0,G87,H87)*M87*D87</f>
        <v>168165720</v>
      </c>
      <c r="M87" s="15">
        <f>LCOE!Q113+M86+M86*LCOE!K$24</f>
        <v>1</v>
      </c>
      <c r="N87" s="15">
        <f>LCOE!R113+N86-N86*LCOE!K$25</f>
        <v>1</v>
      </c>
      <c r="O87" s="18">
        <f>LCOE!S113+LCOE!K$29</f>
        <v>313.75</v>
      </c>
      <c r="P87" s="12">
        <f>LCOE!T113+IF(A87&gt;=LCOE!K$30,100%,0%)</f>
        <v>1</v>
      </c>
      <c r="Q87" s="16">
        <f>LCOE!U113+O87/1000*IF(LCOE!K$14&gt;0,G87,H87)</f>
        <v>1236802.5</v>
      </c>
      <c r="R87" s="16">
        <f>LCOE!B113</f>
        <v>30</v>
      </c>
      <c r="S87" s="16">
        <f>LCOE!V113+Q87*P87*R87</f>
        <v>37104075</v>
      </c>
      <c r="T87" s="16">
        <f>LCOE!W113+LCOE!K$31</f>
        <v>0</v>
      </c>
      <c r="U87" s="16">
        <f>LCOE!X113+T87*IF(LCOE!K$14&gt;0,G87,H87)</f>
        <v>0</v>
      </c>
      <c r="V87" s="16">
        <f>LCOE!Y113+LCOE!K$32</f>
        <v>0</v>
      </c>
      <c r="W87" s="16">
        <f>LCOE!Z113+V87*IF(LCOE!K$14&gt;0,G87,H87)</f>
        <v>0</v>
      </c>
      <c r="X87" s="16">
        <f>LCOE!AA113+LCOE!K$34</f>
        <v>101</v>
      </c>
      <c r="Y87" s="16">
        <f t="shared" si="15"/>
        <v>0</v>
      </c>
      <c r="Z87" s="50">
        <f t="shared" si="18"/>
        <v>0</v>
      </c>
      <c r="AA87" s="50">
        <f t="shared" si="19"/>
        <v>20000000</v>
      </c>
      <c r="AB87" s="50">
        <f t="shared" si="20"/>
        <v>168165720</v>
      </c>
      <c r="AC87" s="50">
        <f t="shared" si="16"/>
        <v>0</v>
      </c>
      <c r="AD87" s="50">
        <f t="shared" si="11"/>
        <v>37104075</v>
      </c>
      <c r="AE87">
        <f t="shared" si="17"/>
        <v>17</v>
      </c>
      <c r="AF87" s="12">
        <f>LCOE!E113+LCOE!K$40</f>
        <v>0.14000000000000001</v>
      </c>
      <c r="AG87">
        <f t="shared" si="12"/>
        <v>9.2764641967130359</v>
      </c>
      <c r="AH87" s="16">
        <f t="shared" si="7"/>
        <v>0</v>
      </c>
      <c r="AI87" s="16">
        <f t="shared" si="8"/>
        <v>2155993.87610278</v>
      </c>
      <c r="AJ87" s="16">
        <f t="shared" si="9"/>
        <v>18128213.124520741</v>
      </c>
      <c r="AK87" s="16">
        <f t="shared" si="10"/>
        <v>0</v>
      </c>
      <c r="AL87" s="16">
        <f t="shared" si="13"/>
        <v>3999807.9239229127</v>
      </c>
      <c r="AM87" s="16">
        <f t="shared" si="14"/>
        <v>0</v>
      </c>
      <c r="AN87" s="16">
        <f>IF(LCOE!K$14&gt;0,G87,H87)/AG87</f>
        <v>424946.39297985792</v>
      </c>
    </row>
    <row r="88" spans="1:40">
      <c r="A88">
        <v>18</v>
      </c>
      <c r="C88" s="16">
        <f>LCOE!K114+IF(AND(LCOE!K$26&gt;0,A88&gt;=LCOE!K$26,A88&lt;=(LCOE!K$26+LCOE!K$27-1)),LCOE!K$42/LCOE!K$27,0)+IF(AND(D88=0,AE88&gt;=LCOE!K$16,COUNTIF(D63:D88,0)=LCOE!K$36),LCOE!K$35*LCOE!K$38,0)</f>
        <v>0</v>
      </c>
      <c r="D88" s="16">
        <f>IF(AE87&lt;LCOE!K$16,1,0)</f>
        <v>1</v>
      </c>
      <c r="E88" s="12">
        <f>LCOE!G114+IF(AND(A88&gt;=LCOE!K$26,A88&lt;=(LCOE!K$26+LCOE!K$27-1)),0,1)*IF(A88=LCOE!K$34,0,1)*D88</f>
        <v>1</v>
      </c>
      <c r="F88" s="12">
        <f>IF(F87&lt;LCOE!K$18,MIN(F87*(1+LCOE!K$19),LCOE!K$18),LCOE!K$18)+LCOE!J114</f>
        <v>0.9</v>
      </c>
      <c r="G88" s="16">
        <f>LCOE!K114+E88*F88*N88*(LCOE!K$14+LCOE!H114)*24*365*D88</f>
        <v>3942000</v>
      </c>
      <c r="H88" s="16">
        <f>LCOE!L114+F88*(LCOE!K$15+LCOE!I114)*E88*24*365*D88*N88</f>
        <v>0</v>
      </c>
      <c r="I88" s="16">
        <f>LCOE!M114+LCOE!K$20*IF(LCOE!K$14&gt;0,(LCOE!K$14+LCOE!H114),(LCOE!K$15+LCOE!I114))*K88*D88</f>
        <v>20000000</v>
      </c>
      <c r="J88" s="16">
        <f>LCOE!N114+LCOE!K$21*IF(LCOE!K$14&gt;0,G88,H88)*K88*D88</f>
        <v>0</v>
      </c>
      <c r="K88" s="15">
        <f>LCOE!O114+K87+K87*LCOE!K$22</f>
        <v>1</v>
      </c>
      <c r="L88" s="16">
        <f>LCOE!P114+LCOE!K$23*IF(LCOE!K$14&gt;0,G88,H88)*M88*D88</f>
        <v>168165720</v>
      </c>
      <c r="M88" s="15">
        <f>LCOE!Q114+M87+M87*LCOE!K$24</f>
        <v>1</v>
      </c>
      <c r="N88" s="15">
        <f>LCOE!R114+N87-N87*LCOE!K$25</f>
        <v>1</v>
      </c>
      <c r="O88" s="18">
        <f>LCOE!S114+LCOE!K$29</f>
        <v>313.75</v>
      </c>
      <c r="P88" s="12">
        <f>LCOE!T114+IF(A88&gt;=LCOE!K$30,100%,0%)</f>
        <v>1</v>
      </c>
      <c r="Q88" s="16">
        <f>LCOE!U114+O88/1000*IF(LCOE!K$14&gt;0,G88,H88)</f>
        <v>1236802.5</v>
      </c>
      <c r="R88" s="16">
        <f>LCOE!B114</f>
        <v>30</v>
      </c>
      <c r="S88" s="16">
        <f>LCOE!V114+Q88*P88*R88</f>
        <v>37104075</v>
      </c>
      <c r="T88" s="16">
        <f>LCOE!W114+LCOE!K$31</f>
        <v>0</v>
      </c>
      <c r="U88" s="16">
        <f>LCOE!X114+T88*IF(LCOE!K$14&gt;0,G88,H88)</f>
        <v>0</v>
      </c>
      <c r="V88" s="16">
        <f>LCOE!Y114+LCOE!K$32</f>
        <v>0</v>
      </c>
      <c r="W88" s="16">
        <f>LCOE!Z114+V88*IF(LCOE!K$14&gt;0,G88,H88)</f>
        <v>0</v>
      </c>
      <c r="X88" s="16">
        <f>LCOE!AA114+LCOE!K$34</f>
        <v>101</v>
      </c>
      <c r="Y88" s="16">
        <f t="shared" si="15"/>
        <v>0</v>
      </c>
      <c r="Z88" s="50">
        <f t="shared" si="18"/>
        <v>0</v>
      </c>
      <c r="AA88" s="50">
        <f t="shared" si="19"/>
        <v>20000000</v>
      </c>
      <c r="AB88" s="50">
        <f t="shared" si="20"/>
        <v>168165720</v>
      </c>
      <c r="AC88" s="50">
        <f t="shared" si="16"/>
        <v>0</v>
      </c>
      <c r="AD88" s="50">
        <f t="shared" si="11"/>
        <v>37104075</v>
      </c>
      <c r="AE88">
        <f t="shared" si="17"/>
        <v>18</v>
      </c>
      <c r="AF88" s="12">
        <f>LCOE!E114+LCOE!K$40</f>
        <v>0.14000000000000001</v>
      </c>
      <c r="AG88">
        <f t="shared" si="12"/>
        <v>10.575169184252863</v>
      </c>
      <c r="AH88" s="16">
        <f t="shared" si="7"/>
        <v>0</v>
      </c>
      <c r="AI88" s="16">
        <f t="shared" si="8"/>
        <v>1891222.6983357717</v>
      </c>
      <c r="AJ88" s="16">
        <f t="shared" si="9"/>
        <v>15901941.337298892</v>
      </c>
      <c r="AK88" s="16">
        <f t="shared" si="10"/>
        <v>0</v>
      </c>
      <c r="AL88" s="16">
        <f t="shared" si="13"/>
        <v>3508603.4420376425</v>
      </c>
      <c r="AM88" s="16">
        <f t="shared" si="14"/>
        <v>0</v>
      </c>
      <c r="AN88" s="16">
        <f>IF(LCOE!K$14&gt;0,G88,H88)/AG88</f>
        <v>372759.99384198058</v>
      </c>
    </row>
    <row r="89" spans="1:40">
      <c r="A89">
        <v>19</v>
      </c>
      <c r="C89" s="16">
        <f>LCOE!K115+IF(AND(LCOE!K$26&gt;0,A89&gt;=LCOE!K$26,A89&lt;=(LCOE!K$26+LCOE!K$27-1)),LCOE!K$42/LCOE!K$27,0)+IF(AND(D89=0,AE89&gt;=LCOE!K$16,COUNTIF(D64:D89,0)=LCOE!K$36),LCOE!K$35*LCOE!K$38,0)</f>
        <v>0</v>
      </c>
      <c r="D89" s="16">
        <f>IF(AE88&lt;LCOE!K$16,1,0)</f>
        <v>1</v>
      </c>
      <c r="E89" s="12">
        <f>LCOE!G115+IF(AND(A89&gt;=LCOE!K$26,A89&lt;=(LCOE!K$26+LCOE!K$27-1)),0,1)*IF(A89=LCOE!K$34,0,1)*D89</f>
        <v>1</v>
      </c>
      <c r="F89" s="12">
        <f>IF(F88&lt;LCOE!K$18,MIN(F88*(1+LCOE!K$19),LCOE!K$18),LCOE!K$18)+LCOE!J115</f>
        <v>0.9</v>
      </c>
      <c r="G89" s="16">
        <f>LCOE!K115+E89*F89*N89*(LCOE!K$14+LCOE!H115)*24*365*D89</f>
        <v>3942000</v>
      </c>
      <c r="H89" s="16">
        <f>LCOE!L115+F89*(LCOE!K$15+LCOE!I115)*E89*24*365*D89*N89</f>
        <v>0</v>
      </c>
      <c r="I89" s="16">
        <f>LCOE!M115+LCOE!K$20*IF(LCOE!K$14&gt;0,(LCOE!K$14+LCOE!H115),(LCOE!K$15+LCOE!I115))*K89*D89</f>
        <v>20000000</v>
      </c>
      <c r="J89" s="16">
        <f>LCOE!N115+LCOE!K$21*IF(LCOE!K$14&gt;0,G89,H89)*K89*D89</f>
        <v>0</v>
      </c>
      <c r="K89" s="15">
        <f>LCOE!O115+K88+K88*LCOE!K$22</f>
        <v>1</v>
      </c>
      <c r="L89" s="16">
        <f>LCOE!P115+LCOE!K$23*IF(LCOE!K$14&gt;0,G89,H89)*M89*D89</f>
        <v>168165720</v>
      </c>
      <c r="M89" s="15">
        <f>LCOE!Q115+M88+M88*LCOE!K$24</f>
        <v>1</v>
      </c>
      <c r="N89" s="15">
        <f>LCOE!R115+N88-N88*LCOE!K$25</f>
        <v>1</v>
      </c>
      <c r="O89" s="18">
        <f>LCOE!S115+LCOE!K$29</f>
        <v>313.75</v>
      </c>
      <c r="P89" s="12">
        <f>LCOE!T115+IF(A89&gt;=LCOE!K$30,100%,0%)</f>
        <v>1</v>
      </c>
      <c r="Q89" s="16">
        <f>LCOE!U115+O89/1000*IF(LCOE!K$14&gt;0,G89,H89)</f>
        <v>1236802.5</v>
      </c>
      <c r="R89" s="16">
        <f>LCOE!B115</f>
        <v>30</v>
      </c>
      <c r="S89" s="16">
        <f>LCOE!V115+Q89*P89*R89</f>
        <v>37104075</v>
      </c>
      <c r="T89" s="16">
        <f>LCOE!W115+LCOE!K$31</f>
        <v>0</v>
      </c>
      <c r="U89" s="16">
        <f>LCOE!X115+T89*IF(LCOE!K$14&gt;0,G89,H89)</f>
        <v>0</v>
      </c>
      <c r="V89" s="16">
        <f>LCOE!Y115+LCOE!K$32</f>
        <v>0</v>
      </c>
      <c r="W89" s="16">
        <f>LCOE!Z115+V89*IF(LCOE!K$14&gt;0,G89,H89)</f>
        <v>0</v>
      </c>
      <c r="X89" s="16">
        <f>LCOE!AA115+LCOE!K$34</f>
        <v>101</v>
      </c>
      <c r="Y89" s="16">
        <f t="shared" si="15"/>
        <v>0</v>
      </c>
      <c r="Z89" s="50">
        <f t="shared" si="18"/>
        <v>0</v>
      </c>
      <c r="AA89" s="50">
        <f t="shared" si="19"/>
        <v>20000000</v>
      </c>
      <c r="AB89" s="50">
        <f t="shared" si="20"/>
        <v>168165720</v>
      </c>
      <c r="AC89" s="50">
        <f t="shared" si="16"/>
        <v>0</v>
      </c>
      <c r="AD89" s="50">
        <f t="shared" si="11"/>
        <v>37104075</v>
      </c>
      <c r="AE89">
        <f t="shared" si="17"/>
        <v>19</v>
      </c>
      <c r="AF89" s="12">
        <f>LCOE!E115+LCOE!K$40</f>
        <v>0.14000000000000001</v>
      </c>
      <c r="AG89">
        <f t="shared" si="12"/>
        <v>12.055692870048263</v>
      </c>
      <c r="AH89" s="16">
        <f t="shared" si="7"/>
        <v>0</v>
      </c>
      <c r="AI89" s="16">
        <f t="shared" si="8"/>
        <v>1658967.2792419051</v>
      </c>
      <c r="AJ89" s="16">
        <f t="shared" si="9"/>
        <v>13949071.348507801</v>
      </c>
      <c r="AK89" s="16">
        <f t="shared" si="10"/>
        <v>0</v>
      </c>
      <c r="AL89" s="16">
        <f t="shared" si="13"/>
        <v>3077722.3175768792</v>
      </c>
      <c r="AM89" s="16">
        <f t="shared" si="14"/>
        <v>0</v>
      </c>
      <c r="AN89" s="16">
        <f>IF(LCOE!K$14&gt;0,G89,H89)/AG89</f>
        <v>326982.45073857944</v>
      </c>
    </row>
    <row r="90" spans="1:40">
      <c r="A90">
        <v>20</v>
      </c>
      <c r="C90" s="16">
        <f>LCOE!K116+IF(AND(LCOE!K$26&gt;0,A90&gt;=LCOE!K$26,A90&lt;=(LCOE!K$26+LCOE!K$27-1)),LCOE!K$42/LCOE!K$27,0)+IF(AND(D90=0,AE90&gt;=LCOE!K$16,COUNTIF(D65:D90,0)=LCOE!K$36),LCOE!K$35*LCOE!K$38,0)</f>
        <v>0</v>
      </c>
      <c r="D90" s="16">
        <f>IF(AE89&lt;LCOE!K$16,1,0)</f>
        <v>1</v>
      </c>
      <c r="E90" s="12">
        <f>LCOE!G116+IF(AND(A90&gt;=LCOE!K$26,A90&lt;=(LCOE!K$26+LCOE!K$27-1)),0,1)*IF(A90=LCOE!K$34,0,1)*D90</f>
        <v>1</v>
      </c>
      <c r="F90" s="12">
        <f>IF(F89&lt;LCOE!K$18,MIN(F89*(1+LCOE!K$19),LCOE!K$18),LCOE!K$18)+LCOE!J116</f>
        <v>0.9</v>
      </c>
      <c r="G90" s="16">
        <f>LCOE!K116+E90*F90*N90*(LCOE!K$14+LCOE!H116)*24*365*D90</f>
        <v>3942000</v>
      </c>
      <c r="H90" s="16">
        <f>LCOE!L116+F90*(LCOE!K$15+LCOE!I116)*E90*24*365*D90*N90</f>
        <v>0</v>
      </c>
      <c r="I90" s="16">
        <f>LCOE!M116+LCOE!K$20*IF(LCOE!K$14&gt;0,(LCOE!K$14+LCOE!H116),(LCOE!K$15+LCOE!I116))*K90*D90</f>
        <v>20000000</v>
      </c>
      <c r="J90" s="16">
        <f>LCOE!N116+LCOE!K$21*IF(LCOE!K$14&gt;0,G90,H90)*K90*D90</f>
        <v>0</v>
      </c>
      <c r="K90" s="15">
        <f>LCOE!O116+K89+K89*LCOE!K$22</f>
        <v>1</v>
      </c>
      <c r="L90" s="16">
        <f>LCOE!P116+LCOE!K$23*IF(LCOE!K$14&gt;0,G90,H90)*M90*D90</f>
        <v>168165720</v>
      </c>
      <c r="M90" s="15">
        <f>LCOE!Q116+M89+M89*LCOE!K$24</f>
        <v>1</v>
      </c>
      <c r="N90" s="15">
        <f>LCOE!R116+N89-N89*LCOE!K$25</f>
        <v>1</v>
      </c>
      <c r="O90" s="18">
        <f>LCOE!S116+LCOE!K$29</f>
        <v>313.75</v>
      </c>
      <c r="P90" s="12">
        <f>LCOE!T116+IF(A90&gt;=LCOE!K$30,100%,0%)</f>
        <v>1</v>
      </c>
      <c r="Q90" s="16">
        <f>LCOE!U116+O90/1000*IF(LCOE!K$14&gt;0,G90,H90)</f>
        <v>1236802.5</v>
      </c>
      <c r="R90" s="16">
        <f>LCOE!B116</f>
        <v>30</v>
      </c>
      <c r="S90" s="16">
        <f>LCOE!V116+Q90*P90*R90</f>
        <v>37104075</v>
      </c>
      <c r="T90" s="16">
        <f>LCOE!W116+LCOE!K$31</f>
        <v>0</v>
      </c>
      <c r="U90" s="16">
        <f>LCOE!X116+T90*IF(LCOE!K$14&gt;0,G90,H90)</f>
        <v>0</v>
      </c>
      <c r="V90" s="16">
        <f>LCOE!Y116+LCOE!K$32</f>
        <v>0</v>
      </c>
      <c r="W90" s="16">
        <f>LCOE!Z116+V90*IF(LCOE!K$14&gt;0,G90,H90)</f>
        <v>0</v>
      </c>
      <c r="X90" s="16">
        <f>LCOE!AA116+LCOE!K$34</f>
        <v>101</v>
      </c>
      <c r="Y90" s="16">
        <f t="shared" si="15"/>
        <v>0</v>
      </c>
      <c r="Z90" s="50">
        <f t="shared" si="18"/>
        <v>0</v>
      </c>
      <c r="AA90" s="50">
        <f t="shared" si="19"/>
        <v>20000000</v>
      </c>
      <c r="AB90" s="50">
        <f t="shared" si="20"/>
        <v>168165720</v>
      </c>
      <c r="AC90" s="50">
        <f t="shared" si="16"/>
        <v>0</v>
      </c>
      <c r="AD90" s="50">
        <f t="shared" si="11"/>
        <v>37104075</v>
      </c>
      <c r="AE90">
        <f t="shared" si="17"/>
        <v>20</v>
      </c>
      <c r="AF90" s="12">
        <f>LCOE!E116+LCOE!K$40</f>
        <v>0.14000000000000001</v>
      </c>
      <c r="AG90">
        <f t="shared" si="12"/>
        <v>13.743489871855022</v>
      </c>
      <c r="AH90" s="16">
        <f t="shared" si="7"/>
        <v>0</v>
      </c>
      <c r="AI90" s="16">
        <f t="shared" si="8"/>
        <v>1455234.455475355</v>
      </c>
      <c r="AJ90" s="16">
        <f t="shared" si="9"/>
        <v>12236027.49869105</v>
      </c>
      <c r="AK90" s="16">
        <f t="shared" si="10"/>
        <v>0</v>
      </c>
      <c r="AL90" s="16">
        <f t="shared" si="13"/>
        <v>2699756.4189270865</v>
      </c>
      <c r="AM90" s="16">
        <f t="shared" si="14"/>
        <v>0</v>
      </c>
      <c r="AN90" s="16">
        <f>IF(LCOE!K$14&gt;0,G90,H90)/AG90</f>
        <v>286826.71117419249</v>
      </c>
    </row>
    <row r="91" spans="1:40">
      <c r="A91">
        <v>21</v>
      </c>
      <c r="C91" s="16">
        <f>LCOE!K117+IF(AND(LCOE!K$26&gt;0,A91&gt;=LCOE!K$26,A91&lt;=(LCOE!K$26+LCOE!K$27-1)),LCOE!K$42/LCOE!K$27,0)+IF(AND(D91=0,AE91&gt;=LCOE!K$16,COUNTIF(D66:D91,0)=LCOE!K$36),LCOE!K$35*LCOE!K$38,0)</f>
        <v>0</v>
      </c>
      <c r="D91" s="16">
        <f>IF(AE90&lt;LCOE!K$16,1,0)</f>
        <v>1</v>
      </c>
      <c r="E91" s="12">
        <f>LCOE!G117+IF(AND(A91&gt;=LCOE!K$26,A91&lt;=(LCOE!K$26+LCOE!K$27-1)),0,1)*IF(A91=LCOE!K$34,0,1)*D91</f>
        <v>1</v>
      </c>
      <c r="F91" s="12">
        <f>IF(F90&lt;LCOE!K$18,MIN(F90*(1+LCOE!K$19),LCOE!K$18),LCOE!K$18)+LCOE!J117</f>
        <v>0.9</v>
      </c>
      <c r="G91" s="16">
        <f>LCOE!K117+E91*F91*N91*(LCOE!K$14+LCOE!H117)*24*365*D91</f>
        <v>3942000</v>
      </c>
      <c r="H91" s="16">
        <f>LCOE!L117+F91*(LCOE!K$15+LCOE!I117)*E91*24*365*D91*N91</f>
        <v>0</v>
      </c>
      <c r="I91" s="16">
        <f>LCOE!M117+LCOE!K$20*IF(LCOE!K$14&gt;0,(LCOE!K$14+LCOE!H117),(LCOE!K$15+LCOE!I117))*K91*D91</f>
        <v>20000000</v>
      </c>
      <c r="J91" s="16">
        <f>LCOE!N117+LCOE!K$21*IF(LCOE!K$14&gt;0,G91,H91)*K91*D91</f>
        <v>0</v>
      </c>
      <c r="K91" s="15">
        <f>LCOE!O117+K90+K90*LCOE!K$22</f>
        <v>1</v>
      </c>
      <c r="L91" s="16">
        <f>LCOE!P117+LCOE!K$23*IF(LCOE!K$14&gt;0,G91,H91)*M91*D91</f>
        <v>168165720</v>
      </c>
      <c r="M91" s="15">
        <f>LCOE!Q117+M90+M90*LCOE!K$24</f>
        <v>1</v>
      </c>
      <c r="N91" s="15">
        <f>LCOE!R117+N90-N90*LCOE!K$25</f>
        <v>1</v>
      </c>
      <c r="O91" s="18">
        <f>LCOE!S117+LCOE!K$29</f>
        <v>313.75</v>
      </c>
      <c r="P91" s="12">
        <f>LCOE!T117+IF(A91&gt;=LCOE!K$30,100%,0%)</f>
        <v>1</v>
      </c>
      <c r="Q91" s="16">
        <f>LCOE!U117+O91/1000*IF(LCOE!K$14&gt;0,G91,H91)</f>
        <v>1236802.5</v>
      </c>
      <c r="R91" s="16">
        <f>LCOE!B117</f>
        <v>30</v>
      </c>
      <c r="S91" s="16">
        <f>LCOE!V117+Q91*P91*R91</f>
        <v>37104075</v>
      </c>
      <c r="T91" s="16">
        <f>LCOE!W117+LCOE!K$31</f>
        <v>0</v>
      </c>
      <c r="U91" s="16">
        <f>LCOE!X117+T91*IF(LCOE!K$14&gt;0,G91,H91)</f>
        <v>0</v>
      </c>
      <c r="V91" s="16">
        <f>LCOE!Y117+LCOE!K$32</f>
        <v>0</v>
      </c>
      <c r="W91" s="16">
        <f>LCOE!Z117+V91*IF(LCOE!K$14&gt;0,G91,H91)</f>
        <v>0</v>
      </c>
      <c r="X91" s="16">
        <f>LCOE!AA117+LCOE!K$34</f>
        <v>101</v>
      </c>
      <c r="Y91" s="16">
        <f t="shared" si="15"/>
        <v>0</v>
      </c>
      <c r="Z91" s="50">
        <f t="shared" si="18"/>
        <v>0</v>
      </c>
      <c r="AA91" s="50">
        <f t="shared" si="19"/>
        <v>20000000</v>
      </c>
      <c r="AB91" s="50">
        <f t="shared" si="20"/>
        <v>168165720</v>
      </c>
      <c r="AC91" s="50">
        <f t="shared" si="16"/>
        <v>0</v>
      </c>
      <c r="AD91" s="50">
        <f t="shared" si="11"/>
        <v>37104075</v>
      </c>
      <c r="AE91">
        <f t="shared" si="17"/>
        <v>21</v>
      </c>
      <c r="AF91" s="12">
        <f>LCOE!E117+LCOE!K$40</f>
        <v>0.14000000000000001</v>
      </c>
      <c r="AG91">
        <f t="shared" si="12"/>
        <v>15.667578453914727</v>
      </c>
      <c r="AH91" s="16">
        <f t="shared" si="7"/>
        <v>0</v>
      </c>
      <c r="AI91" s="16">
        <f t="shared" si="8"/>
        <v>1276521.4521713639</v>
      </c>
      <c r="AJ91" s="16">
        <f t="shared" si="9"/>
        <v>10733357.454992149</v>
      </c>
      <c r="AK91" s="16">
        <f t="shared" si="10"/>
        <v>0</v>
      </c>
      <c r="AL91" s="16">
        <f t="shared" si="13"/>
        <v>2368207.3850237601</v>
      </c>
      <c r="AM91" s="16">
        <f t="shared" si="14"/>
        <v>0</v>
      </c>
      <c r="AN91" s="16">
        <f>IF(LCOE!K$14&gt;0,G91,H91)/AG91</f>
        <v>251602.37822297582</v>
      </c>
    </row>
    <row r="92" spans="1:40">
      <c r="A92">
        <v>22</v>
      </c>
      <c r="C92" s="16">
        <f>LCOE!K118+IF(AND(LCOE!K$26&gt;0,A92&gt;=LCOE!K$26,A92&lt;=(LCOE!K$26+LCOE!K$27-1)),LCOE!K$42/LCOE!K$27,0)+IF(AND(D92=0,AE92&gt;=LCOE!K$16,COUNTIF(D67:D92,0)=LCOE!K$36),LCOE!K$35*LCOE!K$38,0)</f>
        <v>0</v>
      </c>
      <c r="D92" s="16">
        <f>IF(AE91&lt;LCOE!K$16,1,0)</f>
        <v>1</v>
      </c>
      <c r="E92" s="12">
        <f>LCOE!G118+IF(AND(A92&gt;=LCOE!K$26,A92&lt;=(LCOE!K$26+LCOE!K$27-1)),0,1)*IF(A92=LCOE!K$34,0,1)*D92</f>
        <v>1</v>
      </c>
      <c r="F92" s="12">
        <f>IF(F91&lt;LCOE!K$18,MIN(F91*(1+LCOE!K$19),LCOE!K$18),LCOE!K$18)+LCOE!J118</f>
        <v>0.9</v>
      </c>
      <c r="G92" s="16">
        <f>LCOE!K118+E92*F92*N92*(LCOE!K$14+LCOE!H118)*24*365*D92</f>
        <v>3942000</v>
      </c>
      <c r="H92" s="16">
        <f>LCOE!L118+F92*(LCOE!K$15+LCOE!I118)*E92*24*365*D92*N92</f>
        <v>0</v>
      </c>
      <c r="I92" s="16">
        <f>LCOE!M118+LCOE!K$20*IF(LCOE!K$14&gt;0,(LCOE!K$14+LCOE!H118),(LCOE!K$15+LCOE!I118))*K92*D92</f>
        <v>20000000</v>
      </c>
      <c r="J92" s="16">
        <f>LCOE!N118+LCOE!K$21*IF(LCOE!K$14&gt;0,G92,H92)*K92*D92</f>
        <v>0</v>
      </c>
      <c r="K92" s="15">
        <f>LCOE!O118+K91+K91*LCOE!K$22</f>
        <v>1</v>
      </c>
      <c r="L92" s="16">
        <f>LCOE!P118+LCOE!K$23*IF(LCOE!K$14&gt;0,G92,H92)*M92*D92</f>
        <v>168165720</v>
      </c>
      <c r="M92" s="15">
        <f>LCOE!Q118+M91+M91*LCOE!K$24</f>
        <v>1</v>
      </c>
      <c r="N92" s="15">
        <f>LCOE!R118+N91-N91*LCOE!K$25</f>
        <v>1</v>
      </c>
      <c r="O92" s="18">
        <f>LCOE!S118+LCOE!K$29</f>
        <v>313.75</v>
      </c>
      <c r="P92" s="12">
        <f>LCOE!T118+IF(A92&gt;=LCOE!K$30,100%,0%)</f>
        <v>1</v>
      </c>
      <c r="Q92" s="16">
        <f>LCOE!U118+O92/1000*IF(LCOE!K$14&gt;0,G92,H92)</f>
        <v>1236802.5</v>
      </c>
      <c r="R92" s="16">
        <f>LCOE!B118</f>
        <v>30</v>
      </c>
      <c r="S92" s="16">
        <f>LCOE!V118+Q92*P92*R92</f>
        <v>37104075</v>
      </c>
      <c r="T92" s="16">
        <f>LCOE!W118+LCOE!K$31</f>
        <v>0</v>
      </c>
      <c r="U92" s="16">
        <f>LCOE!X118+T92*IF(LCOE!K$14&gt;0,G92,H92)</f>
        <v>0</v>
      </c>
      <c r="V92" s="16">
        <f>LCOE!Y118+LCOE!K$32</f>
        <v>0</v>
      </c>
      <c r="W92" s="16">
        <f>LCOE!Z118+V92*IF(LCOE!K$14&gt;0,G92,H92)</f>
        <v>0</v>
      </c>
      <c r="X92" s="16">
        <f>LCOE!AA118+LCOE!K$34</f>
        <v>101</v>
      </c>
      <c r="Y92" s="16">
        <f t="shared" si="15"/>
        <v>0</v>
      </c>
      <c r="Z92" s="50">
        <f t="shared" si="18"/>
        <v>0</v>
      </c>
      <c r="AA92" s="50">
        <f t="shared" si="19"/>
        <v>20000000</v>
      </c>
      <c r="AB92" s="50">
        <f t="shared" si="20"/>
        <v>168165720</v>
      </c>
      <c r="AC92" s="50">
        <f t="shared" si="16"/>
        <v>0</v>
      </c>
      <c r="AD92" s="50">
        <f t="shared" si="11"/>
        <v>37104075</v>
      </c>
      <c r="AE92">
        <f t="shared" si="17"/>
        <v>22</v>
      </c>
      <c r="AF92" s="12">
        <f>LCOE!E118+LCOE!K$40</f>
        <v>0.14000000000000001</v>
      </c>
      <c r="AG92">
        <f t="shared" si="12"/>
        <v>17.861039437462789</v>
      </c>
      <c r="AH92" s="16">
        <f t="shared" si="7"/>
        <v>0</v>
      </c>
      <c r="AI92" s="16">
        <f t="shared" si="8"/>
        <v>1119755.6597994419</v>
      </c>
      <c r="AJ92" s="16">
        <f t="shared" si="9"/>
        <v>9415225.8377124108</v>
      </c>
      <c r="AK92" s="16">
        <f t="shared" si="10"/>
        <v>0</v>
      </c>
      <c r="AL92" s="16">
        <f t="shared" si="13"/>
        <v>2077374.899143649</v>
      </c>
      <c r="AM92" s="16">
        <f t="shared" si="14"/>
        <v>0</v>
      </c>
      <c r="AN92" s="16">
        <f>IF(LCOE!K$14&gt;0,G92,H92)/AG92</f>
        <v>220703.84054647002</v>
      </c>
    </row>
    <row r="93" spans="1:40">
      <c r="A93">
        <v>23</v>
      </c>
      <c r="C93" s="16">
        <f>LCOE!K119+IF(AND(LCOE!K$26&gt;0,A93&gt;=LCOE!K$26,A93&lt;=(LCOE!K$26+LCOE!K$27-1)),LCOE!K$42/LCOE!K$27,0)+IF(AND(D93=0,AE93&gt;=LCOE!K$16,COUNTIF(D68:D93,0)=LCOE!K$36),LCOE!K$35*LCOE!K$38,0)</f>
        <v>0</v>
      </c>
      <c r="D93" s="16">
        <f>IF(AE92&lt;LCOE!K$16,1,0)</f>
        <v>1</v>
      </c>
      <c r="E93" s="12">
        <f>LCOE!G119+IF(AND(A93&gt;=LCOE!K$26,A93&lt;=(LCOE!K$26+LCOE!K$27-1)),0,1)*IF(A93=LCOE!K$34,0,1)*D93</f>
        <v>1</v>
      </c>
      <c r="F93" s="12">
        <f>IF(F92&lt;LCOE!K$18,MIN(F92*(1+LCOE!K$19),LCOE!K$18),LCOE!K$18)+LCOE!J119</f>
        <v>0.9</v>
      </c>
      <c r="G93" s="16">
        <f>LCOE!K119+E93*F93*N93*(LCOE!K$14+LCOE!H119)*24*365*D93</f>
        <v>3942000</v>
      </c>
      <c r="H93" s="16">
        <f>LCOE!L119+F93*(LCOE!K$15+LCOE!I119)*E93*24*365*D93*N93</f>
        <v>0</v>
      </c>
      <c r="I93" s="16">
        <f>LCOE!M119+LCOE!K$20*IF(LCOE!K$14&gt;0,(LCOE!K$14+LCOE!H119),(LCOE!K$15+LCOE!I119))*K93*D93</f>
        <v>20000000</v>
      </c>
      <c r="J93" s="16">
        <f>LCOE!N119+LCOE!K$21*IF(LCOE!K$14&gt;0,G93,H93)*K93*D93</f>
        <v>0</v>
      </c>
      <c r="K93" s="15">
        <f>LCOE!O119+K92+K92*LCOE!K$22</f>
        <v>1</v>
      </c>
      <c r="L93" s="16">
        <f>LCOE!P119+LCOE!K$23*IF(LCOE!K$14&gt;0,G93,H93)*M93*D93</f>
        <v>168165720</v>
      </c>
      <c r="M93" s="15">
        <f>LCOE!Q119+M92+M92*LCOE!K$24</f>
        <v>1</v>
      </c>
      <c r="N93" s="15">
        <f>LCOE!R119+N92-N92*LCOE!K$25</f>
        <v>1</v>
      </c>
      <c r="O93" s="18">
        <f>LCOE!S119+LCOE!K$29</f>
        <v>313.75</v>
      </c>
      <c r="P93" s="12">
        <f>LCOE!T119+IF(A93&gt;=LCOE!K$30,100%,0%)</f>
        <v>1</v>
      </c>
      <c r="Q93" s="16">
        <f>LCOE!U119+O93/1000*IF(LCOE!K$14&gt;0,G93,H93)</f>
        <v>1236802.5</v>
      </c>
      <c r="R93" s="16">
        <f>LCOE!B119</f>
        <v>30</v>
      </c>
      <c r="S93" s="16">
        <f>LCOE!V119+Q93*P93*R93</f>
        <v>37104075</v>
      </c>
      <c r="T93" s="16">
        <f>LCOE!W119+LCOE!K$31</f>
        <v>0</v>
      </c>
      <c r="U93" s="16">
        <f>LCOE!X119+T93*IF(LCOE!K$14&gt;0,G93,H93)</f>
        <v>0</v>
      </c>
      <c r="V93" s="16">
        <f>LCOE!Y119+LCOE!K$32</f>
        <v>0</v>
      </c>
      <c r="W93" s="16">
        <f>LCOE!Z119+V93*IF(LCOE!K$14&gt;0,G93,H93)</f>
        <v>0</v>
      </c>
      <c r="X93" s="16">
        <f>LCOE!AA119+LCOE!K$34</f>
        <v>101</v>
      </c>
      <c r="Y93" s="16">
        <f t="shared" si="15"/>
        <v>0</v>
      </c>
      <c r="Z93" s="50">
        <f t="shared" si="18"/>
        <v>0</v>
      </c>
      <c r="AA93" s="50">
        <f t="shared" si="19"/>
        <v>20000000</v>
      </c>
      <c r="AB93" s="50">
        <f t="shared" si="20"/>
        <v>168165720</v>
      </c>
      <c r="AC93" s="50">
        <f t="shared" si="16"/>
        <v>0</v>
      </c>
      <c r="AD93" s="50">
        <f t="shared" si="11"/>
        <v>37104075</v>
      </c>
      <c r="AE93">
        <f t="shared" si="17"/>
        <v>23</v>
      </c>
      <c r="AF93" s="12">
        <f>LCOE!E119+LCOE!K$40</f>
        <v>0.14000000000000001</v>
      </c>
      <c r="AG93">
        <f t="shared" si="12"/>
        <v>20.361584958707585</v>
      </c>
      <c r="AH93" s="16">
        <f t="shared" si="7"/>
        <v>0</v>
      </c>
      <c r="AI93" s="16">
        <f t="shared" si="8"/>
        <v>982241.80684161559</v>
      </c>
      <c r="AJ93" s="16">
        <f t="shared" si="9"/>
        <v>8258970.0330810603</v>
      </c>
      <c r="AK93" s="16">
        <f t="shared" si="10"/>
        <v>0</v>
      </c>
      <c r="AL93" s="16">
        <f t="shared" si="13"/>
        <v>1822258.6834593408</v>
      </c>
      <c r="AM93" s="16">
        <f t="shared" si="14"/>
        <v>0</v>
      </c>
      <c r="AN93" s="16">
        <f>IF(LCOE!K$14&gt;0,G93,H93)/AG93</f>
        <v>193599.86012848243</v>
      </c>
    </row>
    <row r="94" spans="1:40">
      <c r="A94">
        <v>24</v>
      </c>
      <c r="C94" s="16">
        <f>LCOE!K120+IF(AND(LCOE!K$26&gt;0,A94&gt;=LCOE!K$26,A94&lt;=(LCOE!K$26+LCOE!K$27-1)),LCOE!K$42/LCOE!K$27,0)+IF(AND(D94=0,AE94&gt;=LCOE!K$16,COUNTIF(D69:D94,0)=LCOE!K$36),LCOE!K$35*LCOE!K$38,0)</f>
        <v>0</v>
      </c>
      <c r="D94" s="16">
        <f>IF(AE93&lt;LCOE!K$16,1,0)</f>
        <v>1</v>
      </c>
      <c r="E94" s="12">
        <f>LCOE!G120+IF(AND(A94&gt;=LCOE!K$26,A94&lt;=(LCOE!K$26+LCOE!K$27-1)),0,1)*IF(A94=LCOE!K$34,0,1)*D94</f>
        <v>1</v>
      </c>
      <c r="F94" s="12">
        <f>IF(F93&lt;LCOE!K$18,MIN(F93*(1+LCOE!K$19),LCOE!K$18),LCOE!K$18)+LCOE!J120</f>
        <v>0.9</v>
      </c>
      <c r="G94" s="16">
        <f>LCOE!K120+E94*F94*N94*(LCOE!K$14+LCOE!H120)*24*365*D94</f>
        <v>3942000</v>
      </c>
      <c r="H94" s="16">
        <f>LCOE!L120+F94*(LCOE!K$15+LCOE!I120)*E94*24*365*D94*N94</f>
        <v>0</v>
      </c>
      <c r="I94" s="16">
        <f>LCOE!M120+LCOE!K$20*IF(LCOE!K$14&gt;0,(LCOE!K$14+LCOE!H120),(LCOE!K$15+LCOE!I120))*K94*D94</f>
        <v>20000000</v>
      </c>
      <c r="J94" s="16">
        <f>LCOE!N120+LCOE!K$21*IF(LCOE!K$14&gt;0,G94,H94)*K94*D94</f>
        <v>0</v>
      </c>
      <c r="K94" s="15">
        <f>LCOE!O120+K93+K93*LCOE!K$22</f>
        <v>1</v>
      </c>
      <c r="L94" s="16">
        <f>LCOE!P120+LCOE!K$23*IF(LCOE!K$14&gt;0,G94,H94)*M94*D94</f>
        <v>168165720</v>
      </c>
      <c r="M94" s="15">
        <f>LCOE!Q120+M93+M93*LCOE!K$24</f>
        <v>1</v>
      </c>
      <c r="N94" s="15">
        <f>LCOE!R120+N93-N93*LCOE!K$25</f>
        <v>1</v>
      </c>
      <c r="O94" s="18">
        <f>LCOE!S120+LCOE!K$29</f>
        <v>313.75</v>
      </c>
      <c r="P94" s="12">
        <f>LCOE!T120+IF(A94&gt;=LCOE!K$30,100%,0%)</f>
        <v>1</v>
      </c>
      <c r="Q94" s="16">
        <f>LCOE!U120+O94/1000*IF(LCOE!K$14&gt;0,G94,H94)</f>
        <v>1236802.5</v>
      </c>
      <c r="R94" s="16">
        <f>LCOE!B120</f>
        <v>30</v>
      </c>
      <c r="S94" s="16">
        <f>LCOE!V120+Q94*P94*R94</f>
        <v>37104075</v>
      </c>
      <c r="T94" s="16">
        <f>LCOE!W120+LCOE!K$31</f>
        <v>0</v>
      </c>
      <c r="U94" s="16">
        <f>LCOE!X120+T94*IF(LCOE!K$14&gt;0,G94,H94)</f>
        <v>0</v>
      </c>
      <c r="V94" s="16">
        <f>LCOE!Y120+LCOE!K$32</f>
        <v>0</v>
      </c>
      <c r="W94" s="16">
        <f>LCOE!Z120+V94*IF(LCOE!K$14&gt;0,G94,H94)</f>
        <v>0</v>
      </c>
      <c r="X94" s="16">
        <f>LCOE!AA120+LCOE!K$34</f>
        <v>101</v>
      </c>
      <c r="Y94" s="16">
        <f t="shared" si="15"/>
        <v>0</v>
      </c>
      <c r="Z94" s="50">
        <f t="shared" si="18"/>
        <v>0</v>
      </c>
      <c r="AA94" s="50">
        <f t="shared" si="19"/>
        <v>20000000</v>
      </c>
      <c r="AB94" s="50">
        <f t="shared" si="20"/>
        <v>168165720</v>
      </c>
      <c r="AC94" s="50">
        <f t="shared" si="16"/>
        <v>0</v>
      </c>
      <c r="AD94" s="50">
        <f t="shared" si="11"/>
        <v>37104075</v>
      </c>
      <c r="AE94">
        <f t="shared" si="17"/>
        <v>24</v>
      </c>
      <c r="AF94" s="12">
        <f>LCOE!E120+LCOE!K$40</f>
        <v>0.14000000000000001</v>
      </c>
      <c r="AG94">
        <f t="shared" si="12"/>
        <v>23.212206852926652</v>
      </c>
      <c r="AH94" s="16">
        <f t="shared" si="7"/>
        <v>0</v>
      </c>
      <c r="AI94" s="16">
        <f t="shared" si="8"/>
        <v>861615.6200365047</v>
      </c>
      <c r="AJ94" s="16">
        <f t="shared" si="9"/>
        <v>7244710.5553342616</v>
      </c>
      <c r="AK94" s="16">
        <f t="shared" si="10"/>
        <v>0</v>
      </c>
      <c r="AL94" s="16">
        <f t="shared" si="13"/>
        <v>1598472.5293502987</v>
      </c>
      <c r="AM94" s="16">
        <f t="shared" si="14"/>
        <v>0</v>
      </c>
      <c r="AN94" s="16">
        <f>IF(LCOE!K$14&gt;0,G94,H94)/AG94</f>
        <v>169824.43870919506</v>
      </c>
    </row>
    <row r="95" spans="1:40">
      <c r="A95">
        <v>25</v>
      </c>
      <c r="C95" s="16">
        <f>LCOE!K121+IF(AND(LCOE!K$26&gt;0,A95&gt;=LCOE!K$26,A95&lt;=(LCOE!K$26+LCOE!K$27-1)),LCOE!K$42/LCOE!K$27,0)+IF(AND(D95=0,AE95&gt;=LCOE!K$16,COUNTIF(D70:D95,0)=LCOE!K$36),LCOE!K$35*LCOE!K$38,0)</f>
        <v>0</v>
      </c>
      <c r="D95" s="16">
        <f>IF(AE94&lt;LCOE!K$16,1,0)</f>
        <v>1</v>
      </c>
      <c r="E95" s="12">
        <f>LCOE!G121+IF(AND(A95&gt;=LCOE!K$26,A95&lt;=(LCOE!K$26+LCOE!K$27-1)),0,1)*IF(A95=LCOE!K$34,0,1)*D95</f>
        <v>1</v>
      </c>
      <c r="F95" s="12">
        <f>IF(F94&lt;LCOE!K$18,MIN(F94*(1+LCOE!K$19),LCOE!K$18),LCOE!K$18)+LCOE!J121</f>
        <v>0.9</v>
      </c>
      <c r="G95" s="16">
        <f>LCOE!K121+E95*F95*N95*(LCOE!K$14+LCOE!H121)*24*365*D95</f>
        <v>3942000</v>
      </c>
      <c r="H95" s="16">
        <f>LCOE!L121+F95*(LCOE!K$15+LCOE!I121)*E95*24*365*D95*N95</f>
        <v>0</v>
      </c>
      <c r="I95" s="16">
        <f>LCOE!M121+LCOE!K$20*IF(LCOE!K$14&gt;0,(LCOE!K$14+LCOE!H121),(LCOE!K$15+LCOE!I121))*K95*D95</f>
        <v>20000000</v>
      </c>
      <c r="J95" s="16">
        <f>LCOE!N121+LCOE!K$21*IF(LCOE!K$14&gt;0,G95,H95)*K95*D95</f>
        <v>0</v>
      </c>
      <c r="K95" s="15">
        <f>LCOE!O121+K94+K94*LCOE!K$22</f>
        <v>1</v>
      </c>
      <c r="L95" s="16">
        <f>LCOE!P121+LCOE!K$23*IF(LCOE!K$14&gt;0,G95,H95)*M95*D95</f>
        <v>168165720</v>
      </c>
      <c r="M95" s="15">
        <f>LCOE!Q121+M94+M94*LCOE!K$24</f>
        <v>1</v>
      </c>
      <c r="N95" s="15">
        <f>LCOE!R121+N94-N94*LCOE!K$25</f>
        <v>1</v>
      </c>
      <c r="O95" s="18">
        <f>LCOE!S121+LCOE!K$29</f>
        <v>313.75</v>
      </c>
      <c r="P95" s="12">
        <f>LCOE!T121+IF(A95&gt;=LCOE!K$30,100%,0%)</f>
        <v>1</v>
      </c>
      <c r="Q95" s="16">
        <f>LCOE!U121+O95/1000*IF(LCOE!K$14&gt;0,G95,H95)</f>
        <v>1236802.5</v>
      </c>
      <c r="R95" s="16">
        <f>LCOE!B121</f>
        <v>30</v>
      </c>
      <c r="S95" s="16">
        <f>LCOE!V121+Q95*P95*R95</f>
        <v>37104075</v>
      </c>
      <c r="T95" s="16">
        <f>LCOE!W121+LCOE!K$31</f>
        <v>0</v>
      </c>
      <c r="U95" s="16">
        <f>LCOE!X121+T95*IF(LCOE!K$14&gt;0,G95,H95)</f>
        <v>0</v>
      </c>
      <c r="V95" s="16">
        <f>LCOE!Y121+LCOE!K$32</f>
        <v>0</v>
      </c>
      <c r="W95" s="16">
        <f>LCOE!Z121+V95*IF(LCOE!K$14&gt;0,G95,H95)</f>
        <v>0</v>
      </c>
      <c r="X95" s="16">
        <f>LCOE!AA121+LCOE!K$34</f>
        <v>101</v>
      </c>
      <c r="Y95" s="16">
        <f t="shared" si="15"/>
        <v>0</v>
      </c>
      <c r="Z95" s="50">
        <f t="shared" si="18"/>
        <v>0</v>
      </c>
      <c r="AA95" s="50">
        <f t="shared" si="19"/>
        <v>20000000</v>
      </c>
      <c r="AB95" s="50">
        <f t="shared" si="20"/>
        <v>168165720</v>
      </c>
      <c r="AC95" s="50">
        <f t="shared" si="16"/>
        <v>0</v>
      </c>
      <c r="AD95" s="50">
        <f t="shared" si="11"/>
        <v>37104075</v>
      </c>
      <c r="AE95">
        <f t="shared" si="17"/>
        <v>25</v>
      </c>
      <c r="AF95" s="12">
        <f>LCOE!E121+LCOE!K$40</f>
        <v>0.14000000000000001</v>
      </c>
      <c r="AG95">
        <f t="shared" si="12"/>
        <v>26.461915812336382</v>
      </c>
      <c r="AH95" s="16">
        <f t="shared" si="7"/>
        <v>0</v>
      </c>
      <c r="AI95" s="16">
        <f t="shared" si="8"/>
        <v>755803.17547061818</v>
      </c>
      <c r="AJ95" s="16">
        <f t="shared" si="9"/>
        <v>6355009.2590651419</v>
      </c>
      <c r="AK95" s="16">
        <f t="shared" si="10"/>
        <v>0</v>
      </c>
      <c r="AL95" s="16">
        <f t="shared" si="13"/>
        <v>1402168.8853949988</v>
      </c>
      <c r="AM95" s="16">
        <f t="shared" si="14"/>
        <v>0</v>
      </c>
      <c r="AN95" s="16">
        <f>IF(LCOE!K$14&gt;0,G95,H95)/AG95</f>
        <v>148968.80588525883</v>
      </c>
    </row>
    <row r="96" spans="1:40">
      <c r="A96">
        <v>26</v>
      </c>
      <c r="C96" s="16">
        <f>LCOE!K122+IF(AND(LCOE!K$26&gt;0,A96&gt;=LCOE!K$26,A96&lt;=(LCOE!K$26+LCOE!K$27-1)),LCOE!K$42/LCOE!K$27,0)+IF(AND(D96=0,AE96&gt;=LCOE!K$16,COUNTIF(D71:D96,0)=LCOE!K$36),LCOE!K$35*LCOE!K$38,0)</f>
        <v>0</v>
      </c>
      <c r="D96" s="16">
        <f>IF(AE95&lt;LCOE!K$16,1,0)</f>
        <v>1</v>
      </c>
      <c r="E96" s="12">
        <f>LCOE!G122+IF(AND(A96&gt;=LCOE!K$26,A96&lt;=(LCOE!K$26+LCOE!K$27-1)),0,1)*IF(A96=LCOE!K$34,0,1)*D96</f>
        <v>1</v>
      </c>
      <c r="F96" s="12">
        <f>IF(F95&lt;LCOE!K$18,MIN(F95*(1+LCOE!K$19),LCOE!K$18),LCOE!K$18)+LCOE!J122</f>
        <v>0.9</v>
      </c>
      <c r="G96" s="16">
        <f>LCOE!K122+E96*F96*N96*(LCOE!K$14+LCOE!H122)*24*365*D96</f>
        <v>3942000</v>
      </c>
      <c r="H96" s="16">
        <f>LCOE!L122+F96*(LCOE!K$15+LCOE!I122)*E96*24*365*D96*N96</f>
        <v>0</v>
      </c>
      <c r="I96" s="16">
        <f>LCOE!M122+LCOE!K$20*IF(LCOE!K$14&gt;0,(LCOE!K$14+LCOE!H122),(LCOE!K$15+LCOE!I122))*K96*D96</f>
        <v>20000000</v>
      </c>
      <c r="J96" s="16">
        <f>LCOE!N122+LCOE!K$21*IF(LCOE!K$14&gt;0,G96,H96)*K96*D96</f>
        <v>0</v>
      </c>
      <c r="K96" s="15">
        <f>LCOE!O122+K95+K95*LCOE!K$22</f>
        <v>1</v>
      </c>
      <c r="L96" s="16">
        <f>LCOE!P122+LCOE!K$23*IF(LCOE!K$14&gt;0,G96,H96)*M96*D96</f>
        <v>168165720</v>
      </c>
      <c r="M96" s="15">
        <f>LCOE!Q122+M95+M95*LCOE!K$24</f>
        <v>1</v>
      </c>
      <c r="N96" s="15">
        <f>LCOE!R122+N95-N95*LCOE!K$25</f>
        <v>1</v>
      </c>
      <c r="O96" s="18">
        <f>LCOE!S122+LCOE!K$29</f>
        <v>313.75</v>
      </c>
      <c r="P96" s="12">
        <f>LCOE!T122+IF(A96&gt;=LCOE!K$30,100%,0%)</f>
        <v>1</v>
      </c>
      <c r="Q96" s="16">
        <f>LCOE!U122+O96/1000*IF(LCOE!K$14&gt;0,G96,H96)</f>
        <v>1236802.5</v>
      </c>
      <c r="R96" s="16">
        <f>LCOE!B122</f>
        <v>30</v>
      </c>
      <c r="S96" s="16">
        <f>LCOE!V122+Q96*P96*R96</f>
        <v>37104075</v>
      </c>
      <c r="T96" s="16">
        <f>LCOE!W122+LCOE!K$31</f>
        <v>0</v>
      </c>
      <c r="U96" s="16">
        <f>LCOE!X122+T96*IF(LCOE!K$14&gt;0,G96,H96)</f>
        <v>0</v>
      </c>
      <c r="V96" s="16">
        <f>LCOE!Y122+LCOE!K$32</f>
        <v>0</v>
      </c>
      <c r="W96" s="16">
        <f>LCOE!Z122+V96*IF(LCOE!K$14&gt;0,G96,H96)</f>
        <v>0</v>
      </c>
      <c r="X96" s="16">
        <f>LCOE!AA122+LCOE!K$34</f>
        <v>101</v>
      </c>
      <c r="Y96" s="16">
        <f t="shared" si="15"/>
        <v>0</v>
      </c>
      <c r="Z96" s="50">
        <f t="shared" si="18"/>
        <v>0</v>
      </c>
      <c r="AA96" s="50">
        <f t="shared" si="19"/>
        <v>20000000</v>
      </c>
      <c r="AB96" s="50">
        <f t="shared" si="20"/>
        <v>168165720</v>
      </c>
      <c r="AC96" s="50">
        <f t="shared" si="16"/>
        <v>0</v>
      </c>
      <c r="AD96" s="50">
        <f t="shared" si="11"/>
        <v>37104075</v>
      </c>
      <c r="AE96">
        <f t="shared" si="17"/>
        <v>26</v>
      </c>
      <c r="AF96" s="12">
        <f>LCOE!E122+LCOE!K$40</f>
        <v>0.14000000000000001</v>
      </c>
      <c r="AG96">
        <f t="shared" si="12"/>
        <v>30.166584026063482</v>
      </c>
      <c r="AH96" s="16">
        <f t="shared" si="7"/>
        <v>0</v>
      </c>
      <c r="AI96" s="16">
        <f t="shared" si="8"/>
        <v>662985.24164089293</v>
      </c>
      <c r="AJ96" s="16">
        <f t="shared" si="9"/>
        <v>5574569.5254957378</v>
      </c>
      <c r="AK96" s="16">
        <f t="shared" si="10"/>
        <v>0</v>
      </c>
      <c r="AL96" s="16">
        <f t="shared" si="13"/>
        <v>1229972.7064868407</v>
      </c>
      <c r="AM96" s="16">
        <f t="shared" si="14"/>
        <v>0</v>
      </c>
      <c r="AN96" s="16">
        <f>IF(LCOE!K$14&gt;0,G96,H96)/AG96</f>
        <v>130674.39112742001</v>
      </c>
    </row>
    <row r="97" spans="1:40">
      <c r="A97">
        <v>27</v>
      </c>
      <c r="C97" s="16">
        <f>LCOE!K123+IF(AND(LCOE!K$26&gt;0,A97&gt;=LCOE!K$26,A97&lt;=(LCOE!K$26+LCOE!K$27-1)),LCOE!K$42/LCOE!K$27,0)+IF(AND(D97=0,AE97&gt;=LCOE!K$16,COUNTIF(D72:D97,0)=LCOE!K$36),LCOE!K$35*LCOE!K$38,0)</f>
        <v>0</v>
      </c>
      <c r="D97" s="16">
        <f>IF(AE96&lt;LCOE!K$16,1,0)</f>
        <v>1</v>
      </c>
      <c r="E97" s="12">
        <f>LCOE!G123+IF(AND(A97&gt;=LCOE!K$26,A97&lt;=(LCOE!K$26+LCOE!K$27-1)),0,1)*IF(A97=LCOE!K$34,0,1)*D97</f>
        <v>1</v>
      </c>
      <c r="F97" s="12">
        <f>IF(F96&lt;LCOE!K$18,MIN(F96*(1+LCOE!K$19),LCOE!K$18),LCOE!K$18)+LCOE!J123</f>
        <v>0.9</v>
      </c>
      <c r="G97" s="16">
        <f>LCOE!K123+E97*F97*N97*(LCOE!K$14+LCOE!H123)*24*365*D97</f>
        <v>3942000</v>
      </c>
      <c r="H97" s="16">
        <f>LCOE!L123+F97*(LCOE!K$15+LCOE!I123)*E97*24*365*D97*N97</f>
        <v>0</v>
      </c>
      <c r="I97" s="16">
        <f>LCOE!M123+LCOE!K$20*IF(LCOE!K$14&gt;0,(LCOE!K$14+LCOE!H123),(LCOE!K$15+LCOE!I123))*K97*D97</f>
        <v>20000000</v>
      </c>
      <c r="J97" s="16">
        <f>LCOE!N123+LCOE!K$21*IF(LCOE!K$14&gt;0,G97,H97)*K97*D97</f>
        <v>0</v>
      </c>
      <c r="K97" s="15">
        <f>LCOE!O123+K96+K96*LCOE!K$22</f>
        <v>1</v>
      </c>
      <c r="L97" s="16">
        <f>LCOE!P123+LCOE!K$23*IF(LCOE!K$14&gt;0,G97,H97)*M97*D97</f>
        <v>168165720</v>
      </c>
      <c r="M97" s="15">
        <f>LCOE!Q123+M96+M96*LCOE!K$24</f>
        <v>1</v>
      </c>
      <c r="N97" s="15">
        <f>LCOE!R123+N96-N96*LCOE!K$25</f>
        <v>1</v>
      </c>
      <c r="O97" s="18">
        <f>LCOE!S123+LCOE!K$29</f>
        <v>313.75</v>
      </c>
      <c r="P97" s="12">
        <f>LCOE!T123+IF(A97&gt;=LCOE!K$30,100%,0%)</f>
        <v>1</v>
      </c>
      <c r="Q97" s="16">
        <f>LCOE!U123+O97/1000*IF(LCOE!K$14&gt;0,G97,H97)</f>
        <v>1236802.5</v>
      </c>
      <c r="R97" s="16">
        <f>LCOE!B123</f>
        <v>30</v>
      </c>
      <c r="S97" s="16">
        <f>LCOE!V123+Q97*P97*R97</f>
        <v>37104075</v>
      </c>
      <c r="T97" s="16">
        <f>LCOE!W123+LCOE!K$31</f>
        <v>0</v>
      </c>
      <c r="U97" s="16">
        <f>LCOE!X123+T97*IF(LCOE!K$14&gt;0,G97,H97)</f>
        <v>0</v>
      </c>
      <c r="V97" s="16">
        <f>LCOE!Y123+LCOE!K$32</f>
        <v>0</v>
      </c>
      <c r="W97" s="16">
        <f>LCOE!Z123+V97*IF(LCOE!K$14&gt;0,G97,H97)</f>
        <v>0</v>
      </c>
      <c r="X97" s="16">
        <f>LCOE!AA123+LCOE!K$34</f>
        <v>101</v>
      </c>
      <c r="Y97" s="16">
        <f t="shared" si="15"/>
        <v>0</v>
      </c>
      <c r="Z97" s="50">
        <f t="shared" si="18"/>
        <v>0</v>
      </c>
      <c r="AA97" s="50">
        <f t="shared" si="19"/>
        <v>20000000</v>
      </c>
      <c r="AB97" s="50">
        <f t="shared" si="20"/>
        <v>168165720</v>
      </c>
      <c r="AC97" s="50">
        <f t="shared" si="16"/>
        <v>0</v>
      </c>
      <c r="AD97" s="50">
        <f t="shared" si="11"/>
        <v>37104075</v>
      </c>
      <c r="AE97">
        <f t="shared" si="17"/>
        <v>27</v>
      </c>
      <c r="AF97" s="12">
        <f>LCOE!E123+LCOE!K$40</f>
        <v>0.14000000000000001</v>
      </c>
      <c r="AG97">
        <f t="shared" si="12"/>
        <v>34.389905789712373</v>
      </c>
      <c r="AH97" s="16">
        <f t="shared" si="7"/>
        <v>0</v>
      </c>
      <c r="AI97" s="16">
        <f t="shared" si="8"/>
        <v>581566.00143937976</v>
      </c>
      <c r="AJ97" s="16">
        <f t="shared" si="9"/>
        <v>4889973.2679787166</v>
      </c>
      <c r="AK97" s="16">
        <f t="shared" si="10"/>
        <v>0</v>
      </c>
      <c r="AL97" s="16">
        <f t="shared" si="13"/>
        <v>1078923.4267428427</v>
      </c>
      <c r="AM97" s="16">
        <f t="shared" si="14"/>
        <v>0</v>
      </c>
      <c r="AN97" s="16">
        <f>IF(LCOE!K$14&gt;0,G97,H97)/AG97</f>
        <v>114626.65888370175</v>
      </c>
    </row>
    <row r="98" spans="1:40">
      <c r="A98">
        <v>28</v>
      </c>
      <c r="C98" s="16">
        <f>LCOE!K124+IF(AND(LCOE!K$26&gt;0,A98&gt;=LCOE!K$26,A98&lt;=(LCOE!K$26+LCOE!K$27-1)),LCOE!K$42/LCOE!K$27,0)+IF(AND(D98=0,AE98&gt;=LCOE!K$16,COUNTIF(D73:D98,0)=LCOE!K$36),LCOE!K$35*LCOE!K$38,0)</f>
        <v>0</v>
      </c>
      <c r="D98" s="16">
        <f>IF(AE97&lt;LCOE!K$16,1,0)</f>
        <v>1</v>
      </c>
      <c r="E98" s="12">
        <f>LCOE!G124+IF(AND(A98&gt;=LCOE!K$26,A98&lt;=(LCOE!K$26+LCOE!K$27-1)),0,1)*IF(A98=LCOE!K$34,0,1)*D98</f>
        <v>1</v>
      </c>
      <c r="F98" s="12">
        <f>IF(F97&lt;LCOE!K$18,MIN(F97*(1+LCOE!K$19),LCOE!K$18),LCOE!K$18)+LCOE!J124</f>
        <v>0.9</v>
      </c>
      <c r="G98" s="16">
        <f>LCOE!K124+E98*F98*N98*(LCOE!K$14+LCOE!H124)*24*365*D98</f>
        <v>3942000</v>
      </c>
      <c r="H98" s="16">
        <f>LCOE!L124+F98*(LCOE!K$15+LCOE!I124)*E98*24*365*D98*N98</f>
        <v>0</v>
      </c>
      <c r="I98" s="16">
        <f>LCOE!M124+LCOE!K$20*IF(LCOE!K$14&gt;0,(LCOE!K$14+LCOE!H124),(LCOE!K$15+LCOE!I124))*K98*D98</f>
        <v>20000000</v>
      </c>
      <c r="J98" s="16">
        <f>LCOE!N124+LCOE!K$21*IF(LCOE!K$14&gt;0,G98,H98)*K98*D98</f>
        <v>0</v>
      </c>
      <c r="K98" s="15">
        <f>LCOE!O124+K97+K97*LCOE!K$22</f>
        <v>1</v>
      </c>
      <c r="L98" s="16">
        <f>LCOE!P124+LCOE!K$23*IF(LCOE!K$14&gt;0,G98,H98)*M98*D98</f>
        <v>168165720</v>
      </c>
      <c r="M98" s="15">
        <f>LCOE!Q124+M97+M97*LCOE!K$24</f>
        <v>1</v>
      </c>
      <c r="N98" s="15">
        <f>LCOE!R124+N97-N97*LCOE!K$25</f>
        <v>1</v>
      </c>
      <c r="O98" s="18">
        <f>LCOE!S124+LCOE!K$29</f>
        <v>313.75</v>
      </c>
      <c r="P98" s="12">
        <f>LCOE!T124+IF(A98&gt;=LCOE!K$30,100%,0%)</f>
        <v>1</v>
      </c>
      <c r="Q98" s="16">
        <f>LCOE!U124+O98/1000*IF(LCOE!K$14&gt;0,G98,H98)</f>
        <v>1236802.5</v>
      </c>
      <c r="R98" s="16">
        <f>LCOE!B124</f>
        <v>30</v>
      </c>
      <c r="S98" s="16">
        <f>LCOE!V124+Q98*P98*R98</f>
        <v>37104075</v>
      </c>
      <c r="T98" s="16">
        <f>LCOE!W124+LCOE!K$31</f>
        <v>0</v>
      </c>
      <c r="U98" s="16">
        <f>LCOE!X124+T98*IF(LCOE!K$14&gt;0,G98,H98)</f>
        <v>0</v>
      </c>
      <c r="V98" s="16">
        <f>LCOE!Y124+LCOE!K$32</f>
        <v>0</v>
      </c>
      <c r="W98" s="16">
        <f>LCOE!Z124+V98*IF(LCOE!K$14&gt;0,G98,H98)</f>
        <v>0</v>
      </c>
      <c r="X98" s="16">
        <f>LCOE!AA124+LCOE!K$34</f>
        <v>101</v>
      </c>
      <c r="Y98" s="16">
        <f t="shared" si="15"/>
        <v>0</v>
      </c>
      <c r="Z98" s="50">
        <f t="shared" si="18"/>
        <v>0</v>
      </c>
      <c r="AA98" s="50">
        <f t="shared" si="19"/>
        <v>20000000</v>
      </c>
      <c r="AB98" s="50">
        <f t="shared" si="20"/>
        <v>168165720</v>
      </c>
      <c r="AC98" s="50">
        <f t="shared" si="16"/>
        <v>0</v>
      </c>
      <c r="AD98" s="50">
        <f t="shared" si="11"/>
        <v>37104075</v>
      </c>
      <c r="AE98">
        <f t="shared" si="17"/>
        <v>28</v>
      </c>
      <c r="AF98" s="12">
        <f>LCOE!E124+LCOE!K$40</f>
        <v>0.14000000000000001</v>
      </c>
      <c r="AG98">
        <f t="shared" si="12"/>
        <v>39.204492600272111</v>
      </c>
      <c r="AH98" s="16">
        <f t="shared" si="7"/>
        <v>0</v>
      </c>
      <c r="AI98" s="16">
        <f t="shared" si="8"/>
        <v>510145.61529770144</v>
      </c>
      <c r="AJ98" s="16">
        <f t="shared" si="9"/>
        <v>4289450.2350690486</v>
      </c>
      <c r="AK98" s="16">
        <f t="shared" si="10"/>
        <v>0</v>
      </c>
      <c r="AL98" s="16">
        <f t="shared" si="13"/>
        <v>946424.05854635313</v>
      </c>
      <c r="AM98" s="16">
        <f t="shared" si="14"/>
        <v>0</v>
      </c>
      <c r="AN98" s="16">
        <f>IF(LCOE!K$14&gt;0,G98,H98)/AG98</f>
        <v>100549.70077517696</v>
      </c>
    </row>
    <row r="99" spans="1:40">
      <c r="A99">
        <v>29</v>
      </c>
      <c r="C99" s="16">
        <f>LCOE!K125+IF(AND(LCOE!K$26&gt;0,A99&gt;=LCOE!K$26,A99&lt;=(LCOE!K$26+LCOE!K$27-1)),LCOE!K$42/LCOE!K$27,0)+IF(AND(D99=0,AE99&gt;=LCOE!K$16,COUNTIF(D74:D99,0)=LCOE!K$36),LCOE!K$35*LCOE!K$38,0)</f>
        <v>0</v>
      </c>
      <c r="D99" s="16">
        <f>IF(AE98&lt;LCOE!K$16,1,0)</f>
        <v>1</v>
      </c>
      <c r="E99" s="12">
        <f>LCOE!G125+IF(AND(A99&gt;=LCOE!K$26,A99&lt;=(LCOE!K$26+LCOE!K$27-1)),0,1)*IF(A99=LCOE!K$34,0,1)*D99</f>
        <v>1</v>
      </c>
      <c r="F99" s="12">
        <f>IF(F98&lt;LCOE!K$18,MIN(F98*(1+LCOE!K$19),LCOE!K$18),LCOE!K$18)+LCOE!J125</f>
        <v>0.9</v>
      </c>
      <c r="G99" s="16">
        <f>LCOE!K125+E99*F99*N99*(LCOE!K$14+LCOE!H125)*24*365*D99</f>
        <v>3942000</v>
      </c>
      <c r="H99" s="16">
        <f>LCOE!L125+F99*(LCOE!K$15+LCOE!I125)*E99*24*365*D99*N99</f>
        <v>0</v>
      </c>
      <c r="I99" s="16">
        <f>LCOE!M125+LCOE!K$20*IF(LCOE!K$14&gt;0,(LCOE!K$14+LCOE!H125),(LCOE!K$15+LCOE!I125))*K99*D99</f>
        <v>20000000</v>
      </c>
      <c r="J99" s="16">
        <f>LCOE!N125+LCOE!K$21*IF(LCOE!K$14&gt;0,G99,H99)*K99*D99</f>
        <v>0</v>
      </c>
      <c r="K99" s="15">
        <f>LCOE!O125+K98+K98*LCOE!K$22</f>
        <v>1</v>
      </c>
      <c r="L99" s="16">
        <f>LCOE!P125+LCOE!K$23*IF(LCOE!K$14&gt;0,G99,H99)*M99*D99</f>
        <v>168165720</v>
      </c>
      <c r="M99" s="15">
        <f>LCOE!Q125+M98+M98*LCOE!K$24</f>
        <v>1</v>
      </c>
      <c r="N99" s="15">
        <f>LCOE!R125+N98-N98*LCOE!K$25</f>
        <v>1</v>
      </c>
      <c r="O99" s="18">
        <f>LCOE!S125+LCOE!K$29</f>
        <v>313.75</v>
      </c>
      <c r="P99" s="12">
        <f>LCOE!T125+IF(A99&gt;=LCOE!K$30,100%,0%)</f>
        <v>1</v>
      </c>
      <c r="Q99" s="16">
        <f>LCOE!U125+O99/1000*IF(LCOE!K$14&gt;0,G99,H99)</f>
        <v>1236802.5</v>
      </c>
      <c r="R99" s="16">
        <f>LCOE!B125</f>
        <v>30</v>
      </c>
      <c r="S99" s="16">
        <f>LCOE!V125+Q99*P99*R99</f>
        <v>37104075</v>
      </c>
      <c r="T99" s="16">
        <f>LCOE!W125+LCOE!K$31</f>
        <v>0</v>
      </c>
      <c r="U99" s="16">
        <f>LCOE!X125+T99*IF(LCOE!K$14&gt;0,G99,H99)</f>
        <v>0</v>
      </c>
      <c r="V99" s="16">
        <f>LCOE!Y125+LCOE!K$32</f>
        <v>0</v>
      </c>
      <c r="W99" s="16">
        <f>LCOE!Z125+V99*IF(LCOE!K$14&gt;0,G99,H99)</f>
        <v>0</v>
      </c>
      <c r="X99" s="16">
        <f>LCOE!AA125+LCOE!K$34</f>
        <v>101</v>
      </c>
      <c r="Y99" s="16">
        <f t="shared" si="15"/>
        <v>0</v>
      </c>
      <c r="Z99" s="50">
        <f t="shared" si="18"/>
        <v>0</v>
      </c>
      <c r="AA99" s="50">
        <f t="shared" si="19"/>
        <v>20000000</v>
      </c>
      <c r="AB99" s="50">
        <f t="shared" si="20"/>
        <v>168165720</v>
      </c>
      <c r="AC99" s="50">
        <f t="shared" si="16"/>
        <v>0</v>
      </c>
      <c r="AD99" s="50">
        <f t="shared" si="11"/>
        <v>37104075</v>
      </c>
      <c r="AE99">
        <f t="shared" si="17"/>
        <v>29</v>
      </c>
      <c r="AF99" s="12">
        <f>LCOE!E125+LCOE!K$40</f>
        <v>0.14000000000000001</v>
      </c>
      <c r="AG99">
        <f t="shared" si="12"/>
        <v>44.693121564310211</v>
      </c>
      <c r="AH99" s="16">
        <f t="shared" si="7"/>
        <v>0</v>
      </c>
      <c r="AI99" s="16">
        <f t="shared" si="8"/>
        <v>447496.15376991354</v>
      </c>
      <c r="AJ99" s="16">
        <f t="shared" si="9"/>
        <v>3762675.6447974113</v>
      </c>
      <c r="AK99" s="16">
        <f t="shared" si="10"/>
        <v>0</v>
      </c>
      <c r="AL99" s="16">
        <f t="shared" si="13"/>
        <v>830196.54258452018</v>
      </c>
      <c r="AM99" s="16">
        <f t="shared" si="14"/>
        <v>0</v>
      </c>
      <c r="AN99" s="16">
        <f>IF(LCOE!K$14&gt;0,G99,H99)/AG99</f>
        <v>88201.491908049953</v>
      </c>
    </row>
    <row r="100" spans="1:40">
      <c r="A100">
        <v>30</v>
      </c>
      <c r="C100" s="16">
        <f>LCOE!K126+IF(AND(LCOE!K$26&gt;0,A100&gt;=LCOE!K$26,A100&lt;=(LCOE!K$26+LCOE!K$27-1)),LCOE!K$42/LCOE!K$27,0)+IF(AND(D100=0,AE100&gt;=LCOE!K$16,COUNTIF(D75:D100,0)=LCOE!K$36),LCOE!K$35*LCOE!K$38,0)</f>
        <v>0</v>
      </c>
      <c r="D100" s="16">
        <f>IF(AE99&lt;LCOE!K$16,1,0)</f>
        <v>1</v>
      </c>
      <c r="E100" s="12">
        <f>LCOE!G126+IF(AND(A100&gt;=LCOE!K$26,A100&lt;=(LCOE!K$26+LCOE!K$27-1)),0,1)*IF(A100=LCOE!K$34,0,1)*D100</f>
        <v>1</v>
      </c>
      <c r="F100" s="12">
        <f>IF(F99&lt;LCOE!K$18,MIN(F99*(1+LCOE!K$19),LCOE!K$18),LCOE!K$18)+LCOE!J126</f>
        <v>0.9</v>
      </c>
      <c r="G100" s="16">
        <f>LCOE!K126+E100*F100*N100*(LCOE!K$14+LCOE!H126)*24*365*D100</f>
        <v>3942000</v>
      </c>
      <c r="H100" s="16">
        <f>LCOE!L126+F100*(LCOE!K$15+LCOE!I126)*E100*24*365*D100*N100</f>
        <v>0</v>
      </c>
      <c r="I100" s="16">
        <f>LCOE!M126+LCOE!K$20*IF(LCOE!K$14&gt;0,(LCOE!K$14+LCOE!H126),(LCOE!K$15+LCOE!I126))*K100*D100</f>
        <v>20000000</v>
      </c>
      <c r="J100" s="16">
        <f>LCOE!N126+LCOE!K$21*IF(LCOE!K$14&gt;0,G100,H100)*K100*D100</f>
        <v>0</v>
      </c>
      <c r="K100" s="15">
        <f>LCOE!O126+K99+K99*LCOE!K$22</f>
        <v>1</v>
      </c>
      <c r="L100" s="16">
        <f>LCOE!P126+LCOE!K$23*IF(LCOE!K$14&gt;0,G100,H100)*M100*D100</f>
        <v>168165720</v>
      </c>
      <c r="M100" s="15">
        <f>LCOE!Q126+M99+M99*LCOE!K$24</f>
        <v>1</v>
      </c>
      <c r="N100" s="15">
        <f>LCOE!R126+N99-N99*LCOE!K$25</f>
        <v>1</v>
      </c>
      <c r="O100" s="18">
        <f>LCOE!S126+LCOE!K$29</f>
        <v>313.75</v>
      </c>
      <c r="P100" s="12">
        <f>LCOE!T126+IF(A100&gt;=LCOE!K$30,100%,0%)</f>
        <v>1</v>
      </c>
      <c r="Q100" s="16">
        <f>LCOE!U126+O100/1000*IF(LCOE!K$14&gt;0,G100,H100)</f>
        <v>1236802.5</v>
      </c>
      <c r="R100" s="16">
        <f>LCOE!B126</f>
        <v>30</v>
      </c>
      <c r="S100" s="16">
        <f>LCOE!V126+Q100*P100*R100</f>
        <v>37104075</v>
      </c>
      <c r="T100" s="16">
        <f>LCOE!W126+LCOE!K$31</f>
        <v>0</v>
      </c>
      <c r="U100" s="16">
        <f>LCOE!X126+T100*IF(LCOE!K$14&gt;0,G100,H100)</f>
        <v>0</v>
      </c>
      <c r="V100" s="16">
        <f>LCOE!Y126+LCOE!K$32</f>
        <v>0</v>
      </c>
      <c r="W100" s="16">
        <f>LCOE!Z126+V100*IF(LCOE!K$14&gt;0,G100,H100)</f>
        <v>0</v>
      </c>
      <c r="X100" s="16">
        <f>LCOE!AA126+LCOE!K$34</f>
        <v>101</v>
      </c>
      <c r="Y100" s="16">
        <f t="shared" si="15"/>
        <v>0</v>
      </c>
      <c r="Z100" s="50">
        <f t="shared" si="18"/>
        <v>0</v>
      </c>
      <c r="AA100" s="50">
        <f t="shared" si="19"/>
        <v>20000000</v>
      </c>
      <c r="AB100" s="50">
        <f t="shared" si="20"/>
        <v>168165720</v>
      </c>
      <c r="AC100" s="50">
        <f t="shared" si="16"/>
        <v>0</v>
      </c>
      <c r="AD100" s="50">
        <f t="shared" si="11"/>
        <v>37104075</v>
      </c>
      <c r="AE100">
        <f t="shared" si="17"/>
        <v>30</v>
      </c>
      <c r="AF100" s="12">
        <f>LCOE!E126+LCOE!K$40</f>
        <v>0.14000000000000001</v>
      </c>
      <c r="AG100">
        <f t="shared" si="12"/>
        <v>50.950158583313645</v>
      </c>
      <c r="AH100" s="16">
        <f t="shared" si="7"/>
        <v>0</v>
      </c>
      <c r="AI100" s="16">
        <f t="shared" si="8"/>
        <v>392540.48576308199</v>
      </c>
      <c r="AJ100" s="16">
        <f t="shared" si="9"/>
        <v>3300592.6708749216</v>
      </c>
      <c r="AK100" s="16">
        <f t="shared" si="10"/>
        <v>0</v>
      </c>
      <c r="AL100" s="16">
        <f t="shared" si="13"/>
        <v>728242.58121449139</v>
      </c>
      <c r="AM100" s="16">
        <f t="shared" si="14"/>
        <v>0</v>
      </c>
      <c r="AN100" s="16">
        <f>IF(LCOE!K$14&gt;0,G100,H100)/AG100</f>
        <v>77369.729743903459</v>
      </c>
    </row>
    <row r="101" spans="1:40">
      <c r="A101">
        <v>31</v>
      </c>
      <c r="C101" s="16">
        <f>LCOE!K127+IF(AND(LCOE!K$26&gt;0,A101&gt;=LCOE!K$26,A101&lt;=(LCOE!K$26+LCOE!K$27-1)),LCOE!K$42/LCOE!K$27,0)+IF(AND(D101=0,AE101&gt;=LCOE!K$16,COUNTIF(D76:D101,0)=LCOE!K$36),LCOE!K$35*LCOE!K$38,0)</f>
        <v>0</v>
      </c>
      <c r="D101" s="16">
        <f>IF(AE100&lt;LCOE!K$16,1,0)</f>
        <v>0</v>
      </c>
      <c r="E101" s="12">
        <f>LCOE!G127+IF(AND(A101&gt;=LCOE!K$26,A101&lt;=(LCOE!K$26+LCOE!K$27-1)),0,1)*IF(A101=LCOE!K$34,0,1)*D101</f>
        <v>0</v>
      </c>
      <c r="F101" s="12">
        <f>IF(F100&lt;LCOE!K$18,MIN(F100*(1+LCOE!K$19),LCOE!K$18),LCOE!K$18)+LCOE!J127</f>
        <v>0.9</v>
      </c>
      <c r="G101" s="16">
        <f>LCOE!K127+E101*F101*N101*(LCOE!K$14+LCOE!H127)*24*365*D101</f>
        <v>0</v>
      </c>
      <c r="H101" s="16">
        <f>LCOE!L127+F101*(LCOE!K$15+LCOE!I127)*E101*24*365*D101*N101</f>
        <v>0</v>
      </c>
      <c r="I101" s="16">
        <f>LCOE!M127+LCOE!K$20*IF(LCOE!K$14&gt;0,(LCOE!K$14+LCOE!H127),(LCOE!K$15+LCOE!I127))*K101*D101</f>
        <v>0</v>
      </c>
      <c r="J101" s="16">
        <f>LCOE!N127+LCOE!K$21*IF(LCOE!K$14&gt;0,G101,H101)*K101*D101</f>
        <v>0</v>
      </c>
      <c r="K101" s="15">
        <f>LCOE!O127+K100+K100*LCOE!K$22</f>
        <v>1</v>
      </c>
      <c r="L101" s="16">
        <f>LCOE!P127+LCOE!K$23*IF(LCOE!K$14&gt;0,G101,H101)*M101*D101</f>
        <v>0</v>
      </c>
      <c r="M101" s="15">
        <f>LCOE!Q127+M100+M100*LCOE!K$24</f>
        <v>1</v>
      </c>
      <c r="N101" s="15">
        <f>LCOE!R127+N100-N100*LCOE!K$25</f>
        <v>1</v>
      </c>
      <c r="O101" s="18">
        <f>LCOE!S127+LCOE!K$29</f>
        <v>313.75</v>
      </c>
      <c r="P101" s="12">
        <f>LCOE!T127+IF(A101&gt;=LCOE!K$30,100%,0%)</f>
        <v>1</v>
      </c>
      <c r="Q101" s="16">
        <f>LCOE!U127+O101/1000*IF(LCOE!K$14&gt;0,G101,H101)</f>
        <v>0</v>
      </c>
      <c r="R101" s="16">
        <f>LCOE!B127</f>
        <v>30</v>
      </c>
      <c r="S101" s="16">
        <f>LCOE!V127+Q101*P101*R101</f>
        <v>0</v>
      </c>
      <c r="T101" s="16">
        <f>LCOE!W127+LCOE!K$31</f>
        <v>0</v>
      </c>
      <c r="U101" s="16">
        <f>LCOE!X127+T101*IF(LCOE!K$14&gt;0,G101,H101)</f>
        <v>0</v>
      </c>
      <c r="V101" s="16">
        <f>LCOE!Y127+LCOE!K$32</f>
        <v>0</v>
      </c>
      <c r="W101" s="16">
        <f>LCOE!Z127+V101*IF(LCOE!K$14&gt;0,G101,H101)</f>
        <v>0</v>
      </c>
      <c r="X101" s="16">
        <f>LCOE!AA127+LCOE!K$34</f>
        <v>101</v>
      </c>
      <c r="Y101" s="16">
        <f t="shared" si="15"/>
        <v>0</v>
      </c>
      <c r="Z101" s="50">
        <f t="shared" si="18"/>
        <v>0</v>
      </c>
      <c r="AA101" s="50">
        <f t="shared" si="19"/>
        <v>0</v>
      </c>
      <c r="AB101" s="50">
        <f t="shared" si="20"/>
        <v>0</v>
      </c>
      <c r="AC101" s="50">
        <f t="shared" si="16"/>
        <v>0</v>
      </c>
      <c r="AD101" s="50">
        <f t="shared" si="11"/>
        <v>0</v>
      </c>
      <c r="AE101">
        <f t="shared" si="17"/>
        <v>30</v>
      </c>
      <c r="AF101" s="12">
        <f>LCOE!E127+LCOE!K$40</f>
        <v>0.14000000000000001</v>
      </c>
      <c r="AG101">
        <f t="shared" si="12"/>
        <v>58.083180784977557</v>
      </c>
      <c r="AH101" s="16">
        <f t="shared" si="7"/>
        <v>0</v>
      </c>
      <c r="AI101" s="16">
        <f t="shared" si="8"/>
        <v>0</v>
      </c>
      <c r="AJ101" s="16">
        <f t="shared" si="9"/>
        <v>0</v>
      </c>
      <c r="AK101" s="16">
        <f t="shared" si="10"/>
        <v>0</v>
      </c>
      <c r="AL101" s="16">
        <f t="shared" si="13"/>
        <v>0</v>
      </c>
      <c r="AM101" s="16">
        <f t="shared" si="14"/>
        <v>0</v>
      </c>
      <c r="AN101" s="16">
        <f>IF(LCOE!K$14&gt;0,G101,H101)/AG101</f>
        <v>0</v>
      </c>
    </row>
    <row r="102" spans="1:40">
      <c r="A102">
        <v>32</v>
      </c>
      <c r="C102" s="16">
        <f>LCOE!K128+IF(AND(LCOE!K$26&gt;0,A102&gt;=LCOE!K$26,A102&lt;=(LCOE!K$26+LCOE!K$27-1)),LCOE!K$42/LCOE!K$27,0)+IF(AND(D102=0,AE102&gt;=LCOE!K$16,COUNTIF(D77:D102,0)=LCOE!K$36),LCOE!K$35*LCOE!K$38,0)</f>
        <v>25225000</v>
      </c>
      <c r="D102" s="16">
        <f>IF(AE101&lt;LCOE!K$16,1,0)</f>
        <v>0</v>
      </c>
      <c r="E102" s="12">
        <f>LCOE!G128+IF(AND(A102&gt;=LCOE!K$26,A102&lt;=(LCOE!K$26+LCOE!K$27-1)),0,1)*IF(A102=LCOE!K$34,0,1)*D102</f>
        <v>0</v>
      </c>
      <c r="F102" s="12">
        <f>IF(F101&lt;LCOE!K$18,MIN(F101*(1+LCOE!K$19),LCOE!K$18),LCOE!K$18)+LCOE!J128</f>
        <v>0.9</v>
      </c>
      <c r="G102" s="16">
        <f>LCOE!K128+E102*F102*N102*(LCOE!K$14+LCOE!H128)*24*365*D102</f>
        <v>0</v>
      </c>
      <c r="H102" s="16">
        <f>LCOE!L128+F102*(LCOE!K$15+LCOE!I128)*E102*24*365*D102*N102</f>
        <v>0</v>
      </c>
      <c r="I102" s="16">
        <f>LCOE!M128+LCOE!K$20*IF(LCOE!K$14&gt;0,(LCOE!K$14+LCOE!H128),(LCOE!K$15+LCOE!I128))*K102*D102</f>
        <v>0</v>
      </c>
      <c r="J102" s="16">
        <f>LCOE!N128+LCOE!K$21*IF(LCOE!K$14&gt;0,G102,H102)*K102*D102</f>
        <v>0</v>
      </c>
      <c r="K102" s="15">
        <f>LCOE!O128+K101+K101*LCOE!K$22</f>
        <v>1</v>
      </c>
      <c r="L102" s="16">
        <f>LCOE!P128+LCOE!K$23*IF(LCOE!K$14&gt;0,G102,H102)*M102*D102</f>
        <v>0</v>
      </c>
      <c r="M102" s="15">
        <f>LCOE!Q128+M101+M101*LCOE!K$24</f>
        <v>1</v>
      </c>
      <c r="N102" s="15">
        <f>LCOE!R128+N101-N101*LCOE!K$25</f>
        <v>1</v>
      </c>
      <c r="O102" s="18">
        <f>LCOE!S128+LCOE!K$29</f>
        <v>313.75</v>
      </c>
      <c r="P102" s="12">
        <f>LCOE!T128+IF(A102&gt;=LCOE!K$30,100%,0%)</f>
        <v>1</v>
      </c>
      <c r="Q102" s="16">
        <f>LCOE!U128+O102/1000*IF(LCOE!K$14&gt;0,G102,H102)</f>
        <v>0</v>
      </c>
      <c r="R102" s="16">
        <f>LCOE!B128</f>
        <v>30</v>
      </c>
      <c r="S102" s="16">
        <f>LCOE!V128+Q102*P102*R102</f>
        <v>0</v>
      </c>
      <c r="T102" s="16">
        <f>LCOE!W128+LCOE!K$31</f>
        <v>0</v>
      </c>
      <c r="U102" s="16">
        <f>LCOE!X128+T102*IF(LCOE!K$14&gt;0,G102,H102)</f>
        <v>0</v>
      </c>
      <c r="V102" s="16">
        <f>LCOE!Y128+LCOE!K$32</f>
        <v>0</v>
      </c>
      <c r="W102" s="16">
        <f>LCOE!Z128+V102*IF(LCOE!K$14&gt;0,G102,H102)</f>
        <v>0</v>
      </c>
      <c r="X102" s="16">
        <f>LCOE!AA128+LCOE!K$34</f>
        <v>101</v>
      </c>
      <c r="Y102" s="16">
        <f t="shared" si="15"/>
        <v>0</v>
      </c>
      <c r="Z102" s="50">
        <f t="shared" si="18"/>
        <v>25225000</v>
      </c>
      <c r="AA102" s="50">
        <f t="shared" si="19"/>
        <v>0</v>
      </c>
      <c r="AB102" s="50">
        <f t="shared" si="20"/>
        <v>0</v>
      </c>
      <c r="AC102" s="50">
        <f t="shared" si="16"/>
        <v>0</v>
      </c>
      <c r="AD102" s="50">
        <f t="shared" si="11"/>
        <v>0</v>
      </c>
      <c r="AE102">
        <f t="shared" si="17"/>
        <v>30</v>
      </c>
      <c r="AF102" s="12">
        <f>LCOE!E128+LCOE!K$40</f>
        <v>0.14000000000000001</v>
      </c>
      <c r="AG102">
        <f t="shared" si="12"/>
        <v>66.214826094874425</v>
      </c>
      <c r="AH102" s="16">
        <f t="shared" si="7"/>
        <v>380956.97727661364</v>
      </c>
      <c r="AI102" s="16">
        <f t="shared" si="8"/>
        <v>0</v>
      </c>
      <c r="AJ102" s="16">
        <f t="shared" si="9"/>
        <v>0</v>
      </c>
      <c r="AK102" s="16">
        <f t="shared" si="10"/>
        <v>0</v>
      </c>
      <c r="AL102" s="16">
        <f t="shared" si="13"/>
        <v>0</v>
      </c>
      <c r="AM102" s="16">
        <f t="shared" si="14"/>
        <v>0</v>
      </c>
      <c r="AN102" s="16">
        <f>IF(LCOE!K$14&gt;0,G102,H102)/AG102</f>
        <v>0</v>
      </c>
    </row>
    <row r="103" spans="1:40">
      <c r="A103">
        <v>33</v>
      </c>
      <c r="C103" s="16">
        <f>LCOE!K129+IF(AND(LCOE!K$26&gt;0,A103&gt;=LCOE!K$26,A103&lt;=(LCOE!K$26+LCOE!K$27-1)),LCOE!K$42/LCOE!K$27,0)+IF(AND(D103=0,AE103&gt;=LCOE!K$16,COUNTIF(D78:D103,0)=LCOE!K$36),LCOE!K$35*LCOE!K$38,0)</f>
        <v>0</v>
      </c>
      <c r="D103" s="16">
        <f>IF(AE102&lt;LCOE!K$16,1,0)</f>
        <v>0</v>
      </c>
      <c r="E103" s="12">
        <f>LCOE!G129+IF(AND(A103&gt;=LCOE!K$26,A103&lt;=(LCOE!K$26+LCOE!K$27-1)),0,1)*IF(A103=LCOE!K$34,0,1)*D103</f>
        <v>0</v>
      </c>
      <c r="F103" s="12">
        <f>IF(F102&lt;LCOE!K$18,MIN(F102*(1+LCOE!K$19),LCOE!K$18),LCOE!K$18)+LCOE!J129</f>
        <v>0.9</v>
      </c>
      <c r="G103" s="16">
        <f>LCOE!K129+E103*F103*N103*(LCOE!K$14+LCOE!H129)*24*365*D103</f>
        <v>0</v>
      </c>
      <c r="H103" s="16">
        <f>LCOE!L129+F103*(LCOE!K$15+LCOE!I129)*E103*24*365*D103*N103</f>
        <v>0</v>
      </c>
      <c r="I103" s="16">
        <f>LCOE!M129+LCOE!K$20*IF(LCOE!K$14&gt;0,(LCOE!K$14+LCOE!H129),(LCOE!K$15+LCOE!I129))*K103*D103</f>
        <v>0</v>
      </c>
      <c r="J103" s="16">
        <f>LCOE!N129+LCOE!K$21*IF(LCOE!K$14&gt;0,G103,H103)*K103*D103</f>
        <v>0</v>
      </c>
      <c r="K103" s="15">
        <f>LCOE!O129+K102+K102*LCOE!K$22</f>
        <v>1</v>
      </c>
      <c r="L103" s="16">
        <f>LCOE!P129+LCOE!K$23*IF(LCOE!K$14&gt;0,G103,H103)*M103*D103</f>
        <v>0</v>
      </c>
      <c r="M103" s="15">
        <f>LCOE!Q129+M102+M102*LCOE!K$24</f>
        <v>1</v>
      </c>
      <c r="N103" s="15">
        <f>LCOE!R129+N102-N102*LCOE!K$25</f>
        <v>1</v>
      </c>
      <c r="O103" s="18">
        <f>LCOE!S129+LCOE!K$29</f>
        <v>313.75</v>
      </c>
      <c r="P103" s="12">
        <f>LCOE!T129+IF(A103&gt;=LCOE!K$30,100%,0%)</f>
        <v>1</v>
      </c>
      <c r="Q103" s="16">
        <f>LCOE!U129+O103/1000*IF(LCOE!K$14&gt;0,G103,H103)</f>
        <v>0</v>
      </c>
      <c r="R103" s="16">
        <f>LCOE!B129</f>
        <v>30</v>
      </c>
      <c r="S103" s="16">
        <f>LCOE!V129+Q103*P103*R103</f>
        <v>0</v>
      </c>
      <c r="T103" s="16">
        <f>LCOE!W129+LCOE!K$31</f>
        <v>0</v>
      </c>
      <c r="U103" s="16">
        <f>LCOE!X129+T103*IF(LCOE!K$14&gt;0,G103,H103)</f>
        <v>0</v>
      </c>
      <c r="V103" s="16">
        <f>LCOE!Y129+LCOE!K$32</f>
        <v>0</v>
      </c>
      <c r="W103" s="16">
        <f>LCOE!Z129+V103*IF(LCOE!K$14&gt;0,G103,H103)</f>
        <v>0</v>
      </c>
      <c r="X103" s="16">
        <f>LCOE!AA129+LCOE!K$34</f>
        <v>101</v>
      </c>
      <c r="Y103" s="16">
        <f t="shared" si="15"/>
        <v>0</v>
      </c>
      <c r="Z103" s="50">
        <f t="shared" si="18"/>
        <v>0</v>
      </c>
      <c r="AA103" s="50">
        <f t="shared" si="19"/>
        <v>0</v>
      </c>
      <c r="AB103" s="50">
        <f t="shared" si="20"/>
        <v>0</v>
      </c>
      <c r="AC103" s="50">
        <f t="shared" si="16"/>
        <v>0</v>
      </c>
      <c r="AD103" s="50">
        <f t="shared" si="11"/>
        <v>0</v>
      </c>
      <c r="AE103">
        <f t="shared" si="17"/>
        <v>30</v>
      </c>
      <c r="AF103" s="12">
        <f>LCOE!E129+LCOE!K$40</f>
        <v>0.14000000000000001</v>
      </c>
      <c r="AG103">
        <f t="shared" si="12"/>
        <v>75.484901748156858</v>
      </c>
      <c r="AH103" s="16">
        <f t="shared" si="7"/>
        <v>0</v>
      </c>
      <c r="AI103" s="16">
        <f t="shared" si="8"/>
        <v>0</v>
      </c>
      <c r="AJ103" s="16">
        <f t="shared" si="9"/>
        <v>0</v>
      </c>
      <c r="AK103" s="16">
        <f t="shared" si="10"/>
        <v>0</v>
      </c>
      <c r="AL103" s="16">
        <f t="shared" si="13"/>
        <v>0</v>
      </c>
      <c r="AM103" s="16">
        <f t="shared" si="14"/>
        <v>0</v>
      </c>
      <c r="AN103" s="16">
        <f>IF(LCOE!K$14&gt;0,G103,H103)/AG103</f>
        <v>0</v>
      </c>
    </row>
    <row r="104" spans="1:40">
      <c r="A104">
        <v>34</v>
      </c>
      <c r="C104" s="16">
        <f>LCOE!K130+IF(AND(LCOE!K$26&gt;0,A104&gt;=LCOE!K$26,A104&lt;=(LCOE!K$26+LCOE!K$27-1)),LCOE!K$42/LCOE!K$27,0)+IF(AND(D104=0,AE104&gt;=LCOE!K$16,COUNTIF(D79:D104,0)=LCOE!K$36),LCOE!K$35*LCOE!K$38,0)</f>
        <v>0</v>
      </c>
      <c r="D104" s="16">
        <f>IF(AE103&lt;LCOE!K$16,1,0)</f>
        <v>0</v>
      </c>
      <c r="E104" s="12">
        <f>LCOE!G130+IF(AND(A104&gt;=LCOE!K$26,A104&lt;=(LCOE!K$26+LCOE!K$27-1)),0,1)*IF(A104=LCOE!K$34,0,1)*D104</f>
        <v>0</v>
      </c>
      <c r="F104" s="12">
        <f>IF(F103&lt;LCOE!K$18,MIN(F103*(1+LCOE!K$19),LCOE!K$18),LCOE!K$18)+LCOE!J130</f>
        <v>0.9</v>
      </c>
      <c r="G104" s="16">
        <f>LCOE!K130+E104*F104*N104*(LCOE!K$14+LCOE!H130)*24*365*D104</f>
        <v>0</v>
      </c>
      <c r="H104" s="16">
        <f>LCOE!L130+F104*(LCOE!K$15+LCOE!I130)*E104*24*365*D104*N104</f>
        <v>0</v>
      </c>
      <c r="I104" s="16">
        <f>LCOE!M130+LCOE!K$20*IF(LCOE!K$14&gt;0,(LCOE!K$14+LCOE!H130),(LCOE!K$15+LCOE!I130))*K104*D104</f>
        <v>0</v>
      </c>
      <c r="J104" s="16">
        <f>LCOE!N130+LCOE!K$21*IF(LCOE!K$14&gt;0,G104,H104)*K104*D104</f>
        <v>0</v>
      </c>
      <c r="K104" s="15">
        <f>LCOE!O130+K103+K103*LCOE!K$22</f>
        <v>1</v>
      </c>
      <c r="L104" s="16">
        <f>LCOE!P130+LCOE!K$23*IF(LCOE!K$14&gt;0,G104,H104)*M104*D104</f>
        <v>0</v>
      </c>
      <c r="M104" s="15">
        <f>LCOE!Q130+M103+M103*LCOE!K$24</f>
        <v>1</v>
      </c>
      <c r="N104" s="15">
        <f>LCOE!R130+N103-N103*LCOE!K$25</f>
        <v>1</v>
      </c>
      <c r="O104" s="18">
        <f>LCOE!S130+LCOE!K$29</f>
        <v>313.75</v>
      </c>
      <c r="P104" s="12">
        <f>LCOE!T130+IF(A104&gt;=LCOE!K$30,100%,0%)</f>
        <v>1</v>
      </c>
      <c r="Q104" s="16">
        <f>LCOE!U130+O104/1000*IF(LCOE!K$14&gt;0,G104,H104)</f>
        <v>0</v>
      </c>
      <c r="R104" s="16">
        <f>LCOE!B130</f>
        <v>30</v>
      </c>
      <c r="S104" s="16">
        <f>LCOE!V130+Q104*P104*R104</f>
        <v>0</v>
      </c>
      <c r="T104" s="16">
        <f>LCOE!W130+LCOE!K$31</f>
        <v>0</v>
      </c>
      <c r="U104" s="16">
        <f>LCOE!X130+T104*IF(LCOE!K$14&gt;0,G104,H104)</f>
        <v>0</v>
      </c>
      <c r="V104" s="16">
        <f>LCOE!Y130+LCOE!K$32</f>
        <v>0</v>
      </c>
      <c r="W104" s="16">
        <f>LCOE!Z130+V104*IF(LCOE!K$14&gt;0,G104,H104)</f>
        <v>0</v>
      </c>
      <c r="X104" s="16">
        <f>LCOE!AA130+LCOE!K$34</f>
        <v>101</v>
      </c>
      <c r="Y104" s="16">
        <f t="shared" si="15"/>
        <v>0</v>
      </c>
      <c r="Z104" s="50">
        <f t="shared" si="18"/>
        <v>0</v>
      </c>
      <c r="AA104" s="50">
        <f t="shared" si="19"/>
        <v>0</v>
      </c>
      <c r="AB104" s="50">
        <f t="shared" si="20"/>
        <v>0</v>
      </c>
      <c r="AC104" s="50">
        <f t="shared" si="16"/>
        <v>0</v>
      </c>
      <c r="AD104" s="50">
        <f t="shared" si="11"/>
        <v>0</v>
      </c>
      <c r="AE104">
        <f t="shared" si="17"/>
        <v>30</v>
      </c>
      <c r="AF104" s="12">
        <f>LCOE!E130+LCOE!K$40</f>
        <v>0.14000000000000001</v>
      </c>
      <c r="AG104">
        <f t="shared" si="12"/>
        <v>86.052787992898828</v>
      </c>
      <c r="AH104" s="16">
        <f t="shared" si="7"/>
        <v>0</v>
      </c>
      <c r="AI104" s="16">
        <f t="shared" si="8"/>
        <v>0</v>
      </c>
      <c r="AJ104" s="16">
        <f t="shared" si="9"/>
        <v>0</v>
      </c>
      <c r="AK104" s="16">
        <f t="shared" si="10"/>
        <v>0</v>
      </c>
      <c r="AL104" s="16">
        <f t="shared" si="13"/>
        <v>0</v>
      </c>
      <c r="AM104" s="16">
        <f t="shared" si="14"/>
        <v>0</v>
      </c>
      <c r="AN104" s="16">
        <f>IF(LCOE!K$14&gt;0,G104,H104)/AG104</f>
        <v>0</v>
      </c>
    </row>
    <row r="105" spans="1:40">
      <c r="A105">
        <v>35</v>
      </c>
      <c r="C105" s="16">
        <f>LCOE!K131+IF(AND(LCOE!K$26&gt;0,A105&gt;=LCOE!K$26,A105&lt;=(LCOE!K$26+LCOE!K$27-1)),LCOE!K$42/LCOE!K$27,0)+IF(AND(D105=0,AE105&gt;=LCOE!K$16,COUNTIF(D80:D105,0)=LCOE!K$36),LCOE!K$35*LCOE!K$38,0)</f>
        <v>0</v>
      </c>
      <c r="D105" s="16">
        <f>IF(AE104&lt;LCOE!K$16,1,0)</f>
        <v>0</v>
      </c>
      <c r="E105" s="12">
        <f>LCOE!G131+IF(AND(A105&gt;=LCOE!K$26,A105&lt;=(LCOE!K$26+LCOE!K$27-1)),0,1)*IF(A105=LCOE!K$34,0,1)*D105</f>
        <v>0</v>
      </c>
      <c r="F105" s="12">
        <f>IF(F104&lt;LCOE!K$18,MIN(F104*(1+LCOE!K$19),LCOE!K$18),LCOE!K$18)+LCOE!J131</f>
        <v>0.9</v>
      </c>
      <c r="G105" s="16">
        <f>LCOE!K131+E105*F105*N105*(LCOE!K$14+LCOE!H131)*24*365*D105</f>
        <v>0</v>
      </c>
      <c r="H105" s="16">
        <f>LCOE!L131+F105*(LCOE!K$15+LCOE!I131)*E105*24*365*D105*N105</f>
        <v>0</v>
      </c>
      <c r="I105" s="16">
        <f>LCOE!M131+LCOE!K$20*IF(LCOE!K$14&gt;0,(LCOE!K$14+LCOE!H131),(LCOE!K$15+LCOE!I131))*K105*D105</f>
        <v>0</v>
      </c>
      <c r="J105" s="16">
        <f>LCOE!N131+LCOE!K$21*IF(LCOE!K$14&gt;0,G105,H105)*K105*D105</f>
        <v>0</v>
      </c>
      <c r="K105" s="15">
        <f>LCOE!O131+K104+K104*LCOE!K$22</f>
        <v>1</v>
      </c>
      <c r="L105" s="16">
        <f>LCOE!P131+LCOE!K$23*IF(LCOE!K$14&gt;0,G105,H105)*M105*D105</f>
        <v>0</v>
      </c>
      <c r="M105" s="15">
        <f>LCOE!Q131+M104+M104*LCOE!K$24</f>
        <v>1</v>
      </c>
      <c r="N105" s="15">
        <f>LCOE!R131+N104-N104*LCOE!K$25</f>
        <v>1</v>
      </c>
      <c r="O105" s="18">
        <f>LCOE!S131+LCOE!K$29</f>
        <v>313.75</v>
      </c>
      <c r="P105" s="12">
        <f>LCOE!T131+IF(A105&gt;=LCOE!K$30,100%,0%)</f>
        <v>1</v>
      </c>
      <c r="Q105" s="16">
        <f>LCOE!U131+O105/1000*IF(LCOE!K$14&gt;0,G105,H105)</f>
        <v>0</v>
      </c>
      <c r="R105" s="16">
        <f>LCOE!B131</f>
        <v>30</v>
      </c>
      <c r="S105" s="16">
        <f>LCOE!V131+Q105*P105*R105</f>
        <v>0</v>
      </c>
      <c r="T105" s="16">
        <f>LCOE!W131+LCOE!K$31</f>
        <v>0</v>
      </c>
      <c r="U105" s="16">
        <f>LCOE!X131+T105*IF(LCOE!K$14&gt;0,G105,H105)</f>
        <v>0</v>
      </c>
      <c r="V105" s="16">
        <f>LCOE!Y131+LCOE!K$32</f>
        <v>0</v>
      </c>
      <c r="W105" s="16">
        <f>LCOE!Z131+V105*IF(LCOE!K$14&gt;0,G105,H105)</f>
        <v>0</v>
      </c>
      <c r="X105" s="16">
        <f>LCOE!AA131+LCOE!K$34</f>
        <v>101</v>
      </c>
      <c r="Y105" s="16">
        <f t="shared" si="15"/>
        <v>0</v>
      </c>
      <c r="Z105" s="50">
        <f t="shared" si="18"/>
        <v>0</v>
      </c>
      <c r="AA105" s="50">
        <f t="shared" si="19"/>
        <v>0</v>
      </c>
      <c r="AB105" s="50">
        <f t="shared" si="20"/>
        <v>0</v>
      </c>
      <c r="AC105" s="50">
        <f t="shared" si="16"/>
        <v>0</v>
      </c>
      <c r="AD105" s="50">
        <f t="shared" si="11"/>
        <v>0</v>
      </c>
      <c r="AE105">
        <f t="shared" si="17"/>
        <v>30</v>
      </c>
      <c r="AF105" s="12">
        <f>LCOE!E131+LCOE!K$40</f>
        <v>0.14000000000000001</v>
      </c>
      <c r="AG105">
        <f t="shared" si="12"/>
        <v>98.100178311904656</v>
      </c>
      <c r="AH105" s="16">
        <f t="shared" si="7"/>
        <v>0</v>
      </c>
      <c r="AI105" s="16">
        <f t="shared" si="8"/>
        <v>0</v>
      </c>
      <c r="AJ105" s="16">
        <f t="shared" si="9"/>
        <v>0</v>
      </c>
      <c r="AK105" s="16">
        <f t="shared" si="10"/>
        <v>0</v>
      </c>
      <c r="AL105" s="16">
        <f t="shared" si="13"/>
        <v>0</v>
      </c>
      <c r="AM105" s="16">
        <f t="shared" si="14"/>
        <v>0</v>
      </c>
      <c r="AN105" s="16">
        <f>IF(LCOE!K$14&gt;0,G105,H105)/AG105</f>
        <v>0</v>
      </c>
    </row>
    <row r="106" spans="1:40">
      <c r="A106">
        <v>36</v>
      </c>
      <c r="C106" s="16">
        <f>LCOE!K132+IF(AND(LCOE!K$26&gt;0,A106&gt;=LCOE!K$26,A106&lt;=(LCOE!K$26+LCOE!K$27-1)),LCOE!K$42/LCOE!K$27,0)+IF(AND(D106=0,AE106&gt;=LCOE!K$16,COUNTIF(D81:D106,0)=LCOE!K$36),LCOE!K$35*LCOE!K$38,0)</f>
        <v>0</v>
      </c>
      <c r="D106" s="16">
        <f>IF(AE105&lt;LCOE!K$16,1,0)</f>
        <v>0</v>
      </c>
      <c r="E106" s="12">
        <f>LCOE!G132+IF(AND(A106&gt;=LCOE!K$26,A106&lt;=(LCOE!K$26+LCOE!K$27-1)),0,1)*IF(A106=LCOE!K$34,0,1)*D106</f>
        <v>0</v>
      </c>
      <c r="F106" s="12">
        <f>IF(F105&lt;LCOE!K$18,MIN(F105*(1+LCOE!K$19),LCOE!K$18),LCOE!K$18)+LCOE!J132</f>
        <v>0.9</v>
      </c>
      <c r="G106" s="16">
        <f>LCOE!K132+E106*F106*N106*(LCOE!K$14+LCOE!H132)*24*365*D106</f>
        <v>0</v>
      </c>
      <c r="H106" s="16">
        <f>LCOE!L132+F106*(LCOE!K$15+LCOE!I132)*E106*24*365*D106*N106</f>
        <v>0</v>
      </c>
      <c r="I106" s="16">
        <f>LCOE!M132+LCOE!K$20*IF(LCOE!K$14&gt;0,(LCOE!K$14+LCOE!H132),(LCOE!K$15+LCOE!I132))*K106*D106</f>
        <v>0</v>
      </c>
      <c r="J106" s="16">
        <f>LCOE!N132+LCOE!K$21*IF(LCOE!K$14&gt;0,G106,H106)*K106*D106</f>
        <v>0</v>
      </c>
      <c r="K106" s="15">
        <f>LCOE!O132+K105+K105*LCOE!K$22</f>
        <v>1</v>
      </c>
      <c r="L106" s="16">
        <f>LCOE!P132+LCOE!K$23*IF(LCOE!K$14&gt;0,G106,H106)*M106*D106</f>
        <v>0</v>
      </c>
      <c r="M106" s="15">
        <f>LCOE!Q132+M105+M105*LCOE!K$24</f>
        <v>1</v>
      </c>
      <c r="N106" s="15">
        <f>LCOE!R132+N105-N105*LCOE!K$25</f>
        <v>1</v>
      </c>
      <c r="O106" s="18">
        <f>LCOE!S132+LCOE!K$29</f>
        <v>313.75</v>
      </c>
      <c r="P106" s="12">
        <f>LCOE!T132+IF(A106&gt;=LCOE!K$30,100%,0%)</f>
        <v>1</v>
      </c>
      <c r="Q106" s="16">
        <f>LCOE!U132+O106/1000*IF(LCOE!K$14&gt;0,G106,H106)</f>
        <v>0</v>
      </c>
      <c r="R106" s="16">
        <f>LCOE!B132</f>
        <v>30</v>
      </c>
      <c r="S106" s="16">
        <f>LCOE!V132+Q106*P106*R106</f>
        <v>0</v>
      </c>
      <c r="T106" s="16">
        <f>LCOE!W132+LCOE!K$31</f>
        <v>0</v>
      </c>
      <c r="U106" s="16">
        <f>LCOE!X132+T106*IF(LCOE!K$14&gt;0,G106,H106)</f>
        <v>0</v>
      </c>
      <c r="V106" s="16">
        <f>LCOE!Y132+LCOE!K$32</f>
        <v>0</v>
      </c>
      <c r="W106" s="16">
        <f>LCOE!Z132+V106*IF(LCOE!K$14&gt;0,G106,H106)</f>
        <v>0</v>
      </c>
      <c r="X106" s="16">
        <f>LCOE!AA132+LCOE!K$34</f>
        <v>101</v>
      </c>
      <c r="Y106" s="16">
        <f t="shared" si="15"/>
        <v>0</v>
      </c>
      <c r="Z106" s="50">
        <f t="shared" si="18"/>
        <v>0</v>
      </c>
      <c r="AA106" s="50">
        <f t="shared" si="19"/>
        <v>0</v>
      </c>
      <c r="AB106" s="50">
        <f t="shared" si="20"/>
        <v>0</v>
      </c>
      <c r="AC106" s="50">
        <f t="shared" si="16"/>
        <v>0</v>
      </c>
      <c r="AD106" s="50">
        <f t="shared" si="11"/>
        <v>0</v>
      </c>
      <c r="AE106">
        <f t="shared" si="17"/>
        <v>30</v>
      </c>
      <c r="AF106" s="12">
        <f>LCOE!E132+LCOE!K$40</f>
        <v>0.14000000000000001</v>
      </c>
      <c r="AG106">
        <f t="shared" si="12"/>
        <v>111.83420327557134</v>
      </c>
      <c r="AH106" s="16">
        <f t="shared" si="7"/>
        <v>0</v>
      </c>
      <c r="AI106" s="16">
        <f t="shared" si="8"/>
        <v>0</v>
      </c>
      <c r="AJ106" s="16">
        <f t="shared" si="9"/>
        <v>0</v>
      </c>
      <c r="AK106" s="16">
        <f t="shared" si="10"/>
        <v>0</v>
      </c>
      <c r="AL106" s="16">
        <f t="shared" si="13"/>
        <v>0</v>
      </c>
      <c r="AM106" s="16">
        <f t="shared" si="14"/>
        <v>0</v>
      </c>
      <c r="AN106" s="16">
        <f>IF(LCOE!K$14&gt;0,G106,H106)/AG106</f>
        <v>0</v>
      </c>
    </row>
    <row r="107" spans="1:40">
      <c r="A107">
        <v>37</v>
      </c>
      <c r="C107" s="16">
        <f>LCOE!K133+IF(AND(LCOE!K$26&gt;0,A107&gt;=LCOE!K$26,A107&lt;=(LCOE!K$26+LCOE!K$27-1)),LCOE!K$42/LCOE!K$27,0)+IF(AND(D107=0,AE107&gt;=LCOE!K$16,COUNTIF(D82:D107,0)=LCOE!K$36),LCOE!K$35*LCOE!K$38,0)</f>
        <v>0</v>
      </c>
      <c r="D107" s="16">
        <f>IF(AE106&lt;LCOE!K$16,1,0)</f>
        <v>0</v>
      </c>
      <c r="E107" s="12">
        <f>LCOE!G133+IF(AND(A107&gt;=LCOE!K$26,A107&lt;=(LCOE!K$26+LCOE!K$27-1)),0,1)*IF(A107=LCOE!K$34,0,1)*D107</f>
        <v>0</v>
      </c>
      <c r="F107" s="12">
        <f>IF(F106&lt;LCOE!K$18,MIN(F106*(1+LCOE!K$19),LCOE!K$18),LCOE!K$18)+LCOE!J133</f>
        <v>0.9</v>
      </c>
      <c r="G107" s="16">
        <f>LCOE!K133+E107*F107*N107*(LCOE!K$14+LCOE!H133)*24*365*D107</f>
        <v>0</v>
      </c>
      <c r="H107" s="16">
        <f>LCOE!L133+F107*(LCOE!K$15+LCOE!I133)*E107*24*365*D107*N107</f>
        <v>0</v>
      </c>
      <c r="I107" s="16">
        <f>LCOE!M133+LCOE!K$20*IF(LCOE!K$14&gt;0,(LCOE!K$14+LCOE!H133),(LCOE!K$15+LCOE!I133))*K107*D107</f>
        <v>0</v>
      </c>
      <c r="J107" s="16">
        <f>LCOE!N133+LCOE!K$21*IF(LCOE!K$14&gt;0,G107,H107)*K107*D107</f>
        <v>0</v>
      </c>
      <c r="K107" s="15">
        <f>LCOE!O133+K106+K106*LCOE!K$22</f>
        <v>1</v>
      </c>
      <c r="L107" s="16">
        <f>LCOE!P133+LCOE!K$23*IF(LCOE!K$14&gt;0,G107,H107)*M107*D107</f>
        <v>0</v>
      </c>
      <c r="M107" s="15">
        <f>LCOE!Q133+M106+M106*LCOE!K$24</f>
        <v>1</v>
      </c>
      <c r="N107" s="15">
        <f>LCOE!R133+N106-N106*LCOE!K$25</f>
        <v>1</v>
      </c>
      <c r="O107" s="18">
        <f>LCOE!S133+LCOE!K$29</f>
        <v>313.75</v>
      </c>
      <c r="P107" s="12">
        <f>LCOE!T133+IF(A107&gt;=LCOE!K$30,100%,0%)</f>
        <v>1</v>
      </c>
      <c r="Q107" s="16">
        <f>LCOE!U133+O107/1000*IF(LCOE!K$14&gt;0,G107,H107)</f>
        <v>0</v>
      </c>
      <c r="R107" s="16">
        <f>LCOE!B133</f>
        <v>30</v>
      </c>
      <c r="S107" s="16">
        <f>LCOE!V133+Q107*P107*R107</f>
        <v>0</v>
      </c>
      <c r="T107" s="16">
        <f>LCOE!W133+LCOE!K$31</f>
        <v>0</v>
      </c>
      <c r="U107" s="16">
        <f>LCOE!X133+T107*IF(LCOE!K$14&gt;0,G107,H107)</f>
        <v>0</v>
      </c>
      <c r="V107" s="16">
        <f>LCOE!Y133+LCOE!K$32</f>
        <v>0</v>
      </c>
      <c r="W107" s="16">
        <f>LCOE!Z133+V107*IF(LCOE!K$14&gt;0,G107,H107)</f>
        <v>0</v>
      </c>
      <c r="X107" s="16">
        <f>LCOE!AA133+LCOE!K$34</f>
        <v>101</v>
      </c>
      <c r="Y107" s="16">
        <f t="shared" si="15"/>
        <v>0</v>
      </c>
      <c r="Z107" s="50">
        <f t="shared" si="18"/>
        <v>0</v>
      </c>
      <c r="AA107" s="50">
        <f t="shared" si="19"/>
        <v>0</v>
      </c>
      <c r="AB107" s="50">
        <f t="shared" si="20"/>
        <v>0</v>
      </c>
      <c r="AC107" s="50">
        <f t="shared" si="16"/>
        <v>0</v>
      </c>
      <c r="AD107" s="50">
        <f t="shared" si="11"/>
        <v>0</v>
      </c>
      <c r="AE107">
        <f t="shared" si="17"/>
        <v>30</v>
      </c>
      <c r="AF107" s="12">
        <f>LCOE!E133+LCOE!K$40</f>
        <v>0.14000000000000001</v>
      </c>
      <c r="AG107">
        <f t="shared" si="12"/>
        <v>127.49099173415134</v>
      </c>
      <c r="AH107" s="16">
        <f t="shared" si="7"/>
        <v>0</v>
      </c>
      <c r="AI107" s="16">
        <f t="shared" si="8"/>
        <v>0</v>
      </c>
      <c r="AJ107" s="16">
        <f t="shared" si="9"/>
        <v>0</v>
      </c>
      <c r="AK107" s="16">
        <f t="shared" si="10"/>
        <v>0</v>
      </c>
      <c r="AL107" s="16">
        <f t="shared" si="13"/>
        <v>0</v>
      </c>
      <c r="AM107" s="16">
        <f t="shared" si="14"/>
        <v>0</v>
      </c>
      <c r="AN107" s="16">
        <f>IF(LCOE!K$14&gt;0,G107,H107)/AG107</f>
        <v>0</v>
      </c>
    </row>
    <row r="108" spans="1:40">
      <c r="A108">
        <v>38</v>
      </c>
      <c r="C108" s="16">
        <f>LCOE!K134+IF(AND(LCOE!K$26&gt;0,A108&gt;=LCOE!K$26,A108&lt;=(LCOE!K$26+LCOE!K$27-1)),LCOE!K$42/LCOE!K$27,0)+IF(AND(D108=0,AE108&gt;=LCOE!K$16,COUNTIF(D83:D108,0)=LCOE!K$36),LCOE!K$35*LCOE!K$38,0)</f>
        <v>0</v>
      </c>
      <c r="D108" s="16">
        <f>IF(AE107&lt;LCOE!K$16,1,0)</f>
        <v>0</v>
      </c>
      <c r="E108" s="12">
        <f>LCOE!G134+IF(AND(A108&gt;=LCOE!K$26,A108&lt;=(LCOE!K$26+LCOE!K$27-1)),0,1)*IF(A108=LCOE!K$34,0,1)*D108</f>
        <v>0</v>
      </c>
      <c r="F108" s="12">
        <f>IF(F107&lt;LCOE!K$18,MIN(F107*(1+LCOE!K$19),LCOE!K$18),LCOE!K$18)+LCOE!J134</f>
        <v>0.9</v>
      </c>
      <c r="G108" s="16">
        <f>LCOE!K134+E108*F108*N108*(LCOE!K$14+LCOE!H134)*24*365*D108</f>
        <v>0</v>
      </c>
      <c r="H108" s="16">
        <f>LCOE!L134+F108*(LCOE!K$15+LCOE!I134)*E108*24*365*D108*N108</f>
        <v>0</v>
      </c>
      <c r="I108" s="16">
        <f>LCOE!M134+LCOE!K$20*IF(LCOE!K$14&gt;0,(LCOE!K$14+LCOE!H134),(LCOE!K$15+LCOE!I134))*K108*D108</f>
        <v>0</v>
      </c>
      <c r="J108" s="16">
        <f>LCOE!N134+LCOE!K$21*IF(LCOE!K$14&gt;0,G108,H108)*K108*D108</f>
        <v>0</v>
      </c>
      <c r="K108" s="15">
        <f>LCOE!O134+K107+K107*LCOE!K$22</f>
        <v>1</v>
      </c>
      <c r="L108" s="16">
        <f>LCOE!P134+LCOE!K$23*IF(LCOE!K$14&gt;0,G108,H108)*M108*D108</f>
        <v>0</v>
      </c>
      <c r="M108" s="15">
        <f>LCOE!Q134+M107+M107*LCOE!K$24</f>
        <v>1</v>
      </c>
      <c r="N108" s="15">
        <f>LCOE!R134+N107-N107*LCOE!K$25</f>
        <v>1</v>
      </c>
      <c r="O108" s="18">
        <f>LCOE!S134+LCOE!K$29</f>
        <v>313.75</v>
      </c>
      <c r="P108" s="12">
        <f>LCOE!T134+IF(A108&gt;=LCOE!K$30,100%,0%)</f>
        <v>1</v>
      </c>
      <c r="Q108" s="16">
        <f>LCOE!U134+O108/1000*IF(LCOE!K$14&gt;0,G108,H108)</f>
        <v>0</v>
      </c>
      <c r="R108" s="16">
        <f>LCOE!B134</f>
        <v>30</v>
      </c>
      <c r="S108" s="16">
        <f>LCOE!V134+Q108*P108*R108</f>
        <v>0</v>
      </c>
      <c r="T108" s="16">
        <f>LCOE!W134+LCOE!K$31</f>
        <v>0</v>
      </c>
      <c r="U108" s="16">
        <f>LCOE!X134+T108*IF(LCOE!K$14&gt;0,G108,H108)</f>
        <v>0</v>
      </c>
      <c r="V108" s="16">
        <f>LCOE!Y134+LCOE!K$32</f>
        <v>0</v>
      </c>
      <c r="W108" s="16">
        <f>LCOE!Z134+V108*IF(LCOE!K$14&gt;0,G108,H108)</f>
        <v>0</v>
      </c>
      <c r="X108" s="16">
        <f>LCOE!AA134+LCOE!K$34</f>
        <v>101</v>
      </c>
      <c r="Y108" s="16">
        <f t="shared" si="15"/>
        <v>0</v>
      </c>
      <c r="Z108" s="50">
        <f t="shared" si="18"/>
        <v>0</v>
      </c>
      <c r="AA108" s="50">
        <f t="shared" si="19"/>
        <v>0</v>
      </c>
      <c r="AB108" s="50">
        <f t="shared" si="20"/>
        <v>0</v>
      </c>
      <c r="AC108" s="50">
        <f t="shared" si="16"/>
        <v>0</v>
      </c>
      <c r="AD108" s="50">
        <f t="shared" si="11"/>
        <v>0</v>
      </c>
      <c r="AE108">
        <f t="shared" si="17"/>
        <v>30</v>
      </c>
      <c r="AF108" s="12">
        <f>LCOE!E134+LCOE!K$40</f>
        <v>0.14000000000000001</v>
      </c>
      <c r="AG108">
        <f t="shared" si="12"/>
        <v>145.33973057693254</v>
      </c>
      <c r="AH108" s="16">
        <f t="shared" si="7"/>
        <v>0</v>
      </c>
      <c r="AI108" s="16">
        <f t="shared" si="8"/>
        <v>0</v>
      </c>
      <c r="AJ108" s="16">
        <f t="shared" si="9"/>
        <v>0</v>
      </c>
      <c r="AK108" s="16">
        <f t="shared" si="10"/>
        <v>0</v>
      </c>
      <c r="AL108" s="16">
        <f t="shared" si="13"/>
        <v>0</v>
      </c>
      <c r="AM108" s="16">
        <f t="shared" si="14"/>
        <v>0</v>
      </c>
      <c r="AN108" s="16">
        <f>IF(LCOE!K$14&gt;0,G108,H108)/AG108</f>
        <v>0</v>
      </c>
    </row>
    <row r="109" spans="1:40">
      <c r="A109">
        <v>39</v>
      </c>
      <c r="C109" s="16">
        <f>LCOE!K135+IF(AND(LCOE!K$26&gt;0,A109&gt;=LCOE!K$26,A109&lt;=(LCOE!K$26+LCOE!K$27-1)),LCOE!K$42/LCOE!K$27,0)+IF(AND(D109=0,AE109&gt;=LCOE!K$16,COUNTIF(D84:D109,0)=LCOE!K$36),LCOE!K$35*LCOE!K$38,0)</f>
        <v>0</v>
      </c>
      <c r="D109" s="16">
        <f>IF(AE108&lt;LCOE!K$16,1,0)</f>
        <v>0</v>
      </c>
      <c r="E109" s="12">
        <f>LCOE!G135+IF(AND(A109&gt;=LCOE!K$26,A109&lt;=(LCOE!K$26+LCOE!K$27-1)),0,1)*IF(A109=LCOE!K$34,0,1)*D109</f>
        <v>0</v>
      </c>
      <c r="F109" s="12">
        <f>IF(F108&lt;LCOE!K$18,MIN(F108*(1+LCOE!K$19),LCOE!K$18),LCOE!K$18)+LCOE!J135</f>
        <v>0.9</v>
      </c>
      <c r="G109" s="16">
        <f>LCOE!K135+E109*F109*N109*(LCOE!K$14+LCOE!H135)*24*365*D109</f>
        <v>0</v>
      </c>
      <c r="H109" s="16">
        <f>LCOE!L135+F109*(LCOE!K$15+LCOE!I135)*E109*24*365*D109*N109</f>
        <v>0</v>
      </c>
      <c r="I109" s="16">
        <f>LCOE!M135+LCOE!K$20*IF(LCOE!K$14&gt;0,(LCOE!K$14+LCOE!H135),(LCOE!K$15+LCOE!I135))*K109*D109</f>
        <v>0</v>
      </c>
      <c r="J109" s="16">
        <f>LCOE!N135+LCOE!K$21*IF(LCOE!K$14&gt;0,G109,H109)*K109*D109</f>
        <v>0</v>
      </c>
      <c r="K109" s="15">
        <f>LCOE!O135+K108+K108*LCOE!K$22</f>
        <v>1</v>
      </c>
      <c r="L109" s="16">
        <f>LCOE!P135+LCOE!K$23*IF(LCOE!K$14&gt;0,G109,H109)*M109*D109</f>
        <v>0</v>
      </c>
      <c r="M109" s="15">
        <f>LCOE!Q135+M108+M108*LCOE!K$24</f>
        <v>1</v>
      </c>
      <c r="N109" s="15">
        <f>LCOE!R135+N108-N108*LCOE!K$25</f>
        <v>1</v>
      </c>
      <c r="O109" s="18">
        <f>LCOE!S135+LCOE!K$29</f>
        <v>313.75</v>
      </c>
      <c r="P109" s="12">
        <f>LCOE!T135+IF(A109&gt;=LCOE!K$30,100%,0%)</f>
        <v>1</v>
      </c>
      <c r="Q109" s="16">
        <f>LCOE!U135+O109/1000*IF(LCOE!K$14&gt;0,G109,H109)</f>
        <v>0</v>
      </c>
      <c r="R109" s="16">
        <f>LCOE!B135</f>
        <v>30</v>
      </c>
      <c r="S109" s="16">
        <f>LCOE!V135+Q109*P109*R109</f>
        <v>0</v>
      </c>
      <c r="T109" s="16">
        <f>LCOE!W135+LCOE!K$31</f>
        <v>0</v>
      </c>
      <c r="U109" s="16">
        <f>LCOE!X135+T109*IF(LCOE!K$14&gt;0,G109,H109)</f>
        <v>0</v>
      </c>
      <c r="V109" s="16">
        <f>LCOE!Y135+LCOE!K$32</f>
        <v>0</v>
      </c>
      <c r="W109" s="16">
        <f>LCOE!Z135+V109*IF(LCOE!K$14&gt;0,G109,H109)</f>
        <v>0</v>
      </c>
      <c r="X109" s="16">
        <f>LCOE!AA135+LCOE!K$34</f>
        <v>101</v>
      </c>
      <c r="Y109" s="16">
        <f t="shared" si="15"/>
        <v>0</v>
      </c>
      <c r="Z109" s="50">
        <f t="shared" si="18"/>
        <v>0</v>
      </c>
      <c r="AA109" s="50">
        <f t="shared" si="19"/>
        <v>0</v>
      </c>
      <c r="AB109" s="50">
        <f t="shared" si="20"/>
        <v>0</v>
      </c>
      <c r="AC109" s="50">
        <f t="shared" si="16"/>
        <v>0</v>
      </c>
      <c r="AD109" s="50">
        <f t="shared" si="11"/>
        <v>0</v>
      </c>
      <c r="AE109">
        <f t="shared" si="17"/>
        <v>30</v>
      </c>
      <c r="AF109" s="12">
        <f>LCOE!E135+LCOE!K$40</f>
        <v>0.14000000000000001</v>
      </c>
      <c r="AG109">
        <f t="shared" si="12"/>
        <v>165.68729285770311</v>
      </c>
      <c r="AH109" s="16">
        <f t="shared" ref="AH109:AH170" si="21">Z109/AG109</f>
        <v>0</v>
      </c>
      <c r="AI109" s="16">
        <f t="shared" ref="AI109:AI170" si="22">AA109/AG109</f>
        <v>0</v>
      </c>
      <c r="AJ109" s="16">
        <f t="shared" ref="AJ109:AJ170" si="23">AB109/AG109</f>
        <v>0</v>
      </c>
      <c r="AK109" s="16">
        <f t="shared" ref="AK109:AK170" si="24">AC109/AG109</f>
        <v>0</v>
      </c>
      <c r="AL109" s="16">
        <f t="shared" si="13"/>
        <v>0</v>
      </c>
      <c r="AM109" s="16">
        <f t="shared" si="14"/>
        <v>0</v>
      </c>
      <c r="AN109" s="16">
        <f>IF(LCOE!K$14&gt;0,G109,H109)/AG109</f>
        <v>0</v>
      </c>
    </row>
    <row r="110" spans="1:40">
      <c r="A110">
        <v>40</v>
      </c>
      <c r="C110" s="16">
        <f>LCOE!K136+IF(AND(LCOE!K$26&gt;0,A110&gt;=LCOE!K$26,A110&lt;=(LCOE!K$26+LCOE!K$27-1)),LCOE!K$42/LCOE!K$27,0)+IF(AND(D110=0,AE110&gt;=LCOE!K$16,COUNTIF(D85:D110,0)=LCOE!K$36),LCOE!K$35*LCOE!K$38,0)</f>
        <v>0</v>
      </c>
      <c r="D110" s="16">
        <f>IF(AE109&lt;LCOE!K$16,1,0)</f>
        <v>0</v>
      </c>
      <c r="E110" s="12">
        <f>LCOE!G136+IF(AND(A110&gt;=LCOE!K$26,A110&lt;=(LCOE!K$26+LCOE!K$27-1)),0,1)*IF(A110=LCOE!K$34,0,1)*D110</f>
        <v>0</v>
      </c>
      <c r="F110" s="12">
        <f>IF(F109&lt;LCOE!K$18,MIN(F109*(1+LCOE!K$19),LCOE!K$18),LCOE!K$18)+LCOE!J136</f>
        <v>0.9</v>
      </c>
      <c r="G110" s="16">
        <f>LCOE!K136+E110*F110*N110*(LCOE!K$14+LCOE!H136)*24*365*D110</f>
        <v>0</v>
      </c>
      <c r="H110" s="16">
        <f>LCOE!L136+F110*(LCOE!K$15+LCOE!I136)*E110*24*365*D110*N110</f>
        <v>0</v>
      </c>
      <c r="I110" s="16">
        <f>LCOE!M136+LCOE!K$20*IF(LCOE!K$14&gt;0,(LCOE!K$14+LCOE!H136),(LCOE!K$15+LCOE!I136))*K110*D110</f>
        <v>0</v>
      </c>
      <c r="J110" s="16">
        <f>LCOE!N136+LCOE!K$21*IF(LCOE!K$14&gt;0,G110,H110)*K110*D110</f>
        <v>0</v>
      </c>
      <c r="K110" s="15">
        <f>LCOE!O136+K109+K109*LCOE!K$22</f>
        <v>1</v>
      </c>
      <c r="L110" s="16">
        <f>LCOE!P136+LCOE!K$23*IF(LCOE!K$14&gt;0,G110,H110)*M110*D110</f>
        <v>0</v>
      </c>
      <c r="M110" s="15">
        <f>LCOE!Q136+M109+M109*LCOE!K$24</f>
        <v>1</v>
      </c>
      <c r="N110" s="15">
        <f>LCOE!R136+N109-N109*LCOE!K$25</f>
        <v>1</v>
      </c>
      <c r="O110" s="18">
        <f>LCOE!S136+LCOE!K$29</f>
        <v>313.75</v>
      </c>
      <c r="P110" s="12">
        <f>LCOE!T136+IF(A110&gt;=LCOE!K$30,100%,0%)</f>
        <v>1</v>
      </c>
      <c r="Q110" s="16">
        <f>LCOE!U136+O110/1000*IF(LCOE!K$14&gt;0,G110,H110)</f>
        <v>0</v>
      </c>
      <c r="R110" s="16">
        <f>LCOE!B136</f>
        <v>30</v>
      </c>
      <c r="S110" s="16">
        <f>LCOE!V136+Q110*P110*R110</f>
        <v>0</v>
      </c>
      <c r="T110" s="16">
        <f>LCOE!W136+LCOE!K$31</f>
        <v>0</v>
      </c>
      <c r="U110" s="16">
        <f>LCOE!X136+T110*IF(LCOE!K$14&gt;0,G110,H110)</f>
        <v>0</v>
      </c>
      <c r="V110" s="16">
        <f>LCOE!Y136+LCOE!K$32</f>
        <v>0</v>
      </c>
      <c r="W110" s="16">
        <f>LCOE!Z136+V110*IF(LCOE!K$14&gt;0,G110,H110)</f>
        <v>0</v>
      </c>
      <c r="X110" s="16">
        <f>LCOE!AA136+LCOE!K$34</f>
        <v>101</v>
      </c>
      <c r="Y110" s="16">
        <f t="shared" si="15"/>
        <v>0</v>
      </c>
      <c r="Z110" s="50">
        <f t="shared" si="18"/>
        <v>0</v>
      </c>
      <c r="AA110" s="50">
        <f t="shared" si="19"/>
        <v>0</v>
      </c>
      <c r="AB110" s="50">
        <f t="shared" si="20"/>
        <v>0</v>
      </c>
      <c r="AC110" s="50">
        <f t="shared" si="16"/>
        <v>0</v>
      </c>
      <c r="AD110" s="50">
        <f t="shared" ref="AD110:AD170" si="25">S110</f>
        <v>0</v>
      </c>
      <c r="AE110">
        <f t="shared" si="17"/>
        <v>30</v>
      </c>
      <c r="AF110" s="12">
        <f>LCOE!E136+LCOE!K$40</f>
        <v>0.14000000000000001</v>
      </c>
      <c r="AG110">
        <f t="shared" ref="AG110:AG170" si="26">(1+AF110)^A110</f>
        <v>188.88351385778159</v>
      </c>
      <c r="AH110" s="16">
        <f t="shared" si="21"/>
        <v>0</v>
      </c>
      <c r="AI110" s="16">
        <f t="shared" si="22"/>
        <v>0</v>
      </c>
      <c r="AJ110" s="16">
        <f t="shared" si="23"/>
        <v>0</v>
      </c>
      <c r="AK110" s="16">
        <f t="shared" si="24"/>
        <v>0</v>
      </c>
      <c r="AL110" s="16">
        <f t="shared" ref="AL110:AL170" si="27">AD110/AG110</f>
        <v>0</v>
      </c>
      <c r="AM110" s="16">
        <f t="shared" si="14"/>
        <v>0</v>
      </c>
      <c r="AN110" s="16">
        <f>IF(LCOE!K$14&gt;0,G110,H110)/AG110</f>
        <v>0</v>
      </c>
    </row>
    <row r="111" spans="1:40">
      <c r="A111">
        <v>41</v>
      </c>
      <c r="C111" s="16">
        <f>LCOE!K137+IF(AND(LCOE!K$26&gt;0,A111&gt;=LCOE!K$26,A111&lt;=(LCOE!K$26+LCOE!K$27-1)),LCOE!K$42/LCOE!K$27,0)+IF(AND(D111=0,AE111&gt;=LCOE!K$16,COUNTIF(D86:D111,0)=LCOE!K$36),LCOE!K$35*LCOE!K$38,0)</f>
        <v>0</v>
      </c>
      <c r="D111" s="16">
        <f>IF(AE110&lt;LCOE!K$16,1,0)</f>
        <v>0</v>
      </c>
      <c r="E111" s="12">
        <f>LCOE!G137+IF(AND(A111&gt;=LCOE!K$26,A111&lt;=(LCOE!K$26+LCOE!K$27-1)),0,1)*IF(A111=LCOE!K$34,0,1)*D111</f>
        <v>0</v>
      </c>
      <c r="F111" s="12">
        <f>IF(F110&lt;LCOE!K$18,MIN(F110*(1+LCOE!K$19),LCOE!K$18),LCOE!K$18)+LCOE!J137</f>
        <v>0.9</v>
      </c>
      <c r="G111" s="16">
        <f>LCOE!K137+E111*F111*N111*(LCOE!K$14+LCOE!H137)*24*365*D111</f>
        <v>0</v>
      </c>
      <c r="H111" s="16">
        <f>LCOE!L137+F111*(LCOE!K$15+LCOE!I137)*E111*24*365*D111*N111</f>
        <v>0</v>
      </c>
      <c r="I111" s="16">
        <f>LCOE!M137+LCOE!K$20*IF(LCOE!K$14&gt;0,(LCOE!K$14+LCOE!H137),(LCOE!K$15+LCOE!I137))*K111*D111</f>
        <v>0</v>
      </c>
      <c r="J111" s="16">
        <f>LCOE!N137+LCOE!K$21*IF(LCOE!K$14&gt;0,G111,H111)*K111*D111</f>
        <v>0</v>
      </c>
      <c r="K111" s="15">
        <f>LCOE!O137+K110+K110*LCOE!K$22</f>
        <v>1</v>
      </c>
      <c r="L111" s="16">
        <f>LCOE!P137+LCOE!K$23*IF(LCOE!K$14&gt;0,G111,H111)*M111*D111</f>
        <v>0</v>
      </c>
      <c r="M111" s="15">
        <f>LCOE!Q137+M110+M110*LCOE!K$24</f>
        <v>1</v>
      </c>
      <c r="N111" s="15">
        <f>LCOE!R137+N110-N110*LCOE!K$25</f>
        <v>1</v>
      </c>
      <c r="O111" s="18">
        <f>LCOE!S137+LCOE!K$29</f>
        <v>313.75</v>
      </c>
      <c r="P111" s="12">
        <f>LCOE!T137+IF(A111&gt;=LCOE!K$30,100%,0%)</f>
        <v>1</v>
      </c>
      <c r="Q111" s="16">
        <f>LCOE!U137+O111/1000*IF(LCOE!K$14&gt;0,G111,H111)</f>
        <v>0</v>
      </c>
      <c r="R111" s="16">
        <f>LCOE!B137</f>
        <v>30</v>
      </c>
      <c r="S111" s="16">
        <f>LCOE!V137+Q111*P111*R111</f>
        <v>0</v>
      </c>
      <c r="T111" s="16">
        <f>LCOE!W137+LCOE!K$31</f>
        <v>0</v>
      </c>
      <c r="U111" s="16">
        <f>LCOE!X137+T111*IF(LCOE!K$14&gt;0,G111,H111)</f>
        <v>0</v>
      </c>
      <c r="V111" s="16">
        <f>LCOE!Y137+LCOE!K$32</f>
        <v>0</v>
      </c>
      <c r="W111" s="16">
        <f>LCOE!Z137+V111*IF(LCOE!K$14&gt;0,G111,H111)</f>
        <v>0</v>
      </c>
      <c r="X111" s="16">
        <f>LCOE!AA137+LCOE!K$34</f>
        <v>101</v>
      </c>
      <c r="Y111" s="16">
        <f t="shared" si="15"/>
        <v>0</v>
      </c>
      <c r="Z111" s="50">
        <f t="shared" si="18"/>
        <v>0</v>
      </c>
      <c r="AA111" s="50">
        <f t="shared" si="19"/>
        <v>0</v>
      </c>
      <c r="AB111" s="50">
        <f t="shared" si="20"/>
        <v>0</v>
      </c>
      <c r="AC111" s="50">
        <f t="shared" si="16"/>
        <v>0</v>
      </c>
      <c r="AD111" s="50">
        <f t="shared" si="25"/>
        <v>0</v>
      </c>
      <c r="AE111">
        <f t="shared" si="17"/>
        <v>30</v>
      </c>
      <c r="AF111" s="12">
        <f>LCOE!E137+LCOE!K$40</f>
        <v>0.14000000000000001</v>
      </c>
      <c r="AG111">
        <f t="shared" si="26"/>
        <v>215.32720579787102</v>
      </c>
      <c r="AH111" s="16">
        <f t="shared" si="21"/>
        <v>0</v>
      </c>
      <c r="AI111" s="16">
        <f t="shared" si="22"/>
        <v>0</v>
      </c>
      <c r="AJ111" s="16">
        <f t="shared" si="23"/>
        <v>0</v>
      </c>
      <c r="AK111" s="16">
        <f t="shared" si="24"/>
        <v>0</v>
      </c>
      <c r="AL111" s="16">
        <f t="shared" si="27"/>
        <v>0</v>
      </c>
      <c r="AM111" s="16">
        <f t="shared" si="14"/>
        <v>0</v>
      </c>
      <c r="AN111" s="16">
        <f>IF(LCOE!K$14&gt;0,G111,H111)/AG111</f>
        <v>0</v>
      </c>
    </row>
    <row r="112" spans="1:40">
      <c r="A112">
        <v>42</v>
      </c>
      <c r="C112" s="16">
        <f>LCOE!K138+IF(AND(LCOE!K$26&gt;0,A112&gt;=LCOE!K$26,A112&lt;=(LCOE!K$26+LCOE!K$27-1)),LCOE!K$42/LCOE!K$27,0)+IF(AND(D112=0,AE112&gt;=LCOE!K$16,COUNTIF(D87:D112,0)=LCOE!K$36),LCOE!K$35*LCOE!K$38,0)</f>
        <v>0</v>
      </c>
      <c r="D112" s="16">
        <f>IF(AE111&lt;LCOE!K$16,1,0)</f>
        <v>0</v>
      </c>
      <c r="E112" s="12">
        <f>LCOE!G138+IF(AND(A112&gt;=LCOE!K$26,A112&lt;=(LCOE!K$26+LCOE!K$27-1)),0,1)*IF(A112=LCOE!K$34,0,1)*D112</f>
        <v>0</v>
      </c>
      <c r="F112" s="12">
        <f>IF(F111&lt;LCOE!K$18,MIN(F111*(1+LCOE!K$19),LCOE!K$18),LCOE!K$18)+LCOE!J138</f>
        <v>0.9</v>
      </c>
      <c r="G112" s="16">
        <f>LCOE!K138+E112*F112*N112*(LCOE!K$14+LCOE!H138)*24*365*D112</f>
        <v>0</v>
      </c>
      <c r="H112" s="16">
        <f>LCOE!L138+F112*(LCOE!K$15+LCOE!I138)*E112*24*365*D112*N112</f>
        <v>0</v>
      </c>
      <c r="I112" s="16">
        <f>LCOE!M138+LCOE!K$20*IF(LCOE!K$14&gt;0,(LCOE!K$14+LCOE!H138),(LCOE!K$15+LCOE!I138))*K112*D112</f>
        <v>0</v>
      </c>
      <c r="J112" s="16">
        <f>LCOE!N138+LCOE!K$21*IF(LCOE!K$14&gt;0,G112,H112)*K112*D112</f>
        <v>0</v>
      </c>
      <c r="K112" s="15">
        <f>LCOE!O138+K111+K111*LCOE!K$22</f>
        <v>1</v>
      </c>
      <c r="L112" s="16">
        <f>LCOE!P138+LCOE!K$23*IF(LCOE!K$14&gt;0,G112,H112)*M112*D112</f>
        <v>0</v>
      </c>
      <c r="M112" s="15">
        <f>LCOE!Q138+M111+M111*LCOE!K$24</f>
        <v>1</v>
      </c>
      <c r="N112" s="15">
        <f>LCOE!R138+N111-N111*LCOE!K$25</f>
        <v>1</v>
      </c>
      <c r="O112" s="18">
        <f>LCOE!S138+LCOE!K$29</f>
        <v>313.75</v>
      </c>
      <c r="P112" s="12">
        <f>LCOE!T138+IF(A112&gt;=LCOE!K$30,100%,0%)</f>
        <v>1</v>
      </c>
      <c r="Q112" s="16">
        <f>LCOE!U138+O112/1000*IF(LCOE!K$14&gt;0,G112,H112)</f>
        <v>0</v>
      </c>
      <c r="R112" s="16">
        <f>LCOE!B138</f>
        <v>30</v>
      </c>
      <c r="S112" s="16">
        <f>LCOE!V138+Q112*P112*R112</f>
        <v>0</v>
      </c>
      <c r="T112" s="16">
        <f>LCOE!W138+LCOE!K$31</f>
        <v>0</v>
      </c>
      <c r="U112" s="16">
        <f>LCOE!X138+T112*IF(LCOE!K$14&gt;0,G112,H112)</f>
        <v>0</v>
      </c>
      <c r="V112" s="16">
        <f>LCOE!Y138+LCOE!K$32</f>
        <v>0</v>
      </c>
      <c r="W112" s="16">
        <f>LCOE!Z138+V112*IF(LCOE!K$14&gt;0,G112,H112)</f>
        <v>0</v>
      </c>
      <c r="X112" s="16">
        <f>LCOE!AA138+LCOE!K$34</f>
        <v>101</v>
      </c>
      <c r="Y112" s="16">
        <f t="shared" si="15"/>
        <v>0</v>
      </c>
      <c r="Z112" s="50">
        <f t="shared" si="18"/>
        <v>0</v>
      </c>
      <c r="AA112" s="50">
        <f t="shared" si="19"/>
        <v>0</v>
      </c>
      <c r="AB112" s="50">
        <f t="shared" si="20"/>
        <v>0</v>
      </c>
      <c r="AC112" s="50">
        <f t="shared" si="16"/>
        <v>0</v>
      </c>
      <c r="AD112" s="50">
        <f t="shared" si="25"/>
        <v>0</v>
      </c>
      <c r="AE112">
        <f t="shared" si="17"/>
        <v>30</v>
      </c>
      <c r="AF112" s="12">
        <f>LCOE!E138+LCOE!K$40</f>
        <v>0.14000000000000001</v>
      </c>
      <c r="AG112">
        <f t="shared" si="26"/>
        <v>245.473014609573</v>
      </c>
      <c r="AH112" s="16">
        <f t="shared" si="21"/>
        <v>0</v>
      </c>
      <c r="AI112" s="16">
        <f t="shared" si="22"/>
        <v>0</v>
      </c>
      <c r="AJ112" s="16">
        <f t="shared" si="23"/>
        <v>0</v>
      </c>
      <c r="AK112" s="16">
        <f t="shared" si="24"/>
        <v>0</v>
      </c>
      <c r="AL112" s="16">
        <f t="shared" si="27"/>
        <v>0</v>
      </c>
      <c r="AM112" s="16">
        <f t="shared" si="14"/>
        <v>0</v>
      </c>
      <c r="AN112" s="16">
        <f>IF(LCOE!K$14&gt;0,G112,H112)/AG112</f>
        <v>0</v>
      </c>
    </row>
    <row r="113" spans="1:40">
      <c r="A113">
        <v>43</v>
      </c>
      <c r="C113" s="16">
        <f>LCOE!K139+IF(AND(LCOE!K$26&gt;0,A113&gt;=LCOE!K$26,A113&lt;=(LCOE!K$26+LCOE!K$27-1)),LCOE!K$42/LCOE!K$27,0)+IF(AND(D113=0,AE113&gt;=LCOE!K$16,COUNTIF(D88:D113,0)=LCOE!K$36),LCOE!K$35*LCOE!K$38,0)</f>
        <v>0</v>
      </c>
      <c r="D113" s="16">
        <f>IF(AE112&lt;LCOE!K$16,1,0)</f>
        <v>0</v>
      </c>
      <c r="E113" s="12">
        <f>LCOE!G139+IF(AND(A113&gt;=LCOE!K$26,A113&lt;=(LCOE!K$26+LCOE!K$27-1)),0,1)*IF(A113=LCOE!K$34,0,1)*D113</f>
        <v>0</v>
      </c>
      <c r="F113" s="12">
        <f>IF(F112&lt;LCOE!K$18,MIN(F112*(1+LCOE!K$19),LCOE!K$18),LCOE!K$18)+LCOE!J139</f>
        <v>0.9</v>
      </c>
      <c r="G113" s="16">
        <f>LCOE!K139+E113*F113*N113*(LCOE!K$14+LCOE!H139)*24*365*D113</f>
        <v>0</v>
      </c>
      <c r="H113" s="16">
        <f>LCOE!L139+F113*(LCOE!K$15+LCOE!I139)*E113*24*365*D113*N113</f>
        <v>0</v>
      </c>
      <c r="I113" s="16">
        <f>LCOE!M139+LCOE!K$20*IF(LCOE!K$14&gt;0,(LCOE!K$14+LCOE!H139),(LCOE!K$15+LCOE!I139))*K113*D113</f>
        <v>0</v>
      </c>
      <c r="J113" s="16">
        <f>LCOE!N139+LCOE!K$21*IF(LCOE!K$14&gt;0,G113,H113)*K113*D113</f>
        <v>0</v>
      </c>
      <c r="K113" s="15">
        <f>LCOE!O139+K112+K112*LCOE!K$22</f>
        <v>1</v>
      </c>
      <c r="L113" s="16">
        <f>LCOE!P139+LCOE!K$23*IF(LCOE!K$14&gt;0,G113,H113)*M113*D113</f>
        <v>0</v>
      </c>
      <c r="M113" s="15">
        <f>LCOE!Q139+M112+M112*LCOE!K$24</f>
        <v>1</v>
      </c>
      <c r="N113" s="15">
        <f>LCOE!R139+N112-N112*LCOE!K$25</f>
        <v>1</v>
      </c>
      <c r="O113" s="18">
        <f>LCOE!S139+LCOE!K$29</f>
        <v>313.75</v>
      </c>
      <c r="P113" s="12">
        <f>LCOE!T139+IF(A113&gt;=LCOE!K$30,100%,0%)</f>
        <v>1</v>
      </c>
      <c r="Q113" s="16">
        <f>LCOE!U139+O113/1000*IF(LCOE!K$14&gt;0,G113,H113)</f>
        <v>0</v>
      </c>
      <c r="R113" s="16">
        <f>LCOE!B139</f>
        <v>30</v>
      </c>
      <c r="S113" s="16">
        <f>LCOE!V139+Q113*P113*R113</f>
        <v>0</v>
      </c>
      <c r="T113" s="16">
        <f>LCOE!W139+LCOE!K$31</f>
        <v>0</v>
      </c>
      <c r="U113" s="16">
        <f>LCOE!X139+T113*IF(LCOE!K$14&gt;0,G113,H113)</f>
        <v>0</v>
      </c>
      <c r="V113" s="16">
        <f>LCOE!Y139+LCOE!K$32</f>
        <v>0</v>
      </c>
      <c r="W113" s="16">
        <f>LCOE!Z139+V113*IF(LCOE!K$14&gt;0,G113,H113)</f>
        <v>0</v>
      </c>
      <c r="X113" s="16">
        <f>LCOE!AA139+LCOE!K$34</f>
        <v>101</v>
      </c>
      <c r="Y113" s="16">
        <f t="shared" si="15"/>
        <v>0</v>
      </c>
      <c r="Z113" s="50">
        <f t="shared" si="18"/>
        <v>0</v>
      </c>
      <c r="AA113" s="50">
        <f t="shared" si="19"/>
        <v>0</v>
      </c>
      <c r="AB113" s="50">
        <f t="shared" si="20"/>
        <v>0</v>
      </c>
      <c r="AC113" s="50">
        <f t="shared" si="16"/>
        <v>0</v>
      </c>
      <c r="AD113" s="50">
        <f t="shared" si="25"/>
        <v>0</v>
      </c>
      <c r="AE113">
        <f t="shared" si="17"/>
        <v>30</v>
      </c>
      <c r="AF113" s="12">
        <f>LCOE!E139+LCOE!K$40</f>
        <v>0.14000000000000001</v>
      </c>
      <c r="AG113">
        <f t="shared" si="26"/>
        <v>279.83923665491324</v>
      </c>
      <c r="AH113" s="16">
        <f t="shared" si="21"/>
        <v>0</v>
      </c>
      <c r="AI113" s="16">
        <f t="shared" si="22"/>
        <v>0</v>
      </c>
      <c r="AJ113" s="16">
        <f t="shared" si="23"/>
        <v>0</v>
      </c>
      <c r="AK113" s="16">
        <f t="shared" si="24"/>
        <v>0</v>
      </c>
      <c r="AL113" s="16">
        <f t="shared" si="27"/>
        <v>0</v>
      </c>
      <c r="AM113" s="16">
        <f t="shared" si="14"/>
        <v>0</v>
      </c>
      <c r="AN113" s="16">
        <f>IF(LCOE!K$14&gt;0,G113,H113)/AG113</f>
        <v>0</v>
      </c>
    </row>
    <row r="114" spans="1:40">
      <c r="A114">
        <v>44</v>
      </c>
      <c r="C114" s="16">
        <f>LCOE!K140+IF(AND(LCOE!K$26&gt;0,A114&gt;=LCOE!K$26,A114&lt;=(LCOE!K$26+LCOE!K$27-1)),LCOE!K$42/LCOE!K$27,0)+IF(AND(D114=0,AE114&gt;=LCOE!K$16,COUNTIF(D89:D114,0)=LCOE!K$36),LCOE!K$35*LCOE!K$38,0)</f>
        <v>0</v>
      </c>
      <c r="D114" s="16">
        <f>IF(AE113&lt;LCOE!K$16,1,0)</f>
        <v>0</v>
      </c>
      <c r="E114" s="12">
        <f>LCOE!G140+IF(AND(A114&gt;=LCOE!K$26,A114&lt;=(LCOE!K$26+LCOE!K$27-1)),0,1)*IF(A114=LCOE!K$34,0,1)*D114</f>
        <v>0</v>
      </c>
      <c r="F114" s="12">
        <f>IF(F113&lt;LCOE!K$18,MIN(F113*(1+LCOE!K$19),LCOE!K$18),LCOE!K$18)+LCOE!J140</f>
        <v>0.9</v>
      </c>
      <c r="G114" s="16">
        <f>LCOE!K140+E114*F114*N114*(LCOE!K$14+LCOE!H140)*24*365*D114</f>
        <v>0</v>
      </c>
      <c r="H114" s="16">
        <f>LCOE!L140+F114*(LCOE!K$15+LCOE!I140)*E114*24*365*D114*N114</f>
        <v>0</v>
      </c>
      <c r="I114" s="16">
        <f>LCOE!M140+LCOE!K$20*IF(LCOE!K$14&gt;0,(LCOE!K$14+LCOE!H140),(LCOE!K$15+LCOE!I140))*K114*D114</f>
        <v>0</v>
      </c>
      <c r="J114" s="16">
        <f>LCOE!N140+LCOE!K$21*IF(LCOE!K$14&gt;0,G114,H114)*K114*D114</f>
        <v>0</v>
      </c>
      <c r="K114" s="15">
        <f>LCOE!O140+K113+K113*LCOE!K$22</f>
        <v>1</v>
      </c>
      <c r="L114" s="16">
        <f>LCOE!P140+LCOE!K$23*IF(LCOE!K$14&gt;0,G114,H114)*M114*D114</f>
        <v>0</v>
      </c>
      <c r="M114" s="15">
        <f>LCOE!Q140+M113+M113*LCOE!K$24</f>
        <v>1</v>
      </c>
      <c r="N114" s="15">
        <f>LCOE!R140+N113-N113*LCOE!K$25</f>
        <v>1</v>
      </c>
      <c r="O114" s="18">
        <f>LCOE!S140+LCOE!K$29</f>
        <v>313.75</v>
      </c>
      <c r="P114" s="12">
        <f>LCOE!T140+IF(A114&gt;=LCOE!K$30,100%,0%)</f>
        <v>1</v>
      </c>
      <c r="Q114" s="16">
        <f>LCOE!U140+O114/1000*IF(LCOE!K$14&gt;0,G114,H114)</f>
        <v>0</v>
      </c>
      <c r="R114" s="16">
        <f>LCOE!B140</f>
        <v>30</v>
      </c>
      <c r="S114" s="16">
        <f>LCOE!V140+Q114*P114*R114</f>
        <v>0</v>
      </c>
      <c r="T114" s="16">
        <f>LCOE!W140+LCOE!K$31</f>
        <v>0</v>
      </c>
      <c r="U114" s="16">
        <f>LCOE!X140+T114*IF(LCOE!K$14&gt;0,G114,H114)</f>
        <v>0</v>
      </c>
      <c r="V114" s="16">
        <f>LCOE!Y140+LCOE!K$32</f>
        <v>0</v>
      </c>
      <c r="W114" s="16">
        <f>LCOE!Z140+V114*IF(LCOE!K$14&gt;0,G114,H114)</f>
        <v>0</v>
      </c>
      <c r="X114" s="16">
        <f>LCOE!AA140+LCOE!K$34</f>
        <v>101</v>
      </c>
      <c r="Y114" s="16">
        <f t="shared" si="15"/>
        <v>0</v>
      </c>
      <c r="Z114" s="50">
        <f t="shared" si="18"/>
        <v>0</v>
      </c>
      <c r="AA114" s="50">
        <f t="shared" si="19"/>
        <v>0</v>
      </c>
      <c r="AB114" s="50">
        <f t="shared" si="20"/>
        <v>0</v>
      </c>
      <c r="AC114" s="50">
        <f t="shared" si="16"/>
        <v>0</v>
      </c>
      <c r="AD114" s="50">
        <f t="shared" si="25"/>
        <v>0</v>
      </c>
      <c r="AE114">
        <f t="shared" si="17"/>
        <v>30</v>
      </c>
      <c r="AF114" s="12">
        <f>LCOE!E140+LCOE!K$40</f>
        <v>0.14000000000000001</v>
      </c>
      <c r="AG114">
        <f t="shared" si="26"/>
        <v>319.01672978660116</v>
      </c>
      <c r="AH114" s="16">
        <f t="shared" si="21"/>
        <v>0</v>
      </c>
      <c r="AI114" s="16">
        <f t="shared" si="22"/>
        <v>0</v>
      </c>
      <c r="AJ114" s="16">
        <f t="shared" si="23"/>
        <v>0</v>
      </c>
      <c r="AK114" s="16">
        <f t="shared" si="24"/>
        <v>0</v>
      </c>
      <c r="AL114" s="16">
        <f t="shared" si="27"/>
        <v>0</v>
      </c>
      <c r="AM114" s="16">
        <f t="shared" si="14"/>
        <v>0</v>
      </c>
      <c r="AN114" s="16">
        <f>IF(LCOE!K$14&gt;0,G114,H114)/AG114</f>
        <v>0</v>
      </c>
    </row>
    <row r="115" spans="1:40">
      <c r="A115">
        <v>45</v>
      </c>
      <c r="C115" s="16">
        <f>LCOE!K141+IF(AND(LCOE!K$26&gt;0,A115&gt;=LCOE!K$26,A115&lt;=(LCOE!K$26+LCOE!K$27-1)),LCOE!K$42/LCOE!K$27,0)+IF(AND(D115=0,AE115&gt;=LCOE!K$16,COUNTIF(D90:D115,0)=LCOE!K$36),LCOE!K$35*LCOE!K$38,0)</f>
        <v>0</v>
      </c>
      <c r="D115" s="16">
        <f>IF(AE114&lt;LCOE!K$16,1,0)</f>
        <v>0</v>
      </c>
      <c r="E115" s="12">
        <f>LCOE!G141+IF(AND(A115&gt;=LCOE!K$26,A115&lt;=(LCOE!K$26+LCOE!K$27-1)),0,1)*IF(A115=LCOE!K$34,0,1)*D115</f>
        <v>0</v>
      </c>
      <c r="F115" s="12">
        <f>IF(F114&lt;LCOE!K$18,MIN(F114*(1+LCOE!K$19),LCOE!K$18),LCOE!K$18)+LCOE!J141</f>
        <v>0.9</v>
      </c>
      <c r="G115" s="16">
        <f>LCOE!K141+E115*F115*N115*(LCOE!K$14+LCOE!H141)*24*365*D115</f>
        <v>0</v>
      </c>
      <c r="H115" s="16">
        <f>LCOE!L141+F115*(LCOE!K$15+LCOE!I141)*E115*24*365*D115*N115</f>
        <v>0</v>
      </c>
      <c r="I115" s="16">
        <f>LCOE!M141+LCOE!K$20*IF(LCOE!K$14&gt;0,(LCOE!K$14+LCOE!H141),(LCOE!K$15+LCOE!I141))*K115*D115</f>
        <v>0</v>
      </c>
      <c r="J115" s="16">
        <f>LCOE!N141+LCOE!K$21*IF(LCOE!K$14&gt;0,G115,H115)*K115*D115</f>
        <v>0</v>
      </c>
      <c r="K115" s="15">
        <f>LCOE!O141+K114+K114*LCOE!K$22</f>
        <v>1</v>
      </c>
      <c r="L115" s="16">
        <f>LCOE!P141+LCOE!K$23*IF(LCOE!K$14&gt;0,G115,H115)*M115*D115</f>
        <v>0</v>
      </c>
      <c r="M115" s="15">
        <f>LCOE!Q141+M114+M114*LCOE!K$24</f>
        <v>1</v>
      </c>
      <c r="N115" s="15">
        <f>LCOE!R141+N114-N114*LCOE!K$25</f>
        <v>1</v>
      </c>
      <c r="O115" s="18">
        <f>LCOE!S141+LCOE!K$29</f>
        <v>313.75</v>
      </c>
      <c r="P115" s="12">
        <f>LCOE!T141+IF(A115&gt;=LCOE!K$30,100%,0%)</f>
        <v>1</v>
      </c>
      <c r="Q115" s="16">
        <f>LCOE!U141+O115/1000*IF(LCOE!K$14&gt;0,G115,H115)</f>
        <v>0</v>
      </c>
      <c r="R115" s="16">
        <f>LCOE!B141</f>
        <v>30</v>
      </c>
      <c r="S115" s="16">
        <f>LCOE!V141+Q115*P115*R115</f>
        <v>0</v>
      </c>
      <c r="T115" s="16">
        <f>LCOE!W141+LCOE!K$31</f>
        <v>0</v>
      </c>
      <c r="U115" s="16">
        <f>LCOE!X141+T115*IF(LCOE!K$14&gt;0,G115,H115)</f>
        <v>0</v>
      </c>
      <c r="V115" s="16">
        <f>LCOE!Y141+LCOE!K$32</f>
        <v>0</v>
      </c>
      <c r="W115" s="16">
        <f>LCOE!Z141+V115*IF(LCOE!K$14&gt;0,G115,H115)</f>
        <v>0</v>
      </c>
      <c r="X115" s="16">
        <f>LCOE!AA141+LCOE!K$34</f>
        <v>101</v>
      </c>
      <c r="Y115" s="16">
        <f t="shared" si="15"/>
        <v>0</v>
      </c>
      <c r="Z115" s="50">
        <f t="shared" si="18"/>
        <v>0</v>
      </c>
      <c r="AA115" s="50">
        <f t="shared" si="19"/>
        <v>0</v>
      </c>
      <c r="AB115" s="50">
        <f t="shared" si="20"/>
        <v>0</v>
      </c>
      <c r="AC115" s="50">
        <f t="shared" si="16"/>
        <v>0</v>
      </c>
      <c r="AD115" s="50">
        <f t="shared" si="25"/>
        <v>0</v>
      </c>
      <c r="AE115">
        <f t="shared" si="17"/>
        <v>30</v>
      </c>
      <c r="AF115" s="12">
        <f>LCOE!E141+LCOE!K$40</f>
        <v>0.14000000000000001</v>
      </c>
      <c r="AG115">
        <f t="shared" si="26"/>
        <v>363.67907195672535</v>
      </c>
      <c r="AH115" s="16">
        <f t="shared" si="21"/>
        <v>0</v>
      </c>
      <c r="AI115" s="16">
        <f t="shared" si="22"/>
        <v>0</v>
      </c>
      <c r="AJ115" s="16">
        <f t="shared" si="23"/>
        <v>0</v>
      </c>
      <c r="AK115" s="16">
        <f t="shared" si="24"/>
        <v>0</v>
      </c>
      <c r="AL115" s="16">
        <f t="shared" si="27"/>
        <v>0</v>
      </c>
      <c r="AM115" s="16">
        <f t="shared" si="14"/>
        <v>0</v>
      </c>
      <c r="AN115" s="16">
        <f>IF(LCOE!K$14&gt;0,G115,H115)/AG115</f>
        <v>0</v>
      </c>
    </row>
    <row r="116" spans="1:40">
      <c r="A116">
        <v>46</v>
      </c>
      <c r="C116" s="16">
        <f>LCOE!K142+IF(AND(LCOE!K$26&gt;0,A116&gt;=LCOE!K$26,A116&lt;=(LCOE!K$26+LCOE!K$27-1)),LCOE!K$42/LCOE!K$27,0)+IF(AND(D116=0,AE116&gt;=LCOE!K$16,COUNTIF(D91:D116,0)=LCOE!K$36),LCOE!K$35*LCOE!K$38,0)</f>
        <v>0</v>
      </c>
      <c r="D116" s="16">
        <f>IF(AE115&lt;LCOE!K$16,1,0)</f>
        <v>0</v>
      </c>
      <c r="E116" s="12">
        <f>LCOE!G142+IF(AND(A116&gt;=LCOE!K$26,A116&lt;=(LCOE!K$26+LCOE!K$27-1)),0,1)*IF(A116=LCOE!K$34,0,1)*D116</f>
        <v>0</v>
      </c>
      <c r="F116" s="12">
        <f>IF(F115&lt;LCOE!K$18,MIN(F115*(1+LCOE!K$19),LCOE!K$18),LCOE!K$18)+LCOE!J142</f>
        <v>0.9</v>
      </c>
      <c r="G116" s="16">
        <f>LCOE!K142+E116*F116*N116*(LCOE!K$14+LCOE!H142)*24*365*D116</f>
        <v>0</v>
      </c>
      <c r="H116" s="16">
        <f>LCOE!L142+F116*(LCOE!K$15+LCOE!I142)*E116*24*365*D116*N116</f>
        <v>0</v>
      </c>
      <c r="I116" s="16">
        <f>LCOE!M142+LCOE!K$20*IF(LCOE!K$14&gt;0,(LCOE!K$14+LCOE!H142),(LCOE!K$15+LCOE!I142))*K116*D116</f>
        <v>0</v>
      </c>
      <c r="J116" s="16">
        <f>LCOE!N142+LCOE!K$21*IF(LCOE!K$14&gt;0,G116,H116)*K116*D116</f>
        <v>0</v>
      </c>
      <c r="K116" s="15">
        <f>LCOE!O142+K115+K115*LCOE!K$22</f>
        <v>1</v>
      </c>
      <c r="L116" s="16">
        <f>LCOE!P142+LCOE!K$23*IF(LCOE!K$14&gt;0,G116,H116)*M116*D116</f>
        <v>0</v>
      </c>
      <c r="M116" s="15">
        <f>LCOE!Q142+M115+M115*LCOE!K$24</f>
        <v>1</v>
      </c>
      <c r="N116" s="15">
        <f>LCOE!R142+N115-N115*LCOE!K$25</f>
        <v>1</v>
      </c>
      <c r="O116" s="18">
        <f>LCOE!S142+LCOE!K$29</f>
        <v>313.75</v>
      </c>
      <c r="P116" s="12">
        <f>LCOE!T142+IF(A116&gt;=LCOE!K$30,100%,0%)</f>
        <v>1</v>
      </c>
      <c r="Q116" s="16">
        <f>LCOE!U142+O116/1000*IF(LCOE!K$14&gt;0,G116,H116)</f>
        <v>0</v>
      </c>
      <c r="R116" s="16">
        <f>LCOE!B142</f>
        <v>30</v>
      </c>
      <c r="S116" s="16">
        <f>LCOE!V142+Q116*P116*R116</f>
        <v>0</v>
      </c>
      <c r="T116" s="16">
        <f>LCOE!W142+LCOE!K$31</f>
        <v>0</v>
      </c>
      <c r="U116" s="16">
        <f>LCOE!X142+T116*IF(LCOE!K$14&gt;0,G116,H116)</f>
        <v>0</v>
      </c>
      <c r="V116" s="16">
        <f>LCOE!Y142+LCOE!K$32</f>
        <v>0</v>
      </c>
      <c r="W116" s="16">
        <f>LCOE!Z142+V116*IF(LCOE!K$14&gt;0,G116,H116)</f>
        <v>0</v>
      </c>
      <c r="X116" s="16">
        <f>LCOE!AA142+LCOE!K$34</f>
        <v>101</v>
      </c>
      <c r="Y116" s="16">
        <f t="shared" si="15"/>
        <v>0</v>
      </c>
      <c r="Z116" s="50">
        <f t="shared" si="18"/>
        <v>0</v>
      </c>
      <c r="AA116" s="50">
        <f t="shared" si="19"/>
        <v>0</v>
      </c>
      <c r="AB116" s="50">
        <f t="shared" si="20"/>
        <v>0</v>
      </c>
      <c r="AC116" s="50">
        <f t="shared" si="16"/>
        <v>0</v>
      </c>
      <c r="AD116" s="50">
        <f t="shared" si="25"/>
        <v>0</v>
      </c>
      <c r="AE116">
        <f t="shared" si="17"/>
        <v>30</v>
      </c>
      <c r="AF116" s="12">
        <f>LCOE!E142+LCOE!K$40</f>
        <v>0.14000000000000001</v>
      </c>
      <c r="AG116">
        <f t="shared" si="26"/>
        <v>414.59414203066694</v>
      </c>
      <c r="AH116" s="16">
        <f t="shared" si="21"/>
        <v>0</v>
      </c>
      <c r="AI116" s="16">
        <f t="shared" si="22"/>
        <v>0</v>
      </c>
      <c r="AJ116" s="16">
        <f t="shared" si="23"/>
        <v>0</v>
      </c>
      <c r="AK116" s="16">
        <f t="shared" si="24"/>
        <v>0</v>
      </c>
      <c r="AL116" s="16">
        <f t="shared" si="27"/>
        <v>0</v>
      </c>
      <c r="AM116" s="16">
        <f t="shared" si="14"/>
        <v>0</v>
      </c>
      <c r="AN116" s="16">
        <f>IF(LCOE!K$14&gt;0,G116,H116)/AG116</f>
        <v>0</v>
      </c>
    </row>
    <row r="117" spans="1:40">
      <c r="A117">
        <v>47</v>
      </c>
      <c r="C117" s="16">
        <f>LCOE!K143+IF(AND(LCOE!K$26&gt;0,A117&gt;=LCOE!K$26,A117&lt;=(LCOE!K$26+LCOE!K$27-1)),LCOE!K$42/LCOE!K$27,0)+IF(AND(D117=0,AE117&gt;=LCOE!K$16,COUNTIF(D92:D117,0)=LCOE!K$36),LCOE!K$35*LCOE!K$38,0)</f>
        <v>0</v>
      </c>
      <c r="D117" s="16">
        <f>IF(AE116&lt;LCOE!K$16,1,0)</f>
        <v>0</v>
      </c>
      <c r="E117" s="12">
        <f>LCOE!G143+IF(AND(A117&gt;=LCOE!K$26,A117&lt;=(LCOE!K$26+LCOE!K$27-1)),0,1)*IF(A117=LCOE!K$34,0,1)*D117</f>
        <v>0</v>
      </c>
      <c r="F117" s="12">
        <f>IF(F116&lt;LCOE!K$18,MIN(F116*(1+LCOE!K$19),LCOE!K$18),LCOE!K$18)+LCOE!J143</f>
        <v>0.9</v>
      </c>
      <c r="G117" s="16">
        <f>LCOE!K143+E117*F117*N117*(LCOE!K$14+LCOE!H143)*24*365*D117</f>
        <v>0</v>
      </c>
      <c r="H117" s="16">
        <f>LCOE!L143+F117*(LCOE!K$15+LCOE!I143)*E117*24*365*D117*N117</f>
        <v>0</v>
      </c>
      <c r="I117" s="16">
        <f>LCOE!M143+LCOE!K$20*IF(LCOE!K$14&gt;0,(LCOE!K$14+LCOE!H143),(LCOE!K$15+LCOE!I143))*K117*D117</f>
        <v>0</v>
      </c>
      <c r="J117" s="16">
        <f>LCOE!N143+LCOE!K$21*IF(LCOE!K$14&gt;0,G117,H117)*K117*D117</f>
        <v>0</v>
      </c>
      <c r="K117" s="15">
        <f>LCOE!O143+K116+K116*LCOE!K$22</f>
        <v>1</v>
      </c>
      <c r="L117" s="16">
        <f>LCOE!P143+LCOE!K$23*IF(LCOE!K$14&gt;0,G117,H117)*M117*D117</f>
        <v>0</v>
      </c>
      <c r="M117" s="15">
        <f>LCOE!Q143+M116+M116*LCOE!K$24</f>
        <v>1</v>
      </c>
      <c r="N117" s="15">
        <f>LCOE!R143+N116-N116*LCOE!K$25</f>
        <v>1</v>
      </c>
      <c r="O117" s="18">
        <f>LCOE!S143+LCOE!K$29</f>
        <v>313.75</v>
      </c>
      <c r="P117" s="12">
        <f>LCOE!T143+IF(A117&gt;=LCOE!K$30,100%,0%)</f>
        <v>1</v>
      </c>
      <c r="Q117" s="16">
        <f>LCOE!U143+O117/1000*IF(LCOE!K$14&gt;0,G117,H117)</f>
        <v>0</v>
      </c>
      <c r="R117" s="16">
        <f>LCOE!B143</f>
        <v>30</v>
      </c>
      <c r="S117" s="16">
        <f>LCOE!V143+Q117*P117*R117</f>
        <v>0</v>
      </c>
      <c r="T117" s="16">
        <f>LCOE!W143+LCOE!K$31</f>
        <v>0</v>
      </c>
      <c r="U117" s="16">
        <f>LCOE!X143+T117*IF(LCOE!K$14&gt;0,G117,H117)</f>
        <v>0</v>
      </c>
      <c r="V117" s="16">
        <f>LCOE!Y143+LCOE!K$32</f>
        <v>0</v>
      </c>
      <c r="W117" s="16">
        <f>LCOE!Z143+V117*IF(LCOE!K$14&gt;0,G117,H117)</f>
        <v>0</v>
      </c>
      <c r="X117" s="16">
        <f>LCOE!AA143+LCOE!K$34</f>
        <v>101</v>
      </c>
      <c r="Y117" s="16">
        <f t="shared" si="15"/>
        <v>0</v>
      </c>
      <c r="Z117" s="50">
        <f t="shared" si="18"/>
        <v>0</v>
      </c>
      <c r="AA117" s="50">
        <f t="shared" si="19"/>
        <v>0</v>
      </c>
      <c r="AB117" s="50">
        <f t="shared" si="20"/>
        <v>0</v>
      </c>
      <c r="AC117" s="50">
        <f t="shared" si="16"/>
        <v>0</v>
      </c>
      <c r="AD117" s="50">
        <f t="shared" si="25"/>
        <v>0</v>
      </c>
      <c r="AE117">
        <f t="shared" si="17"/>
        <v>30</v>
      </c>
      <c r="AF117" s="12">
        <f>LCOE!E143+LCOE!K$40</f>
        <v>0.14000000000000001</v>
      </c>
      <c r="AG117">
        <f t="shared" si="26"/>
        <v>472.63732191496035</v>
      </c>
      <c r="AH117" s="16">
        <f t="shared" si="21"/>
        <v>0</v>
      </c>
      <c r="AI117" s="16">
        <f t="shared" si="22"/>
        <v>0</v>
      </c>
      <c r="AJ117" s="16">
        <f t="shared" si="23"/>
        <v>0</v>
      </c>
      <c r="AK117" s="16">
        <f t="shared" si="24"/>
        <v>0</v>
      </c>
      <c r="AL117" s="16">
        <f t="shared" si="27"/>
        <v>0</v>
      </c>
      <c r="AM117" s="16">
        <f t="shared" si="14"/>
        <v>0</v>
      </c>
      <c r="AN117" s="16">
        <f>IF(LCOE!K$14&gt;0,G117,H117)/AG117</f>
        <v>0</v>
      </c>
    </row>
    <row r="118" spans="1:40">
      <c r="A118">
        <v>48</v>
      </c>
      <c r="C118" s="16">
        <f>LCOE!K144+IF(AND(LCOE!K$26&gt;0,A118&gt;=LCOE!K$26,A118&lt;=(LCOE!K$26+LCOE!K$27-1)),LCOE!K$42/LCOE!K$27,0)+IF(AND(D118=0,AE118&gt;=LCOE!K$16,COUNTIF(D93:D118,0)=LCOE!K$36),LCOE!K$35*LCOE!K$38,0)</f>
        <v>0</v>
      </c>
      <c r="D118" s="16">
        <f>IF(AE117&lt;LCOE!K$16,1,0)</f>
        <v>0</v>
      </c>
      <c r="E118" s="12">
        <f>LCOE!G144+IF(AND(A118&gt;=LCOE!K$26,A118&lt;=(LCOE!K$26+LCOE!K$27-1)),0,1)*IF(A118=LCOE!K$34,0,1)*D118</f>
        <v>0</v>
      </c>
      <c r="F118" s="12">
        <f>IF(F117&lt;LCOE!K$18,MIN(F117*(1+LCOE!K$19),LCOE!K$18),LCOE!K$18)+LCOE!J144</f>
        <v>0.9</v>
      </c>
      <c r="G118" s="16">
        <f>LCOE!K144+E118*F118*N118*(LCOE!K$14+LCOE!H144)*24*365*D118</f>
        <v>0</v>
      </c>
      <c r="H118" s="16">
        <f>LCOE!L144+F118*(LCOE!K$15+LCOE!I144)*E118*24*365*D118*N118</f>
        <v>0</v>
      </c>
      <c r="I118" s="16">
        <f>LCOE!M144+LCOE!K$20*IF(LCOE!K$14&gt;0,(LCOE!K$14+LCOE!H144),(LCOE!K$15+LCOE!I144))*K118*D118</f>
        <v>0</v>
      </c>
      <c r="J118" s="16">
        <f>LCOE!N144+LCOE!K$21*IF(LCOE!K$14&gt;0,G118,H118)*K118*D118</f>
        <v>0</v>
      </c>
      <c r="K118" s="15">
        <f>LCOE!O144+K117+K117*LCOE!K$22</f>
        <v>1</v>
      </c>
      <c r="L118" s="16">
        <f>LCOE!P144+LCOE!K$23*IF(LCOE!K$14&gt;0,G118,H118)*M118*D118</f>
        <v>0</v>
      </c>
      <c r="M118" s="15">
        <f>LCOE!Q144+M117+M117*LCOE!K$24</f>
        <v>1</v>
      </c>
      <c r="N118" s="15">
        <f>LCOE!R144+N117-N117*LCOE!K$25</f>
        <v>1</v>
      </c>
      <c r="O118" s="18">
        <f>LCOE!S144+LCOE!K$29</f>
        <v>313.75</v>
      </c>
      <c r="P118" s="12">
        <f>LCOE!T144+IF(A118&gt;=LCOE!K$30,100%,0%)</f>
        <v>1</v>
      </c>
      <c r="Q118" s="16">
        <f>LCOE!U144+O118/1000*IF(LCOE!K$14&gt;0,G118,H118)</f>
        <v>0</v>
      </c>
      <c r="R118" s="16">
        <f>LCOE!B144</f>
        <v>30</v>
      </c>
      <c r="S118" s="16">
        <f>LCOE!V144+Q118*P118*R118</f>
        <v>0</v>
      </c>
      <c r="T118" s="16">
        <f>LCOE!W144+LCOE!K$31</f>
        <v>0</v>
      </c>
      <c r="U118" s="16">
        <f>LCOE!X144+T118*IF(LCOE!K$14&gt;0,G118,H118)</f>
        <v>0</v>
      </c>
      <c r="V118" s="16">
        <f>LCOE!Y144+LCOE!K$32</f>
        <v>0</v>
      </c>
      <c r="W118" s="16">
        <f>LCOE!Z144+V118*IF(LCOE!K$14&gt;0,G118,H118)</f>
        <v>0</v>
      </c>
      <c r="X118" s="16">
        <f>LCOE!AA144+LCOE!K$34</f>
        <v>101</v>
      </c>
      <c r="Y118" s="16">
        <f t="shared" si="15"/>
        <v>0</v>
      </c>
      <c r="Z118" s="50">
        <f t="shared" si="18"/>
        <v>0</v>
      </c>
      <c r="AA118" s="50">
        <f t="shared" si="19"/>
        <v>0</v>
      </c>
      <c r="AB118" s="50">
        <f t="shared" si="20"/>
        <v>0</v>
      </c>
      <c r="AC118" s="50">
        <f t="shared" si="16"/>
        <v>0</v>
      </c>
      <c r="AD118" s="50">
        <f t="shared" si="25"/>
        <v>0</v>
      </c>
      <c r="AE118">
        <f t="shared" si="17"/>
        <v>30</v>
      </c>
      <c r="AF118" s="12">
        <f>LCOE!E144+LCOE!K$40</f>
        <v>0.14000000000000001</v>
      </c>
      <c r="AG118">
        <f t="shared" si="26"/>
        <v>538.80654698305489</v>
      </c>
      <c r="AH118" s="16">
        <f t="shared" si="21"/>
        <v>0</v>
      </c>
      <c r="AI118" s="16">
        <f t="shared" si="22"/>
        <v>0</v>
      </c>
      <c r="AJ118" s="16">
        <f t="shared" si="23"/>
        <v>0</v>
      </c>
      <c r="AK118" s="16">
        <f t="shared" si="24"/>
        <v>0</v>
      </c>
      <c r="AL118" s="16">
        <f t="shared" si="27"/>
        <v>0</v>
      </c>
      <c r="AM118" s="16">
        <f t="shared" si="14"/>
        <v>0</v>
      </c>
      <c r="AN118" s="16">
        <f>IF(LCOE!K$14&gt;0,G118,H118)/AG118</f>
        <v>0</v>
      </c>
    </row>
    <row r="119" spans="1:40">
      <c r="A119">
        <v>49</v>
      </c>
      <c r="C119" s="16">
        <f>LCOE!K145+IF(AND(LCOE!K$26&gt;0,A119&gt;=LCOE!K$26,A119&lt;=(LCOE!K$26+LCOE!K$27-1)),LCOE!K$42/LCOE!K$27,0)+IF(AND(D119=0,AE119&gt;=LCOE!K$16,COUNTIF(D94:D119,0)=LCOE!K$36),LCOE!K$35*LCOE!K$38,0)</f>
        <v>0</v>
      </c>
      <c r="D119" s="16">
        <f>IF(AE118&lt;LCOE!K$16,1,0)</f>
        <v>0</v>
      </c>
      <c r="E119" s="12">
        <f>LCOE!G145+IF(AND(A119&gt;=LCOE!K$26,A119&lt;=(LCOE!K$26+LCOE!K$27-1)),0,1)*IF(A119=LCOE!K$34,0,1)*D119</f>
        <v>0</v>
      </c>
      <c r="F119" s="12">
        <f>IF(F118&lt;LCOE!K$18,MIN(F118*(1+LCOE!K$19),LCOE!K$18),LCOE!K$18)+LCOE!J145</f>
        <v>0.9</v>
      </c>
      <c r="G119" s="16">
        <f>LCOE!K145+E119*F119*N119*(LCOE!K$14+LCOE!H145)*24*365*D119</f>
        <v>0</v>
      </c>
      <c r="H119" s="16">
        <f>LCOE!L145+F119*(LCOE!K$15+LCOE!I145)*E119*24*365*D119*N119</f>
        <v>0</v>
      </c>
      <c r="I119" s="16">
        <f>LCOE!M145+LCOE!K$20*IF(LCOE!K$14&gt;0,(LCOE!K$14+LCOE!H145),(LCOE!K$15+LCOE!I145))*K119*D119</f>
        <v>0</v>
      </c>
      <c r="J119" s="16">
        <f>LCOE!N145+LCOE!K$21*IF(LCOE!K$14&gt;0,G119,H119)*K119*D119</f>
        <v>0</v>
      </c>
      <c r="K119" s="15">
        <f>LCOE!O145+K118+K118*LCOE!K$22</f>
        <v>1</v>
      </c>
      <c r="L119" s="16">
        <f>LCOE!P145+LCOE!K$23*IF(LCOE!K$14&gt;0,G119,H119)*M119*D119</f>
        <v>0</v>
      </c>
      <c r="M119" s="15">
        <f>LCOE!Q145+M118+M118*LCOE!K$24</f>
        <v>1</v>
      </c>
      <c r="N119" s="15">
        <f>LCOE!R145+N118-N118*LCOE!K$25</f>
        <v>1</v>
      </c>
      <c r="O119" s="18">
        <f>LCOE!S145+LCOE!K$29</f>
        <v>313.75</v>
      </c>
      <c r="P119" s="12">
        <f>LCOE!T145+IF(A119&gt;=LCOE!K$30,100%,0%)</f>
        <v>1</v>
      </c>
      <c r="Q119" s="16">
        <f>LCOE!U145+O119/1000*IF(LCOE!K$14&gt;0,G119,H119)</f>
        <v>0</v>
      </c>
      <c r="R119" s="16">
        <f>LCOE!B145</f>
        <v>30</v>
      </c>
      <c r="S119" s="16">
        <f>LCOE!V145+Q119*P119*R119</f>
        <v>0</v>
      </c>
      <c r="T119" s="16">
        <f>LCOE!W145+LCOE!K$31</f>
        <v>0</v>
      </c>
      <c r="U119" s="16">
        <f>LCOE!X145+T119*IF(LCOE!K$14&gt;0,G119,H119)</f>
        <v>0</v>
      </c>
      <c r="V119" s="16">
        <f>LCOE!Y145+LCOE!K$32</f>
        <v>0</v>
      </c>
      <c r="W119" s="16">
        <f>LCOE!Z145+V119*IF(LCOE!K$14&gt;0,G119,H119)</f>
        <v>0</v>
      </c>
      <c r="X119" s="16">
        <f>LCOE!AA145+LCOE!K$34</f>
        <v>101</v>
      </c>
      <c r="Y119" s="16">
        <f t="shared" si="15"/>
        <v>0</v>
      </c>
      <c r="Z119" s="50">
        <f t="shared" si="18"/>
        <v>0</v>
      </c>
      <c r="AA119" s="50">
        <f t="shared" si="19"/>
        <v>0</v>
      </c>
      <c r="AB119" s="50">
        <f t="shared" si="20"/>
        <v>0</v>
      </c>
      <c r="AC119" s="50">
        <f t="shared" si="16"/>
        <v>0</v>
      </c>
      <c r="AD119" s="50">
        <f t="shared" si="25"/>
        <v>0</v>
      </c>
      <c r="AE119">
        <f t="shared" si="17"/>
        <v>30</v>
      </c>
      <c r="AF119" s="12">
        <f>LCOE!E145+LCOE!K$40</f>
        <v>0.14000000000000001</v>
      </c>
      <c r="AG119">
        <f t="shared" si="26"/>
        <v>614.23946356068268</v>
      </c>
      <c r="AH119" s="16">
        <f t="shared" si="21"/>
        <v>0</v>
      </c>
      <c r="AI119" s="16">
        <f t="shared" si="22"/>
        <v>0</v>
      </c>
      <c r="AJ119" s="16">
        <f t="shared" si="23"/>
        <v>0</v>
      </c>
      <c r="AK119" s="16">
        <f t="shared" si="24"/>
        <v>0</v>
      </c>
      <c r="AL119" s="16">
        <f t="shared" si="27"/>
        <v>0</v>
      </c>
      <c r="AM119" s="16">
        <f t="shared" si="14"/>
        <v>0</v>
      </c>
      <c r="AN119" s="16">
        <f>IF(LCOE!K$14&gt;0,G119,H119)/AG119</f>
        <v>0</v>
      </c>
    </row>
    <row r="120" spans="1:40">
      <c r="A120">
        <v>50</v>
      </c>
      <c r="C120" s="16">
        <f>LCOE!K146+IF(AND(LCOE!K$26&gt;0,A120&gt;=LCOE!K$26,A120&lt;=(LCOE!K$26+LCOE!K$27-1)),LCOE!K$42/LCOE!K$27,0)+IF(AND(D120=0,AE120&gt;=LCOE!K$16,COUNTIF(D95:D120,0)=LCOE!K$36),LCOE!K$35*LCOE!K$38,0)</f>
        <v>0</v>
      </c>
      <c r="D120" s="16">
        <f>IF(AE119&lt;LCOE!K$16,1,0)</f>
        <v>0</v>
      </c>
      <c r="E120" s="12">
        <f>LCOE!G146+IF(AND(A120&gt;=LCOE!K$26,A120&lt;=(LCOE!K$26+LCOE!K$27-1)),0,1)*IF(A120=LCOE!K$34,0,1)*D120</f>
        <v>0</v>
      </c>
      <c r="F120" s="12">
        <f>IF(F119&lt;LCOE!K$18,MIN(F119*(1+LCOE!K$19),LCOE!K$18),LCOE!K$18)+LCOE!J146</f>
        <v>0.9</v>
      </c>
      <c r="G120" s="16">
        <f>LCOE!K146+E120*F120*N120*(LCOE!K$14+LCOE!H146)*24*365*D120</f>
        <v>0</v>
      </c>
      <c r="H120" s="16">
        <f>LCOE!L146+F120*(LCOE!K$15+LCOE!I146)*E120*24*365*D120*N120</f>
        <v>0</v>
      </c>
      <c r="I120" s="16">
        <f>LCOE!M146+LCOE!K$20*IF(LCOE!K$14&gt;0,(LCOE!K$14+LCOE!H146),(LCOE!K$15+LCOE!I146))*K120*D120</f>
        <v>0</v>
      </c>
      <c r="J120" s="16">
        <f>LCOE!N146+LCOE!K$21*IF(LCOE!K$14&gt;0,G120,H120)*K120*D120</f>
        <v>0</v>
      </c>
      <c r="K120" s="15">
        <f>LCOE!O146+K119+K119*LCOE!K$22</f>
        <v>1</v>
      </c>
      <c r="L120" s="16">
        <f>LCOE!P146+LCOE!K$23*IF(LCOE!K$14&gt;0,G120,H120)*M120*D120</f>
        <v>0</v>
      </c>
      <c r="M120" s="15">
        <f>LCOE!Q146+M119+M119*LCOE!K$24</f>
        <v>1</v>
      </c>
      <c r="N120" s="15">
        <f>LCOE!R146+N119-N119*LCOE!K$25</f>
        <v>1</v>
      </c>
      <c r="O120" s="18">
        <f>LCOE!S146+LCOE!K$29</f>
        <v>313.75</v>
      </c>
      <c r="P120" s="12">
        <f>LCOE!T146+IF(A120&gt;=LCOE!K$30,100%,0%)</f>
        <v>1</v>
      </c>
      <c r="Q120" s="16">
        <f>LCOE!U146+O120/1000*IF(LCOE!K$14&gt;0,G120,H120)</f>
        <v>0</v>
      </c>
      <c r="R120" s="16">
        <f>LCOE!B146</f>
        <v>30</v>
      </c>
      <c r="S120" s="16">
        <f>LCOE!V146+Q120*P120*R120</f>
        <v>0</v>
      </c>
      <c r="T120" s="16">
        <f>LCOE!W146+LCOE!K$31</f>
        <v>0</v>
      </c>
      <c r="U120" s="16">
        <f>LCOE!X146+T120*IF(LCOE!K$14&gt;0,G120,H120)</f>
        <v>0</v>
      </c>
      <c r="V120" s="16">
        <f>LCOE!Y146+LCOE!K$32</f>
        <v>0</v>
      </c>
      <c r="W120" s="16">
        <f>LCOE!Z146+V120*IF(LCOE!K$14&gt;0,G120,H120)</f>
        <v>0</v>
      </c>
      <c r="X120" s="16">
        <f>LCOE!AA146+LCOE!K$34</f>
        <v>101</v>
      </c>
      <c r="Y120" s="16">
        <f t="shared" si="15"/>
        <v>0</v>
      </c>
      <c r="Z120" s="50">
        <f t="shared" si="18"/>
        <v>0</v>
      </c>
      <c r="AA120" s="50">
        <f t="shared" si="19"/>
        <v>0</v>
      </c>
      <c r="AB120" s="50">
        <f t="shared" si="20"/>
        <v>0</v>
      </c>
      <c r="AC120" s="50">
        <f t="shared" si="16"/>
        <v>0</v>
      </c>
      <c r="AD120" s="50">
        <f t="shared" si="25"/>
        <v>0</v>
      </c>
      <c r="AE120">
        <f t="shared" si="17"/>
        <v>30</v>
      </c>
      <c r="AF120" s="12">
        <f>LCOE!E146+LCOE!K$40</f>
        <v>0.14000000000000001</v>
      </c>
      <c r="AG120">
        <f t="shared" si="26"/>
        <v>700.23298845917839</v>
      </c>
      <c r="AH120" s="16">
        <f t="shared" si="21"/>
        <v>0</v>
      </c>
      <c r="AI120" s="16">
        <f t="shared" si="22"/>
        <v>0</v>
      </c>
      <c r="AJ120" s="16">
        <f t="shared" si="23"/>
        <v>0</v>
      </c>
      <c r="AK120" s="16">
        <f t="shared" si="24"/>
        <v>0</v>
      </c>
      <c r="AL120" s="16">
        <f t="shared" si="27"/>
        <v>0</v>
      </c>
      <c r="AM120" s="16">
        <f t="shared" si="14"/>
        <v>0</v>
      </c>
      <c r="AN120" s="16">
        <f>IF(LCOE!K$14&gt;0,G120,H120)/AG120</f>
        <v>0</v>
      </c>
    </row>
    <row r="121" spans="1:40">
      <c r="A121">
        <v>51</v>
      </c>
      <c r="C121" s="16">
        <f>LCOE!K147+IF(AND(LCOE!K$26&gt;0,A121&gt;=LCOE!K$26,A121&lt;=(LCOE!K$26+LCOE!K$27-1)),LCOE!K$42/LCOE!K$27,0)+IF(AND(D121=0,AE121&gt;=LCOE!K$16,COUNTIF(D96:D121,0)=LCOE!K$36),LCOE!K$35*LCOE!K$38,0)</f>
        <v>0</v>
      </c>
      <c r="D121" s="16">
        <f>IF(AE120&lt;LCOE!K$16,1,0)</f>
        <v>0</v>
      </c>
      <c r="E121" s="12">
        <f>LCOE!G147+IF(AND(A121&gt;=LCOE!K$26,A121&lt;=(LCOE!K$26+LCOE!K$27-1)),0,1)*IF(A121=LCOE!K$34,0,1)*D121</f>
        <v>0</v>
      </c>
      <c r="F121" s="12">
        <f>IF(F120&lt;LCOE!K$18,MIN(F120*(1+LCOE!K$19),LCOE!K$18),LCOE!K$18)+LCOE!J147</f>
        <v>0.9</v>
      </c>
      <c r="G121" s="16">
        <f>LCOE!K147+E121*F121*N121*(LCOE!K$14+LCOE!H147)*24*365*D121</f>
        <v>0</v>
      </c>
      <c r="H121" s="16">
        <f>LCOE!L147+F121*(LCOE!K$15+LCOE!I147)*E121*24*365*D121*N121</f>
        <v>0</v>
      </c>
      <c r="I121" s="16">
        <f>LCOE!M147+LCOE!K$20*IF(LCOE!K$14&gt;0,(LCOE!K$14+LCOE!H147),(LCOE!K$15+LCOE!I147))*K121*D121</f>
        <v>0</v>
      </c>
      <c r="J121" s="16">
        <f>LCOE!N147+LCOE!K$21*IF(LCOE!K$14&gt;0,G121,H121)*K121*D121</f>
        <v>0</v>
      </c>
      <c r="K121" s="15">
        <f>LCOE!O147+K120+K120*LCOE!K$22</f>
        <v>1</v>
      </c>
      <c r="L121" s="16">
        <f>LCOE!P147+LCOE!K$23*IF(LCOE!K$14&gt;0,G121,H121)*M121*D121</f>
        <v>0</v>
      </c>
      <c r="M121" s="15">
        <f>LCOE!Q147+M120+M120*LCOE!K$24</f>
        <v>1</v>
      </c>
      <c r="N121" s="15">
        <f>LCOE!R147+N120-N120*LCOE!K$25</f>
        <v>1</v>
      </c>
      <c r="O121" s="18">
        <f>LCOE!S147+LCOE!K$29</f>
        <v>313.75</v>
      </c>
      <c r="P121" s="12">
        <f>LCOE!T147+IF(A121&gt;=LCOE!K$30,100%,0%)</f>
        <v>1</v>
      </c>
      <c r="Q121" s="16">
        <f>LCOE!U147+O121/1000*IF(LCOE!K$14&gt;0,G121,H121)</f>
        <v>0</v>
      </c>
      <c r="R121" s="16">
        <f>LCOE!B147</f>
        <v>30</v>
      </c>
      <c r="S121" s="16">
        <f>LCOE!V147+Q121*P121*R121</f>
        <v>0</v>
      </c>
      <c r="T121" s="16">
        <f>LCOE!W147+LCOE!K$31</f>
        <v>0</v>
      </c>
      <c r="U121" s="16">
        <f>LCOE!X147+T121*IF(LCOE!K$14&gt;0,G121,H121)</f>
        <v>0</v>
      </c>
      <c r="V121" s="16">
        <f>LCOE!Y147+LCOE!K$32</f>
        <v>0</v>
      </c>
      <c r="W121" s="16">
        <f>LCOE!Z147+V121*IF(LCOE!K$14&gt;0,G121,H121)</f>
        <v>0</v>
      </c>
      <c r="X121" s="16">
        <f>LCOE!AA147+LCOE!K$34</f>
        <v>101</v>
      </c>
      <c r="Y121" s="16">
        <f t="shared" si="15"/>
        <v>0</v>
      </c>
      <c r="Z121" s="50">
        <f t="shared" si="18"/>
        <v>0</v>
      </c>
      <c r="AA121" s="50">
        <f t="shared" si="19"/>
        <v>0</v>
      </c>
      <c r="AB121" s="50">
        <f t="shared" si="20"/>
        <v>0</v>
      </c>
      <c r="AC121" s="50">
        <f t="shared" si="16"/>
        <v>0</v>
      </c>
      <c r="AD121" s="50">
        <f t="shared" si="25"/>
        <v>0</v>
      </c>
      <c r="AE121">
        <f t="shared" si="17"/>
        <v>30</v>
      </c>
      <c r="AF121" s="12">
        <f>LCOE!E147+LCOE!K$40</f>
        <v>0.14000000000000001</v>
      </c>
      <c r="AG121">
        <f t="shared" si="26"/>
        <v>798.26560684346327</v>
      </c>
      <c r="AH121" s="16">
        <f t="shared" si="21"/>
        <v>0</v>
      </c>
      <c r="AI121" s="16">
        <f t="shared" si="22"/>
        <v>0</v>
      </c>
      <c r="AJ121" s="16">
        <f t="shared" si="23"/>
        <v>0</v>
      </c>
      <c r="AK121" s="16">
        <f t="shared" si="24"/>
        <v>0</v>
      </c>
      <c r="AL121" s="16">
        <f t="shared" si="27"/>
        <v>0</v>
      </c>
      <c r="AM121" s="16">
        <f t="shared" si="14"/>
        <v>0</v>
      </c>
      <c r="AN121" s="16">
        <f>IF(LCOE!K$14&gt;0,G121,H121)/AG121</f>
        <v>0</v>
      </c>
    </row>
    <row r="122" spans="1:40">
      <c r="A122">
        <v>52</v>
      </c>
      <c r="C122" s="16">
        <f>LCOE!K148+IF(AND(LCOE!K$26&gt;0,A122&gt;=LCOE!K$26,A122&lt;=(LCOE!K$26+LCOE!K$27-1)),LCOE!K$42/LCOE!K$27,0)+IF(AND(D122=0,AE122&gt;=LCOE!K$16,COUNTIF(D97:D122,0)=LCOE!K$36),LCOE!K$35*LCOE!K$38,0)</f>
        <v>0</v>
      </c>
      <c r="D122" s="16">
        <f>IF(AE121&lt;LCOE!K$16,1,0)</f>
        <v>0</v>
      </c>
      <c r="E122" s="12">
        <f>LCOE!G148+IF(AND(A122&gt;=LCOE!K$26,A122&lt;=(LCOE!K$26+LCOE!K$27-1)),0,1)*IF(A122=LCOE!K$34,0,1)*D122</f>
        <v>0</v>
      </c>
      <c r="F122" s="12">
        <f>IF(F121&lt;LCOE!K$18,MIN(F121*(1+LCOE!K$19),LCOE!K$18),LCOE!K$18)+LCOE!J148</f>
        <v>0.9</v>
      </c>
      <c r="G122" s="16">
        <f>LCOE!K148+E122*F122*N122*(LCOE!K$14+LCOE!H148)*24*365*D122</f>
        <v>0</v>
      </c>
      <c r="H122" s="16">
        <f>LCOE!L148+F122*(LCOE!K$15+LCOE!I148)*E122*24*365*D122*N122</f>
        <v>0</v>
      </c>
      <c r="I122" s="16">
        <f>LCOE!M148+LCOE!K$20*IF(LCOE!K$14&gt;0,(LCOE!K$14+LCOE!H148),(LCOE!K$15+LCOE!I148))*K122*D122</f>
        <v>0</v>
      </c>
      <c r="J122" s="16">
        <f>LCOE!N148+LCOE!K$21*IF(LCOE!K$14&gt;0,G122,H122)*K122*D122</f>
        <v>0</v>
      </c>
      <c r="K122" s="15">
        <f>LCOE!O148+K121+K121*LCOE!K$22</f>
        <v>1</v>
      </c>
      <c r="L122" s="16">
        <f>LCOE!P148+LCOE!K$23*IF(LCOE!K$14&gt;0,G122,H122)*M122*D122</f>
        <v>0</v>
      </c>
      <c r="M122" s="15">
        <f>LCOE!Q148+M121+M121*LCOE!K$24</f>
        <v>1</v>
      </c>
      <c r="N122" s="15">
        <f>LCOE!R148+N121-N121*LCOE!K$25</f>
        <v>1</v>
      </c>
      <c r="O122" s="18">
        <f>LCOE!S148+LCOE!K$29</f>
        <v>313.75</v>
      </c>
      <c r="P122" s="12">
        <f>LCOE!T148+IF(A122&gt;=LCOE!K$30,100%,0%)</f>
        <v>1</v>
      </c>
      <c r="Q122" s="16">
        <f>LCOE!U148+O122/1000*IF(LCOE!K$14&gt;0,G122,H122)</f>
        <v>0</v>
      </c>
      <c r="R122" s="16">
        <f>LCOE!B148</f>
        <v>30</v>
      </c>
      <c r="S122" s="16">
        <f>LCOE!V148+Q122*P122*R122</f>
        <v>0</v>
      </c>
      <c r="T122" s="16">
        <f>LCOE!W148+LCOE!K$31</f>
        <v>0</v>
      </c>
      <c r="U122" s="16">
        <f>LCOE!X148+T122*IF(LCOE!K$14&gt;0,G122,H122)</f>
        <v>0</v>
      </c>
      <c r="V122" s="16">
        <f>LCOE!Y148+LCOE!K$32</f>
        <v>0</v>
      </c>
      <c r="W122" s="16">
        <f>LCOE!Z148+V122*IF(LCOE!K$14&gt;0,G122,H122)</f>
        <v>0</v>
      </c>
      <c r="X122" s="16">
        <f>LCOE!AA148+LCOE!K$34</f>
        <v>101</v>
      </c>
      <c r="Y122" s="16">
        <f t="shared" si="15"/>
        <v>0</v>
      </c>
      <c r="Z122" s="50">
        <f t="shared" si="18"/>
        <v>0</v>
      </c>
      <c r="AA122" s="50">
        <f t="shared" si="19"/>
        <v>0</v>
      </c>
      <c r="AB122" s="50">
        <f t="shared" si="20"/>
        <v>0</v>
      </c>
      <c r="AC122" s="50">
        <f t="shared" si="16"/>
        <v>0</v>
      </c>
      <c r="AD122" s="50">
        <f t="shared" si="25"/>
        <v>0</v>
      </c>
      <c r="AE122">
        <f t="shared" si="17"/>
        <v>30</v>
      </c>
      <c r="AF122" s="12">
        <f>LCOE!E148+LCOE!K$40</f>
        <v>0.14000000000000001</v>
      </c>
      <c r="AG122">
        <f t="shared" si="26"/>
        <v>910.02279180154835</v>
      </c>
      <c r="AH122" s="16">
        <f t="shared" si="21"/>
        <v>0</v>
      </c>
      <c r="AI122" s="16">
        <f t="shared" si="22"/>
        <v>0</v>
      </c>
      <c r="AJ122" s="16">
        <f t="shared" si="23"/>
        <v>0</v>
      </c>
      <c r="AK122" s="16">
        <f t="shared" si="24"/>
        <v>0</v>
      </c>
      <c r="AL122" s="16">
        <f t="shared" si="27"/>
        <v>0</v>
      </c>
      <c r="AM122" s="16">
        <f t="shared" si="14"/>
        <v>0</v>
      </c>
      <c r="AN122" s="16">
        <f>IF(LCOE!K$14&gt;0,G122,H122)/AG122</f>
        <v>0</v>
      </c>
    </row>
    <row r="123" spans="1:40">
      <c r="A123">
        <v>53</v>
      </c>
      <c r="C123" s="16">
        <f>LCOE!K149+IF(AND(LCOE!K$26&gt;0,A123&gt;=LCOE!K$26,A123&lt;=(LCOE!K$26+LCOE!K$27-1)),LCOE!K$42/LCOE!K$27,0)+IF(AND(D123=0,AE123&gt;=LCOE!K$16,COUNTIF(D98:D123,0)=LCOE!K$36),LCOE!K$35*LCOE!K$38,0)</f>
        <v>0</v>
      </c>
      <c r="D123" s="16">
        <f>IF(AE122&lt;LCOE!K$16,1,0)</f>
        <v>0</v>
      </c>
      <c r="E123" s="12">
        <f>LCOE!G149+IF(AND(A123&gt;=LCOE!K$26,A123&lt;=(LCOE!K$26+LCOE!K$27-1)),0,1)*IF(A123=LCOE!K$34,0,1)*D123</f>
        <v>0</v>
      </c>
      <c r="F123" s="12">
        <f>IF(F122&lt;LCOE!K$18,MIN(F122*(1+LCOE!K$19),LCOE!K$18),LCOE!K$18)+LCOE!J149</f>
        <v>0.9</v>
      </c>
      <c r="G123" s="16">
        <f>LCOE!K149+E123*F123*N123*(LCOE!K$14+LCOE!H149)*24*365*D123</f>
        <v>0</v>
      </c>
      <c r="H123" s="16">
        <f>LCOE!L149+F123*(LCOE!K$15+LCOE!I149)*E123*24*365*D123*N123</f>
        <v>0</v>
      </c>
      <c r="I123" s="16">
        <f>LCOE!M149+LCOE!K$20*IF(LCOE!K$14&gt;0,(LCOE!K$14+LCOE!H149),(LCOE!K$15+LCOE!I149))*K123*D123</f>
        <v>0</v>
      </c>
      <c r="J123" s="16">
        <f>LCOE!N149+LCOE!K$21*IF(LCOE!K$14&gt;0,G123,H123)*K123*D123</f>
        <v>0</v>
      </c>
      <c r="K123" s="15">
        <f>LCOE!O149+K122+K122*LCOE!K$22</f>
        <v>1</v>
      </c>
      <c r="L123" s="16">
        <f>LCOE!P149+LCOE!K$23*IF(LCOE!K$14&gt;0,G123,H123)*M123*D123</f>
        <v>0</v>
      </c>
      <c r="M123" s="15">
        <f>LCOE!Q149+M122+M122*LCOE!K$24</f>
        <v>1</v>
      </c>
      <c r="N123" s="15">
        <f>LCOE!R149+N122-N122*LCOE!K$25</f>
        <v>1</v>
      </c>
      <c r="O123" s="18">
        <f>LCOE!S149+LCOE!K$29</f>
        <v>313.75</v>
      </c>
      <c r="P123" s="12">
        <f>LCOE!T149+IF(A123&gt;=LCOE!K$30,100%,0%)</f>
        <v>1</v>
      </c>
      <c r="Q123" s="16">
        <f>LCOE!U149+O123/1000*IF(LCOE!K$14&gt;0,G123,H123)</f>
        <v>0</v>
      </c>
      <c r="R123" s="16">
        <f>LCOE!B149</f>
        <v>30</v>
      </c>
      <c r="S123" s="16">
        <f>LCOE!V149+Q123*P123*R123</f>
        <v>0</v>
      </c>
      <c r="T123" s="16">
        <f>LCOE!W149+LCOE!K$31</f>
        <v>0</v>
      </c>
      <c r="U123" s="16">
        <f>LCOE!X149+T123*IF(LCOE!K$14&gt;0,G123,H123)</f>
        <v>0</v>
      </c>
      <c r="V123" s="16">
        <f>LCOE!Y149+LCOE!K$32</f>
        <v>0</v>
      </c>
      <c r="W123" s="16">
        <f>LCOE!Z149+V123*IF(LCOE!K$14&gt;0,G123,H123)</f>
        <v>0</v>
      </c>
      <c r="X123" s="16">
        <f>LCOE!AA149+LCOE!K$34</f>
        <v>101</v>
      </c>
      <c r="Y123" s="16">
        <f t="shared" si="15"/>
        <v>0</v>
      </c>
      <c r="Z123" s="50">
        <f t="shared" si="18"/>
        <v>0</v>
      </c>
      <c r="AA123" s="50">
        <f t="shared" si="19"/>
        <v>0</v>
      </c>
      <c r="AB123" s="50">
        <f t="shared" si="20"/>
        <v>0</v>
      </c>
      <c r="AC123" s="50">
        <f t="shared" si="16"/>
        <v>0</v>
      </c>
      <c r="AD123" s="50">
        <f t="shared" si="25"/>
        <v>0</v>
      </c>
      <c r="AE123">
        <f t="shared" si="17"/>
        <v>30</v>
      </c>
      <c r="AF123" s="12">
        <f>LCOE!E149+LCOE!K$40</f>
        <v>0.14000000000000001</v>
      </c>
      <c r="AG123">
        <f t="shared" si="26"/>
        <v>1037.4259826537652</v>
      </c>
      <c r="AH123" s="16">
        <f t="shared" si="21"/>
        <v>0</v>
      </c>
      <c r="AI123" s="16">
        <f t="shared" si="22"/>
        <v>0</v>
      </c>
      <c r="AJ123" s="16">
        <f t="shared" si="23"/>
        <v>0</v>
      </c>
      <c r="AK123" s="16">
        <f t="shared" si="24"/>
        <v>0</v>
      </c>
      <c r="AL123" s="16">
        <f t="shared" si="27"/>
        <v>0</v>
      </c>
      <c r="AM123" s="16">
        <f t="shared" si="14"/>
        <v>0</v>
      </c>
      <c r="AN123" s="16">
        <f>IF(LCOE!K$14&gt;0,G123,H123)/AG123</f>
        <v>0</v>
      </c>
    </row>
    <row r="124" spans="1:40">
      <c r="A124">
        <v>54</v>
      </c>
      <c r="C124" s="16">
        <f>LCOE!K150+IF(AND(LCOE!K$26&gt;0,A124&gt;=LCOE!K$26,A124&lt;=(LCOE!K$26+LCOE!K$27-1)),LCOE!K$42/LCOE!K$27,0)+IF(AND(D124=0,AE124&gt;=LCOE!K$16,COUNTIF(D99:D124,0)=LCOE!K$36),LCOE!K$35*LCOE!K$38,0)</f>
        <v>0</v>
      </c>
      <c r="D124" s="16">
        <f>IF(AE123&lt;LCOE!K$16,1,0)</f>
        <v>0</v>
      </c>
      <c r="E124" s="12">
        <f>LCOE!G150+IF(AND(A124&gt;=LCOE!K$26,A124&lt;=(LCOE!K$26+LCOE!K$27-1)),0,1)*IF(A124=LCOE!K$34,0,1)*D124</f>
        <v>0</v>
      </c>
      <c r="F124" s="12">
        <f>IF(F123&lt;LCOE!K$18,MIN(F123*(1+LCOE!K$19),LCOE!K$18),LCOE!K$18)+LCOE!J150</f>
        <v>0.9</v>
      </c>
      <c r="G124" s="16">
        <f>LCOE!K150+E124*F124*N124*(LCOE!K$14+LCOE!H150)*24*365*D124</f>
        <v>0</v>
      </c>
      <c r="H124" s="16">
        <f>LCOE!L150+F124*(LCOE!K$15+LCOE!I150)*E124*24*365*D124*N124</f>
        <v>0</v>
      </c>
      <c r="I124" s="16">
        <f>LCOE!M150+LCOE!K$20*IF(LCOE!K$14&gt;0,(LCOE!K$14+LCOE!H150),(LCOE!K$15+LCOE!I150))*K124*D124</f>
        <v>0</v>
      </c>
      <c r="J124" s="16">
        <f>LCOE!N150+LCOE!K$21*IF(LCOE!K$14&gt;0,G124,H124)*K124*D124</f>
        <v>0</v>
      </c>
      <c r="K124" s="15">
        <f>LCOE!O150+K123+K123*LCOE!K$22</f>
        <v>1</v>
      </c>
      <c r="L124" s="16">
        <f>LCOE!P150+LCOE!K$23*IF(LCOE!K$14&gt;0,G124,H124)*M124*D124</f>
        <v>0</v>
      </c>
      <c r="M124" s="15">
        <f>LCOE!Q150+M123+M123*LCOE!K$24</f>
        <v>1</v>
      </c>
      <c r="N124" s="15">
        <f>LCOE!R150+N123-N123*LCOE!K$25</f>
        <v>1</v>
      </c>
      <c r="O124" s="18">
        <f>LCOE!S150+LCOE!K$29</f>
        <v>313.75</v>
      </c>
      <c r="P124" s="12">
        <f>LCOE!T150+IF(A124&gt;=LCOE!K$30,100%,0%)</f>
        <v>1</v>
      </c>
      <c r="Q124" s="16">
        <f>LCOE!U150+O124/1000*IF(LCOE!K$14&gt;0,G124,H124)</f>
        <v>0</v>
      </c>
      <c r="R124" s="16">
        <f>LCOE!B150</f>
        <v>30</v>
      </c>
      <c r="S124" s="16">
        <f>LCOE!V150+Q124*P124*R124</f>
        <v>0</v>
      </c>
      <c r="T124" s="16">
        <f>LCOE!W150+LCOE!K$31</f>
        <v>0</v>
      </c>
      <c r="U124" s="16">
        <f>LCOE!X150+T124*IF(LCOE!K$14&gt;0,G124,H124)</f>
        <v>0</v>
      </c>
      <c r="V124" s="16">
        <f>LCOE!Y150+LCOE!K$32</f>
        <v>0</v>
      </c>
      <c r="W124" s="16">
        <f>LCOE!Z150+V124*IF(LCOE!K$14&gt;0,G124,H124)</f>
        <v>0</v>
      </c>
      <c r="X124" s="16">
        <f>LCOE!AA150+LCOE!K$34</f>
        <v>101</v>
      </c>
      <c r="Y124" s="16">
        <f t="shared" si="15"/>
        <v>0</v>
      </c>
      <c r="Z124" s="50">
        <f t="shared" si="18"/>
        <v>0</v>
      </c>
      <c r="AA124" s="50">
        <f t="shared" si="19"/>
        <v>0</v>
      </c>
      <c r="AB124" s="50">
        <f t="shared" si="20"/>
        <v>0</v>
      </c>
      <c r="AC124" s="50">
        <f t="shared" si="16"/>
        <v>0</v>
      </c>
      <c r="AD124" s="50">
        <f t="shared" si="25"/>
        <v>0</v>
      </c>
      <c r="AE124">
        <f t="shared" si="17"/>
        <v>30</v>
      </c>
      <c r="AF124" s="12">
        <f>LCOE!E150+LCOE!K$40</f>
        <v>0.14000000000000001</v>
      </c>
      <c r="AG124">
        <f t="shared" si="26"/>
        <v>1182.6656202252923</v>
      </c>
      <c r="AH124" s="16">
        <f t="shared" si="21"/>
        <v>0</v>
      </c>
      <c r="AI124" s="16">
        <f t="shared" si="22"/>
        <v>0</v>
      </c>
      <c r="AJ124" s="16">
        <f t="shared" si="23"/>
        <v>0</v>
      </c>
      <c r="AK124" s="16">
        <f t="shared" si="24"/>
        <v>0</v>
      </c>
      <c r="AL124" s="16">
        <f t="shared" si="27"/>
        <v>0</v>
      </c>
      <c r="AM124" s="16">
        <f t="shared" si="14"/>
        <v>0</v>
      </c>
      <c r="AN124" s="16">
        <f>IF(LCOE!K$14&gt;0,G124,H124)/AG124</f>
        <v>0</v>
      </c>
    </row>
    <row r="125" spans="1:40">
      <c r="A125">
        <v>55</v>
      </c>
      <c r="C125" s="16">
        <f>LCOE!K151+IF(AND(LCOE!K$26&gt;0,A125&gt;=LCOE!K$26,A125&lt;=(LCOE!K$26+LCOE!K$27-1)),LCOE!K$42/LCOE!K$27,0)+IF(AND(D125=0,AE125&gt;=LCOE!K$16,COUNTIF(D100:D125,0)=LCOE!K$36),LCOE!K$35*LCOE!K$38,0)</f>
        <v>0</v>
      </c>
      <c r="D125" s="16">
        <f>IF(AE124&lt;LCOE!K$16,1,0)</f>
        <v>0</v>
      </c>
      <c r="E125" s="12">
        <f>LCOE!G151+IF(AND(A125&gt;=LCOE!K$26,A125&lt;=(LCOE!K$26+LCOE!K$27-1)),0,1)*IF(A125=LCOE!K$34,0,1)*D125</f>
        <v>0</v>
      </c>
      <c r="F125" s="12">
        <f>IF(F124&lt;LCOE!K$18,MIN(F124*(1+LCOE!K$19),LCOE!K$18),LCOE!K$18)+LCOE!J151</f>
        <v>0.9</v>
      </c>
      <c r="G125" s="16">
        <f>LCOE!K151+E125*F125*N125*(LCOE!K$14+LCOE!H151)*24*365*D125</f>
        <v>0</v>
      </c>
      <c r="H125" s="16">
        <f>LCOE!L151+F125*(LCOE!K$15+LCOE!I151)*E125*24*365*D125*N125</f>
        <v>0</v>
      </c>
      <c r="I125" s="16">
        <f>LCOE!M151+LCOE!K$20*IF(LCOE!K$14&gt;0,(LCOE!K$14+LCOE!H151),(LCOE!K$15+LCOE!I151))*K125*D125</f>
        <v>0</v>
      </c>
      <c r="J125" s="16">
        <f>LCOE!N151+LCOE!K$21*IF(LCOE!K$14&gt;0,G125,H125)*K125*D125</f>
        <v>0</v>
      </c>
      <c r="K125" s="15">
        <f>LCOE!O151+K124+K124*LCOE!K$22</f>
        <v>1</v>
      </c>
      <c r="L125" s="16">
        <f>LCOE!P151+LCOE!K$23*IF(LCOE!K$14&gt;0,G125,H125)*M125*D125</f>
        <v>0</v>
      </c>
      <c r="M125" s="15">
        <f>LCOE!Q151+M124+M124*LCOE!K$24</f>
        <v>1</v>
      </c>
      <c r="N125" s="15">
        <f>LCOE!R151+N124-N124*LCOE!K$25</f>
        <v>1</v>
      </c>
      <c r="O125" s="18">
        <f>LCOE!S151+LCOE!K$29</f>
        <v>313.75</v>
      </c>
      <c r="P125" s="12">
        <f>LCOE!T151+IF(A125&gt;=LCOE!K$30,100%,0%)</f>
        <v>1</v>
      </c>
      <c r="Q125" s="16">
        <f>LCOE!U151+O125/1000*IF(LCOE!K$14&gt;0,G125,H125)</f>
        <v>0</v>
      </c>
      <c r="R125" s="16">
        <f>LCOE!B151</f>
        <v>30</v>
      </c>
      <c r="S125" s="16">
        <f>LCOE!V151+Q125*P125*R125</f>
        <v>0</v>
      </c>
      <c r="T125" s="16">
        <f>LCOE!W151+LCOE!K$31</f>
        <v>0</v>
      </c>
      <c r="U125" s="16">
        <f>LCOE!X151+T125*IF(LCOE!K$14&gt;0,G125,H125)</f>
        <v>0</v>
      </c>
      <c r="V125" s="16">
        <f>LCOE!Y151+LCOE!K$32</f>
        <v>0</v>
      </c>
      <c r="W125" s="16">
        <f>LCOE!Z151+V125*IF(LCOE!K$14&gt;0,G125,H125)</f>
        <v>0</v>
      </c>
      <c r="X125" s="16">
        <f>LCOE!AA151+LCOE!K$34</f>
        <v>101</v>
      </c>
      <c r="Y125" s="16">
        <f t="shared" si="15"/>
        <v>0</v>
      </c>
      <c r="Z125" s="50">
        <f t="shared" si="18"/>
        <v>0</v>
      </c>
      <c r="AA125" s="50">
        <f t="shared" si="19"/>
        <v>0</v>
      </c>
      <c r="AB125" s="50">
        <f t="shared" si="20"/>
        <v>0</v>
      </c>
      <c r="AC125" s="50">
        <f t="shared" si="16"/>
        <v>0</v>
      </c>
      <c r="AD125" s="50">
        <f t="shared" si="25"/>
        <v>0</v>
      </c>
      <c r="AE125">
        <f t="shared" si="17"/>
        <v>30</v>
      </c>
      <c r="AF125" s="12">
        <f>LCOE!E151+LCOE!K$40</f>
        <v>0.14000000000000001</v>
      </c>
      <c r="AG125">
        <f t="shared" si="26"/>
        <v>1348.2388070568336</v>
      </c>
      <c r="AH125" s="16">
        <f t="shared" si="21"/>
        <v>0</v>
      </c>
      <c r="AI125" s="16">
        <f t="shared" si="22"/>
        <v>0</v>
      </c>
      <c r="AJ125" s="16">
        <f t="shared" si="23"/>
        <v>0</v>
      </c>
      <c r="AK125" s="16">
        <f t="shared" si="24"/>
        <v>0</v>
      </c>
      <c r="AL125" s="16">
        <f t="shared" si="27"/>
        <v>0</v>
      </c>
      <c r="AM125" s="16">
        <f t="shared" si="14"/>
        <v>0</v>
      </c>
      <c r="AN125" s="16">
        <f>IF(LCOE!K$14&gt;0,G125,H125)/AG125</f>
        <v>0</v>
      </c>
    </row>
    <row r="126" spans="1:40">
      <c r="A126">
        <v>56</v>
      </c>
      <c r="C126" s="16">
        <f>LCOE!K152+IF(AND(LCOE!K$26&gt;0,A126&gt;=LCOE!K$26,A126&lt;=(LCOE!K$26+LCOE!K$27-1)),LCOE!K$42/LCOE!K$27,0)+IF(AND(D126=0,AE126&gt;=LCOE!K$16,COUNTIF(D101:D126,0)=LCOE!K$36),LCOE!K$35*LCOE!K$38,0)</f>
        <v>0</v>
      </c>
      <c r="D126" s="16">
        <f>IF(AE125&lt;LCOE!K$16,1,0)</f>
        <v>0</v>
      </c>
      <c r="E126" s="12">
        <f>LCOE!G152+IF(AND(A126&gt;=LCOE!K$26,A126&lt;=(LCOE!K$26+LCOE!K$27-1)),0,1)*IF(A126=LCOE!K$34,0,1)*D126</f>
        <v>0</v>
      </c>
      <c r="F126" s="12">
        <f>IF(F125&lt;LCOE!K$18,MIN(F125*(1+LCOE!K$19),LCOE!K$18),LCOE!K$18)+LCOE!J152</f>
        <v>0.9</v>
      </c>
      <c r="G126" s="16">
        <f>LCOE!K152+E126*F126*N126*(LCOE!K$14+LCOE!H152)*24*365*D126</f>
        <v>0</v>
      </c>
      <c r="H126" s="16">
        <f>LCOE!L152+F126*(LCOE!K$15+LCOE!I152)*E126*24*365*D126*N126</f>
        <v>0</v>
      </c>
      <c r="I126" s="16">
        <f>LCOE!M152+LCOE!K$20*IF(LCOE!K$14&gt;0,(LCOE!K$14+LCOE!H152),(LCOE!K$15+LCOE!I152))*K126*D126</f>
        <v>0</v>
      </c>
      <c r="J126" s="16">
        <f>LCOE!N152+LCOE!K$21*IF(LCOE!K$14&gt;0,G126,H126)*K126*D126</f>
        <v>0</v>
      </c>
      <c r="K126" s="15">
        <f>LCOE!O152+K125+K125*LCOE!K$22</f>
        <v>1</v>
      </c>
      <c r="L126" s="16">
        <f>LCOE!P152+LCOE!K$23*IF(LCOE!K$14&gt;0,G126,H126)*M126*D126</f>
        <v>0</v>
      </c>
      <c r="M126" s="15">
        <f>LCOE!Q152+M125+M125*LCOE!K$24</f>
        <v>1</v>
      </c>
      <c r="N126" s="15">
        <f>LCOE!R152+N125-N125*LCOE!K$25</f>
        <v>1</v>
      </c>
      <c r="O126" s="18">
        <f>LCOE!S152+LCOE!K$29</f>
        <v>313.75</v>
      </c>
      <c r="P126" s="12">
        <f>LCOE!T152+IF(A126&gt;=LCOE!K$30,100%,0%)</f>
        <v>1</v>
      </c>
      <c r="Q126" s="16">
        <f>LCOE!U152+O126/1000*IF(LCOE!K$14&gt;0,G126,H126)</f>
        <v>0</v>
      </c>
      <c r="R126" s="16">
        <f>LCOE!B152</f>
        <v>30</v>
      </c>
      <c r="S126" s="16">
        <f>LCOE!V152+Q126*P126*R126</f>
        <v>0</v>
      </c>
      <c r="T126" s="16">
        <f>LCOE!W152+LCOE!K$31</f>
        <v>0</v>
      </c>
      <c r="U126" s="16">
        <f>LCOE!X152+T126*IF(LCOE!K$14&gt;0,G126,H126)</f>
        <v>0</v>
      </c>
      <c r="V126" s="16">
        <f>LCOE!Y152+LCOE!K$32</f>
        <v>0</v>
      </c>
      <c r="W126" s="16">
        <f>LCOE!Z152+V126*IF(LCOE!K$14&gt;0,G126,H126)</f>
        <v>0</v>
      </c>
      <c r="X126" s="16">
        <f>LCOE!AA152+LCOE!K$34</f>
        <v>101</v>
      </c>
      <c r="Y126" s="16">
        <f t="shared" si="15"/>
        <v>0</v>
      </c>
      <c r="Z126" s="50">
        <f t="shared" si="18"/>
        <v>0</v>
      </c>
      <c r="AA126" s="50">
        <f t="shared" si="19"/>
        <v>0</v>
      </c>
      <c r="AB126" s="50">
        <f t="shared" si="20"/>
        <v>0</v>
      </c>
      <c r="AC126" s="50">
        <f t="shared" si="16"/>
        <v>0</v>
      </c>
      <c r="AD126" s="50">
        <f t="shared" si="25"/>
        <v>0</v>
      </c>
      <c r="AE126">
        <f t="shared" si="17"/>
        <v>30</v>
      </c>
      <c r="AF126" s="12">
        <f>LCOE!E152+LCOE!K$40</f>
        <v>0.14000000000000001</v>
      </c>
      <c r="AG126">
        <f t="shared" si="26"/>
        <v>1536.9922400447906</v>
      </c>
      <c r="AH126" s="16">
        <f t="shared" si="21"/>
        <v>0</v>
      </c>
      <c r="AI126" s="16">
        <f t="shared" si="22"/>
        <v>0</v>
      </c>
      <c r="AJ126" s="16">
        <f t="shared" si="23"/>
        <v>0</v>
      </c>
      <c r="AK126" s="16">
        <f t="shared" si="24"/>
        <v>0</v>
      </c>
      <c r="AL126" s="16">
        <f t="shared" si="27"/>
        <v>0</v>
      </c>
      <c r="AM126" s="16">
        <f t="shared" si="14"/>
        <v>0</v>
      </c>
      <c r="AN126" s="16">
        <f>IF(LCOE!K$14&gt;0,G126,H126)/AG126</f>
        <v>0</v>
      </c>
    </row>
    <row r="127" spans="1:40">
      <c r="A127">
        <v>57</v>
      </c>
      <c r="C127" s="16">
        <f>LCOE!K153+IF(AND(LCOE!K$26&gt;0,A127&gt;=LCOE!K$26,A127&lt;=(LCOE!K$26+LCOE!K$27-1)),LCOE!K$42/LCOE!K$27,0)+IF(AND(D127=0,AE127&gt;=LCOE!K$16,COUNTIF(D102:D127,0)=LCOE!K$36),LCOE!K$35*LCOE!K$38,0)</f>
        <v>0</v>
      </c>
      <c r="D127" s="16">
        <f>IF(AE126&lt;LCOE!K$16,1,0)</f>
        <v>0</v>
      </c>
      <c r="E127" s="12">
        <f>LCOE!G153+IF(AND(A127&gt;=LCOE!K$26,A127&lt;=(LCOE!K$26+LCOE!K$27-1)),0,1)*IF(A127=LCOE!K$34,0,1)*D127</f>
        <v>0</v>
      </c>
      <c r="F127" s="12">
        <f>IF(F126&lt;LCOE!K$18,MIN(F126*(1+LCOE!K$19),LCOE!K$18),LCOE!K$18)+LCOE!J153</f>
        <v>0.9</v>
      </c>
      <c r="G127" s="16">
        <f>LCOE!K153+E127*F127*N127*(LCOE!K$14+LCOE!H153)*24*365*D127</f>
        <v>0</v>
      </c>
      <c r="H127" s="16">
        <f>LCOE!L153+F127*(LCOE!K$15+LCOE!I153)*E127*24*365*D127*N127</f>
        <v>0</v>
      </c>
      <c r="I127" s="16">
        <f>LCOE!M153+LCOE!K$20*IF(LCOE!K$14&gt;0,(LCOE!K$14+LCOE!H153),(LCOE!K$15+LCOE!I153))*K127*D127</f>
        <v>0</v>
      </c>
      <c r="J127" s="16">
        <f>LCOE!N153+LCOE!K$21*IF(LCOE!K$14&gt;0,G127,H127)*K127*D127</f>
        <v>0</v>
      </c>
      <c r="K127" s="15">
        <f>LCOE!O153+K126+K126*LCOE!K$22</f>
        <v>1</v>
      </c>
      <c r="L127" s="16">
        <f>LCOE!P153+LCOE!K$23*IF(LCOE!K$14&gt;0,G127,H127)*M127*D127</f>
        <v>0</v>
      </c>
      <c r="M127" s="15">
        <f>LCOE!Q153+M126+M126*LCOE!K$24</f>
        <v>1</v>
      </c>
      <c r="N127" s="15">
        <f>LCOE!R153+N126-N126*LCOE!K$25</f>
        <v>1</v>
      </c>
      <c r="O127" s="18">
        <f>LCOE!S153+LCOE!K$29</f>
        <v>313.75</v>
      </c>
      <c r="P127" s="12">
        <f>LCOE!T153+IF(A127&gt;=LCOE!K$30,100%,0%)</f>
        <v>1</v>
      </c>
      <c r="Q127" s="16">
        <f>LCOE!U153+O127/1000*IF(LCOE!K$14&gt;0,G127,H127)</f>
        <v>0</v>
      </c>
      <c r="R127" s="16">
        <f>LCOE!B153</f>
        <v>30</v>
      </c>
      <c r="S127" s="16">
        <f>LCOE!V153+Q127*P127*R127</f>
        <v>0</v>
      </c>
      <c r="T127" s="16">
        <f>LCOE!W153+LCOE!K$31</f>
        <v>0</v>
      </c>
      <c r="U127" s="16">
        <f>LCOE!X153+T127*IF(LCOE!K$14&gt;0,G127,H127)</f>
        <v>0</v>
      </c>
      <c r="V127" s="16">
        <f>LCOE!Y153+LCOE!K$32</f>
        <v>0</v>
      </c>
      <c r="W127" s="16">
        <f>LCOE!Z153+V127*IF(LCOE!K$14&gt;0,G127,H127)</f>
        <v>0</v>
      </c>
      <c r="X127" s="16">
        <f>LCOE!AA153+LCOE!K$34</f>
        <v>101</v>
      </c>
      <c r="Y127" s="16">
        <f t="shared" si="15"/>
        <v>0</v>
      </c>
      <c r="Z127" s="50">
        <f t="shared" si="18"/>
        <v>0</v>
      </c>
      <c r="AA127" s="50">
        <f t="shared" si="19"/>
        <v>0</v>
      </c>
      <c r="AB127" s="50">
        <f t="shared" si="20"/>
        <v>0</v>
      </c>
      <c r="AC127" s="50">
        <f t="shared" si="16"/>
        <v>0</v>
      </c>
      <c r="AD127" s="50">
        <f t="shared" si="25"/>
        <v>0</v>
      </c>
      <c r="AE127">
        <f t="shared" si="17"/>
        <v>30</v>
      </c>
      <c r="AF127" s="12">
        <f>LCOE!E153+LCOE!K$40</f>
        <v>0.14000000000000001</v>
      </c>
      <c r="AG127">
        <f t="shared" si="26"/>
        <v>1752.1711536510613</v>
      </c>
      <c r="AH127" s="16">
        <f t="shared" si="21"/>
        <v>0</v>
      </c>
      <c r="AI127" s="16">
        <f t="shared" si="22"/>
        <v>0</v>
      </c>
      <c r="AJ127" s="16">
        <f t="shared" si="23"/>
        <v>0</v>
      </c>
      <c r="AK127" s="16">
        <f t="shared" si="24"/>
        <v>0</v>
      </c>
      <c r="AL127" s="16">
        <f t="shared" si="27"/>
        <v>0</v>
      </c>
      <c r="AM127" s="16">
        <f t="shared" si="14"/>
        <v>0</v>
      </c>
      <c r="AN127" s="16">
        <f>IF(LCOE!K$14&gt;0,G127,H127)/AG127</f>
        <v>0</v>
      </c>
    </row>
    <row r="128" spans="1:40">
      <c r="A128">
        <v>58</v>
      </c>
      <c r="C128" s="16">
        <f>LCOE!K154+IF(AND(LCOE!K$26&gt;0,A128&gt;=LCOE!K$26,A128&lt;=(LCOE!K$26+LCOE!K$27-1)),LCOE!K$42/LCOE!K$27,0)+IF(AND(D128=0,AE128&gt;=LCOE!K$16,COUNTIF(D103:D128,0)=LCOE!K$36),LCOE!K$35*LCOE!K$38,0)</f>
        <v>0</v>
      </c>
      <c r="D128" s="16">
        <f>IF(AE127&lt;LCOE!K$16,1,0)</f>
        <v>0</v>
      </c>
      <c r="E128" s="12">
        <f>LCOE!G154+IF(AND(A128&gt;=LCOE!K$26,A128&lt;=(LCOE!K$26+LCOE!K$27-1)),0,1)*IF(A128=LCOE!K$34,0,1)*D128</f>
        <v>0</v>
      </c>
      <c r="F128" s="12">
        <f>IF(F127&lt;LCOE!K$18,MIN(F127*(1+LCOE!K$19),LCOE!K$18),LCOE!K$18)+LCOE!J154</f>
        <v>0.9</v>
      </c>
      <c r="G128" s="16">
        <f>LCOE!K154+E128*F128*N128*(LCOE!K$14+LCOE!H154)*24*365*D128</f>
        <v>0</v>
      </c>
      <c r="H128" s="16">
        <f>LCOE!L154+F128*(LCOE!K$15+LCOE!I154)*E128*24*365*D128*N128</f>
        <v>0</v>
      </c>
      <c r="I128" s="16">
        <f>LCOE!M154+LCOE!K$20*IF(LCOE!K$14&gt;0,(LCOE!K$14+LCOE!H154),(LCOE!K$15+LCOE!I154))*K128*D128</f>
        <v>0</v>
      </c>
      <c r="J128" s="16">
        <f>LCOE!N154+LCOE!K$21*IF(LCOE!K$14&gt;0,G128,H128)*K128*D128</f>
        <v>0</v>
      </c>
      <c r="K128" s="15">
        <f>LCOE!O154+K127+K127*LCOE!K$22</f>
        <v>1</v>
      </c>
      <c r="L128" s="16">
        <f>LCOE!P154+LCOE!K$23*IF(LCOE!K$14&gt;0,G128,H128)*M128*D128</f>
        <v>0</v>
      </c>
      <c r="M128" s="15">
        <f>LCOE!Q154+M127+M127*LCOE!K$24</f>
        <v>1</v>
      </c>
      <c r="N128" s="15">
        <f>LCOE!R154+N127-N127*LCOE!K$25</f>
        <v>1</v>
      </c>
      <c r="O128" s="18">
        <f>LCOE!S154+LCOE!K$29</f>
        <v>313.75</v>
      </c>
      <c r="P128" s="12">
        <f>LCOE!T154+IF(A128&gt;=LCOE!K$30,100%,0%)</f>
        <v>1</v>
      </c>
      <c r="Q128" s="16">
        <f>LCOE!U154+O128/1000*IF(LCOE!K$14&gt;0,G128,H128)</f>
        <v>0</v>
      </c>
      <c r="R128" s="16">
        <f>LCOE!B154</f>
        <v>30</v>
      </c>
      <c r="S128" s="16">
        <f>LCOE!V154+Q128*P128*R128</f>
        <v>0</v>
      </c>
      <c r="T128" s="16">
        <f>LCOE!W154+LCOE!K$31</f>
        <v>0</v>
      </c>
      <c r="U128" s="16">
        <f>LCOE!X154+T128*IF(LCOE!K$14&gt;0,G128,H128)</f>
        <v>0</v>
      </c>
      <c r="V128" s="16">
        <f>LCOE!Y154+LCOE!K$32</f>
        <v>0</v>
      </c>
      <c r="W128" s="16">
        <f>LCOE!Z154+V128*IF(LCOE!K$14&gt;0,G128,H128)</f>
        <v>0</v>
      </c>
      <c r="X128" s="16">
        <f>LCOE!AA154+LCOE!K$34</f>
        <v>101</v>
      </c>
      <c r="Y128" s="16">
        <f t="shared" si="15"/>
        <v>0</v>
      </c>
      <c r="Z128" s="50">
        <f t="shared" si="18"/>
        <v>0</v>
      </c>
      <c r="AA128" s="50">
        <f t="shared" si="19"/>
        <v>0</v>
      </c>
      <c r="AB128" s="50">
        <f t="shared" si="20"/>
        <v>0</v>
      </c>
      <c r="AC128" s="50">
        <f t="shared" si="16"/>
        <v>0</v>
      </c>
      <c r="AD128" s="50">
        <f t="shared" si="25"/>
        <v>0</v>
      </c>
      <c r="AE128">
        <f t="shared" si="17"/>
        <v>30</v>
      </c>
      <c r="AF128" s="12">
        <f>LCOE!E154+LCOE!K$40</f>
        <v>0.14000000000000001</v>
      </c>
      <c r="AG128">
        <f t="shared" si="26"/>
        <v>1997.4751151622102</v>
      </c>
      <c r="AH128" s="16">
        <f t="shared" si="21"/>
        <v>0</v>
      </c>
      <c r="AI128" s="16">
        <f t="shared" si="22"/>
        <v>0</v>
      </c>
      <c r="AJ128" s="16">
        <f t="shared" si="23"/>
        <v>0</v>
      </c>
      <c r="AK128" s="16">
        <f t="shared" si="24"/>
        <v>0</v>
      </c>
      <c r="AL128" s="16">
        <f t="shared" si="27"/>
        <v>0</v>
      </c>
      <c r="AM128" s="16">
        <f t="shared" si="14"/>
        <v>0</v>
      </c>
      <c r="AN128" s="16">
        <f>IF(LCOE!K$14&gt;0,G128,H128)/AG128</f>
        <v>0</v>
      </c>
    </row>
    <row r="129" spans="1:40">
      <c r="A129">
        <v>59</v>
      </c>
      <c r="C129" s="16">
        <f>LCOE!K155+IF(AND(LCOE!K$26&gt;0,A129&gt;=LCOE!K$26,A129&lt;=(LCOE!K$26+LCOE!K$27-1)),LCOE!K$42/LCOE!K$27,0)+IF(AND(D129=0,AE129&gt;=LCOE!K$16,COUNTIF(D104:D129,0)=LCOE!K$36),LCOE!K$35*LCOE!K$38,0)</f>
        <v>0</v>
      </c>
      <c r="D129" s="16">
        <f>IF(AE128&lt;LCOE!K$16,1,0)</f>
        <v>0</v>
      </c>
      <c r="E129" s="12">
        <f>LCOE!G155+IF(AND(A129&gt;=LCOE!K$26,A129&lt;=(LCOE!K$26+LCOE!K$27-1)),0,1)*IF(A129=LCOE!K$34,0,1)*D129</f>
        <v>0</v>
      </c>
      <c r="F129" s="12">
        <f>IF(F128&lt;LCOE!K$18,MIN(F128*(1+LCOE!K$19),LCOE!K$18),LCOE!K$18)+LCOE!J155</f>
        <v>0.9</v>
      </c>
      <c r="G129" s="16">
        <f>LCOE!K155+E129*F129*N129*(LCOE!K$14+LCOE!H155)*24*365*D129</f>
        <v>0</v>
      </c>
      <c r="H129" s="16">
        <f>LCOE!L155+F129*(LCOE!K$15+LCOE!I155)*E129*24*365*D129*N129</f>
        <v>0</v>
      </c>
      <c r="I129" s="16">
        <f>LCOE!M155+LCOE!K$20*IF(LCOE!K$14&gt;0,(LCOE!K$14+LCOE!H155),(LCOE!K$15+LCOE!I155))*K129*D129</f>
        <v>0</v>
      </c>
      <c r="J129" s="16">
        <f>LCOE!N155+LCOE!K$21*IF(LCOE!K$14&gt;0,G129,H129)*K129*D129</f>
        <v>0</v>
      </c>
      <c r="K129" s="15">
        <f>LCOE!O155+K128+K128*LCOE!K$22</f>
        <v>1</v>
      </c>
      <c r="L129" s="16">
        <f>LCOE!P155+LCOE!K$23*IF(LCOE!K$14&gt;0,G129,H129)*M129*D129</f>
        <v>0</v>
      </c>
      <c r="M129" s="15">
        <f>LCOE!Q155+M128+M128*LCOE!K$24</f>
        <v>1</v>
      </c>
      <c r="N129" s="15">
        <f>LCOE!R155+N128-N128*LCOE!K$25</f>
        <v>1</v>
      </c>
      <c r="O129" s="18">
        <f>LCOE!S155+LCOE!K$29</f>
        <v>313.75</v>
      </c>
      <c r="P129" s="12">
        <f>LCOE!T155+IF(A129&gt;=LCOE!K$30,100%,0%)</f>
        <v>1</v>
      </c>
      <c r="Q129" s="16">
        <f>LCOE!U155+O129/1000*IF(LCOE!K$14&gt;0,G129,H129)</f>
        <v>0</v>
      </c>
      <c r="R129" s="16">
        <f>LCOE!B155</f>
        <v>30</v>
      </c>
      <c r="S129" s="16">
        <f>LCOE!V155+Q129*P129*R129</f>
        <v>0</v>
      </c>
      <c r="T129" s="16">
        <f>LCOE!W155+LCOE!K$31</f>
        <v>0</v>
      </c>
      <c r="U129" s="16">
        <f>LCOE!X155+T129*IF(LCOE!K$14&gt;0,G129,H129)</f>
        <v>0</v>
      </c>
      <c r="V129" s="16">
        <f>LCOE!Y155+LCOE!K$32</f>
        <v>0</v>
      </c>
      <c r="W129" s="16">
        <f>LCOE!Z155+V129*IF(LCOE!K$14&gt;0,G129,H129)</f>
        <v>0</v>
      </c>
      <c r="X129" s="16">
        <f>LCOE!AA155+LCOE!K$34</f>
        <v>101</v>
      </c>
      <c r="Y129" s="16">
        <f t="shared" si="15"/>
        <v>0</v>
      </c>
      <c r="Z129" s="50">
        <f t="shared" si="18"/>
        <v>0</v>
      </c>
      <c r="AA129" s="50">
        <f t="shared" si="19"/>
        <v>0</v>
      </c>
      <c r="AB129" s="50">
        <f t="shared" si="20"/>
        <v>0</v>
      </c>
      <c r="AC129" s="50">
        <f t="shared" si="16"/>
        <v>0</v>
      </c>
      <c r="AD129" s="50">
        <f t="shared" si="25"/>
        <v>0</v>
      </c>
      <c r="AE129">
        <f t="shared" si="17"/>
        <v>30</v>
      </c>
      <c r="AF129" s="12">
        <f>LCOE!E155+LCOE!K$40</f>
        <v>0.14000000000000001</v>
      </c>
      <c r="AG129">
        <f t="shared" si="26"/>
        <v>2277.1216312849197</v>
      </c>
      <c r="AH129" s="16">
        <f t="shared" si="21"/>
        <v>0</v>
      </c>
      <c r="AI129" s="16">
        <f t="shared" si="22"/>
        <v>0</v>
      </c>
      <c r="AJ129" s="16">
        <f t="shared" si="23"/>
        <v>0</v>
      </c>
      <c r="AK129" s="16">
        <f t="shared" si="24"/>
        <v>0</v>
      </c>
      <c r="AL129" s="16">
        <f t="shared" si="27"/>
        <v>0</v>
      </c>
      <c r="AM129" s="16">
        <f t="shared" si="14"/>
        <v>0</v>
      </c>
      <c r="AN129" s="16">
        <f>IF(LCOE!K$14&gt;0,G129,H129)/AG129</f>
        <v>0</v>
      </c>
    </row>
    <row r="130" spans="1:40">
      <c r="A130">
        <v>60</v>
      </c>
      <c r="C130" s="16">
        <f>LCOE!K156+IF(AND(LCOE!K$26&gt;0,A130&gt;=LCOE!K$26,A130&lt;=(LCOE!K$26+LCOE!K$27-1)),LCOE!K$42/LCOE!K$27,0)+IF(AND(D130=0,AE130&gt;=LCOE!K$16,COUNTIF(D105:D130,0)=LCOE!K$36),LCOE!K$35*LCOE!K$38,0)</f>
        <v>0</v>
      </c>
      <c r="D130" s="16">
        <f>IF(AE129&lt;LCOE!K$16,1,0)</f>
        <v>0</v>
      </c>
      <c r="E130" s="12">
        <f>LCOE!G156+IF(AND(A130&gt;=LCOE!K$26,A130&lt;=(LCOE!K$26+LCOE!K$27-1)),0,1)*IF(A130=LCOE!K$34,0,1)*D130</f>
        <v>0</v>
      </c>
      <c r="F130" s="12">
        <f>IF(F129&lt;LCOE!K$18,MIN(F129*(1+LCOE!K$19),LCOE!K$18),LCOE!K$18)+LCOE!J156</f>
        <v>0.9</v>
      </c>
      <c r="G130" s="16">
        <f>LCOE!K156+E130*F130*N130*(LCOE!K$14+LCOE!H156)*24*365*D130</f>
        <v>0</v>
      </c>
      <c r="H130" s="16">
        <f>LCOE!L156+F130*(LCOE!K$15+LCOE!I156)*E130*24*365*D130*N130</f>
        <v>0</v>
      </c>
      <c r="I130" s="16">
        <f>LCOE!M156+LCOE!K$20*IF(LCOE!K$14&gt;0,(LCOE!K$14+LCOE!H156),(LCOE!K$15+LCOE!I156))*K130*D130</f>
        <v>0</v>
      </c>
      <c r="J130" s="16">
        <f>LCOE!N156+LCOE!K$21*IF(LCOE!K$14&gt;0,G130,H130)*K130*D130</f>
        <v>0</v>
      </c>
      <c r="K130" s="15">
        <f>LCOE!O156+K129+K129*LCOE!K$22</f>
        <v>1</v>
      </c>
      <c r="L130" s="16">
        <f>LCOE!P156+LCOE!K$23*IF(LCOE!K$14&gt;0,G130,H130)*M130*D130</f>
        <v>0</v>
      </c>
      <c r="M130" s="15">
        <f>LCOE!Q156+M129+M129*LCOE!K$24</f>
        <v>1</v>
      </c>
      <c r="N130" s="15">
        <f>LCOE!R156+N129-N129*LCOE!K$25</f>
        <v>1</v>
      </c>
      <c r="O130" s="18">
        <f>LCOE!S156+LCOE!K$29</f>
        <v>313.75</v>
      </c>
      <c r="P130" s="12">
        <f>LCOE!T156+IF(A130&gt;=LCOE!K$30,100%,0%)</f>
        <v>1</v>
      </c>
      <c r="Q130" s="16">
        <f>LCOE!U156+O130/1000*IF(LCOE!K$14&gt;0,G130,H130)</f>
        <v>0</v>
      </c>
      <c r="R130" s="16">
        <f>LCOE!B156</f>
        <v>30</v>
      </c>
      <c r="S130" s="16">
        <f>LCOE!V156+Q130*P130*R130</f>
        <v>0</v>
      </c>
      <c r="T130" s="16">
        <f>LCOE!W156+LCOE!K$31</f>
        <v>0</v>
      </c>
      <c r="U130" s="16">
        <f>LCOE!X156+T130*IF(LCOE!K$14&gt;0,G130,H130)</f>
        <v>0</v>
      </c>
      <c r="V130" s="16">
        <f>LCOE!Y156+LCOE!K$32</f>
        <v>0</v>
      </c>
      <c r="W130" s="16">
        <f>LCOE!Z156+V130*IF(LCOE!K$14&gt;0,G130,H130)</f>
        <v>0</v>
      </c>
      <c r="X130" s="16">
        <f>LCOE!AA156+LCOE!K$34</f>
        <v>101</v>
      </c>
      <c r="Y130" s="16">
        <f t="shared" si="15"/>
        <v>0</v>
      </c>
      <c r="Z130" s="50">
        <f t="shared" si="18"/>
        <v>0</v>
      </c>
      <c r="AA130" s="50">
        <f t="shared" si="19"/>
        <v>0</v>
      </c>
      <c r="AB130" s="50">
        <f t="shared" si="20"/>
        <v>0</v>
      </c>
      <c r="AC130" s="50">
        <f t="shared" si="16"/>
        <v>0</v>
      </c>
      <c r="AD130" s="50">
        <f t="shared" si="25"/>
        <v>0</v>
      </c>
      <c r="AE130">
        <f t="shared" si="17"/>
        <v>30</v>
      </c>
      <c r="AF130" s="12">
        <f>LCOE!E156+LCOE!K$40</f>
        <v>0.14000000000000001</v>
      </c>
      <c r="AG130">
        <f t="shared" si="26"/>
        <v>2595.9186596648092</v>
      </c>
      <c r="AH130" s="16">
        <f t="shared" si="21"/>
        <v>0</v>
      </c>
      <c r="AI130" s="16">
        <f t="shared" si="22"/>
        <v>0</v>
      </c>
      <c r="AJ130" s="16">
        <f t="shared" si="23"/>
        <v>0</v>
      </c>
      <c r="AK130" s="16">
        <f t="shared" si="24"/>
        <v>0</v>
      </c>
      <c r="AL130" s="16">
        <f t="shared" si="27"/>
        <v>0</v>
      </c>
      <c r="AM130" s="16">
        <f t="shared" si="14"/>
        <v>0</v>
      </c>
      <c r="AN130" s="16">
        <f>IF(LCOE!K$14&gt;0,G130,H130)/AG130</f>
        <v>0</v>
      </c>
    </row>
    <row r="131" spans="1:40">
      <c r="A131">
        <v>61</v>
      </c>
      <c r="C131" s="16">
        <f>LCOE!K157+IF(AND(LCOE!K$26&gt;0,A131&gt;=LCOE!K$26,A131&lt;=(LCOE!K$26+LCOE!K$27-1)),LCOE!K$42/LCOE!K$27,0)+IF(AND(D131=0,AE131&gt;=LCOE!K$16,COUNTIF(D106:D131,0)=LCOE!K$36),LCOE!K$35*LCOE!K$38,0)</f>
        <v>0</v>
      </c>
      <c r="D131" s="16">
        <f>IF(AE130&lt;LCOE!K$16,1,0)</f>
        <v>0</v>
      </c>
      <c r="E131" s="12">
        <f>LCOE!G157+IF(AND(A131&gt;=LCOE!K$26,A131&lt;=(LCOE!K$26+LCOE!K$27-1)),0,1)*IF(A131=LCOE!K$34,0,1)*D131</f>
        <v>0</v>
      </c>
      <c r="F131" s="12">
        <f>IF(F130&lt;LCOE!K$18,MIN(F130*(1+LCOE!K$19),LCOE!K$18),LCOE!K$18)+LCOE!J157</f>
        <v>0.9</v>
      </c>
      <c r="G131" s="16">
        <f>LCOE!K157+E131*F131*N131*(LCOE!K$14+LCOE!H157)*24*365*D131</f>
        <v>0</v>
      </c>
      <c r="H131" s="16">
        <f>LCOE!L157+F131*(LCOE!K$15+LCOE!I157)*E131*24*365*D131*N131</f>
        <v>0</v>
      </c>
      <c r="I131" s="16">
        <f>LCOE!M157+LCOE!K$20*IF(LCOE!K$14&gt;0,(LCOE!K$14+LCOE!H157),(LCOE!K$15+LCOE!I157))*K131*D131</f>
        <v>0</v>
      </c>
      <c r="J131" s="16">
        <f>LCOE!N157+LCOE!K$21*IF(LCOE!K$14&gt;0,G131,H131)*K131*D131</f>
        <v>0</v>
      </c>
      <c r="K131" s="15">
        <f>LCOE!O157+K130+K130*LCOE!K$22</f>
        <v>1</v>
      </c>
      <c r="L131" s="16">
        <f>LCOE!P157+LCOE!K$23*IF(LCOE!K$14&gt;0,G131,H131)*M131*D131</f>
        <v>0</v>
      </c>
      <c r="M131" s="15">
        <f>LCOE!Q157+M130+M130*LCOE!K$24</f>
        <v>1</v>
      </c>
      <c r="N131" s="15">
        <f>LCOE!R157+N130-N130*LCOE!K$25</f>
        <v>1</v>
      </c>
      <c r="O131" s="18">
        <f>LCOE!S157+LCOE!K$29</f>
        <v>313.75</v>
      </c>
      <c r="P131" s="12">
        <f>LCOE!T157+IF(A131&gt;=LCOE!K$30,100%,0%)</f>
        <v>1</v>
      </c>
      <c r="Q131" s="16">
        <f>LCOE!U157+O131/1000*IF(LCOE!K$14&gt;0,G131,H131)</f>
        <v>0</v>
      </c>
      <c r="R131" s="16">
        <f>LCOE!B157</f>
        <v>30</v>
      </c>
      <c r="S131" s="16">
        <f>LCOE!V157+Q131*P131*R131</f>
        <v>0</v>
      </c>
      <c r="T131" s="16">
        <f>LCOE!W157+LCOE!K$31</f>
        <v>0</v>
      </c>
      <c r="U131" s="16">
        <f>LCOE!X157+T131*IF(LCOE!K$14&gt;0,G131,H131)</f>
        <v>0</v>
      </c>
      <c r="V131" s="16">
        <f>LCOE!Y157+LCOE!K$32</f>
        <v>0</v>
      </c>
      <c r="W131" s="16">
        <f>LCOE!Z157+V131*IF(LCOE!K$14&gt;0,G131,H131)</f>
        <v>0</v>
      </c>
      <c r="X131" s="16">
        <f>LCOE!AA157+LCOE!K$34</f>
        <v>101</v>
      </c>
      <c r="Y131" s="16">
        <f t="shared" si="15"/>
        <v>0</v>
      </c>
      <c r="Z131" s="50">
        <f t="shared" si="18"/>
        <v>0</v>
      </c>
      <c r="AA131" s="50">
        <f t="shared" si="19"/>
        <v>0</v>
      </c>
      <c r="AB131" s="50">
        <f t="shared" si="20"/>
        <v>0</v>
      </c>
      <c r="AC131" s="50">
        <f t="shared" si="16"/>
        <v>0</v>
      </c>
      <c r="AD131" s="50">
        <f t="shared" si="25"/>
        <v>0</v>
      </c>
      <c r="AE131">
        <f t="shared" si="17"/>
        <v>30</v>
      </c>
      <c r="AF131" s="12">
        <f>LCOE!E157+LCOE!K$40</f>
        <v>0.14000000000000001</v>
      </c>
      <c r="AG131">
        <f t="shared" si="26"/>
        <v>2959.3472720178825</v>
      </c>
      <c r="AH131" s="16">
        <f t="shared" si="21"/>
        <v>0</v>
      </c>
      <c r="AI131" s="16">
        <f t="shared" si="22"/>
        <v>0</v>
      </c>
      <c r="AJ131" s="16">
        <f t="shared" si="23"/>
        <v>0</v>
      </c>
      <c r="AK131" s="16">
        <f t="shared" si="24"/>
        <v>0</v>
      </c>
      <c r="AL131" s="16">
        <f t="shared" si="27"/>
        <v>0</v>
      </c>
      <c r="AM131" s="16">
        <f t="shared" si="14"/>
        <v>0</v>
      </c>
      <c r="AN131" s="16">
        <f>IF(LCOE!K$14&gt;0,G131,H131)/AG131</f>
        <v>0</v>
      </c>
    </row>
    <row r="132" spans="1:40">
      <c r="A132">
        <v>62</v>
      </c>
      <c r="C132" s="16">
        <f>LCOE!K158+IF(AND(LCOE!K$26&gt;0,A132&gt;=LCOE!K$26,A132&lt;=(LCOE!K$26+LCOE!K$27-1)),LCOE!K$42/LCOE!K$27,0)+IF(AND(D132=0,AE132&gt;=LCOE!K$16,COUNTIF(D107:D132,0)=LCOE!K$36),LCOE!K$35*LCOE!K$38,0)</f>
        <v>0</v>
      </c>
      <c r="D132" s="16">
        <f>IF(AE131&lt;LCOE!K$16,1,0)</f>
        <v>0</v>
      </c>
      <c r="E132" s="12">
        <f>LCOE!G158+IF(AND(A132&gt;=LCOE!K$26,A132&lt;=(LCOE!K$26+LCOE!K$27-1)),0,1)*IF(A132=LCOE!K$34,0,1)*D132</f>
        <v>0</v>
      </c>
      <c r="F132" s="12">
        <f>IF(F131&lt;LCOE!K$18,MIN(F131*(1+LCOE!K$19),LCOE!K$18),LCOE!K$18)+LCOE!J158</f>
        <v>0.9</v>
      </c>
      <c r="G132" s="16">
        <f>LCOE!K158+E132*F132*N132*(LCOE!K$14+LCOE!H158)*24*365*D132</f>
        <v>0</v>
      </c>
      <c r="H132" s="16">
        <f>LCOE!L158+F132*(LCOE!K$15+LCOE!I158)*E132*24*365*D132*N132</f>
        <v>0</v>
      </c>
      <c r="I132" s="16">
        <f>LCOE!M158+LCOE!K$20*IF(LCOE!K$14&gt;0,(LCOE!K$14+LCOE!H158),(LCOE!K$15+LCOE!I158))*K132*D132</f>
        <v>0</v>
      </c>
      <c r="J132" s="16">
        <f>LCOE!N158+LCOE!K$21*IF(LCOE!K$14&gt;0,G132,H132)*K132*D132</f>
        <v>0</v>
      </c>
      <c r="K132" s="15">
        <f>LCOE!O158+K131+K131*LCOE!K$22</f>
        <v>1</v>
      </c>
      <c r="L132" s="16">
        <f>LCOE!P158+LCOE!K$23*IF(LCOE!K$14&gt;0,G132,H132)*M132*D132</f>
        <v>0</v>
      </c>
      <c r="M132" s="15">
        <f>LCOE!Q158+M131+M131*LCOE!K$24</f>
        <v>1</v>
      </c>
      <c r="N132" s="15">
        <f>LCOE!R158+N131-N131*LCOE!K$25</f>
        <v>1</v>
      </c>
      <c r="O132" s="18">
        <f>LCOE!S158+LCOE!K$29</f>
        <v>313.75</v>
      </c>
      <c r="P132" s="12">
        <f>LCOE!T158+IF(A132&gt;=LCOE!K$30,100%,0%)</f>
        <v>1</v>
      </c>
      <c r="Q132" s="16">
        <f>LCOE!U158+O132/1000*IF(LCOE!K$14&gt;0,G132,H132)</f>
        <v>0</v>
      </c>
      <c r="R132" s="16">
        <f>LCOE!B158</f>
        <v>30</v>
      </c>
      <c r="S132" s="16">
        <f>LCOE!V158+Q132*P132*R132</f>
        <v>0</v>
      </c>
      <c r="T132" s="16">
        <f>LCOE!W158+LCOE!K$31</f>
        <v>0</v>
      </c>
      <c r="U132" s="16">
        <f>LCOE!X158+T132*IF(LCOE!K$14&gt;0,G132,H132)</f>
        <v>0</v>
      </c>
      <c r="V132" s="16">
        <f>LCOE!Y158+LCOE!K$32</f>
        <v>0</v>
      </c>
      <c r="W132" s="16">
        <f>LCOE!Z158+V132*IF(LCOE!K$14&gt;0,G132,H132)</f>
        <v>0</v>
      </c>
      <c r="X132" s="16">
        <f>LCOE!AA158+LCOE!K$34</f>
        <v>101</v>
      </c>
      <c r="Y132" s="16">
        <f t="shared" si="15"/>
        <v>0</v>
      </c>
      <c r="Z132" s="50">
        <f t="shared" si="18"/>
        <v>0</v>
      </c>
      <c r="AA132" s="50">
        <f t="shared" si="19"/>
        <v>0</v>
      </c>
      <c r="AB132" s="50">
        <f t="shared" si="20"/>
        <v>0</v>
      </c>
      <c r="AC132" s="50">
        <f t="shared" si="16"/>
        <v>0</v>
      </c>
      <c r="AD132" s="50">
        <f t="shared" si="25"/>
        <v>0</v>
      </c>
      <c r="AE132">
        <f t="shared" si="17"/>
        <v>30</v>
      </c>
      <c r="AF132" s="12">
        <f>LCOE!E158+LCOE!K$40</f>
        <v>0.14000000000000001</v>
      </c>
      <c r="AG132">
        <f t="shared" si="26"/>
        <v>3373.6558901003864</v>
      </c>
      <c r="AH132" s="16">
        <f t="shared" si="21"/>
        <v>0</v>
      </c>
      <c r="AI132" s="16">
        <f t="shared" si="22"/>
        <v>0</v>
      </c>
      <c r="AJ132" s="16">
        <f t="shared" si="23"/>
        <v>0</v>
      </c>
      <c r="AK132" s="16">
        <f t="shared" si="24"/>
        <v>0</v>
      </c>
      <c r="AL132" s="16">
        <f t="shared" si="27"/>
        <v>0</v>
      </c>
      <c r="AM132" s="16">
        <f t="shared" si="14"/>
        <v>0</v>
      </c>
      <c r="AN132" s="16">
        <f>IF(LCOE!K$14&gt;0,G132,H132)/AG132</f>
        <v>0</v>
      </c>
    </row>
    <row r="133" spans="1:40">
      <c r="A133">
        <v>63</v>
      </c>
      <c r="C133" s="16">
        <f>LCOE!K159+IF(AND(LCOE!K$26&gt;0,A133&gt;=LCOE!K$26,A133&lt;=(LCOE!K$26+LCOE!K$27-1)),LCOE!K$42/LCOE!K$27,0)+IF(AND(D133=0,AE133&gt;=LCOE!K$16,COUNTIF(D108:D133,0)=LCOE!K$36),LCOE!K$35*LCOE!K$38,0)</f>
        <v>0</v>
      </c>
      <c r="D133" s="16">
        <f>IF(AE132&lt;LCOE!K$16,1,0)</f>
        <v>0</v>
      </c>
      <c r="E133" s="12">
        <f>LCOE!G159+IF(AND(A133&gt;=LCOE!K$26,A133&lt;=(LCOE!K$26+LCOE!K$27-1)),0,1)*IF(A133=LCOE!K$34,0,1)*D133</f>
        <v>0</v>
      </c>
      <c r="F133" s="12">
        <f>IF(F132&lt;LCOE!K$18,MIN(F132*(1+LCOE!K$19),LCOE!K$18),LCOE!K$18)+LCOE!J159</f>
        <v>0.9</v>
      </c>
      <c r="G133" s="16">
        <f>LCOE!K159+E133*F133*N133*(LCOE!K$14+LCOE!H159)*24*365*D133</f>
        <v>0</v>
      </c>
      <c r="H133" s="16">
        <f>LCOE!L159+F133*(LCOE!K$15+LCOE!I159)*E133*24*365*D133*N133</f>
        <v>0</v>
      </c>
      <c r="I133" s="16">
        <f>LCOE!M159+LCOE!K$20*IF(LCOE!K$14&gt;0,(LCOE!K$14+LCOE!H159),(LCOE!K$15+LCOE!I159))*K133*D133</f>
        <v>0</v>
      </c>
      <c r="J133" s="16">
        <f>LCOE!N159+LCOE!K$21*IF(LCOE!K$14&gt;0,G133,H133)*K133*D133</f>
        <v>0</v>
      </c>
      <c r="K133" s="15">
        <f>LCOE!O159+K132+K132*LCOE!K$22</f>
        <v>1</v>
      </c>
      <c r="L133" s="16">
        <f>LCOE!P159+LCOE!K$23*IF(LCOE!K$14&gt;0,G133,H133)*M133*D133</f>
        <v>0</v>
      </c>
      <c r="M133" s="15">
        <f>LCOE!Q159+M132+M132*LCOE!K$24</f>
        <v>1</v>
      </c>
      <c r="N133" s="15">
        <f>LCOE!R159+N132-N132*LCOE!K$25</f>
        <v>1</v>
      </c>
      <c r="O133" s="18">
        <f>LCOE!S159+LCOE!K$29</f>
        <v>313.75</v>
      </c>
      <c r="P133" s="12">
        <f>LCOE!T159+IF(A133&gt;=LCOE!K$30,100%,0%)</f>
        <v>1</v>
      </c>
      <c r="Q133" s="16">
        <f>LCOE!U159+O133/1000*IF(LCOE!K$14&gt;0,G133,H133)</f>
        <v>0</v>
      </c>
      <c r="R133" s="16">
        <f>LCOE!B159</f>
        <v>30</v>
      </c>
      <c r="S133" s="16">
        <f>LCOE!V159+Q133*P133*R133</f>
        <v>0</v>
      </c>
      <c r="T133" s="16">
        <f>LCOE!W159+LCOE!K$31</f>
        <v>0</v>
      </c>
      <c r="U133" s="16">
        <f>LCOE!X159+T133*IF(LCOE!K$14&gt;0,G133,H133)</f>
        <v>0</v>
      </c>
      <c r="V133" s="16">
        <f>LCOE!Y159+LCOE!K$32</f>
        <v>0</v>
      </c>
      <c r="W133" s="16">
        <f>LCOE!Z159+V133*IF(LCOE!K$14&gt;0,G133,H133)</f>
        <v>0</v>
      </c>
      <c r="X133" s="16">
        <f>LCOE!AA159+LCOE!K$34</f>
        <v>101</v>
      </c>
      <c r="Y133" s="16">
        <f t="shared" si="15"/>
        <v>0</v>
      </c>
      <c r="Z133" s="50">
        <f t="shared" si="18"/>
        <v>0</v>
      </c>
      <c r="AA133" s="50">
        <f t="shared" si="19"/>
        <v>0</v>
      </c>
      <c r="AB133" s="50">
        <f t="shared" si="20"/>
        <v>0</v>
      </c>
      <c r="AC133" s="50">
        <f t="shared" si="16"/>
        <v>0</v>
      </c>
      <c r="AD133" s="50">
        <f t="shared" si="25"/>
        <v>0</v>
      </c>
      <c r="AE133">
        <f t="shared" si="17"/>
        <v>30</v>
      </c>
      <c r="AF133" s="12">
        <f>LCOE!E159+LCOE!K$40</f>
        <v>0.14000000000000001</v>
      </c>
      <c r="AG133">
        <f t="shared" si="26"/>
        <v>3845.9677147144407</v>
      </c>
      <c r="AH133" s="16">
        <f t="shared" si="21"/>
        <v>0</v>
      </c>
      <c r="AI133" s="16">
        <f t="shared" si="22"/>
        <v>0</v>
      </c>
      <c r="AJ133" s="16">
        <f t="shared" si="23"/>
        <v>0</v>
      </c>
      <c r="AK133" s="16">
        <f t="shared" si="24"/>
        <v>0</v>
      </c>
      <c r="AL133" s="16">
        <f t="shared" si="27"/>
        <v>0</v>
      </c>
      <c r="AM133" s="16">
        <f t="shared" si="14"/>
        <v>0</v>
      </c>
      <c r="AN133" s="16">
        <f>IF(LCOE!K$14&gt;0,G133,H133)/AG133</f>
        <v>0</v>
      </c>
    </row>
    <row r="134" spans="1:40">
      <c r="A134">
        <v>64</v>
      </c>
      <c r="C134" s="16">
        <f>LCOE!K160+IF(AND(LCOE!K$26&gt;0,A134&gt;=LCOE!K$26,A134&lt;=(LCOE!K$26+LCOE!K$27-1)),LCOE!K$42/LCOE!K$27,0)+IF(AND(D134=0,AE134&gt;=LCOE!K$16,COUNTIF(D109:D134,0)=LCOE!K$36),LCOE!K$35*LCOE!K$38,0)</f>
        <v>0</v>
      </c>
      <c r="D134" s="16">
        <f>IF(AE133&lt;LCOE!K$16,1,0)</f>
        <v>0</v>
      </c>
      <c r="E134" s="12">
        <f>LCOE!G160+IF(AND(A134&gt;=LCOE!K$26,A134&lt;=(LCOE!K$26+LCOE!K$27-1)),0,1)*IF(A134=LCOE!K$34,0,1)*D134</f>
        <v>0</v>
      </c>
      <c r="F134" s="12">
        <f>IF(F133&lt;LCOE!K$18,MIN(F133*(1+LCOE!K$19),LCOE!K$18),LCOE!K$18)+LCOE!J160</f>
        <v>0.9</v>
      </c>
      <c r="G134" s="16">
        <f>LCOE!K160+E134*F134*N134*(LCOE!K$14+LCOE!H160)*24*365*D134</f>
        <v>0</v>
      </c>
      <c r="H134" s="16">
        <f>LCOE!L160+F134*(LCOE!K$15+LCOE!I160)*E134*24*365*D134*N134</f>
        <v>0</v>
      </c>
      <c r="I134" s="16">
        <f>LCOE!M160+LCOE!K$20*IF(LCOE!K$14&gt;0,(LCOE!K$14+LCOE!H160),(LCOE!K$15+LCOE!I160))*K134*D134</f>
        <v>0</v>
      </c>
      <c r="J134" s="16">
        <f>LCOE!N160+LCOE!K$21*IF(LCOE!K$14&gt;0,G134,H134)*K134*D134</f>
        <v>0</v>
      </c>
      <c r="K134" s="15">
        <f>LCOE!O160+K133+K133*LCOE!K$22</f>
        <v>1</v>
      </c>
      <c r="L134" s="16">
        <f>LCOE!P160+LCOE!K$23*IF(LCOE!K$14&gt;0,G134,H134)*M134*D134</f>
        <v>0</v>
      </c>
      <c r="M134" s="15">
        <f>LCOE!Q160+M133+M133*LCOE!K$24</f>
        <v>1</v>
      </c>
      <c r="N134" s="15">
        <f>LCOE!R160+N133-N133*LCOE!K$25</f>
        <v>1</v>
      </c>
      <c r="O134" s="18">
        <f>LCOE!S160+LCOE!K$29</f>
        <v>313.75</v>
      </c>
      <c r="P134" s="12">
        <f>LCOE!T160+IF(A134&gt;=LCOE!K$30,100%,0%)</f>
        <v>1</v>
      </c>
      <c r="Q134" s="16">
        <f>LCOE!U160+O134/1000*IF(LCOE!K$14&gt;0,G134,H134)</f>
        <v>0</v>
      </c>
      <c r="R134" s="16">
        <f>LCOE!B160</f>
        <v>30</v>
      </c>
      <c r="S134" s="16">
        <f>LCOE!V160+Q134*P134*R134</f>
        <v>0</v>
      </c>
      <c r="T134" s="16">
        <f>LCOE!W160+LCOE!K$31</f>
        <v>0</v>
      </c>
      <c r="U134" s="16">
        <f>LCOE!X160+T134*IF(LCOE!K$14&gt;0,G134,H134)</f>
        <v>0</v>
      </c>
      <c r="V134" s="16">
        <f>LCOE!Y160+LCOE!K$32</f>
        <v>0</v>
      </c>
      <c r="W134" s="16">
        <f>LCOE!Z160+V134*IF(LCOE!K$14&gt;0,G134,H134)</f>
        <v>0</v>
      </c>
      <c r="X134" s="16">
        <f>LCOE!AA160+LCOE!K$34</f>
        <v>101</v>
      </c>
      <c r="Y134" s="16">
        <f t="shared" si="15"/>
        <v>0</v>
      </c>
      <c r="Z134" s="50">
        <f t="shared" si="18"/>
        <v>0</v>
      </c>
      <c r="AA134" s="50">
        <f t="shared" si="19"/>
        <v>0</v>
      </c>
      <c r="AB134" s="50">
        <f t="shared" si="20"/>
        <v>0</v>
      </c>
      <c r="AC134" s="50">
        <f t="shared" si="16"/>
        <v>0</v>
      </c>
      <c r="AD134" s="50">
        <f t="shared" si="25"/>
        <v>0</v>
      </c>
      <c r="AE134">
        <f t="shared" si="17"/>
        <v>30</v>
      </c>
      <c r="AF134" s="12">
        <f>LCOE!E160+LCOE!K$40</f>
        <v>0.14000000000000001</v>
      </c>
      <c r="AG134">
        <f t="shared" si="26"/>
        <v>4384.4031947744634</v>
      </c>
      <c r="AH134" s="16">
        <f t="shared" si="21"/>
        <v>0</v>
      </c>
      <c r="AI134" s="16">
        <f t="shared" si="22"/>
        <v>0</v>
      </c>
      <c r="AJ134" s="16">
        <f t="shared" si="23"/>
        <v>0</v>
      </c>
      <c r="AK134" s="16">
        <f t="shared" si="24"/>
        <v>0</v>
      </c>
      <c r="AL134" s="16">
        <f t="shared" si="27"/>
        <v>0</v>
      </c>
      <c r="AM134" s="16">
        <f t="shared" ref="AM134:AM170" si="28">(-1)*Y134/AG134</f>
        <v>0</v>
      </c>
      <c r="AN134" s="16">
        <f>IF(LCOE!K$14&gt;0,G134,H134)/AG134</f>
        <v>0</v>
      </c>
    </row>
    <row r="135" spans="1:40">
      <c r="A135">
        <v>65</v>
      </c>
      <c r="C135" s="16">
        <f>LCOE!K161+IF(AND(LCOE!K$26&gt;0,A135&gt;=LCOE!K$26,A135&lt;=(LCOE!K$26+LCOE!K$27-1)),LCOE!K$42/LCOE!K$27,0)+IF(AND(D135=0,AE135&gt;=LCOE!K$16,COUNTIF(D110:D135,0)=LCOE!K$36),LCOE!K$35*LCOE!K$38,0)</f>
        <v>0</v>
      </c>
      <c r="D135" s="16">
        <f>IF(AE134&lt;LCOE!K$16,1,0)</f>
        <v>0</v>
      </c>
      <c r="E135" s="12">
        <f>LCOE!G161+IF(AND(A135&gt;=LCOE!K$26,A135&lt;=(LCOE!K$26+LCOE!K$27-1)),0,1)*IF(A135=LCOE!K$34,0,1)*D135</f>
        <v>0</v>
      </c>
      <c r="F135" s="12">
        <f>IF(F134&lt;LCOE!K$18,MIN(F134*(1+LCOE!K$19),LCOE!K$18),LCOE!K$18)+LCOE!J161</f>
        <v>0.9</v>
      </c>
      <c r="G135" s="16">
        <f>LCOE!K161+E135*F135*N135*(LCOE!K$14+LCOE!H161)*24*365*D135</f>
        <v>0</v>
      </c>
      <c r="H135" s="16">
        <f>LCOE!L161+F135*(LCOE!K$15+LCOE!I161)*E135*24*365*D135*N135</f>
        <v>0</v>
      </c>
      <c r="I135" s="16">
        <f>LCOE!M161+LCOE!K$20*IF(LCOE!K$14&gt;0,(LCOE!K$14+LCOE!H161),(LCOE!K$15+LCOE!I161))*K135*D135</f>
        <v>0</v>
      </c>
      <c r="J135" s="16">
        <f>LCOE!N161+LCOE!K$21*IF(LCOE!K$14&gt;0,G135,H135)*K135*D135</f>
        <v>0</v>
      </c>
      <c r="K135" s="15">
        <f>LCOE!O161+K134+K134*LCOE!K$22</f>
        <v>1</v>
      </c>
      <c r="L135" s="16">
        <f>LCOE!P161+LCOE!K$23*IF(LCOE!K$14&gt;0,G135,H135)*M135*D135</f>
        <v>0</v>
      </c>
      <c r="M135" s="15">
        <f>LCOE!Q161+M134+M134*LCOE!K$24</f>
        <v>1</v>
      </c>
      <c r="N135" s="15">
        <f>LCOE!R161+N134-N134*LCOE!K$25</f>
        <v>1</v>
      </c>
      <c r="O135" s="18">
        <f>LCOE!S161+LCOE!K$29</f>
        <v>313.75</v>
      </c>
      <c r="P135" s="12">
        <f>LCOE!T161+IF(A135&gt;=LCOE!K$30,100%,0%)</f>
        <v>1</v>
      </c>
      <c r="Q135" s="16">
        <f>LCOE!U161+O135/1000*IF(LCOE!K$14&gt;0,G135,H135)</f>
        <v>0</v>
      </c>
      <c r="R135" s="16">
        <f>LCOE!B161</f>
        <v>30</v>
      </c>
      <c r="S135" s="16">
        <f>LCOE!V161+Q135*P135*R135</f>
        <v>0</v>
      </c>
      <c r="T135" s="16">
        <f>LCOE!W161+LCOE!K$31</f>
        <v>0</v>
      </c>
      <c r="U135" s="16">
        <f>LCOE!X161+T135*IF(LCOE!K$14&gt;0,G135,H135)</f>
        <v>0</v>
      </c>
      <c r="V135" s="16">
        <f>LCOE!Y161+LCOE!K$32</f>
        <v>0</v>
      </c>
      <c r="W135" s="16">
        <f>LCOE!Z161+V135*IF(LCOE!K$14&gt;0,G135,H135)</f>
        <v>0</v>
      </c>
      <c r="X135" s="16">
        <f>LCOE!AA161+LCOE!K$34</f>
        <v>101</v>
      </c>
      <c r="Y135" s="16">
        <f t="shared" ref="Y135:Y170" si="29">X135*H135</f>
        <v>0</v>
      </c>
      <c r="Z135" s="50">
        <f t="shared" si="18"/>
        <v>0</v>
      </c>
      <c r="AA135" s="50">
        <f t="shared" si="19"/>
        <v>0</v>
      </c>
      <c r="AB135" s="50">
        <f t="shared" si="20"/>
        <v>0</v>
      </c>
      <c r="AC135" s="50">
        <f t="shared" ref="AC135:AC170" si="30">U135+W135</f>
        <v>0</v>
      </c>
      <c r="AD135" s="50">
        <f t="shared" si="25"/>
        <v>0</v>
      </c>
      <c r="AE135">
        <f t="shared" ref="AE135:AE170" si="31">AE134+1*E135</f>
        <v>30</v>
      </c>
      <c r="AF135" s="12">
        <f>LCOE!E161+LCOE!K$40</f>
        <v>0.14000000000000001</v>
      </c>
      <c r="AG135">
        <f t="shared" si="26"/>
        <v>4998.2196420428891</v>
      </c>
      <c r="AH135" s="16">
        <f t="shared" si="21"/>
        <v>0</v>
      </c>
      <c r="AI135" s="16">
        <f t="shared" si="22"/>
        <v>0</v>
      </c>
      <c r="AJ135" s="16">
        <f t="shared" si="23"/>
        <v>0</v>
      </c>
      <c r="AK135" s="16">
        <f t="shared" si="24"/>
        <v>0</v>
      </c>
      <c r="AL135" s="16">
        <f t="shared" si="27"/>
        <v>0</v>
      </c>
      <c r="AM135" s="16">
        <f t="shared" si="28"/>
        <v>0</v>
      </c>
      <c r="AN135" s="16">
        <f>IF(LCOE!K$14&gt;0,G135,H135)/AG135</f>
        <v>0</v>
      </c>
    </row>
    <row r="136" spans="1:40">
      <c r="A136">
        <v>66</v>
      </c>
      <c r="C136" s="16">
        <f>LCOE!K162+IF(AND(LCOE!K$26&gt;0,A136&gt;=LCOE!K$26,A136&lt;=(LCOE!K$26+LCOE!K$27-1)),LCOE!K$42/LCOE!K$27,0)+IF(AND(D136=0,AE136&gt;=LCOE!K$16,COUNTIF(D111:D136,0)=LCOE!K$36),LCOE!K$35*LCOE!K$38,0)</f>
        <v>0</v>
      </c>
      <c r="D136" s="16">
        <f>IF(AE135&lt;LCOE!K$16,1,0)</f>
        <v>0</v>
      </c>
      <c r="E136" s="12">
        <f>LCOE!G162+IF(AND(A136&gt;=LCOE!K$26,A136&lt;=(LCOE!K$26+LCOE!K$27-1)),0,1)*IF(A136=LCOE!K$34,0,1)*D136</f>
        <v>0</v>
      </c>
      <c r="F136" s="12">
        <f>IF(F135&lt;LCOE!K$18,MIN(F135*(1+LCOE!K$19),LCOE!K$18),LCOE!K$18)+LCOE!J162</f>
        <v>0.9</v>
      </c>
      <c r="G136" s="16">
        <f>LCOE!K162+E136*F136*N136*(LCOE!K$14+LCOE!H162)*24*365*D136</f>
        <v>0</v>
      </c>
      <c r="H136" s="16">
        <f>LCOE!L162+F136*(LCOE!K$15+LCOE!I162)*E136*24*365*D136*N136</f>
        <v>0</v>
      </c>
      <c r="I136" s="16">
        <f>LCOE!M162+LCOE!K$20*IF(LCOE!K$14&gt;0,(LCOE!K$14+LCOE!H162),(LCOE!K$15+LCOE!I162))*K136*D136</f>
        <v>0</v>
      </c>
      <c r="J136" s="16">
        <f>LCOE!N162+LCOE!K$21*IF(LCOE!K$14&gt;0,G136,H136)*K136*D136</f>
        <v>0</v>
      </c>
      <c r="K136" s="15">
        <f>LCOE!O162+K135+K135*LCOE!K$22</f>
        <v>1</v>
      </c>
      <c r="L136" s="16">
        <f>LCOE!P162+LCOE!K$23*IF(LCOE!K$14&gt;0,G136,H136)*M136*D136</f>
        <v>0</v>
      </c>
      <c r="M136" s="15">
        <f>LCOE!Q162+M135+M135*LCOE!K$24</f>
        <v>1</v>
      </c>
      <c r="N136" s="15">
        <f>LCOE!R162+N135-N135*LCOE!K$25</f>
        <v>1</v>
      </c>
      <c r="O136" s="18">
        <f>LCOE!S162+LCOE!K$29</f>
        <v>313.75</v>
      </c>
      <c r="P136" s="12">
        <f>LCOE!T162+IF(A136&gt;=LCOE!K$30,100%,0%)</f>
        <v>1</v>
      </c>
      <c r="Q136" s="16">
        <f>LCOE!U162+O136/1000*IF(LCOE!K$14&gt;0,G136,H136)</f>
        <v>0</v>
      </c>
      <c r="R136" s="16">
        <f>LCOE!B162</f>
        <v>30</v>
      </c>
      <c r="S136" s="16">
        <f>LCOE!V162+Q136*P136*R136</f>
        <v>0</v>
      </c>
      <c r="T136" s="16">
        <f>LCOE!W162+LCOE!K$31</f>
        <v>0</v>
      </c>
      <c r="U136" s="16">
        <f>LCOE!X162+T136*IF(LCOE!K$14&gt;0,G136,H136)</f>
        <v>0</v>
      </c>
      <c r="V136" s="16">
        <f>LCOE!Y162+LCOE!K$32</f>
        <v>0</v>
      </c>
      <c r="W136" s="16">
        <f>LCOE!Z162+V136*IF(LCOE!K$14&gt;0,G136,H136)</f>
        <v>0</v>
      </c>
      <c r="X136" s="16">
        <f>LCOE!AA162+LCOE!K$34</f>
        <v>101</v>
      </c>
      <c r="Y136" s="16">
        <f t="shared" si="29"/>
        <v>0</v>
      </c>
      <c r="Z136" s="50">
        <f t="shared" ref="Z136:Z170" si="32">SUM(B136:C136)</f>
        <v>0</v>
      </c>
      <c r="AA136" s="50">
        <f t="shared" ref="AA136:AA170" si="33">SUM(I136:J136)</f>
        <v>0</v>
      </c>
      <c r="AB136" s="50">
        <f t="shared" ref="AB136:AB170" si="34">L136</f>
        <v>0</v>
      </c>
      <c r="AC136" s="50">
        <f t="shared" si="30"/>
        <v>0</v>
      </c>
      <c r="AD136" s="50">
        <f t="shared" si="25"/>
        <v>0</v>
      </c>
      <c r="AE136">
        <f t="shared" si="31"/>
        <v>30</v>
      </c>
      <c r="AF136" s="12">
        <f>LCOE!E162+LCOE!K$40</f>
        <v>0.14000000000000001</v>
      </c>
      <c r="AG136">
        <f t="shared" si="26"/>
        <v>5697.9703919288941</v>
      </c>
      <c r="AH136" s="16">
        <f t="shared" si="21"/>
        <v>0</v>
      </c>
      <c r="AI136" s="16">
        <f t="shared" si="22"/>
        <v>0</v>
      </c>
      <c r="AJ136" s="16">
        <f t="shared" si="23"/>
        <v>0</v>
      </c>
      <c r="AK136" s="16">
        <f t="shared" si="24"/>
        <v>0</v>
      </c>
      <c r="AL136" s="16">
        <f t="shared" si="27"/>
        <v>0</v>
      </c>
      <c r="AM136" s="16">
        <f t="shared" si="28"/>
        <v>0</v>
      </c>
      <c r="AN136" s="16">
        <f>IF(LCOE!K$14&gt;0,G136,H136)/AG136</f>
        <v>0</v>
      </c>
    </row>
    <row r="137" spans="1:40">
      <c r="A137">
        <v>67</v>
      </c>
      <c r="C137" s="16">
        <f>LCOE!K163+IF(AND(LCOE!K$26&gt;0,A137&gt;=LCOE!K$26,A137&lt;=(LCOE!K$26+LCOE!K$27-1)),LCOE!K$42/LCOE!K$27,0)+IF(AND(D137=0,AE137&gt;=LCOE!K$16,COUNTIF(D112:D137,0)=LCOE!K$36),LCOE!K$35*LCOE!K$38,0)</f>
        <v>0</v>
      </c>
      <c r="D137" s="16">
        <f>IF(AE136&lt;LCOE!K$16,1,0)</f>
        <v>0</v>
      </c>
      <c r="E137" s="12">
        <f>LCOE!G163+IF(AND(A137&gt;=LCOE!K$26,A137&lt;=(LCOE!K$26+LCOE!K$27-1)),0,1)*IF(A137=LCOE!K$34,0,1)*D137</f>
        <v>0</v>
      </c>
      <c r="F137" s="12">
        <f>IF(F136&lt;LCOE!K$18,MIN(F136*(1+LCOE!K$19),LCOE!K$18),LCOE!K$18)+LCOE!J163</f>
        <v>0.9</v>
      </c>
      <c r="G137" s="16">
        <f>LCOE!K163+E137*F137*N137*(LCOE!K$14+LCOE!H163)*24*365*D137</f>
        <v>0</v>
      </c>
      <c r="H137" s="16">
        <f>LCOE!L163+F137*(LCOE!K$15+LCOE!I163)*E137*24*365*D137*N137</f>
        <v>0</v>
      </c>
      <c r="I137" s="16">
        <f>LCOE!M163+LCOE!K$20*IF(LCOE!K$14&gt;0,(LCOE!K$14+LCOE!H163),(LCOE!K$15+LCOE!I163))*K137*D137</f>
        <v>0</v>
      </c>
      <c r="J137" s="16">
        <f>LCOE!N163+LCOE!K$21*IF(LCOE!K$14&gt;0,G137,H137)*K137*D137</f>
        <v>0</v>
      </c>
      <c r="K137" s="15">
        <f>LCOE!O163+K136+K136*LCOE!K$22</f>
        <v>1</v>
      </c>
      <c r="L137" s="16">
        <f>LCOE!P163+LCOE!K$23*IF(LCOE!K$14&gt;0,G137,H137)*M137*D137</f>
        <v>0</v>
      </c>
      <c r="M137" s="15">
        <f>LCOE!Q163+M136+M136*LCOE!K$24</f>
        <v>1</v>
      </c>
      <c r="N137" s="15">
        <f>LCOE!R163+N136-N136*LCOE!K$25</f>
        <v>1</v>
      </c>
      <c r="O137" s="18">
        <f>LCOE!S163+LCOE!K$29</f>
        <v>313.75</v>
      </c>
      <c r="P137" s="12">
        <f>LCOE!T163+IF(A137&gt;=LCOE!K$30,100%,0%)</f>
        <v>1</v>
      </c>
      <c r="Q137" s="16">
        <f>LCOE!U163+O137/1000*IF(LCOE!K$14&gt;0,G137,H137)</f>
        <v>0</v>
      </c>
      <c r="R137" s="16">
        <f>LCOE!B163</f>
        <v>30</v>
      </c>
      <c r="S137" s="16">
        <f>LCOE!V163+Q137*P137*R137</f>
        <v>0</v>
      </c>
      <c r="T137" s="16">
        <f>LCOE!W163+LCOE!K$31</f>
        <v>0</v>
      </c>
      <c r="U137" s="16">
        <f>LCOE!X163+T137*IF(LCOE!K$14&gt;0,G137,H137)</f>
        <v>0</v>
      </c>
      <c r="V137" s="16">
        <f>LCOE!Y163+LCOE!K$32</f>
        <v>0</v>
      </c>
      <c r="W137" s="16">
        <f>LCOE!Z163+V137*IF(LCOE!K$14&gt;0,G137,H137)</f>
        <v>0</v>
      </c>
      <c r="X137" s="16">
        <f>LCOE!AA163+LCOE!K$34</f>
        <v>101</v>
      </c>
      <c r="Y137" s="16">
        <f t="shared" si="29"/>
        <v>0</v>
      </c>
      <c r="Z137" s="50">
        <f t="shared" si="32"/>
        <v>0</v>
      </c>
      <c r="AA137" s="50">
        <f t="shared" si="33"/>
        <v>0</v>
      </c>
      <c r="AB137" s="50">
        <f t="shared" si="34"/>
        <v>0</v>
      </c>
      <c r="AC137" s="50">
        <f t="shared" si="30"/>
        <v>0</v>
      </c>
      <c r="AD137" s="50">
        <f t="shared" si="25"/>
        <v>0</v>
      </c>
      <c r="AE137">
        <f t="shared" si="31"/>
        <v>30</v>
      </c>
      <c r="AF137" s="12">
        <f>LCOE!E163+LCOE!K$40</f>
        <v>0.14000000000000001</v>
      </c>
      <c r="AG137">
        <f t="shared" si="26"/>
        <v>6495.6862467989395</v>
      </c>
      <c r="AH137" s="16">
        <f t="shared" si="21"/>
        <v>0</v>
      </c>
      <c r="AI137" s="16">
        <f t="shared" si="22"/>
        <v>0</v>
      </c>
      <c r="AJ137" s="16">
        <f t="shared" si="23"/>
        <v>0</v>
      </c>
      <c r="AK137" s="16">
        <f t="shared" si="24"/>
        <v>0</v>
      </c>
      <c r="AL137" s="16">
        <f t="shared" si="27"/>
        <v>0</v>
      </c>
      <c r="AM137" s="16">
        <f t="shared" si="28"/>
        <v>0</v>
      </c>
      <c r="AN137" s="16">
        <f>IF(LCOE!K$14&gt;0,G137,H137)/AG137</f>
        <v>0</v>
      </c>
    </row>
    <row r="138" spans="1:40">
      <c r="A138">
        <v>68</v>
      </c>
      <c r="C138" s="16">
        <f>LCOE!K164+IF(AND(LCOE!K$26&gt;0,A138&gt;=LCOE!K$26,A138&lt;=(LCOE!K$26+LCOE!K$27-1)),LCOE!K$42/LCOE!K$27,0)+IF(AND(D138=0,AE138&gt;=LCOE!K$16,COUNTIF(D113:D138,0)=LCOE!K$36),LCOE!K$35*LCOE!K$38,0)</f>
        <v>0</v>
      </c>
      <c r="D138" s="16">
        <f>IF(AE137&lt;LCOE!K$16,1,0)</f>
        <v>0</v>
      </c>
      <c r="E138" s="12">
        <f>LCOE!G164+IF(AND(A138&gt;=LCOE!K$26,A138&lt;=(LCOE!K$26+LCOE!K$27-1)),0,1)*IF(A138=LCOE!K$34,0,1)*D138</f>
        <v>0</v>
      </c>
      <c r="F138" s="12">
        <f>IF(F137&lt;LCOE!K$18,MIN(F137*(1+LCOE!K$19),LCOE!K$18),LCOE!K$18)+LCOE!J164</f>
        <v>0.9</v>
      </c>
      <c r="G138" s="16">
        <f>LCOE!K164+E138*F138*N138*(LCOE!K$14+LCOE!H164)*24*365*D138</f>
        <v>0</v>
      </c>
      <c r="H138" s="16">
        <f>LCOE!L164+F138*(LCOE!K$15+LCOE!I164)*E138*24*365*D138*N138</f>
        <v>0</v>
      </c>
      <c r="I138" s="16">
        <f>LCOE!M164+LCOE!K$20*IF(LCOE!K$14&gt;0,(LCOE!K$14+LCOE!H164),(LCOE!K$15+LCOE!I164))*K138*D138</f>
        <v>0</v>
      </c>
      <c r="J138" s="16">
        <f>LCOE!N164+LCOE!K$21*IF(LCOE!K$14&gt;0,G138,H138)*K138*D138</f>
        <v>0</v>
      </c>
      <c r="K138" s="15">
        <f>LCOE!O164+K137+K137*LCOE!K$22</f>
        <v>1</v>
      </c>
      <c r="L138" s="16">
        <f>LCOE!P164+LCOE!K$23*IF(LCOE!K$14&gt;0,G138,H138)*M138*D138</f>
        <v>0</v>
      </c>
      <c r="M138" s="15">
        <f>LCOE!Q164+M137+M137*LCOE!K$24</f>
        <v>1</v>
      </c>
      <c r="N138" s="15">
        <f>LCOE!R164+N137-N137*LCOE!K$25</f>
        <v>1</v>
      </c>
      <c r="O138" s="18">
        <f>LCOE!S164+LCOE!K$29</f>
        <v>313.75</v>
      </c>
      <c r="P138" s="12">
        <f>LCOE!T164+IF(A138&gt;=LCOE!K$30,100%,0%)</f>
        <v>1</v>
      </c>
      <c r="Q138" s="16">
        <f>LCOE!U164+O138/1000*IF(LCOE!K$14&gt;0,G138,H138)</f>
        <v>0</v>
      </c>
      <c r="R138" s="16">
        <f>LCOE!B164</f>
        <v>30</v>
      </c>
      <c r="S138" s="16">
        <f>LCOE!V164+Q138*P138*R138</f>
        <v>0</v>
      </c>
      <c r="T138" s="16">
        <f>LCOE!W164+LCOE!K$31</f>
        <v>0</v>
      </c>
      <c r="U138" s="16">
        <f>LCOE!X164+T138*IF(LCOE!K$14&gt;0,G138,H138)</f>
        <v>0</v>
      </c>
      <c r="V138" s="16">
        <f>LCOE!Y164+LCOE!K$32</f>
        <v>0</v>
      </c>
      <c r="W138" s="16">
        <f>LCOE!Z164+V138*IF(LCOE!K$14&gt;0,G138,H138)</f>
        <v>0</v>
      </c>
      <c r="X138" s="16">
        <f>LCOE!AA164+LCOE!K$34</f>
        <v>101</v>
      </c>
      <c r="Y138" s="16">
        <f t="shared" si="29"/>
        <v>0</v>
      </c>
      <c r="Z138" s="50">
        <f t="shared" si="32"/>
        <v>0</v>
      </c>
      <c r="AA138" s="50">
        <f t="shared" si="33"/>
        <v>0</v>
      </c>
      <c r="AB138" s="50">
        <f t="shared" si="34"/>
        <v>0</v>
      </c>
      <c r="AC138" s="50">
        <f t="shared" si="30"/>
        <v>0</v>
      </c>
      <c r="AD138" s="50">
        <f t="shared" si="25"/>
        <v>0</v>
      </c>
      <c r="AE138">
        <f t="shared" si="31"/>
        <v>30</v>
      </c>
      <c r="AF138" s="12">
        <f>LCOE!E164+LCOE!K$40</f>
        <v>0.14000000000000001</v>
      </c>
      <c r="AG138">
        <f t="shared" si="26"/>
        <v>7405.082321350792</v>
      </c>
      <c r="AH138" s="16">
        <f t="shared" si="21"/>
        <v>0</v>
      </c>
      <c r="AI138" s="16">
        <f t="shared" si="22"/>
        <v>0</v>
      </c>
      <c r="AJ138" s="16">
        <f t="shared" si="23"/>
        <v>0</v>
      </c>
      <c r="AK138" s="16">
        <f t="shared" si="24"/>
        <v>0</v>
      </c>
      <c r="AL138" s="16">
        <f t="shared" si="27"/>
        <v>0</v>
      </c>
      <c r="AM138" s="16">
        <f t="shared" si="28"/>
        <v>0</v>
      </c>
      <c r="AN138" s="16">
        <f>IF(LCOE!K$14&gt;0,G138,H138)/AG138</f>
        <v>0</v>
      </c>
    </row>
    <row r="139" spans="1:40">
      <c r="A139">
        <v>69</v>
      </c>
      <c r="C139" s="16">
        <f>LCOE!K165+IF(AND(LCOE!K$26&gt;0,A139&gt;=LCOE!K$26,A139&lt;=(LCOE!K$26+LCOE!K$27-1)),LCOE!K$42/LCOE!K$27,0)+IF(AND(D139=0,AE139&gt;=LCOE!K$16,COUNTIF(D114:D139,0)=LCOE!K$36),LCOE!K$35*LCOE!K$38,0)</f>
        <v>0</v>
      </c>
      <c r="D139" s="16">
        <f>IF(AE138&lt;LCOE!K$16,1,0)</f>
        <v>0</v>
      </c>
      <c r="E139" s="12">
        <f>LCOE!G165+IF(AND(A139&gt;=LCOE!K$26,A139&lt;=(LCOE!K$26+LCOE!K$27-1)),0,1)*IF(A139=LCOE!K$34,0,1)*D139</f>
        <v>0</v>
      </c>
      <c r="F139" s="12">
        <f>IF(F138&lt;LCOE!K$18,MIN(F138*(1+LCOE!K$19),LCOE!K$18),LCOE!K$18)+LCOE!J165</f>
        <v>0.9</v>
      </c>
      <c r="G139" s="16">
        <f>LCOE!K165+E139*F139*N139*(LCOE!K$14+LCOE!H165)*24*365*D139</f>
        <v>0</v>
      </c>
      <c r="H139" s="16">
        <f>LCOE!L165+F139*(LCOE!K$15+LCOE!I165)*E139*24*365*D139*N139</f>
        <v>0</v>
      </c>
      <c r="I139" s="16">
        <f>LCOE!M165+LCOE!K$20*IF(LCOE!K$14&gt;0,(LCOE!K$14+LCOE!H165),(LCOE!K$15+LCOE!I165))*K139*D139</f>
        <v>0</v>
      </c>
      <c r="J139" s="16">
        <f>LCOE!N165+LCOE!K$21*IF(LCOE!K$14&gt;0,G139,H139)*K139*D139</f>
        <v>0</v>
      </c>
      <c r="K139" s="15">
        <f>LCOE!O165+K138+K138*LCOE!K$22</f>
        <v>1</v>
      </c>
      <c r="L139" s="16">
        <f>LCOE!P165+LCOE!K$23*IF(LCOE!K$14&gt;0,G139,H139)*M139*D139</f>
        <v>0</v>
      </c>
      <c r="M139" s="15">
        <f>LCOE!Q165+M138+M138*LCOE!K$24</f>
        <v>1</v>
      </c>
      <c r="N139" s="15">
        <f>LCOE!R165+N138-N138*LCOE!K$25</f>
        <v>1</v>
      </c>
      <c r="O139" s="18">
        <f>LCOE!S165+LCOE!K$29</f>
        <v>313.75</v>
      </c>
      <c r="P139" s="12">
        <f>LCOE!T165+IF(A139&gt;=LCOE!K$30,100%,0%)</f>
        <v>1</v>
      </c>
      <c r="Q139" s="16">
        <f>LCOE!U165+O139/1000*IF(LCOE!K$14&gt;0,G139,H139)</f>
        <v>0</v>
      </c>
      <c r="R139" s="16">
        <f>LCOE!B165</f>
        <v>30</v>
      </c>
      <c r="S139" s="16">
        <f>LCOE!V165+Q139*P139*R139</f>
        <v>0</v>
      </c>
      <c r="T139" s="16">
        <f>LCOE!W165+LCOE!K$31</f>
        <v>0</v>
      </c>
      <c r="U139" s="16">
        <f>LCOE!X165+T139*IF(LCOE!K$14&gt;0,G139,H139)</f>
        <v>0</v>
      </c>
      <c r="V139" s="16">
        <f>LCOE!Y165+LCOE!K$32</f>
        <v>0</v>
      </c>
      <c r="W139" s="16">
        <f>LCOE!Z165+V139*IF(LCOE!K$14&gt;0,G139,H139)</f>
        <v>0</v>
      </c>
      <c r="X139" s="16">
        <f>LCOE!AA165+LCOE!K$34</f>
        <v>101</v>
      </c>
      <c r="Y139" s="16">
        <f t="shared" si="29"/>
        <v>0</v>
      </c>
      <c r="Z139" s="50">
        <f t="shared" si="32"/>
        <v>0</v>
      </c>
      <c r="AA139" s="50">
        <f t="shared" si="33"/>
        <v>0</v>
      </c>
      <c r="AB139" s="50">
        <f t="shared" si="34"/>
        <v>0</v>
      </c>
      <c r="AC139" s="50">
        <f t="shared" si="30"/>
        <v>0</v>
      </c>
      <c r="AD139" s="50">
        <f t="shared" si="25"/>
        <v>0</v>
      </c>
      <c r="AE139">
        <f t="shared" si="31"/>
        <v>30</v>
      </c>
      <c r="AF139" s="12">
        <f>LCOE!E165+LCOE!K$40</f>
        <v>0.14000000000000001</v>
      </c>
      <c r="AG139">
        <f t="shared" si="26"/>
        <v>8441.7938463399041</v>
      </c>
      <c r="AH139" s="16">
        <f t="shared" si="21"/>
        <v>0</v>
      </c>
      <c r="AI139" s="16">
        <f t="shared" si="22"/>
        <v>0</v>
      </c>
      <c r="AJ139" s="16">
        <f t="shared" si="23"/>
        <v>0</v>
      </c>
      <c r="AK139" s="16">
        <f t="shared" si="24"/>
        <v>0</v>
      </c>
      <c r="AL139" s="16">
        <f t="shared" si="27"/>
        <v>0</v>
      </c>
      <c r="AM139" s="16">
        <f t="shared" si="28"/>
        <v>0</v>
      </c>
      <c r="AN139" s="16">
        <f>IF(LCOE!K$14&gt;0,G139,H139)/AG139</f>
        <v>0</v>
      </c>
    </row>
    <row r="140" spans="1:40">
      <c r="A140">
        <v>70</v>
      </c>
      <c r="C140" s="16">
        <f>LCOE!K166+IF(AND(LCOE!K$26&gt;0,A140&gt;=LCOE!K$26,A140&lt;=(LCOE!K$26+LCOE!K$27-1)),LCOE!K$42/LCOE!K$27,0)+IF(AND(D140=0,AE140&gt;=LCOE!K$16,COUNTIF(D115:D140,0)=LCOE!K$36),LCOE!K$35*LCOE!K$38,0)</f>
        <v>0</v>
      </c>
      <c r="D140" s="16">
        <f>IF(AE139&lt;LCOE!K$16,1,0)</f>
        <v>0</v>
      </c>
      <c r="E140" s="12">
        <f>LCOE!G166+IF(AND(A140&gt;=LCOE!K$26,A140&lt;=(LCOE!K$26+LCOE!K$27-1)),0,1)*IF(A140=LCOE!K$34,0,1)*D140</f>
        <v>0</v>
      </c>
      <c r="F140" s="12">
        <f>IF(F139&lt;LCOE!K$18,MIN(F139*(1+LCOE!K$19),LCOE!K$18),LCOE!K$18)+LCOE!J166</f>
        <v>0.9</v>
      </c>
      <c r="G140" s="16">
        <f>LCOE!K166+E140*F140*N140*(LCOE!K$14+LCOE!H166)*24*365*D140</f>
        <v>0</v>
      </c>
      <c r="H140" s="16">
        <f>LCOE!L166+F140*(LCOE!K$15+LCOE!I166)*E140*24*365*D140*N140</f>
        <v>0</v>
      </c>
      <c r="I140" s="16">
        <f>LCOE!M166+LCOE!K$20*IF(LCOE!K$14&gt;0,(LCOE!K$14+LCOE!H166),(LCOE!K$15+LCOE!I166))*K140*D140</f>
        <v>0</v>
      </c>
      <c r="J140" s="16">
        <f>LCOE!N166+LCOE!K$21*IF(LCOE!K$14&gt;0,G140,H140)*K140*D140</f>
        <v>0</v>
      </c>
      <c r="K140" s="15">
        <f>LCOE!O166+K139+K139*LCOE!K$22</f>
        <v>1</v>
      </c>
      <c r="L140" s="16">
        <f>LCOE!P166+LCOE!K$23*IF(LCOE!K$14&gt;0,G140,H140)*M140*D140</f>
        <v>0</v>
      </c>
      <c r="M140" s="15">
        <f>LCOE!Q166+M139+M139*LCOE!K$24</f>
        <v>1</v>
      </c>
      <c r="N140" s="15">
        <f>LCOE!R166+N139-N139*LCOE!K$25</f>
        <v>1</v>
      </c>
      <c r="O140" s="18">
        <f>LCOE!S166+LCOE!K$29</f>
        <v>313.75</v>
      </c>
      <c r="P140" s="12">
        <f>LCOE!T166+IF(A140&gt;=LCOE!K$30,100%,0%)</f>
        <v>1</v>
      </c>
      <c r="Q140" s="16">
        <f>LCOE!U166+O140/1000*IF(LCOE!K$14&gt;0,G140,H140)</f>
        <v>0</v>
      </c>
      <c r="R140" s="16">
        <f>LCOE!B166</f>
        <v>30</v>
      </c>
      <c r="S140" s="16">
        <f>LCOE!V166+Q140*P140*R140</f>
        <v>0</v>
      </c>
      <c r="T140" s="16">
        <f>LCOE!W166+LCOE!K$31</f>
        <v>0</v>
      </c>
      <c r="U140" s="16">
        <f>LCOE!X166+T140*IF(LCOE!K$14&gt;0,G140,H140)</f>
        <v>0</v>
      </c>
      <c r="V140" s="16">
        <f>LCOE!Y166+LCOE!K$32</f>
        <v>0</v>
      </c>
      <c r="W140" s="16">
        <f>LCOE!Z166+V140*IF(LCOE!K$14&gt;0,G140,H140)</f>
        <v>0</v>
      </c>
      <c r="X140" s="16">
        <f>LCOE!AA166+LCOE!K$34</f>
        <v>101</v>
      </c>
      <c r="Y140" s="16">
        <f t="shared" si="29"/>
        <v>0</v>
      </c>
      <c r="Z140" s="50">
        <f t="shared" si="32"/>
        <v>0</v>
      </c>
      <c r="AA140" s="50">
        <f t="shared" si="33"/>
        <v>0</v>
      </c>
      <c r="AB140" s="50">
        <f t="shared" si="34"/>
        <v>0</v>
      </c>
      <c r="AC140" s="50">
        <f t="shared" si="30"/>
        <v>0</v>
      </c>
      <c r="AD140" s="50">
        <f t="shared" si="25"/>
        <v>0</v>
      </c>
      <c r="AE140">
        <f t="shared" si="31"/>
        <v>30</v>
      </c>
      <c r="AF140" s="12">
        <f>LCOE!E166+LCOE!K$40</f>
        <v>0.14000000000000001</v>
      </c>
      <c r="AG140">
        <f t="shared" si="26"/>
        <v>9623.6449848274915</v>
      </c>
      <c r="AH140" s="16">
        <f t="shared" si="21"/>
        <v>0</v>
      </c>
      <c r="AI140" s="16">
        <f t="shared" si="22"/>
        <v>0</v>
      </c>
      <c r="AJ140" s="16">
        <f t="shared" si="23"/>
        <v>0</v>
      </c>
      <c r="AK140" s="16">
        <f t="shared" si="24"/>
        <v>0</v>
      </c>
      <c r="AL140" s="16">
        <f t="shared" si="27"/>
        <v>0</v>
      </c>
      <c r="AM140" s="16">
        <f t="shared" si="28"/>
        <v>0</v>
      </c>
      <c r="AN140" s="16">
        <f>IF(LCOE!K$14&gt;0,G140,H140)/AG140</f>
        <v>0</v>
      </c>
    </row>
    <row r="141" spans="1:40">
      <c r="A141">
        <v>71</v>
      </c>
      <c r="C141" s="16">
        <f>LCOE!K167+IF(AND(LCOE!K$26&gt;0,A141&gt;=LCOE!K$26,A141&lt;=(LCOE!K$26+LCOE!K$27-1)),LCOE!K$42/LCOE!K$27,0)+IF(AND(D141=0,AE141&gt;=LCOE!K$16,COUNTIF(D116:D141,0)=LCOE!K$36),LCOE!K$35*LCOE!K$38,0)</f>
        <v>0</v>
      </c>
      <c r="D141" s="16">
        <f>IF(AE140&lt;LCOE!K$16,1,0)</f>
        <v>0</v>
      </c>
      <c r="E141" s="12">
        <f>LCOE!G167+IF(AND(A141&gt;=LCOE!K$26,A141&lt;=(LCOE!K$26+LCOE!K$27-1)),0,1)*IF(A141=LCOE!K$34,0,1)*D141</f>
        <v>0</v>
      </c>
      <c r="F141" s="12">
        <f>IF(F140&lt;LCOE!K$18,MIN(F140*(1+LCOE!K$19),LCOE!K$18),LCOE!K$18)+LCOE!J167</f>
        <v>0.9</v>
      </c>
      <c r="G141" s="16">
        <f>LCOE!K167+E141*F141*N141*(LCOE!K$14+LCOE!H167)*24*365*D141</f>
        <v>0</v>
      </c>
      <c r="H141" s="16">
        <f>LCOE!L167+F141*(LCOE!K$15+LCOE!I167)*E141*24*365*D141*N141</f>
        <v>0</v>
      </c>
      <c r="I141" s="16">
        <f>LCOE!M167+LCOE!K$20*IF(LCOE!K$14&gt;0,(LCOE!K$14+LCOE!H167),(LCOE!K$15+LCOE!I167))*K141*D141</f>
        <v>0</v>
      </c>
      <c r="J141" s="16">
        <f>LCOE!N167+LCOE!K$21*IF(LCOE!K$14&gt;0,G141,H141)*K141*D141</f>
        <v>0</v>
      </c>
      <c r="K141" s="15">
        <f>LCOE!O167+K140+K140*LCOE!K$22</f>
        <v>1</v>
      </c>
      <c r="L141" s="16">
        <f>LCOE!P167+LCOE!K$23*IF(LCOE!K$14&gt;0,G141,H141)*M141*D141</f>
        <v>0</v>
      </c>
      <c r="M141" s="15">
        <f>LCOE!Q167+M140+M140*LCOE!K$24</f>
        <v>1</v>
      </c>
      <c r="N141" s="15">
        <f>LCOE!R167+N140-N140*LCOE!K$25</f>
        <v>1</v>
      </c>
      <c r="O141" s="18">
        <f>LCOE!S167+LCOE!K$29</f>
        <v>313.75</v>
      </c>
      <c r="P141" s="12">
        <f>LCOE!T167+IF(A141&gt;=LCOE!K$30,100%,0%)</f>
        <v>1</v>
      </c>
      <c r="Q141" s="16">
        <f>LCOE!U167+O141/1000*IF(LCOE!K$14&gt;0,G141,H141)</f>
        <v>0</v>
      </c>
      <c r="R141" s="16">
        <f>LCOE!B167</f>
        <v>30</v>
      </c>
      <c r="S141" s="16">
        <f>LCOE!V167+Q141*P141*R141</f>
        <v>0</v>
      </c>
      <c r="T141" s="16">
        <f>LCOE!W167+LCOE!K$31</f>
        <v>0</v>
      </c>
      <c r="U141" s="16">
        <f>LCOE!X167+T141*IF(LCOE!K$14&gt;0,G141,H141)</f>
        <v>0</v>
      </c>
      <c r="V141" s="16">
        <f>LCOE!Y167+LCOE!K$32</f>
        <v>0</v>
      </c>
      <c r="W141" s="16">
        <f>LCOE!Z167+V141*IF(LCOE!K$14&gt;0,G141,H141)</f>
        <v>0</v>
      </c>
      <c r="X141" s="16">
        <f>LCOE!AA167+LCOE!K$34</f>
        <v>101</v>
      </c>
      <c r="Y141" s="16">
        <f t="shared" si="29"/>
        <v>0</v>
      </c>
      <c r="Z141" s="50">
        <f t="shared" si="32"/>
        <v>0</v>
      </c>
      <c r="AA141" s="50">
        <f t="shared" si="33"/>
        <v>0</v>
      </c>
      <c r="AB141" s="50">
        <f t="shared" si="34"/>
        <v>0</v>
      </c>
      <c r="AC141" s="50">
        <f t="shared" si="30"/>
        <v>0</v>
      </c>
      <c r="AD141" s="50">
        <f t="shared" si="25"/>
        <v>0</v>
      </c>
      <c r="AE141">
        <f t="shared" si="31"/>
        <v>30</v>
      </c>
      <c r="AF141" s="12">
        <f>LCOE!E167+LCOE!K$40</f>
        <v>0.14000000000000001</v>
      </c>
      <c r="AG141">
        <f t="shared" si="26"/>
        <v>10970.955282703342</v>
      </c>
      <c r="AH141" s="16">
        <f t="shared" si="21"/>
        <v>0</v>
      </c>
      <c r="AI141" s="16">
        <f t="shared" si="22"/>
        <v>0</v>
      </c>
      <c r="AJ141" s="16">
        <f t="shared" si="23"/>
        <v>0</v>
      </c>
      <c r="AK141" s="16">
        <f t="shared" si="24"/>
        <v>0</v>
      </c>
      <c r="AL141" s="16">
        <f t="shared" si="27"/>
        <v>0</v>
      </c>
      <c r="AM141" s="16">
        <f t="shared" si="28"/>
        <v>0</v>
      </c>
      <c r="AN141" s="16">
        <f>IF(LCOE!K$14&gt;0,G141,H141)/AG141</f>
        <v>0</v>
      </c>
    </row>
    <row r="142" spans="1:40">
      <c r="A142">
        <v>72</v>
      </c>
      <c r="C142" s="16">
        <f>LCOE!K168+IF(AND(LCOE!K$26&gt;0,A142&gt;=LCOE!K$26,A142&lt;=(LCOE!K$26+LCOE!K$27-1)),LCOE!K$42/LCOE!K$27,0)+IF(AND(D142=0,AE142&gt;=LCOE!K$16,COUNTIF(D117:D142,0)=LCOE!K$36),LCOE!K$35*LCOE!K$38,0)</f>
        <v>0</v>
      </c>
      <c r="D142" s="16">
        <f>IF(AE141&lt;LCOE!K$16,1,0)</f>
        <v>0</v>
      </c>
      <c r="E142" s="12">
        <f>LCOE!G168+IF(AND(A142&gt;=LCOE!K$26,A142&lt;=(LCOE!K$26+LCOE!K$27-1)),0,1)*IF(A142=LCOE!K$34,0,1)*D142</f>
        <v>0</v>
      </c>
      <c r="F142" s="12">
        <f>IF(F141&lt;LCOE!K$18,MIN(F141*(1+LCOE!K$19),LCOE!K$18),LCOE!K$18)+LCOE!J168</f>
        <v>0.9</v>
      </c>
      <c r="G142" s="16">
        <f>LCOE!K168+E142*F142*N142*(LCOE!K$14+LCOE!H168)*24*365*D142</f>
        <v>0</v>
      </c>
      <c r="H142" s="16">
        <f>LCOE!L168+F142*(LCOE!K$15+LCOE!I168)*E142*24*365*D142*N142</f>
        <v>0</v>
      </c>
      <c r="I142" s="16">
        <f>LCOE!M168+LCOE!K$20*IF(LCOE!K$14&gt;0,(LCOE!K$14+LCOE!H168),(LCOE!K$15+LCOE!I168))*K142*D142</f>
        <v>0</v>
      </c>
      <c r="J142" s="16">
        <f>LCOE!N168+LCOE!K$21*IF(LCOE!K$14&gt;0,G142,H142)*K142*D142</f>
        <v>0</v>
      </c>
      <c r="K142" s="15">
        <f>LCOE!O168+K141+K141*LCOE!K$22</f>
        <v>1</v>
      </c>
      <c r="L142" s="16">
        <f>LCOE!P168+LCOE!K$23*IF(LCOE!K$14&gt;0,G142,H142)*M142*D142</f>
        <v>0</v>
      </c>
      <c r="M142" s="15">
        <f>LCOE!Q168+M141+M141*LCOE!K$24</f>
        <v>1</v>
      </c>
      <c r="N142" s="15">
        <f>LCOE!R168+N141-N141*LCOE!K$25</f>
        <v>1</v>
      </c>
      <c r="O142" s="18">
        <f>LCOE!S168+LCOE!K$29</f>
        <v>313.75</v>
      </c>
      <c r="P142" s="12">
        <f>LCOE!T168+IF(A142&gt;=LCOE!K$30,100%,0%)</f>
        <v>1</v>
      </c>
      <c r="Q142" s="16">
        <f>LCOE!U168+O142/1000*IF(LCOE!K$14&gt;0,G142,H142)</f>
        <v>0</v>
      </c>
      <c r="R142" s="16">
        <f>LCOE!B168</f>
        <v>30</v>
      </c>
      <c r="S142" s="16">
        <f>LCOE!V168+Q142*P142*R142</f>
        <v>0</v>
      </c>
      <c r="T142" s="16">
        <f>LCOE!W168+LCOE!K$31</f>
        <v>0</v>
      </c>
      <c r="U142" s="16">
        <f>LCOE!X168+T142*IF(LCOE!K$14&gt;0,G142,H142)</f>
        <v>0</v>
      </c>
      <c r="V142" s="16">
        <f>LCOE!Y168+LCOE!K$32</f>
        <v>0</v>
      </c>
      <c r="W142" s="16">
        <f>LCOE!Z168+V142*IF(LCOE!K$14&gt;0,G142,H142)</f>
        <v>0</v>
      </c>
      <c r="X142" s="16">
        <f>LCOE!AA168+LCOE!K$34</f>
        <v>101</v>
      </c>
      <c r="Y142" s="16">
        <f t="shared" si="29"/>
        <v>0</v>
      </c>
      <c r="Z142" s="50">
        <f t="shared" si="32"/>
        <v>0</v>
      </c>
      <c r="AA142" s="50">
        <f t="shared" si="33"/>
        <v>0</v>
      </c>
      <c r="AB142" s="50">
        <f t="shared" si="34"/>
        <v>0</v>
      </c>
      <c r="AC142" s="50">
        <f t="shared" si="30"/>
        <v>0</v>
      </c>
      <c r="AD142" s="50">
        <f t="shared" si="25"/>
        <v>0</v>
      </c>
      <c r="AE142">
        <f t="shared" si="31"/>
        <v>30</v>
      </c>
      <c r="AF142" s="12">
        <f>LCOE!E168+LCOE!K$40</f>
        <v>0.14000000000000001</v>
      </c>
      <c r="AG142">
        <f t="shared" si="26"/>
        <v>12506.889022281812</v>
      </c>
      <c r="AH142" s="16">
        <f t="shared" si="21"/>
        <v>0</v>
      </c>
      <c r="AI142" s="16">
        <f t="shared" si="22"/>
        <v>0</v>
      </c>
      <c r="AJ142" s="16">
        <f t="shared" si="23"/>
        <v>0</v>
      </c>
      <c r="AK142" s="16">
        <f t="shared" si="24"/>
        <v>0</v>
      </c>
      <c r="AL142" s="16">
        <f t="shared" si="27"/>
        <v>0</v>
      </c>
      <c r="AM142" s="16">
        <f t="shared" si="28"/>
        <v>0</v>
      </c>
      <c r="AN142" s="16">
        <f>IF(LCOE!K$14&gt;0,G142,H142)/AG142</f>
        <v>0</v>
      </c>
    </row>
    <row r="143" spans="1:40">
      <c r="A143">
        <v>73</v>
      </c>
      <c r="C143" s="16">
        <f>LCOE!K169+IF(AND(LCOE!K$26&gt;0,A143&gt;=LCOE!K$26,A143&lt;=(LCOE!K$26+LCOE!K$27-1)),LCOE!K$42/LCOE!K$27,0)+IF(AND(D143=0,AE143&gt;=LCOE!K$16,COUNTIF(D118:D143,0)=LCOE!K$36),LCOE!K$35*LCOE!K$38,0)</f>
        <v>0</v>
      </c>
      <c r="D143" s="16">
        <f>IF(AE142&lt;LCOE!K$16,1,0)</f>
        <v>0</v>
      </c>
      <c r="E143" s="12">
        <f>LCOE!G169+IF(AND(A143&gt;=LCOE!K$26,A143&lt;=(LCOE!K$26+LCOE!K$27-1)),0,1)*IF(A143=LCOE!K$34,0,1)*D143</f>
        <v>0</v>
      </c>
      <c r="F143" s="12">
        <f>IF(F142&lt;LCOE!K$18,MIN(F142*(1+LCOE!K$19),LCOE!K$18),LCOE!K$18)+LCOE!J169</f>
        <v>0.9</v>
      </c>
      <c r="G143" s="16">
        <f>LCOE!K169+E143*F143*N143*(LCOE!K$14+LCOE!H169)*24*365*D143</f>
        <v>0</v>
      </c>
      <c r="H143" s="16">
        <f>LCOE!L169+F143*(LCOE!K$15+LCOE!I169)*E143*24*365*D143*N143</f>
        <v>0</v>
      </c>
      <c r="I143" s="16">
        <f>LCOE!M169+LCOE!K$20*IF(LCOE!K$14&gt;0,(LCOE!K$14+LCOE!H169),(LCOE!K$15+LCOE!I169))*K143*D143</f>
        <v>0</v>
      </c>
      <c r="J143" s="16">
        <f>LCOE!N169+LCOE!K$21*IF(LCOE!K$14&gt;0,G143,H143)*K143*D143</f>
        <v>0</v>
      </c>
      <c r="K143" s="15">
        <f>LCOE!O169+K142+K142*LCOE!K$22</f>
        <v>1</v>
      </c>
      <c r="L143" s="16">
        <f>LCOE!P169+LCOE!K$23*IF(LCOE!K$14&gt;0,G143,H143)*M143*D143</f>
        <v>0</v>
      </c>
      <c r="M143" s="15">
        <f>LCOE!Q169+M142+M142*LCOE!K$24</f>
        <v>1</v>
      </c>
      <c r="N143" s="15">
        <f>LCOE!R169+N142-N142*LCOE!K$25</f>
        <v>1</v>
      </c>
      <c r="O143" s="18">
        <f>LCOE!S169+LCOE!K$29</f>
        <v>313.75</v>
      </c>
      <c r="P143" s="12">
        <f>LCOE!T169+IF(A143&gt;=LCOE!K$30,100%,0%)</f>
        <v>1</v>
      </c>
      <c r="Q143" s="16">
        <f>LCOE!U169+O143/1000*IF(LCOE!K$14&gt;0,G143,H143)</f>
        <v>0</v>
      </c>
      <c r="R143" s="16">
        <f>LCOE!B169</f>
        <v>30</v>
      </c>
      <c r="S143" s="16">
        <f>LCOE!V169+Q143*P143*R143</f>
        <v>0</v>
      </c>
      <c r="T143" s="16">
        <f>LCOE!W169+LCOE!K$31</f>
        <v>0</v>
      </c>
      <c r="U143" s="16">
        <f>LCOE!X169+T143*IF(LCOE!K$14&gt;0,G143,H143)</f>
        <v>0</v>
      </c>
      <c r="V143" s="16">
        <f>LCOE!Y169+LCOE!K$32</f>
        <v>0</v>
      </c>
      <c r="W143" s="16">
        <f>LCOE!Z169+V143*IF(LCOE!K$14&gt;0,G143,H143)</f>
        <v>0</v>
      </c>
      <c r="X143" s="16">
        <f>LCOE!AA169+LCOE!K$34</f>
        <v>101</v>
      </c>
      <c r="Y143" s="16">
        <f t="shared" si="29"/>
        <v>0</v>
      </c>
      <c r="Z143" s="50">
        <f t="shared" si="32"/>
        <v>0</v>
      </c>
      <c r="AA143" s="50">
        <f t="shared" si="33"/>
        <v>0</v>
      </c>
      <c r="AB143" s="50">
        <f t="shared" si="34"/>
        <v>0</v>
      </c>
      <c r="AC143" s="50">
        <f t="shared" si="30"/>
        <v>0</v>
      </c>
      <c r="AD143" s="50">
        <f t="shared" si="25"/>
        <v>0</v>
      </c>
      <c r="AE143">
        <f t="shared" si="31"/>
        <v>30</v>
      </c>
      <c r="AF143" s="12">
        <f>LCOE!E169+LCOE!K$40</f>
        <v>0.14000000000000001</v>
      </c>
      <c r="AG143">
        <f t="shared" si="26"/>
        <v>14257.853485401267</v>
      </c>
      <c r="AH143" s="16">
        <f t="shared" si="21"/>
        <v>0</v>
      </c>
      <c r="AI143" s="16">
        <f t="shared" si="22"/>
        <v>0</v>
      </c>
      <c r="AJ143" s="16">
        <f t="shared" si="23"/>
        <v>0</v>
      </c>
      <c r="AK143" s="16">
        <f t="shared" si="24"/>
        <v>0</v>
      </c>
      <c r="AL143" s="16">
        <f t="shared" si="27"/>
        <v>0</v>
      </c>
      <c r="AM143" s="16">
        <f t="shared" si="28"/>
        <v>0</v>
      </c>
      <c r="AN143" s="16">
        <f>IF(LCOE!K$14&gt;0,G143,H143)/AG143</f>
        <v>0</v>
      </c>
    </row>
    <row r="144" spans="1:40">
      <c r="A144">
        <v>74</v>
      </c>
      <c r="C144" s="16">
        <f>LCOE!K170+IF(AND(LCOE!K$26&gt;0,A144&gt;=LCOE!K$26,A144&lt;=(LCOE!K$26+LCOE!K$27-1)),LCOE!K$42/LCOE!K$27,0)+IF(AND(D144=0,AE144&gt;=LCOE!K$16,COUNTIF(D119:D144,0)=LCOE!K$36),LCOE!K$35*LCOE!K$38,0)</f>
        <v>0</v>
      </c>
      <c r="D144" s="16">
        <f>IF(AE143&lt;LCOE!K$16,1,0)</f>
        <v>0</v>
      </c>
      <c r="E144" s="12">
        <f>LCOE!G170+IF(AND(A144&gt;=LCOE!K$26,A144&lt;=(LCOE!K$26+LCOE!K$27-1)),0,1)*IF(A144=LCOE!K$34,0,1)*D144</f>
        <v>0</v>
      </c>
      <c r="F144" s="12">
        <f>IF(F143&lt;LCOE!K$18,MIN(F143*(1+LCOE!K$19),LCOE!K$18),LCOE!K$18)+LCOE!J170</f>
        <v>0.9</v>
      </c>
      <c r="G144" s="16">
        <f>LCOE!K170+E144*F144*N144*(LCOE!K$14+LCOE!H170)*24*365*D144</f>
        <v>0</v>
      </c>
      <c r="H144" s="16">
        <f>LCOE!L170+F144*(LCOE!K$15+LCOE!I170)*E144*24*365*D144*N144</f>
        <v>0</v>
      </c>
      <c r="I144" s="16">
        <f>LCOE!M170+LCOE!K$20*IF(LCOE!K$14&gt;0,(LCOE!K$14+LCOE!H170),(LCOE!K$15+LCOE!I170))*K144*D144</f>
        <v>0</v>
      </c>
      <c r="J144" s="16">
        <f>LCOE!N170+LCOE!K$21*IF(LCOE!K$14&gt;0,G144,H144)*K144*D144</f>
        <v>0</v>
      </c>
      <c r="K144" s="15">
        <f>LCOE!O170+K143+K143*LCOE!K$22</f>
        <v>1</v>
      </c>
      <c r="L144" s="16">
        <f>LCOE!P170+LCOE!K$23*IF(LCOE!K$14&gt;0,G144,H144)*M144*D144</f>
        <v>0</v>
      </c>
      <c r="M144" s="15">
        <f>LCOE!Q170+M143+M143*LCOE!K$24</f>
        <v>1</v>
      </c>
      <c r="N144" s="15">
        <f>LCOE!R170+N143-N143*LCOE!K$25</f>
        <v>1</v>
      </c>
      <c r="O144" s="18">
        <f>LCOE!S170+LCOE!K$29</f>
        <v>313.75</v>
      </c>
      <c r="P144" s="12">
        <f>LCOE!T170+IF(A144&gt;=LCOE!K$30,100%,0%)</f>
        <v>1</v>
      </c>
      <c r="Q144" s="16">
        <f>LCOE!U170+O144/1000*IF(LCOE!K$14&gt;0,G144,H144)</f>
        <v>0</v>
      </c>
      <c r="R144" s="16">
        <f>LCOE!B170</f>
        <v>30</v>
      </c>
      <c r="S144" s="16">
        <f>LCOE!V170+Q144*P144*R144</f>
        <v>0</v>
      </c>
      <c r="T144" s="16">
        <f>LCOE!W170+LCOE!K$31</f>
        <v>0</v>
      </c>
      <c r="U144" s="16">
        <f>LCOE!X170+T144*IF(LCOE!K$14&gt;0,G144,H144)</f>
        <v>0</v>
      </c>
      <c r="V144" s="16">
        <f>LCOE!Y170+LCOE!K$32</f>
        <v>0</v>
      </c>
      <c r="W144" s="16">
        <f>LCOE!Z170+V144*IF(LCOE!K$14&gt;0,G144,H144)</f>
        <v>0</v>
      </c>
      <c r="X144" s="16">
        <f>LCOE!AA170+LCOE!K$34</f>
        <v>101</v>
      </c>
      <c r="Y144" s="16">
        <f t="shared" si="29"/>
        <v>0</v>
      </c>
      <c r="Z144" s="50">
        <f t="shared" si="32"/>
        <v>0</v>
      </c>
      <c r="AA144" s="50">
        <f t="shared" si="33"/>
        <v>0</v>
      </c>
      <c r="AB144" s="50">
        <f t="shared" si="34"/>
        <v>0</v>
      </c>
      <c r="AC144" s="50">
        <f t="shared" si="30"/>
        <v>0</v>
      </c>
      <c r="AD144" s="50">
        <f t="shared" si="25"/>
        <v>0</v>
      </c>
      <c r="AE144">
        <f t="shared" si="31"/>
        <v>30</v>
      </c>
      <c r="AF144" s="12">
        <f>LCOE!E170+LCOE!K$40</f>
        <v>0.14000000000000001</v>
      </c>
      <c r="AG144">
        <f t="shared" si="26"/>
        <v>16253.952973357445</v>
      </c>
      <c r="AH144" s="16">
        <f t="shared" si="21"/>
        <v>0</v>
      </c>
      <c r="AI144" s="16">
        <f t="shared" si="22"/>
        <v>0</v>
      </c>
      <c r="AJ144" s="16">
        <f t="shared" si="23"/>
        <v>0</v>
      </c>
      <c r="AK144" s="16">
        <f t="shared" si="24"/>
        <v>0</v>
      </c>
      <c r="AL144" s="16">
        <f t="shared" si="27"/>
        <v>0</v>
      </c>
      <c r="AM144" s="16">
        <f t="shared" si="28"/>
        <v>0</v>
      </c>
      <c r="AN144" s="16">
        <f>IF(LCOE!K$14&gt;0,G144,H144)/AG144</f>
        <v>0</v>
      </c>
    </row>
    <row r="145" spans="1:40">
      <c r="A145">
        <v>75</v>
      </c>
      <c r="C145" s="16">
        <f>LCOE!K171+IF(AND(LCOE!K$26&gt;0,A145&gt;=LCOE!K$26,A145&lt;=(LCOE!K$26+LCOE!K$27-1)),LCOE!K$42/LCOE!K$27,0)+IF(AND(D145=0,AE145&gt;=LCOE!K$16,COUNTIF(D120:D145,0)=LCOE!K$36),LCOE!K$35*LCOE!K$38,0)</f>
        <v>0</v>
      </c>
      <c r="D145" s="16">
        <f>IF(AE144&lt;LCOE!K$16,1,0)</f>
        <v>0</v>
      </c>
      <c r="E145" s="12">
        <f>LCOE!G171+IF(AND(A145&gt;=LCOE!K$26,A145&lt;=(LCOE!K$26+LCOE!K$27-1)),0,1)*IF(A145=LCOE!K$34,0,1)*D145</f>
        <v>0</v>
      </c>
      <c r="F145" s="12">
        <f>IF(F144&lt;LCOE!K$18,MIN(F144*(1+LCOE!K$19),LCOE!K$18),LCOE!K$18)+LCOE!J171</f>
        <v>0.9</v>
      </c>
      <c r="G145" s="16">
        <f>LCOE!K171+E145*F145*N145*(LCOE!K$14+LCOE!H171)*24*365*D145</f>
        <v>0</v>
      </c>
      <c r="H145" s="16">
        <f>LCOE!L171+F145*(LCOE!K$15+LCOE!I171)*E145*24*365*D145*N145</f>
        <v>0</v>
      </c>
      <c r="I145" s="16">
        <f>LCOE!M171+LCOE!K$20*IF(LCOE!K$14&gt;0,(LCOE!K$14+LCOE!H171),(LCOE!K$15+LCOE!I171))*K145*D145</f>
        <v>0</v>
      </c>
      <c r="J145" s="16">
        <f>LCOE!N171+LCOE!K$21*IF(LCOE!K$14&gt;0,G145,H145)*K145*D145</f>
        <v>0</v>
      </c>
      <c r="K145" s="15">
        <f>LCOE!O171+K144+K144*LCOE!K$22</f>
        <v>1</v>
      </c>
      <c r="L145" s="16">
        <f>LCOE!P171+LCOE!K$23*IF(LCOE!K$14&gt;0,G145,H145)*M145*D145</f>
        <v>0</v>
      </c>
      <c r="M145" s="15">
        <f>LCOE!Q171+M144+M144*LCOE!K$24</f>
        <v>1</v>
      </c>
      <c r="N145" s="15">
        <f>LCOE!R171+N144-N144*LCOE!K$25</f>
        <v>1</v>
      </c>
      <c r="O145" s="18">
        <f>LCOE!S171+LCOE!K$29</f>
        <v>313.75</v>
      </c>
      <c r="P145" s="12">
        <f>LCOE!T171+IF(A145&gt;=LCOE!K$30,100%,0%)</f>
        <v>1</v>
      </c>
      <c r="Q145" s="16">
        <f>LCOE!U171+O145/1000*IF(LCOE!K$14&gt;0,G145,H145)</f>
        <v>0</v>
      </c>
      <c r="R145" s="16">
        <f>LCOE!B171</f>
        <v>30</v>
      </c>
      <c r="S145" s="16">
        <f>LCOE!V171+Q145*P145*R145</f>
        <v>0</v>
      </c>
      <c r="T145" s="16">
        <f>LCOE!W171+LCOE!K$31</f>
        <v>0</v>
      </c>
      <c r="U145" s="16">
        <f>LCOE!X171+T145*IF(LCOE!K$14&gt;0,G145,H145)</f>
        <v>0</v>
      </c>
      <c r="V145" s="16">
        <f>LCOE!Y171+LCOE!K$32</f>
        <v>0</v>
      </c>
      <c r="W145" s="16">
        <f>LCOE!Z171+V145*IF(LCOE!K$14&gt;0,G145,H145)</f>
        <v>0</v>
      </c>
      <c r="X145" s="16">
        <f>LCOE!AA171+LCOE!K$34</f>
        <v>101</v>
      </c>
      <c r="Y145" s="16">
        <f t="shared" si="29"/>
        <v>0</v>
      </c>
      <c r="Z145" s="50">
        <f t="shared" si="32"/>
        <v>0</v>
      </c>
      <c r="AA145" s="50">
        <f t="shared" si="33"/>
        <v>0</v>
      </c>
      <c r="AB145" s="50">
        <f t="shared" si="34"/>
        <v>0</v>
      </c>
      <c r="AC145" s="50">
        <f t="shared" si="30"/>
        <v>0</v>
      </c>
      <c r="AD145" s="50">
        <f t="shared" si="25"/>
        <v>0</v>
      </c>
      <c r="AE145">
        <f t="shared" si="31"/>
        <v>30</v>
      </c>
      <c r="AF145" s="12">
        <f>LCOE!E171+LCOE!K$40</f>
        <v>0.14000000000000001</v>
      </c>
      <c r="AG145">
        <f t="shared" si="26"/>
        <v>18529.506389627491</v>
      </c>
      <c r="AH145" s="16">
        <f t="shared" si="21"/>
        <v>0</v>
      </c>
      <c r="AI145" s="16">
        <f t="shared" si="22"/>
        <v>0</v>
      </c>
      <c r="AJ145" s="16">
        <f t="shared" si="23"/>
        <v>0</v>
      </c>
      <c r="AK145" s="16">
        <f t="shared" si="24"/>
        <v>0</v>
      </c>
      <c r="AL145" s="16">
        <f t="shared" si="27"/>
        <v>0</v>
      </c>
      <c r="AM145" s="16">
        <f t="shared" si="28"/>
        <v>0</v>
      </c>
      <c r="AN145" s="16">
        <f>IF(LCOE!K$14&gt;0,G145,H145)/AG145</f>
        <v>0</v>
      </c>
    </row>
    <row r="146" spans="1:40">
      <c r="A146">
        <v>76</v>
      </c>
      <c r="C146" s="16">
        <f>LCOE!K172+IF(AND(LCOE!K$26&gt;0,A146&gt;=LCOE!K$26,A146&lt;=(LCOE!K$26+LCOE!K$27-1)),LCOE!K$42/LCOE!K$27,0)+IF(AND(D146=0,AE146&gt;=LCOE!K$16,COUNTIF(D121:D146,0)=LCOE!K$36),LCOE!K$35*LCOE!K$38,0)</f>
        <v>0</v>
      </c>
      <c r="D146" s="16">
        <f>IF(AE145&lt;LCOE!K$16,1,0)</f>
        <v>0</v>
      </c>
      <c r="E146" s="12">
        <f>LCOE!G172+IF(AND(A146&gt;=LCOE!K$26,A146&lt;=(LCOE!K$26+LCOE!K$27-1)),0,1)*IF(A146=LCOE!K$34,0,1)*D146</f>
        <v>0</v>
      </c>
      <c r="F146" s="12">
        <f>IF(F145&lt;LCOE!K$18,MIN(F145*(1+LCOE!K$19),LCOE!K$18),LCOE!K$18)+LCOE!J172</f>
        <v>0.9</v>
      </c>
      <c r="G146" s="16">
        <f>LCOE!K172+E146*F146*N146*(LCOE!K$14+LCOE!H172)*24*365*D146</f>
        <v>0</v>
      </c>
      <c r="H146" s="16">
        <f>LCOE!L172+F146*(LCOE!K$15+LCOE!I172)*E146*24*365*D146*N146</f>
        <v>0</v>
      </c>
      <c r="I146" s="16">
        <f>LCOE!M172+LCOE!K$20*IF(LCOE!K$14&gt;0,(LCOE!K$14+LCOE!H172),(LCOE!K$15+LCOE!I172))*K146*D146</f>
        <v>0</v>
      </c>
      <c r="J146" s="16">
        <f>LCOE!N172+LCOE!K$21*IF(LCOE!K$14&gt;0,G146,H146)*K146*D146</f>
        <v>0</v>
      </c>
      <c r="K146" s="15">
        <f>LCOE!O172+K145+K145*LCOE!K$22</f>
        <v>1</v>
      </c>
      <c r="L146" s="16">
        <f>LCOE!P172+LCOE!K$23*IF(LCOE!K$14&gt;0,G146,H146)*M146*D146</f>
        <v>0</v>
      </c>
      <c r="M146" s="15">
        <f>LCOE!Q172+M145+M145*LCOE!K$24</f>
        <v>1</v>
      </c>
      <c r="N146" s="15">
        <f>LCOE!R172+N145-N145*LCOE!K$25</f>
        <v>1</v>
      </c>
      <c r="O146" s="18">
        <f>LCOE!S172+LCOE!K$29</f>
        <v>313.75</v>
      </c>
      <c r="P146" s="12">
        <f>LCOE!T172+IF(A146&gt;=LCOE!K$30,100%,0%)</f>
        <v>1</v>
      </c>
      <c r="Q146" s="16">
        <f>LCOE!U172+O146/1000*IF(LCOE!K$14&gt;0,G146,H146)</f>
        <v>0</v>
      </c>
      <c r="R146" s="16">
        <f>LCOE!B172</f>
        <v>30</v>
      </c>
      <c r="S146" s="16">
        <f>LCOE!V172+Q146*P146*R146</f>
        <v>0</v>
      </c>
      <c r="T146" s="16">
        <f>LCOE!W172+LCOE!K$31</f>
        <v>0</v>
      </c>
      <c r="U146" s="16">
        <f>LCOE!X172+T146*IF(LCOE!K$14&gt;0,G146,H146)</f>
        <v>0</v>
      </c>
      <c r="V146" s="16">
        <f>LCOE!Y172+LCOE!K$32</f>
        <v>0</v>
      </c>
      <c r="W146" s="16">
        <f>LCOE!Z172+V146*IF(LCOE!K$14&gt;0,G146,H146)</f>
        <v>0</v>
      </c>
      <c r="X146" s="16">
        <f>LCOE!AA172+LCOE!K$34</f>
        <v>101</v>
      </c>
      <c r="Y146" s="16">
        <f t="shared" si="29"/>
        <v>0</v>
      </c>
      <c r="Z146" s="50">
        <f t="shared" si="32"/>
        <v>0</v>
      </c>
      <c r="AA146" s="50">
        <f t="shared" si="33"/>
        <v>0</v>
      </c>
      <c r="AB146" s="50">
        <f t="shared" si="34"/>
        <v>0</v>
      </c>
      <c r="AC146" s="50">
        <f t="shared" si="30"/>
        <v>0</v>
      </c>
      <c r="AD146" s="50">
        <f t="shared" si="25"/>
        <v>0</v>
      </c>
      <c r="AE146">
        <f t="shared" si="31"/>
        <v>30</v>
      </c>
      <c r="AF146" s="12">
        <f>LCOE!E172+LCOE!K$40</f>
        <v>0.14000000000000001</v>
      </c>
      <c r="AG146">
        <f t="shared" si="26"/>
        <v>21123.637284175344</v>
      </c>
      <c r="AH146" s="16">
        <f t="shared" si="21"/>
        <v>0</v>
      </c>
      <c r="AI146" s="16">
        <f t="shared" si="22"/>
        <v>0</v>
      </c>
      <c r="AJ146" s="16">
        <f t="shared" si="23"/>
        <v>0</v>
      </c>
      <c r="AK146" s="16">
        <f t="shared" si="24"/>
        <v>0</v>
      </c>
      <c r="AL146" s="16">
        <f t="shared" si="27"/>
        <v>0</v>
      </c>
      <c r="AM146" s="16">
        <f t="shared" si="28"/>
        <v>0</v>
      </c>
      <c r="AN146" s="16">
        <f>IF(LCOE!K$14&gt;0,G146,H146)/AG146</f>
        <v>0</v>
      </c>
    </row>
    <row r="147" spans="1:40">
      <c r="A147">
        <v>77</v>
      </c>
      <c r="C147" s="16">
        <f>LCOE!K173+IF(AND(LCOE!K$26&gt;0,A147&gt;=LCOE!K$26,A147&lt;=(LCOE!K$26+LCOE!K$27-1)),LCOE!K$42/LCOE!K$27,0)+IF(AND(D147=0,AE147&gt;=LCOE!K$16,COUNTIF(D122:D147,0)=LCOE!K$36),LCOE!K$35*LCOE!K$38,0)</f>
        <v>0</v>
      </c>
      <c r="D147" s="16">
        <f>IF(AE146&lt;LCOE!K$16,1,0)</f>
        <v>0</v>
      </c>
      <c r="E147" s="12">
        <f>LCOE!G173+IF(AND(A147&gt;=LCOE!K$26,A147&lt;=(LCOE!K$26+LCOE!K$27-1)),0,1)*IF(A147=LCOE!K$34,0,1)*D147</f>
        <v>0</v>
      </c>
      <c r="F147" s="12">
        <f>IF(F146&lt;LCOE!K$18,MIN(F146*(1+LCOE!K$19),LCOE!K$18),LCOE!K$18)+LCOE!J173</f>
        <v>0.9</v>
      </c>
      <c r="G147" s="16">
        <f>LCOE!K173+E147*F147*N147*(LCOE!K$14+LCOE!H173)*24*365*D147</f>
        <v>0</v>
      </c>
      <c r="H147" s="16">
        <f>LCOE!L173+F147*(LCOE!K$15+LCOE!I173)*E147*24*365*D147*N147</f>
        <v>0</v>
      </c>
      <c r="I147" s="16">
        <f>LCOE!M173+LCOE!K$20*IF(LCOE!K$14&gt;0,(LCOE!K$14+LCOE!H173),(LCOE!K$15+LCOE!I173))*K147*D147</f>
        <v>0</v>
      </c>
      <c r="J147" s="16">
        <f>LCOE!N173+LCOE!K$21*IF(LCOE!K$14&gt;0,G147,H147)*K147*D147</f>
        <v>0</v>
      </c>
      <c r="K147" s="15">
        <f>LCOE!O173+K146+K146*LCOE!K$22</f>
        <v>1</v>
      </c>
      <c r="L147" s="16">
        <f>LCOE!P173+LCOE!K$23*IF(LCOE!K$14&gt;0,G147,H147)*M147*D147</f>
        <v>0</v>
      </c>
      <c r="M147" s="15">
        <f>LCOE!Q173+M146+M146*LCOE!K$24</f>
        <v>1</v>
      </c>
      <c r="N147" s="15">
        <f>LCOE!R173+N146-N146*LCOE!K$25</f>
        <v>1</v>
      </c>
      <c r="O147" s="18">
        <f>LCOE!S173+LCOE!K$29</f>
        <v>313.75</v>
      </c>
      <c r="P147" s="12">
        <f>LCOE!T173+IF(A147&gt;=LCOE!K$30,100%,0%)</f>
        <v>1</v>
      </c>
      <c r="Q147" s="16">
        <f>LCOE!U173+O147/1000*IF(LCOE!K$14&gt;0,G147,H147)</f>
        <v>0</v>
      </c>
      <c r="R147" s="16">
        <f>LCOE!B173</f>
        <v>30</v>
      </c>
      <c r="S147" s="16">
        <f>LCOE!V173+Q147*P147*R147</f>
        <v>0</v>
      </c>
      <c r="T147" s="16">
        <f>LCOE!W173+LCOE!K$31</f>
        <v>0</v>
      </c>
      <c r="U147" s="16">
        <f>LCOE!X173+T147*IF(LCOE!K$14&gt;0,G147,H147)</f>
        <v>0</v>
      </c>
      <c r="V147" s="16">
        <f>LCOE!Y173+LCOE!K$32</f>
        <v>0</v>
      </c>
      <c r="W147" s="16">
        <f>LCOE!Z173+V147*IF(LCOE!K$14&gt;0,G147,H147)</f>
        <v>0</v>
      </c>
      <c r="X147" s="16">
        <f>LCOE!AA173+LCOE!K$34</f>
        <v>101</v>
      </c>
      <c r="Y147" s="16">
        <f t="shared" si="29"/>
        <v>0</v>
      </c>
      <c r="Z147" s="50">
        <f t="shared" si="32"/>
        <v>0</v>
      </c>
      <c r="AA147" s="50">
        <f t="shared" si="33"/>
        <v>0</v>
      </c>
      <c r="AB147" s="50">
        <f t="shared" si="34"/>
        <v>0</v>
      </c>
      <c r="AC147" s="50">
        <f t="shared" si="30"/>
        <v>0</v>
      </c>
      <c r="AD147" s="50">
        <f t="shared" si="25"/>
        <v>0</v>
      </c>
      <c r="AE147">
        <f t="shared" si="31"/>
        <v>30</v>
      </c>
      <c r="AF147" s="12">
        <f>LCOE!E173+LCOE!K$40</f>
        <v>0.14000000000000001</v>
      </c>
      <c r="AG147">
        <f t="shared" si="26"/>
        <v>24080.946503959894</v>
      </c>
      <c r="AH147" s="16">
        <f t="shared" si="21"/>
        <v>0</v>
      </c>
      <c r="AI147" s="16">
        <f t="shared" si="22"/>
        <v>0</v>
      </c>
      <c r="AJ147" s="16">
        <f t="shared" si="23"/>
        <v>0</v>
      </c>
      <c r="AK147" s="16">
        <f t="shared" si="24"/>
        <v>0</v>
      </c>
      <c r="AL147" s="16">
        <f t="shared" si="27"/>
        <v>0</v>
      </c>
      <c r="AM147" s="16">
        <f t="shared" si="28"/>
        <v>0</v>
      </c>
      <c r="AN147" s="16">
        <f>IF(LCOE!K$14&gt;0,G147,H147)/AG147</f>
        <v>0</v>
      </c>
    </row>
    <row r="148" spans="1:40">
      <c r="A148">
        <v>78</v>
      </c>
      <c r="C148" s="16">
        <f>LCOE!K174+IF(AND(LCOE!K$26&gt;0,A148&gt;=LCOE!K$26,A148&lt;=(LCOE!K$26+LCOE!K$27-1)),LCOE!K$42/LCOE!K$27,0)+IF(AND(D148=0,AE148&gt;=LCOE!K$16,COUNTIF(D123:D148,0)=LCOE!K$36),LCOE!K$35*LCOE!K$38,0)</f>
        <v>0</v>
      </c>
      <c r="D148" s="16">
        <f>IF(AE147&lt;LCOE!K$16,1,0)</f>
        <v>0</v>
      </c>
      <c r="E148" s="12">
        <f>LCOE!G174+IF(AND(A148&gt;=LCOE!K$26,A148&lt;=(LCOE!K$26+LCOE!K$27-1)),0,1)*IF(A148=LCOE!K$34,0,1)*D148</f>
        <v>0</v>
      </c>
      <c r="F148" s="12">
        <f>IF(F147&lt;LCOE!K$18,MIN(F147*(1+LCOE!K$19),LCOE!K$18),LCOE!K$18)+LCOE!J174</f>
        <v>0.9</v>
      </c>
      <c r="G148" s="16">
        <f>LCOE!K174+E148*F148*N148*(LCOE!K$14+LCOE!H174)*24*365*D148</f>
        <v>0</v>
      </c>
      <c r="H148" s="16">
        <f>LCOE!L174+F148*(LCOE!K$15+LCOE!I174)*E148*24*365*D148*N148</f>
        <v>0</v>
      </c>
      <c r="I148" s="16">
        <f>LCOE!M174+LCOE!K$20*IF(LCOE!K$14&gt;0,(LCOE!K$14+LCOE!H174),(LCOE!K$15+LCOE!I174))*K148*D148</f>
        <v>0</v>
      </c>
      <c r="J148" s="16">
        <f>LCOE!N174+LCOE!K$21*IF(LCOE!K$14&gt;0,G148,H148)*K148*D148</f>
        <v>0</v>
      </c>
      <c r="K148" s="15">
        <f>LCOE!O174+K147+K147*LCOE!K$22</f>
        <v>1</v>
      </c>
      <c r="L148" s="16">
        <f>LCOE!P174+LCOE!K$23*IF(LCOE!K$14&gt;0,G148,H148)*M148*D148</f>
        <v>0</v>
      </c>
      <c r="M148" s="15">
        <f>LCOE!Q174+M147+M147*LCOE!K$24</f>
        <v>1</v>
      </c>
      <c r="N148" s="15">
        <f>LCOE!R174+N147-N147*LCOE!K$25</f>
        <v>1</v>
      </c>
      <c r="O148" s="18">
        <f>LCOE!S174+LCOE!K$29</f>
        <v>313.75</v>
      </c>
      <c r="P148" s="12">
        <f>LCOE!T174+IF(A148&gt;=LCOE!K$30,100%,0%)</f>
        <v>1</v>
      </c>
      <c r="Q148" s="16">
        <f>LCOE!U174+O148/1000*IF(LCOE!K$14&gt;0,G148,H148)</f>
        <v>0</v>
      </c>
      <c r="R148" s="16">
        <f>LCOE!B174</f>
        <v>30</v>
      </c>
      <c r="S148" s="16">
        <f>LCOE!V174+Q148*P148*R148</f>
        <v>0</v>
      </c>
      <c r="T148" s="16">
        <f>LCOE!W174+LCOE!K$31</f>
        <v>0</v>
      </c>
      <c r="U148" s="16">
        <f>LCOE!X174+T148*IF(LCOE!K$14&gt;0,G148,H148)</f>
        <v>0</v>
      </c>
      <c r="V148" s="16">
        <f>LCOE!Y174+LCOE!K$32</f>
        <v>0</v>
      </c>
      <c r="W148" s="16">
        <f>LCOE!Z174+V148*IF(LCOE!K$14&gt;0,G148,H148)</f>
        <v>0</v>
      </c>
      <c r="X148" s="16">
        <f>LCOE!AA174+LCOE!K$34</f>
        <v>101</v>
      </c>
      <c r="Y148" s="16">
        <f t="shared" si="29"/>
        <v>0</v>
      </c>
      <c r="Z148" s="50">
        <f t="shared" si="32"/>
        <v>0</v>
      </c>
      <c r="AA148" s="50">
        <f t="shared" si="33"/>
        <v>0</v>
      </c>
      <c r="AB148" s="50">
        <f t="shared" si="34"/>
        <v>0</v>
      </c>
      <c r="AC148" s="50">
        <f t="shared" si="30"/>
        <v>0</v>
      </c>
      <c r="AD148" s="50">
        <f t="shared" si="25"/>
        <v>0</v>
      </c>
      <c r="AE148">
        <f t="shared" si="31"/>
        <v>30</v>
      </c>
      <c r="AF148" s="12">
        <f>LCOE!E174+LCOE!K$40</f>
        <v>0.14000000000000001</v>
      </c>
      <c r="AG148">
        <f t="shared" si="26"/>
        <v>27452.279014514279</v>
      </c>
      <c r="AH148" s="16">
        <f t="shared" si="21"/>
        <v>0</v>
      </c>
      <c r="AI148" s="16">
        <f t="shared" si="22"/>
        <v>0</v>
      </c>
      <c r="AJ148" s="16">
        <f t="shared" si="23"/>
        <v>0</v>
      </c>
      <c r="AK148" s="16">
        <f t="shared" si="24"/>
        <v>0</v>
      </c>
      <c r="AL148" s="16">
        <f t="shared" si="27"/>
        <v>0</v>
      </c>
      <c r="AM148" s="16">
        <f t="shared" si="28"/>
        <v>0</v>
      </c>
      <c r="AN148" s="16">
        <f>IF(LCOE!K$14&gt;0,G148,H148)/AG148</f>
        <v>0</v>
      </c>
    </row>
    <row r="149" spans="1:40">
      <c r="A149">
        <v>79</v>
      </c>
      <c r="C149" s="16">
        <f>LCOE!K175+IF(AND(LCOE!K$26&gt;0,A149&gt;=LCOE!K$26,A149&lt;=(LCOE!K$26+LCOE!K$27-1)),LCOE!K$42/LCOE!K$27,0)+IF(AND(D149=0,AE149&gt;=LCOE!K$16,COUNTIF(D124:D149,0)=LCOE!K$36),LCOE!K$35*LCOE!K$38,0)</f>
        <v>0</v>
      </c>
      <c r="D149" s="16">
        <f>IF(AE148&lt;LCOE!K$16,1,0)</f>
        <v>0</v>
      </c>
      <c r="E149" s="12">
        <f>LCOE!G175+IF(AND(A149&gt;=LCOE!K$26,A149&lt;=(LCOE!K$26+LCOE!K$27-1)),0,1)*IF(A149=LCOE!K$34,0,1)*D149</f>
        <v>0</v>
      </c>
      <c r="F149" s="12">
        <f>IF(F148&lt;LCOE!K$18,MIN(F148*(1+LCOE!K$19),LCOE!K$18),LCOE!K$18)+LCOE!J175</f>
        <v>0.9</v>
      </c>
      <c r="G149" s="16">
        <f>LCOE!K175+E149*F149*N149*(LCOE!K$14+LCOE!H175)*24*365*D149</f>
        <v>0</v>
      </c>
      <c r="H149" s="16">
        <f>LCOE!L175+F149*(LCOE!K$15+LCOE!I175)*E149*24*365*D149*N149</f>
        <v>0</v>
      </c>
      <c r="I149" s="16">
        <f>LCOE!M175+LCOE!K$20*IF(LCOE!K$14&gt;0,(LCOE!K$14+LCOE!H175),(LCOE!K$15+LCOE!I175))*K149*D149</f>
        <v>0</v>
      </c>
      <c r="J149" s="16">
        <f>LCOE!N175+LCOE!K$21*IF(LCOE!K$14&gt;0,G149,H149)*K149*D149</f>
        <v>0</v>
      </c>
      <c r="K149" s="15">
        <f>LCOE!O175+K148+K148*LCOE!K$22</f>
        <v>1</v>
      </c>
      <c r="L149" s="16">
        <f>LCOE!P175+LCOE!K$23*IF(LCOE!K$14&gt;0,G149,H149)*M149*D149</f>
        <v>0</v>
      </c>
      <c r="M149" s="15">
        <f>LCOE!Q175+M148+M148*LCOE!K$24</f>
        <v>1</v>
      </c>
      <c r="N149" s="15">
        <f>LCOE!R175+N148-N148*LCOE!K$25</f>
        <v>1</v>
      </c>
      <c r="O149" s="18">
        <f>LCOE!S175+LCOE!K$29</f>
        <v>313.75</v>
      </c>
      <c r="P149" s="12">
        <f>LCOE!T175+IF(A149&gt;=LCOE!K$30,100%,0%)</f>
        <v>1</v>
      </c>
      <c r="Q149" s="16">
        <f>LCOE!U175+O149/1000*IF(LCOE!K$14&gt;0,G149,H149)</f>
        <v>0</v>
      </c>
      <c r="R149" s="16">
        <f>LCOE!B175</f>
        <v>30</v>
      </c>
      <c r="S149" s="16">
        <f>LCOE!V175+Q149*P149*R149</f>
        <v>0</v>
      </c>
      <c r="T149" s="16">
        <f>LCOE!W175+LCOE!K$31</f>
        <v>0</v>
      </c>
      <c r="U149" s="16">
        <f>LCOE!X175+T149*IF(LCOE!K$14&gt;0,G149,H149)</f>
        <v>0</v>
      </c>
      <c r="V149" s="16">
        <f>LCOE!Y175+LCOE!K$32</f>
        <v>0</v>
      </c>
      <c r="W149" s="16">
        <f>LCOE!Z175+V149*IF(LCOE!K$14&gt;0,G149,H149)</f>
        <v>0</v>
      </c>
      <c r="X149" s="16">
        <f>LCOE!AA175+LCOE!K$34</f>
        <v>101</v>
      </c>
      <c r="Y149" s="16">
        <f t="shared" si="29"/>
        <v>0</v>
      </c>
      <c r="Z149" s="50">
        <f t="shared" si="32"/>
        <v>0</v>
      </c>
      <c r="AA149" s="50">
        <f t="shared" si="33"/>
        <v>0</v>
      </c>
      <c r="AB149" s="50">
        <f t="shared" si="34"/>
        <v>0</v>
      </c>
      <c r="AC149" s="50">
        <f t="shared" si="30"/>
        <v>0</v>
      </c>
      <c r="AD149" s="50">
        <f t="shared" si="25"/>
        <v>0</v>
      </c>
      <c r="AE149">
        <f t="shared" si="31"/>
        <v>30</v>
      </c>
      <c r="AF149" s="12">
        <f>LCOE!E175+LCOE!K$40</f>
        <v>0.14000000000000001</v>
      </c>
      <c r="AG149">
        <f t="shared" si="26"/>
        <v>31295.598076546281</v>
      </c>
      <c r="AH149" s="16">
        <f t="shared" si="21"/>
        <v>0</v>
      </c>
      <c r="AI149" s="16">
        <f t="shared" si="22"/>
        <v>0</v>
      </c>
      <c r="AJ149" s="16">
        <f t="shared" si="23"/>
        <v>0</v>
      </c>
      <c r="AK149" s="16">
        <f t="shared" si="24"/>
        <v>0</v>
      </c>
      <c r="AL149" s="16">
        <f t="shared" si="27"/>
        <v>0</v>
      </c>
      <c r="AM149" s="16">
        <f t="shared" si="28"/>
        <v>0</v>
      </c>
      <c r="AN149" s="16">
        <f>IF(LCOE!K$14&gt;0,G149,H149)/AG149</f>
        <v>0</v>
      </c>
    </row>
    <row r="150" spans="1:40">
      <c r="A150">
        <v>80</v>
      </c>
      <c r="C150" s="16">
        <f>LCOE!K176+IF(AND(LCOE!K$26&gt;0,A150&gt;=LCOE!K$26,A150&lt;=(LCOE!K$26+LCOE!K$27-1)),LCOE!K$42/LCOE!K$27,0)+IF(AND(D150=0,AE150&gt;=LCOE!K$16,COUNTIF(D125:D150,0)=LCOE!K$36),LCOE!K$35*LCOE!K$38,0)</f>
        <v>0</v>
      </c>
      <c r="D150" s="16">
        <f>IF(AE149&lt;LCOE!K$16,1,0)</f>
        <v>0</v>
      </c>
      <c r="E150" s="12">
        <f>LCOE!G176+IF(AND(A150&gt;=LCOE!K$26,A150&lt;=(LCOE!K$26+LCOE!K$27-1)),0,1)*IF(A150=LCOE!K$34,0,1)*D150</f>
        <v>0</v>
      </c>
      <c r="F150" s="12">
        <f>IF(F149&lt;LCOE!K$18,MIN(F149*(1+LCOE!K$19),LCOE!K$18),LCOE!K$18)+LCOE!J176</f>
        <v>0.9</v>
      </c>
      <c r="G150" s="16">
        <f>LCOE!K176+E150*F150*N150*(LCOE!K$14+LCOE!H176)*24*365*D150</f>
        <v>0</v>
      </c>
      <c r="H150" s="16">
        <f>LCOE!L176+F150*(LCOE!K$15+LCOE!I176)*E150*24*365*D150*N150</f>
        <v>0</v>
      </c>
      <c r="I150" s="16">
        <f>LCOE!M176+LCOE!K$20*IF(LCOE!K$14&gt;0,(LCOE!K$14+LCOE!H176),(LCOE!K$15+LCOE!I176))*K150*D150</f>
        <v>0</v>
      </c>
      <c r="J150" s="16">
        <f>LCOE!N176+LCOE!K$21*IF(LCOE!K$14&gt;0,G150,H150)*K150*D150</f>
        <v>0</v>
      </c>
      <c r="K150" s="15">
        <f>LCOE!O176+K149+K149*LCOE!K$22</f>
        <v>1</v>
      </c>
      <c r="L150" s="16">
        <f>LCOE!P176+LCOE!K$23*IF(LCOE!K$14&gt;0,G150,H150)*M150*D150</f>
        <v>0</v>
      </c>
      <c r="M150" s="15">
        <f>LCOE!Q176+M149+M149*LCOE!K$24</f>
        <v>1</v>
      </c>
      <c r="N150" s="15">
        <f>LCOE!R176+N149-N149*LCOE!K$25</f>
        <v>1</v>
      </c>
      <c r="O150" s="18">
        <f>LCOE!S176+LCOE!K$29</f>
        <v>313.75</v>
      </c>
      <c r="P150" s="12">
        <f>LCOE!T176+IF(A150&gt;=LCOE!K$30,100%,0%)</f>
        <v>1</v>
      </c>
      <c r="Q150" s="16">
        <f>LCOE!U176+O150/1000*IF(LCOE!K$14&gt;0,G150,H150)</f>
        <v>0</v>
      </c>
      <c r="R150" s="16">
        <f>LCOE!B176</f>
        <v>30</v>
      </c>
      <c r="S150" s="16">
        <f>LCOE!V176+Q150*P150*R150</f>
        <v>0</v>
      </c>
      <c r="T150" s="16">
        <f>LCOE!W176+LCOE!K$31</f>
        <v>0</v>
      </c>
      <c r="U150" s="16">
        <f>LCOE!X176+T150*IF(LCOE!K$14&gt;0,G150,H150)</f>
        <v>0</v>
      </c>
      <c r="V150" s="16">
        <f>LCOE!Y176+LCOE!K$32</f>
        <v>0</v>
      </c>
      <c r="W150" s="16">
        <f>LCOE!Z176+V150*IF(LCOE!K$14&gt;0,G150,H150)</f>
        <v>0</v>
      </c>
      <c r="X150" s="16">
        <f>LCOE!AA176+LCOE!K$34</f>
        <v>101</v>
      </c>
      <c r="Y150" s="16">
        <f t="shared" si="29"/>
        <v>0</v>
      </c>
      <c r="Z150" s="50">
        <f t="shared" si="32"/>
        <v>0</v>
      </c>
      <c r="AA150" s="50">
        <f t="shared" si="33"/>
        <v>0</v>
      </c>
      <c r="AB150" s="50">
        <f t="shared" si="34"/>
        <v>0</v>
      </c>
      <c r="AC150" s="50">
        <f t="shared" si="30"/>
        <v>0</v>
      </c>
      <c r="AD150" s="50">
        <f t="shared" si="25"/>
        <v>0</v>
      </c>
      <c r="AE150">
        <f t="shared" si="31"/>
        <v>30</v>
      </c>
      <c r="AF150" s="12">
        <f>LCOE!E176+LCOE!K$40</f>
        <v>0.14000000000000001</v>
      </c>
      <c r="AG150">
        <f t="shared" si="26"/>
        <v>35676.981807262768</v>
      </c>
      <c r="AH150" s="16">
        <f t="shared" si="21"/>
        <v>0</v>
      </c>
      <c r="AI150" s="16">
        <f t="shared" si="22"/>
        <v>0</v>
      </c>
      <c r="AJ150" s="16">
        <f t="shared" si="23"/>
        <v>0</v>
      </c>
      <c r="AK150" s="16">
        <f t="shared" si="24"/>
        <v>0</v>
      </c>
      <c r="AL150" s="16">
        <f t="shared" si="27"/>
        <v>0</v>
      </c>
      <c r="AM150" s="16">
        <f t="shared" si="28"/>
        <v>0</v>
      </c>
      <c r="AN150" s="16">
        <f>IF(LCOE!K$14&gt;0,G150,H150)/AG150</f>
        <v>0</v>
      </c>
    </row>
    <row r="151" spans="1:40">
      <c r="A151">
        <v>81</v>
      </c>
      <c r="C151" s="16">
        <f>LCOE!K177+IF(AND(LCOE!K$26&gt;0,A151&gt;=LCOE!K$26,A151&lt;=(LCOE!K$26+LCOE!K$27-1)),LCOE!K$42/LCOE!K$27,0)+IF(AND(D151=0,AE151&gt;=LCOE!K$16,COUNTIF(D126:D151,0)=LCOE!K$36),LCOE!K$35*LCOE!K$38,0)</f>
        <v>0</v>
      </c>
      <c r="D151" s="16">
        <f>IF(AE150&lt;LCOE!K$16,1,0)</f>
        <v>0</v>
      </c>
      <c r="E151" s="12">
        <f>LCOE!G177+IF(AND(A151&gt;=LCOE!K$26,A151&lt;=(LCOE!K$26+LCOE!K$27-1)),0,1)*IF(A151=LCOE!K$34,0,1)*D151</f>
        <v>0</v>
      </c>
      <c r="F151" s="12">
        <f>IF(F150&lt;LCOE!K$18,MIN(F150*(1+LCOE!K$19),LCOE!K$18),LCOE!K$18)+LCOE!J177</f>
        <v>0.9</v>
      </c>
      <c r="G151" s="16">
        <f>LCOE!K177+E151*F151*N151*(LCOE!K$14+LCOE!H177)*24*365*D151</f>
        <v>0</v>
      </c>
      <c r="H151" s="16">
        <f>LCOE!L177+F151*(LCOE!K$15+LCOE!I177)*E151*24*365*D151*N151</f>
        <v>0</v>
      </c>
      <c r="I151" s="16">
        <f>LCOE!M177+LCOE!K$20*IF(LCOE!K$14&gt;0,(LCOE!K$14+LCOE!H177),(LCOE!K$15+LCOE!I177))*K151*D151</f>
        <v>0</v>
      </c>
      <c r="J151" s="16">
        <f>LCOE!N177+LCOE!K$21*IF(LCOE!K$14&gt;0,G151,H151)*K151*D151</f>
        <v>0</v>
      </c>
      <c r="K151" s="15">
        <f>LCOE!O177+K150+K150*LCOE!K$22</f>
        <v>1</v>
      </c>
      <c r="L151" s="16">
        <f>LCOE!P177+LCOE!K$23*IF(LCOE!K$14&gt;0,G151,H151)*M151*D151</f>
        <v>0</v>
      </c>
      <c r="M151" s="15">
        <f>LCOE!Q177+M150+M150*LCOE!K$24</f>
        <v>1</v>
      </c>
      <c r="N151" s="15">
        <f>LCOE!R177+N150-N150*LCOE!K$25</f>
        <v>1</v>
      </c>
      <c r="O151" s="18">
        <f>LCOE!S177+LCOE!K$29</f>
        <v>313.75</v>
      </c>
      <c r="P151" s="12">
        <f>LCOE!T177+IF(A151&gt;=LCOE!K$30,100%,0%)</f>
        <v>1</v>
      </c>
      <c r="Q151" s="16">
        <f>LCOE!U177+O151/1000*IF(LCOE!K$14&gt;0,G151,H151)</f>
        <v>0</v>
      </c>
      <c r="R151" s="16">
        <f>LCOE!B177</f>
        <v>30</v>
      </c>
      <c r="S151" s="16">
        <f>LCOE!V177+Q151*P151*R151</f>
        <v>0</v>
      </c>
      <c r="T151" s="16">
        <f>LCOE!W177+LCOE!K$31</f>
        <v>0</v>
      </c>
      <c r="U151" s="16">
        <f>LCOE!X177+T151*IF(LCOE!K$14&gt;0,G151,H151)</f>
        <v>0</v>
      </c>
      <c r="V151" s="16">
        <f>LCOE!Y177+LCOE!K$32</f>
        <v>0</v>
      </c>
      <c r="W151" s="16">
        <f>LCOE!Z177+V151*IF(LCOE!K$14&gt;0,G151,H151)</f>
        <v>0</v>
      </c>
      <c r="X151" s="16">
        <f>LCOE!AA177+LCOE!K$34</f>
        <v>101</v>
      </c>
      <c r="Y151" s="16">
        <f t="shared" si="29"/>
        <v>0</v>
      </c>
      <c r="Z151" s="50">
        <f t="shared" si="32"/>
        <v>0</v>
      </c>
      <c r="AA151" s="50">
        <f t="shared" si="33"/>
        <v>0</v>
      </c>
      <c r="AB151" s="50">
        <f t="shared" si="34"/>
        <v>0</v>
      </c>
      <c r="AC151" s="50">
        <f t="shared" si="30"/>
        <v>0</v>
      </c>
      <c r="AD151" s="50">
        <f t="shared" si="25"/>
        <v>0</v>
      </c>
      <c r="AE151">
        <f t="shared" si="31"/>
        <v>30</v>
      </c>
      <c r="AF151" s="12">
        <f>LCOE!E177+LCOE!K$40</f>
        <v>0.14000000000000001</v>
      </c>
      <c r="AG151">
        <f t="shared" si="26"/>
        <v>40671.759260279563</v>
      </c>
      <c r="AH151" s="16">
        <f t="shared" si="21"/>
        <v>0</v>
      </c>
      <c r="AI151" s="16">
        <f t="shared" si="22"/>
        <v>0</v>
      </c>
      <c r="AJ151" s="16">
        <f t="shared" si="23"/>
        <v>0</v>
      </c>
      <c r="AK151" s="16">
        <f t="shared" si="24"/>
        <v>0</v>
      </c>
      <c r="AL151" s="16">
        <f t="shared" si="27"/>
        <v>0</v>
      </c>
      <c r="AM151" s="16">
        <f t="shared" si="28"/>
        <v>0</v>
      </c>
      <c r="AN151" s="16">
        <f>IF(LCOE!K$14&gt;0,G151,H151)/AG151</f>
        <v>0</v>
      </c>
    </row>
    <row r="152" spans="1:40">
      <c r="A152">
        <v>82</v>
      </c>
      <c r="C152" s="16">
        <f>LCOE!K178+IF(AND(LCOE!K$26&gt;0,A152&gt;=LCOE!K$26,A152&lt;=(LCOE!K$26+LCOE!K$27-1)),LCOE!K$42/LCOE!K$27,0)+IF(AND(D152=0,AE152&gt;=LCOE!K$16,COUNTIF(D127:D152,0)=LCOE!K$36),LCOE!K$35*LCOE!K$38,0)</f>
        <v>0</v>
      </c>
      <c r="D152" s="16">
        <f>IF(AE151&lt;LCOE!K$16,1,0)</f>
        <v>0</v>
      </c>
      <c r="E152" s="12">
        <f>LCOE!G178+IF(AND(A152&gt;=LCOE!K$26,A152&lt;=(LCOE!K$26+LCOE!K$27-1)),0,1)*IF(A152=LCOE!K$34,0,1)*D152</f>
        <v>0</v>
      </c>
      <c r="F152" s="12">
        <f>IF(F151&lt;LCOE!K$18,MIN(F151*(1+LCOE!K$19),LCOE!K$18),LCOE!K$18)+LCOE!J178</f>
        <v>0.9</v>
      </c>
      <c r="G152" s="16">
        <f>LCOE!K178+E152*F152*N152*(LCOE!K$14+LCOE!H178)*24*365*D152</f>
        <v>0</v>
      </c>
      <c r="H152" s="16">
        <f>LCOE!L178+F152*(LCOE!K$15+LCOE!I178)*E152*24*365*D152*N152</f>
        <v>0</v>
      </c>
      <c r="I152" s="16">
        <f>LCOE!M178+LCOE!K$20*IF(LCOE!K$14&gt;0,(LCOE!K$14+LCOE!H178),(LCOE!K$15+LCOE!I178))*K152*D152</f>
        <v>0</v>
      </c>
      <c r="J152" s="16">
        <f>LCOE!N178+LCOE!K$21*IF(LCOE!K$14&gt;0,G152,H152)*K152*D152</f>
        <v>0</v>
      </c>
      <c r="K152" s="15">
        <f>LCOE!O178+K151+K151*LCOE!K$22</f>
        <v>1</v>
      </c>
      <c r="L152" s="16">
        <f>LCOE!P178+LCOE!K$23*IF(LCOE!K$14&gt;0,G152,H152)*M152*D152</f>
        <v>0</v>
      </c>
      <c r="M152" s="15">
        <f>LCOE!Q178+M151+M151*LCOE!K$24</f>
        <v>1</v>
      </c>
      <c r="N152" s="15">
        <f>LCOE!R178+N151-N151*LCOE!K$25</f>
        <v>1</v>
      </c>
      <c r="O152" s="18">
        <f>LCOE!S178+LCOE!K$29</f>
        <v>313.75</v>
      </c>
      <c r="P152" s="12">
        <f>LCOE!T178+IF(A152&gt;=LCOE!K$30,100%,0%)</f>
        <v>1</v>
      </c>
      <c r="Q152" s="16">
        <f>LCOE!U178+O152/1000*IF(LCOE!K$14&gt;0,G152,H152)</f>
        <v>0</v>
      </c>
      <c r="R152" s="16">
        <f>LCOE!B178</f>
        <v>30</v>
      </c>
      <c r="S152" s="16">
        <f>LCOE!V178+Q152*P152*R152</f>
        <v>0</v>
      </c>
      <c r="T152" s="16">
        <f>LCOE!W178+LCOE!K$31</f>
        <v>0</v>
      </c>
      <c r="U152" s="16">
        <f>LCOE!X178+T152*IF(LCOE!K$14&gt;0,G152,H152)</f>
        <v>0</v>
      </c>
      <c r="V152" s="16">
        <f>LCOE!Y178+LCOE!K$32</f>
        <v>0</v>
      </c>
      <c r="W152" s="16">
        <f>LCOE!Z178+V152*IF(LCOE!K$14&gt;0,G152,H152)</f>
        <v>0</v>
      </c>
      <c r="X152" s="16">
        <f>LCOE!AA178+LCOE!K$34</f>
        <v>101</v>
      </c>
      <c r="Y152" s="16">
        <f t="shared" si="29"/>
        <v>0</v>
      </c>
      <c r="Z152" s="50">
        <f t="shared" si="32"/>
        <v>0</v>
      </c>
      <c r="AA152" s="50">
        <f t="shared" si="33"/>
        <v>0</v>
      </c>
      <c r="AB152" s="50">
        <f t="shared" si="34"/>
        <v>0</v>
      </c>
      <c r="AC152" s="50">
        <f t="shared" si="30"/>
        <v>0</v>
      </c>
      <c r="AD152" s="50">
        <f t="shared" si="25"/>
        <v>0</v>
      </c>
      <c r="AE152">
        <f t="shared" si="31"/>
        <v>30</v>
      </c>
      <c r="AF152" s="12">
        <f>LCOE!E178+LCOE!K$40</f>
        <v>0.14000000000000001</v>
      </c>
      <c r="AG152">
        <f t="shared" si="26"/>
        <v>46365.805556718704</v>
      </c>
      <c r="AH152" s="16">
        <f t="shared" si="21"/>
        <v>0</v>
      </c>
      <c r="AI152" s="16">
        <f t="shared" si="22"/>
        <v>0</v>
      </c>
      <c r="AJ152" s="16">
        <f t="shared" si="23"/>
        <v>0</v>
      </c>
      <c r="AK152" s="16">
        <f t="shared" si="24"/>
        <v>0</v>
      </c>
      <c r="AL152" s="16">
        <f t="shared" si="27"/>
        <v>0</v>
      </c>
      <c r="AM152" s="16">
        <f t="shared" si="28"/>
        <v>0</v>
      </c>
      <c r="AN152" s="16">
        <f>IF(LCOE!K$14&gt;0,G152,H152)/AG152</f>
        <v>0</v>
      </c>
    </row>
    <row r="153" spans="1:40">
      <c r="A153">
        <v>83</v>
      </c>
      <c r="C153" s="16">
        <f>LCOE!K179+IF(AND(LCOE!K$26&gt;0,A153&gt;=LCOE!K$26,A153&lt;=(LCOE!K$26+LCOE!K$27-1)),LCOE!K$42/LCOE!K$27,0)+IF(AND(D153=0,AE153&gt;=LCOE!K$16,COUNTIF(D128:D153,0)=LCOE!K$36),LCOE!K$35*LCOE!K$38,0)</f>
        <v>0</v>
      </c>
      <c r="D153" s="16">
        <f>IF(AE152&lt;LCOE!K$16,1,0)</f>
        <v>0</v>
      </c>
      <c r="E153" s="12">
        <f>LCOE!G179+IF(AND(A153&gt;=LCOE!K$26,A153&lt;=(LCOE!K$26+LCOE!K$27-1)),0,1)*IF(A153=LCOE!K$34,0,1)*D153</f>
        <v>0</v>
      </c>
      <c r="F153" s="12">
        <f>IF(F152&lt;LCOE!K$18,MIN(F152*(1+LCOE!K$19),LCOE!K$18),LCOE!K$18)+LCOE!J179</f>
        <v>0.9</v>
      </c>
      <c r="G153" s="16">
        <f>LCOE!K179+E153*F153*N153*(LCOE!K$14+LCOE!H179)*24*365*D153</f>
        <v>0</v>
      </c>
      <c r="H153" s="16">
        <f>LCOE!L179+F153*(LCOE!K$15+LCOE!I179)*E153*24*365*D153*N153</f>
        <v>0</v>
      </c>
      <c r="I153" s="16">
        <f>LCOE!M179+LCOE!K$20*IF(LCOE!K$14&gt;0,(LCOE!K$14+LCOE!H179),(LCOE!K$15+LCOE!I179))*K153*D153</f>
        <v>0</v>
      </c>
      <c r="J153" s="16">
        <f>LCOE!N179+LCOE!K$21*IF(LCOE!K$14&gt;0,G153,H153)*K153*D153</f>
        <v>0</v>
      </c>
      <c r="K153" s="15">
        <f>LCOE!O179+K152+K152*LCOE!K$22</f>
        <v>1</v>
      </c>
      <c r="L153" s="16">
        <f>LCOE!P179+LCOE!K$23*IF(LCOE!K$14&gt;0,G153,H153)*M153*D153</f>
        <v>0</v>
      </c>
      <c r="M153" s="15">
        <f>LCOE!Q179+M152+M152*LCOE!K$24</f>
        <v>1</v>
      </c>
      <c r="N153" s="15">
        <f>LCOE!R179+N152-N152*LCOE!K$25</f>
        <v>1</v>
      </c>
      <c r="O153" s="18">
        <f>LCOE!S179+LCOE!K$29</f>
        <v>313.75</v>
      </c>
      <c r="P153" s="12">
        <f>LCOE!T179+IF(A153&gt;=LCOE!K$30,100%,0%)</f>
        <v>1</v>
      </c>
      <c r="Q153" s="16">
        <f>LCOE!U179+O153/1000*IF(LCOE!K$14&gt;0,G153,H153)</f>
        <v>0</v>
      </c>
      <c r="R153" s="16">
        <f>LCOE!B179</f>
        <v>30</v>
      </c>
      <c r="S153" s="16">
        <f>LCOE!V179+Q153*P153*R153</f>
        <v>0</v>
      </c>
      <c r="T153" s="16">
        <f>LCOE!W179+LCOE!K$31</f>
        <v>0</v>
      </c>
      <c r="U153" s="16">
        <f>LCOE!X179+T153*IF(LCOE!K$14&gt;0,G153,H153)</f>
        <v>0</v>
      </c>
      <c r="V153" s="16">
        <f>LCOE!Y179+LCOE!K$32</f>
        <v>0</v>
      </c>
      <c r="W153" s="16">
        <f>LCOE!Z179+V153*IF(LCOE!K$14&gt;0,G153,H153)</f>
        <v>0</v>
      </c>
      <c r="X153" s="16">
        <f>LCOE!AA179+LCOE!K$34</f>
        <v>101</v>
      </c>
      <c r="Y153" s="16">
        <f t="shared" si="29"/>
        <v>0</v>
      </c>
      <c r="Z153" s="50">
        <f t="shared" si="32"/>
        <v>0</v>
      </c>
      <c r="AA153" s="50">
        <f t="shared" si="33"/>
        <v>0</v>
      </c>
      <c r="AB153" s="50">
        <f t="shared" si="34"/>
        <v>0</v>
      </c>
      <c r="AC153" s="50">
        <f t="shared" si="30"/>
        <v>0</v>
      </c>
      <c r="AD153" s="50">
        <f t="shared" si="25"/>
        <v>0</v>
      </c>
      <c r="AE153">
        <f t="shared" si="31"/>
        <v>30</v>
      </c>
      <c r="AF153" s="12">
        <f>LCOE!E179+LCOE!K$40</f>
        <v>0.14000000000000001</v>
      </c>
      <c r="AG153">
        <f t="shared" si="26"/>
        <v>52857.018334659326</v>
      </c>
      <c r="AH153" s="16">
        <f t="shared" si="21"/>
        <v>0</v>
      </c>
      <c r="AI153" s="16">
        <f t="shared" si="22"/>
        <v>0</v>
      </c>
      <c r="AJ153" s="16">
        <f t="shared" si="23"/>
        <v>0</v>
      </c>
      <c r="AK153" s="16">
        <f t="shared" si="24"/>
        <v>0</v>
      </c>
      <c r="AL153" s="16">
        <f t="shared" si="27"/>
        <v>0</v>
      </c>
      <c r="AM153" s="16">
        <f t="shared" si="28"/>
        <v>0</v>
      </c>
      <c r="AN153" s="16">
        <f>IF(LCOE!K$14&gt;0,G153,H153)/AG153</f>
        <v>0</v>
      </c>
    </row>
    <row r="154" spans="1:40">
      <c r="A154">
        <v>84</v>
      </c>
      <c r="C154" s="16">
        <f>LCOE!K180+IF(AND(LCOE!K$26&gt;0,A154&gt;=LCOE!K$26,A154&lt;=(LCOE!K$26+LCOE!K$27-1)),LCOE!K$42/LCOE!K$27,0)+IF(AND(D154=0,AE154&gt;=LCOE!K$16,COUNTIF(D129:D154,0)=LCOE!K$36),LCOE!K$35*LCOE!K$38,0)</f>
        <v>0</v>
      </c>
      <c r="D154" s="16">
        <f>IF(AE153&lt;LCOE!K$16,1,0)</f>
        <v>0</v>
      </c>
      <c r="E154" s="12">
        <f>LCOE!G180+IF(AND(A154&gt;=LCOE!K$26,A154&lt;=(LCOE!K$26+LCOE!K$27-1)),0,1)*IF(A154=LCOE!K$34,0,1)*D154</f>
        <v>0</v>
      </c>
      <c r="F154" s="12">
        <f>IF(F153&lt;LCOE!K$18,MIN(F153*(1+LCOE!K$19),LCOE!K$18),LCOE!K$18)+LCOE!J180</f>
        <v>0.9</v>
      </c>
      <c r="G154" s="16">
        <f>LCOE!K180+E154*F154*N154*(LCOE!K$14+LCOE!H180)*24*365*D154</f>
        <v>0</v>
      </c>
      <c r="H154" s="16">
        <f>LCOE!L180+F154*(LCOE!K$15+LCOE!I180)*E154*24*365*D154*N154</f>
        <v>0</v>
      </c>
      <c r="I154" s="16">
        <f>LCOE!M180+LCOE!K$20*IF(LCOE!K$14&gt;0,(LCOE!K$14+LCOE!H180),(LCOE!K$15+LCOE!I180))*K154*D154</f>
        <v>0</v>
      </c>
      <c r="J154" s="16">
        <f>LCOE!N180+LCOE!K$21*IF(LCOE!K$14&gt;0,G154,H154)*K154*D154</f>
        <v>0</v>
      </c>
      <c r="K154" s="15">
        <f>LCOE!O180+K153+K153*LCOE!K$22</f>
        <v>1</v>
      </c>
      <c r="L154" s="16">
        <f>LCOE!P180+LCOE!K$23*IF(LCOE!K$14&gt;0,G154,H154)*M154*D154</f>
        <v>0</v>
      </c>
      <c r="M154" s="15">
        <f>LCOE!Q180+M153+M153*LCOE!K$24</f>
        <v>1</v>
      </c>
      <c r="N154" s="15">
        <f>LCOE!R180+N153-N153*LCOE!K$25</f>
        <v>1</v>
      </c>
      <c r="O154" s="18">
        <f>LCOE!S180+LCOE!K$29</f>
        <v>313.75</v>
      </c>
      <c r="P154" s="12">
        <f>LCOE!T180+IF(A154&gt;=LCOE!K$30,100%,0%)</f>
        <v>1</v>
      </c>
      <c r="Q154" s="16">
        <f>LCOE!U180+O154/1000*IF(LCOE!K$14&gt;0,G154,H154)</f>
        <v>0</v>
      </c>
      <c r="R154" s="16">
        <f>LCOE!B180</f>
        <v>30</v>
      </c>
      <c r="S154" s="16">
        <f>LCOE!V180+Q154*P154*R154</f>
        <v>0</v>
      </c>
      <c r="T154" s="16">
        <f>LCOE!W180+LCOE!K$31</f>
        <v>0</v>
      </c>
      <c r="U154" s="16">
        <f>LCOE!X180+T154*IF(LCOE!K$14&gt;0,G154,H154)</f>
        <v>0</v>
      </c>
      <c r="V154" s="16">
        <f>LCOE!Y180+LCOE!K$32</f>
        <v>0</v>
      </c>
      <c r="W154" s="16">
        <f>LCOE!Z180+V154*IF(LCOE!K$14&gt;0,G154,H154)</f>
        <v>0</v>
      </c>
      <c r="X154" s="16">
        <f>LCOE!AA180+LCOE!K$34</f>
        <v>101</v>
      </c>
      <c r="Y154" s="16">
        <f t="shared" si="29"/>
        <v>0</v>
      </c>
      <c r="Z154" s="50">
        <f t="shared" si="32"/>
        <v>0</v>
      </c>
      <c r="AA154" s="50">
        <f t="shared" si="33"/>
        <v>0</v>
      </c>
      <c r="AB154" s="50">
        <f t="shared" si="34"/>
        <v>0</v>
      </c>
      <c r="AC154" s="50">
        <f t="shared" si="30"/>
        <v>0</v>
      </c>
      <c r="AD154" s="50">
        <f t="shared" si="25"/>
        <v>0</v>
      </c>
      <c r="AE154">
        <f t="shared" si="31"/>
        <v>30</v>
      </c>
      <c r="AF154" s="12">
        <f>LCOE!E180+LCOE!K$40</f>
        <v>0.14000000000000001</v>
      </c>
      <c r="AG154">
        <f t="shared" si="26"/>
        <v>60257.000901511637</v>
      </c>
      <c r="AH154" s="16">
        <f t="shared" si="21"/>
        <v>0</v>
      </c>
      <c r="AI154" s="16">
        <f t="shared" si="22"/>
        <v>0</v>
      </c>
      <c r="AJ154" s="16">
        <f t="shared" si="23"/>
        <v>0</v>
      </c>
      <c r="AK154" s="16">
        <f t="shared" si="24"/>
        <v>0</v>
      </c>
      <c r="AL154" s="16">
        <f t="shared" si="27"/>
        <v>0</v>
      </c>
      <c r="AM154" s="16">
        <f t="shared" si="28"/>
        <v>0</v>
      </c>
      <c r="AN154" s="16">
        <f>IF(LCOE!K$14&gt;0,G154,H154)/AG154</f>
        <v>0</v>
      </c>
    </row>
    <row r="155" spans="1:40">
      <c r="A155">
        <v>85</v>
      </c>
      <c r="C155" s="16">
        <f>LCOE!K181+IF(AND(LCOE!K$26&gt;0,A155&gt;=LCOE!K$26,A155&lt;=(LCOE!K$26+LCOE!K$27-1)),LCOE!K$42/LCOE!K$27,0)+IF(AND(D155=0,AE155&gt;=LCOE!K$16,COUNTIF(D130:D155,0)=LCOE!K$36),LCOE!K$35*LCOE!K$38,0)</f>
        <v>0</v>
      </c>
      <c r="D155" s="16">
        <f>IF(AE154&lt;LCOE!K$16,1,0)</f>
        <v>0</v>
      </c>
      <c r="E155" s="12">
        <f>LCOE!G181+IF(AND(A155&gt;=LCOE!K$26,A155&lt;=(LCOE!K$26+LCOE!K$27-1)),0,1)*IF(A155=LCOE!K$34,0,1)*D155</f>
        <v>0</v>
      </c>
      <c r="F155" s="12">
        <f>IF(F154&lt;LCOE!K$18,MIN(F154*(1+LCOE!K$19),LCOE!K$18),LCOE!K$18)+LCOE!J181</f>
        <v>0.9</v>
      </c>
      <c r="G155" s="16">
        <f>LCOE!K181+E155*F155*N155*(LCOE!K$14+LCOE!H181)*24*365*D155</f>
        <v>0</v>
      </c>
      <c r="H155" s="16">
        <f>LCOE!L181+F155*(LCOE!K$15+LCOE!I181)*E155*24*365*D155*N155</f>
        <v>0</v>
      </c>
      <c r="I155" s="16">
        <f>LCOE!M181+LCOE!K$20*IF(LCOE!K$14&gt;0,(LCOE!K$14+LCOE!H181),(LCOE!K$15+LCOE!I181))*K155*D155</f>
        <v>0</v>
      </c>
      <c r="J155" s="16">
        <f>LCOE!N181+LCOE!K$21*IF(LCOE!K$14&gt;0,G155,H155)*K155*D155</f>
        <v>0</v>
      </c>
      <c r="K155" s="15">
        <f>LCOE!O181+K154+K154*LCOE!K$22</f>
        <v>1</v>
      </c>
      <c r="L155" s="16">
        <f>LCOE!P181+LCOE!K$23*IF(LCOE!K$14&gt;0,G155,H155)*M155*D155</f>
        <v>0</v>
      </c>
      <c r="M155" s="15">
        <f>LCOE!Q181+M154+M154*LCOE!K$24</f>
        <v>1</v>
      </c>
      <c r="N155" s="15">
        <f>LCOE!R181+N154-N154*LCOE!K$25</f>
        <v>1</v>
      </c>
      <c r="O155" s="18">
        <f>LCOE!S181+LCOE!K$29</f>
        <v>313.75</v>
      </c>
      <c r="P155" s="12">
        <f>LCOE!T181+IF(A155&gt;=LCOE!K$30,100%,0%)</f>
        <v>1</v>
      </c>
      <c r="Q155" s="16">
        <f>LCOE!U181+O155/1000*IF(LCOE!K$14&gt;0,G155,H155)</f>
        <v>0</v>
      </c>
      <c r="R155" s="16">
        <f>LCOE!B181</f>
        <v>30</v>
      </c>
      <c r="S155" s="16">
        <f>LCOE!V181+Q155*P155*R155</f>
        <v>0</v>
      </c>
      <c r="T155" s="16">
        <f>LCOE!W181+LCOE!K$31</f>
        <v>0</v>
      </c>
      <c r="U155" s="16">
        <f>LCOE!X181+T155*IF(LCOE!K$14&gt;0,G155,H155)</f>
        <v>0</v>
      </c>
      <c r="V155" s="16">
        <f>LCOE!Y181+LCOE!K$32</f>
        <v>0</v>
      </c>
      <c r="W155" s="16">
        <f>LCOE!Z181+V155*IF(LCOE!K$14&gt;0,G155,H155)</f>
        <v>0</v>
      </c>
      <c r="X155" s="16">
        <f>LCOE!AA181+LCOE!K$34</f>
        <v>101</v>
      </c>
      <c r="Y155" s="16">
        <f t="shared" si="29"/>
        <v>0</v>
      </c>
      <c r="Z155" s="50">
        <f t="shared" si="32"/>
        <v>0</v>
      </c>
      <c r="AA155" s="50">
        <f t="shared" si="33"/>
        <v>0</v>
      </c>
      <c r="AB155" s="50">
        <f t="shared" si="34"/>
        <v>0</v>
      </c>
      <c r="AC155" s="50">
        <f t="shared" si="30"/>
        <v>0</v>
      </c>
      <c r="AD155" s="50">
        <f t="shared" si="25"/>
        <v>0</v>
      </c>
      <c r="AE155">
        <f t="shared" si="31"/>
        <v>30</v>
      </c>
      <c r="AF155" s="12">
        <f>LCOE!E181+LCOE!K$40</f>
        <v>0.14000000000000001</v>
      </c>
      <c r="AG155">
        <f t="shared" si="26"/>
        <v>68692.981027723275</v>
      </c>
      <c r="AH155" s="16">
        <f t="shared" si="21"/>
        <v>0</v>
      </c>
      <c r="AI155" s="16">
        <f t="shared" si="22"/>
        <v>0</v>
      </c>
      <c r="AJ155" s="16">
        <f t="shared" si="23"/>
        <v>0</v>
      </c>
      <c r="AK155" s="16">
        <f t="shared" si="24"/>
        <v>0</v>
      </c>
      <c r="AL155" s="16">
        <f t="shared" si="27"/>
        <v>0</v>
      </c>
      <c r="AM155" s="16">
        <f t="shared" si="28"/>
        <v>0</v>
      </c>
      <c r="AN155" s="16">
        <f>IF(LCOE!K$14&gt;0,G155,H155)/AG155</f>
        <v>0</v>
      </c>
    </row>
    <row r="156" spans="1:40">
      <c r="A156">
        <v>86</v>
      </c>
      <c r="C156" s="16">
        <f>LCOE!K182+IF(AND(LCOE!K$26&gt;0,A156&gt;=LCOE!K$26,A156&lt;=(LCOE!K$26+LCOE!K$27-1)),LCOE!K$42/LCOE!K$27,0)+IF(AND(D156=0,AE156&gt;=LCOE!K$16,COUNTIF(D131:D156,0)=LCOE!K$36),LCOE!K$35*LCOE!K$38,0)</f>
        <v>0</v>
      </c>
      <c r="D156" s="16">
        <f>IF(AE155&lt;LCOE!K$16,1,0)</f>
        <v>0</v>
      </c>
      <c r="E156" s="12">
        <f>LCOE!G182+IF(AND(A156&gt;=LCOE!K$26,A156&lt;=(LCOE!K$26+LCOE!K$27-1)),0,1)*IF(A156=LCOE!K$34,0,1)*D156</f>
        <v>0</v>
      </c>
      <c r="F156" s="12">
        <f>IF(F155&lt;LCOE!K$18,MIN(F155*(1+LCOE!K$19),LCOE!K$18),LCOE!K$18)+LCOE!J182</f>
        <v>0.9</v>
      </c>
      <c r="G156" s="16">
        <f>LCOE!K182+E156*F156*N156*(LCOE!K$14+LCOE!H182)*24*365*D156</f>
        <v>0</v>
      </c>
      <c r="H156" s="16">
        <f>LCOE!L182+F156*(LCOE!K$15+LCOE!I182)*E156*24*365*D156*N156</f>
        <v>0</v>
      </c>
      <c r="I156" s="16">
        <f>LCOE!M182+LCOE!K$20*IF(LCOE!K$14&gt;0,(LCOE!K$14+LCOE!H182),(LCOE!K$15+LCOE!I182))*K156*D156</f>
        <v>0</v>
      </c>
      <c r="J156" s="16">
        <f>LCOE!N182+LCOE!K$21*IF(LCOE!K$14&gt;0,G156,H156)*K156*D156</f>
        <v>0</v>
      </c>
      <c r="K156" s="15">
        <f>LCOE!O182+K155+K155*LCOE!K$22</f>
        <v>1</v>
      </c>
      <c r="L156" s="16">
        <f>LCOE!P182+LCOE!K$23*IF(LCOE!K$14&gt;0,G156,H156)*M156*D156</f>
        <v>0</v>
      </c>
      <c r="M156" s="15">
        <f>LCOE!Q182+M155+M155*LCOE!K$24</f>
        <v>1</v>
      </c>
      <c r="N156" s="15">
        <f>LCOE!R182+N155-N155*LCOE!K$25</f>
        <v>1</v>
      </c>
      <c r="O156" s="18">
        <f>LCOE!S182+LCOE!K$29</f>
        <v>313.75</v>
      </c>
      <c r="P156" s="12">
        <f>LCOE!T182+IF(A156&gt;=LCOE!K$30,100%,0%)</f>
        <v>1</v>
      </c>
      <c r="Q156" s="16">
        <f>LCOE!U182+O156/1000*IF(LCOE!K$14&gt;0,G156,H156)</f>
        <v>0</v>
      </c>
      <c r="R156" s="16">
        <f>LCOE!B182</f>
        <v>30</v>
      </c>
      <c r="S156" s="16">
        <f>LCOE!V182+Q156*P156*R156</f>
        <v>0</v>
      </c>
      <c r="T156" s="16">
        <f>LCOE!W182+LCOE!K$31</f>
        <v>0</v>
      </c>
      <c r="U156" s="16">
        <f>LCOE!X182+T156*IF(LCOE!K$14&gt;0,G156,H156)</f>
        <v>0</v>
      </c>
      <c r="V156" s="16">
        <f>LCOE!Y182+LCOE!K$32</f>
        <v>0</v>
      </c>
      <c r="W156" s="16">
        <f>LCOE!Z182+V156*IF(LCOE!K$14&gt;0,G156,H156)</f>
        <v>0</v>
      </c>
      <c r="X156" s="16">
        <f>LCOE!AA182+LCOE!K$34</f>
        <v>101</v>
      </c>
      <c r="Y156" s="16">
        <f t="shared" si="29"/>
        <v>0</v>
      </c>
      <c r="Z156" s="50">
        <f t="shared" si="32"/>
        <v>0</v>
      </c>
      <c r="AA156" s="50">
        <f t="shared" si="33"/>
        <v>0</v>
      </c>
      <c r="AB156" s="50">
        <f t="shared" si="34"/>
        <v>0</v>
      </c>
      <c r="AC156" s="50">
        <f t="shared" si="30"/>
        <v>0</v>
      </c>
      <c r="AD156" s="50">
        <f t="shared" si="25"/>
        <v>0</v>
      </c>
      <c r="AE156">
        <f t="shared" si="31"/>
        <v>30</v>
      </c>
      <c r="AF156" s="12">
        <f>LCOE!E182+LCOE!K$40</f>
        <v>0.14000000000000001</v>
      </c>
      <c r="AG156">
        <f t="shared" si="26"/>
        <v>78309.998371604539</v>
      </c>
      <c r="AH156" s="16">
        <f t="shared" si="21"/>
        <v>0</v>
      </c>
      <c r="AI156" s="16">
        <f t="shared" si="22"/>
        <v>0</v>
      </c>
      <c r="AJ156" s="16">
        <f t="shared" si="23"/>
        <v>0</v>
      </c>
      <c r="AK156" s="16">
        <f t="shared" si="24"/>
        <v>0</v>
      </c>
      <c r="AL156" s="16">
        <f t="shared" si="27"/>
        <v>0</v>
      </c>
      <c r="AM156" s="16">
        <f t="shared" si="28"/>
        <v>0</v>
      </c>
      <c r="AN156" s="16">
        <f>IF(LCOE!K$14&gt;0,G156,H156)/AG156</f>
        <v>0</v>
      </c>
    </row>
    <row r="157" spans="1:40">
      <c r="A157">
        <v>87</v>
      </c>
      <c r="C157" s="16">
        <f>LCOE!K183+IF(AND(LCOE!K$26&gt;0,A157&gt;=LCOE!K$26,A157&lt;=(LCOE!K$26+LCOE!K$27-1)),LCOE!K$42/LCOE!K$27,0)+IF(AND(D157=0,AE157&gt;=LCOE!K$16,COUNTIF(D132:D157,0)=LCOE!K$36),LCOE!K$35*LCOE!K$38,0)</f>
        <v>0</v>
      </c>
      <c r="D157" s="16">
        <f>IF(AE156&lt;LCOE!K$16,1,0)</f>
        <v>0</v>
      </c>
      <c r="E157" s="12">
        <f>LCOE!G183+IF(AND(A157&gt;=LCOE!K$26,A157&lt;=(LCOE!K$26+LCOE!K$27-1)),0,1)*IF(A157=LCOE!K$34,0,1)*D157</f>
        <v>0</v>
      </c>
      <c r="F157" s="12">
        <f>IF(F156&lt;LCOE!K$18,MIN(F156*(1+LCOE!K$19),LCOE!K$18),LCOE!K$18)+LCOE!J183</f>
        <v>0.9</v>
      </c>
      <c r="G157" s="16">
        <f>LCOE!K183+E157*F157*N157*(LCOE!K$14+LCOE!H183)*24*365*D157</f>
        <v>0</v>
      </c>
      <c r="H157" s="16">
        <f>LCOE!L183+F157*(LCOE!K$15+LCOE!I183)*E157*24*365*D157*N157</f>
        <v>0</v>
      </c>
      <c r="I157" s="16">
        <f>LCOE!M183+LCOE!K$20*IF(LCOE!K$14&gt;0,(LCOE!K$14+LCOE!H183),(LCOE!K$15+LCOE!I183))*K157*D157</f>
        <v>0</v>
      </c>
      <c r="J157" s="16">
        <f>LCOE!N183+LCOE!K$21*IF(LCOE!K$14&gt;0,G157,H157)*K157*D157</f>
        <v>0</v>
      </c>
      <c r="K157" s="15">
        <f>LCOE!O183+K156+K156*LCOE!K$22</f>
        <v>1</v>
      </c>
      <c r="L157" s="16">
        <f>LCOE!P183+LCOE!K$23*IF(LCOE!K$14&gt;0,G157,H157)*M157*D157</f>
        <v>0</v>
      </c>
      <c r="M157" s="15">
        <f>LCOE!Q183+M156+M156*LCOE!K$24</f>
        <v>1</v>
      </c>
      <c r="N157" s="15">
        <f>LCOE!R183+N156-N156*LCOE!K$25</f>
        <v>1</v>
      </c>
      <c r="O157" s="18">
        <f>LCOE!S183+LCOE!K$29</f>
        <v>313.75</v>
      </c>
      <c r="P157" s="12">
        <f>LCOE!T183+IF(A157&gt;=LCOE!K$30,100%,0%)</f>
        <v>1</v>
      </c>
      <c r="Q157" s="16">
        <f>LCOE!U183+O157/1000*IF(LCOE!K$14&gt;0,G157,H157)</f>
        <v>0</v>
      </c>
      <c r="R157" s="16">
        <f>LCOE!B183</f>
        <v>30</v>
      </c>
      <c r="S157" s="16">
        <f>LCOE!V183+Q157*P157*R157</f>
        <v>0</v>
      </c>
      <c r="T157" s="16">
        <f>LCOE!W183+LCOE!K$31</f>
        <v>0</v>
      </c>
      <c r="U157" s="16">
        <f>LCOE!X183+T157*IF(LCOE!K$14&gt;0,G157,H157)</f>
        <v>0</v>
      </c>
      <c r="V157" s="16">
        <f>LCOE!Y183+LCOE!K$32</f>
        <v>0</v>
      </c>
      <c r="W157" s="16">
        <f>LCOE!Z183+V157*IF(LCOE!K$14&gt;0,G157,H157)</f>
        <v>0</v>
      </c>
      <c r="X157" s="16">
        <f>LCOE!AA183+LCOE!K$34</f>
        <v>101</v>
      </c>
      <c r="Y157" s="16">
        <f t="shared" si="29"/>
        <v>0</v>
      </c>
      <c r="Z157" s="50">
        <f t="shared" si="32"/>
        <v>0</v>
      </c>
      <c r="AA157" s="50">
        <f t="shared" si="33"/>
        <v>0</v>
      </c>
      <c r="AB157" s="50">
        <f t="shared" si="34"/>
        <v>0</v>
      </c>
      <c r="AC157" s="50">
        <f t="shared" si="30"/>
        <v>0</v>
      </c>
      <c r="AD157" s="50">
        <f t="shared" si="25"/>
        <v>0</v>
      </c>
      <c r="AE157">
        <f t="shared" si="31"/>
        <v>30</v>
      </c>
      <c r="AF157" s="12">
        <f>LCOE!E183+LCOE!K$40</f>
        <v>0.14000000000000001</v>
      </c>
      <c r="AG157">
        <f t="shared" si="26"/>
        <v>89273.398143629194</v>
      </c>
      <c r="AH157" s="16">
        <f t="shared" si="21"/>
        <v>0</v>
      </c>
      <c r="AI157" s="16">
        <f t="shared" si="22"/>
        <v>0</v>
      </c>
      <c r="AJ157" s="16">
        <f t="shared" si="23"/>
        <v>0</v>
      </c>
      <c r="AK157" s="16">
        <f t="shared" si="24"/>
        <v>0</v>
      </c>
      <c r="AL157" s="16">
        <f t="shared" si="27"/>
        <v>0</v>
      </c>
      <c r="AM157" s="16">
        <f t="shared" si="28"/>
        <v>0</v>
      </c>
      <c r="AN157" s="16">
        <f>IF(LCOE!K$14&gt;0,G157,H157)/AG157</f>
        <v>0</v>
      </c>
    </row>
    <row r="158" spans="1:40">
      <c r="A158">
        <v>88</v>
      </c>
      <c r="C158" s="16">
        <f>LCOE!K184+IF(AND(LCOE!K$26&gt;0,A158&gt;=LCOE!K$26,A158&lt;=(LCOE!K$26+LCOE!K$27-1)),LCOE!K$42/LCOE!K$27,0)+IF(AND(D158=0,AE158&gt;=LCOE!K$16,COUNTIF(D133:D158,0)=LCOE!K$36),LCOE!K$35*LCOE!K$38,0)</f>
        <v>0</v>
      </c>
      <c r="D158" s="16">
        <f>IF(AE157&lt;LCOE!K$16,1,0)</f>
        <v>0</v>
      </c>
      <c r="E158" s="12">
        <f>LCOE!G184+IF(AND(A158&gt;=LCOE!K$26,A158&lt;=(LCOE!K$26+LCOE!K$27-1)),0,1)*IF(A158=LCOE!K$34,0,1)*D158</f>
        <v>0</v>
      </c>
      <c r="F158" s="12">
        <f>IF(F157&lt;LCOE!K$18,MIN(F157*(1+LCOE!K$19),LCOE!K$18),LCOE!K$18)+LCOE!J184</f>
        <v>0.9</v>
      </c>
      <c r="G158" s="16">
        <f>LCOE!K184+E158*F158*N158*(LCOE!K$14+LCOE!H184)*24*365*D158</f>
        <v>0</v>
      </c>
      <c r="H158" s="16">
        <f>LCOE!L184+F158*(LCOE!K$15+LCOE!I184)*E158*24*365*D158*N158</f>
        <v>0</v>
      </c>
      <c r="I158" s="16">
        <f>LCOE!M184+LCOE!K$20*IF(LCOE!K$14&gt;0,(LCOE!K$14+LCOE!H184),(LCOE!K$15+LCOE!I184))*K158*D158</f>
        <v>0</v>
      </c>
      <c r="J158" s="16">
        <f>LCOE!N184+LCOE!K$21*IF(LCOE!K$14&gt;0,G158,H158)*K158*D158</f>
        <v>0</v>
      </c>
      <c r="K158" s="15">
        <f>LCOE!O184+K157+K157*LCOE!K$22</f>
        <v>1</v>
      </c>
      <c r="L158" s="16">
        <f>LCOE!P184+LCOE!K$23*IF(LCOE!K$14&gt;0,G158,H158)*M158*D158</f>
        <v>0</v>
      </c>
      <c r="M158" s="15">
        <f>LCOE!Q184+M157+M157*LCOE!K$24</f>
        <v>1</v>
      </c>
      <c r="N158" s="15">
        <f>LCOE!R184+N157-N157*LCOE!K$25</f>
        <v>1</v>
      </c>
      <c r="O158" s="18">
        <f>LCOE!S184+LCOE!K$29</f>
        <v>313.75</v>
      </c>
      <c r="P158" s="12">
        <f>LCOE!T184+IF(A158&gt;=LCOE!K$30,100%,0%)</f>
        <v>1</v>
      </c>
      <c r="Q158" s="16">
        <f>LCOE!U184+O158/1000*IF(LCOE!K$14&gt;0,G158,H158)</f>
        <v>0</v>
      </c>
      <c r="R158" s="16">
        <f>LCOE!B184</f>
        <v>30</v>
      </c>
      <c r="S158" s="16">
        <f>LCOE!V184+Q158*P158*R158</f>
        <v>0</v>
      </c>
      <c r="T158" s="16">
        <f>LCOE!W184+LCOE!K$31</f>
        <v>0</v>
      </c>
      <c r="U158" s="16">
        <f>LCOE!X184+T158*IF(LCOE!K$14&gt;0,G158,H158)</f>
        <v>0</v>
      </c>
      <c r="V158" s="16">
        <f>LCOE!Y184+LCOE!K$32</f>
        <v>0</v>
      </c>
      <c r="W158" s="16">
        <f>LCOE!Z184+V158*IF(LCOE!K$14&gt;0,G158,H158)</f>
        <v>0</v>
      </c>
      <c r="X158" s="16">
        <f>LCOE!AA184+LCOE!K$34</f>
        <v>101</v>
      </c>
      <c r="Y158" s="16">
        <f t="shared" si="29"/>
        <v>0</v>
      </c>
      <c r="Z158" s="50">
        <f t="shared" si="32"/>
        <v>0</v>
      </c>
      <c r="AA158" s="50">
        <f t="shared" si="33"/>
        <v>0</v>
      </c>
      <c r="AB158" s="50">
        <f t="shared" si="34"/>
        <v>0</v>
      </c>
      <c r="AC158" s="50">
        <f t="shared" si="30"/>
        <v>0</v>
      </c>
      <c r="AD158" s="50">
        <f t="shared" si="25"/>
        <v>0</v>
      </c>
      <c r="AE158">
        <f t="shared" si="31"/>
        <v>30</v>
      </c>
      <c r="AF158" s="12">
        <f>LCOE!E184+LCOE!K$40</f>
        <v>0.14000000000000001</v>
      </c>
      <c r="AG158">
        <f t="shared" si="26"/>
        <v>101771.67388373731</v>
      </c>
      <c r="AH158" s="16">
        <f t="shared" si="21"/>
        <v>0</v>
      </c>
      <c r="AI158" s="16">
        <f t="shared" si="22"/>
        <v>0</v>
      </c>
      <c r="AJ158" s="16">
        <f t="shared" si="23"/>
        <v>0</v>
      </c>
      <c r="AK158" s="16">
        <f t="shared" si="24"/>
        <v>0</v>
      </c>
      <c r="AL158" s="16">
        <f t="shared" si="27"/>
        <v>0</v>
      </c>
      <c r="AM158" s="16">
        <f t="shared" si="28"/>
        <v>0</v>
      </c>
      <c r="AN158" s="16">
        <f>IF(LCOE!K$14&gt;0,G158,H158)/AG158</f>
        <v>0</v>
      </c>
    </row>
    <row r="159" spans="1:40">
      <c r="A159">
        <v>89</v>
      </c>
      <c r="C159" s="16">
        <f>LCOE!K185+IF(AND(LCOE!K$26&gt;0,A159&gt;=LCOE!K$26,A159&lt;=(LCOE!K$26+LCOE!K$27-1)),LCOE!K$42/LCOE!K$27,0)+IF(AND(D159=0,AE159&gt;=LCOE!K$16,COUNTIF(D134:D159,0)=LCOE!K$36),LCOE!K$35*LCOE!K$38,0)</f>
        <v>0</v>
      </c>
      <c r="D159" s="16">
        <f>IF(AE158&lt;LCOE!K$16,1,0)</f>
        <v>0</v>
      </c>
      <c r="E159" s="12">
        <f>LCOE!G185+IF(AND(A159&gt;=LCOE!K$26,A159&lt;=(LCOE!K$26+LCOE!K$27-1)),0,1)*IF(A159=LCOE!K$34,0,1)*D159</f>
        <v>0</v>
      </c>
      <c r="F159" s="12">
        <f>IF(F158&lt;LCOE!K$18,MIN(F158*(1+LCOE!K$19),LCOE!K$18),LCOE!K$18)+LCOE!J185</f>
        <v>0.9</v>
      </c>
      <c r="G159" s="16">
        <f>LCOE!K185+E159*F159*N159*(LCOE!K$14+LCOE!H185)*24*365*D159</f>
        <v>0</v>
      </c>
      <c r="H159" s="16">
        <f>LCOE!L185+F159*(LCOE!K$15+LCOE!I185)*E159*24*365*D159*N159</f>
        <v>0</v>
      </c>
      <c r="I159" s="16">
        <f>LCOE!M185+LCOE!K$20*IF(LCOE!K$14&gt;0,(LCOE!K$14+LCOE!H185),(LCOE!K$15+LCOE!I185))*K159*D159</f>
        <v>0</v>
      </c>
      <c r="J159" s="16">
        <f>LCOE!N185+LCOE!K$21*IF(LCOE!K$14&gt;0,G159,H159)*K159*D159</f>
        <v>0</v>
      </c>
      <c r="K159" s="15">
        <f>LCOE!O185+K158+K158*LCOE!K$22</f>
        <v>1</v>
      </c>
      <c r="L159" s="16">
        <f>LCOE!P185+LCOE!K$23*IF(LCOE!K$14&gt;0,G159,H159)*M159*D159</f>
        <v>0</v>
      </c>
      <c r="M159" s="15">
        <f>LCOE!Q185+M158+M158*LCOE!K$24</f>
        <v>1</v>
      </c>
      <c r="N159" s="15">
        <f>LCOE!R185+N158-N158*LCOE!K$25</f>
        <v>1</v>
      </c>
      <c r="O159" s="18">
        <f>LCOE!S185+LCOE!K$29</f>
        <v>313.75</v>
      </c>
      <c r="P159" s="12">
        <f>LCOE!T185+IF(A159&gt;=LCOE!K$30,100%,0%)</f>
        <v>1</v>
      </c>
      <c r="Q159" s="16">
        <f>LCOE!U185+O159/1000*IF(LCOE!K$14&gt;0,G159,H159)</f>
        <v>0</v>
      </c>
      <c r="R159" s="16">
        <f>LCOE!B185</f>
        <v>30</v>
      </c>
      <c r="S159" s="16">
        <f>LCOE!V185+Q159*P159*R159</f>
        <v>0</v>
      </c>
      <c r="T159" s="16">
        <f>LCOE!W185+LCOE!K$31</f>
        <v>0</v>
      </c>
      <c r="U159" s="16">
        <f>LCOE!X185+T159*IF(LCOE!K$14&gt;0,G159,H159)</f>
        <v>0</v>
      </c>
      <c r="V159" s="16">
        <f>LCOE!Y185+LCOE!K$32</f>
        <v>0</v>
      </c>
      <c r="W159" s="16">
        <f>LCOE!Z185+V159*IF(LCOE!K$14&gt;0,G159,H159)</f>
        <v>0</v>
      </c>
      <c r="X159" s="16">
        <f>LCOE!AA185+LCOE!K$34</f>
        <v>101</v>
      </c>
      <c r="Y159" s="16">
        <f t="shared" si="29"/>
        <v>0</v>
      </c>
      <c r="Z159" s="50">
        <f t="shared" si="32"/>
        <v>0</v>
      </c>
      <c r="AA159" s="50">
        <f t="shared" si="33"/>
        <v>0</v>
      </c>
      <c r="AB159" s="50">
        <f t="shared" si="34"/>
        <v>0</v>
      </c>
      <c r="AC159" s="50">
        <f t="shared" si="30"/>
        <v>0</v>
      </c>
      <c r="AD159" s="50">
        <f t="shared" si="25"/>
        <v>0</v>
      </c>
      <c r="AE159">
        <f t="shared" si="31"/>
        <v>30</v>
      </c>
      <c r="AF159" s="12">
        <f>LCOE!E185+LCOE!K$40</f>
        <v>0.14000000000000001</v>
      </c>
      <c r="AG159">
        <f t="shared" si="26"/>
        <v>116019.70822746052</v>
      </c>
      <c r="AH159" s="16">
        <f t="shared" si="21"/>
        <v>0</v>
      </c>
      <c r="AI159" s="16">
        <f t="shared" si="22"/>
        <v>0</v>
      </c>
      <c r="AJ159" s="16">
        <f t="shared" si="23"/>
        <v>0</v>
      </c>
      <c r="AK159" s="16">
        <f t="shared" si="24"/>
        <v>0</v>
      </c>
      <c r="AL159" s="16">
        <f t="shared" si="27"/>
        <v>0</v>
      </c>
      <c r="AM159" s="16">
        <f t="shared" si="28"/>
        <v>0</v>
      </c>
      <c r="AN159" s="16">
        <f>IF(LCOE!K$14&gt;0,G159,H159)/AG159</f>
        <v>0</v>
      </c>
    </row>
    <row r="160" spans="1:40">
      <c r="A160">
        <v>90</v>
      </c>
      <c r="C160" s="16">
        <f>LCOE!K186+IF(AND(LCOE!K$26&gt;0,A160&gt;=LCOE!K$26,A160&lt;=(LCOE!K$26+LCOE!K$27-1)),LCOE!K$42/LCOE!K$27,0)+IF(AND(D160=0,AE160&gt;=LCOE!K$16,COUNTIF(D135:D160,0)=LCOE!K$36),LCOE!K$35*LCOE!K$38,0)</f>
        <v>0</v>
      </c>
      <c r="D160" s="16">
        <f>IF(AE159&lt;LCOE!K$16,1,0)</f>
        <v>0</v>
      </c>
      <c r="E160" s="12">
        <f>LCOE!G186+IF(AND(A160&gt;=LCOE!K$26,A160&lt;=(LCOE!K$26+LCOE!K$27-1)),0,1)*IF(A160=LCOE!K$34,0,1)*D160</f>
        <v>0</v>
      </c>
      <c r="F160" s="12">
        <f>IF(F159&lt;LCOE!K$18,MIN(F159*(1+LCOE!K$19),LCOE!K$18),LCOE!K$18)+LCOE!J186</f>
        <v>0.9</v>
      </c>
      <c r="G160" s="16">
        <f>LCOE!K186+E160*F160*N160*(LCOE!K$14+LCOE!H186)*24*365*D160</f>
        <v>0</v>
      </c>
      <c r="H160" s="16">
        <f>LCOE!L186+F160*(LCOE!K$15+LCOE!I186)*E160*24*365*D160*N160</f>
        <v>0</v>
      </c>
      <c r="I160" s="16">
        <f>LCOE!M186+LCOE!K$20*IF(LCOE!K$14&gt;0,(LCOE!K$14+LCOE!H186),(LCOE!K$15+LCOE!I186))*K160*D160</f>
        <v>0</v>
      </c>
      <c r="J160" s="16">
        <f>LCOE!N186+LCOE!K$21*IF(LCOE!K$14&gt;0,G160,H160)*K160*D160</f>
        <v>0</v>
      </c>
      <c r="K160" s="15">
        <f>LCOE!O186+K159+K159*LCOE!K$22</f>
        <v>1</v>
      </c>
      <c r="L160" s="16">
        <f>LCOE!P186+LCOE!K$23*IF(LCOE!K$14&gt;0,G160,H160)*M160*D160</f>
        <v>0</v>
      </c>
      <c r="M160" s="15">
        <f>LCOE!Q186+M159+M159*LCOE!K$24</f>
        <v>1</v>
      </c>
      <c r="N160" s="15">
        <f>LCOE!R186+N159-N159*LCOE!K$25</f>
        <v>1</v>
      </c>
      <c r="O160" s="18">
        <f>LCOE!S186+LCOE!K$29</f>
        <v>313.75</v>
      </c>
      <c r="P160" s="12">
        <f>LCOE!T186+IF(A160&gt;=LCOE!K$30,100%,0%)</f>
        <v>1</v>
      </c>
      <c r="Q160" s="16">
        <f>LCOE!U186+O160/1000*IF(LCOE!K$14&gt;0,G160,H160)</f>
        <v>0</v>
      </c>
      <c r="R160" s="16">
        <f>LCOE!B186</f>
        <v>30</v>
      </c>
      <c r="S160" s="16">
        <f>LCOE!V186+Q160*P160*R160</f>
        <v>0</v>
      </c>
      <c r="T160" s="16">
        <f>LCOE!W186+LCOE!K$31</f>
        <v>0</v>
      </c>
      <c r="U160" s="16">
        <f>LCOE!X186+T160*IF(LCOE!K$14&gt;0,G160,H160)</f>
        <v>0</v>
      </c>
      <c r="V160" s="16">
        <f>LCOE!Y186+LCOE!K$32</f>
        <v>0</v>
      </c>
      <c r="W160" s="16">
        <f>LCOE!Z186+V160*IF(LCOE!K$14&gt;0,G160,H160)</f>
        <v>0</v>
      </c>
      <c r="X160" s="16">
        <f>LCOE!AA186+LCOE!K$34</f>
        <v>101</v>
      </c>
      <c r="Y160" s="16">
        <f t="shared" si="29"/>
        <v>0</v>
      </c>
      <c r="Z160" s="50">
        <f t="shared" si="32"/>
        <v>0</v>
      </c>
      <c r="AA160" s="50">
        <f t="shared" si="33"/>
        <v>0</v>
      </c>
      <c r="AB160" s="50">
        <f t="shared" si="34"/>
        <v>0</v>
      </c>
      <c r="AC160" s="50">
        <f t="shared" si="30"/>
        <v>0</v>
      </c>
      <c r="AD160" s="50">
        <f t="shared" si="25"/>
        <v>0</v>
      </c>
      <c r="AE160">
        <f t="shared" si="31"/>
        <v>30</v>
      </c>
      <c r="AF160" s="12">
        <f>LCOE!E186+LCOE!K$40</f>
        <v>0.14000000000000001</v>
      </c>
      <c r="AG160">
        <f t="shared" si="26"/>
        <v>132262.46737930502</v>
      </c>
      <c r="AH160" s="16">
        <f t="shared" si="21"/>
        <v>0</v>
      </c>
      <c r="AI160" s="16">
        <f t="shared" si="22"/>
        <v>0</v>
      </c>
      <c r="AJ160" s="16">
        <f t="shared" si="23"/>
        <v>0</v>
      </c>
      <c r="AK160" s="16">
        <f t="shared" si="24"/>
        <v>0</v>
      </c>
      <c r="AL160" s="16">
        <f t="shared" si="27"/>
        <v>0</v>
      </c>
      <c r="AM160" s="16">
        <f t="shared" si="28"/>
        <v>0</v>
      </c>
      <c r="AN160" s="16">
        <f>IF(LCOE!K$14&gt;0,G160,H160)/AG160</f>
        <v>0</v>
      </c>
    </row>
    <row r="161" spans="1:40">
      <c r="A161">
        <v>91</v>
      </c>
      <c r="C161" s="16">
        <f>LCOE!K187+IF(AND(LCOE!K$26&gt;0,A161&gt;=LCOE!K$26,A161&lt;=(LCOE!K$26+LCOE!K$27-1)),LCOE!K$42/LCOE!K$27,0)+IF(AND(D161=0,AE161&gt;=LCOE!K$16,COUNTIF(D136:D161,0)=LCOE!K$36),LCOE!K$35*LCOE!K$38,0)</f>
        <v>0</v>
      </c>
      <c r="D161" s="16">
        <f>IF(AE160&lt;LCOE!K$16,1,0)</f>
        <v>0</v>
      </c>
      <c r="E161" s="12">
        <f>LCOE!G187+IF(AND(A161&gt;=LCOE!K$26,A161&lt;=(LCOE!K$26+LCOE!K$27-1)),0,1)*IF(A161=LCOE!K$34,0,1)*D161</f>
        <v>0</v>
      </c>
      <c r="F161" s="12">
        <f>IF(F160&lt;LCOE!K$18,MIN(F160*(1+LCOE!K$19),LCOE!K$18),LCOE!K$18)+LCOE!J187</f>
        <v>0.9</v>
      </c>
      <c r="G161" s="16">
        <f>LCOE!K187+E161*F161*N161*(LCOE!K$14+LCOE!H187)*24*365*D161</f>
        <v>0</v>
      </c>
      <c r="H161" s="16">
        <f>LCOE!L187+F161*(LCOE!K$15+LCOE!I187)*E161*24*365*D161*N161</f>
        <v>0</v>
      </c>
      <c r="I161" s="16">
        <f>LCOE!M187+LCOE!K$20*IF(LCOE!K$14&gt;0,(LCOE!K$14+LCOE!H187),(LCOE!K$15+LCOE!I187))*K161*D161</f>
        <v>0</v>
      </c>
      <c r="J161" s="16">
        <f>LCOE!N187+LCOE!K$21*IF(LCOE!K$14&gt;0,G161,H161)*K161*D161</f>
        <v>0</v>
      </c>
      <c r="K161" s="15">
        <f>LCOE!O187+K160+K160*LCOE!K$22</f>
        <v>1</v>
      </c>
      <c r="L161" s="16">
        <f>LCOE!P187+LCOE!K$23*IF(LCOE!K$14&gt;0,G161,H161)*M161*D161</f>
        <v>0</v>
      </c>
      <c r="M161" s="15">
        <f>LCOE!Q187+M160+M160*LCOE!K$24</f>
        <v>1</v>
      </c>
      <c r="N161" s="15">
        <f>LCOE!R187+N160-N160*LCOE!K$25</f>
        <v>1</v>
      </c>
      <c r="O161" s="18">
        <f>LCOE!S187+LCOE!K$29</f>
        <v>313.75</v>
      </c>
      <c r="P161" s="12">
        <f>LCOE!T187+IF(A161&gt;=LCOE!K$30,100%,0%)</f>
        <v>1</v>
      </c>
      <c r="Q161" s="16">
        <f>LCOE!U187+O161/1000*IF(LCOE!K$14&gt;0,G161,H161)</f>
        <v>0</v>
      </c>
      <c r="R161" s="16">
        <f>LCOE!B187</f>
        <v>30</v>
      </c>
      <c r="S161" s="16">
        <f>LCOE!V187+Q161*P161*R161</f>
        <v>0</v>
      </c>
      <c r="T161" s="16">
        <f>LCOE!W187+LCOE!K$31</f>
        <v>0</v>
      </c>
      <c r="U161" s="16">
        <f>LCOE!X187+T161*IF(LCOE!K$14&gt;0,G161,H161)</f>
        <v>0</v>
      </c>
      <c r="V161" s="16">
        <f>LCOE!Y187+LCOE!K$32</f>
        <v>0</v>
      </c>
      <c r="W161" s="16">
        <f>LCOE!Z187+V161*IF(LCOE!K$14&gt;0,G161,H161)</f>
        <v>0</v>
      </c>
      <c r="X161" s="16">
        <f>LCOE!AA187+LCOE!K$34</f>
        <v>101</v>
      </c>
      <c r="Y161" s="16">
        <f t="shared" si="29"/>
        <v>0</v>
      </c>
      <c r="Z161" s="50">
        <f t="shared" si="32"/>
        <v>0</v>
      </c>
      <c r="AA161" s="50">
        <f t="shared" si="33"/>
        <v>0</v>
      </c>
      <c r="AB161" s="50">
        <f t="shared" si="34"/>
        <v>0</v>
      </c>
      <c r="AC161" s="50">
        <f t="shared" si="30"/>
        <v>0</v>
      </c>
      <c r="AD161" s="50">
        <f t="shared" si="25"/>
        <v>0</v>
      </c>
      <c r="AE161">
        <f t="shared" si="31"/>
        <v>30</v>
      </c>
      <c r="AF161" s="12">
        <f>LCOE!E187+LCOE!K$40</f>
        <v>0.14000000000000001</v>
      </c>
      <c r="AG161">
        <f t="shared" si="26"/>
        <v>150779.21281240773</v>
      </c>
      <c r="AH161" s="16">
        <f t="shared" si="21"/>
        <v>0</v>
      </c>
      <c r="AI161" s="16">
        <f t="shared" si="22"/>
        <v>0</v>
      </c>
      <c r="AJ161" s="16">
        <f t="shared" si="23"/>
        <v>0</v>
      </c>
      <c r="AK161" s="16">
        <f t="shared" si="24"/>
        <v>0</v>
      </c>
      <c r="AL161" s="16">
        <f t="shared" si="27"/>
        <v>0</v>
      </c>
      <c r="AM161" s="16">
        <f t="shared" si="28"/>
        <v>0</v>
      </c>
      <c r="AN161" s="16">
        <f>IF(LCOE!K$14&gt;0,G161,H161)/AG161</f>
        <v>0</v>
      </c>
    </row>
    <row r="162" spans="1:40">
      <c r="A162">
        <v>92</v>
      </c>
      <c r="C162" s="16">
        <f>LCOE!K188+IF(AND(LCOE!K$26&gt;0,A162&gt;=LCOE!K$26,A162&lt;=(LCOE!K$26+LCOE!K$27-1)),LCOE!K$42/LCOE!K$27,0)+IF(AND(D162=0,AE162&gt;=LCOE!K$16,COUNTIF(D137:D162,0)=LCOE!K$36),LCOE!K$35*LCOE!K$38,0)</f>
        <v>0</v>
      </c>
      <c r="D162" s="16">
        <f>IF(AE161&lt;LCOE!K$16,1,0)</f>
        <v>0</v>
      </c>
      <c r="E162" s="12">
        <f>LCOE!G188+IF(AND(A162&gt;=LCOE!K$26,A162&lt;=(LCOE!K$26+LCOE!K$27-1)),0,1)*IF(A162=LCOE!K$34,0,1)*D162</f>
        <v>0</v>
      </c>
      <c r="F162" s="12">
        <f>IF(F161&lt;LCOE!K$18,MIN(F161*(1+LCOE!K$19),LCOE!K$18),LCOE!K$18)+LCOE!J188</f>
        <v>0.9</v>
      </c>
      <c r="G162" s="16">
        <f>LCOE!K188+E162*F162*N162*(LCOE!K$14+LCOE!H188)*24*365*D162</f>
        <v>0</v>
      </c>
      <c r="H162" s="16">
        <f>LCOE!L188+F162*(LCOE!K$15+LCOE!I188)*E162*24*365*D162*N162</f>
        <v>0</v>
      </c>
      <c r="I162" s="16">
        <f>LCOE!M188+LCOE!K$20*IF(LCOE!K$14&gt;0,(LCOE!K$14+LCOE!H188),(LCOE!K$15+LCOE!I188))*K162*D162</f>
        <v>0</v>
      </c>
      <c r="J162" s="16">
        <f>LCOE!N188+LCOE!K$21*IF(LCOE!K$14&gt;0,G162,H162)*K162*D162</f>
        <v>0</v>
      </c>
      <c r="K162" s="15">
        <f>LCOE!O188+K161+K161*LCOE!K$22</f>
        <v>1</v>
      </c>
      <c r="L162" s="16">
        <f>LCOE!P188+LCOE!K$23*IF(LCOE!K$14&gt;0,G162,H162)*M162*D162</f>
        <v>0</v>
      </c>
      <c r="M162" s="15">
        <f>LCOE!Q188+M161+M161*LCOE!K$24</f>
        <v>1</v>
      </c>
      <c r="N162" s="15">
        <f>LCOE!R188+N161-N161*LCOE!K$25</f>
        <v>1</v>
      </c>
      <c r="O162" s="18">
        <f>LCOE!S188+LCOE!K$29</f>
        <v>313.75</v>
      </c>
      <c r="P162" s="12">
        <f>LCOE!T188+IF(A162&gt;=LCOE!K$30,100%,0%)</f>
        <v>1</v>
      </c>
      <c r="Q162" s="16">
        <f>LCOE!U188+O162/1000*IF(LCOE!K$14&gt;0,G162,H162)</f>
        <v>0</v>
      </c>
      <c r="R162" s="16">
        <f>LCOE!B188</f>
        <v>30</v>
      </c>
      <c r="S162" s="16">
        <f>LCOE!V188+Q162*P162*R162</f>
        <v>0</v>
      </c>
      <c r="T162" s="16">
        <f>LCOE!W188+LCOE!K$31</f>
        <v>0</v>
      </c>
      <c r="U162" s="16">
        <f>LCOE!X188+T162*IF(LCOE!K$14&gt;0,G162,H162)</f>
        <v>0</v>
      </c>
      <c r="V162" s="16">
        <f>LCOE!Y188+LCOE!K$32</f>
        <v>0</v>
      </c>
      <c r="W162" s="16">
        <f>LCOE!Z188+V162*IF(LCOE!K$14&gt;0,G162,H162)</f>
        <v>0</v>
      </c>
      <c r="X162" s="16">
        <f>LCOE!AA188+LCOE!K$34</f>
        <v>101</v>
      </c>
      <c r="Y162" s="16">
        <f t="shared" si="29"/>
        <v>0</v>
      </c>
      <c r="Z162" s="50">
        <f t="shared" si="32"/>
        <v>0</v>
      </c>
      <c r="AA162" s="50">
        <f t="shared" si="33"/>
        <v>0</v>
      </c>
      <c r="AB162" s="50">
        <f t="shared" si="34"/>
        <v>0</v>
      </c>
      <c r="AC162" s="50">
        <f t="shared" si="30"/>
        <v>0</v>
      </c>
      <c r="AD162" s="50">
        <f t="shared" si="25"/>
        <v>0</v>
      </c>
      <c r="AE162">
        <f t="shared" si="31"/>
        <v>30</v>
      </c>
      <c r="AF162" s="12">
        <f>LCOE!E188+LCOE!K$40</f>
        <v>0.14000000000000001</v>
      </c>
      <c r="AG162">
        <f t="shared" si="26"/>
        <v>171888.30260614486</v>
      </c>
      <c r="AH162" s="16">
        <f t="shared" si="21"/>
        <v>0</v>
      </c>
      <c r="AI162" s="16">
        <f t="shared" si="22"/>
        <v>0</v>
      </c>
      <c r="AJ162" s="16">
        <f t="shared" si="23"/>
        <v>0</v>
      </c>
      <c r="AK162" s="16">
        <f t="shared" si="24"/>
        <v>0</v>
      </c>
      <c r="AL162" s="16">
        <f t="shared" si="27"/>
        <v>0</v>
      </c>
      <c r="AM162" s="16">
        <f t="shared" si="28"/>
        <v>0</v>
      </c>
      <c r="AN162" s="16">
        <f>IF(LCOE!K$14&gt;0,G162,H162)/AG162</f>
        <v>0</v>
      </c>
    </row>
    <row r="163" spans="1:40">
      <c r="A163">
        <v>93</v>
      </c>
      <c r="C163" s="16">
        <f>LCOE!K189+IF(AND(LCOE!K$26&gt;0,A163&gt;=LCOE!K$26,A163&lt;=(LCOE!K$26+LCOE!K$27-1)),LCOE!K$42/LCOE!K$27,0)+IF(AND(D163=0,AE163&gt;=LCOE!K$16,COUNTIF(D138:D163,0)=LCOE!K$36),LCOE!K$35*LCOE!K$38,0)</f>
        <v>0</v>
      </c>
      <c r="D163" s="16">
        <f>IF(AE162&lt;LCOE!K$16,1,0)</f>
        <v>0</v>
      </c>
      <c r="E163" s="12">
        <f>LCOE!G189+IF(AND(A163&gt;=LCOE!K$26,A163&lt;=(LCOE!K$26+LCOE!K$27-1)),0,1)*IF(A163=LCOE!K$34,0,1)*D163</f>
        <v>0</v>
      </c>
      <c r="F163" s="12">
        <f>IF(F162&lt;LCOE!K$18,MIN(F162*(1+LCOE!K$19),LCOE!K$18),LCOE!K$18)+LCOE!J189</f>
        <v>0.9</v>
      </c>
      <c r="G163" s="16">
        <f>LCOE!K189+E163*F163*N163*(LCOE!K$14+LCOE!H189)*24*365*D163</f>
        <v>0</v>
      </c>
      <c r="H163" s="16">
        <f>LCOE!L189+F163*(LCOE!K$15+LCOE!I189)*E163*24*365*D163*N163</f>
        <v>0</v>
      </c>
      <c r="I163" s="16">
        <f>LCOE!M189+LCOE!K$20*IF(LCOE!K$14&gt;0,(LCOE!K$14+LCOE!H189),(LCOE!K$15+LCOE!I189))*K163*D163</f>
        <v>0</v>
      </c>
      <c r="J163" s="16">
        <f>LCOE!N189+LCOE!K$21*IF(LCOE!K$14&gt;0,G163,H163)*K163*D163</f>
        <v>0</v>
      </c>
      <c r="K163" s="15">
        <f>LCOE!O189+K162+K162*LCOE!K$22</f>
        <v>1</v>
      </c>
      <c r="L163" s="16">
        <f>LCOE!P189+LCOE!K$23*IF(LCOE!K$14&gt;0,G163,H163)*M163*D163</f>
        <v>0</v>
      </c>
      <c r="M163" s="15">
        <f>LCOE!Q189+M162+M162*LCOE!K$24</f>
        <v>1</v>
      </c>
      <c r="N163" s="15">
        <f>LCOE!R189+N162-N162*LCOE!K$25</f>
        <v>1</v>
      </c>
      <c r="O163" s="18">
        <f>LCOE!S189+LCOE!K$29</f>
        <v>313.75</v>
      </c>
      <c r="P163" s="12">
        <f>LCOE!T189+IF(A163&gt;=LCOE!K$30,100%,0%)</f>
        <v>1</v>
      </c>
      <c r="Q163" s="16">
        <f>LCOE!U189+O163/1000*IF(LCOE!K$14&gt;0,G163,H163)</f>
        <v>0</v>
      </c>
      <c r="R163" s="16">
        <f>LCOE!B189</f>
        <v>30</v>
      </c>
      <c r="S163" s="16">
        <f>LCOE!V189+Q163*P163*R163</f>
        <v>0</v>
      </c>
      <c r="T163" s="16">
        <f>LCOE!W189+LCOE!K$31</f>
        <v>0</v>
      </c>
      <c r="U163" s="16">
        <f>LCOE!X189+T163*IF(LCOE!K$14&gt;0,G163,H163)</f>
        <v>0</v>
      </c>
      <c r="V163" s="16">
        <f>LCOE!Y189+LCOE!K$32</f>
        <v>0</v>
      </c>
      <c r="W163" s="16">
        <f>LCOE!Z189+V163*IF(LCOE!K$14&gt;0,G163,H163)</f>
        <v>0</v>
      </c>
      <c r="X163" s="16">
        <f>LCOE!AA189+LCOE!K$34</f>
        <v>101</v>
      </c>
      <c r="Y163" s="16">
        <f t="shared" si="29"/>
        <v>0</v>
      </c>
      <c r="Z163" s="50">
        <f t="shared" si="32"/>
        <v>0</v>
      </c>
      <c r="AA163" s="50">
        <f t="shared" si="33"/>
        <v>0</v>
      </c>
      <c r="AB163" s="50">
        <f t="shared" si="34"/>
        <v>0</v>
      </c>
      <c r="AC163" s="50">
        <f t="shared" si="30"/>
        <v>0</v>
      </c>
      <c r="AD163" s="50">
        <f t="shared" si="25"/>
        <v>0</v>
      </c>
      <c r="AE163">
        <f t="shared" si="31"/>
        <v>30</v>
      </c>
      <c r="AF163" s="12">
        <f>LCOE!E189+LCOE!K$40</f>
        <v>0.14000000000000001</v>
      </c>
      <c r="AG163">
        <f t="shared" si="26"/>
        <v>195952.66497100514</v>
      </c>
      <c r="AH163" s="16">
        <f t="shared" si="21"/>
        <v>0</v>
      </c>
      <c r="AI163" s="16">
        <f t="shared" si="22"/>
        <v>0</v>
      </c>
      <c r="AJ163" s="16">
        <f t="shared" si="23"/>
        <v>0</v>
      </c>
      <c r="AK163" s="16">
        <f t="shared" si="24"/>
        <v>0</v>
      </c>
      <c r="AL163" s="16">
        <f t="shared" si="27"/>
        <v>0</v>
      </c>
      <c r="AM163" s="16">
        <f t="shared" si="28"/>
        <v>0</v>
      </c>
      <c r="AN163" s="16">
        <f>IF(LCOE!K$14&gt;0,G163,H163)/AG163</f>
        <v>0</v>
      </c>
    </row>
    <row r="164" spans="1:40">
      <c r="A164">
        <v>94</v>
      </c>
      <c r="C164" s="16">
        <f>LCOE!K190+IF(AND(LCOE!K$26&gt;0,A164&gt;=LCOE!K$26,A164&lt;=(LCOE!K$26+LCOE!K$27-1)),LCOE!K$42/LCOE!K$27,0)+IF(AND(D164=0,AE164&gt;=LCOE!K$16,COUNTIF(D139:D164,0)=LCOE!K$36),LCOE!K$35*LCOE!K$38,0)</f>
        <v>0</v>
      </c>
      <c r="D164" s="16">
        <f>IF(AE163&lt;LCOE!K$16,1,0)</f>
        <v>0</v>
      </c>
      <c r="E164" s="12">
        <f>LCOE!G190+IF(AND(A164&gt;=LCOE!K$26,A164&lt;=(LCOE!K$26+LCOE!K$27-1)),0,1)*IF(A164=LCOE!K$34,0,1)*D164</f>
        <v>0</v>
      </c>
      <c r="F164" s="12">
        <f>IF(F163&lt;LCOE!K$18,MIN(F163*(1+LCOE!K$19),LCOE!K$18),LCOE!K$18)+LCOE!J190</f>
        <v>0.9</v>
      </c>
      <c r="G164" s="16">
        <f>LCOE!K190+E164*F164*N164*(LCOE!K$14+LCOE!H190)*24*365*D164</f>
        <v>0</v>
      </c>
      <c r="H164" s="16">
        <f>LCOE!L190+F164*(LCOE!K$15+LCOE!I190)*E164*24*365*D164*N164</f>
        <v>0</v>
      </c>
      <c r="I164" s="16">
        <f>LCOE!M190+LCOE!K$20*IF(LCOE!K$14&gt;0,(LCOE!K$14+LCOE!H190),(LCOE!K$15+LCOE!I190))*K164*D164</f>
        <v>0</v>
      </c>
      <c r="J164" s="16">
        <f>LCOE!N190+LCOE!K$21*IF(LCOE!K$14&gt;0,G164,H164)*K164*D164</f>
        <v>0</v>
      </c>
      <c r="K164" s="15">
        <f>LCOE!O190+K163+K163*LCOE!K$22</f>
        <v>1</v>
      </c>
      <c r="L164" s="16">
        <f>LCOE!P190+LCOE!K$23*IF(LCOE!K$14&gt;0,G164,H164)*M164*D164</f>
        <v>0</v>
      </c>
      <c r="M164" s="15">
        <f>LCOE!Q190+M163+M163*LCOE!K$24</f>
        <v>1</v>
      </c>
      <c r="N164" s="15">
        <f>LCOE!R190+N163-N163*LCOE!K$25</f>
        <v>1</v>
      </c>
      <c r="O164" s="18">
        <f>LCOE!S190+LCOE!K$29</f>
        <v>313.75</v>
      </c>
      <c r="P164" s="12">
        <f>LCOE!T190+IF(A164&gt;=LCOE!K$30,100%,0%)</f>
        <v>1</v>
      </c>
      <c r="Q164" s="16">
        <f>LCOE!U190+O164/1000*IF(LCOE!K$14&gt;0,G164,H164)</f>
        <v>0</v>
      </c>
      <c r="R164" s="16">
        <f>LCOE!B190</f>
        <v>30</v>
      </c>
      <c r="S164" s="16">
        <f>LCOE!V190+Q164*P164*R164</f>
        <v>0</v>
      </c>
      <c r="T164" s="16">
        <f>LCOE!W190+LCOE!K$31</f>
        <v>0</v>
      </c>
      <c r="U164" s="16">
        <f>LCOE!X190+T164*IF(LCOE!K$14&gt;0,G164,H164)</f>
        <v>0</v>
      </c>
      <c r="V164" s="16">
        <f>LCOE!Y190+LCOE!K$32</f>
        <v>0</v>
      </c>
      <c r="W164" s="16">
        <f>LCOE!Z190+V164*IF(LCOE!K$14&gt;0,G164,H164)</f>
        <v>0</v>
      </c>
      <c r="X164" s="16">
        <f>LCOE!AA190+LCOE!K$34</f>
        <v>101</v>
      </c>
      <c r="Y164" s="16">
        <f t="shared" si="29"/>
        <v>0</v>
      </c>
      <c r="Z164" s="50">
        <f t="shared" si="32"/>
        <v>0</v>
      </c>
      <c r="AA164" s="50">
        <f t="shared" si="33"/>
        <v>0</v>
      </c>
      <c r="AB164" s="50">
        <f t="shared" si="34"/>
        <v>0</v>
      </c>
      <c r="AC164" s="50">
        <f t="shared" si="30"/>
        <v>0</v>
      </c>
      <c r="AD164" s="50">
        <f t="shared" si="25"/>
        <v>0</v>
      </c>
      <c r="AE164">
        <f t="shared" si="31"/>
        <v>30</v>
      </c>
      <c r="AF164" s="12">
        <f>LCOE!E190+LCOE!K$40</f>
        <v>0.14000000000000001</v>
      </c>
      <c r="AG164">
        <f t="shared" si="26"/>
        <v>223386.03806694588</v>
      </c>
      <c r="AH164" s="16">
        <f t="shared" si="21"/>
        <v>0</v>
      </c>
      <c r="AI164" s="16">
        <f t="shared" si="22"/>
        <v>0</v>
      </c>
      <c r="AJ164" s="16">
        <f t="shared" si="23"/>
        <v>0</v>
      </c>
      <c r="AK164" s="16">
        <f t="shared" si="24"/>
        <v>0</v>
      </c>
      <c r="AL164" s="16">
        <f t="shared" si="27"/>
        <v>0</v>
      </c>
      <c r="AM164" s="16">
        <f t="shared" si="28"/>
        <v>0</v>
      </c>
      <c r="AN164" s="16">
        <f>IF(LCOE!K$14&gt;0,G164,H164)/AG164</f>
        <v>0</v>
      </c>
    </row>
    <row r="165" spans="1:40">
      <c r="A165">
        <v>95</v>
      </c>
      <c r="C165" s="16">
        <f>LCOE!K191+IF(AND(LCOE!K$26&gt;0,A165&gt;=LCOE!K$26,A165&lt;=(LCOE!K$26+LCOE!K$27-1)),LCOE!K$42/LCOE!K$27,0)+IF(AND(D165=0,AE165&gt;=LCOE!K$16,COUNTIF(D140:D165,0)=LCOE!K$36),LCOE!K$35*LCOE!K$38,0)</f>
        <v>0</v>
      </c>
      <c r="D165" s="16">
        <f>IF(AE164&lt;LCOE!K$16,1,0)</f>
        <v>0</v>
      </c>
      <c r="E165" s="12">
        <f>LCOE!G191+IF(AND(A165&gt;=LCOE!K$26,A165&lt;=(LCOE!K$26+LCOE!K$27-1)),0,1)*IF(A165=LCOE!K$34,0,1)*D165</f>
        <v>0</v>
      </c>
      <c r="F165" s="12">
        <f>IF(F164&lt;LCOE!K$18,MIN(F164*(1+LCOE!K$19),LCOE!K$18),LCOE!K$18)+LCOE!J191</f>
        <v>0.9</v>
      </c>
      <c r="G165" s="16">
        <f>LCOE!K191+E165*F165*N165*(LCOE!K$14+LCOE!H191)*24*365*D165</f>
        <v>0</v>
      </c>
      <c r="H165" s="16">
        <f>LCOE!L191+F165*(LCOE!K$15+LCOE!I191)*E165*24*365*D165*N165</f>
        <v>0</v>
      </c>
      <c r="I165" s="16">
        <f>LCOE!M191+LCOE!K$20*IF(LCOE!K$14&gt;0,(LCOE!K$14+LCOE!H191),(LCOE!K$15+LCOE!I191))*K165*D165</f>
        <v>0</v>
      </c>
      <c r="J165" s="16">
        <f>LCOE!N191+LCOE!K$21*IF(LCOE!K$14&gt;0,G165,H165)*K165*D165</f>
        <v>0</v>
      </c>
      <c r="K165" s="15">
        <f>LCOE!O191+K164+K164*LCOE!K$22</f>
        <v>1</v>
      </c>
      <c r="L165" s="16">
        <f>LCOE!P191+LCOE!K$23*IF(LCOE!K$14&gt;0,G165,H165)*M165*D165</f>
        <v>0</v>
      </c>
      <c r="M165" s="15">
        <f>LCOE!Q191+M164+M164*LCOE!K$24</f>
        <v>1</v>
      </c>
      <c r="N165" s="15">
        <f>LCOE!R191+N164-N164*LCOE!K$25</f>
        <v>1</v>
      </c>
      <c r="O165" s="18">
        <f>LCOE!S191+LCOE!K$29</f>
        <v>313.75</v>
      </c>
      <c r="P165" s="12">
        <f>LCOE!T191+IF(A165&gt;=LCOE!K$30,100%,0%)</f>
        <v>1</v>
      </c>
      <c r="Q165" s="16">
        <f>LCOE!U191+O165/1000*IF(LCOE!K$14&gt;0,G165,H165)</f>
        <v>0</v>
      </c>
      <c r="R165" s="16">
        <f>LCOE!B191</f>
        <v>30</v>
      </c>
      <c r="S165" s="16">
        <f>LCOE!V191+Q165*P165*R165</f>
        <v>0</v>
      </c>
      <c r="T165" s="16">
        <f>LCOE!W191+LCOE!K$31</f>
        <v>0</v>
      </c>
      <c r="U165" s="16">
        <f>LCOE!X191+T165*IF(LCOE!K$14&gt;0,G165,H165)</f>
        <v>0</v>
      </c>
      <c r="V165" s="16">
        <f>LCOE!Y191+LCOE!K$32</f>
        <v>0</v>
      </c>
      <c r="W165" s="16">
        <f>LCOE!Z191+V165*IF(LCOE!K$14&gt;0,G165,H165)</f>
        <v>0</v>
      </c>
      <c r="X165" s="16">
        <f>LCOE!AA191+LCOE!K$34</f>
        <v>101</v>
      </c>
      <c r="Y165" s="16">
        <f t="shared" si="29"/>
        <v>0</v>
      </c>
      <c r="Z165" s="50">
        <f t="shared" si="32"/>
        <v>0</v>
      </c>
      <c r="AA165" s="50">
        <f t="shared" si="33"/>
        <v>0</v>
      </c>
      <c r="AB165" s="50">
        <f t="shared" si="34"/>
        <v>0</v>
      </c>
      <c r="AC165" s="50">
        <f t="shared" si="30"/>
        <v>0</v>
      </c>
      <c r="AD165" s="50">
        <f t="shared" si="25"/>
        <v>0</v>
      </c>
      <c r="AE165">
        <f t="shared" si="31"/>
        <v>30</v>
      </c>
      <c r="AF165" s="12">
        <f>LCOE!E191+LCOE!K$40</f>
        <v>0.14000000000000001</v>
      </c>
      <c r="AG165">
        <f t="shared" si="26"/>
        <v>254660.08339631834</v>
      </c>
      <c r="AH165" s="16">
        <f t="shared" si="21"/>
        <v>0</v>
      </c>
      <c r="AI165" s="16">
        <f t="shared" si="22"/>
        <v>0</v>
      </c>
      <c r="AJ165" s="16">
        <f t="shared" si="23"/>
        <v>0</v>
      </c>
      <c r="AK165" s="16">
        <f t="shared" si="24"/>
        <v>0</v>
      </c>
      <c r="AL165" s="16">
        <f t="shared" si="27"/>
        <v>0</v>
      </c>
      <c r="AM165" s="16">
        <f t="shared" si="28"/>
        <v>0</v>
      </c>
      <c r="AN165" s="16">
        <f>IF(LCOE!K$14&gt;0,G165,H165)/AG165</f>
        <v>0</v>
      </c>
    </row>
    <row r="166" spans="1:40">
      <c r="A166">
        <v>96</v>
      </c>
      <c r="C166" s="16">
        <f>LCOE!K192+IF(AND(LCOE!K$26&gt;0,A166&gt;=LCOE!K$26,A166&lt;=(LCOE!K$26+LCOE!K$27-1)),LCOE!K$42/LCOE!K$27,0)+IF(AND(D166=0,AE166&gt;=LCOE!K$16,COUNTIF(D141:D166,0)=LCOE!K$36),LCOE!K$35*LCOE!K$38,0)</f>
        <v>0</v>
      </c>
      <c r="D166" s="16">
        <f>IF(AE165&lt;LCOE!K$16,1,0)</f>
        <v>0</v>
      </c>
      <c r="E166" s="12">
        <f>LCOE!G192+IF(AND(A166&gt;=LCOE!K$26,A166&lt;=(LCOE!K$26+LCOE!K$27-1)),0,1)*IF(A166=LCOE!K$34,0,1)*D166</f>
        <v>0</v>
      </c>
      <c r="F166" s="12">
        <f>IF(F165&lt;LCOE!K$18,MIN(F165*(1+LCOE!K$19),LCOE!K$18),LCOE!K$18)+LCOE!J192</f>
        <v>0.9</v>
      </c>
      <c r="G166" s="16">
        <f>LCOE!K192+E166*F166*N166*(LCOE!K$14+LCOE!H192)*24*365*D166</f>
        <v>0</v>
      </c>
      <c r="H166" s="16">
        <f>LCOE!L192+F166*(LCOE!K$15+LCOE!I192)*E166*24*365*D166*N166</f>
        <v>0</v>
      </c>
      <c r="I166" s="16">
        <f>LCOE!M192+LCOE!K$20*IF(LCOE!K$14&gt;0,(LCOE!K$14+LCOE!H192),(LCOE!K$15+LCOE!I192))*K166*D166</f>
        <v>0</v>
      </c>
      <c r="J166" s="16">
        <f>LCOE!N192+LCOE!K$21*IF(LCOE!K$14&gt;0,G166,H166)*K166*D166</f>
        <v>0</v>
      </c>
      <c r="K166" s="15">
        <f>LCOE!O192+K165+K165*LCOE!K$22</f>
        <v>1</v>
      </c>
      <c r="L166" s="16">
        <f>LCOE!P192+LCOE!K$23*IF(LCOE!K$14&gt;0,G166,H166)*M166*D166</f>
        <v>0</v>
      </c>
      <c r="M166" s="15">
        <f>LCOE!Q192+M165+M165*LCOE!K$24</f>
        <v>1</v>
      </c>
      <c r="N166" s="15">
        <f>LCOE!R192+N165-N165*LCOE!K$25</f>
        <v>1</v>
      </c>
      <c r="O166" s="18">
        <f>LCOE!S192+LCOE!K$29</f>
        <v>313.75</v>
      </c>
      <c r="P166" s="12">
        <f>LCOE!T192+IF(A166&gt;=LCOE!K$30,100%,0%)</f>
        <v>1</v>
      </c>
      <c r="Q166" s="16">
        <f>LCOE!U192+O166/1000*IF(LCOE!K$14&gt;0,G166,H166)</f>
        <v>0</v>
      </c>
      <c r="R166" s="16">
        <f>LCOE!B192</f>
        <v>30</v>
      </c>
      <c r="S166" s="16">
        <f>LCOE!V192+Q166*P166*R166</f>
        <v>0</v>
      </c>
      <c r="T166" s="16">
        <f>LCOE!W192+LCOE!K$31</f>
        <v>0</v>
      </c>
      <c r="U166" s="16">
        <f>LCOE!X192+T166*IF(LCOE!K$14&gt;0,G166,H166)</f>
        <v>0</v>
      </c>
      <c r="V166" s="16">
        <f>LCOE!Y192+LCOE!K$32</f>
        <v>0</v>
      </c>
      <c r="W166" s="16">
        <f>LCOE!Z192+V166*IF(LCOE!K$14&gt;0,G166,H166)</f>
        <v>0</v>
      </c>
      <c r="X166" s="16">
        <f>LCOE!AA192+LCOE!K$34</f>
        <v>101</v>
      </c>
      <c r="Y166" s="16">
        <f t="shared" si="29"/>
        <v>0</v>
      </c>
      <c r="Z166" s="50">
        <f t="shared" si="32"/>
        <v>0</v>
      </c>
      <c r="AA166" s="50">
        <f t="shared" si="33"/>
        <v>0</v>
      </c>
      <c r="AB166" s="50">
        <f t="shared" si="34"/>
        <v>0</v>
      </c>
      <c r="AC166" s="50">
        <f t="shared" si="30"/>
        <v>0</v>
      </c>
      <c r="AD166" s="50">
        <f t="shared" si="25"/>
        <v>0</v>
      </c>
      <c r="AE166">
        <f t="shared" si="31"/>
        <v>30</v>
      </c>
      <c r="AF166" s="12">
        <f>LCOE!E192+LCOE!K$40</f>
        <v>0.14000000000000001</v>
      </c>
      <c r="AG166">
        <f t="shared" si="26"/>
        <v>290312.49507180293</v>
      </c>
      <c r="AH166" s="16">
        <f t="shared" si="21"/>
        <v>0</v>
      </c>
      <c r="AI166" s="16">
        <f t="shared" si="22"/>
        <v>0</v>
      </c>
      <c r="AJ166" s="16">
        <f t="shared" si="23"/>
        <v>0</v>
      </c>
      <c r="AK166" s="16">
        <f t="shared" si="24"/>
        <v>0</v>
      </c>
      <c r="AL166" s="16">
        <f t="shared" si="27"/>
        <v>0</v>
      </c>
      <c r="AM166" s="16">
        <f t="shared" si="28"/>
        <v>0</v>
      </c>
      <c r="AN166" s="16">
        <f>IF(LCOE!K$14&gt;0,G166,H166)/AG166</f>
        <v>0</v>
      </c>
    </row>
    <row r="167" spans="1:40">
      <c r="A167">
        <v>97</v>
      </c>
      <c r="C167" s="16">
        <f>LCOE!K193+IF(AND(LCOE!K$26&gt;0,A167&gt;=LCOE!K$26,A167&lt;=(LCOE!K$26+LCOE!K$27-1)),LCOE!K$42/LCOE!K$27,0)+IF(AND(D167=0,AE167&gt;=LCOE!K$16,COUNTIF(D142:D167,0)=LCOE!K$36),LCOE!K$35*LCOE!K$38,0)</f>
        <v>0</v>
      </c>
      <c r="D167" s="16">
        <f>IF(AE166&lt;LCOE!K$16,1,0)</f>
        <v>0</v>
      </c>
      <c r="E167" s="12">
        <f>LCOE!G193+IF(AND(A167&gt;=LCOE!K$26,A167&lt;=(LCOE!K$26+LCOE!K$27-1)),0,1)*IF(A167=LCOE!K$34,0,1)*D167</f>
        <v>0</v>
      </c>
      <c r="F167" s="12">
        <f>IF(F166&lt;LCOE!K$18,MIN(F166*(1+LCOE!K$19),LCOE!K$18),LCOE!K$18)+LCOE!J193</f>
        <v>0.9</v>
      </c>
      <c r="G167" s="16">
        <f>LCOE!K193+E167*F167*N167*(LCOE!K$14+LCOE!H193)*24*365*D167</f>
        <v>0</v>
      </c>
      <c r="H167" s="16">
        <f>LCOE!L193+F167*(LCOE!K$15+LCOE!I193)*E167*24*365*D167*N167</f>
        <v>0</v>
      </c>
      <c r="I167" s="16">
        <f>LCOE!M193+LCOE!K$20*IF(LCOE!K$14&gt;0,(LCOE!K$14+LCOE!H193),(LCOE!K$15+LCOE!I193))*K167*D167</f>
        <v>0</v>
      </c>
      <c r="J167" s="16">
        <f>LCOE!N193+LCOE!K$21*IF(LCOE!K$14&gt;0,G167,H167)*K167*D167</f>
        <v>0</v>
      </c>
      <c r="K167" s="15">
        <f>LCOE!O193+K166+K166*LCOE!K$22</f>
        <v>1</v>
      </c>
      <c r="L167" s="16">
        <f>LCOE!P193+LCOE!K$23*IF(LCOE!K$14&gt;0,G167,H167)*M167*D167</f>
        <v>0</v>
      </c>
      <c r="M167" s="15">
        <f>LCOE!Q193+M166+M166*LCOE!K$24</f>
        <v>1</v>
      </c>
      <c r="N167" s="15">
        <f>LCOE!R193+N166-N166*LCOE!K$25</f>
        <v>1</v>
      </c>
      <c r="O167" s="18">
        <f>LCOE!S193+LCOE!K$29</f>
        <v>313.75</v>
      </c>
      <c r="P167" s="12">
        <f>LCOE!T193+IF(A167&gt;=LCOE!K$30,100%,0%)</f>
        <v>1</v>
      </c>
      <c r="Q167" s="16">
        <f>LCOE!U193+O167/1000*IF(LCOE!K$14&gt;0,G167,H167)</f>
        <v>0</v>
      </c>
      <c r="R167" s="16">
        <f>LCOE!B193</f>
        <v>30</v>
      </c>
      <c r="S167" s="16">
        <f>LCOE!V193+Q167*P167*R167</f>
        <v>0</v>
      </c>
      <c r="T167" s="16">
        <f>LCOE!W193+LCOE!K$31</f>
        <v>0</v>
      </c>
      <c r="U167" s="16">
        <f>LCOE!X193+T167*IF(LCOE!K$14&gt;0,G167,H167)</f>
        <v>0</v>
      </c>
      <c r="V167" s="16">
        <f>LCOE!Y193+LCOE!K$32</f>
        <v>0</v>
      </c>
      <c r="W167" s="16">
        <f>LCOE!Z193+V167*IF(LCOE!K$14&gt;0,G167,H167)</f>
        <v>0</v>
      </c>
      <c r="X167" s="16">
        <f>LCOE!AA193+LCOE!K$34</f>
        <v>101</v>
      </c>
      <c r="Y167" s="16">
        <f t="shared" si="29"/>
        <v>0</v>
      </c>
      <c r="Z167" s="50">
        <f t="shared" si="32"/>
        <v>0</v>
      </c>
      <c r="AA167" s="50">
        <f t="shared" si="33"/>
        <v>0</v>
      </c>
      <c r="AB167" s="50">
        <f t="shared" si="34"/>
        <v>0</v>
      </c>
      <c r="AC167" s="50">
        <f t="shared" si="30"/>
        <v>0</v>
      </c>
      <c r="AD167" s="50">
        <f t="shared" si="25"/>
        <v>0</v>
      </c>
      <c r="AE167">
        <f t="shared" si="31"/>
        <v>30</v>
      </c>
      <c r="AF167" s="12">
        <f>LCOE!E193+LCOE!K$40</f>
        <v>0.14000000000000001</v>
      </c>
      <c r="AG167">
        <f t="shared" si="26"/>
        <v>330956.24438185542</v>
      </c>
      <c r="AH167" s="16">
        <f t="shared" si="21"/>
        <v>0</v>
      </c>
      <c r="AI167" s="16">
        <f t="shared" si="22"/>
        <v>0</v>
      </c>
      <c r="AJ167" s="16">
        <f t="shared" si="23"/>
        <v>0</v>
      </c>
      <c r="AK167" s="16">
        <f t="shared" si="24"/>
        <v>0</v>
      </c>
      <c r="AL167" s="16">
        <f t="shared" si="27"/>
        <v>0</v>
      </c>
      <c r="AM167" s="16">
        <f t="shared" si="28"/>
        <v>0</v>
      </c>
      <c r="AN167" s="16">
        <f>IF(LCOE!K$14&gt;0,G167,H167)/AG167</f>
        <v>0</v>
      </c>
    </row>
    <row r="168" spans="1:40">
      <c r="A168">
        <v>98</v>
      </c>
      <c r="C168" s="16">
        <f>LCOE!K194+IF(AND(LCOE!K$26&gt;0,A168&gt;=LCOE!K$26,A168&lt;=(LCOE!K$26+LCOE!K$27-1)),LCOE!K$42/LCOE!K$27,0)+IF(AND(D168=0,AE168&gt;=LCOE!K$16,COUNTIF(D143:D168,0)=LCOE!K$36),LCOE!K$35*LCOE!K$38,0)</f>
        <v>0</v>
      </c>
      <c r="D168" s="16">
        <f>IF(AE167&lt;LCOE!K$16,1,0)</f>
        <v>0</v>
      </c>
      <c r="E168" s="12">
        <f>LCOE!G194+IF(AND(A168&gt;=LCOE!K$26,A168&lt;=(LCOE!K$26+LCOE!K$27-1)),0,1)*IF(A168=LCOE!K$34,0,1)*D168</f>
        <v>0</v>
      </c>
      <c r="F168" s="12">
        <f>IF(F167&lt;LCOE!K$18,MIN(F167*(1+LCOE!K$19),LCOE!K$18),LCOE!K$18)+LCOE!J194</f>
        <v>0.9</v>
      </c>
      <c r="G168" s="16">
        <f>LCOE!K194+E168*F168*N168*(LCOE!K$14+LCOE!H194)*24*365*D168</f>
        <v>0</v>
      </c>
      <c r="H168" s="16">
        <f>LCOE!L194+F168*(LCOE!K$15+LCOE!I194)*E168*24*365*D168*N168</f>
        <v>0</v>
      </c>
      <c r="I168" s="16">
        <f>LCOE!M194+LCOE!K$20*IF(LCOE!K$14&gt;0,(LCOE!K$14+LCOE!H194),(LCOE!K$15+LCOE!I194))*K168*D168</f>
        <v>0</v>
      </c>
      <c r="J168" s="16">
        <f>LCOE!N194+LCOE!K$21*IF(LCOE!K$14&gt;0,G168,H168)*K168*D168</f>
        <v>0</v>
      </c>
      <c r="K168" s="15">
        <f>LCOE!O194+K167+K167*LCOE!K$22</f>
        <v>1</v>
      </c>
      <c r="L168" s="16">
        <f>LCOE!P194+LCOE!K$23*IF(LCOE!K$14&gt;0,G168,H168)*M168*D168</f>
        <v>0</v>
      </c>
      <c r="M168" s="15">
        <f>LCOE!Q194+M167+M167*LCOE!K$24</f>
        <v>1</v>
      </c>
      <c r="N168" s="15">
        <f>LCOE!R194+N167-N167*LCOE!K$25</f>
        <v>1</v>
      </c>
      <c r="O168" s="18">
        <f>LCOE!S194+LCOE!K$29</f>
        <v>313.75</v>
      </c>
      <c r="P168" s="12">
        <f>LCOE!T194+IF(A168&gt;=LCOE!K$30,100%,0%)</f>
        <v>1</v>
      </c>
      <c r="Q168" s="16">
        <f>LCOE!U194+O168/1000*IF(LCOE!K$14&gt;0,G168,H168)</f>
        <v>0</v>
      </c>
      <c r="R168" s="16">
        <f>LCOE!B194</f>
        <v>30</v>
      </c>
      <c r="S168" s="16">
        <f>LCOE!V194+Q168*P168*R168</f>
        <v>0</v>
      </c>
      <c r="T168" s="16">
        <f>LCOE!W194+LCOE!K$31</f>
        <v>0</v>
      </c>
      <c r="U168" s="16">
        <f>LCOE!X194+T168*IF(LCOE!K$14&gt;0,G168,H168)</f>
        <v>0</v>
      </c>
      <c r="V168" s="16">
        <f>LCOE!Y194+LCOE!K$32</f>
        <v>0</v>
      </c>
      <c r="W168" s="16">
        <f>LCOE!Z194+V168*IF(LCOE!K$14&gt;0,G168,H168)</f>
        <v>0</v>
      </c>
      <c r="X168" s="16">
        <f>LCOE!AA194+LCOE!K$34</f>
        <v>101</v>
      </c>
      <c r="Y168" s="16">
        <f t="shared" si="29"/>
        <v>0</v>
      </c>
      <c r="Z168" s="50">
        <f t="shared" si="32"/>
        <v>0</v>
      </c>
      <c r="AA168" s="50">
        <f t="shared" si="33"/>
        <v>0</v>
      </c>
      <c r="AB168" s="50">
        <f t="shared" si="34"/>
        <v>0</v>
      </c>
      <c r="AC168" s="50">
        <f t="shared" si="30"/>
        <v>0</v>
      </c>
      <c r="AD168" s="50">
        <f t="shared" si="25"/>
        <v>0</v>
      </c>
      <c r="AE168">
        <f t="shared" si="31"/>
        <v>30</v>
      </c>
      <c r="AF168" s="12">
        <f>LCOE!E194+LCOE!K$40</f>
        <v>0.14000000000000001</v>
      </c>
      <c r="AG168">
        <f t="shared" si="26"/>
        <v>377290.1185953152</v>
      </c>
      <c r="AH168" s="16">
        <f t="shared" si="21"/>
        <v>0</v>
      </c>
      <c r="AI168" s="16">
        <f t="shared" si="22"/>
        <v>0</v>
      </c>
      <c r="AJ168" s="16">
        <f t="shared" si="23"/>
        <v>0</v>
      </c>
      <c r="AK168" s="16">
        <f t="shared" si="24"/>
        <v>0</v>
      </c>
      <c r="AL168" s="16">
        <f t="shared" si="27"/>
        <v>0</v>
      </c>
      <c r="AM168" s="16">
        <f t="shared" si="28"/>
        <v>0</v>
      </c>
      <c r="AN168" s="16">
        <f>IF(LCOE!K$14&gt;0,G168,H168)/AG168</f>
        <v>0</v>
      </c>
    </row>
    <row r="169" spans="1:40">
      <c r="A169">
        <v>99</v>
      </c>
      <c r="C169" s="16">
        <f>LCOE!K195+IF(AND(LCOE!K$26&gt;0,A169&gt;=LCOE!K$26,A169&lt;=(LCOE!K$26+LCOE!K$27-1)),LCOE!K$42/LCOE!K$27,0)+IF(AND(D169=0,AE169&gt;=LCOE!K$16,COUNTIF(D144:D169,0)=LCOE!K$36),LCOE!K$35*LCOE!K$38,0)</f>
        <v>0</v>
      </c>
      <c r="D169" s="16">
        <f>IF(AE168&lt;LCOE!K$16,1,0)</f>
        <v>0</v>
      </c>
      <c r="E169" s="12">
        <f>LCOE!G195+IF(AND(A169&gt;=LCOE!K$26,A169&lt;=(LCOE!K$26+LCOE!K$27-1)),0,1)*IF(A169=LCOE!K$34,0,1)*D169</f>
        <v>0</v>
      </c>
      <c r="F169" s="12">
        <f>IF(F168&lt;LCOE!K$18,MIN(F168*(1+LCOE!K$19),LCOE!K$18),LCOE!K$18)+LCOE!J195</f>
        <v>0.9</v>
      </c>
      <c r="G169" s="16">
        <f>LCOE!K195+E169*F169*N169*(LCOE!K$14+LCOE!H195)*24*365*D169</f>
        <v>0</v>
      </c>
      <c r="H169" s="16">
        <f>LCOE!L195+F169*(LCOE!K$15+LCOE!I195)*E169*24*365*D169*N169</f>
        <v>0</v>
      </c>
      <c r="I169" s="16">
        <f>LCOE!M195+LCOE!K$20*IF(LCOE!K$14&gt;0,(LCOE!K$14+LCOE!H195),(LCOE!K$15+LCOE!I195))*K169*D169</f>
        <v>0</v>
      </c>
      <c r="J169" s="16">
        <f>LCOE!N195+LCOE!K$21*IF(LCOE!K$14&gt;0,G169,H169)*K169*D169</f>
        <v>0</v>
      </c>
      <c r="K169" s="15">
        <f>LCOE!O195+K168+K168*LCOE!K$22</f>
        <v>1</v>
      </c>
      <c r="L169" s="16">
        <f>LCOE!P195+LCOE!K$23*IF(LCOE!K$14&gt;0,G169,H169)*M169*D169</f>
        <v>0</v>
      </c>
      <c r="M169" s="15">
        <f>LCOE!Q195+M168+M168*LCOE!K$24</f>
        <v>1</v>
      </c>
      <c r="N169" s="15">
        <f>LCOE!R195+N168-N168*LCOE!K$25</f>
        <v>1</v>
      </c>
      <c r="O169" s="18">
        <f>LCOE!S195+LCOE!K$29</f>
        <v>313.75</v>
      </c>
      <c r="P169" s="12">
        <f>LCOE!T195+IF(A169&gt;=LCOE!K$30,100%,0%)</f>
        <v>1</v>
      </c>
      <c r="Q169" s="16">
        <f>LCOE!U195+O169/1000*IF(LCOE!K$14&gt;0,G169,H169)</f>
        <v>0</v>
      </c>
      <c r="R169" s="16">
        <f>LCOE!B195</f>
        <v>30</v>
      </c>
      <c r="S169" s="16">
        <f>LCOE!V195+Q169*P169*R169</f>
        <v>0</v>
      </c>
      <c r="T169" s="16">
        <f>LCOE!W195+LCOE!K$31</f>
        <v>0</v>
      </c>
      <c r="U169" s="16">
        <f>LCOE!X195+T169*IF(LCOE!K$14&gt;0,G169,H169)</f>
        <v>0</v>
      </c>
      <c r="V169" s="16">
        <f>LCOE!Y195+LCOE!K$32</f>
        <v>0</v>
      </c>
      <c r="W169" s="16">
        <f>LCOE!Z195+V169*IF(LCOE!K$14&gt;0,G169,H169)</f>
        <v>0</v>
      </c>
      <c r="X169" s="16">
        <f>LCOE!AA195+LCOE!K$34</f>
        <v>101</v>
      </c>
      <c r="Y169" s="16">
        <f t="shared" si="29"/>
        <v>0</v>
      </c>
      <c r="Z169" s="50">
        <f t="shared" si="32"/>
        <v>0</v>
      </c>
      <c r="AA169" s="50">
        <f t="shared" si="33"/>
        <v>0</v>
      </c>
      <c r="AB169" s="50">
        <f t="shared" si="34"/>
        <v>0</v>
      </c>
      <c r="AC169" s="50">
        <f t="shared" si="30"/>
        <v>0</v>
      </c>
      <c r="AD169" s="50">
        <f t="shared" si="25"/>
        <v>0</v>
      </c>
      <c r="AE169">
        <f t="shared" si="31"/>
        <v>30</v>
      </c>
      <c r="AF169" s="12">
        <f>LCOE!E195+LCOE!K$40</f>
        <v>0.14000000000000001</v>
      </c>
      <c r="AG169">
        <f t="shared" si="26"/>
        <v>430110.7351986593</v>
      </c>
      <c r="AH169" s="16">
        <f t="shared" si="21"/>
        <v>0</v>
      </c>
      <c r="AI169" s="16">
        <f t="shared" si="22"/>
        <v>0</v>
      </c>
      <c r="AJ169" s="16">
        <f t="shared" si="23"/>
        <v>0</v>
      </c>
      <c r="AK169" s="16">
        <f t="shared" si="24"/>
        <v>0</v>
      </c>
      <c r="AL169" s="16">
        <f t="shared" si="27"/>
        <v>0</v>
      </c>
      <c r="AM169" s="16">
        <f t="shared" si="28"/>
        <v>0</v>
      </c>
      <c r="AN169" s="16">
        <f>IF(LCOE!K$14&gt;0,G169,H169)/AG169</f>
        <v>0</v>
      </c>
    </row>
    <row r="170" spans="1:40">
      <c r="A170">
        <v>100</v>
      </c>
      <c r="C170" s="16">
        <f>LCOE!K196+IF(AND(LCOE!K$26&gt;0,A170&gt;=LCOE!K$26,A170&lt;=(LCOE!K$26+LCOE!K$27-1)),LCOE!K$42/LCOE!K$27,0)+IF(AND(D170=0,AE170&gt;=LCOE!K$16,COUNTIF(D145:D170,0)=LCOE!K$36),LCOE!K$35*LCOE!K$38,0)</f>
        <v>0</v>
      </c>
      <c r="D170" s="16">
        <f>IF(AE169&lt;LCOE!K$16,1,0)</f>
        <v>0</v>
      </c>
      <c r="E170" s="12">
        <f>LCOE!G196+IF(AND(A170&gt;=LCOE!K$26,A170&lt;=(LCOE!K$26+LCOE!K$27-1)),0,1)*IF(A170=LCOE!K$34,0,1)*D170</f>
        <v>0</v>
      </c>
      <c r="F170" s="12">
        <f>IF(F169&lt;LCOE!K$18,MIN(F169*(1+LCOE!K$19),LCOE!K$18),LCOE!K$18)+LCOE!J196</f>
        <v>0.9</v>
      </c>
      <c r="G170" s="16">
        <f>LCOE!K196+E170*F170*N170*(LCOE!K$14+LCOE!H196)*24*365*D170</f>
        <v>0</v>
      </c>
      <c r="H170" s="16">
        <f>LCOE!L196+F170*(LCOE!K$15+LCOE!I196)*E170*24*365*D170*N170</f>
        <v>0</v>
      </c>
      <c r="I170" s="16">
        <f>LCOE!M196+LCOE!K$20*IF(LCOE!K$14&gt;0,(LCOE!K$14+LCOE!H196),(LCOE!K$15+LCOE!I196))*K170*D170</f>
        <v>0</v>
      </c>
      <c r="J170" s="16">
        <f>LCOE!N196+LCOE!K$21*IF(LCOE!K$14&gt;0,G170,H170)*K170*D170</f>
        <v>0</v>
      </c>
      <c r="K170" s="15">
        <f>LCOE!O196+K169+K169*LCOE!K$22</f>
        <v>1</v>
      </c>
      <c r="L170" s="16">
        <f>LCOE!P196+LCOE!K$23*IF(LCOE!K$14&gt;0,G170,H170)*M170*D170</f>
        <v>0</v>
      </c>
      <c r="M170" s="15">
        <f>LCOE!Q196+M169+M169*LCOE!K$24</f>
        <v>1</v>
      </c>
      <c r="N170" s="15">
        <f>LCOE!R196+N169-N169*LCOE!K$25</f>
        <v>1</v>
      </c>
      <c r="O170" s="18">
        <f>LCOE!S196+LCOE!K$29</f>
        <v>313.75</v>
      </c>
      <c r="P170" s="12">
        <f>LCOE!T196+IF(A170&gt;=LCOE!K$30,100%,0%)</f>
        <v>1</v>
      </c>
      <c r="Q170" s="16">
        <f>LCOE!U196+O170/1000*IF(LCOE!K$14&gt;0,G170,H170)</f>
        <v>0</v>
      </c>
      <c r="R170" s="16">
        <f>LCOE!B196</f>
        <v>30</v>
      </c>
      <c r="S170" s="16">
        <f>LCOE!V196+Q170*P170*R170</f>
        <v>0</v>
      </c>
      <c r="T170" s="16">
        <f>LCOE!W196+LCOE!K$31</f>
        <v>0</v>
      </c>
      <c r="U170" s="16">
        <f>LCOE!X196+T170*IF(LCOE!K$14&gt;0,G170,H170)</f>
        <v>0</v>
      </c>
      <c r="V170" s="16">
        <f>LCOE!Y196+LCOE!K$32</f>
        <v>0</v>
      </c>
      <c r="W170" s="16">
        <f>LCOE!Z196+V170*IF(LCOE!K$14&gt;0,G170,H170)</f>
        <v>0</v>
      </c>
      <c r="X170" s="16">
        <f>LCOE!AA196+LCOE!K$34</f>
        <v>101</v>
      </c>
      <c r="Y170" s="16">
        <f t="shared" si="29"/>
        <v>0</v>
      </c>
      <c r="Z170" s="50">
        <f t="shared" si="32"/>
        <v>0</v>
      </c>
      <c r="AA170" s="50">
        <f t="shared" si="33"/>
        <v>0</v>
      </c>
      <c r="AB170" s="50">
        <f t="shared" si="34"/>
        <v>0</v>
      </c>
      <c r="AC170" s="50">
        <f t="shared" si="30"/>
        <v>0</v>
      </c>
      <c r="AD170" s="50">
        <f t="shared" si="25"/>
        <v>0</v>
      </c>
      <c r="AE170">
        <f t="shared" si="31"/>
        <v>30</v>
      </c>
      <c r="AF170" s="12">
        <f>LCOE!E196+LCOE!K$40</f>
        <v>0.14000000000000001</v>
      </c>
      <c r="AG170">
        <f t="shared" si="26"/>
        <v>490326.23812647176</v>
      </c>
      <c r="AH170" s="16">
        <f t="shared" si="21"/>
        <v>0</v>
      </c>
      <c r="AI170" s="16">
        <f t="shared" si="22"/>
        <v>0</v>
      </c>
      <c r="AJ170" s="16">
        <f t="shared" si="23"/>
        <v>0</v>
      </c>
      <c r="AK170" s="16">
        <f t="shared" si="24"/>
        <v>0</v>
      </c>
      <c r="AL170" s="16">
        <f t="shared" si="27"/>
        <v>0</v>
      </c>
      <c r="AM170" s="16">
        <f t="shared" si="28"/>
        <v>0</v>
      </c>
      <c r="AN170" s="16">
        <f>IF(LCOE!K$14&gt;0,G170,H170)/AG170</f>
        <v>0</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CB30D-020A-ED4F-BCC3-7CF2E6CEDBC0}">
  <dimension ref="A19:AT125"/>
  <sheetViews>
    <sheetView workbookViewId="0">
      <selection activeCell="C23" sqref="C23"/>
    </sheetView>
    <sheetView workbookViewId="1"/>
  </sheetViews>
  <sheetFormatPr defaultColWidth="11" defaultRowHeight="15.95"/>
  <cols>
    <col min="2" max="2" width="28.5" customWidth="1"/>
    <col min="3" max="3" width="12.625" bestFit="1" customWidth="1"/>
  </cols>
  <sheetData>
    <row r="19" spans="1:46">
      <c r="B19" t="s">
        <v>250</v>
      </c>
      <c r="C19">
        <f>'Learning curve parameters'!D2</f>
        <v>2020</v>
      </c>
    </row>
    <row r="20" spans="1:46" s="38" customFormat="1" ht="24">
      <c r="B20" s="38" t="s">
        <v>205</v>
      </c>
      <c r="L20" s="38" t="str">
        <f>'Learning curve parameters'!D27</f>
        <v>Experience exponent ω</v>
      </c>
      <c r="U20" s="38" t="s">
        <v>251</v>
      </c>
      <c r="AD20" s="38" t="s">
        <v>252</v>
      </c>
      <c r="AM20" s="38" t="s">
        <v>253</v>
      </c>
    </row>
    <row r="21" spans="1:46">
      <c r="B21" t="str">
        <f>'Learning curve parameters'!C4</f>
        <v>Case</v>
      </c>
      <c r="C21" t="str">
        <f>'Learning curve parameters'!D4</f>
        <v>LC Case 1</v>
      </c>
      <c r="D21" t="str">
        <f>'Learning curve parameters'!E4</f>
        <v>LC Case 2</v>
      </c>
      <c r="E21" t="str">
        <f>'Learning curve parameters'!F4</f>
        <v>LC Case 3</v>
      </c>
      <c r="F21" t="str">
        <f>'Learning curve parameters'!G4</f>
        <v>LC Case 4</v>
      </c>
      <c r="G21" t="str">
        <f>'Learning curve parameters'!H4</f>
        <v>LC Case 5</v>
      </c>
      <c r="H21" t="str">
        <f>'Learning curve parameters'!I4</f>
        <v>LC Case 6</v>
      </c>
      <c r="I21" t="str">
        <f>'Learning curve parameters'!J4</f>
        <v>LC Case 7</v>
      </c>
      <c r="J21" t="str">
        <f>'Learning curve parameters'!K4</f>
        <v>LC Case 8</v>
      </c>
      <c r="L21" t="str">
        <f>C21</f>
        <v>LC Case 1</v>
      </c>
      <c r="M21" t="str">
        <f t="shared" ref="M21:S23" si="0">D21</f>
        <v>LC Case 2</v>
      </c>
      <c r="N21" t="str">
        <f t="shared" si="0"/>
        <v>LC Case 3</v>
      </c>
      <c r="O21" t="str">
        <f t="shared" si="0"/>
        <v>LC Case 4</v>
      </c>
      <c r="P21" t="str">
        <f t="shared" si="0"/>
        <v>LC Case 5</v>
      </c>
      <c r="Q21" t="str">
        <f t="shared" si="0"/>
        <v>LC Case 6</v>
      </c>
      <c r="R21" t="str">
        <f t="shared" si="0"/>
        <v>LC Case 7</v>
      </c>
      <c r="S21" t="str">
        <f t="shared" si="0"/>
        <v>LC Case 8</v>
      </c>
      <c r="U21" t="str">
        <f t="shared" ref="U21:AB23" si="1">C21</f>
        <v>LC Case 1</v>
      </c>
      <c r="V21" t="str">
        <f t="shared" si="1"/>
        <v>LC Case 2</v>
      </c>
      <c r="W21" t="str">
        <f t="shared" si="1"/>
        <v>LC Case 3</v>
      </c>
      <c r="X21" t="str">
        <f t="shared" si="1"/>
        <v>LC Case 4</v>
      </c>
      <c r="Y21" t="str">
        <f t="shared" si="1"/>
        <v>LC Case 5</v>
      </c>
      <c r="Z21" t="str">
        <f t="shared" si="1"/>
        <v>LC Case 6</v>
      </c>
      <c r="AA21" t="str">
        <f t="shared" si="1"/>
        <v>LC Case 7</v>
      </c>
      <c r="AB21" t="str">
        <f t="shared" si="1"/>
        <v>LC Case 8</v>
      </c>
      <c r="AD21" t="str">
        <f t="shared" ref="AD21:AK23" si="2">C21</f>
        <v>LC Case 1</v>
      </c>
      <c r="AE21" t="str">
        <f t="shared" si="2"/>
        <v>LC Case 2</v>
      </c>
      <c r="AF21" t="str">
        <f t="shared" si="2"/>
        <v>LC Case 3</v>
      </c>
      <c r="AG21" t="str">
        <f t="shared" si="2"/>
        <v>LC Case 4</v>
      </c>
      <c r="AH21" t="str">
        <f t="shared" si="2"/>
        <v>LC Case 5</v>
      </c>
      <c r="AI21" t="str">
        <f t="shared" si="2"/>
        <v>LC Case 6</v>
      </c>
      <c r="AJ21" t="str">
        <f t="shared" si="2"/>
        <v>LC Case 7</v>
      </c>
      <c r="AK21" t="str">
        <f t="shared" si="2"/>
        <v>LC Case 8</v>
      </c>
      <c r="AM21" t="str">
        <f t="shared" ref="AM21:AT23" si="3">C21</f>
        <v>LC Case 1</v>
      </c>
      <c r="AN21" t="str">
        <f t="shared" si="3"/>
        <v>LC Case 2</v>
      </c>
      <c r="AO21" t="str">
        <f t="shared" si="3"/>
        <v>LC Case 3</v>
      </c>
      <c r="AP21" t="str">
        <f t="shared" si="3"/>
        <v>LC Case 4</v>
      </c>
      <c r="AQ21" t="str">
        <f t="shared" si="3"/>
        <v>LC Case 5</v>
      </c>
      <c r="AR21" t="str">
        <f t="shared" si="3"/>
        <v>LC Case 6</v>
      </c>
      <c r="AS21" t="str">
        <f t="shared" si="3"/>
        <v>LC Case 7</v>
      </c>
      <c r="AT21" t="str">
        <f t="shared" si="3"/>
        <v>LC Case 8</v>
      </c>
    </row>
    <row r="22" spans="1:46">
      <c r="B22" t="str">
        <f>'Learning curve parameters'!C5</f>
        <v>LCOE calc</v>
      </c>
      <c r="C22" t="str">
        <f>'Learning curve parameters'!D5</f>
        <v>LCOE 1</v>
      </c>
      <c r="D22" t="str">
        <f>'Learning curve parameters'!E5</f>
        <v>LCOE 2</v>
      </c>
      <c r="E22" t="str">
        <f>'Learning curve parameters'!F5</f>
        <v>LCOE 3</v>
      </c>
      <c r="F22" t="str">
        <f>'Learning curve parameters'!G5</f>
        <v>LCOE 4</v>
      </c>
      <c r="G22" t="str">
        <f>'Learning curve parameters'!H5</f>
        <v>LCOE 5</v>
      </c>
      <c r="H22" t="str">
        <f>'Learning curve parameters'!I5</f>
        <v>LCOE 6</v>
      </c>
      <c r="I22" t="str">
        <f>'Learning curve parameters'!J5</f>
        <v>LCOE 7</v>
      </c>
      <c r="J22" t="str">
        <f>'Learning curve parameters'!K5</f>
        <v>LCOE 8</v>
      </c>
      <c r="L22" t="str">
        <f>C22</f>
        <v>LCOE 1</v>
      </c>
      <c r="M22" t="str">
        <f t="shared" si="0"/>
        <v>LCOE 2</v>
      </c>
      <c r="N22" t="str">
        <f t="shared" si="0"/>
        <v>LCOE 3</v>
      </c>
      <c r="O22" t="str">
        <f t="shared" si="0"/>
        <v>LCOE 4</v>
      </c>
      <c r="P22" t="str">
        <f t="shared" si="0"/>
        <v>LCOE 5</v>
      </c>
      <c r="Q22" t="str">
        <f t="shared" si="0"/>
        <v>LCOE 6</v>
      </c>
      <c r="R22" t="str">
        <f t="shared" si="0"/>
        <v>LCOE 7</v>
      </c>
      <c r="S22" t="str">
        <f t="shared" si="0"/>
        <v>LCOE 8</v>
      </c>
      <c r="U22" t="str">
        <f t="shared" si="1"/>
        <v>LCOE 1</v>
      </c>
      <c r="V22" t="str">
        <f t="shared" si="1"/>
        <v>LCOE 2</v>
      </c>
      <c r="W22" t="str">
        <f t="shared" si="1"/>
        <v>LCOE 3</v>
      </c>
      <c r="X22" t="str">
        <f t="shared" si="1"/>
        <v>LCOE 4</v>
      </c>
      <c r="Y22" t="str">
        <f t="shared" si="1"/>
        <v>LCOE 5</v>
      </c>
      <c r="Z22" t="str">
        <f t="shared" si="1"/>
        <v>LCOE 6</v>
      </c>
      <c r="AA22" t="str">
        <f t="shared" si="1"/>
        <v>LCOE 7</v>
      </c>
      <c r="AB22" t="str">
        <f t="shared" si="1"/>
        <v>LCOE 8</v>
      </c>
      <c r="AD22" t="str">
        <f t="shared" si="2"/>
        <v>LCOE 1</v>
      </c>
      <c r="AE22" t="str">
        <f t="shared" si="2"/>
        <v>LCOE 2</v>
      </c>
      <c r="AF22" t="str">
        <f t="shared" si="2"/>
        <v>LCOE 3</v>
      </c>
      <c r="AG22" t="str">
        <f t="shared" si="2"/>
        <v>LCOE 4</v>
      </c>
      <c r="AH22" t="str">
        <f t="shared" si="2"/>
        <v>LCOE 5</v>
      </c>
      <c r="AI22" t="str">
        <f t="shared" si="2"/>
        <v>LCOE 6</v>
      </c>
      <c r="AJ22" t="str">
        <f t="shared" si="2"/>
        <v>LCOE 7</v>
      </c>
      <c r="AK22" t="str">
        <f t="shared" si="2"/>
        <v>LCOE 8</v>
      </c>
      <c r="AM22" t="str">
        <f t="shared" si="3"/>
        <v>LCOE 1</v>
      </c>
      <c r="AN22" t="str">
        <f t="shared" si="3"/>
        <v>LCOE 2</v>
      </c>
      <c r="AO22" t="str">
        <f t="shared" si="3"/>
        <v>LCOE 3</v>
      </c>
      <c r="AP22" t="str">
        <f t="shared" si="3"/>
        <v>LCOE 4</v>
      </c>
      <c r="AQ22" t="str">
        <f t="shared" si="3"/>
        <v>LCOE 5</v>
      </c>
      <c r="AR22" t="str">
        <f t="shared" si="3"/>
        <v>LCOE 6</v>
      </c>
      <c r="AS22" t="str">
        <f t="shared" si="3"/>
        <v>LCOE 7</v>
      </c>
      <c r="AT22" t="str">
        <f t="shared" si="3"/>
        <v>LCOE 8</v>
      </c>
    </row>
    <row r="23" spans="1:46">
      <c r="B23" t="str">
        <f>LCOE!C5</f>
        <v>Name</v>
      </c>
      <c r="C23" t="str">
        <f>LCOE!D5</f>
        <v>CCGT in Belgium (2020)</v>
      </c>
      <c r="D23" t="str">
        <f>LCOE!E5</f>
        <v>CCGT in Belgium (2020)</v>
      </c>
      <c r="E23" t="str">
        <f>LCOE!F5</f>
        <v>CCGT in Belgium (2020)</v>
      </c>
      <c r="F23" t="str">
        <f>LCOE!G5</f>
        <v>CCGT in Belgium (2020)</v>
      </c>
      <c r="G23" t="str">
        <f>LCOE!H5</f>
        <v>CCGT in Belgium (2020)</v>
      </c>
      <c r="H23" t="str">
        <f>LCOE!I5</f>
        <v>CCGT in Belgium (2020)</v>
      </c>
      <c r="I23" t="str">
        <f>LCOE!J5</f>
        <v>CCGT in Belgium (2020)</v>
      </c>
      <c r="J23" t="str">
        <f>LCOE!K5</f>
        <v>CCGT in Belgium (2020)</v>
      </c>
      <c r="L23" t="str">
        <f>C23</f>
        <v>CCGT in Belgium (2020)</v>
      </c>
      <c r="M23" t="str">
        <f t="shared" si="0"/>
        <v>CCGT in Belgium (2020)</v>
      </c>
      <c r="N23" t="str">
        <f t="shared" si="0"/>
        <v>CCGT in Belgium (2020)</v>
      </c>
      <c r="O23" t="str">
        <f t="shared" si="0"/>
        <v>CCGT in Belgium (2020)</v>
      </c>
      <c r="P23" t="str">
        <f t="shared" si="0"/>
        <v>CCGT in Belgium (2020)</v>
      </c>
      <c r="Q23" t="str">
        <f t="shared" si="0"/>
        <v>CCGT in Belgium (2020)</v>
      </c>
      <c r="R23" t="str">
        <f t="shared" si="0"/>
        <v>CCGT in Belgium (2020)</v>
      </c>
      <c r="S23" t="str">
        <f t="shared" si="0"/>
        <v>CCGT in Belgium (2020)</v>
      </c>
      <c r="U23" t="str">
        <f t="shared" si="1"/>
        <v>CCGT in Belgium (2020)</v>
      </c>
      <c r="V23" t="str">
        <f t="shared" si="1"/>
        <v>CCGT in Belgium (2020)</v>
      </c>
      <c r="W23" t="str">
        <f t="shared" si="1"/>
        <v>CCGT in Belgium (2020)</v>
      </c>
      <c r="X23" t="str">
        <f t="shared" si="1"/>
        <v>CCGT in Belgium (2020)</v>
      </c>
      <c r="Y23" t="str">
        <f t="shared" si="1"/>
        <v>CCGT in Belgium (2020)</v>
      </c>
      <c r="Z23" t="str">
        <f t="shared" si="1"/>
        <v>CCGT in Belgium (2020)</v>
      </c>
      <c r="AA23" t="str">
        <f t="shared" si="1"/>
        <v>CCGT in Belgium (2020)</v>
      </c>
      <c r="AB23" t="str">
        <f t="shared" si="1"/>
        <v>CCGT in Belgium (2020)</v>
      </c>
      <c r="AD23" t="str">
        <f t="shared" si="2"/>
        <v>CCGT in Belgium (2020)</v>
      </c>
      <c r="AE23" t="str">
        <f t="shared" si="2"/>
        <v>CCGT in Belgium (2020)</v>
      </c>
      <c r="AF23" t="str">
        <f t="shared" si="2"/>
        <v>CCGT in Belgium (2020)</v>
      </c>
      <c r="AG23" t="str">
        <f t="shared" si="2"/>
        <v>CCGT in Belgium (2020)</v>
      </c>
      <c r="AH23" t="str">
        <f t="shared" si="2"/>
        <v>CCGT in Belgium (2020)</v>
      </c>
      <c r="AI23" t="str">
        <f t="shared" si="2"/>
        <v>CCGT in Belgium (2020)</v>
      </c>
      <c r="AJ23" t="str">
        <f t="shared" si="2"/>
        <v>CCGT in Belgium (2020)</v>
      </c>
      <c r="AK23" t="str">
        <f t="shared" si="2"/>
        <v>CCGT in Belgium (2020)</v>
      </c>
      <c r="AM23" t="str">
        <f t="shared" si="3"/>
        <v>CCGT in Belgium (2020)</v>
      </c>
      <c r="AN23" t="str">
        <f t="shared" si="3"/>
        <v>CCGT in Belgium (2020)</v>
      </c>
      <c r="AO23" t="str">
        <f t="shared" si="3"/>
        <v>CCGT in Belgium (2020)</v>
      </c>
      <c r="AP23" t="str">
        <f t="shared" si="3"/>
        <v>CCGT in Belgium (2020)</v>
      </c>
      <c r="AQ23" t="str">
        <f t="shared" si="3"/>
        <v>CCGT in Belgium (2020)</v>
      </c>
      <c r="AR23" t="str">
        <f t="shared" si="3"/>
        <v>CCGT in Belgium (2020)</v>
      </c>
      <c r="AS23" t="str">
        <f t="shared" si="3"/>
        <v>CCGT in Belgium (2020)</v>
      </c>
      <c r="AT23" t="str">
        <f t="shared" si="3"/>
        <v>CCGT in Belgium (2020)</v>
      </c>
    </row>
    <row r="24" spans="1:46" s="24" customFormat="1">
      <c r="A24" s="24" t="s">
        <v>159</v>
      </c>
      <c r="B24" s="24" t="s">
        <v>159</v>
      </c>
      <c r="C24" s="24" t="str">
        <f>LCOE!D45</f>
        <v>USD/MWh</v>
      </c>
      <c r="D24" s="24" t="str">
        <f>LCOE!E45</f>
        <v>USD/MWh</v>
      </c>
      <c r="E24" s="24" t="str">
        <f>LCOE!F45</f>
        <v>USD/MWh</v>
      </c>
      <c r="F24" s="24" t="str">
        <f>LCOE!G45</f>
        <v>USD/MWh</v>
      </c>
      <c r="G24" s="24" t="str">
        <f>LCOE!H45</f>
        <v>USD/MWh</v>
      </c>
      <c r="H24" s="24" t="str">
        <f>LCOE!I45</f>
        <v>USD/MWh</v>
      </c>
      <c r="I24" s="24" t="str">
        <f>LCOE!J45</f>
        <v>USD/MWh</v>
      </c>
      <c r="J24" s="24" t="str">
        <f>LCOE!K45</f>
        <v>USD/MWh</v>
      </c>
      <c r="L24" s="24" t="s">
        <v>254</v>
      </c>
      <c r="M24" s="24" t="s">
        <v>254</v>
      </c>
      <c r="N24" s="24" t="s">
        <v>254</v>
      </c>
      <c r="O24" s="24" t="s">
        <v>254</v>
      </c>
      <c r="P24" s="24" t="s">
        <v>254</v>
      </c>
      <c r="Q24" s="24" t="s">
        <v>254</v>
      </c>
      <c r="R24" s="24" t="s">
        <v>254</v>
      </c>
      <c r="S24" s="24" t="s">
        <v>254</v>
      </c>
      <c r="U24" s="24" t="str">
        <f>'Learning curve parameters'!D8</f>
        <v>TWh</v>
      </c>
      <c r="V24" s="24" t="str">
        <f>'Learning curve parameters'!E8</f>
        <v>TWh</v>
      </c>
      <c r="W24" s="24" t="str">
        <f>'Learning curve parameters'!F8</f>
        <v>TWh</v>
      </c>
      <c r="X24" s="24" t="str">
        <f>'Learning curve parameters'!G8</f>
        <v>TWh</v>
      </c>
      <c r="Y24" s="24" t="str">
        <f>'Learning curve parameters'!H8</f>
        <v>TWh</v>
      </c>
      <c r="Z24" s="24" t="str">
        <f>'Learning curve parameters'!I8</f>
        <v>TWh</v>
      </c>
      <c r="AA24" s="24" t="str">
        <f>'Learning curve parameters'!J8</f>
        <v>TWh</v>
      </c>
      <c r="AB24" s="24" t="str">
        <f>'Learning curve parameters'!K8</f>
        <v>TWh</v>
      </c>
      <c r="AD24" s="24" t="s">
        <v>255</v>
      </c>
      <c r="AE24" s="24" t="s">
        <v>255</v>
      </c>
      <c r="AF24" s="24" t="s">
        <v>255</v>
      </c>
      <c r="AG24" s="24" t="s">
        <v>255</v>
      </c>
      <c r="AH24" s="24" t="s">
        <v>255</v>
      </c>
      <c r="AI24" s="24" t="s">
        <v>255</v>
      </c>
      <c r="AJ24" s="24" t="s">
        <v>255</v>
      </c>
      <c r="AK24" s="24" t="s">
        <v>255</v>
      </c>
      <c r="AM24" s="24" t="str">
        <f>_xlfn.CONCAT(U24,"/a")</f>
        <v>TWh/a</v>
      </c>
      <c r="AN24" s="24" t="str">
        <f t="shared" ref="AN24:AT24" si="4">_xlfn.CONCAT(V24,"/a")</f>
        <v>TWh/a</v>
      </c>
      <c r="AO24" s="24" t="str">
        <f t="shared" si="4"/>
        <v>TWh/a</v>
      </c>
      <c r="AP24" s="24" t="str">
        <f t="shared" si="4"/>
        <v>TWh/a</v>
      </c>
      <c r="AQ24" s="24" t="str">
        <f t="shared" si="4"/>
        <v>TWh/a</v>
      </c>
      <c r="AR24" s="24" t="str">
        <f t="shared" si="4"/>
        <v>TWh/a</v>
      </c>
      <c r="AS24" s="24" t="str">
        <f t="shared" si="4"/>
        <v>TWh/a</v>
      </c>
      <c r="AT24" s="24" t="str">
        <f t="shared" si="4"/>
        <v>TWh/a</v>
      </c>
    </row>
    <row r="25" spans="1:46">
      <c r="A25">
        <v>0</v>
      </c>
      <c r="B25">
        <f t="shared" ref="B25:B56" si="5">A25+C$19</f>
        <v>2020</v>
      </c>
      <c r="C25" s="18">
        <f>LCOE!D46</f>
        <v>71.201772135737173</v>
      </c>
      <c r="D25" s="18">
        <f>LCOE!E46</f>
        <v>64.075543409183908</v>
      </c>
      <c r="E25" s="18">
        <f>LCOE!F46</f>
        <v>66.035232384376613</v>
      </c>
      <c r="F25" s="18">
        <f>LCOE!G46</f>
        <v>68.258027098634017</v>
      </c>
      <c r="G25" s="18">
        <f>LCOE!H46</f>
        <v>69.460823747961442</v>
      </c>
      <c r="H25" s="18">
        <f>LCOE!I46</f>
        <v>72.022032500546203</v>
      </c>
      <c r="I25" s="18">
        <f>LCOE!J46</f>
        <v>74.762467256960974</v>
      </c>
      <c r="J25" s="18">
        <f>LCOE!K46</f>
        <v>77.652830840881094</v>
      </c>
      <c r="L25">
        <f>'Learning curve parameters'!D29</f>
        <v>0.05</v>
      </c>
      <c r="M25">
        <f>'Learning curve parameters'!E29</f>
        <v>0.05</v>
      </c>
      <c r="N25">
        <f>'Learning curve parameters'!F29</f>
        <v>0.05</v>
      </c>
      <c r="O25">
        <f>'Learning curve parameters'!G29</f>
        <v>0.05</v>
      </c>
      <c r="P25">
        <f>'Learning curve parameters'!H29</f>
        <v>0.05</v>
      </c>
      <c r="Q25">
        <f>'Learning curve parameters'!I29</f>
        <v>0.05</v>
      </c>
      <c r="R25">
        <f>'Learning curve parameters'!J29</f>
        <v>0.05</v>
      </c>
      <c r="S25">
        <f>'Learning curve parameters'!K29</f>
        <v>0.05</v>
      </c>
      <c r="U25" s="16">
        <f>'Learning curve parameters'!D7</f>
        <v>95782</v>
      </c>
      <c r="V25" s="16">
        <f>'Learning curve parameters'!E7</f>
        <v>95782</v>
      </c>
      <c r="W25" s="16">
        <f>'Learning curve parameters'!F7</f>
        <v>95782</v>
      </c>
      <c r="X25" s="16">
        <f>'Learning curve parameters'!G7</f>
        <v>95782</v>
      </c>
      <c r="Y25" s="16">
        <f>'Learning curve parameters'!H7</f>
        <v>95782</v>
      </c>
      <c r="Z25" s="16">
        <f>'Learning curve parameters'!I7</f>
        <v>95782</v>
      </c>
      <c r="AA25" s="16">
        <f>'Learning curve parameters'!J7</f>
        <v>95782</v>
      </c>
      <c r="AB25" s="16">
        <f>'Learning curve parameters'!K7</f>
        <v>95782</v>
      </c>
      <c r="AD25" s="12">
        <f>'Learning curve parameters'!M29</f>
        <v>0.01</v>
      </c>
      <c r="AE25" s="12">
        <f>'Learning curve parameters'!N29</f>
        <v>0.01</v>
      </c>
      <c r="AF25" s="12">
        <f>'Learning curve parameters'!O29</f>
        <v>0.01</v>
      </c>
      <c r="AG25" s="12">
        <f>'Learning curve parameters'!P29</f>
        <v>0.01</v>
      </c>
      <c r="AH25" s="12">
        <f>'Learning curve parameters'!Q29</f>
        <v>0.01</v>
      </c>
      <c r="AI25" s="12">
        <f>'Learning curve parameters'!R29</f>
        <v>0.01</v>
      </c>
      <c r="AJ25" s="12">
        <f>'Learning curve parameters'!S29</f>
        <v>0.01</v>
      </c>
      <c r="AK25" s="12">
        <f>'Learning curve parameters'!T29</f>
        <v>0.01</v>
      </c>
      <c r="AM25" s="21">
        <f>U25*AD25</f>
        <v>957.82</v>
      </c>
      <c r="AN25" s="21">
        <f t="shared" ref="AN25:AT25" si="6">V25*AE25</f>
        <v>957.82</v>
      </c>
      <c r="AO25" s="21">
        <f t="shared" si="6"/>
        <v>957.82</v>
      </c>
      <c r="AP25" s="21">
        <f t="shared" si="6"/>
        <v>957.82</v>
      </c>
      <c r="AQ25" s="21">
        <f t="shared" si="6"/>
        <v>957.82</v>
      </c>
      <c r="AR25" s="21">
        <f t="shared" si="6"/>
        <v>957.82</v>
      </c>
      <c r="AS25" s="21">
        <f t="shared" si="6"/>
        <v>957.82</v>
      </c>
      <c r="AT25" s="21">
        <f t="shared" si="6"/>
        <v>957.82</v>
      </c>
    </row>
    <row r="26" spans="1:46">
      <c r="A26">
        <v>1</v>
      </c>
      <c r="B26">
        <f t="shared" si="5"/>
        <v>2021</v>
      </c>
      <c r="C26" s="18">
        <f>C25-10^L26*(LOG(U25)-LOG(U26))</f>
        <v>71.206620796869231</v>
      </c>
      <c r="D26" s="18">
        <f t="shared" ref="D26:J26" si="7">D25-10^M26*(LOG(V25)-LOG(V26))</f>
        <v>64.080392070315966</v>
      </c>
      <c r="E26" s="18">
        <f t="shared" si="7"/>
        <v>66.040081045508671</v>
      </c>
      <c r="F26" s="18">
        <f t="shared" si="7"/>
        <v>68.262875759766075</v>
      </c>
      <c r="G26" s="18">
        <f t="shared" si="7"/>
        <v>69.4656724090935</v>
      </c>
      <c r="H26" s="18">
        <f t="shared" si="7"/>
        <v>72.026881161678261</v>
      </c>
      <c r="I26" s="18">
        <f t="shared" si="7"/>
        <v>74.767315918093033</v>
      </c>
      <c r="J26" s="18">
        <f t="shared" si="7"/>
        <v>77.657679502013153</v>
      </c>
      <c r="L26">
        <f>'Learning curve parameters'!D30</f>
        <v>0.05</v>
      </c>
      <c r="M26">
        <f>'Learning curve parameters'!E30</f>
        <v>0.05</v>
      </c>
      <c r="N26">
        <f>'Learning curve parameters'!F30</f>
        <v>0.05</v>
      </c>
      <c r="O26">
        <f>'Learning curve parameters'!G30</f>
        <v>0.05</v>
      </c>
      <c r="P26">
        <f>'Learning curve parameters'!H30</f>
        <v>0.05</v>
      </c>
      <c r="Q26">
        <f>'Learning curve parameters'!I30</f>
        <v>0.05</v>
      </c>
      <c r="R26">
        <f>'Learning curve parameters'!J30</f>
        <v>0.05</v>
      </c>
      <c r="S26">
        <f>'Learning curve parameters'!K30</f>
        <v>0.05</v>
      </c>
      <c r="U26" s="16">
        <f>U25+AM25</f>
        <v>96739.82</v>
      </c>
      <c r="V26" s="16">
        <f t="shared" ref="V26:AB26" si="8">V25+AN25</f>
        <v>96739.82</v>
      </c>
      <c r="W26" s="16">
        <f t="shared" si="8"/>
        <v>96739.82</v>
      </c>
      <c r="X26" s="16">
        <f t="shared" si="8"/>
        <v>96739.82</v>
      </c>
      <c r="Y26" s="16">
        <f t="shared" si="8"/>
        <v>96739.82</v>
      </c>
      <c r="Z26" s="16">
        <f t="shared" si="8"/>
        <v>96739.82</v>
      </c>
      <c r="AA26" s="16">
        <f t="shared" si="8"/>
        <v>96739.82</v>
      </c>
      <c r="AB26" s="16">
        <f t="shared" si="8"/>
        <v>96739.82</v>
      </c>
      <c r="AD26" s="12">
        <f>'Learning curve parameters'!M30</f>
        <v>0.01</v>
      </c>
      <c r="AE26" s="12">
        <f>'Learning curve parameters'!N30</f>
        <v>0.01</v>
      </c>
      <c r="AF26" s="12">
        <f>'Learning curve parameters'!O30</f>
        <v>0.01</v>
      </c>
      <c r="AG26" s="12">
        <f>'Learning curve parameters'!P30</f>
        <v>0.01</v>
      </c>
      <c r="AH26" s="12">
        <f>'Learning curve parameters'!Q30</f>
        <v>0.01</v>
      </c>
      <c r="AI26" s="12">
        <f>'Learning curve parameters'!R30</f>
        <v>0.01</v>
      </c>
      <c r="AJ26" s="12">
        <f>'Learning curve parameters'!S30</f>
        <v>0.01</v>
      </c>
      <c r="AK26" s="12">
        <f>'Learning curve parameters'!T30</f>
        <v>0.01</v>
      </c>
      <c r="AM26" s="21">
        <f t="shared" ref="AM26:AM89" si="9">U26*AD26</f>
        <v>967.39820000000009</v>
      </c>
      <c r="AN26" s="21">
        <f t="shared" ref="AN26:AN89" si="10">V26*AE26</f>
        <v>967.39820000000009</v>
      </c>
      <c r="AO26" s="21">
        <f t="shared" ref="AO26:AO89" si="11">W26*AF26</f>
        <v>967.39820000000009</v>
      </c>
      <c r="AP26" s="21">
        <f t="shared" ref="AP26:AP89" si="12">X26*AG26</f>
        <v>967.39820000000009</v>
      </c>
      <c r="AQ26" s="21">
        <f t="shared" ref="AQ26:AQ89" si="13">Y26*AH26</f>
        <v>967.39820000000009</v>
      </c>
      <c r="AR26" s="21">
        <f t="shared" ref="AR26:AR89" si="14">Z26*AI26</f>
        <v>967.39820000000009</v>
      </c>
      <c r="AS26" s="21">
        <f t="shared" ref="AS26:AS89" si="15">AA26*AJ26</f>
        <v>967.39820000000009</v>
      </c>
      <c r="AT26" s="21">
        <f t="shared" ref="AT26:AT89" si="16">AB26*AK26</f>
        <v>967.39820000000009</v>
      </c>
    </row>
    <row r="27" spans="1:46">
      <c r="A27">
        <v>2</v>
      </c>
      <c r="B27">
        <f t="shared" si="5"/>
        <v>2022</v>
      </c>
      <c r="C27" s="18">
        <f t="shared" ref="C27:C90" si="17">C26-10^L27*(LOG(U26)-LOG(U27))</f>
        <v>71.211469458001289</v>
      </c>
      <c r="D27" s="18">
        <f t="shared" ref="D27:D90" si="18">D26-10^M27*(LOG(V26)-LOG(V27))</f>
        <v>64.085240731448025</v>
      </c>
      <c r="E27" s="18">
        <f t="shared" ref="E27:E90" si="19">E26-10^N27*(LOG(W26)-LOG(W27))</f>
        <v>66.04492970664073</v>
      </c>
      <c r="F27" s="18">
        <f t="shared" ref="F27:F90" si="20">F26-10^O27*(LOG(X26)-LOG(X27))</f>
        <v>68.267724420898134</v>
      </c>
      <c r="G27" s="18">
        <f t="shared" ref="G27:G90" si="21">G26-10^P27*(LOG(Y26)-LOG(Y27))</f>
        <v>69.470521070225558</v>
      </c>
      <c r="H27" s="18">
        <f t="shared" ref="H27:H90" si="22">H26-10^Q27*(LOG(Z26)-LOG(Z27))</f>
        <v>72.03172982281032</v>
      </c>
      <c r="I27" s="18">
        <f t="shared" ref="I27:I90" si="23">I26-10^R27*(LOG(AA26)-LOG(AA27))</f>
        <v>74.772164579225091</v>
      </c>
      <c r="J27" s="18">
        <f t="shared" ref="J27:J90" si="24">J26-10^S27*(LOG(AB26)-LOG(AB27))</f>
        <v>77.662528163145211</v>
      </c>
      <c r="L27">
        <f>'Learning curve parameters'!D31</f>
        <v>0.05</v>
      </c>
      <c r="M27">
        <f>'Learning curve parameters'!E31</f>
        <v>0.05</v>
      </c>
      <c r="N27">
        <f>'Learning curve parameters'!F31</f>
        <v>0.05</v>
      </c>
      <c r="O27">
        <f>'Learning curve parameters'!G31</f>
        <v>0.05</v>
      </c>
      <c r="P27">
        <f>'Learning curve parameters'!H31</f>
        <v>0.05</v>
      </c>
      <c r="Q27">
        <f>'Learning curve parameters'!I31</f>
        <v>0.05</v>
      </c>
      <c r="R27">
        <f>'Learning curve parameters'!J31</f>
        <v>0.05</v>
      </c>
      <c r="S27">
        <f>'Learning curve parameters'!K31</f>
        <v>0.05</v>
      </c>
      <c r="U27" s="16">
        <f t="shared" ref="U27:U90" si="25">U26+AM26</f>
        <v>97707.218200000003</v>
      </c>
      <c r="V27" s="16">
        <f t="shared" ref="V27:V90" si="26">V26+AN26</f>
        <v>97707.218200000003</v>
      </c>
      <c r="W27" s="16">
        <f t="shared" ref="W27:W90" si="27">W26+AO26</f>
        <v>97707.218200000003</v>
      </c>
      <c r="X27" s="16">
        <f t="shared" ref="X27:X90" si="28">X26+AP26</f>
        <v>97707.218200000003</v>
      </c>
      <c r="Y27" s="16">
        <f t="shared" ref="Y27:Y90" si="29">Y26+AQ26</f>
        <v>97707.218200000003</v>
      </c>
      <c r="Z27" s="16">
        <f t="shared" ref="Z27:Z90" si="30">Z26+AR26</f>
        <v>97707.218200000003</v>
      </c>
      <c r="AA27" s="16">
        <f t="shared" ref="AA27:AA90" si="31">AA26+AS26</f>
        <v>97707.218200000003</v>
      </c>
      <c r="AB27" s="16">
        <f t="shared" ref="AB27:AB90" si="32">AB26+AT26</f>
        <v>97707.218200000003</v>
      </c>
      <c r="AD27" s="12">
        <f>'Learning curve parameters'!M31</f>
        <v>0.01</v>
      </c>
      <c r="AE27" s="12">
        <f>'Learning curve parameters'!N31</f>
        <v>0.01</v>
      </c>
      <c r="AF27" s="12">
        <f>'Learning curve parameters'!O31</f>
        <v>0.01</v>
      </c>
      <c r="AG27" s="12">
        <f>'Learning curve parameters'!P31</f>
        <v>0.01</v>
      </c>
      <c r="AH27" s="12">
        <f>'Learning curve parameters'!Q31</f>
        <v>0.01</v>
      </c>
      <c r="AI27" s="12">
        <f>'Learning curve parameters'!R31</f>
        <v>0.01</v>
      </c>
      <c r="AJ27" s="12">
        <f>'Learning curve parameters'!S31</f>
        <v>0.01</v>
      </c>
      <c r="AK27" s="12">
        <f>'Learning curve parameters'!T31</f>
        <v>0.01</v>
      </c>
      <c r="AM27" s="21">
        <f t="shared" si="9"/>
        <v>977.072182</v>
      </c>
      <c r="AN27" s="21">
        <f t="shared" si="10"/>
        <v>977.072182</v>
      </c>
      <c r="AO27" s="21">
        <f t="shared" si="11"/>
        <v>977.072182</v>
      </c>
      <c r="AP27" s="21">
        <f t="shared" si="12"/>
        <v>977.072182</v>
      </c>
      <c r="AQ27" s="21">
        <f t="shared" si="13"/>
        <v>977.072182</v>
      </c>
      <c r="AR27" s="21">
        <f t="shared" si="14"/>
        <v>977.072182</v>
      </c>
      <c r="AS27" s="21">
        <f t="shared" si="15"/>
        <v>977.072182</v>
      </c>
      <c r="AT27" s="21">
        <f t="shared" si="16"/>
        <v>977.072182</v>
      </c>
    </row>
    <row r="28" spans="1:46">
      <c r="A28">
        <v>3</v>
      </c>
      <c r="B28">
        <f t="shared" si="5"/>
        <v>2023</v>
      </c>
      <c r="C28" s="18">
        <f t="shared" si="17"/>
        <v>71.216318119133348</v>
      </c>
      <c r="D28" s="18">
        <f t="shared" si="18"/>
        <v>64.090089392580083</v>
      </c>
      <c r="E28" s="18">
        <f t="shared" si="19"/>
        <v>66.049778367772788</v>
      </c>
      <c r="F28" s="18">
        <f t="shared" si="20"/>
        <v>68.272573082030192</v>
      </c>
      <c r="G28" s="18">
        <f t="shared" si="21"/>
        <v>69.475369731357617</v>
      </c>
      <c r="H28" s="18">
        <f t="shared" si="22"/>
        <v>72.036578483942378</v>
      </c>
      <c r="I28" s="18">
        <f t="shared" si="23"/>
        <v>74.777013240357149</v>
      </c>
      <c r="J28" s="18">
        <f t="shared" si="24"/>
        <v>77.66737682427727</v>
      </c>
      <c r="L28">
        <f>'Learning curve parameters'!D32</f>
        <v>0.05</v>
      </c>
      <c r="M28">
        <f>'Learning curve parameters'!E32</f>
        <v>0.05</v>
      </c>
      <c r="N28">
        <f>'Learning curve parameters'!F32</f>
        <v>0.05</v>
      </c>
      <c r="O28">
        <f>'Learning curve parameters'!G32</f>
        <v>0.05</v>
      </c>
      <c r="P28">
        <f>'Learning curve parameters'!H32</f>
        <v>0.05</v>
      </c>
      <c r="Q28">
        <f>'Learning curve parameters'!I32</f>
        <v>0.05</v>
      </c>
      <c r="R28">
        <f>'Learning curve parameters'!J32</f>
        <v>0.05</v>
      </c>
      <c r="S28">
        <f>'Learning curve parameters'!K32</f>
        <v>0.05</v>
      </c>
      <c r="U28" s="16">
        <f t="shared" si="25"/>
        <v>98684.290382000007</v>
      </c>
      <c r="V28" s="16">
        <f t="shared" si="26"/>
        <v>98684.290382000007</v>
      </c>
      <c r="W28" s="16">
        <f t="shared" si="27"/>
        <v>98684.290382000007</v>
      </c>
      <c r="X28" s="16">
        <f t="shared" si="28"/>
        <v>98684.290382000007</v>
      </c>
      <c r="Y28" s="16">
        <f t="shared" si="29"/>
        <v>98684.290382000007</v>
      </c>
      <c r="Z28" s="16">
        <f t="shared" si="30"/>
        <v>98684.290382000007</v>
      </c>
      <c r="AA28" s="16">
        <f t="shared" si="31"/>
        <v>98684.290382000007</v>
      </c>
      <c r="AB28" s="16">
        <f t="shared" si="32"/>
        <v>98684.290382000007</v>
      </c>
      <c r="AD28" s="12">
        <f>'Learning curve parameters'!M32</f>
        <v>0.01</v>
      </c>
      <c r="AE28" s="12">
        <f>'Learning curve parameters'!N32</f>
        <v>0.01</v>
      </c>
      <c r="AF28" s="12">
        <f>'Learning curve parameters'!O32</f>
        <v>0.01</v>
      </c>
      <c r="AG28" s="12">
        <f>'Learning curve parameters'!P32</f>
        <v>0.01</v>
      </c>
      <c r="AH28" s="12">
        <f>'Learning curve parameters'!Q32</f>
        <v>0.01</v>
      </c>
      <c r="AI28" s="12">
        <f>'Learning curve parameters'!R32</f>
        <v>0.01</v>
      </c>
      <c r="AJ28" s="12">
        <f>'Learning curve parameters'!S32</f>
        <v>0.01</v>
      </c>
      <c r="AK28" s="12">
        <f>'Learning curve parameters'!T32</f>
        <v>0.01</v>
      </c>
      <c r="AM28" s="21">
        <f t="shared" si="9"/>
        <v>986.84290382000006</v>
      </c>
      <c r="AN28" s="21">
        <f t="shared" si="10"/>
        <v>986.84290382000006</v>
      </c>
      <c r="AO28" s="21">
        <f t="shared" si="11"/>
        <v>986.84290382000006</v>
      </c>
      <c r="AP28" s="21">
        <f t="shared" si="12"/>
        <v>986.84290382000006</v>
      </c>
      <c r="AQ28" s="21">
        <f t="shared" si="13"/>
        <v>986.84290382000006</v>
      </c>
      <c r="AR28" s="21">
        <f t="shared" si="14"/>
        <v>986.84290382000006</v>
      </c>
      <c r="AS28" s="21">
        <f t="shared" si="15"/>
        <v>986.84290382000006</v>
      </c>
      <c r="AT28" s="21">
        <f t="shared" si="16"/>
        <v>986.84290382000006</v>
      </c>
    </row>
    <row r="29" spans="1:46">
      <c r="A29">
        <v>4</v>
      </c>
      <c r="B29">
        <f t="shared" si="5"/>
        <v>2024</v>
      </c>
      <c r="C29" s="18">
        <f t="shared" si="17"/>
        <v>71.221166780265406</v>
      </c>
      <c r="D29" s="18">
        <f t="shared" si="18"/>
        <v>64.094938053712141</v>
      </c>
      <c r="E29" s="18">
        <f t="shared" si="19"/>
        <v>66.054627028904846</v>
      </c>
      <c r="F29" s="18">
        <f t="shared" si="20"/>
        <v>68.27742174316225</v>
      </c>
      <c r="G29" s="18">
        <f t="shared" si="21"/>
        <v>69.480218392489675</v>
      </c>
      <c r="H29" s="18">
        <f t="shared" si="22"/>
        <v>72.041427145074437</v>
      </c>
      <c r="I29" s="18">
        <f t="shared" si="23"/>
        <v>74.781861901489208</v>
      </c>
      <c r="J29" s="18">
        <f t="shared" si="24"/>
        <v>77.672225485409328</v>
      </c>
      <c r="L29">
        <f>'Learning curve parameters'!D33</f>
        <v>0.05</v>
      </c>
      <c r="M29">
        <f>'Learning curve parameters'!E33</f>
        <v>0.05</v>
      </c>
      <c r="N29">
        <f>'Learning curve parameters'!F33</f>
        <v>0.05</v>
      </c>
      <c r="O29">
        <f>'Learning curve parameters'!G33</f>
        <v>0.05</v>
      </c>
      <c r="P29">
        <f>'Learning curve parameters'!H33</f>
        <v>0.05</v>
      </c>
      <c r="Q29">
        <f>'Learning curve parameters'!I33</f>
        <v>0.05</v>
      </c>
      <c r="R29">
        <f>'Learning curve parameters'!J33</f>
        <v>0.05</v>
      </c>
      <c r="S29">
        <f>'Learning curve parameters'!K33</f>
        <v>0.05</v>
      </c>
      <c r="U29" s="16">
        <f t="shared" si="25"/>
        <v>99671.133285820004</v>
      </c>
      <c r="V29" s="16">
        <f t="shared" si="26"/>
        <v>99671.133285820004</v>
      </c>
      <c r="W29" s="16">
        <f t="shared" si="27"/>
        <v>99671.133285820004</v>
      </c>
      <c r="X29" s="16">
        <f t="shared" si="28"/>
        <v>99671.133285820004</v>
      </c>
      <c r="Y29" s="16">
        <f t="shared" si="29"/>
        <v>99671.133285820004</v>
      </c>
      <c r="Z29" s="16">
        <f t="shared" si="30"/>
        <v>99671.133285820004</v>
      </c>
      <c r="AA29" s="16">
        <f t="shared" si="31"/>
        <v>99671.133285820004</v>
      </c>
      <c r="AB29" s="16">
        <f t="shared" si="32"/>
        <v>99671.133285820004</v>
      </c>
      <c r="AD29" s="12">
        <f>'Learning curve parameters'!M33</f>
        <v>0.01</v>
      </c>
      <c r="AE29" s="12">
        <f>'Learning curve parameters'!N33</f>
        <v>0.01</v>
      </c>
      <c r="AF29" s="12">
        <f>'Learning curve parameters'!O33</f>
        <v>0.01</v>
      </c>
      <c r="AG29" s="12">
        <f>'Learning curve parameters'!P33</f>
        <v>0.01</v>
      </c>
      <c r="AH29" s="12">
        <f>'Learning curve parameters'!Q33</f>
        <v>0.01</v>
      </c>
      <c r="AI29" s="12">
        <f>'Learning curve parameters'!R33</f>
        <v>0.01</v>
      </c>
      <c r="AJ29" s="12">
        <f>'Learning curve parameters'!S33</f>
        <v>0.01</v>
      </c>
      <c r="AK29" s="12">
        <f>'Learning curve parameters'!T33</f>
        <v>0.01</v>
      </c>
      <c r="AM29" s="21">
        <f t="shared" si="9"/>
        <v>996.71133285820008</v>
      </c>
      <c r="AN29" s="21">
        <f t="shared" si="10"/>
        <v>996.71133285820008</v>
      </c>
      <c r="AO29" s="21">
        <f t="shared" si="11"/>
        <v>996.71133285820008</v>
      </c>
      <c r="AP29" s="21">
        <f t="shared" si="12"/>
        <v>996.71133285820008</v>
      </c>
      <c r="AQ29" s="21">
        <f t="shared" si="13"/>
        <v>996.71133285820008</v>
      </c>
      <c r="AR29" s="21">
        <f t="shared" si="14"/>
        <v>996.71133285820008</v>
      </c>
      <c r="AS29" s="21">
        <f t="shared" si="15"/>
        <v>996.71133285820008</v>
      </c>
      <c r="AT29" s="21">
        <f t="shared" si="16"/>
        <v>996.71133285820008</v>
      </c>
    </row>
    <row r="30" spans="1:46">
      <c r="A30">
        <v>5</v>
      </c>
      <c r="B30">
        <f t="shared" si="5"/>
        <v>2025</v>
      </c>
      <c r="C30" s="18">
        <f t="shared" si="17"/>
        <v>71.226015441397465</v>
      </c>
      <c r="D30" s="18">
        <f t="shared" si="18"/>
        <v>64.0997867148442</v>
      </c>
      <c r="E30" s="18">
        <f t="shared" si="19"/>
        <v>66.059475690036905</v>
      </c>
      <c r="F30" s="18">
        <f t="shared" si="20"/>
        <v>68.282270404294309</v>
      </c>
      <c r="G30" s="18">
        <f t="shared" si="21"/>
        <v>69.485067053621734</v>
      </c>
      <c r="H30" s="18">
        <f t="shared" si="22"/>
        <v>72.046275806206495</v>
      </c>
      <c r="I30" s="18">
        <f t="shared" si="23"/>
        <v>74.786710562621266</v>
      </c>
      <c r="J30" s="18">
        <f t="shared" si="24"/>
        <v>77.677074146541386</v>
      </c>
      <c r="L30">
        <f>'Learning curve parameters'!D34</f>
        <v>0.05</v>
      </c>
      <c r="M30">
        <f>'Learning curve parameters'!E34</f>
        <v>0.05</v>
      </c>
      <c r="N30">
        <f>'Learning curve parameters'!F34</f>
        <v>0.05</v>
      </c>
      <c r="O30">
        <f>'Learning curve parameters'!G34</f>
        <v>0.05</v>
      </c>
      <c r="P30">
        <f>'Learning curve parameters'!H34</f>
        <v>0.05</v>
      </c>
      <c r="Q30">
        <f>'Learning curve parameters'!I34</f>
        <v>0.05</v>
      </c>
      <c r="R30">
        <f>'Learning curve parameters'!J34</f>
        <v>0.05</v>
      </c>
      <c r="S30">
        <f>'Learning curve parameters'!K34</f>
        <v>0.05</v>
      </c>
      <c r="U30" s="16">
        <f t="shared" si="25"/>
        <v>100667.84461867821</v>
      </c>
      <c r="V30" s="16">
        <f t="shared" si="26"/>
        <v>100667.84461867821</v>
      </c>
      <c r="W30" s="16">
        <f t="shared" si="27"/>
        <v>100667.84461867821</v>
      </c>
      <c r="X30" s="16">
        <f t="shared" si="28"/>
        <v>100667.84461867821</v>
      </c>
      <c r="Y30" s="16">
        <f t="shared" si="29"/>
        <v>100667.84461867821</v>
      </c>
      <c r="Z30" s="16">
        <f t="shared" si="30"/>
        <v>100667.84461867821</v>
      </c>
      <c r="AA30" s="16">
        <f t="shared" si="31"/>
        <v>100667.84461867821</v>
      </c>
      <c r="AB30" s="16">
        <f t="shared" si="32"/>
        <v>100667.84461867821</v>
      </c>
      <c r="AD30" s="12">
        <f>'Learning curve parameters'!M34</f>
        <v>0.01</v>
      </c>
      <c r="AE30" s="12">
        <f>'Learning curve parameters'!N34</f>
        <v>0.01</v>
      </c>
      <c r="AF30" s="12">
        <f>'Learning curve parameters'!O34</f>
        <v>0.01</v>
      </c>
      <c r="AG30" s="12">
        <f>'Learning curve parameters'!P34</f>
        <v>0.01</v>
      </c>
      <c r="AH30" s="12">
        <f>'Learning curve parameters'!Q34</f>
        <v>0.01</v>
      </c>
      <c r="AI30" s="12">
        <f>'Learning curve parameters'!R34</f>
        <v>0.01</v>
      </c>
      <c r="AJ30" s="12">
        <f>'Learning curve parameters'!S34</f>
        <v>0.01</v>
      </c>
      <c r="AK30" s="12">
        <f>'Learning curve parameters'!T34</f>
        <v>0.01</v>
      </c>
      <c r="AM30" s="21">
        <f t="shared" si="9"/>
        <v>1006.6784461867821</v>
      </c>
      <c r="AN30" s="21">
        <f t="shared" si="10"/>
        <v>1006.6784461867821</v>
      </c>
      <c r="AO30" s="21">
        <f t="shared" si="11"/>
        <v>1006.6784461867821</v>
      </c>
      <c r="AP30" s="21">
        <f t="shared" si="12"/>
        <v>1006.6784461867821</v>
      </c>
      <c r="AQ30" s="21">
        <f t="shared" si="13"/>
        <v>1006.6784461867821</v>
      </c>
      <c r="AR30" s="21">
        <f t="shared" si="14"/>
        <v>1006.6784461867821</v>
      </c>
      <c r="AS30" s="21">
        <f t="shared" si="15"/>
        <v>1006.6784461867821</v>
      </c>
      <c r="AT30" s="21">
        <f t="shared" si="16"/>
        <v>1006.6784461867821</v>
      </c>
    </row>
    <row r="31" spans="1:46">
      <c r="A31">
        <v>6</v>
      </c>
      <c r="B31">
        <f t="shared" si="5"/>
        <v>2026</v>
      </c>
      <c r="C31" s="18">
        <f t="shared" si="17"/>
        <v>71.230864102529523</v>
      </c>
      <c r="D31" s="18">
        <f t="shared" si="18"/>
        <v>64.104635375976258</v>
      </c>
      <c r="E31" s="18">
        <f t="shared" si="19"/>
        <v>66.064324351168963</v>
      </c>
      <c r="F31" s="18">
        <f t="shared" si="20"/>
        <v>68.287119065426367</v>
      </c>
      <c r="G31" s="18">
        <f t="shared" si="21"/>
        <v>69.489915714753792</v>
      </c>
      <c r="H31" s="18">
        <f t="shared" si="22"/>
        <v>72.051124467338553</v>
      </c>
      <c r="I31" s="18">
        <f t="shared" si="23"/>
        <v>74.791559223753325</v>
      </c>
      <c r="J31" s="18">
        <f t="shared" si="24"/>
        <v>77.681922807673445</v>
      </c>
      <c r="L31">
        <f>'Learning curve parameters'!D35</f>
        <v>0.05</v>
      </c>
      <c r="M31">
        <f>'Learning curve parameters'!E35</f>
        <v>0.05</v>
      </c>
      <c r="N31">
        <f>'Learning curve parameters'!F35</f>
        <v>0.05</v>
      </c>
      <c r="O31">
        <f>'Learning curve parameters'!G35</f>
        <v>0.05</v>
      </c>
      <c r="P31">
        <f>'Learning curve parameters'!H35</f>
        <v>0.05</v>
      </c>
      <c r="Q31">
        <f>'Learning curve parameters'!I35</f>
        <v>0.05</v>
      </c>
      <c r="R31">
        <f>'Learning curve parameters'!J35</f>
        <v>0.05</v>
      </c>
      <c r="S31">
        <f>'Learning curve parameters'!K35</f>
        <v>0.05</v>
      </c>
      <c r="U31" s="16">
        <f t="shared" si="25"/>
        <v>101674.52306486499</v>
      </c>
      <c r="V31" s="16">
        <f t="shared" si="26"/>
        <v>101674.52306486499</v>
      </c>
      <c r="W31" s="16">
        <f t="shared" si="27"/>
        <v>101674.52306486499</v>
      </c>
      <c r="X31" s="16">
        <f t="shared" si="28"/>
        <v>101674.52306486499</v>
      </c>
      <c r="Y31" s="16">
        <f t="shared" si="29"/>
        <v>101674.52306486499</v>
      </c>
      <c r="Z31" s="16">
        <f t="shared" si="30"/>
        <v>101674.52306486499</v>
      </c>
      <c r="AA31" s="16">
        <f t="shared" si="31"/>
        <v>101674.52306486499</v>
      </c>
      <c r="AB31" s="16">
        <f t="shared" si="32"/>
        <v>101674.52306486499</v>
      </c>
      <c r="AD31" s="12">
        <f>'Learning curve parameters'!M35</f>
        <v>0.01</v>
      </c>
      <c r="AE31" s="12">
        <f>'Learning curve parameters'!N35</f>
        <v>0.01</v>
      </c>
      <c r="AF31" s="12">
        <f>'Learning curve parameters'!O35</f>
        <v>0.01</v>
      </c>
      <c r="AG31" s="12">
        <f>'Learning curve parameters'!P35</f>
        <v>0.01</v>
      </c>
      <c r="AH31" s="12">
        <f>'Learning curve parameters'!Q35</f>
        <v>0.01</v>
      </c>
      <c r="AI31" s="12">
        <f>'Learning curve parameters'!R35</f>
        <v>0.01</v>
      </c>
      <c r="AJ31" s="12">
        <f>'Learning curve parameters'!S35</f>
        <v>0.01</v>
      </c>
      <c r="AK31" s="12">
        <f>'Learning curve parameters'!T35</f>
        <v>0.01</v>
      </c>
      <c r="AM31" s="21">
        <f t="shared" si="9"/>
        <v>1016.7452306486499</v>
      </c>
      <c r="AN31" s="21">
        <f t="shared" si="10"/>
        <v>1016.7452306486499</v>
      </c>
      <c r="AO31" s="21">
        <f t="shared" si="11"/>
        <v>1016.7452306486499</v>
      </c>
      <c r="AP31" s="21">
        <f t="shared" si="12"/>
        <v>1016.7452306486499</v>
      </c>
      <c r="AQ31" s="21">
        <f t="shared" si="13"/>
        <v>1016.7452306486499</v>
      </c>
      <c r="AR31" s="21">
        <f t="shared" si="14"/>
        <v>1016.7452306486499</v>
      </c>
      <c r="AS31" s="21">
        <f t="shared" si="15"/>
        <v>1016.7452306486499</v>
      </c>
      <c r="AT31" s="21">
        <f t="shared" si="16"/>
        <v>1016.7452306486499</v>
      </c>
    </row>
    <row r="32" spans="1:46">
      <c r="A32">
        <v>7</v>
      </c>
      <c r="B32">
        <f t="shared" si="5"/>
        <v>2027</v>
      </c>
      <c r="C32" s="18">
        <f t="shared" si="17"/>
        <v>71.235712763661581</v>
      </c>
      <c r="D32" s="18">
        <f t="shared" si="18"/>
        <v>64.109484037108317</v>
      </c>
      <c r="E32" s="18">
        <f t="shared" si="19"/>
        <v>66.069173012301022</v>
      </c>
      <c r="F32" s="18">
        <f t="shared" si="20"/>
        <v>68.291967726558426</v>
      </c>
      <c r="G32" s="18">
        <f t="shared" si="21"/>
        <v>69.49476437588585</v>
      </c>
      <c r="H32" s="18">
        <f t="shared" si="22"/>
        <v>72.055973128470612</v>
      </c>
      <c r="I32" s="18">
        <f t="shared" si="23"/>
        <v>74.796407884885383</v>
      </c>
      <c r="J32" s="18">
        <f t="shared" si="24"/>
        <v>77.686771468805503</v>
      </c>
      <c r="L32">
        <f>'Learning curve parameters'!D36</f>
        <v>0.05</v>
      </c>
      <c r="M32">
        <f>'Learning curve parameters'!E36</f>
        <v>0.05</v>
      </c>
      <c r="N32">
        <f>'Learning curve parameters'!F36</f>
        <v>0.05</v>
      </c>
      <c r="O32">
        <f>'Learning curve parameters'!G36</f>
        <v>0.05</v>
      </c>
      <c r="P32">
        <f>'Learning curve parameters'!H36</f>
        <v>0.05</v>
      </c>
      <c r="Q32">
        <f>'Learning curve parameters'!I36</f>
        <v>0.05</v>
      </c>
      <c r="R32">
        <f>'Learning curve parameters'!J36</f>
        <v>0.05</v>
      </c>
      <c r="S32">
        <f>'Learning curve parameters'!K36</f>
        <v>0.05</v>
      </c>
      <c r="U32" s="16">
        <f t="shared" si="25"/>
        <v>102691.26829551364</v>
      </c>
      <c r="V32" s="16">
        <f t="shared" si="26"/>
        <v>102691.26829551364</v>
      </c>
      <c r="W32" s="16">
        <f t="shared" si="27"/>
        <v>102691.26829551364</v>
      </c>
      <c r="X32" s="16">
        <f t="shared" si="28"/>
        <v>102691.26829551364</v>
      </c>
      <c r="Y32" s="16">
        <f t="shared" si="29"/>
        <v>102691.26829551364</v>
      </c>
      <c r="Z32" s="16">
        <f t="shared" si="30"/>
        <v>102691.26829551364</v>
      </c>
      <c r="AA32" s="16">
        <f t="shared" si="31"/>
        <v>102691.26829551364</v>
      </c>
      <c r="AB32" s="16">
        <f t="shared" si="32"/>
        <v>102691.26829551364</v>
      </c>
      <c r="AD32" s="12">
        <f>'Learning curve parameters'!M36</f>
        <v>0.01</v>
      </c>
      <c r="AE32" s="12">
        <f>'Learning curve parameters'!N36</f>
        <v>0.01</v>
      </c>
      <c r="AF32" s="12">
        <f>'Learning curve parameters'!O36</f>
        <v>0.01</v>
      </c>
      <c r="AG32" s="12">
        <f>'Learning curve parameters'!P36</f>
        <v>0.01</v>
      </c>
      <c r="AH32" s="12">
        <f>'Learning curve parameters'!Q36</f>
        <v>0.01</v>
      </c>
      <c r="AI32" s="12">
        <f>'Learning curve parameters'!R36</f>
        <v>0.01</v>
      </c>
      <c r="AJ32" s="12">
        <f>'Learning curve parameters'!S36</f>
        <v>0.01</v>
      </c>
      <c r="AK32" s="12">
        <f>'Learning curve parameters'!T36</f>
        <v>0.01</v>
      </c>
      <c r="AM32" s="21">
        <f t="shared" si="9"/>
        <v>1026.9126829551365</v>
      </c>
      <c r="AN32" s="21">
        <f t="shared" si="10"/>
        <v>1026.9126829551365</v>
      </c>
      <c r="AO32" s="21">
        <f t="shared" si="11"/>
        <v>1026.9126829551365</v>
      </c>
      <c r="AP32" s="21">
        <f t="shared" si="12"/>
        <v>1026.9126829551365</v>
      </c>
      <c r="AQ32" s="21">
        <f t="shared" si="13"/>
        <v>1026.9126829551365</v>
      </c>
      <c r="AR32" s="21">
        <f t="shared" si="14"/>
        <v>1026.9126829551365</v>
      </c>
      <c r="AS32" s="21">
        <f t="shared" si="15"/>
        <v>1026.9126829551365</v>
      </c>
      <c r="AT32" s="21">
        <f t="shared" si="16"/>
        <v>1026.9126829551365</v>
      </c>
    </row>
    <row r="33" spans="1:46">
      <c r="A33">
        <v>8</v>
      </c>
      <c r="B33">
        <f t="shared" si="5"/>
        <v>2028</v>
      </c>
      <c r="C33" s="18">
        <f t="shared" si="17"/>
        <v>71.24056142479364</v>
      </c>
      <c r="D33" s="18">
        <f t="shared" si="18"/>
        <v>64.114332698240375</v>
      </c>
      <c r="E33" s="18">
        <f t="shared" si="19"/>
        <v>66.07402167343308</v>
      </c>
      <c r="F33" s="18">
        <f t="shared" si="20"/>
        <v>68.296816387690484</v>
      </c>
      <c r="G33" s="18">
        <f t="shared" si="21"/>
        <v>69.499613037017909</v>
      </c>
      <c r="H33" s="18">
        <f t="shared" si="22"/>
        <v>72.06082178960267</v>
      </c>
      <c r="I33" s="18">
        <f t="shared" si="23"/>
        <v>74.801256546017441</v>
      </c>
      <c r="J33" s="18">
        <f t="shared" si="24"/>
        <v>77.691620129937562</v>
      </c>
      <c r="L33">
        <f>'Learning curve parameters'!D37</f>
        <v>0.05</v>
      </c>
      <c r="M33">
        <f>'Learning curve parameters'!E37</f>
        <v>0.05</v>
      </c>
      <c r="N33">
        <f>'Learning curve parameters'!F37</f>
        <v>0.05</v>
      </c>
      <c r="O33">
        <f>'Learning curve parameters'!G37</f>
        <v>0.05</v>
      </c>
      <c r="P33">
        <f>'Learning curve parameters'!H37</f>
        <v>0.05</v>
      </c>
      <c r="Q33">
        <f>'Learning curve parameters'!I37</f>
        <v>0.05</v>
      </c>
      <c r="R33">
        <f>'Learning curve parameters'!J37</f>
        <v>0.05</v>
      </c>
      <c r="S33">
        <f>'Learning curve parameters'!K37</f>
        <v>0.05</v>
      </c>
      <c r="U33" s="16">
        <f t="shared" si="25"/>
        <v>103718.18097846878</v>
      </c>
      <c r="V33" s="16">
        <f t="shared" si="26"/>
        <v>103718.18097846878</v>
      </c>
      <c r="W33" s="16">
        <f t="shared" si="27"/>
        <v>103718.18097846878</v>
      </c>
      <c r="X33" s="16">
        <f t="shared" si="28"/>
        <v>103718.18097846878</v>
      </c>
      <c r="Y33" s="16">
        <f t="shared" si="29"/>
        <v>103718.18097846878</v>
      </c>
      <c r="Z33" s="16">
        <f t="shared" si="30"/>
        <v>103718.18097846878</v>
      </c>
      <c r="AA33" s="16">
        <f t="shared" si="31"/>
        <v>103718.18097846878</v>
      </c>
      <c r="AB33" s="16">
        <f t="shared" si="32"/>
        <v>103718.18097846878</v>
      </c>
      <c r="AD33" s="12">
        <f>'Learning curve parameters'!M37</f>
        <v>0.01</v>
      </c>
      <c r="AE33" s="12">
        <f>'Learning curve parameters'!N37</f>
        <v>0.01</v>
      </c>
      <c r="AF33" s="12">
        <f>'Learning curve parameters'!O37</f>
        <v>0.01</v>
      </c>
      <c r="AG33" s="12">
        <f>'Learning curve parameters'!P37</f>
        <v>0.01</v>
      </c>
      <c r="AH33" s="12">
        <f>'Learning curve parameters'!Q37</f>
        <v>0.01</v>
      </c>
      <c r="AI33" s="12">
        <f>'Learning curve parameters'!R37</f>
        <v>0.01</v>
      </c>
      <c r="AJ33" s="12">
        <f>'Learning curve parameters'!S37</f>
        <v>0.01</v>
      </c>
      <c r="AK33" s="12">
        <f>'Learning curve parameters'!T37</f>
        <v>0.01</v>
      </c>
      <c r="AM33" s="21">
        <f t="shared" si="9"/>
        <v>1037.1818097846879</v>
      </c>
      <c r="AN33" s="21">
        <f t="shared" si="10"/>
        <v>1037.1818097846879</v>
      </c>
      <c r="AO33" s="21">
        <f t="shared" si="11"/>
        <v>1037.1818097846879</v>
      </c>
      <c r="AP33" s="21">
        <f t="shared" si="12"/>
        <v>1037.1818097846879</v>
      </c>
      <c r="AQ33" s="21">
        <f t="shared" si="13"/>
        <v>1037.1818097846879</v>
      </c>
      <c r="AR33" s="21">
        <f t="shared" si="14"/>
        <v>1037.1818097846879</v>
      </c>
      <c r="AS33" s="21">
        <f t="shared" si="15"/>
        <v>1037.1818097846879</v>
      </c>
      <c r="AT33" s="21">
        <f t="shared" si="16"/>
        <v>1037.1818097846879</v>
      </c>
    </row>
    <row r="34" spans="1:46">
      <c r="A34">
        <v>9</v>
      </c>
      <c r="B34">
        <f t="shared" si="5"/>
        <v>2029</v>
      </c>
      <c r="C34" s="18">
        <f t="shared" si="17"/>
        <v>71.245410085925698</v>
      </c>
      <c r="D34" s="18">
        <f t="shared" si="18"/>
        <v>64.119181359372433</v>
      </c>
      <c r="E34" s="18">
        <f t="shared" si="19"/>
        <v>66.078870334565138</v>
      </c>
      <c r="F34" s="18">
        <f t="shared" si="20"/>
        <v>68.301665048822542</v>
      </c>
      <c r="G34" s="18">
        <f t="shared" si="21"/>
        <v>69.504461698149967</v>
      </c>
      <c r="H34" s="18">
        <f t="shared" si="22"/>
        <v>72.065670450734729</v>
      </c>
      <c r="I34" s="18">
        <f t="shared" si="23"/>
        <v>74.8061052071495</v>
      </c>
      <c r="J34" s="18">
        <f t="shared" si="24"/>
        <v>77.69646879106962</v>
      </c>
      <c r="L34">
        <f>'Learning curve parameters'!D38</f>
        <v>0.05</v>
      </c>
      <c r="M34">
        <f>'Learning curve parameters'!E38</f>
        <v>0.05</v>
      </c>
      <c r="N34">
        <f>'Learning curve parameters'!F38</f>
        <v>0.05</v>
      </c>
      <c r="O34">
        <f>'Learning curve parameters'!G38</f>
        <v>0.05</v>
      </c>
      <c r="P34">
        <f>'Learning curve parameters'!H38</f>
        <v>0.05</v>
      </c>
      <c r="Q34">
        <f>'Learning curve parameters'!I38</f>
        <v>0.05</v>
      </c>
      <c r="R34">
        <f>'Learning curve parameters'!J38</f>
        <v>0.05</v>
      </c>
      <c r="S34">
        <f>'Learning curve parameters'!K38</f>
        <v>0.05</v>
      </c>
      <c r="U34" s="16">
        <f t="shared" si="25"/>
        <v>104755.36278825346</v>
      </c>
      <c r="V34" s="16">
        <f t="shared" si="26"/>
        <v>104755.36278825346</v>
      </c>
      <c r="W34" s="16">
        <f t="shared" si="27"/>
        <v>104755.36278825346</v>
      </c>
      <c r="X34" s="16">
        <f t="shared" si="28"/>
        <v>104755.36278825346</v>
      </c>
      <c r="Y34" s="16">
        <f t="shared" si="29"/>
        <v>104755.36278825346</v>
      </c>
      <c r="Z34" s="16">
        <f t="shared" si="30"/>
        <v>104755.36278825346</v>
      </c>
      <c r="AA34" s="16">
        <f t="shared" si="31"/>
        <v>104755.36278825346</v>
      </c>
      <c r="AB34" s="16">
        <f t="shared" si="32"/>
        <v>104755.36278825346</v>
      </c>
      <c r="AD34" s="12">
        <f>'Learning curve parameters'!M38</f>
        <v>0.01</v>
      </c>
      <c r="AE34" s="12">
        <f>'Learning curve parameters'!N38</f>
        <v>0.01</v>
      </c>
      <c r="AF34" s="12">
        <f>'Learning curve parameters'!O38</f>
        <v>0.01</v>
      </c>
      <c r="AG34" s="12">
        <f>'Learning curve parameters'!P38</f>
        <v>0.01</v>
      </c>
      <c r="AH34" s="12">
        <f>'Learning curve parameters'!Q38</f>
        <v>0.01</v>
      </c>
      <c r="AI34" s="12">
        <f>'Learning curve parameters'!R38</f>
        <v>0.01</v>
      </c>
      <c r="AJ34" s="12">
        <f>'Learning curve parameters'!S38</f>
        <v>0.01</v>
      </c>
      <c r="AK34" s="12">
        <f>'Learning curve parameters'!T38</f>
        <v>0.01</v>
      </c>
      <c r="AM34" s="21">
        <f t="shared" si="9"/>
        <v>1047.5536278825346</v>
      </c>
      <c r="AN34" s="21">
        <f t="shared" si="10"/>
        <v>1047.5536278825346</v>
      </c>
      <c r="AO34" s="21">
        <f t="shared" si="11"/>
        <v>1047.5536278825346</v>
      </c>
      <c r="AP34" s="21">
        <f t="shared" si="12"/>
        <v>1047.5536278825346</v>
      </c>
      <c r="AQ34" s="21">
        <f t="shared" si="13"/>
        <v>1047.5536278825346</v>
      </c>
      <c r="AR34" s="21">
        <f t="shared" si="14"/>
        <v>1047.5536278825346</v>
      </c>
      <c r="AS34" s="21">
        <f t="shared" si="15"/>
        <v>1047.5536278825346</v>
      </c>
      <c r="AT34" s="21">
        <f t="shared" si="16"/>
        <v>1047.5536278825346</v>
      </c>
    </row>
    <row r="35" spans="1:46">
      <c r="A35">
        <v>10</v>
      </c>
      <c r="B35">
        <f t="shared" si="5"/>
        <v>2030</v>
      </c>
      <c r="C35" s="18">
        <f t="shared" si="17"/>
        <v>71.250258747057757</v>
      </c>
      <c r="D35" s="18">
        <f t="shared" si="18"/>
        <v>64.124030020504492</v>
      </c>
      <c r="E35" s="18">
        <f t="shared" si="19"/>
        <v>66.083718995697197</v>
      </c>
      <c r="F35" s="18">
        <f t="shared" si="20"/>
        <v>68.306513709954601</v>
      </c>
      <c r="G35" s="18">
        <f t="shared" si="21"/>
        <v>69.509310359282026</v>
      </c>
      <c r="H35" s="18">
        <f t="shared" si="22"/>
        <v>72.070519111866787</v>
      </c>
      <c r="I35" s="18">
        <f t="shared" si="23"/>
        <v>74.810953868281558</v>
      </c>
      <c r="J35" s="18">
        <f t="shared" si="24"/>
        <v>77.701317452201678</v>
      </c>
      <c r="L35">
        <f>'Learning curve parameters'!D39</f>
        <v>0.05</v>
      </c>
      <c r="M35">
        <f>'Learning curve parameters'!E39</f>
        <v>0.05</v>
      </c>
      <c r="N35">
        <f>'Learning curve parameters'!F39</f>
        <v>0.05</v>
      </c>
      <c r="O35">
        <f>'Learning curve parameters'!G39</f>
        <v>0.05</v>
      </c>
      <c r="P35">
        <f>'Learning curve parameters'!H39</f>
        <v>0.05</v>
      </c>
      <c r="Q35">
        <f>'Learning curve parameters'!I39</f>
        <v>0.05</v>
      </c>
      <c r="R35">
        <f>'Learning curve parameters'!J39</f>
        <v>0.05</v>
      </c>
      <c r="S35">
        <f>'Learning curve parameters'!K39</f>
        <v>0.05</v>
      </c>
      <c r="U35" s="16">
        <f t="shared" si="25"/>
        <v>105802.91641613599</v>
      </c>
      <c r="V35" s="16">
        <f t="shared" si="26"/>
        <v>105802.91641613599</v>
      </c>
      <c r="W35" s="16">
        <f t="shared" si="27"/>
        <v>105802.91641613599</v>
      </c>
      <c r="X35" s="16">
        <f t="shared" si="28"/>
        <v>105802.91641613599</v>
      </c>
      <c r="Y35" s="16">
        <f t="shared" si="29"/>
        <v>105802.91641613599</v>
      </c>
      <c r="Z35" s="16">
        <f t="shared" si="30"/>
        <v>105802.91641613599</v>
      </c>
      <c r="AA35" s="16">
        <f t="shared" si="31"/>
        <v>105802.91641613599</v>
      </c>
      <c r="AB35" s="16">
        <f t="shared" si="32"/>
        <v>105802.91641613599</v>
      </c>
      <c r="AD35" s="12">
        <f>'Learning curve parameters'!M39</f>
        <v>0.01</v>
      </c>
      <c r="AE35" s="12">
        <f>'Learning curve parameters'!N39</f>
        <v>0.01</v>
      </c>
      <c r="AF35" s="12">
        <f>'Learning curve parameters'!O39</f>
        <v>0.01</v>
      </c>
      <c r="AG35" s="12">
        <f>'Learning curve parameters'!P39</f>
        <v>0.01</v>
      </c>
      <c r="AH35" s="12">
        <f>'Learning curve parameters'!Q39</f>
        <v>0.01</v>
      </c>
      <c r="AI35" s="12">
        <f>'Learning curve parameters'!R39</f>
        <v>0.01</v>
      </c>
      <c r="AJ35" s="12">
        <f>'Learning curve parameters'!S39</f>
        <v>0.01</v>
      </c>
      <c r="AK35" s="12">
        <f>'Learning curve parameters'!T39</f>
        <v>0.01</v>
      </c>
      <c r="AM35" s="21">
        <f t="shared" si="9"/>
        <v>1058.0291641613599</v>
      </c>
      <c r="AN35" s="21">
        <f t="shared" si="10"/>
        <v>1058.0291641613599</v>
      </c>
      <c r="AO35" s="21">
        <f t="shared" si="11"/>
        <v>1058.0291641613599</v>
      </c>
      <c r="AP35" s="21">
        <f t="shared" si="12"/>
        <v>1058.0291641613599</v>
      </c>
      <c r="AQ35" s="21">
        <f t="shared" si="13"/>
        <v>1058.0291641613599</v>
      </c>
      <c r="AR35" s="21">
        <f t="shared" si="14"/>
        <v>1058.0291641613599</v>
      </c>
      <c r="AS35" s="21">
        <f t="shared" si="15"/>
        <v>1058.0291641613599</v>
      </c>
      <c r="AT35" s="21">
        <f t="shared" si="16"/>
        <v>1058.0291641613599</v>
      </c>
    </row>
    <row r="36" spans="1:46">
      <c r="A36">
        <v>11</v>
      </c>
      <c r="B36">
        <f t="shared" si="5"/>
        <v>2031</v>
      </c>
      <c r="C36" s="18">
        <f t="shared" si="17"/>
        <v>71.255107408189815</v>
      </c>
      <c r="D36" s="18">
        <f t="shared" si="18"/>
        <v>64.12887868163655</v>
      </c>
      <c r="E36" s="18">
        <f t="shared" si="19"/>
        <v>66.088567656829255</v>
      </c>
      <c r="F36" s="18">
        <f t="shared" si="20"/>
        <v>68.311362371086659</v>
      </c>
      <c r="G36" s="18">
        <f t="shared" si="21"/>
        <v>69.514159020414084</v>
      </c>
      <c r="H36" s="18">
        <f t="shared" si="22"/>
        <v>72.075367772998845</v>
      </c>
      <c r="I36" s="18">
        <f t="shared" si="23"/>
        <v>74.815802529413617</v>
      </c>
      <c r="J36" s="18">
        <f t="shared" si="24"/>
        <v>77.706166113333737</v>
      </c>
      <c r="L36">
        <f>'Learning curve parameters'!D40</f>
        <v>0.05</v>
      </c>
      <c r="M36">
        <f>'Learning curve parameters'!E40</f>
        <v>0.05</v>
      </c>
      <c r="N36">
        <f>'Learning curve parameters'!F40</f>
        <v>0.05</v>
      </c>
      <c r="O36">
        <f>'Learning curve parameters'!G40</f>
        <v>0.05</v>
      </c>
      <c r="P36">
        <f>'Learning curve parameters'!H40</f>
        <v>0.05</v>
      </c>
      <c r="Q36">
        <f>'Learning curve parameters'!I40</f>
        <v>0.05</v>
      </c>
      <c r="R36">
        <f>'Learning curve parameters'!J40</f>
        <v>0.05</v>
      </c>
      <c r="S36">
        <f>'Learning curve parameters'!K40</f>
        <v>0.05</v>
      </c>
      <c r="U36" s="16">
        <f t="shared" si="25"/>
        <v>106860.94558029735</v>
      </c>
      <c r="V36" s="16">
        <f t="shared" si="26"/>
        <v>106860.94558029735</v>
      </c>
      <c r="W36" s="16">
        <f t="shared" si="27"/>
        <v>106860.94558029735</v>
      </c>
      <c r="X36" s="16">
        <f t="shared" si="28"/>
        <v>106860.94558029735</v>
      </c>
      <c r="Y36" s="16">
        <f t="shared" si="29"/>
        <v>106860.94558029735</v>
      </c>
      <c r="Z36" s="16">
        <f t="shared" si="30"/>
        <v>106860.94558029735</v>
      </c>
      <c r="AA36" s="16">
        <f t="shared" si="31"/>
        <v>106860.94558029735</v>
      </c>
      <c r="AB36" s="16">
        <f t="shared" si="32"/>
        <v>106860.94558029735</v>
      </c>
      <c r="AD36" s="12">
        <f>'Learning curve parameters'!M40</f>
        <v>0.01</v>
      </c>
      <c r="AE36" s="12">
        <f>'Learning curve parameters'!N40</f>
        <v>0.01</v>
      </c>
      <c r="AF36" s="12">
        <f>'Learning curve parameters'!O40</f>
        <v>0.01</v>
      </c>
      <c r="AG36" s="12">
        <f>'Learning curve parameters'!P40</f>
        <v>0.01</v>
      </c>
      <c r="AH36" s="12">
        <f>'Learning curve parameters'!Q40</f>
        <v>0.01</v>
      </c>
      <c r="AI36" s="12">
        <f>'Learning curve parameters'!R40</f>
        <v>0.01</v>
      </c>
      <c r="AJ36" s="12">
        <f>'Learning curve parameters'!S40</f>
        <v>0.01</v>
      </c>
      <c r="AK36" s="12">
        <f>'Learning curve parameters'!T40</f>
        <v>0.01</v>
      </c>
      <c r="AM36" s="21">
        <f t="shared" si="9"/>
        <v>1068.6094558029736</v>
      </c>
      <c r="AN36" s="21">
        <f t="shared" si="10"/>
        <v>1068.6094558029736</v>
      </c>
      <c r="AO36" s="21">
        <f t="shared" si="11"/>
        <v>1068.6094558029736</v>
      </c>
      <c r="AP36" s="21">
        <f t="shared" si="12"/>
        <v>1068.6094558029736</v>
      </c>
      <c r="AQ36" s="21">
        <f t="shared" si="13"/>
        <v>1068.6094558029736</v>
      </c>
      <c r="AR36" s="21">
        <f t="shared" si="14"/>
        <v>1068.6094558029736</v>
      </c>
      <c r="AS36" s="21">
        <f t="shared" si="15"/>
        <v>1068.6094558029736</v>
      </c>
      <c r="AT36" s="21">
        <f t="shared" si="16"/>
        <v>1068.6094558029736</v>
      </c>
    </row>
    <row r="37" spans="1:46">
      <c r="A37">
        <v>12</v>
      </c>
      <c r="B37">
        <f t="shared" si="5"/>
        <v>2032</v>
      </c>
      <c r="C37" s="18">
        <f t="shared" si="17"/>
        <v>71.259956069321873</v>
      </c>
      <c r="D37" s="18">
        <f t="shared" si="18"/>
        <v>64.133727342768609</v>
      </c>
      <c r="E37" s="18">
        <f t="shared" si="19"/>
        <v>66.093416317961314</v>
      </c>
      <c r="F37" s="18">
        <f t="shared" si="20"/>
        <v>68.316211032218717</v>
      </c>
      <c r="G37" s="18">
        <f t="shared" si="21"/>
        <v>69.519007681546142</v>
      </c>
      <c r="H37" s="18">
        <f t="shared" si="22"/>
        <v>72.080216434130904</v>
      </c>
      <c r="I37" s="18">
        <f t="shared" si="23"/>
        <v>74.820651190545675</v>
      </c>
      <c r="J37" s="18">
        <f t="shared" si="24"/>
        <v>77.711014774465795</v>
      </c>
      <c r="L37">
        <f>'Learning curve parameters'!D41</f>
        <v>0.05</v>
      </c>
      <c r="M37">
        <f>'Learning curve parameters'!E41</f>
        <v>0.05</v>
      </c>
      <c r="N37">
        <f>'Learning curve parameters'!F41</f>
        <v>0.05</v>
      </c>
      <c r="O37">
        <f>'Learning curve parameters'!G41</f>
        <v>0.05</v>
      </c>
      <c r="P37">
        <f>'Learning curve parameters'!H41</f>
        <v>0.05</v>
      </c>
      <c r="Q37">
        <f>'Learning curve parameters'!I41</f>
        <v>0.05</v>
      </c>
      <c r="R37">
        <f>'Learning curve parameters'!J41</f>
        <v>0.05</v>
      </c>
      <c r="S37">
        <f>'Learning curve parameters'!K41</f>
        <v>0.05</v>
      </c>
      <c r="U37" s="16">
        <f t="shared" si="25"/>
        <v>107929.55503610033</v>
      </c>
      <c r="V37" s="16">
        <f t="shared" si="26"/>
        <v>107929.55503610033</v>
      </c>
      <c r="W37" s="16">
        <f t="shared" si="27"/>
        <v>107929.55503610033</v>
      </c>
      <c r="X37" s="16">
        <f t="shared" si="28"/>
        <v>107929.55503610033</v>
      </c>
      <c r="Y37" s="16">
        <f t="shared" si="29"/>
        <v>107929.55503610033</v>
      </c>
      <c r="Z37" s="16">
        <f t="shared" si="30"/>
        <v>107929.55503610033</v>
      </c>
      <c r="AA37" s="16">
        <f t="shared" si="31"/>
        <v>107929.55503610033</v>
      </c>
      <c r="AB37" s="16">
        <f t="shared" si="32"/>
        <v>107929.55503610033</v>
      </c>
      <c r="AD37" s="12">
        <f>'Learning curve parameters'!M41</f>
        <v>0.01</v>
      </c>
      <c r="AE37" s="12">
        <f>'Learning curve parameters'!N41</f>
        <v>0.01</v>
      </c>
      <c r="AF37" s="12">
        <f>'Learning curve parameters'!O41</f>
        <v>0.01</v>
      </c>
      <c r="AG37" s="12">
        <f>'Learning curve parameters'!P41</f>
        <v>0.01</v>
      </c>
      <c r="AH37" s="12">
        <f>'Learning curve parameters'!Q41</f>
        <v>0.01</v>
      </c>
      <c r="AI37" s="12">
        <f>'Learning curve parameters'!R41</f>
        <v>0.01</v>
      </c>
      <c r="AJ37" s="12">
        <f>'Learning curve parameters'!S41</f>
        <v>0.01</v>
      </c>
      <c r="AK37" s="12">
        <f>'Learning curve parameters'!T41</f>
        <v>0.01</v>
      </c>
      <c r="AM37" s="21">
        <f t="shared" si="9"/>
        <v>1079.2955503610033</v>
      </c>
      <c r="AN37" s="21">
        <f t="shared" si="10"/>
        <v>1079.2955503610033</v>
      </c>
      <c r="AO37" s="21">
        <f t="shared" si="11"/>
        <v>1079.2955503610033</v>
      </c>
      <c r="AP37" s="21">
        <f t="shared" si="12"/>
        <v>1079.2955503610033</v>
      </c>
      <c r="AQ37" s="21">
        <f t="shared" si="13"/>
        <v>1079.2955503610033</v>
      </c>
      <c r="AR37" s="21">
        <f t="shared" si="14"/>
        <v>1079.2955503610033</v>
      </c>
      <c r="AS37" s="21">
        <f t="shared" si="15"/>
        <v>1079.2955503610033</v>
      </c>
      <c r="AT37" s="21">
        <f t="shared" si="16"/>
        <v>1079.2955503610033</v>
      </c>
    </row>
    <row r="38" spans="1:46">
      <c r="A38">
        <v>13</v>
      </c>
      <c r="B38">
        <f t="shared" si="5"/>
        <v>2033</v>
      </c>
      <c r="C38" s="18">
        <f t="shared" si="17"/>
        <v>71.264804730453932</v>
      </c>
      <c r="D38" s="18">
        <f t="shared" si="18"/>
        <v>64.138576003900667</v>
      </c>
      <c r="E38" s="18">
        <f t="shared" si="19"/>
        <v>66.098264979093372</v>
      </c>
      <c r="F38" s="18">
        <f t="shared" si="20"/>
        <v>68.321059693350776</v>
      </c>
      <c r="G38" s="18">
        <f t="shared" si="21"/>
        <v>69.523856342678201</v>
      </c>
      <c r="H38" s="18">
        <f t="shared" si="22"/>
        <v>72.085065095262962</v>
      </c>
      <c r="I38" s="18">
        <f t="shared" si="23"/>
        <v>74.825499851677733</v>
      </c>
      <c r="J38" s="18">
        <f t="shared" si="24"/>
        <v>77.715863435597853</v>
      </c>
      <c r="L38">
        <f>'Learning curve parameters'!D42</f>
        <v>0.05</v>
      </c>
      <c r="M38">
        <f>'Learning curve parameters'!E42</f>
        <v>0.05</v>
      </c>
      <c r="N38">
        <f>'Learning curve parameters'!F42</f>
        <v>0.05</v>
      </c>
      <c r="O38">
        <f>'Learning curve parameters'!G42</f>
        <v>0.05</v>
      </c>
      <c r="P38">
        <f>'Learning curve parameters'!H42</f>
        <v>0.05</v>
      </c>
      <c r="Q38">
        <f>'Learning curve parameters'!I42</f>
        <v>0.05</v>
      </c>
      <c r="R38">
        <f>'Learning curve parameters'!J42</f>
        <v>0.05</v>
      </c>
      <c r="S38">
        <f>'Learning curve parameters'!K42</f>
        <v>0.05</v>
      </c>
      <c r="U38" s="16">
        <f t="shared" si="25"/>
        <v>109008.85058646133</v>
      </c>
      <c r="V38" s="16">
        <f t="shared" si="26"/>
        <v>109008.85058646133</v>
      </c>
      <c r="W38" s="16">
        <f t="shared" si="27"/>
        <v>109008.85058646133</v>
      </c>
      <c r="X38" s="16">
        <f t="shared" si="28"/>
        <v>109008.85058646133</v>
      </c>
      <c r="Y38" s="16">
        <f t="shared" si="29"/>
        <v>109008.85058646133</v>
      </c>
      <c r="Z38" s="16">
        <f t="shared" si="30"/>
        <v>109008.85058646133</v>
      </c>
      <c r="AA38" s="16">
        <f t="shared" si="31"/>
        <v>109008.85058646133</v>
      </c>
      <c r="AB38" s="16">
        <f t="shared" si="32"/>
        <v>109008.85058646133</v>
      </c>
      <c r="AD38" s="12">
        <f>'Learning curve parameters'!M42</f>
        <v>0.01</v>
      </c>
      <c r="AE38" s="12">
        <f>'Learning curve parameters'!N42</f>
        <v>0.01</v>
      </c>
      <c r="AF38" s="12">
        <f>'Learning curve parameters'!O42</f>
        <v>0.01</v>
      </c>
      <c r="AG38" s="12">
        <f>'Learning curve parameters'!P42</f>
        <v>0.01</v>
      </c>
      <c r="AH38" s="12">
        <f>'Learning curve parameters'!Q42</f>
        <v>0.01</v>
      </c>
      <c r="AI38" s="12">
        <f>'Learning curve parameters'!R42</f>
        <v>0.01</v>
      </c>
      <c r="AJ38" s="12">
        <f>'Learning curve parameters'!S42</f>
        <v>0.01</v>
      </c>
      <c r="AK38" s="12">
        <f>'Learning curve parameters'!T42</f>
        <v>0.01</v>
      </c>
      <c r="AM38" s="21">
        <f t="shared" si="9"/>
        <v>1090.0885058646134</v>
      </c>
      <c r="AN38" s="21">
        <f t="shared" si="10"/>
        <v>1090.0885058646134</v>
      </c>
      <c r="AO38" s="21">
        <f t="shared" si="11"/>
        <v>1090.0885058646134</v>
      </c>
      <c r="AP38" s="21">
        <f t="shared" si="12"/>
        <v>1090.0885058646134</v>
      </c>
      <c r="AQ38" s="21">
        <f t="shared" si="13"/>
        <v>1090.0885058646134</v>
      </c>
      <c r="AR38" s="21">
        <f t="shared" si="14"/>
        <v>1090.0885058646134</v>
      </c>
      <c r="AS38" s="21">
        <f t="shared" si="15"/>
        <v>1090.0885058646134</v>
      </c>
      <c r="AT38" s="21">
        <f t="shared" si="16"/>
        <v>1090.0885058646134</v>
      </c>
    </row>
    <row r="39" spans="1:46">
      <c r="A39">
        <v>14</v>
      </c>
      <c r="B39">
        <f t="shared" si="5"/>
        <v>2034</v>
      </c>
      <c r="C39" s="18">
        <f t="shared" si="17"/>
        <v>71.26965339158599</v>
      </c>
      <c r="D39" s="18">
        <f t="shared" si="18"/>
        <v>64.143424665032725</v>
      </c>
      <c r="E39" s="18">
        <f t="shared" si="19"/>
        <v>66.10311364022543</v>
      </c>
      <c r="F39" s="18">
        <f t="shared" si="20"/>
        <v>68.325908354482834</v>
      </c>
      <c r="G39" s="18">
        <f t="shared" si="21"/>
        <v>69.528705003810259</v>
      </c>
      <c r="H39" s="18">
        <f t="shared" si="22"/>
        <v>72.089913756395021</v>
      </c>
      <c r="I39" s="18">
        <f t="shared" si="23"/>
        <v>74.830348512809792</v>
      </c>
      <c r="J39" s="18">
        <f t="shared" si="24"/>
        <v>77.720712096729912</v>
      </c>
      <c r="L39">
        <f>'Learning curve parameters'!D43</f>
        <v>0.05</v>
      </c>
      <c r="M39">
        <f>'Learning curve parameters'!E43</f>
        <v>0.05</v>
      </c>
      <c r="N39">
        <f>'Learning curve parameters'!F43</f>
        <v>0.05</v>
      </c>
      <c r="O39">
        <f>'Learning curve parameters'!G43</f>
        <v>0.05</v>
      </c>
      <c r="P39">
        <f>'Learning curve parameters'!H43</f>
        <v>0.05</v>
      </c>
      <c r="Q39">
        <f>'Learning curve parameters'!I43</f>
        <v>0.05</v>
      </c>
      <c r="R39">
        <f>'Learning curve parameters'!J43</f>
        <v>0.05</v>
      </c>
      <c r="S39">
        <f>'Learning curve parameters'!K43</f>
        <v>0.05</v>
      </c>
      <c r="U39" s="16">
        <f t="shared" si="25"/>
        <v>110098.93909232593</v>
      </c>
      <c r="V39" s="16">
        <f t="shared" si="26"/>
        <v>110098.93909232593</v>
      </c>
      <c r="W39" s="16">
        <f t="shared" si="27"/>
        <v>110098.93909232593</v>
      </c>
      <c r="X39" s="16">
        <f t="shared" si="28"/>
        <v>110098.93909232593</v>
      </c>
      <c r="Y39" s="16">
        <f t="shared" si="29"/>
        <v>110098.93909232593</v>
      </c>
      <c r="Z39" s="16">
        <f t="shared" si="30"/>
        <v>110098.93909232593</v>
      </c>
      <c r="AA39" s="16">
        <f t="shared" si="31"/>
        <v>110098.93909232593</v>
      </c>
      <c r="AB39" s="16">
        <f t="shared" si="32"/>
        <v>110098.93909232593</v>
      </c>
      <c r="AD39" s="12">
        <f>'Learning curve parameters'!M43</f>
        <v>0.01</v>
      </c>
      <c r="AE39" s="12">
        <f>'Learning curve parameters'!N43</f>
        <v>0.01</v>
      </c>
      <c r="AF39" s="12">
        <f>'Learning curve parameters'!O43</f>
        <v>0.01</v>
      </c>
      <c r="AG39" s="12">
        <f>'Learning curve parameters'!P43</f>
        <v>0.01</v>
      </c>
      <c r="AH39" s="12">
        <f>'Learning curve parameters'!Q43</f>
        <v>0.01</v>
      </c>
      <c r="AI39" s="12">
        <f>'Learning curve parameters'!R43</f>
        <v>0.01</v>
      </c>
      <c r="AJ39" s="12">
        <f>'Learning curve parameters'!S43</f>
        <v>0.01</v>
      </c>
      <c r="AK39" s="12">
        <f>'Learning curve parameters'!T43</f>
        <v>0.01</v>
      </c>
      <c r="AM39" s="21">
        <f t="shared" si="9"/>
        <v>1100.9893909232594</v>
      </c>
      <c r="AN39" s="21">
        <f t="shared" si="10"/>
        <v>1100.9893909232594</v>
      </c>
      <c r="AO39" s="21">
        <f t="shared" si="11"/>
        <v>1100.9893909232594</v>
      </c>
      <c r="AP39" s="21">
        <f t="shared" si="12"/>
        <v>1100.9893909232594</v>
      </c>
      <c r="AQ39" s="21">
        <f t="shared" si="13"/>
        <v>1100.9893909232594</v>
      </c>
      <c r="AR39" s="21">
        <f t="shared" si="14"/>
        <v>1100.9893909232594</v>
      </c>
      <c r="AS39" s="21">
        <f t="shared" si="15"/>
        <v>1100.9893909232594</v>
      </c>
      <c r="AT39" s="21">
        <f t="shared" si="16"/>
        <v>1100.9893909232594</v>
      </c>
    </row>
    <row r="40" spans="1:46">
      <c r="A40">
        <v>15</v>
      </c>
      <c r="B40">
        <f t="shared" si="5"/>
        <v>2035</v>
      </c>
      <c r="C40" s="18">
        <f t="shared" si="17"/>
        <v>71.274502052718049</v>
      </c>
      <c r="D40" s="18">
        <f t="shared" si="18"/>
        <v>64.148273326164784</v>
      </c>
      <c r="E40" s="18">
        <f t="shared" si="19"/>
        <v>66.107962301357489</v>
      </c>
      <c r="F40" s="18">
        <f t="shared" si="20"/>
        <v>68.330757015614893</v>
      </c>
      <c r="G40" s="18">
        <f t="shared" si="21"/>
        <v>69.533553664942318</v>
      </c>
      <c r="H40" s="18">
        <f t="shared" si="22"/>
        <v>72.094762417527079</v>
      </c>
      <c r="I40" s="18">
        <f t="shared" si="23"/>
        <v>74.83519717394185</v>
      </c>
      <c r="J40" s="18">
        <f t="shared" si="24"/>
        <v>77.72556075786197</v>
      </c>
      <c r="L40">
        <f>'Learning curve parameters'!D44</f>
        <v>0.05</v>
      </c>
      <c r="M40">
        <f>'Learning curve parameters'!E44</f>
        <v>0.05</v>
      </c>
      <c r="N40">
        <f>'Learning curve parameters'!F44</f>
        <v>0.05</v>
      </c>
      <c r="O40">
        <f>'Learning curve parameters'!G44</f>
        <v>0.05</v>
      </c>
      <c r="P40">
        <f>'Learning curve parameters'!H44</f>
        <v>0.05</v>
      </c>
      <c r="Q40">
        <f>'Learning curve parameters'!I44</f>
        <v>0.05</v>
      </c>
      <c r="R40">
        <f>'Learning curve parameters'!J44</f>
        <v>0.05</v>
      </c>
      <c r="S40">
        <f>'Learning curve parameters'!K44</f>
        <v>0.05</v>
      </c>
      <c r="U40" s="16">
        <f t="shared" si="25"/>
        <v>111199.9284832492</v>
      </c>
      <c r="V40" s="16">
        <f t="shared" si="26"/>
        <v>111199.9284832492</v>
      </c>
      <c r="W40" s="16">
        <f t="shared" si="27"/>
        <v>111199.9284832492</v>
      </c>
      <c r="X40" s="16">
        <f t="shared" si="28"/>
        <v>111199.9284832492</v>
      </c>
      <c r="Y40" s="16">
        <f t="shared" si="29"/>
        <v>111199.9284832492</v>
      </c>
      <c r="Z40" s="16">
        <f t="shared" si="30"/>
        <v>111199.9284832492</v>
      </c>
      <c r="AA40" s="16">
        <f t="shared" si="31"/>
        <v>111199.9284832492</v>
      </c>
      <c r="AB40" s="16">
        <f t="shared" si="32"/>
        <v>111199.9284832492</v>
      </c>
      <c r="AD40" s="12">
        <f>'Learning curve parameters'!M44</f>
        <v>0.01</v>
      </c>
      <c r="AE40" s="12">
        <f>'Learning curve parameters'!N44</f>
        <v>0.01</v>
      </c>
      <c r="AF40" s="12">
        <f>'Learning curve parameters'!O44</f>
        <v>0.01</v>
      </c>
      <c r="AG40" s="12">
        <f>'Learning curve parameters'!P44</f>
        <v>0.01</v>
      </c>
      <c r="AH40" s="12">
        <f>'Learning curve parameters'!Q44</f>
        <v>0.01</v>
      </c>
      <c r="AI40" s="12">
        <f>'Learning curve parameters'!R44</f>
        <v>0.01</v>
      </c>
      <c r="AJ40" s="12">
        <f>'Learning curve parameters'!S44</f>
        <v>0.01</v>
      </c>
      <c r="AK40" s="12">
        <f>'Learning curve parameters'!T44</f>
        <v>0.01</v>
      </c>
      <c r="AM40" s="21">
        <f t="shared" si="9"/>
        <v>1111.9992848324921</v>
      </c>
      <c r="AN40" s="21">
        <f t="shared" si="10"/>
        <v>1111.9992848324921</v>
      </c>
      <c r="AO40" s="21">
        <f t="shared" si="11"/>
        <v>1111.9992848324921</v>
      </c>
      <c r="AP40" s="21">
        <f t="shared" si="12"/>
        <v>1111.9992848324921</v>
      </c>
      <c r="AQ40" s="21">
        <f t="shared" si="13"/>
        <v>1111.9992848324921</v>
      </c>
      <c r="AR40" s="21">
        <f t="shared" si="14"/>
        <v>1111.9992848324921</v>
      </c>
      <c r="AS40" s="21">
        <f t="shared" si="15"/>
        <v>1111.9992848324921</v>
      </c>
      <c r="AT40" s="21">
        <f t="shared" si="16"/>
        <v>1111.9992848324921</v>
      </c>
    </row>
    <row r="41" spans="1:46">
      <c r="A41">
        <v>16</v>
      </c>
      <c r="B41">
        <f t="shared" si="5"/>
        <v>2036</v>
      </c>
      <c r="C41" s="18">
        <f t="shared" si="17"/>
        <v>71.279350713850107</v>
      </c>
      <c r="D41" s="18">
        <f t="shared" si="18"/>
        <v>64.153121987296842</v>
      </c>
      <c r="E41" s="18">
        <f t="shared" si="19"/>
        <v>66.112810962489547</v>
      </c>
      <c r="F41" s="18">
        <f t="shared" si="20"/>
        <v>68.335605676746951</v>
      </c>
      <c r="G41" s="18">
        <f t="shared" si="21"/>
        <v>69.538402326074376</v>
      </c>
      <c r="H41" s="18">
        <f t="shared" si="22"/>
        <v>72.099611078659137</v>
      </c>
      <c r="I41" s="18">
        <f t="shared" si="23"/>
        <v>74.840045835073909</v>
      </c>
      <c r="J41" s="18">
        <f t="shared" si="24"/>
        <v>77.730409418994029</v>
      </c>
      <c r="L41">
        <f>'Learning curve parameters'!D45</f>
        <v>0.05</v>
      </c>
      <c r="M41">
        <f>'Learning curve parameters'!E45</f>
        <v>0.05</v>
      </c>
      <c r="N41">
        <f>'Learning curve parameters'!F45</f>
        <v>0.05</v>
      </c>
      <c r="O41">
        <f>'Learning curve parameters'!G45</f>
        <v>0.05</v>
      </c>
      <c r="P41">
        <f>'Learning curve parameters'!H45</f>
        <v>0.05</v>
      </c>
      <c r="Q41">
        <f>'Learning curve parameters'!I45</f>
        <v>0.05</v>
      </c>
      <c r="R41">
        <f>'Learning curve parameters'!J45</f>
        <v>0.05</v>
      </c>
      <c r="S41">
        <f>'Learning curve parameters'!K45</f>
        <v>0.05</v>
      </c>
      <c r="U41" s="16">
        <f t="shared" si="25"/>
        <v>112311.92776808169</v>
      </c>
      <c r="V41" s="16">
        <f t="shared" si="26"/>
        <v>112311.92776808169</v>
      </c>
      <c r="W41" s="16">
        <f t="shared" si="27"/>
        <v>112311.92776808169</v>
      </c>
      <c r="X41" s="16">
        <f t="shared" si="28"/>
        <v>112311.92776808169</v>
      </c>
      <c r="Y41" s="16">
        <f t="shared" si="29"/>
        <v>112311.92776808169</v>
      </c>
      <c r="Z41" s="16">
        <f t="shared" si="30"/>
        <v>112311.92776808169</v>
      </c>
      <c r="AA41" s="16">
        <f t="shared" si="31"/>
        <v>112311.92776808169</v>
      </c>
      <c r="AB41" s="16">
        <f t="shared" si="32"/>
        <v>112311.92776808169</v>
      </c>
      <c r="AD41" s="12">
        <f>'Learning curve parameters'!M45</f>
        <v>0.01</v>
      </c>
      <c r="AE41" s="12">
        <f>'Learning curve parameters'!N45</f>
        <v>0.01</v>
      </c>
      <c r="AF41" s="12">
        <f>'Learning curve parameters'!O45</f>
        <v>0.01</v>
      </c>
      <c r="AG41" s="12">
        <f>'Learning curve parameters'!P45</f>
        <v>0.01</v>
      </c>
      <c r="AH41" s="12">
        <f>'Learning curve parameters'!Q45</f>
        <v>0.01</v>
      </c>
      <c r="AI41" s="12">
        <f>'Learning curve parameters'!R45</f>
        <v>0.01</v>
      </c>
      <c r="AJ41" s="12">
        <f>'Learning curve parameters'!S45</f>
        <v>0.01</v>
      </c>
      <c r="AK41" s="12">
        <f>'Learning curve parameters'!T45</f>
        <v>0.01</v>
      </c>
      <c r="AM41" s="21">
        <f t="shared" si="9"/>
        <v>1123.1192776808168</v>
      </c>
      <c r="AN41" s="21">
        <f t="shared" si="10"/>
        <v>1123.1192776808168</v>
      </c>
      <c r="AO41" s="21">
        <f t="shared" si="11"/>
        <v>1123.1192776808168</v>
      </c>
      <c r="AP41" s="21">
        <f t="shared" si="12"/>
        <v>1123.1192776808168</v>
      </c>
      <c r="AQ41" s="21">
        <f t="shared" si="13"/>
        <v>1123.1192776808168</v>
      </c>
      <c r="AR41" s="21">
        <f t="shared" si="14"/>
        <v>1123.1192776808168</v>
      </c>
      <c r="AS41" s="21">
        <f t="shared" si="15"/>
        <v>1123.1192776808168</v>
      </c>
      <c r="AT41" s="21">
        <f t="shared" si="16"/>
        <v>1123.1192776808168</v>
      </c>
    </row>
    <row r="42" spans="1:46">
      <c r="A42">
        <v>17</v>
      </c>
      <c r="B42">
        <f t="shared" si="5"/>
        <v>2037</v>
      </c>
      <c r="C42" s="18">
        <f t="shared" si="17"/>
        <v>71.284199374982165</v>
      </c>
      <c r="D42" s="18">
        <f t="shared" si="18"/>
        <v>64.157970648428901</v>
      </c>
      <c r="E42" s="18">
        <f t="shared" si="19"/>
        <v>66.117659623621606</v>
      </c>
      <c r="F42" s="18">
        <f t="shared" si="20"/>
        <v>68.340454337879009</v>
      </c>
      <c r="G42" s="18">
        <f t="shared" si="21"/>
        <v>69.543250987206434</v>
      </c>
      <c r="H42" s="18">
        <f t="shared" si="22"/>
        <v>72.104459739791196</v>
      </c>
      <c r="I42" s="18">
        <f t="shared" si="23"/>
        <v>74.844894496205967</v>
      </c>
      <c r="J42" s="18">
        <f t="shared" si="24"/>
        <v>77.735258080126087</v>
      </c>
      <c r="L42">
        <f>'Learning curve parameters'!D46</f>
        <v>0.05</v>
      </c>
      <c r="M42">
        <f>'Learning curve parameters'!E46</f>
        <v>0.05</v>
      </c>
      <c r="N42">
        <f>'Learning curve parameters'!F46</f>
        <v>0.05</v>
      </c>
      <c r="O42">
        <f>'Learning curve parameters'!G46</f>
        <v>0.05</v>
      </c>
      <c r="P42">
        <f>'Learning curve parameters'!H46</f>
        <v>0.05</v>
      </c>
      <c r="Q42">
        <f>'Learning curve parameters'!I46</f>
        <v>0.05</v>
      </c>
      <c r="R42">
        <f>'Learning curve parameters'!J46</f>
        <v>0.05</v>
      </c>
      <c r="S42">
        <f>'Learning curve parameters'!K46</f>
        <v>0.05</v>
      </c>
      <c r="U42" s="16">
        <f t="shared" si="25"/>
        <v>113435.04704576251</v>
      </c>
      <c r="V42" s="16">
        <f t="shared" si="26"/>
        <v>113435.04704576251</v>
      </c>
      <c r="W42" s="16">
        <f t="shared" si="27"/>
        <v>113435.04704576251</v>
      </c>
      <c r="X42" s="16">
        <f t="shared" si="28"/>
        <v>113435.04704576251</v>
      </c>
      <c r="Y42" s="16">
        <f t="shared" si="29"/>
        <v>113435.04704576251</v>
      </c>
      <c r="Z42" s="16">
        <f t="shared" si="30"/>
        <v>113435.04704576251</v>
      </c>
      <c r="AA42" s="16">
        <f t="shared" si="31"/>
        <v>113435.04704576251</v>
      </c>
      <c r="AB42" s="16">
        <f t="shared" si="32"/>
        <v>113435.04704576251</v>
      </c>
      <c r="AD42" s="12">
        <f>'Learning curve parameters'!M46</f>
        <v>0.01</v>
      </c>
      <c r="AE42" s="12">
        <f>'Learning curve parameters'!N46</f>
        <v>0.01</v>
      </c>
      <c r="AF42" s="12">
        <f>'Learning curve parameters'!O46</f>
        <v>0.01</v>
      </c>
      <c r="AG42" s="12">
        <f>'Learning curve parameters'!P46</f>
        <v>0.01</v>
      </c>
      <c r="AH42" s="12">
        <f>'Learning curve parameters'!Q46</f>
        <v>0.01</v>
      </c>
      <c r="AI42" s="12">
        <f>'Learning curve parameters'!R46</f>
        <v>0.01</v>
      </c>
      <c r="AJ42" s="12">
        <f>'Learning curve parameters'!S46</f>
        <v>0.01</v>
      </c>
      <c r="AK42" s="12">
        <f>'Learning curve parameters'!T46</f>
        <v>0.01</v>
      </c>
      <c r="AM42" s="21">
        <f t="shared" si="9"/>
        <v>1134.3504704576251</v>
      </c>
      <c r="AN42" s="21">
        <f t="shared" si="10"/>
        <v>1134.3504704576251</v>
      </c>
      <c r="AO42" s="21">
        <f t="shared" si="11"/>
        <v>1134.3504704576251</v>
      </c>
      <c r="AP42" s="21">
        <f t="shared" si="12"/>
        <v>1134.3504704576251</v>
      </c>
      <c r="AQ42" s="21">
        <f t="shared" si="13"/>
        <v>1134.3504704576251</v>
      </c>
      <c r="AR42" s="21">
        <f t="shared" si="14"/>
        <v>1134.3504704576251</v>
      </c>
      <c r="AS42" s="21">
        <f t="shared" si="15"/>
        <v>1134.3504704576251</v>
      </c>
      <c r="AT42" s="21">
        <f t="shared" si="16"/>
        <v>1134.3504704576251</v>
      </c>
    </row>
    <row r="43" spans="1:46">
      <c r="A43">
        <v>18</v>
      </c>
      <c r="B43">
        <f t="shared" si="5"/>
        <v>2038</v>
      </c>
      <c r="C43" s="18">
        <f t="shared" si="17"/>
        <v>71.289048036114224</v>
      </c>
      <c r="D43" s="18">
        <f t="shared" si="18"/>
        <v>64.162819309560959</v>
      </c>
      <c r="E43" s="18">
        <f t="shared" si="19"/>
        <v>66.122508284753664</v>
      </c>
      <c r="F43" s="18">
        <f t="shared" si="20"/>
        <v>68.345302999011068</v>
      </c>
      <c r="G43" s="18">
        <f t="shared" si="21"/>
        <v>69.548099648338493</v>
      </c>
      <c r="H43" s="18">
        <f t="shared" si="22"/>
        <v>72.109308400923254</v>
      </c>
      <c r="I43" s="18">
        <f t="shared" si="23"/>
        <v>74.849743157338025</v>
      </c>
      <c r="J43" s="18">
        <f t="shared" si="24"/>
        <v>77.740106741258145</v>
      </c>
      <c r="L43">
        <f>'Learning curve parameters'!D47</f>
        <v>0.05</v>
      </c>
      <c r="M43">
        <f>'Learning curve parameters'!E47</f>
        <v>0.05</v>
      </c>
      <c r="N43">
        <f>'Learning curve parameters'!F47</f>
        <v>0.05</v>
      </c>
      <c r="O43">
        <f>'Learning curve parameters'!G47</f>
        <v>0.05</v>
      </c>
      <c r="P43">
        <f>'Learning curve parameters'!H47</f>
        <v>0.05</v>
      </c>
      <c r="Q43">
        <f>'Learning curve parameters'!I47</f>
        <v>0.05</v>
      </c>
      <c r="R43">
        <f>'Learning curve parameters'!J47</f>
        <v>0.05</v>
      </c>
      <c r="S43">
        <f>'Learning curve parameters'!K47</f>
        <v>0.05</v>
      </c>
      <c r="U43" s="16">
        <f t="shared" si="25"/>
        <v>114569.39751622012</v>
      </c>
      <c r="V43" s="16">
        <f t="shared" si="26"/>
        <v>114569.39751622012</v>
      </c>
      <c r="W43" s="16">
        <f t="shared" si="27"/>
        <v>114569.39751622012</v>
      </c>
      <c r="X43" s="16">
        <f t="shared" si="28"/>
        <v>114569.39751622012</v>
      </c>
      <c r="Y43" s="16">
        <f t="shared" si="29"/>
        <v>114569.39751622012</v>
      </c>
      <c r="Z43" s="16">
        <f t="shared" si="30"/>
        <v>114569.39751622012</v>
      </c>
      <c r="AA43" s="16">
        <f t="shared" si="31"/>
        <v>114569.39751622012</v>
      </c>
      <c r="AB43" s="16">
        <f t="shared" si="32"/>
        <v>114569.39751622012</v>
      </c>
      <c r="AD43" s="12">
        <f>'Learning curve parameters'!M47</f>
        <v>0.01</v>
      </c>
      <c r="AE43" s="12">
        <f>'Learning curve parameters'!N47</f>
        <v>0.01</v>
      </c>
      <c r="AF43" s="12">
        <f>'Learning curve parameters'!O47</f>
        <v>0.01</v>
      </c>
      <c r="AG43" s="12">
        <f>'Learning curve parameters'!P47</f>
        <v>0.01</v>
      </c>
      <c r="AH43" s="12">
        <f>'Learning curve parameters'!Q47</f>
        <v>0.01</v>
      </c>
      <c r="AI43" s="12">
        <f>'Learning curve parameters'!R47</f>
        <v>0.01</v>
      </c>
      <c r="AJ43" s="12">
        <f>'Learning curve parameters'!S47</f>
        <v>0.01</v>
      </c>
      <c r="AK43" s="12">
        <f>'Learning curve parameters'!T47</f>
        <v>0.01</v>
      </c>
      <c r="AM43" s="21">
        <f t="shared" si="9"/>
        <v>1145.6939751622012</v>
      </c>
      <c r="AN43" s="21">
        <f t="shared" si="10"/>
        <v>1145.6939751622012</v>
      </c>
      <c r="AO43" s="21">
        <f t="shared" si="11"/>
        <v>1145.6939751622012</v>
      </c>
      <c r="AP43" s="21">
        <f t="shared" si="12"/>
        <v>1145.6939751622012</v>
      </c>
      <c r="AQ43" s="21">
        <f t="shared" si="13"/>
        <v>1145.6939751622012</v>
      </c>
      <c r="AR43" s="21">
        <f t="shared" si="14"/>
        <v>1145.6939751622012</v>
      </c>
      <c r="AS43" s="21">
        <f t="shared" si="15"/>
        <v>1145.6939751622012</v>
      </c>
      <c r="AT43" s="21">
        <f t="shared" si="16"/>
        <v>1145.6939751622012</v>
      </c>
    </row>
    <row r="44" spans="1:46">
      <c r="A44">
        <v>19</v>
      </c>
      <c r="B44">
        <f t="shared" si="5"/>
        <v>2039</v>
      </c>
      <c r="C44" s="18">
        <f t="shared" si="17"/>
        <v>71.293896697246282</v>
      </c>
      <c r="D44" s="18">
        <f t="shared" si="18"/>
        <v>64.167667970693017</v>
      </c>
      <c r="E44" s="18">
        <f t="shared" si="19"/>
        <v>66.127356945885722</v>
      </c>
      <c r="F44" s="18">
        <f t="shared" si="20"/>
        <v>68.350151660143126</v>
      </c>
      <c r="G44" s="18">
        <f t="shared" si="21"/>
        <v>69.552948309470551</v>
      </c>
      <c r="H44" s="18">
        <f t="shared" si="22"/>
        <v>72.114157062055313</v>
      </c>
      <c r="I44" s="18">
        <f t="shared" si="23"/>
        <v>74.854591818470084</v>
      </c>
      <c r="J44" s="18">
        <f t="shared" si="24"/>
        <v>77.744955402390204</v>
      </c>
      <c r="L44">
        <f>'Learning curve parameters'!D48</f>
        <v>0.05</v>
      </c>
      <c r="M44">
        <f>'Learning curve parameters'!E48</f>
        <v>0.05</v>
      </c>
      <c r="N44">
        <f>'Learning curve parameters'!F48</f>
        <v>0.05</v>
      </c>
      <c r="O44">
        <f>'Learning curve parameters'!G48</f>
        <v>0.05</v>
      </c>
      <c r="P44">
        <f>'Learning curve parameters'!H48</f>
        <v>0.05</v>
      </c>
      <c r="Q44">
        <f>'Learning curve parameters'!I48</f>
        <v>0.05</v>
      </c>
      <c r="R44">
        <f>'Learning curve parameters'!J48</f>
        <v>0.05</v>
      </c>
      <c r="S44">
        <f>'Learning curve parameters'!K48</f>
        <v>0.05</v>
      </c>
      <c r="U44" s="16">
        <f t="shared" si="25"/>
        <v>115715.09149138232</v>
      </c>
      <c r="V44" s="16">
        <f t="shared" si="26"/>
        <v>115715.09149138232</v>
      </c>
      <c r="W44" s="16">
        <f t="shared" si="27"/>
        <v>115715.09149138232</v>
      </c>
      <c r="X44" s="16">
        <f t="shared" si="28"/>
        <v>115715.09149138232</v>
      </c>
      <c r="Y44" s="16">
        <f t="shared" si="29"/>
        <v>115715.09149138232</v>
      </c>
      <c r="Z44" s="16">
        <f t="shared" si="30"/>
        <v>115715.09149138232</v>
      </c>
      <c r="AA44" s="16">
        <f t="shared" si="31"/>
        <v>115715.09149138232</v>
      </c>
      <c r="AB44" s="16">
        <f t="shared" si="32"/>
        <v>115715.09149138232</v>
      </c>
      <c r="AD44" s="12">
        <f>'Learning curve parameters'!M48</f>
        <v>0.01</v>
      </c>
      <c r="AE44" s="12">
        <f>'Learning curve parameters'!N48</f>
        <v>0.01</v>
      </c>
      <c r="AF44" s="12">
        <f>'Learning curve parameters'!O48</f>
        <v>0.01</v>
      </c>
      <c r="AG44" s="12">
        <f>'Learning curve parameters'!P48</f>
        <v>0.01</v>
      </c>
      <c r="AH44" s="12">
        <f>'Learning curve parameters'!Q48</f>
        <v>0.01</v>
      </c>
      <c r="AI44" s="12">
        <f>'Learning curve parameters'!R48</f>
        <v>0.01</v>
      </c>
      <c r="AJ44" s="12">
        <f>'Learning curve parameters'!S48</f>
        <v>0.01</v>
      </c>
      <c r="AK44" s="12">
        <f>'Learning curve parameters'!T48</f>
        <v>0.01</v>
      </c>
      <c r="AM44" s="21">
        <f t="shared" si="9"/>
        <v>1157.1509149138233</v>
      </c>
      <c r="AN44" s="21">
        <f t="shared" si="10"/>
        <v>1157.1509149138233</v>
      </c>
      <c r="AO44" s="21">
        <f t="shared" si="11"/>
        <v>1157.1509149138233</v>
      </c>
      <c r="AP44" s="21">
        <f t="shared" si="12"/>
        <v>1157.1509149138233</v>
      </c>
      <c r="AQ44" s="21">
        <f t="shared" si="13"/>
        <v>1157.1509149138233</v>
      </c>
      <c r="AR44" s="21">
        <f t="shared" si="14"/>
        <v>1157.1509149138233</v>
      </c>
      <c r="AS44" s="21">
        <f t="shared" si="15"/>
        <v>1157.1509149138233</v>
      </c>
      <c r="AT44" s="21">
        <f t="shared" si="16"/>
        <v>1157.1509149138233</v>
      </c>
    </row>
    <row r="45" spans="1:46">
      <c r="A45">
        <v>20</v>
      </c>
      <c r="B45">
        <f t="shared" si="5"/>
        <v>2040</v>
      </c>
      <c r="C45" s="18">
        <f t="shared" si="17"/>
        <v>71.298745358378341</v>
      </c>
      <c r="D45" s="18">
        <f t="shared" si="18"/>
        <v>64.172516631825076</v>
      </c>
      <c r="E45" s="18">
        <f t="shared" si="19"/>
        <v>66.132205607017781</v>
      </c>
      <c r="F45" s="18">
        <f t="shared" si="20"/>
        <v>68.355000321275185</v>
      </c>
      <c r="G45" s="18">
        <f t="shared" si="21"/>
        <v>69.55779697060261</v>
      </c>
      <c r="H45" s="18">
        <f t="shared" si="22"/>
        <v>72.119005723187371</v>
      </c>
      <c r="I45" s="18">
        <f t="shared" si="23"/>
        <v>74.859440479602142</v>
      </c>
      <c r="J45" s="18">
        <f t="shared" si="24"/>
        <v>77.749804063522262</v>
      </c>
      <c r="L45">
        <f>'Learning curve parameters'!D49</f>
        <v>0.05</v>
      </c>
      <c r="M45">
        <f>'Learning curve parameters'!E49</f>
        <v>0.05</v>
      </c>
      <c r="N45">
        <f>'Learning curve parameters'!F49</f>
        <v>0.05</v>
      </c>
      <c r="O45">
        <f>'Learning curve parameters'!G49</f>
        <v>0.05</v>
      </c>
      <c r="P45">
        <f>'Learning curve parameters'!H49</f>
        <v>0.05</v>
      </c>
      <c r="Q45">
        <f>'Learning curve parameters'!I49</f>
        <v>0.05</v>
      </c>
      <c r="R45">
        <f>'Learning curve parameters'!J49</f>
        <v>0.05</v>
      </c>
      <c r="S45">
        <f>'Learning curve parameters'!K49</f>
        <v>0.05</v>
      </c>
      <c r="U45" s="16">
        <f t="shared" si="25"/>
        <v>116872.24240629615</v>
      </c>
      <c r="V45" s="16">
        <f t="shared" si="26"/>
        <v>116872.24240629615</v>
      </c>
      <c r="W45" s="16">
        <f t="shared" si="27"/>
        <v>116872.24240629615</v>
      </c>
      <c r="X45" s="16">
        <f t="shared" si="28"/>
        <v>116872.24240629615</v>
      </c>
      <c r="Y45" s="16">
        <f t="shared" si="29"/>
        <v>116872.24240629615</v>
      </c>
      <c r="Z45" s="16">
        <f t="shared" si="30"/>
        <v>116872.24240629615</v>
      </c>
      <c r="AA45" s="16">
        <f t="shared" si="31"/>
        <v>116872.24240629615</v>
      </c>
      <c r="AB45" s="16">
        <f t="shared" si="32"/>
        <v>116872.24240629615</v>
      </c>
      <c r="AD45" s="12">
        <f>'Learning curve parameters'!M49</f>
        <v>0.01</v>
      </c>
      <c r="AE45" s="12">
        <f>'Learning curve parameters'!N49</f>
        <v>0.01</v>
      </c>
      <c r="AF45" s="12">
        <f>'Learning curve parameters'!O49</f>
        <v>0.01</v>
      </c>
      <c r="AG45" s="12">
        <f>'Learning curve parameters'!P49</f>
        <v>0.01</v>
      </c>
      <c r="AH45" s="12">
        <f>'Learning curve parameters'!Q49</f>
        <v>0.01</v>
      </c>
      <c r="AI45" s="12">
        <f>'Learning curve parameters'!R49</f>
        <v>0.01</v>
      </c>
      <c r="AJ45" s="12">
        <f>'Learning curve parameters'!S49</f>
        <v>0.01</v>
      </c>
      <c r="AK45" s="12">
        <f>'Learning curve parameters'!T49</f>
        <v>0.01</v>
      </c>
      <c r="AM45" s="21">
        <f t="shared" si="9"/>
        <v>1168.7224240629616</v>
      </c>
      <c r="AN45" s="21">
        <f t="shared" si="10"/>
        <v>1168.7224240629616</v>
      </c>
      <c r="AO45" s="21">
        <f t="shared" si="11"/>
        <v>1168.7224240629616</v>
      </c>
      <c r="AP45" s="21">
        <f t="shared" si="12"/>
        <v>1168.7224240629616</v>
      </c>
      <c r="AQ45" s="21">
        <f t="shared" si="13"/>
        <v>1168.7224240629616</v>
      </c>
      <c r="AR45" s="21">
        <f t="shared" si="14"/>
        <v>1168.7224240629616</v>
      </c>
      <c r="AS45" s="21">
        <f t="shared" si="15"/>
        <v>1168.7224240629616</v>
      </c>
      <c r="AT45" s="21">
        <f t="shared" si="16"/>
        <v>1168.7224240629616</v>
      </c>
    </row>
    <row r="46" spans="1:46">
      <c r="A46">
        <v>21</v>
      </c>
      <c r="B46">
        <f t="shared" si="5"/>
        <v>2041</v>
      </c>
      <c r="C46" s="18">
        <f t="shared" si="17"/>
        <v>71.303594019510399</v>
      </c>
      <c r="D46" s="18">
        <f t="shared" si="18"/>
        <v>64.177365292957134</v>
      </c>
      <c r="E46" s="18">
        <f t="shared" si="19"/>
        <v>66.137054268149839</v>
      </c>
      <c r="F46" s="18">
        <f t="shared" si="20"/>
        <v>68.359848982407243</v>
      </c>
      <c r="G46" s="18">
        <f t="shared" si="21"/>
        <v>69.562645631734668</v>
      </c>
      <c r="H46" s="18">
        <f t="shared" si="22"/>
        <v>72.123854384319429</v>
      </c>
      <c r="I46" s="18">
        <f t="shared" si="23"/>
        <v>74.864289140734201</v>
      </c>
      <c r="J46" s="18">
        <f t="shared" si="24"/>
        <v>77.754652724654321</v>
      </c>
      <c r="L46">
        <f>'Learning curve parameters'!D50</f>
        <v>0.05</v>
      </c>
      <c r="M46">
        <f>'Learning curve parameters'!E50</f>
        <v>0.05</v>
      </c>
      <c r="N46">
        <f>'Learning curve parameters'!F50</f>
        <v>0.05</v>
      </c>
      <c r="O46">
        <f>'Learning curve parameters'!G50</f>
        <v>0.05</v>
      </c>
      <c r="P46">
        <f>'Learning curve parameters'!H50</f>
        <v>0.05</v>
      </c>
      <c r="Q46">
        <f>'Learning curve parameters'!I50</f>
        <v>0.05</v>
      </c>
      <c r="R46">
        <f>'Learning curve parameters'!J50</f>
        <v>0.05</v>
      </c>
      <c r="S46">
        <f>'Learning curve parameters'!K50</f>
        <v>0.05</v>
      </c>
      <c r="U46" s="16">
        <f t="shared" si="25"/>
        <v>118040.96483035911</v>
      </c>
      <c r="V46" s="16">
        <f t="shared" si="26"/>
        <v>118040.96483035911</v>
      </c>
      <c r="W46" s="16">
        <f t="shared" si="27"/>
        <v>118040.96483035911</v>
      </c>
      <c r="X46" s="16">
        <f t="shared" si="28"/>
        <v>118040.96483035911</v>
      </c>
      <c r="Y46" s="16">
        <f t="shared" si="29"/>
        <v>118040.96483035911</v>
      </c>
      <c r="Z46" s="16">
        <f t="shared" si="30"/>
        <v>118040.96483035911</v>
      </c>
      <c r="AA46" s="16">
        <f t="shared" si="31"/>
        <v>118040.96483035911</v>
      </c>
      <c r="AB46" s="16">
        <f t="shared" si="32"/>
        <v>118040.96483035911</v>
      </c>
      <c r="AD46" s="12">
        <f>'Learning curve parameters'!M50</f>
        <v>0.01</v>
      </c>
      <c r="AE46" s="12">
        <f>'Learning curve parameters'!N50</f>
        <v>0.01</v>
      </c>
      <c r="AF46" s="12">
        <f>'Learning curve parameters'!O50</f>
        <v>0.01</v>
      </c>
      <c r="AG46" s="12">
        <f>'Learning curve parameters'!P50</f>
        <v>0.01</v>
      </c>
      <c r="AH46" s="12">
        <f>'Learning curve parameters'!Q50</f>
        <v>0.01</v>
      </c>
      <c r="AI46" s="12">
        <f>'Learning curve parameters'!R50</f>
        <v>0.01</v>
      </c>
      <c r="AJ46" s="12">
        <f>'Learning curve parameters'!S50</f>
        <v>0.01</v>
      </c>
      <c r="AK46" s="12">
        <f>'Learning curve parameters'!T50</f>
        <v>0.01</v>
      </c>
      <c r="AM46" s="21">
        <f t="shared" si="9"/>
        <v>1180.4096483035912</v>
      </c>
      <c r="AN46" s="21">
        <f t="shared" si="10"/>
        <v>1180.4096483035912</v>
      </c>
      <c r="AO46" s="21">
        <f t="shared" si="11"/>
        <v>1180.4096483035912</v>
      </c>
      <c r="AP46" s="21">
        <f t="shared" si="12"/>
        <v>1180.4096483035912</v>
      </c>
      <c r="AQ46" s="21">
        <f t="shared" si="13"/>
        <v>1180.4096483035912</v>
      </c>
      <c r="AR46" s="21">
        <f t="shared" si="14"/>
        <v>1180.4096483035912</v>
      </c>
      <c r="AS46" s="21">
        <f t="shared" si="15"/>
        <v>1180.4096483035912</v>
      </c>
      <c r="AT46" s="21">
        <f t="shared" si="16"/>
        <v>1180.4096483035912</v>
      </c>
    </row>
    <row r="47" spans="1:46">
      <c r="A47">
        <v>22</v>
      </c>
      <c r="B47">
        <f t="shared" si="5"/>
        <v>2042</v>
      </c>
      <c r="C47" s="18">
        <f t="shared" si="17"/>
        <v>71.308442680642457</v>
      </c>
      <c r="D47" s="18">
        <f t="shared" si="18"/>
        <v>64.182213954089192</v>
      </c>
      <c r="E47" s="18">
        <f t="shared" si="19"/>
        <v>66.141902929281898</v>
      </c>
      <c r="F47" s="18">
        <f t="shared" si="20"/>
        <v>68.364697643539301</v>
      </c>
      <c r="G47" s="18">
        <f t="shared" si="21"/>
        <v>69.567494292866726</v>
      </c>
      <c r="H47" s="18">
        <f t="shared" si="22"/>
        <v>72.128703045451488</v>
      </c>
      <c r="I47" s="18">
        <f t="shared" si="23"/>
        <v>74.869137801866259</v>
      </c>
      <c r="J47" s="18">
        <f t="shared" si="24"/>
        <v>77.759501385786379</v>
      </c>
      <c r="L47">
        <f>'Learning curve parameters'!D51</f>
        <v>0.05</v>
      </c>
      <c r="M47">
        <f>'Learning curve parameters'!E51</f>
        <v>0.05</v>
      </c>
      <c r="N47">
        <f>'Learning curve parameters'!F51</f>
        <v>0.05</v>
      </c>
      <c r="O47">
        <f>'Learning curve parameters'!G51</f>
        <v>0.05</v>
      </c>
      <c r="P47">
        <f>'Learning curve parameters'!H51</f>
        <v>0.05</v>
      </c>
      <c r="Q47">
        <f>'Learning curve parameters'!I51</f>
        <v>0.05</v>
      </c>
      <c r="R47">
        <f>'Learning curve parameters'!J51</f>
        <v>0.05</v>
      </c>
      <c r="S47">
        <f>'Learning curve parameters'!K51</f>
        <v>0.05</v>
      </c>
      <c r="U47" s="16">
        <f t="shared" si="25"/>
        <v>119221.37447866271</v>
      </c>
      <c r="V47" s="16">
        <f t="shared" si="26"/>
        <v>119221.37447866271</v>
      </c>
      <c r="W47" s="16">
        <f t="shared" si="27"/>
        <v>119221.37447866271</v>
      </c>
      <c r="X47" s="16">
        <f t="shared" si="28"/>
        <v>119221.37447866271</v>
      </c>
      <c r="Y47" s="16">
        <f t="shared" si="29"/>
        <v>119221.37447866271</v>
      </c>
      <c r="Z47" s="16">
        <f t="shared" si="30"/>
        <v>119221.37447866271</v>
      </c>
      <c r="AA47" s="16">
        <f t="shared" si="31"/>
        <v>119221.37447866271</v>
      </c>
      <c r="AB47" s="16">
        <f t="shared" si="32"/>
        <v>119221.37447866271</v>
      </c>
      <c r="AD47" s="12">
        <f>'Learning curve parameters'!M51</f>
        <v>0.01</v>
      </c>
      <c r="AE47" s="12">
        <f>'Learning curve parameters'!N51</f>
        <v>0.01</v>
      </c>
      <c r="AF47" s="12">
        <f>'Learning curve parameters'!O51</f>
        <v>0.01</v>
      </c>
      <c r="AG47" s="12">
        <f>'Learning curve parameters'!P51</f>
        <v>0.01</v>
      </c>
      <c r="AH47" s="12">
        <f>'Learning curve parameters'!Q51</f>
        <v>0.01</v>
      </c>
      <c r="AI47" s="12">
        <f>'Learning curve parameters'!R51</f>
        <v>0.01</v>
      </c>
      <c r="AJ47" s="12">
        <f>'Learning curve parameters'!S51</f>
        <v>0.01</v>
      </c>
      <c r="AK47" s="12">
        <f>'Learning curve parameters'!T51</f>
        <v>0.01</v>
      </c>
      <c r="AM47" s="21">
        <f t="shared" si="9"/>
        <v>1192.2137447866271</v>
      </c>
      <c r="AN47" s="21">
        <f t="shared" si="10"/>
        <v>1192.2137447866271</v>
      </c>
      <c r="AO47" s="21">
        <f t="shared" si="11"/>
        <v>1192.2137447866271</v>
      </c>
      <c r="AP47" s="21">
        <f t="shared" si="12"/>
        <v>1192.2137447866271</v>
      </c>
      <c r="AQ47" s="21">
        <f t="shared" si="13"/>
        <v>1192.2137447866271</v>
      </c>
      <c r="AR47" s="21">
        <f t="shared" si="14"/>
        <v>1192.2137447866271</v>
      </c>
      <c r="AS47" s="21">
        <f t="shared" si="15"/>
        <v>1192.2137447866271</v>
      </c>
      <c r="AT47" s="21">
        <f t="shared" si="16"/>
        <v>1192.2137447866271</v>
      </c>
    </row>
    <row r="48" spans="1:46">
      <c r="A48">
        <v>23</v>
      </c>
      <c r="B48">
        <f t="shared" si="5"/>
        <v>2043</v>
      </c>
      <c r="C48" s="18">
        <f t="shared" si="17"/>
        <v>71.313291341774516</v>
      </c>
      <c r="D48" s="18">
        <f t="shared" si="18"/>
        <v>64.187062615221251</v>
      </c>
      <c r="E48" s="18">
        <f t="shared" si="19"/>
        <v>66.146751590413956</v>
      </c>
      <c r="F48" s="18">
        <f t="shared" si="20"/>
        <v>68.36954630467136</v>
      </c>
      <c r="G48" s="18">
        <f t="shared" si="21"/>
        <v>69.572342953998785</v>
      </c>
      <c r="H48" s="18">
        <f t="shared" si="22"/>
        <v>72.133551706583546</v>
      </c>
      <c r="I48" s="18">
        <f t="shared" si="23"/>
        <v>74.873986462998317</v>
      </c>
      <c r="J48" s="18">
        <f t="shared" si="24"/>
        <v>77.764350046918437</v>
      </c>
      <c r="L48">
        <f>'Learning curve parameters'!D52</f>
        <v>0.05</v>
      </c>
      <c r="M48">
        <f>'Learning curve parameters'!E52</f>
        <v>0.05</v>
      </c>
      <c r="N48">
        <f>'Learning curve parameters'!F52</f>
        <v>0.05</v>
      </c>
      <c r="O48">
        <f>'Learning curve parameters'!G52</f>
        <v>0.05</v>
      </c>
      <c r="P48">
        <f>'Learning curve parameters'!H52</f>
        <v>0.05</v>
      </c>
      <c r="Q48">
        <f>'Learning curve parameters'!I52</f>
        <v>0.05</v>
      </c>
      <c r="R48">
        <f>'Learning curve parameters'!J52</f>
        <v>0.05</v>
      </c>
      <c r="S48">
        <f>'Learning curve parameters'!K52</f>
        <v>0.05</v>
      </c>
      <c r="U48" s="16">
        <f t="shared" si="25"/>
        <v>120413.58822344933</v>
      </c>
      <c r="V48" s="16">
        <f t="shared" si="26"/>
        <v>120413.58822344933</v>
      </c>
      <c r="W48" s="16">
        <f t="shared" si="27"/>
        <v>120413.58822344933</v>
      </c>
      <c r="X48" s="16">
        <f t="shared" si="28"/>
        <v>120413.58822344933</v>
      </c>
      <c r="Y48" s="16">
        <f t="shared" si="29"/>
        <v>120413.58822344933</v>
      </c>
      <c r="Z48" s="16">
        <f t="shared" si="30"/>
        <v>120413.58822344933</v>
      </c>
      <c r="AA48" s="16">
        <f t="shared" si="31"/>
        <v>120413.58822344933</v>
      </c>
      <c r="AB48" s="16">
        <f t="shared" si="32"/>
        <v>120413.58822344933</v>
      </c>
      <c r="AD48" s="12">
        <f>'Learning curve parameters'!M52</f>
        <v>0.01</v>
      </c>
      <c r="AE48" s="12">
        <f>'Learning curve parameters'!N52</f>
        <v>0.01</v>
      </c>
      <c r="AF48" s="12">
        <f>'Learning curve parameters'!O52</f>
        <v>0.01</v>
      </c>
      <c r="AG48" s="12">
        <f>'Learning curve parameters'!P52</f>
        <v>0.01</v>
      </c>
      <c r="AH48" s="12">
        <f>'Learning curve parameters'!Q52</f>
        <v>0.01</v>
      </c>
      <c r="AI48" s="12">
        <f>'Learning curve parameters'!R52</f>
        <v>0.01</v>
      </c>
      <c r="AJ48" s="12">
        <f>'Learning curve parameters'!S52</f>
        <v>0.01</v>
      </c>
      <c r="AK48" s="12">
        <f>'Learning curve parameters'!T52</f>
        <v>0.01</v>
      </c>
      <c r="AM48" s="21">
        <f t="shared" si="9"/>
        <v>1204.1358822344935</v>
      </c>
      <c r="AN48" s="21">
        <f t="shared" si="10"/>
        <v>1204.1358822344935</v>
      </c>
      <c r="AO48" s="21">
        <f t="shared" si="11"/>
        <v>1204.1358822344935</v>
      </c>
      <c r="AP48" s="21">
        <f t="shared" si="12"/>
        <v>1204.1358822344935</v>
      </c>
      <c r="AQ48" s="21">
        <f t="shared" si="13"/>
        <v>1204.1358822344935</v>
      </c>
      <c r="AR48" s="21">
        <f t="shared" si="14"/>
        <v>1204.1358822344935</v>
      </c>
      <c r="AS48" s="21">
        <f t="shared" si="15"/>
        <v>1204.1358822344935</v>
      </c>
      <c r="AT48" s="21">
        <f t="shared" si="16"/>
        <v>1204.1358822344935</v>
      </c>
    </row>
    <row r="49" spans="1:46">
      <c r="A49">
        <v>24</v>
      </c>
      <c r="B49">
        <f t="shared" si="5"/>
        <v>2044</v>
      </c>
      <c r="C49" s="18">
        <f t="shared" si="17"/>
        <v>71.318140002906574</v>
      </c>
      <c r="D49" s="18">
        <f t="shared" si="18"/>
        <v>64.191911276353309</v>
      </c>
      <c r="E49" s="18">
        <f t="shared" si="19"/>
        <v>66.151600251546014</v>
      </c>
      <c r="F49" s="18">
        <f t="shared" si="20"/>
        <v>68.374394965803418</v>
      </c>
      <c r="G49" s="18">
        <f t="shared" si="21"/>
        <v>69.577191615130843</v>
      </c>
      <c r="H49" s="18">
        <f t="shared" si="22"/>
        <v>72.138400367715604</v>
      </c>
      <c r="I49" s="18">
        <f t="shared" si="23"/>
        <v>74.878835124130376</v>
      </c>
      <c r="J49" s="18">
        <f t="shared" si="24"/>
        <v>77.769198708050496</v>
      </c>
      <c r="L49">
        <f>'Learning curve parameters'!D53</f>
        <v>0.05</v>
      </c>
      <c r="M49">
        <f>'Learning curve parameters'!E53</f>
        <v>0.05</v>
      </c>
      <c r="N49">
        <f>'Learning curve parameters'!F53</f>
        <v>0.05</v>
      </c>
      <c r="O49">
        <f>'Learning curve parameters'!G53</f>
        <v>0.05</v>
      </c>
      <c r="P49">
        <f>'Learning curve parameters'!H53</f>
        <v>0.05</v>
      </c>
      <c r="Q49">
        <f>'Learning curve parameters'!I53</f>
        <v>0.05</v>
      </c>
      <c r="R49">
        <f>'Learning curve parameters'!J53</f>
        <v>0.05</v>
      </c>
      <c r="S49">
        <f>'Learning curve parameters'!K53</f>
        <v>0.05</v>
      </c>
      <c r="U49" s="16">
        <f t="shared" si="25"/>
        <v>121617.72410568382</v>
      </c>
      <c r="V49" s="16">
        <f t="shared" si="26"/>
        <v>121617.72410568382</v>
      </c>
      <c r="W49" s="16">
        <f t="shared" si="27"/>
        <v>121617.72410568382</v>
      </c>
      <c r="X49" s="16">
        <f t="shared" si="28"/>
        <v>121617.72410568382</v>
      </c>
      <c r="Y49" s="16">
        <f t="shared" si="29"/>
        <v>121617.72410568382</v>
      </c>
      <c r="Z49" s="16">
        <f t="shared" si="30"/>
        <v>121617.72410568382</v>
      </c>
      <c r="AA49" s="16">
        <f t="shared" si="31"/>
        <v>121617.72410568382</v>
      </c>
      <c r="AB49" s="16">
        <f t="shared" si="32"/>
        <v>121617.72410568382</v>
      </c>
      <c r="AD49" s="12">
        <f>'Learning curve parameters'!M53</f>
        <v>0.01</v>
      </c>
      <c r="AE49" s="12">
        <f>'Learning curve parameters'!N53</f>
        <v>0.01</v>
      </c>
      <c r="AF49" s="12">
        <f>'Learning curve parameters'!O53</f>
        <v>0.01</v>
      </c>
      <c r="AG49" s="12">
        <f>'Learning curve parameters'!P53</f>
        <v>0.01</v>
      </c>
      <c r="AH49" s="12">
        <f>'Learning curve parameters'!Q53</f>
        <v>0.01</v>
      </c>
      <c r="AI49" s="12">
        <f>'Learning curve parameters'!R53</f>
        <v>0.01</v>
      </c>
      <c r="AJ49" s="12">
        <f>'Learning curve parameters'!S53</f>
        <v>0.01</v>
      </c>
      <c r="AK49" s="12">
        <f>'Learning curve parameters'!T53</f>
        <v>0.01</v>
      </c>
      <c r="AM49" s="21">
        <f t="shared" si="9"/>
        <v>1216.1772410568383</v>
      </c>
      <c r="AN49" s="21">
        <f t="shared" si="10"/>
        <v>1216.1772410568383</v>
      </c>
      <c r="AO49" s="21">
        <f t="shared" si="11"/>
        <v>1216.1772410568383</v>
      </c>
      <c r="AP49" s="21">
        <f t="shared" si="12"/>
        <v>1216.1772410568383</v>
      </c>
      <c r="AQ49" s="21">
        <f t="shared" si="13"/>
        <v>1216.1772410568383</v>
      </c>
      <c r="AR49" s="21">
        <f t="shared" si="14"/>
        <v>1216.1772410568383</v>
      </c>
      <c r="AS49" s="21">
        <f t="shared" si="15"/>
        <v>1216.1772410568383</v>
      </c>
      <c r="AT49" s="21">
        <f t="shared" si="16"/>
        <v>1216.1772410568383</v>
      </c>
    </row>
    <row r="50" spans="1:46">
      <c r="A50">
        <v>25</v>
      </c>
      <c r="B50">
        <f t="shared" si="5"/>
        <v>2045</v>
      </c>
      <c r="C50" s="18">
        <f t="shared" si="17"/>
        <v>71.322988664038633</v>
      </c>
      <c r="D50" s="18">
        <f t="shared" si="18"/>
        <v>64.196759937485368</v>
      </c>
      <c r="E50" s="18">
        <f t="shared" si="19"/>
        <v>66.156448912678073</v>
      </c>
      <c r="F50" s="18">
        <f t="shared" si="20"/>
        <v>68.379243626935477</v>
      </c>
      <c r="G50" s="18">
        <f t="shared" si="21"/>
        <v>69.582040276262902</v>
      </c>
      <c r="H50" s="18">
        <f t="shared" si="22"/>
        <v>72.143249028847663</v>
      </c>
      <c r="I50" s="18">
        <f t="shared" si="23"/>
        <v>74.883683785262434</v>
      </c>
      <c r="J50" s="18">
        <f t="shared" si="24"/>
        <v>77.774047369182554</v>
      </c>
      <c r="L50">
        <f>'Learning curve parameters'!D54</f>
        <v>0.05</v>
      </c>
      <c r="M50">
        <f>'Learning curve parameters'!E54</f>
        <v>0.05</v>
      </c>
      <c r="N50">
        <f>'Learning curve parameters'!F54</f>
        <v>0.05</v>
      </c>
      <c r="O50">
        <f>'Learning curve parameters'!G54</f>
        <v>0.05</v>
      </c>
      <c r="P50">
        <f>'Learning curve parameters'!H54</f>
        <v>0.05</v>
      </c>
      <c r="Q50">
        <f>'Learning curve parameters'!I54</f>
        <v>0.05</v>
      </c>
      <c r="R50">
        <f>'Learning curve parameters'!J54</f>
        <v>0.05</v>
      </c>
      <c r="S50">
        <f>'Learning curve parameters'!K54</f>
        <v>0.05</v>
      </c>
      <c r="U50" s="16">
        <f t="shared" si="25"/>
        <v>122833.90134674066</v>
      </c>
      <c r="V50" s="16">
        <f t="shared" si="26"/>
        <v>122833.90134674066</v>
      </c>
      <c r="W50" s="16">
        <f t="shared" si="27"/>
        <v>122833.90134674066</v>
      </c>
      <c r="X50" s="16">
        <f t="shared" si="28"/>
        <v>122833.90134674066</v>
      </c>
      <c r="Y50" s="16">
        <f t="shared" si="29"/>
        <v>122833.90134674066</v>
      </c>
      <c r="Z50" s="16">
        <f t="shared" si="30"/>
        <v>122833.90134674066</v>
      </c>
      <c r="AA50" s="16">
        <f t="shared" si="31"/>
        <v>122833.90134674066</v>
      </c>
      <c r="AB50" s="16">
        <f t="shared" si="32"/>
        <v>122833.90134674066</v>
      </c>
      <c r="AD50" s="12">
        <f>'Learning curve parameters'!M54</f>
        <v>0.01</v>
      </c>
      <c r="AE50" s="12">
        <f>'Learning curve parameters'!N54</f>
        <v>0.01</v>
      </c>
      <c r="AF50" s="12">
        <f>'Learning curve parameters'!O54</f>
        <v>0.01</v>
      </c>
      <c r="AG50" s="12">
        <f>'Learning curve parameters'!P54</f>
        <v>0.01</v>
      </c>
      <c r="AH50" s="12">
        <f>'Learning curve parameters'!Q54</f>
        <v>0.01</v>
      </c>
      <c r="AI50" s="12">
        <f>'Learning curve parameters'!R54</f>
        <v>0.01</v>
      </c>
      <c r="AJ50" s="12">
        <f>'Learning curve parameters'!S54</f>
        <v>0.01</v>
      </c>
      <c r="AK50" s="12">
        <f>'Learning curve parameters'!T54</f>
        <v>0.01</v>
      </c>
      <c r="AM50" s="21">
        <f t="shared" si="9"/>
        <v>1228.3390134674066</v>
      </c>
      <c r="AN50" s="21">
        <f t="shared" si="10"/>
        <v>1228.3390134674066</v>
      </c>
      <c r="AO50" s="21">
        <f t="shared" si="11"/>
        <v>1228.3390134674066</v>
      </c>
      <c r="AP50" s="21">
        <f t="shared" si="12"/>
        <v>1228.3390134674066</v>
      </c>
      <c r="AQ50" s="21">
        <f t="shared" si="13"/>
        <v>1228.3390134674066</v>
      </c>
      <c r="AR50" s="21">
        <f t="shared" si="14"/>
        <v>1228.3390134674066</v>
      </c>
      <c r="AS50" s="21">
        <f t="shared" si="15"/>
        <v>1228.3390134674066</v>
      </c>
      <c r="AT50" s="21">
        <f t="shared" si="16"/>
        <v>1228.3390134674066</v>
      </c>
    </row>
    <row r="51" spans="1:46">
      <c r="A51">
        <v>26</v>
      </c>
      <c r="B51">
        <f t="shared" si="5"/>
        <v>2046</v>
      </c>
      <c r="C51" s="18">
        <f t="shared" si="17"/>
        <v>71.327837325170691</v>
      </c>
      <c r="D51" s="18">
        <f t="shared" si="18"/>
        <v>64.201608598617426</v>
      </c>
      <c r="E51" s="18">
        <f t="shared" si="19"/>
        <v>66.161297573810131</v>
      </c>
      <c r="F51" s="18">
        <f t="shared" si="20"/>
        <v>68.384092288067535</v>
      </c>
      <c r="G51" s="18">
        <f t="shared" si="21"/>
        <v>69.58688893739496</v>
      </c>
      <c r="H51" s="18">
        <f t="shared" si="22"/>
        <v>72.148097689979721</v>
      </c>
      <c r="I51" s="18">
        <f t="shared" si="23"/>
        <v>74.888532446394493</v>
      </c>
      <c r="J51" s="18">
        <f t="shared" si="24"/>
        <v>77.778896030314613</v>
      </c>
      <c r="L51">
        <f>'Learning curve parameters'!D55</f>
        <v>0.05</v>
      </c>
      <c r="M51">
        <f>'Learning curve parameters'!E55</f>
        <v>0.05</v>
      </c>
      <c r="N51">
        <f>'Learning curve parameters'!F55</f>
        <v>0.05</v>
      </c>
      <c r="O51">
        <f>'Learning curve parameters'!G55</f>
        <v>0.05</v>
      </c>
      <c r="P51">
        <f>'Learning curve parameters'!H55</f>
        <v>0.05</v>
      </c>
      <c r="Q51">
        <f>'Learning curve parameters'!I55</f>
        <v>0.05</v>
      </c>
      <c r="R51">
        <f>'Learning curve parameters'!J55</f>
        <v>0.05</v>
      </c>
      <c r="S51">
        <f>'Learning curve parameters'!K55</f>
        <v>0.05</v>
      </c>
      <c r="U51" s="16">
        <f t="shared" si="25"/>
        <v>124062.24036020807</v>
      </c>
      <c r="V51" s="16">
        <f t="shared" si="26"/>
        <v>124062.24036020807</v>
      </c>
      <c r="W51" s="16">
        <f t="shared" si="27"/>
        <v>124062.24036020807</v>
      </c>
      <c r="X51" s="16">
        <f t="shared" si="28"/>
        <v>124062.24036020807</v>
      </c>
      <c r="Y51" s="16">
        <f t="shared" si="29"/>
        <v>124062.24036020807</v>
      </c>
      <c r="Z51" s="16">
        <f t="shared" si="30"/>
        <v>124062.24036020807</v>
      </c>
      <c r="AA51" s="16">
        <f t="shared" si="31"/>
        <v>124062.24036020807</v>
      </c>
      <c r="AB51" s="16">
        <f t="shared" si="32"/>
        <v>124062.24036020807</v>
      </c>
      <c r="AD51" s="12">
        <f>'Learning curve parameters'!M55</f>
        <v>0.01</v>
      </c>
      <c r="AE51" s="12">
        <f>'Learning curve parameters'!N55</f>
        <v>0.01</v>
      </c>
      <c r="AF51" s="12">
        <f>'Learning curve parameters'!O55</f>
        <v>0.01</v>
      </c>
      <c r="AG51" s="12">
        <f>'Learning curve parameters'!P55</f>
        <v>0.01</v>
      </c>
      <c r="AH51" s="12">
        <f>'Learning curve parameters'!Q55</f>
        <v>0.01</v>
      </c>
      <c r="AI51" s="12">
        <f>'Learning curve parameters'!R55</f>
        <v>0.01</v>
      </c>
      <c r="AJ51" s="12">
        <f>'Learning curve parameters'!S55</f>
        <v>0.01</v>
      </c>
      <c r="AK51" s="12">
        <f>'Learning curve parameters'!T55</f>
        <v>0.01</v>
      </c>
      <c r="AM51" s="21">
        <f t="shared" si="9"/>
        <v>1240.6224036020808</v>
      </c>
      <c r="AN51" s="21">
        <f t="shared" si="10"/>
        <v>1240.6224036020808</v>
      </c>
      <c r="AO51" s="21">
        <f t="shared" si="11"/>
        <v>1240.6224036020808</v>
      </c>
      <c r="AP51" s="21">
        <f t="shared" si="12"/>
        <v>1240.6224036020808</v>
      </c>
      <c r="AQ51" s="21">
        <f t="shared" si="13"/>
        <v>1240.6224036020808</v>
      </c>
      <c r="AR51" s="21">
        <f t="shared" si="14"/>
        <v>1240.6224036020808</v>
      </c>
      <c r="AS51" s="21">
        <f t="shared" si="15"/>
        <v>1240.6224036020808</v>
      </c>
      <c r="AT51" s="21">
        <f t="shared" si="16"/>
        <v>1240.6224036020808</v>
      </c>
    </row>
    <row r="52" spans="1:46">
      <c r="A52">
        <v>27</v>
      </c>
      <c r="B52">
        <f t="shared" si="5"/>
        <v>2047</v>
      </c>
      <c r="C52" s="18">
        <f t="shared" si="17"/>
        <v>71.332685986302749</v>
      </c>
      <c r="D52" s="18">
        <f t="shared" si="18"/>
        <v>64.206457259749484</v>
      </c>
      <c r="E52" s="18">
        <f t="shared" si="19"/>
        <v>66.16614623494219</v>
      </c>
      <c r="F52" s="18">
        <f t="shared" si="20"/>
        <v>68.388940949199593</v>
      </c>
      <c r="G52" s="18">
        <f t="shared" si="21"/>
        <v>69.591737598527018</v>
      </c>
      <c r="H52" s="18">
        <f t="shared" si="22"/>
        <v>72.15294635111178</v>
      </c>
      <c r="I52" s="18">
        <f t="shared" si="23"/>
        <v>74.893381107526551</v>
      </c>
      <c r="J52" s="18">
        <f t="shared" si="24"/>
        <v>77.783744691446671</v>
      </c>
      <c r="L52">
        <f>'Learning curve parameters'!D56</f>
        <v>0.05</v>
      </c>
      <c r="M52">
        <f>'Learning curve parameters'!E56</f>
        <v>0.05</v>
      </c>
      <c r="N52">
        <f>'Learning curve parameters'!F56</f>
        <v>0.05</v>
      </c>
      <c r="O52">
        <f>'Learning curve parameters'!G56</f>
        <v>0.05</v>
      </c>
      <c r="P52">
        <f>'Learning curve parameters'!H56</f>
        <v>0.05</v>
      </c>
      <c r="Q52">
        <f>'Learning curve parameters'!I56</f>
        <v>0.05</v>
      </c>
      <c r="R52">
        <f>'Learning curve parameters'!J56</f>
        <v>0.05</v>
      </c>
      <c r="S52">
        <f>'Learning curve parameters'!K56</f>
        <v>0.05</v>
      </c>
      <c r="U52" s="16">
        <f t="shared" si="25"/>
        <v>125302.86276381016</v>
      </c>
      <c r="V52" s="16">
        <f t="shared" si="26"/>
        <v>125302.86276381016</v>
      </c>
      <c r="W52" s="16">
        <f t="shared" si="27"/>
        <v>125302.86276381016</v>
      </c>
      <c r="X52" s="16">
        <f t="shared" si="28"/>
        <v>125302.86276381016</v>
      </c>
      <c r="Y52" s="16">
        <f t="shared" si="29"/>
        <v>125302.86276381016</v>
      </c>
      <c r="Z52" s="16">
        <f t="shared" si="30"/>
        <v>125302.86276381016</v>
      </c>
      <c r="AA52" s="16">
        <f t="shared" si="31"/>
        <v>125302.86276381016</v>
      </c>
      <c r="AB52" s="16">
        <f t="shared" si="32"/>
        <v>125302.86276381016</v>
      </c>
      <c r="AD52" s="12">
        <f>'Learning curve parameters'!M56</f>
        <v>0.01</v>
      </c>
      <c r="AE52" s="12">
        <f>'Learning curve parameters'!N56</f>
        <v>0.01</v>
      </c>
      <c r="AF52" s="12">
        <f>'Learning curve parameters'!O56</f>
        <v>0.01</v>
      </c>
      <c r="AG52" s="12">
        <f>'Learning curve parameters'!P56</f>
        <v>0.01</v>
      </c>
      <c r="AH52" s="12">
        <f>'Learning curve parameters'!Q56</f>
        <v>0.01</v>
      </c>
      <c r="AI52" s="12">
        <f>'Learning curve parameters'!R56</f>
        <v>0.01</v>
      </c>
      <c r="AJ52" s="12">
        <f>'Learning curve parameters'!S56</f>
        <v>0.01</v>
      </c>
      <c r="AK52" s="12">
        <f>'Learning curve parameters'!T56</f>
        <v>0.01</v>
      </c>
      <c r="AM52" s="21">
        <f t="shared" si="9"/>
        <v>1253.0286276381016</v>
      </c>
      <c r="AN52" s="21">
        <f t="shared" si="10"/>
        <v>1253.0286276381016</v>
      </c>
      <c r="AO52" s="21">
        <f t="shared" si="11"/>
        <v>1253.0286276381016</v>
      </c>
      <c r="AP52" s="21">
        <f t="shared" si="12"/>
        <v>1253.0286276381016</v>
      </c>
      <c r="AQ52" s="21">
        <f t="shared" si="13"/>
        <v>1253.0286276381016</v>
      </c>
      <c r="AR52" s="21">
        <f t="shared" si="14"/>
        <v>1253.0286276381016</v>
      </c>
      <c r="AS52" s="21">
        <f t="shared" si="15"/>
        <v>1253.0286276381016</v>
      </c>
      <c r="AT52" s="21">
        <f t="shared" si="16"/>
        <v>1253.0286276381016</v>
      </c>
    </row>
    <row r="53" spans="1:46">
      <c r="A53">
        <v>28</v>
      </c>
      <c r="B53">
        <f t="shared" si="5"/>
        <v>2048</v>
      </c>
      <c r="C53" s="18">
        <f t="shared" si="17"/>
        <v>71.337534647434808</v>
      </c>
      <c r="D53" s="18">
        <f t="shared" si="18"/>
        <v>64.211305920881543</v>
      </c>
      <c r="E53" s="18">
        <f t="shared" si="19"/>
        <v>66.170994896074248</v>
      </c>
      <c r="F53" s="18">
        <f t="shared" si="20"/>
        <v>68.393789610331652</v>
      </c>
      <c r="G53" s="18">
        <f t="shared" si="21"/>
        <v>69.596586259659077</v>
      </c>
      <c r="H53" s="18">
        <f t="shared" si="22"/>
        <v>72.157795012243838</v>
      </c>
      <c r="I53" s="18">
        <f t="shared" si="23"/>
        <v>74.898229768658609</v>
      </c>
      <c r="J53" s="18">
        <f t="shared" si="24"/>
        <v>77.788593352578729</v>
      </c>
      <c r="L53">
        <f>'Learning curve parameters'!D57</f>
        <v>0.05</v>
      </c>
      <c r="M53">
        <f>'Learning curve parameters'!E57</f>
        <v>0.05</v>
      </c>
      <c r="N53">
        <f>'Learning curve parameters'!F57</f>
        <v>0.05</v>
      </c>
      <c r="O53">
        <f>'Learning curve parameters'!G57</f>
        <v>0.05</v>
      </c>
      <c r="P53">
        <f>'Learning curve parameters'!H57</f>
        <v>0.05</v>
      </c>
      <c r="Q53">
        <f>'Learning curve parameters'!I57</f>
        <v>0.05</v>
      </c>
      <c r="R53">
        <f>'Learning curve parameters'!J57</f>
        <v>0.05</v>
      </c>
      <c r="S53">
        <f>'Learning curve parameters'!K57</f>
        <v>0.05</v>
      </c>
      <c r="U53" s="16">
        <f t="shared" si="25"/>
        <v>126555.89139144827</v>
      </c>
      <c r="V53" s="16">
        <f t="shared" si="26"/>
        <v>126555.89139144827</v>
      </c>
      <c r="W53" s="16">
        <f t="shared" si="27"/>
        <v>126555.89139144827</v>
      </c>
      <c r="X53" s="16">
        <f t="shared" si="28"/>
        <v>126555.89139144827</v>
      </c>
      <c r="Y53" s="16">
        <f t="shared" si="29"/>
        <v>126555.89139144827</v>
      </c>
      <c r="Z53" s="16">
        <f t="shared" si="30"/>
        <v>126555.89139144827</v>
      </c>
      <c r="AA53" s="16">
        <f t="shared" si="31"/>
        <v>126555.89139144827</v>
      </c>
      <c r="AB53" s="16">
        <f t="shared" si="32"/>
        <v>126555.89139144827</v>
      </c>
      <c r="AD53" s="12">
        <f>'Learning curve parameters'!M57</f>
        <v>0.01</v>
      </c>
      <c r="AE53" s="12">
        <f>'Learning curve parameters'!N57</f>
        <v>0.01</v>
      </c>
      <c r="AF53" s="12">
        <f>'Learning curve parameters'!O57</f>
        <v>0.01</v>
      </c>
      <c r="AG53" s="12">
        <f>'Learning curve parameters'!P57</f>
        <v>0.01</v>
      </c>
      <c r="AH53" s="12">
        <f>'Learning curve parameters'!Q57</f>
        <v>0.01</v>
      </c>
      <c r="AI53" s="12">
        <f>'Learning curve parameters'!R57</f>
        <v>0.01</v>
      </c>
      <c r="AJ53" s="12">
        <f>'Learning curve parameters'!S57</f>
        <v>0.01</v>
      </c>
      <c r="AK53" s="12">
        <f>'Learning curve parameters'!T57</f>
        <v>0.01</v>
      </c>
      <c r="AM53" s="21">
        <f t="shared" si="9"/>
        <v>1265.5589139144827</v>
      </c>
      <c r="AN53" s="21">
        <f t="shared" si="10"/>
        <v>1265.5589139144827</v>
      </c>
      <c r="AO53" s="21">
        <f t="shared" si="11"/>
        <v>1265.5589139144827</v>
      </c>
      <c r="AP53" s="21">
        <f t="shared" si="12"/>
        <v>1265.5589139144827</v>
      </c>
      <c r="AQ53" s="21">
        <f t="shared" si="13"/>
        <v>1265.5589139144827</v>
      </c>
      <c r="AR53" s="21">
        <f t="shared" si="14"/>
        <v>1265.5589139144827</v>
      </c>
      <c r="AS53" s="21">
        <f t="shared" si="15"/>
        <v>1265.5589139144827</v>
      </c>
      <c r="AT53" s="21">
        <f t="shared" si="16"/>
        <v>1265.5589139144827</v>
      </c>
    </row>
    <row r="54" spans="1:46">
      <c r="A54">
        <v>29</v>
      </c>
      <c r="B54">
        <f t="shared" si="5"/>
        <v>2049</v>
      </c>
      <c r="C54" s="18">
        <f t="shared" si="17"/>
        <v>71.342383308566866</v>
      </c>
      <c r="D54" s="18">
        <f t="shared" si="18"/>
        <v>64.216154582013601</v>
      </c>
      <c r="E54" s="18">
        <f t="shared" si="19"/>
        <v>66.175843557206306</v>
      </c>
      <c r="F54" s="18">
        <f t="shared" si="20"/>
        <v>68.39863827146371</v>
      </c>
      <c r="G54" s="18">
        <f t="shared" si="21"/>
        <v>69.601434920791135</v>
      </c>
      <c r="H54" s="18">
        <f t="shared" si="22"/>
        <v>72.162643673375896</v>
      </c>
      <c r="I54" s="18">
        <f t="shared" si="23"/>
        <v>74.903078429790668</v>
      </c>
      <c r="J54" s="18">
        <f t="shared" si="24"/>
        <v>77.793442013710788</v>
      </c>
      <c r="L54">
        <f>'Learning curve parameters'!D58</f>
        <v>0.05</v>
      </c>
      <c r="M54">
        <f>'Learning curve parameters'!E58</f>
        <v>0.05</v>
      </c>
      <c r="N54">
        <f>'Learning curve parameters'!F58</f>
        <v>0.05</v>
      </c>
      <c r="O54">
        <f>'Learning curve parameters'!G58</f>
        <v>0.05</v>
      </c>
      <c r="P54">
        <f>'Learning curve parameters'!H58</f>
        <v>0.05</v>
      </c>
      <c r="Q54">
        <f>'Learning curve parameters'!I58</f>
        <v>0.05</v>
      </c>
      <c r="R54">
        <f>'Learning curve parameters'!J58</f>
        <v>0.05</v>
      </c>
      <c r="S54">
        <f>'Learning curve parameters'!K58</f>
        <v>0.05</v>
      </c>
      <c r="U54" s="16">
        <f t="shared" si="25"/>
        <v>127821.45030536276</v>
      </c>
      <c r="V54" s="16">
        <f t="shared" si="26"/>
        <v>127821.45030536276</v>
      </c>
      <c r="W54" s="16">
        <f t="shared" si="27"/>
        <v>127821.45030536276</v>
      </c>
      <c r="X54" s="16">
        <f t="shared" si="28"/>
        <v>127821.45030536276</v>
      </c>
      <c r="Y54" s="16">
        <f t="shared" si="29"/>
        <v>127821.45030536276</v>
      </c>
      <c r="Z54" s="16">
        <f t="shared" si="30"/>
        <v>127821.45030536276</v>
      </c>
      <c r="AA54" s="16">
        <f t="shared" si="31"/>
        <v>127821.45030536276</v>
      </c>
      <c r="AB54" s="16">
        <f t="shared" si="32"/>
        <v>127821.45030536276</v>
      </c>
      <c r="AD54" s="12">
        <f>'Learning curve parameters'!M58</f>
        <v>0.01</v>
      </c>
      <c r="AE54" s="12">
        <f>'Learning curve parameters'!N58</f>
        <v>0.01</v>
      </c>
      <c r="AF54" s="12">
        <f>'Learning curve parameters'!O58</f>
        <v>0.01</v>
      </c>
      <c r="AG54" s="12">
        <f>'Learning curve parameters'!P58</f>
        <v>0.01</v>
      </c>
      <c r="AH54" s="12">
        <f>'Learning curve parameters'!Q58</f>
        <v>0.01</v>
      </c>
      <c r="AI54" s="12">
        <f>'Learning curve parameters'!R58</f>
        <v>0.01</v>
      </c>
      <c r="AJ54" s="12">
        <f>'Learning curve parameters'!S58</f>
        <v>0.01</v>
      </c>
      <c r="AK54" s="12">
        <f>'Learning curve parameters'!T58</f>
        <v>0.01</v>
      </c>
      <c r="AM54" s="21">
        <f t="shared" si="9"/>
        <v>1278.2145030536276</v>
      </c>
      <c r="AN54" s="21">
        <f t="shared" si="10"/>
        <v>1278.2145030536276</v>
      </c>
      <c r="AO54" s="21">
        <f t="shared" si="11"/>
        <v>1278.2145030536276</v>
      </c>
      <c r="AP54" s="21">
        <f t="shared" si="12"/>
        <v>1278.2145030536276</v>
      </c>
      <c r="AQ54" s="21">
        <f t="shared" si="13"/>
        <v>1278.2145030536276</v>
      </c>
      <c r="AR54" s="21">
        <f t="shared" si="14"/>
        <v>1278.2145030536276</v>
      </c>
      <c r="AS54" s="21">
        <f t="shared" si="15"/>
        <v>1278.2145030536276</v>
      </c>
      <c r="AT54" s="21">
        <f t="shared" si="16"/>
        <v>1278.2145030536276</v>
      </c>
    </row>
    <row r="55" spans="1:46">
      <c r="A55">
        <v>30</v>
      </c>
      <c r="B55">
        <f t="shared" si="5"/>
        <v>2050</v>
      </c>
      <c r="C55" s="18">
        <f t="shared" si="17"/>
        <v>71.347231969698925</v>
      </c>
      <c r="D55" s="18">
        <f t="shared" si="18"/>
        <v>64.22100324314566</v>
      </c>
      <c r="E55" s="18">
        <f t="shared" si="19"/>
        <v>66.180692218338365</v>
      </c>
      <c r="F55" s="18">
        <f t="shared" si="20"/>
        <v>68.403486932595769</v>
      </c>
      <c r="G55" s="18">
        <f t="shared" si="21"/>
        <v>69.606283581923194</v>
      </c>
      <c r="H55" s="18">
        <f t="shared" si="22"/>
        <v>72.167492334507955</v>
      </c>
      <c r="I55" s="18">
        <f t="shared" si="23"/>
        <v>74.907927090922726</v>
      </c>
      <c r="J55" s="18">
        <f t="shared" si="24"/>
        <v>77.798290674842846</v>
      </c>
      <c r="L55">
        <f>'Learning curve parameters'!D59</f>
        <v>0.05</v>
      </c>
      <c r="M55">
        <f>'Learning curve parameters'!E59</f>
        <v>0.05</v>
      </c>
      <c r="N55">
        <f>'Learning curve parameters'!F59</f>
        <v>0.05</v>
      </c>
      <c r="O55">
        <f>'Learning curve parameters'!G59</f>
        <v>0.05</v>
      </c>
      <c r="P55">
        <f>'Learning curve parameters'!H59</f>
        <v>0.05</v>
      </c>
      <c r="Q55">
        <f>'Learning curve parameters'!I59</f>
        <v>0.05</v>
      </c>
      <c r="R55">
        <f>'Learning curve parameters'!J59</f>
        <v>0.05</v>
      </c>
      <c r="S55">
        <f>'Learning curve parameters'!K59</f>
        <v>0.05</v>
      </c>
      <c r="U55" s="16">
        <f t="shared" si="25"/>
        <v>129099.66480841639</v>
      </c>
      <c r="V55" s="16">
        <f t="shared" si="26"/>
        <v>129099.66480841639</v>
      </c>
      <c r="W55" s="16">
        <f t="shared" si="27"/>
        <v>129099.66480841639</v>
      </c>
      <c r="X55" s="16">
        <f t="shared" si="28"/>
        <v>129099.66480841639</v>
      </c>
      <c r="Y55" s="16">
        <f t="shared" si="29"/>
        <v>129099.66480841639</v>
      </c>
      <c r="Z55" s="16">
        <f t="shared" si="30"/>
        <v>129099.66480841639</v>
      </c>
      <c r="AA55" s="16">
        <f t="shared" si="31"/>
        <v>129099.66480841639</v>
      </c>
      <c r="AB55" s="16">
        <f t="shared" si="32"/>
        <v>129099.66480841639</v>
      </c>
      <c r="AD55" s="12">
        <f>'Learning curve parameters'!M59</f>
        <v>0.01</v>
      </c>
      <c r="AE55" s="12">
        <f>'Learning curve parameters'!N59</f>
        <v>0.01</v>
      </c>
      <c r="AF55" s="12">
        <f>'Learning curve parameters'!O59</f>
        <v>0.01</v>
      </c>
      <c r="AG55" s="12">
        <f>'Learning curve parameters'!P59</f>
        <v>0.01</v>
      </c>
      <c r="AH55" s="12">
        <f>'Learning curve parameters'!Q59</f>
        <v>0.01</v>
      </c>
      <c r="AI55" s="12">
        <f>'Learning curve parameters'!R59</f>
        <v>0.01</v>
      </c>
      <c r="AJ55" s="12">
        <f>'Learning curve parameters'!S59</f>
        <v>0.01</v>
      </c>
      <c r="AK55" s="12">
        <f>'Learning curve parameters'!T59</f>
        <v>0.01</v>
      </c>
      <c r="AM55" s="21">
        <f t="shared" si="9"/>
        <v>1290.996648084164</v>
      </c>
      <c r="AN55" s="21">
        <f t="shared" si="10"/>
        <v>1290.996648084164</v>
      </c>
      <c r="AO55" s="21">
        <f t="shared" si="11"/>
        <v>1290.996648084164</v>
      </c>
      <c r="AP55" s="21">
        <f t="shared" si="12"/>
        <v>1290.996648084164</v>
      </c>
      <c r="AQ55" s="21">
        <f t="shared" si="13"/>
        <v>1290.996648084164</v>
      </c>
      <c r="AR55" s="21">
        <f t="shared" si="14"/>
        <v>1290.996648084164</v>
      </c>
      <c r="AS55" s="21">
        <f t="shared" si="15"/>
        <v>1290.996648084164</v>
      </c>
      <c r="AT55" s="21">
        <f t="shared" si="16"/>
        <v>1290.996648084164</v>
      </c>
    </row>
    <row r="56" spans="1:46">
      <c r="A56">
        <v>31</v>
      </c>
      <c r="B56">
        <f t="shared" si="5"/>
        <v>2051</v>
      </c>
      <c r="C56" s="18">
        <f t="shared" si="17"/>
        <v>71.352080630830983</v>
      </c>
      <c r="D56" s="18">
        <f t="shared" si="18"/>
        <v>64.225851904277718</v>
      </c>
      <c r="E56" s="18">
        <f t="shared" si="19"/>
        <v>66.185540879470423</v>
      </c>
      <c r="F56" s="18">
        <f t="shared" si="20"/>
        <v>68.408335593727827</v>
      </c>
      <c r="G56" s="18">
        <f t="shared" si="21"/>
        <v>69.611132243055252</v>
      </c>
      <c r="H56" s="18">
        <f t="shared" si="22"/>
        <v>72.172340995640013</v>
      </c>
      <c r="I56" s="18">
        <f t="shared" si="23"/>
        <v>74.912775752054785</v>
      </c>
      <c r="J56" s="18">
        <f t="shared" si="24"/>
        <v>77.803139335974905</v>
      </c>
      <c r="L56">
        <f>'Learning curve parameters'!D60</f>
        <v>0.05</v>
      </c>
      <c r="M56">
        <f>'Learning curve parameters'!E60</f>
        <v>0.05</v>
      </c>
      <c r="N56">
        <f>'Learning curve parameters'!F60</f>
        <v>0.05</v>
      </c>
      <c r="O56">
        <f>'Learning curve parameters'!G60</f>
        <v>0.05</v>
      </c>
      <c r="P56">
        <f>'Learning curve parameters'!H60</f>
        <v>0.05</v>
      </c>
      <c r="Q56">
        <f>'Learning curve parameters'!I60</f>
        <v>0.05</v>
      </c>
      <c r="R56">
        <f>'Learning curve parameters'!J60</f>
        <v>0.05</v>
      </c>
      <c r="S56">
        <f>'Learning curve parameters'!K60</f>
        <v>0.05</v>
      </c>
      <c r="U56" s="16">
        <f t="shared" si="25"/>
        <v>130390.66145650056</v>
      </c>
      <c r="V56" s="16">
        <f t="shared" si="26"/>
        <v>130390.66145650056</v>
      </c>
      <c r="W56" s="16">
        <f t="shared" si="27"/>
        <v>130390.66145650056</v>
      </c>
      <c r="X56" s="16">
        <f t="shared" si="28"/>
        <v>130390.66145650056</v>
      </c>
      <c r="Y56" s="16">
        <f t="shared" si="29"/>
        <v>130390.66145650056</v>
      </c>
      <c r="Z56" s="16">
        <f t="shared" si="30"/>
        <v>130390.66145650056</v>
      </c>
      <c r="AA56" s="16">
        <f t="shared" si="31"/>
        <v>130390.66145650056</v>
      </c>
      <c r="AB56" s="16">
        <f t="shared" si="32"/>
        <v>130390.66145650056</v>
      </c>
      <c r="AD56" s="12">
        <f>'Learning curve parameters'!M60</f>
        <v>0.01</v>
      </c>
      <c r="AE56" s="12">
        <f>'Learning curve parameters'!N60</f>
        <v>0.01</v>
      </c>
      <c r="AF56" s="12">
        <f>'Learning curve parameters'!O60</f>
        <v>0.01</v>
      </c>
      <c r="AG56" s="12">
        <f>'Learning curve parameters'!P60</f>
        <v>0.01</v>
      </c>
      <c r="AH56" s="12">
        <f>'Learning curve parameters'!Q60</f>
        <v>0.01</v>
      </c>
      <c r="AI56" s="12">
        <f>'Learning curve parameters'!R60</f>
        <v>0.01</v>
      </c>
      <c r="AJ56" s="12">
        <f>'Learning curve parameters'!S60</f>
        <v>0.01</v>
      </c>
      <c r="AK56" s="12">
        <f>'Learning curve parameters'!T60</f>
        <v>0.01</v>
      </c>
      <c r="AM56" s="21">
        <f t="shared" si="9"/>
        <v>1303.9066145650056</v>
      </c>
      <c r="AN56" s="21">
        <f t="shared" si="10"/>
        <v>1303.9066145650056</v>
      </c>
      <c r="AO56" s="21">
        <f t="shared" si="11"/>
        <v>1303.9066145650056</v>
      </c>
      <c r="AP56" s="21">
        <f t="shared" si="12"/>
        <v>1303.9066145650056</v>
      </c>
      <c r="AQ56" s="21">
        <f t="shared" si="13"/>
        <v>1303.9066145650056</v>
      </c>
      <c r="AR56" s="21">
        <f t="shared" si="14"/>
        <v>1303.9066145650056</v>
      </c>
      <c r="AS56" s="21">
        <f t="shared" si="15"/>
        <v>1303.9066145650056</v>
      </c>
      <c r="AT56" s="21">
        <f t="shared" si="16"/>
        <v>1303.9066145650056</v>
      </c>
    </row>
    <row r="57" spans="1:46">
      <c r="A57">
        <v>32</v>
      </c>
      <c r="B57">
        <f t="shared" ref="B57:B88" si="33">A57+C$19</f>
        <v>2052</v>
      </c>
      <c r="C57" s="18">
        <f t="shared" si="17"/>
        <v>71.356929291963041</v>
      </c>
      <c r="D57" s="18">
        <f t="shared" si="18"/>
        <v>64.230700565409776</v>
      </c>
      <c r="E57" s="18">
        <f t="shared" si="19"/>
        <v>66.190389540602482</v>
      </c>
      <c r="F57" s="18">
        <f t="shared" si="20"/>
        <v>68.413184254859885</v>
      </c>
      <c r="G57" s="18">
        <f t="shared" si="21"/>
        <v>69.61598090418731</v>
      </c>
      <c r="H57" s="18">
        <f t="shared" si="22"/>
        <v>72.177189656772072</v>
      </c>
      <c r="I57" s="18">
        <f t="shared" si="23"/>
        <v>74.917624413186843</v>
      </c>
      <c r="J57" s="18">
        <f t="shared" si="24"/>
        <v>77.807987997106963</v>
      </c>
      <c r="L57">
        <f>'Learning curve parameters'!D61</f>
        <v>0.05</v>
      </c>
      <c r="M57">
        <f>'Learning curve parameters'!E61</f>
        <v>0.05</v>
      </c>
      <c r="N57">
        <f>'Learning curve parameters'!F61</f>
        <v>0.05</v>
      </c>
      <c r="O57">
        <f>'Learning curve parameters'!G61</f>
        <v>0.05</v>
      </c>
      <c r="P57">
        <f>'Learning curve parameters'!H61</f>
        <v>0.05</v>
      </c>
      <c r="Q57">
        <f>'Learning curve parameters'!I61</f>
        <v>0.05</v>
      </c>
      <c r="R57">
        <f>'Learning curve parameters'!J61</f>
        <v>0.05</v>
      </c>
      <c r="S57">
        <f>'Learning curve parameters'!K61</f>
        <v>0.05</v>
      </c>
      <c r="U57" s="16">
        <f t="shared" si="25"/>
        <v>131694.56807106556</v>
      </c>
      <c r="V57" s="16">
        <f t="shared" si="26"/>
        <v>131694.56807106556</v>
      </c>
      <c r="W57" s="16">
        <f t="shared" si="27"/>
        <v>131694.56807106556</v>
      </c>
      <c r="X57" s="16">
        <f t="shared" si="28"/>
        <v>131694.56807106556</v>
      </c>
      <c r="Y57" s="16">
        <f t="shared" si="29"/>
        <v>131694.56807106556</v>
      </c>
      <c r="Z57" s="16">
        <f t="shared" si="30"/>
        <v>131694.56807106556</v>
      </c>
      <c r="AA57" s="16">
        <f t="shared" si="31"/>
        <v>131694.56807106556</v>
      </c>
      <c r="AB57" s="16">
        <f t="shared" si="32"/>
        <v>131694.56807106556</v>
      </c>
      <c r="AD57" s="12">
        <f>'Learning curve parameters'!M61</f>
        <v>0.01</v>
      </c>
      <c r="AE57" s="12">
        <f>'Learning curve parameters'!N61</f>
        <v>0.01</v>
      </c>
      <c r="AF57" s="12">
        <f>'Learning curve parameters'!O61</f>
        <v>0.01</v>
      </c>
      <c r="AG57" s="12">
        <f>'Learning curve parameters'!P61</f>
        <v>0.01</v>
      </c>
      <c r="AH57" s="12">
        <f>'Learning curve parameters'!Q61</f>
        <v>0.01</v>
      </c>
      <c r="AI57" s="12">
        <f>'Learning curve parameters'!R61</f>
        <v>0.01</v>
      </c>
      <c r="AJ57" s="12">
        <f>'Learning curve parameters'!S61</f>
        <v>0.01</v>
      </c>
      <c r="AK57" s="12">
        <f>'Learning curve parameters'!T61</f>
        <v>0.01</v>
      </c>
      <c r="AM57" s="21">
        <f t="shared" si="9"/>
        <v>1316.9456807106556</v>
      </c>
      <c r="AN57" s="21">
        <f t="shared" si="10"/>
        <v>1316.9456807106556</v>
      </c>
      <c r="AO57" s="21">
        <f t="shared" si="11"/>
        <v>1316.9456807106556</v>
      </c>
      <c r="AP57" s="21">
        <f t="shared" si="12"/>
        <v>1316.9456807106556</v>
      </c>
      <c r="AQ57" s="21">
        <f t="shared" si="13"/>
        <v>1316.9456807106556</v>
      </c>
      <c r="AR57" s="21">
        <f t="shared" si="14"/>
        <v>1316.9456807106556</v>
      </c>
      <c r="AS57" s="21">
        <f t="shared" si="15"/>
        <v>1316.9456807106556</v>
      </c>
      <c r="AT57" s="21">
        <f t="shared" si="16"/>
        <v>1316.9456807106556</v>
      </c>
    </row>
    <row r="58" spans="1:46">
      <c r="A58">
        <v>33</v>
      </c>
      <c r="B58">
        <f t="shared" si="33"/>
        <v>2053</v>
      </c>
      <c r="C58" s="18">
        <f t="shared" si="17"/>
        <v>71.3617779530951</v>
      </c>
      <c r="D58" s="18">
        <f t="shared" si="18"/>
        <v>64.235549226541835</v>
      </c>
      <c r="E58" s="18">
        <f t="shared" si="19"/>
        <v>66.19523820173454</v>
      </c>
      <c r="F58" s="18">
        <f t="shared" si="20"/>
        <v>68.418032915991944</v>
      </c>
      <c r="G58" s="18">
        <f t="shared" si="21"/>
        <v>69.620829565319369</v>
      </c>
      <c r="H58" s="18">
        <f t="shared" si="22"/>
        <v>72.18203831790413</v>
      </c>
      <c r="I58" s="18">
        <f t="shared" si="23"/>
        <v>74.922473074318901</v>
      </c>
      <c r="J58" s="18">
        <f t="shared" si="24"/>
        <v>77.812836658239021</v>
      </c>
      <c r="L58">
        <f>'Learning curve parameters'!D62</f>
        <v>0.05</v>
      </c>
      <c r="M58">
        <f>'Learning curve parameters'!E62</f>
        <v>0.05</v>
      </c>
      <c r="N58">
        <f>'Learning curve parameters'!F62</f>
        <v>0.05</v>
      </c>
      <c r="O58">
        <f>'Learning curve parameters'!G62</f>
        <v>0.05</v>
      </c>
      <c r="P58">
        <f>'Learning curve parameters'!H62</f>
        <v>0.05</v>
      </c>
      <c r="Q58">
        <f>'Learning curve parameters'!I62</f>
        <v>0.05</v>
      </c>
      <c r="R58">
        <f>'Learning curve parameters'!J62</f>
        <v>0.05</v>
      </c>
      <c r="S58">
        <f>'Learning curve parameters'!K62</f>
        <v>0.05</v>
      </c>
      <c r="U58" s="16">
        <f t="shared" si="25"/>
        <v>133011.51375177622</v>
      </c>
      <c r="V58" s="16">
        <f t="shared" si="26"/>
        <v>133011.51375177622</v>
      </c>
      <c r="W58" s="16">
        <f t="shared" si="27"/>
        <v>133011.51375177622</v>
      </c>
      <c r="X58" s="16">
        <f t="shared" si="28"/>
        <v>133011.51375177622</v>
      </c>
      <c r="Y58" s="16">
        <f t="shared" si="29"/>
        <v>133011.51375177622</v>
      </c>
      <c r="Z58" s="16">
        <f t="shared" si="30"/>
        <v>133011.51375177622</v>
      </c>
      <c r="AA58" s="16">
        <f t="shared" si="31"/>
        <v>133011.51375177622</v>
      </c>
      <c r="AB58" s="16">
        <f t="shared" si="32"/>
        <v>133011.51375177622</v>
      </c>
      <c r="AD58" s="12">
        <f>'Learning curve parameters'!M62</f>
        <v>0.01</v>
      </c>
      <c r="AE58" s="12">
        <f>'Learning curve parameters'!N62</f>
        <v>0.01</v>
      </c>
      <c r="AF58" s="12">
        <f>'Learning curve parameters'!O62</f>
        <v>0.01</v>
      </c>
      <c r="AG58" s="12">
        <f>'Learning curve parameters'!P62</f>
        <v>0.01</v>
      </c>
      <c r="AH58" s="12">
        <f>'Learning curve parameters'!Q62</f>
        <v>0.01</v>
      </c>
      <c r="AI58" s="12">
        <f>'Learning curve parameters'!R62</f>
        <v>0.01</v>
      </c>
      <c r="AJ58" s="12">
        <f>'Learning curve parameters'!S62</f>
        <v>0.01</v>
      </c>
      <c r="AK58" s="12">
        <f>'Learning curve parameters'!T62</f>
        <v>0.01</v>
      </c>
      <c r="AM58" s="21">
        <f t="shared" si="9"/>
        <v>1330.1151375177622</v>
      </c>
      <c r="AN58" s="21">
        <f t="shared" si="10"/>
        <v>1330.1151375177622</v>
      </c>
      <c r="AO58" s="21">
        <f t="shared" si="11"/>
        <v>1330.1151375177622</v>
      </c>
      <c r="AP58" s="21">
        <f t="shared" si="12"/>
        <v>1330.1151375177622</v>
      </c>
      <c r="AQ58" s="21">
        <f t="shared" si="13"/>
        <v>1330.1151375177622</v>
      </c>
      <c r="AR58" s="21">
        <f t="shared" si="14"/>
        <v>1330.1151375177622</v>
      </c>
      <c r="AS58" s="21">
        <f t="shared" si="15"/>
        <v>1330.1151375177622</v>
      </c>
      <c r="AT58" s="21">
        <f t="shared" si="16"/>
        <v>1330.1151375177622</v>
      </c>
    </row>
    <row r="59" spans="1:46">
      <c r="A59">
        <v>34</v>
      </c>
      <c r="B59">
        <f t="shared" si="33"/>
        <v>2054</v>
      </c>
      <c r="C59" s="18">
        <f t="shared" si="17"/>
        <v>71.366626614227158</v>
      </c>
      <c r="D59" s="18">
        <f t="shared" si="18"/>
        <v>64.240397887673893</v>
      </c>
      <c r="E59" s="18">
        <f t="shared" si="19"/>
        <v>66.200086862866598</v>
      </c>
      <c r="F59" s="18">
        <f t="shared" si="20"/>
        <v>68.422881577124002</v>
      </c>
      <c r="G59" s="18">
        <f t="shared" si="21"/>
        <v>69.625678226451427</v>
      </c>
      <c r="H59" s="18">
        <f t="shared" si="22"/>
        <v>72.186886979036188</v>
      </c>
      <c r="I59" s="18">
        <f t="shared" si="23"/>
        <v>74.92732173545096</v>
      </c>
      <c r="J59" s="18">
        <f t="shared" si="24"/>
        <v>77.81768531937108</v>
      </c>
      <c r="L59">
        <f>'Learning curve parameters'!D63</f>
        <v>0.05</v>
      </c>
      <c r="M59">
        <f>'Learning curve parameters'!E63</f>
        <v>0.05</v>
      </c>
      <c r="N59">
        <f>'Learning curve parameters'!F63</f>
        <v>0.05</v>
      </c>
      <c r="O59">
        <f>'Learning curve parameters'!G63</f>
        <v>0.05</v>
      </c>
      <c r="P59">
        <f>'Learning curve parameters'!H63</f>
        <v>0.05</v>
      </c>
      <c r="Q59">
        <f>'Learning curve parameters'!I63</f>
        <v>0.05</v>
      </c>
      <c r="R59">
        <f>'Learning curve parameters'!J63</f>
        <v>0.05</v>
      </c>
      <c r="S59">
        <f>'Learning curve parameters'!K63</f>
        <v>0.05</v>
      </c>
      <c r="U59" s="16">
        <f t="shared" si="25"/>
        <v>134341.62888929399</v>
      </c>
      <c r="V59" s="16">
        <f t="shared" si="26"/>
        <v>134341.62888929399</v>
      </c>
      <c r="W59" s="16">
        <f t="shared" si="27"/>
        <v>134341.62888929399</v>
      </c>
      <c r="X59" s="16">
        <f t="shared" si="28"/>
        <v>134341.62888929399</v>
      </c>
      <c r="Y59" s="16">
        <f t="shared" si="29"/>
        <v>134341.62888929399</v>
      </c>
      <c r="Z59" s="16">
        <f t="shared" si="30"/>
        <v>134341.62888929399</v>
      </c>
      <c r="AA59" s="16">
        <f t="shared" si="31"/>
        <v>134341.62888929399</v>
      </c>
      <c r="AB59" s="16">
        <f t="shared" si="32"/>
        <v>134341.62888929399</v>
      </c>
      <c r="AD59" s="12">
        <f>'Learning curve parameters'!M63</f>
        <v>0.01</v>
      </c>
      <c r="AE59" s="12">
        <f>'Learning curve parameters'!N63</f>
        <v>0.01</v>
      </c>
      <c r="AF59" s="12">
        <f>'Learning curve parameters'!O63</f>
        <v>0.01</v>
      </c>
      <c r="AG59" s="12">
        <f>'Learning curve parameters'!P63</f>
        <v>0.01</v>
      </c>
      <c r="AH59" s="12">
        <f>'Learning curve parameters'!Q63</f>
        <v>0.01</v>
      </c>
      <c r="AI59" s="12">
        <f>'Learning curve parameters'!R63</f>
        <v>0.01</v>
      </c>
      <c r="AJ59" s="12">
        <f>'Learning curve parameters'!S63</f>
        <v>0.01</v>
      </c>
      <c r="AK59" s="12">
        <f>'Learning curve parameters'!T63</f>
        <v>0.01</v>
      </c>
      <c r="AM59" s="21">
        <f t="shared" si="9"/>
        <v>1343.41628889294</v>
      </c>
      <c r="AN59" s="21">
        <f t="shared" si="10"/>
        <v>1343.41628889294</v>
      </c>
      <c r="AO59" s="21">
        <f t="shared" si="11"/>
        <v>1343.41628889294</v>
      </c>
      <c r="AP59" s="21">
        <f t="shared" si="12"/>
        <v>1343.41628889294</v>
      </c>
      <c r="AQ59" s="21">
        <f t="shared" si="13"/>
        <v>1343.41628889294</v>
      </c>
      <c r="AR59" s="21">
        <f t="shared" si="14"/>
        <v>1343.41628889294</v>
      </c>
      <c r="AS59" s="21">
        <f t="shared" si="15"/>
        <v>1343.41628889294</v>
      </c>
      <c r="AT59" s="21">
        <f t="shared" si="16"/>
        <v>1343.41628889294</v>
      </c>
    </row>
    <row r="60" spans="1:46">
      <c r="A60">
        <v>35</v>
      </c>
      <c r="B60">
        <f t="shared" si="33"/>
        <v>2055</v>
      </c>
      <c r="C60" s="18">
        <f t="shared" si="17"/>
        <v>71.371475275359217</v>
      </c>
      <c r="D60" s="18">
        <f t="shared" si="18"/>
        <v>64.245246548805952</v>
      </c>
      <c r="E60" s="18">
        <f t="shared" si="19"/>
        <v>66.204935523998657</v>
      </c>
      <c r="F60" s="18">
        <f t="shared" si="20"/>
        <v>68.427730238256061</v>
      </c>
      <c r="G60" s="18">
        <f t="shared" si="21"/>
        <v>69.630526887583486</v>
      </c>
      <c r="H60" s="18">
        <f t="shared" si="22"/>
        <v>72.191735640168247</v>
      </c>
      <c r="I60" s="18">
        <f t="shared" si="23"/>
        <v>74.932170396583018</v>
      </c>
      <c r="J60" s="18">
        <f t="shared" si="24"/>
        <v>77.822533980503138</v>
      </c>
      <c r="L60">
        <f>'Learning curve parameters'!D64</f>
        <v>0.05</v>
      </c>
      <c r="M60">
        <f>'Learning curve parameters'!E64</f>
        <v>0.05</v>
      </c>
      <c r="N60">
        <f>'Learning curve parameters'!F64</f>
        <v>0.05</v>
      </c>
      <c r="O60">
        <f>'Learning curve parameters'!G64</f>
        <v>0.05</v>
      </c>
      <c r="P60">
        <f>'Learning curve parameters'!H64</f>
        <v>0.05</v>
      </c>
      <c r="Q60">
        <f>'Learning curve parameters'!I64</f>
        <v>0.05</v>
      </c>
      <c r="R60">
        <f>'Learning curve parameters'!J64</f>
        <v>0.05</v>
      </c>
      <c r="S60">
        <f>'Learning curve parameters'!K64</f>
        <v>0.05</v>
      </c>
      <c r="U60" s="16">
        <f t="shared" si="25"/>
        <v>135685.04517818693</v>
      </c>
      <c r="V60" s="16">
        <f t="shared" si="26"/>
        <v>135685.04517818693</v>
      </c>
      <c r="W60" s="16">
        <f t="shared" si="27"/>
        <v>135685.04517818693</v>
      </c>
      <c r="X60" s="16">
        <f t="shared" si="28"/>
        <v>135685.04517818693</v>
      </c>
      <c r="Y60" s="16">
        <f t="shared" si="29"/>
        <v>135685.04517818693</v>
      </c>
      <c r="Z60" s="16">
        <f t="shared" si="30"/>
        <v>135685.04517818693</v>
      </c>
      <c r="AA60" s="16">
        <f t="shared" si="31"/>
        <v>135685.04517818693</v>
      </c>
      <c r="AB60" s="16">
        <f t="shared" si="32"/>
        <v>135685.04517818693</v>
      </c>
      <c r="AD60" s="12">
        <f>'Learning curve parameters'!M64</f>
        <v>0.01</v>
      </c>
      <c r="AE60" s="12">
        <f>'Learning curve parameters'!N64</f>
        <v>0.01</v>
      </c>
      <c r="AF60" s="12">
        <f>'Learning curve parameters'!O64</f>
        <v>0.01</v>
      </c>
      <c r="AG60" s="12">
        <f>'Learning curve parameters'!P64</f>
        <v>0.01</v>
      </c>
      <c r="AH60" s="12">
        <f>'Learning curve parameters'!Q64</f>
        <v>0.01</v>
      </c>
      <c r="AI60" s="12">
        <f>'Learning curve parameters'!R64</f>
        <v>0.01</v>
      </c>
      <c r="AJ60" s="12">
        <f>'Learning curve parameters'!S64</f>
        <v>0.01</v>
      </c>
      <c r="AK60" s="12">
        <f>'Learning curve parameters'!T64</f>
        <v>0.01</v>
      </c>
      <c r="AM60" s="21">
        <f t="shared" si="9"/>
        <v>1356.8504517818694</v>
      </c>
      <c r="AN60" s="21">
        <f t="shared" si="10"/>
        <v>1356.8504517818694</v>
      </c>
      <c r="AO60" s="21">
        <f t="shared" si="11"/>
        <v>1356.8504517818694</v>
      </c>
      <c r="AP60" s="21">
        <f t="shared" si="12"/>
        <v>1356.8504517818694</v>
      </c>
      <c r="AQ60" s="21">
        <f t="shared" si="13"/>
        <v>1356.8504517818694</v>
      </c>
      <c r="AR60" s="21">
        <f t="shared" si="14"/>
        <v>1356.8504517818694</v>
      </c>
      <c r="AS60" s="21">
        <f t="shared" si="15"/>
        <v>1356.8504517818694</v>
      </c>
      <c r="AT60" s="21">
        <f t="shared" si="16"/>
        <v>1356.8504517818694</v>
      </c>
    </row>
    <row r="61" spans="1:46">
      <c r="A61">
        <v>36</v>
      </c>
      <c r="B61">
        <f t="shared" si="33"/>
        <v>2056</v>
      </c>
      <c r="C61" s="18">
        <f t="shared" si="17"/>
        <v>71.376323936491275</v>
      </c>
      <c r="D61" s="18">
        <f t="shared" si="18"/>
        <v>64.25009520993801</v>
      </c>
      <c r="E61" s="18">
        <f t="shared" si="19"/>
        <v>66.209784185130715</v>
      </c>
      <c r="F61" s="18">
        <f t="shared" si="20"/>
        <v>68.432578899388119</v>
      </c>
      <c r="G61" s="18">
        <f t="shared" si="21"/>
        <v>69.635375548715544</v>
      </c>
      <c r="H61" s="18">
        <f t="shared" si="22"/>
        <v>72.196584301300305</v>
      </c>
      <c r="I61" s="18">
        <f t="shared" si="23"/>
        <v>74.937019057715077</v>
      </c>
      <c r="J61" s="18">
        <f t="shared" si="24"/>
        <v>77.827382641635197</v>
      </c>
      <c r="L61">
        <f>'Learning curve parameters'!D65</f>
        <v>0.05</v>
      </c>
      <c r="M61">
        <f>'Learning curve parameters'!E65</f>
        <v>0.05</v>
      </c>
      <c r="N61">
        <f>'Learning curve parameters'!F65</f>
        <v>0.05</v>
      </c>
      <c r="O61">
        <f>'Learning curve parameters'!G65</f>
        <v>0.05</v>
      </c>
      <c r="P61">
        <f>'Learning curve parameters'!H65</f>
        <v>0.05</v>
      </c>
      <c r="Q61">
        <f>'Learning curve parameters'!I65</f>
        <v>0.05</v>
      </c>
      <c r="R61">
        <f>'Learning curve parameters'!J65</f>
        <v>0.05</v>
      </c>
      <c r="S61">
        <f>'Learning curve parameters'!K65</f>
        <v>0.05</v>
      </c>
      <c r="U61" s="16">
        <f t="shared" si="25"/>
        <v>137041.89562996881</v>
      </c>
      <c r="V61" s="16">
        <f t="shared" si="26"/>
        <v>137041.89562996881</v>
      </c>
      <c r="W61" s="16">
        <f t="shared" si="27"/>
        <v>137041.89562996881</v>
      </c>
      <c r="X61" s="16">
        <f t="shared" si="28"/>
        <v>137041.89562996881</v>
      </c>
      <c r="Y61" s="16">
        <f t="shared" si="29"/>
        <v>137041.89562996881</v>
      </c>
      <c r="Z61" s="16">
        <f t="shared" si="30"/>
        <v>137041.89562996881</v>
      </c>
      <c r="AA61" s="16">
        <f t="shared" si="31"/>
        <v>137041.89562996881</v>
      </c>
      <c r="AB61" s="16">
        <f t="shared" si="32"/>
        <v>137041.89562996881</v>
      </c>
      <c r="AD61" s="12">
        <f>'Learning curve parameters'!M65</f>
        <v>0.01</v>
      </c>
      <c r="AE61" s="12">
        <f>'Learning curve parameters'!N65</f>
        <v>0.01</v>
      </c>
      <c r="AF61" s="12">
        <f>'Learning curve parameters'!O65</f>
        <v>0.01</v>
      </c>
      <c r="AG61" s="12">
        <f>'Learning curve parameters'!P65</f>
        <v>0.01</v>
      </c>
      <c r="AH61" s="12">
        <f>'Learning curve parameters'!Q65</f>
        <v>0.01</v>
      </c>
      <c r="AI61" s="12">
        <f>'Learning curve parameters'!R65</f>
        <v>0.01</v>
      </c>
      <c r="AJ61" s="12">
        <f>'Learning curve parameters'!S65</f>
        <v>0.01</v>
      </c>
      <c r="AK61" s="12">
        <f>'Learning curve parameters'!T65</f>
        <v>0.01</v>
      </c>
      <c r="AM61" s="21">
        <f t="shared" si="9"/>
        <v>1370.4189562996883</v>
      </c>
      <c r="AN61" s="21">
        <f t="shared" si="10"/>
        <v>1370.4189562996883</v>
      </c>
      <c r="AO61" s="21">
        <f t="shared" si="11"/>
        <v>1370.4189562996883</v>
      </c>
      <c r="AP61" s="21">
        <f t="shared" si="12"/>
        <v>1370.4189562996883</v>
      </c>
      <c r="AQ61" s="21">
        <f t="shared" si="13"/>
        <v>1370.4189562996883</v>
      </c>
      <c r="AR61" s="21">
        <f t="shared" si="14"/>
        <v>1370.4189562996883</v>
      </c>
      <c r="AS61" s="21">
        <f t="shared" si="15"/>
        <v>1370.4189562996883</v>
      </c>
      <c r="AT61" s="21">
        <f t="shared" si="16"/>
        <v>1370.4189562996883</v>
      </c>
    </row>
    <row r="62" spans="1:46">
      <c r="A62">
        <v>37</v>
      </c>
      <c r="B62">
        <f t="shared" si="33"/>
        <v>2057</v>
      </c>
      <c r="C62" s="18">
        <f t="shared" si="17"/>
        <v>71.381172597623333</v>
      </c>
      <c r="D62" s="18">
        <f t="shared" si="18"/>
        <v>64.254943871070068</v>
      </c>
      <c r="E62" s="18">
        <f t="shared" si="19"/>
        <v>66.214632846262774</v>
      </c>
      <c r="F62" s="18">
        <f t="shared" si="20"/>
        <v>68.437427560520177</v>
      </c>
      <c r="G62" s="18">
        <f t="shared" si="21"/>
        <v>69.640224209847602</v>
      </c>
      <c r="H62" s="18">
        <f t="shared" si="22"/>
        <v>72.201432962432364</v>
      </c>
      <c r="I62" s="18">
        <f t="shared" si="23"/>
        <v>74.941867718847135</v>
      </c>
      <c r="J62" s="18">
        <f t="shared" si="24"/>
        <v>77.832231302767255</v>
      </c>
      <c r="L62">
        <f>'Learning curve parameters'!D66</f>
        <v>0.05</v>
      </c>
      <c r="M62">
        <f>'Learning curve parameters'!E66</f>
        <v>0.05</v>
      </c>
      <c r="N62">
        <f>'Learning curve parameters'!F66</f>
        <v>0.05</v>
      </c>
      <c r="O62">
        <f>'Learning curve parameters'!G66</f>
        <v>0.05</v>
      </c>
      <c r="P62">
        <f>'Learning curve parameters'!H66</f>
        <v>0.05</v>
      </c>
      <c r="Q62">
        <f>'Learning curve parameters'!I66</f>
        <v>0.05</v>
      </c>
      <c r="R62">
        <f>'Learning curve parameters'!J66</f>
        <v>0.05</v>
      </c>
      <c r="S62">
        <f>'Learning curve parameters'!K66</f>
        <v>0.05</v>
      </c>
      <c r="U62" s="16">
        <f t="shared" si="25"/>
        <v>138412.31458626851</v>
      </c>
      <c r="V62" s="16">
        <f t="shared" si="26"/>
        <v>138412.31458626851</v>
      </c>
      <c r="W62" s="16">
        <f t="shared" si="27"/>
        <v>138412.31458626851</v>
      </c>
      <c r="X62" s="16">
        <f t="shared" si="28"/>
        <v>138412.31458626851</v>
      </c>
      <c r="Y62" s="16">
        <f t="shared" si="29"/>
        <v>138412.31458626851</v>
      </c>
      <c r="Z62" s="16">
        <f t="shared" si="30"/>
        <v>138412.31458626851</v>
      </c>
      <c r="AA62" s="16">
        <f t="shared" si="31"/>
        <v>138412.31458626851</v>
      </c>
      <c r="AB62" s="16">
        <f t="shared" si="32"/>
        <v>138412.31458626851</v>
      </c>
      <c r="AD62" s="12">
        <f>'Learning curve parameters'!M66</f>
        <v>0.01</v>
      </c>
      <c r="AE62" s="12">
        <f>'Learning curve parameters'!N66</f>
        <v>0.01</v>
      </c>
      <c r="AF62" s="12">
        <f>'Learning curve parameters'!O66</f>
        <v>0.01</v>
      </c>
      <c r="AG62" s="12">
        <f>'Learning curve parameters'!P66</f>
        <v>0.01</v>
      </c>
      <c r="AH62" s="12">
        <f>'Learning curve parameters'!Q66</f>
        <v>0.01</v>
      </c>
      <c r="AI62" s="12">
        <f>'Learning curve parameters'!R66</f>
        <v>0.01</v>
      </c>
      <c r="AJ62" s="12">
        <f>'Learning curve parameters'!S66</f>
        <v>0.01</v>
      </c>
      <c r="AK62" s="12">
        <f>'Learning curve parameters'!T66</f>
        <v>0.01</v>
      </c>
      <c r="AM62" s="21">
        <f t="shared" si="9"/>
        <v>1384.1231458626851</v>
      </c>
      <c r="AN62" s="21">
        <f t="shared" si="10"/>
        <v>1384.1231458626851</v>
      </c>
      <c r="AO62" s="21">
        <f t="shared" si="11"/>
        <v>1384.1231458626851</v>
      </c>
      <c r="AP62" s="21">
        <f t="shared" si="12"/>
        <v>1384.1231458626851</v>
      </c>
      <c r="AQ62" s="21">
        <f t="shared" si="13"/>
        <v>1384.1231458626851</v>
      </c>
      <c r="AR62" s="21">
        <f t="shared" si="14"/>
        <v>1384.1231458626851</v>
      </c>
      <c r="AS62" s="21">
        <f t="shared" si="15"/>
        <v>1384.1231458626851</v>
      </c>
      <c r="AT62" s="21">
        <f t="shared" si="16"/>
        <v>1384.1231458626851</v>
      </c>
    </row>
    <row r="63" spans="1:46">
      <c r="A63">
        <v>38</v>
      </c>
      <c r="B63">
        <f t="shared" si="33"/>
        <v>2058</v>
      </c>
      <c r="C63" s="18">
        <f t="shared" si="17"/>
        <v>71.386021258755392</v>
      </c>
      <c r="D63" s="18">
        <f t="shared" si="18"/>
        <v>64.259792532202127</v>
      </c>
      <c r="E63" s="18">
        <f t="shared" si="19"/>
        <v>66.219481507394832</v>
      </c>
      <c r="F63" s="18">
        <f t="shared" si="20"/>
        <v>68.442276221652236</v>
      </c>
      <c r="G63" s="18">
        <f t="shared" si="21"/>
        <v>69.645072870979661</v>
      </c>
      <c r="H63" s="18">
        <f t="shared" si="22"/>
        <v>72.206281623564422</v>
      </c>
      <c r="I63" s="18">
        <f t="shared" si="23"/>
        <v>74.946716379979193</v>
      </c>
      <c r="J63" s="18">
        <f t="shared" si="24"/>
        <v>77.837079963899313</v>
      </c>
      <c r="L63">
        <f>'Learning curve parameters'!D67</f>
        <v>0.05</v>
      </c>
      <c r="M63">
        <f>'Learning curve parameters'!E67</f>
        <v>0.05</v>
      </c>
      <c r="N63">
        <f>'Learning curve parameters'!F67</f>
        <v>0.05</v>
      </c>
      <c r="O63">
        <f>'Learning curve parameters'!G67</f>
        <v>0.05</v>
      </c>
      <c r="P63">
        <f>'Learning curve parameters'!H67</f>
        <v>0.05</v>
      </c>
      <c r="Q63">
        <f>'Learning curve parameters'!I67</f>
        <v>0.05</v>
      </c>
      <c r="R63">
        <f>'Learning curve parameters'!J67</f>
        <v>0.05</v>
      </c>
      <c r="S63">
        <f>'Learning curve parameters'!K67</f>
        <v>0.05</v>
      </c>
      <c r="U63" s="16">
        <f t="shared" si="25"/>
        <v>139796.43773213119</v>
      </c>
      <c r="V63" s="16">
        <f t="shared" si="26"/>
        <v>139796.43773213119</v>
      </c>
      <c r="W63" s="16">
        <f t="shared" si="27"/>
        <v>139796.43773213119</v>
      </c>
      <c r="X63" s="16">
        <f t="shared" si="28"/>
        <v>139796.43773213119</v>
      </c>
      <c r="Y63" s="16">
        <f t="shared" si="29"/>
        <v>139796.43773213119</v>
      </c>
      <c r="Z63" s="16">
        <f t="shared" si="30"/>
        <v>139796.43773213119</v>
      </c>
      <c r="AA63" s="16">
        <f t="shared" si="31"/>
        <v>139796.43773213119</v>
      </c>
      <c r="AB63" s="16">
        <f t="shared" si="32"/>
        <v>139796.43773213119</v>
      </c>
      <c r="AD63" s="12">
        <f>'Learning curve parameters'!M67</f>
        <v>0.01</v>
      </c>
      <c r="AE63" s="12">
        <f>'Learning curve parameters'!N67</f>
        <v>0.01</v>
      </c>
      <c r="AF63" s="12">
        <f>'Learning curve parameters'!O67</f>
        <v>0.01</v>
      </c>
      <c r="AG63" s="12">
        <f>'Learning curve parameters'!P67</f>
        <v>0.01</v>
      </c>
      <c r="AH63" s="12">
        <f>'Learning curve parameters'!Q67</f>
        <v>0.01</v>
      </c>
      <c r="AI63" s="12">
        <f>'Learning curve parameters'!R67</f>
        <v>0.01</v>
      </c>
      <c r="AJ63" s="12">
        <f>'Learning curve parameters'!S67</f>
        <v>0.01</v>
      </c>
      <c r="AK63" s="12">
        <f>'Learning curve parameters'!T67</f>
        <v>0.01</v>
      </c>
      <c r="AM63" s="21">
        <f t="shared" si="9"/>
        <v>1397.964377321312</v>
      </c>
      <c r="AN63" s="21">
        <f t="shared" si="10"/>
        <v>1397.964377321312</v>
      </c>
      <c r="AO63" s="21">
        <f t="shared" si="11"/>
        <v>1397.964377321312</v>
      </c>
      <c r="AP63" s="21">
        <f t="shared" si="12"/>
        <v>1397.964377321312</v>
      </c>
      <c r="AQ63" s="21">
        <f t="shared" si="13"/>
        <v>1397.964377321312</v>
      </c>
      <c r="AR63" s="21">
        <f t="shared" si="14"/>
        <v>1397.964377321312</v>
      </c>
      <c r="AS63" s="21">
        <f t="shared" si="15"/>
        <v>1397.964377321312</v>
      </c>
      <c r="AT63" s="21">
        <f t="shared" si="16"/>
        <v>1397.964377321312</v>
      </c>
    </row>
    <row r="64" spans="1:46">
      <c r="A64">
        <v>39</v>
      </c>
      <c r="B64">
        <f t="shared" si="33"/>
        <v>2059</v>
      </c>
      <c r="C64" s="18">
        <f t="shared" si="17"/>
        <v>71.39086991988745</v>
      </c>
      <c r="D64" s="18">
        <f t="shared" si="18"/>
        <v>64.264641193334185</v>
      </c>
      <c r="E64" s="18">
        <f t="shared" si="19"/>
        <v>66.22433016852689</v>
      </c>
      <c r="F64" s="18">
        <f t="shared" si="20"/>
        <v>68.447124882784294</v>
      </c>
      <c r="G64" s="18">
        <f t="shared" si="21"/>
        <v>69.649921532111719</v>
      </c>
      <c r="H64" s="18">
        <f t="shared" si="22"/>
        <v>72.21113028469648</v>
      </c>
      <c r="I64" s="18">
        <f t="shared" si="23"/>
        <v>74.951565041111252</v>
      </c>
      <c r="J64" s="18">
        <f t="shared" si="24"/>
        <v>77.841928625031372</v>
      </c>
      <c r="L64">
        <f>'Learning curve parameters'!D68</f>
        <v>0.05</v>
      </c>
      <c r="M64">
        <f>'Learning curve parameters'!E68</f>
        <v>0.05</v>
      </c>
      <c r="N64">
        <f>'Learning curve parameters'!F68</f>
        <v>0.05</v>
      </c>
      <c r="O64">
        <f>'Learning curve parameters'!G68</f>
        <v>0.05</v>
      </c>
      <c r="P64">
        <f>'Learning curve parameters'!H68</f>
        <v>0.05</v>
      </c>
      <c r="Q64">
        <f>'Learning curve parameters'!I68</f>
        <v>0.05</v>
      </c>
      <c r="R64">
        <f>'Learning curve parameters'!J68</f>
        <v>0.05</v>
      </c>
      <c r="S64">
        <f>'Learning curve parameters'!K68</f>
        <v>0.05</v>
      </c>
      <c r="U64" s="16">
        <f t="shared" si="25"/>
        <v>141194.40210945249</v>
      </c>
      <c r="V64" s="16">
        <f t="shared" si="26"/>
        <v>141194.40210945249</v>
      </c>
      <c r="W64" s="16">
        <f t="shared" si="27"/>
        <v>141194.40210945249</v>
      </c>
      <c r="X64" s="16">
        <f t="shared" si="28"/>
        <v>141194.40210945249</v>
      </c>
      <c r="Y64" s="16">
        <f t="shared" si="29"/>
        <v>141194.40210945249</v>
      </c>
      <c r="Z64" s="16">
        <f t="shared" si="30"/>
        <v>141194.40210945249</v>
      </c>
      <c r="AA64" s="16">
        <f t="shared" si="31"/>
        <v>141194.40210945249</v>
      </c>
      <c r="AB64" s="16">
        <f t="shared" si="32"/>
        <v>141194.40210945249</v>
      </c>
      <c r="AD64" s="12">
        <f>'Learning curve parameters'!M68</f>
        <v>0.01</v>
      </c>
      <c r="AE64" s="12">
        <f>'Learning curve parameters'!N68</f>
        <v>0.01</v>
      </c>
      <c r="AF64" s="12">
        <f>'Learning curve parameters'!O68</f>
        <v>0.01</v>
      </c>
      <c r="AG64" s="12">
        <f>'Learning curve parameters'!P68</f>
        <v>0.01</v>
      </c>
      <c r="AH64" s="12">
        <f>'Learning curve parameters'!Q68</f>
        <v>0.01</v>
      </c>
      <c r="AI64" s="12">
        <f>'Learning curve parameters'!R68</f>
        <v>0.01</v>
      </c>
      <c r="AJ64" s="12">
        <f>'Learning curve parameters'!S68</f>
        <v>0.01</v>
      </c>
      <c r="AK64" s="12">
        <f>'Learning curve parameters'!T68</f>
        <v>0.01</v>
      </c>
      <c r="AM64" s="21">
        <f t="shared" si="9"/>
        <v>1411.9440210945249</v>
      </c>
      <c r="AN64" s="21">
        <f t="shared" si="10"/>
        <v>1411.9440210945249</v>
      </c>
      <c r="AO64" s="21">
        <f t="shared" si="11"/>
        <v>1411.9440210945249</v>
      </c>
      <c r="AP64" s="21">
        <f t="shared" si="12"/>
        <v>1411.9440210945249</v>
      </c>
      <c r="AQ64" s="21">
        <f t="shared" si="13"/>
        <v>1411.9440210945249</v>
      </c>
      <c r="AR64" s="21">
        <f t="shared" si="14"/>
        <v>1411.9440210945249</v>
      </c>
      <c r="AS64" s="21">
        <f t="shared" si="15"/>
        <v>1411.9440210945249</v>
      </c>
      <c r="AT64" s="21">
        <f t="shared" si="16"/>
        <v>1411.9440210945249</v>
      </c>
    </row>
    <row r="65" spans="1:46">
      <c r="A65">
        <v>40</v>
      </c>
      <c r="B65">
        <f t="shared" si="33"/>
        <v>2060</v>
      </c>
      <c r="C65" s="18">
        <f t="shared" si="17"/>
        <v>71.395718581019509</v>
      </c>
      <c r="D65" s="18">
        <f t="shared" si="18"/>
        <v>64.269489854466244</v>
      </c>
      <c r="E65" s="18">
        <f t="shared" si="19"/>
        <v>66.229178829658949</v>
      </c>
      <c r="F65" s="18">
        <f t="shared" si="20"/>
        <v>68.451973543916353</v>
      </c>
      <c r="G65" s="18">
        <f t="shared" si="21"/>
        <v>69.654770193243777</v>
      </c>
      <c r="H65" s="18">
        <f t="shared" si="22"/>
        <v>72.215978945828539</v>
      </c>
      <c r="I65" s="18">
        <f t="shared" si="23"/>
        <v>74.95641370224331</v>
      </c>
      <c r="J65" s="18">
        <f t="shared" si="24"/>
        <v>77.84677728616343</v>
      </c>
      <c r="L65">
        <f>'Learning curve parameters'!D69</f>
        <v>0.05</v>
      </c>
      <c r="M65">
        <f>'Learning curve parameters'!E69</f>
        <v>0.05</v>
      </c>
      <c r="N65">
        <f>'Learning curve parameters'!F69</f>
        <v>0.05</v>
      </c>
      <c r="O65">
        <f>'Learning curve parameters'!G69</f>
        <v>0.05</v>
      </c>
      <c r="P65">
        <f>'Learning curve parameters'!H69</f>
        <v>0.05</v>
      </c>
      <c r="Q65">
        <f>'Learning curve parameters'!I69</f>
        <v>0.05</v>
      </c>
      <c r="R65">
        <f>'Learning curve parameters'!J69</f>
        <v>0.05</v>
      </c>
      <c r="S65">
        <f>'Learning curve parameters'!K69</f>
        <v>0.05</v>
      </c>
      <c r="U65" s="16">
        <f t="shared" si="25"/>
        <v>142606.34613054703</v>
      </c>
      <c r="V65" s="16">
        <f t="shared" si="26"/>
        <v>142606.34613054703</v>
      </c>
      <c r="W65" s="16">
        <f t="shared" si="27"/>
        <v>142606.34613054703</v>
      </c>
      <c r="X65" s="16">
        <f t="shared" si="28"/>
        <v>142606.34613054703</v>
      </c>
      <c r="Y65" s="16">
        <f t="shared" si="29"/>
        <v>142606.34613054703</v>
      </c>
      <c r="Z65" s="16">
        <f t="shared" si="30"/>
        <v>142606.34613054703</v>
      </c>
      <c r="AA65" s="16">
        <f t="shared" si="31"/>
        <v>142606.34613054703</v>
      </c>
      <c r="AB65" s="16">
        <f t="shared" si="32"/>
        <v>142606.34613054703</v>
      </c>
      <c r="AD65" s="12">
        <f>'Learning curve parameters'!M69</f>
        <v>0.01</v>
      </c>
      <c r="AE65" s="12">
        <f>'Learning curve parameters'!N69</f>
        <v>0.01</v>
      </c>
      <c r="AF65" s="12">
        <f>'Learning curve parameters'!O69</f>
        <v>0.01</v>
      </c>
      <c r="AG65" s="12">
        <f>'Learning curve parameters'!P69</f>
        <v>0.01</v>
      </c>
      <c r="AH65" s="12">
        <f>'Learning curve parameters'!Q69</f>
        <v>0.01</v>
      </c>
      <c r="AI65" s="12">
        <f>'Learning curve parameters'!R69</f>
        <v>0.01</v>
      </c>
      <c r="AJ65" s="12">
        <f>'Learning curve parameters'!S69</f>
        <v>0.01</v>
      </c>
      <c r="AK65" s="12">
        <f>'Learning curve parameters'!T69</f>
        <v>0.01</v>
      </c>
      <c r="AM65" s="21">
        <f t="shared" si="9"/>
        <v>1426.0634613054704</v>
      </c>
      <c r="AN65" s="21">
        <f t="shared" si="10"/>
        <v>1426.0634613054704</v>
      </c>
      <c r="AO65" s="21">
        <f t="shared" si="11"/>
        <v>1426.0634613054704</v>
      </c>
      <c r="AP65" s="21">
        <f t="shared" si="12"/>
        <v>1426.0634613054704</v>
      </c>
      <c r="AQ65" s="21">
        <f t="shared" si="13"/>
        <v>1426.0634613054704</v>
      </c>
      <c r="AR65" s="21">
        <f t="shared" si="14"/>
        <v>1426.0634613054704</v>
      </c>
      <c r="AS65" s="21">
        <f t="shared" si="15"/>
        <v>1426.0634613054704</v>
      </c>
      <c r="AT65" s="21">
        <f t="shared" si="16"/>
        <v>1426.0634613054704</v>
      </c>
    </row>
    <row r="66" spans="1:46">
      <c r="A66">
        <v>41</v>
      </c>
      <c r="B66">
        <f t="shared" si="33"/>
        <v>2061</v>
      </c>
      <c r="C66" s="18">
        <f t="shared" si="17"/>
        <v>71.400567242151567</v>
      </c>
      <c r="D66" s="18">
        <f t="shared" si="18"/>
        <v>64.274338515598302</v>
      </c>
      <c r="E66" s="18">
        <f t="shared" si="19"/>
        <v>66.234027490791007</v>
      </c>
      <c r="F66" s="18">
        <f t="shared" si="20"/>
        <v>68.456822205048411</v>
      </c>
      <c r="G66" s="18">
        <f t="shared" si="21"/>
        <v>69.659618854375836</v>
      </c>
      <c r="H66" s="18">
        <f t="shared" si="22"/>
        <v>72.220827606960597</v>
      </c>
      <c r="I66" s="18">
        <f t="shared" si="23"/>
        <v>74.961262363375369</v>
      </c>
      <c r="J66" s="18">
        <f t="shared" si="24"/>
        <v>77.851625947295489</v>
      </c>
      <c r="L66">
        <f>'Learning curve parameters'!D70</f>
        <v>0.05</v>
      </c>
      <c r="M66">
        <f>'Learning curve parameters'!E70</f>
        <v>0.05</v>
      </c>
      <c r="N66">
        <f>'Learning curve parameters'!F70</f>
        <v>0.05</v>
      </c>
      <c r="O66">
        <f>'Learning curve parameters'!G70</f>
        <v>0.05</v>
      </c>
      <c r="P66">
        <f>'Learning curve parameters'!H70</f>
        <v>0.05</v>
      </c>
      <c r="Q66">
        <f>'Learning curve parameters'!I70</f>
        <v>0.05</v>
      </c>
      <c r="R66">
        <f>'Learning curve parameters'!J70</f>
        <v>0.05</v>
      </c>
      <c r="S66">
        <f>'Learning curve parameters'!K70</f>
        <v>0.05</v>
      </c>
      <c r="U66" s="16">
        <f t="shared" si="25"/>
        <v>144032.40959185248</v>
      </c>
      <c r="V66" s="16">
        <f t="shared" si="26"/>
        <v>144032.40959185248</v>
      </c>
      <c r="W66" s="16">
        <f t="shared" si="27"/>
        <v>144032.40959185248</v>
      </c>
      <c r="X66" s="16">
        <f t="shared" si="28"/>
        <v>144032.40959185248</v>
      </c>
      <c r="Y66" s="16">
        <f t="shared" si="29"/>
        <v>144032.40959185248</v>
      </c>
      <c r="Z66" s="16">
        <f t="shared" si="30"/>
        <v>144032.40959185248</v>
      </c>
      <c r="AA66" s="16">
        <f t="shared" si="31"/>
        <v>144032.40959185248</v>
      </c>
      <c r="AB66" s="16">
        <f t="shared" si="32"/>
        <v>144032.40959185248</v>
      </c>
      <c r="AD66" s="12">
        <f>'Learning curve parameters'!M70</f>
        <v>0.01</v>
      </c>
      <c r="AE66" s="12">
        <f>'Learning curve parameters'!N70</f>
        <v>0.01</v>
      </c>
      <c r="AF66" s="12">
        <f>'Learning curve parameters'!O70</f>
        <v>0.01</v>
      </c>
      <c r="AG66" s="12">
        <f>'Learning curve parameters'!P70</f>
        <v>0.01</v>
      </c>
      <c r="AH66" s="12">
        <f>'Learning curve parameters'!Q70</f>
        <v>0.01</v>
      </c>
      <c r="AI66" s="12">
        <f>'Learning curve parameters'!R70</f>
        <v>0.01</v>
      </c>
      <c r="AJ66" s="12">
        <f>'Learning curve parameters'!S70</f>
        <v>0.01</v>
      </c>
      <c r="AK66" s="12">
        <f>'Learning curve parameters'!T70</f>
        <v>0.01</v>
      </c>
      <c r="AM66" s="21">
        <f t="shared" si="9"/>
        <v>1440.3240959185248</v>
      </c>
      <c r="AN66" s="21">
        <f t="shared" si="10"/>
        <v>1440.3240959185248</v>
      </c>
      <c r="AO66" s="21">
        <f t="shared" si="11"/>
        <v>1440.3240959185248</v>
      </c>
      <c r="AP66" s="21">
        <f t="shared" si="12"/>
        <v>1440.3240959185248</v>
      </c>
      <c r="AQ66" s="21">
        <f t="shared" si="13"/>
        <v>1440.3240959185248</v>
      </c>
      <c r="AR66" s="21">
        <f t="shared" si="14"/>
        <v>1440.3240959185248</v>
      </c>
      <c r="AS66" s="21">
        <f t="shared" si="15"/>
        <v>1440.3240959185248</v>
      </c>
      <c r="AT66" s="21">
        <f t="shared" si="16"/>
        <v>1440.3240959185248</v>
      </c>
    </row>
    <row r="67" spans="1:46">
      <c r="A67">
        <v>42</v>
      </c>
      <c r="B67">
        <f t="shared" si="33"/>
        <v>2062</v>
      </c>
      <c r="C67" s="18">
        <f t="shared" si="17"/>
        <v>71.405415903283625</v>
      </c>
      <c r="D67" s="18">
        <f t="shared" si="18"/>
        <v>64.27918717673036</v>
      </c>
      <c r="E67" s="18">
        <f t="shared" si="19"/>
        <v>66.238876151923066</v>
      </c>
      <c r="F67" s="18">
        <f t="shared" si="20"/>
        <v>68.461670866180469</v>
      </c>
      <c r="G67" s="18">
        <f t="shared" si="21"/>
        <v>69.664467515507894</v>
      </c>
      <c r="H67" s="18">
        <f t="shared" si="22"/>
        <v>72.225676268092656</v>
      </c>
      <c r="I67" s="18">
        <f t="shared" si="23"/>
        <v>74.966111024507427</v>
      </c>
      <c r="J67" s="18">
        <f t="shared" si="24"/>
        <v>77.856474608427547</v>
      </c>
      <c r="L67">
        <f>'Learning curve parameters'!D71</f>
        <v>0.05</v>
      </c>
      <c r="M67">
        <f>'Learning curve parameters'!E71</f>
        <v>0.05</v>
      </c>
      <c r="N67">
        <f>'Learning curve parameters'!F71</f>
        <v>0.05</v>
      </c>
      <c r="O67">
        <f>'Learning curve parameters'!G71</f>
        <v>0.05</v>
      </c>
      <c r="P67">
        <f>'Learning curve parameters'!H71</f>
        <v>0.05</v>
      </c>
      <c r="Q67">
        <f>'Learning curve parameters'!I71</f>
        <v>0.05</v>
      </c>
      <c r="R67">
        <f>'Learning curve parameters'!J71</f>
        <v>0.05</v>
      </c>
      <c r="S67">
        <f>'Learning curve parameters'!K71</f>
        <v>0.05</v>
      </c>
      <c r="U67" s="16">
        <f t="shared" si="25"/>
        <v>145472.73368777102</v>
      </c>
      <c r="V67" s="16">
        <f t="shared" si="26"/>
        <v>145472.73368777102</v>
      </c>
      <c r="W67" s="16">
        <f t="shared" si="27"/>
        <v>145472.73368777102</v>
      </c>
      <c r="X67" s="16">
        <f t="shared" si="28"/>
        <v>145472.73368777102</v>
      </c>
      <c r="Y67" s="16">
        <f t="shared" si="29"/>
        <v>145472.73368777102</v>
      </c>
      <c r="Z67" s="16">
        <f t="shared" si="30"/>
        <v>145472.73368777102</v>
      </c>
      <c r="AA67" s="16">
        <f t="shared" si="31"/>
        <v>145472.73368777102</v>
      </c>
      <c r="AB67" s="16">
        <f t="shared" si="32"/>
        <v>145472.73368777102</v>
      </c>
      <c r="AD67" s="12">
        <f>'Learning curve parameters'!M71</f>
        <v>0.01</v>
      </c>
      <c r="AE67" s="12">
        <f>'Learning curve parameters'!N71</f>
        <v>0.01</v>
      </c>
      <c r="AF67" s="12">
        <f>'Learning curve parameters'!O71</f>
        <v>0.01</v>
      </c>
      <c r="AG67" s="12">
        <f>'Learning curve parameters'!P71</f>
        <v>0.01</v>
      </c>
      <c r="AH67" s="12">
        <f>'Learning curve parameters'!Q71</f>
        <v>0.01</v>
      </c>
      <c r="AI67" s="12">
        <f>'Learning curve parameters'!R71</f>
        <v>0.01</v>
      </c>
      <c r="AJ67" s="12">
        <f>'Learning curve parameters'!S71</f>
        <v>0.01</v>
      </c>
      <c r="AK67" s="12">
        <f>'Learning curve parameters'!T71</f>
        <v>0.01</v>
      </c>
      <c r="AM67" s="21">
        <f t="shared" si="9"/>
        <v>1454.7273368777103</v>
      </c>
      <c r="AN67" s="21">
        <f t="shared" si="10"/>
        <v>1454.7273368777103</v>
      </c>
      <c r="AO67" s="21">
        <f t="shared" si="11"/>
        <v>1454.7273368777103</v>
      </c>
      <c r="AP67" s="21">
        <f t="shared" si="12"/>
        <v>1454.7273368777103</v>
      </c>
      <c r="AQ67" s="21">
        <f t="shared" si="13"/>
        <v>1454.7273368777103</v>
      </c>
      <c r="AR67" s="21">
        <f t="shared" si="14"/>
        <v>1454.7273368777103</v>
      </c>
      <c r="AS67" s="21">
        <f t="shared" si="15"/>
        <v>1454.7273368777103</v>
      </c>
      <c r="AT67" s="21">
        <f t="shared" si="16"/>
        <v>1454.7273368777103</v>
      </c>
    </row>
    <row r="68" spans="1:46">
      <c r="A68">
        <v>43</v>
      </c>
      <c r="B68">
        <f t="shared" si="33"/>
        <v>2063</v>
      </c>
      <c r="C68" s="18">
        <f t="shared" si="17"/>
        <v>71.410264564415684</v>
      </c>
      <c r="D68" s="18">
        <f t="shared" si="18"/>
        <v>64.284035837862419</v>
      </c>
      <c r="E68" s="18">
        <f t="shared" si="19"/>
        <v>66.243724813055124</v>
      </c>
      <c r="F68" s="18">
        <f t="shared" si="20"/>
        <v>68.466519527312528</v>
      </c>
      <c r="G68" s="18">
        <f t="shared" si="21"/>
        <v>69.669316176639953</v>
      </c>
      <c r="H68" s="18">
        <f t="shared" si="22"/>
        <v>72.230524929224714</v>
      </c>
      <c r="I68" s="18">
        <f t="shared" si="23"/>
        <v>74.970959685639485</v>
      </c>
      <c r="J68" s="18">
        <f t="shared" si="24"/>
        <v>77.861323269559605</v>
      </c>
      <c r="L68">
        <f>'Learning curve parameters'!D72</f>
        <v>0.05</v>
      </c>
      <c r="M68">
        <f>'Learning curve parameters'!E72</f>
        <v>0.05</v>
      </c>
      <c r="N68">
        <f>'Learning curve parameters'!F72</f>
        <v>0.05</v>
      </c>
      <c r="O68">
        <f>'Learning curve parameters'!G72</f>
        <v>0.05</v>
      </c>
      <c r="P68">
        <f>'Learning curve parameters'!H72</f>
        <v>0.05</v>
      </c>
      <c r="Q68">
        <f>'Learning curve parameters'!I72</f>
        <v>0.05</v>
      </c>
      <c r="R68">
        <f>'Learning curve parameters'!J72</f>
        <v>0.05</v>
      </c>
      <c r="S68">
        <f>'Learning curve parameters'!K72</f>
        <v>0.05</v>
      </c>
      <c r="U68" s="16">
        <f t="shared" si="25"/>
        <v>146927.46102464874</v>
      </c>
      <c r="V68" s="16">
        <f t="shared" si="26"/>
        <v>146927.46102464874</v>
      </c>
      <c r="W68" s="16">
        <f t="shared" si="27"/>
        <v>146927.46102464874</v>
      </c>
      <c r="X68" s="16">
        <f t="shared" si="28"/>
        <v>146927.46102464874</v>
      </c>
      <c r="Y68" s="16">
        <f t="shared" si="29"/>
        <v>146927.46102464874</v>
      </c>
      <c r="Z68" s="16">
        <f t="shared" si="30"/>
        <v>146927.46102464874</v>
      </c>
      <c r="AA68" s="16">
        <f t="shared" si="31"/>
        <v>146927.46102464874</v>
      </c>
      <c r="AB68" s="16">
        <f t="shared" si="32"/>
        <v>146927.46102464874</v>
      </c>
      <c r="AD68" s="12">
        <f>'Learning curve parameters'!M72</f>
        <v>0.01</v>
      </c>
      <c r="AE68" s="12">
        <f>'Learning curve parameters'!N72</f>
        <v>0.01</v>
      </c>
      <c r="AF68" s="12">
        <f>'Learning curve parameters'!O72</f>
        <v>0.01</v>
      </c>
      <c r="AG68" s="12">
        <f>'Learning curve parameters'!P72</f>
        <v>0.01</v>
      </c>
      <c r="AH68" s="12">
        <f>'Learning curve parameters'!Q72</f>
        <v>0.01</v>
      </c>
      <c r="AI68" s="12">
        <f>'Learning curve parameters'!R72</f>
        <v>0.01</v>
      </c>
      <c r="AJ68" s="12">
        <f>'Learning curve parameters'!S72</f>
        <v>0.01</v>
      </c>
      <c r="AK68" s="12">
        <f>'Learning curve parameters'!T72</f>
        <v>0.01</v>
      </c>
      <c r="AM68" s="21">
        <f t="shared" si="9"/>
        <v>1469.2746102464876</v>
      </c>
      <c r="AN68" s="21">
        <f t="shared" si="10"/>
        <v>1469.2746102464876</v>
      </c>
      <c r="AO68" s="21">
        <f t="shared" si="11"/>
        <v>1469.2746102464876</v>
      </c>
      <c r="AP68" s="21">
        <f t="shared" si="12"/>
        <v>1469.2746102464876</v>
      </c>
      <c r="AQ68" s="21">
        <f t="shared" si="13"/>
        <v>1469.2746102464876</v>
      </c>
      <c r="AR68" s="21">
        <f t="shared" si="14"/>
        <v>1469.2746102464876</v>
      </c>
      <c r="AS68" s="21">
        <f t="shared" si="15"/>
        <v>1469.2746102464876</v>
      </c>
      <c r="AT68" s="21">
        <f t="shared" si="16"/>
        <v>1469.2746102464876</v>
      </c>
    </row>
    <row r="69" spans="1:46">
      <c r="A69">
        <v>44</v>
      </c>
      <c r="B69">
        <f t="shared" si="33"/>
        <v>2064</v>
      </c>
      <c r="C69" s="18">
        <f t="shared" si="17"/>
        <v>71.415113225547742</v>
      </c>
      <c r="D69" s="18">
        <f t="shared" si="18"/>
        <v>64.288884498994477</v>
      </c>
      <c r="E69" s="18">
        <f t="shared" si="19"/>
        <v>66.248573474187182</v>
      </c>
      <c r="F69" s="18">
        <f t="shared" si="20"/>
        <v>68.471368188444586</v>
      </c>
      <c r="G69" s="18">
        <f t="shared" si="21"/>
        <v>69.674164837772011</v>
      </c>
      <c r="H69" s="18">
        <f t="shared" si="22"/>
        <v>72.235373590356772</v>
      </c>
      <c r="I69" s="18">
        <f t="shared" si="23"/>
        <v>74.975808346771544</v>
      </c>
      <c r="J69" s="18">
        <f t="shared" si="24"/>
        <v>77.866171930691664</v>
      </c>
      <c r="L69">
        <f>'Learning curve parameters'!D73</f>
        <v>0.05</v>
      </c>
      <c r="M69">
        <f>'Learning curve parameters'!E73</f>
        <v>0.05</v>
      </c>
      <c r="N69">
        <f>'Learning curve parameters'!F73</f>
        <v>0.05</v>
      </c>
      <c r="O69">
        <f>'Learning curve parameters'!G73</f>
        <v>0.05</v>
      </c>
      <c r="P69">
        <f>'Learning curve parameters'!H73</f>
        <v>0.05</v>
      </c>
      <c r="Q69">
        <f>'Learning curve parameters'!I73</f>
        <v>0.05</v>
      </c>
      <c r="R69">
        <f>'Learning curve parameters'!J73</f>
        <v>0.05</v>
      </c>
      <c r="S69">
        <f>'Learning curve parameters'!K73</f>
        <v>0.05</v>
      </c>
      <c r="U69" s="16">
        <f t="shared" si="25"/>
        <v>148396.73563489522</v>
      </c>
      <c r="V69" s="16">
        <f t="shared" si="26"/>
        <v>148396.73563489522</v>
      </c>
      <c r="W69" s="16">
        <f t="shared" si="27"/>
        <v>148396.73563489522</v>
      </c>
      <c r="X69" s="16">
        <f t="shared" si="28"/>
        <v>148396.73563489522</v>
      </c>
      <c r="Y69" s="16">
        <f t="shared" si="29"/>
        <v>148396.73563489522</v>
      </c>
      <c r="Z69" s="16">
        <f t="shared" si="30"/>
        <v>148396.73563489522</v>
      </c>
      <c r="AA69" s="16">
        <f t="shared" si="31"/>
        <v>148396.73563489522</v>
      </c>
      <c r="AB69" s="16">
        <f t="shared" si="32"/>
        <v>148396.73563489522</v>
      </c>
      <c r="AD69" s="12">
        <f>'Learning curve parameters'!M73</f>
        <v>0.01</v>
      </c>
      <c r="AE69" s="12">
        <f>'Learning curve parameters'!N73</f>
        <v>0.01</v>
      </c>
      <c r="AF69" s="12">
        <f>'Learning curve parameters'!O73</f>
        <v>0.01</v>
      </c>
      <c r="AG69" s="12">
        <f>'Learning curve parameters'!P73</f>
        <v>0.01</v>
      </c>
      <c r="AH69" s="12">
        <f>'Learning curve parameters'!Q73</f>
        <v>0.01</v>
      </c>
      <c r="AI69" s="12">
        <f>'Learning curve parameters'!R73</f>
        <v>0.01</v>
      </c>
      <c r="AJ69" s="12">
        <f>'Learning curve parameters'!S73</f>
        <v>0.01</v>
      </c>
      <c r="AK69" s="12">
        <f>'Learning curve parameters'!T73</f>
        <v>0.01</v>
      </c>
      <c r="AM69" s="21">
        <f t="shared" si="9"/>
        <v>1483.9673563489521</v>
      </c>
      <c r="AN69" s="21">
        <f t="shared" si="10"/>
        <v>1483.9673563489521</v>
      </c>
      <c r="AO69" s="21">
        <f t="shared" si="11"/>
        <v>1483.9673563489521</v>
      </c>
      <c r="AP69" s="21">
        <f t="shared" si="12"/>
        <v>1483.9673563489521</v>
      </c>
      <c r="AQ69" s="21">
        <f t="shared" si="13"/>
        <v>1483.9673563489521</v>
      </c>
      <c r="AR69" s="21">
        <f t="shared" si="14"/>
        <v>1483.9673563489521</v>
      </c>
      <c r="AS69" s="21">
        <f t="shared" si="15"/>
        <v>1483.9673563489521</v>
      </c>
      <c r="AT69" s="21">
        <f t="shared" si="16"/>
        <v>1483.9673563489521</v>
      </c>
    </row>
    <row r="70" spans="1:46">
      <c r="A70">
        <v>45</v>
      </c>
      <c r="B70">
        <f t="shared" si="33"/>
        <v>2065</v>
      </c>
      <c r="C70" s="18">
        <f t="shared" si="17"/>
        <v>71.419961886679801</v>
      </c>
      <c r="D70" s="18">
        <f t="shared" si="18"/>
        <v>64.293733160126536</v>
      </c>
      <c r="E70" s="18">
        <f t="shared" si="19"/>
        <v>66.253422135319241</v>
      </c>
      <c r="F70" s="18">
        <f t="shared" si="20"/>
        <v>68.476216849576645</v>
      </c>
      <c r="G70" s="18">
        <f t="shared" si="21"/>
        <v>69.679013498904069</v>
      </c>
      <c r="H70" s="18">
        <f t="shared" si="22"/>
        <v>72.240222251488831</v>
      </c>
      <c r="I70" s="18">
        <f t="shared" si="23"/>
        <v>74.980657007903602</v>
      </c>
      <c r="J70" s="18">
        <f t="shared" si="24"/>
        <v>77.871020591823722</v>
      </c>
      <c r="L70">
        <f>'Learning curve parameters'!D74</f>
        <v>0.05</v>
      </c>
      <c r="M70">
        <f>'Learning curve parameters'!E74</f>
        <v>0.05</v>
      </c>
      <c r="N70">
        <f>'Learning curve parameters'!F74</f>
        <v>0.05</v>
      </c>
      <c r="O70">
        <f>'Learning curve parameters'!G74</f>
        <v>0.05</v>
      </c>
      <c r="P70">
        <f>'Learning curve parameters'!H74</f>
        <v>0.05</v>
      </c>
      <c r="Q70">
        <f>'Learning curve parameters'!I74</f>
        <v>0.05</v>
      </c>
      <c r="R70">
        <f>'Learning curve parameters'!J74</f>
        <v>0.05</v>
      </c>
      <c r="S70">
        <f>'Learning curve parameters'!K74</f>
        <v>0.05</v>
      </c>
      <c r="U70" s="16">
        <f t="shared" si="25"/>
        <v>149880.70299124418</v>
      </c>
      <c r="V70" s="16">
        <f t="shared" si="26"/>
        <v>149880.70299124418</v>
      </c>
      <c r="W70" s="16">
        <f t="shared" si="27"/>
        <v>149880.70299124418</v>
      </c>
      <c r="X70" s="16">
        <f t="shared" si="28"/>
        <v>149880.70299124418</v>
      </c>
      <c r="Y70" s="16">
        <f t="shared" si="29"/>
        <v>149880.70299124418</v>
      </c>
      <c r="Z70" s="16">
        <f t="shared" si="30"/>
        <v>149880.70299124418</v>
      </c>
      <c r="AA70" s="16">
        <f t="shared" si="31"/>
        <v>149880.70299124418</v>
      </c>
      <c r="AB70" s="16">
        <f t="shared" si="32"/>
        <v>149880.70299124418</v>
      </c>
      <c r="AD70" s="12">
        <f>'Learning curve parameters'!M74</f>
        <v>0.01</v>
      </c>
      <c r="AE70" s="12">
        <f>'Learning curve parameters'!N74</f>
        <v>0.01</v>
      </c>
      <c r="AF70" s="12">
        <f>'Learning curve parameters'!O74</f>
        <v>0.01</v>
      </c>
      <c r="AG70" s="12">
        <f>'Learning curve parameters'!P74</f>
        <v>0.01</v>
      </c>
      <c r="AH70" s="12">
        <f>'Learning curve parameters'!Q74</f>
        <v>0.01</v>
      </c>
      <c r="AI70" s="12">
        <f>'Learning curve parameters'!R74</f>
        <v>0.01</v>
      </c>
      <c r="AJ70" s="12">
        <f>'Learning curve parameters'!S74</f>
        <v>0.01</v>
      </c>
      <c r="AK70" s="12">
        <f>'Learning curve parameters'!T74</f>
        <v>0.01</v>
      </c>
      <c r="AM70" s="21">
        <f t="shared" si="9"/>
        <v>1498.8070299124417</v>
      </c>
      <c r="AN70" s="21">
        <f t="shared" si="10"/>
        <v>1498.8070299124417</v>
      </c>
      <c r="AO70" s="21">
        <f t="shared" si="11"/>
        <v>1498.8070299124417</v>
      </c>
      <c r="AP70" s="21">
        <f t="shared" si="12"/>
        <v>1498.8070299124417</v>
      </c>
      <c r="AQ70" s="21">
        <f t="shared" si="13"/>
        <v>1498.8070299124417</v>
      </c>
      <c r="AR70" s="21">
        <f t="shared" si="14"/>
        <v>1498.8070299124417</v>
      </c>
      <c r="AS70" s="21">
        <f t="shared" si="15"/>
        <v>1498.8070299124417</v>
      </c>
      <c r="AT70" s="21">
        <f t="shared" si="16"/>
        <v>1498.8070299124417</v>
      </c>
    </row>
    <row r="71" spans="1:46">
      <c r="A71">
        <v>46</v>
      </c>
      <c r="B71">
        <f t="shared" si="33"/>
        <v>2066</v>
      </c>
      <c r="C71" s="18">
        <f t="shared" si="17"/>
        <v>71.424810547811859</v>
      </c>
      <c r="D71" s="18">
        <f t="shared" si="18"/>
        <v>64.298581821258594</v>
      </c>
      <c r="E71" s="18">
        <f t="shared" si="19"/>
        <v>66.258270796451299</v>
      </c>
      <c r="F71" s="18">
        <f t="shared" si="20"/>
        <v>68.481065510708703</v>
      </c>
      <c r="G71" s="18">
        <f t="shared" si="21"/>
        <v>69.683862160036128</v>
      </c>
      <c r="H71" s="18">
        <f t="shared" si="22"/>
        <v>72.245070912620889</v>
      </c>
      <c r="I71" s="18">
        <f t="shared" si="23"/>
        <v>74.985505669035661</v>
      </c>
      <c r="J71" s="18">
        <f t="shared" si="24"/>
        <v>77.875869252955781</v>
      </c>
      <c r="L71">
        <f>'Learning curve parameters'!D75</f>
        <v>0.05</v>
      </c>
      <c r="M71">
        <f>'Learning curve parameters'!E75</f>
        <v>0.05</v>
      </c>
      <c r="N71">
        <f>'Learning curve parameters'!F75</f>
        <v>0.05</v>
      </c>
      <c r="O71">
        <f>'Learning curve parameters'!G75</f>
        <v>0.05</v>
      </c>
      <c r="P71">
        <f>'Learning curve parameters'!H75</f>
        <v>0.05</v>
      </c>
      <c r="Q71">
        <f>'Learning curve parameters'!I75</f>
        <v>0.05</v>
      </c>
      <c r="R71">
        <f>'Learning curve parameters'!J75</f>
        <v>0.05</v>
      </c>
      <c r="S71">
        <f>'Learning curve parameters'!K75</f>
        <v>0.05</v>
      </c>
      <c r="U71" s="16">
        <f t="shared" si="25"/>
        <v>151379.51002115663</v>
      </c>
      <c r="V71" s="16">
        <f t="shared" si="26"/>
        <v>151379.51002115663</v>
      </c>
      <c r="W71" s="16">
        <f t="shared" si="27"/>
        <v>151379.51002115663</v>
      </c>
      <c r="X71" s="16">
        <f t="shared" si="28"/>
        <v>151379.51002115663</v>
      </c>
      <c r="Y71" s="16">
        <f t="shared" si="29"/>
        <v>151379.51002115663</v>
      </c>
      <c r="Z71" s="16">
        <f t="shared" si="30"/>
        <v>151379.51002115663</v>
      </c>
      <c r="AA71" s="16">
        <f t="shared" si="31"/>
        <v>151379.51002115663</v>
      </c>
      <c r="AB71" s="16">
        <f t="shared" si="32"/>
        <v>151379.51002115663</v>
      </c>
      <c r="AD71" s="12">
        <f>'Learning curve parameters'!M75</f>
        <v>0.01</v>
      </c>
      <c r="AE71" s="12">
        <f>'Learning curve parameters'!N75</f>
        <v>0.01</v>
      </c>
      <c r="AF71" s="12">
        <f>'Learning curve parameters'!O75</f>
        <v>0.01</v>
      </c>
      <c r="AG71" s="12">
        <f>'Learning curve parameters'!P75</f>
        <v>0.01</v>
      </c>
      <c r="AH71" s="12">
        <f>'Learning curve parameters'!Q75</f>
        <v>0.01</v>
      </c>
      <c r="AI71" s="12">
        <f>'Learning curve parameters'!R75</f>
        <v>0.01</v>
      </c>
      <c r="AJ71" s="12">
        <f>'Learning curve parameters'!S75</f>
        <v>0.01</v>
      </c>
      <c r="AK71" s="12">
        <f>'Learning curve parameters'!T75</f>
        <v>0.01</v>
      </c>
      <c r="AM71" s="21">
        <f t="shared" si="9"/>
        <v>1513.7951002115663</v>
      </c>
      <c r="AN71" s="21">
        <f t="shared" si="10"/>
        <v>1513.7951002115663</v>
      </c>
      <c r="AO71" s="21">
        <f t="shared" si="11"/>
        <v>1513.7951002115663</v>
      </c>
      <c r="AP71" s="21">
        <f t="shared" si="12"/>
        <v>1513.7951002115663</v>
      </c>
      <c r="AQ71" s="21">
        <f t="shared" si="13"/>
        <v>1513.7951002115663</v>
      </c>
      <c r="AR71" s="21">
        <f t="shared" si="14"/>
        <v>1513.7951002115663</v>
      </c>
      <c r="AS71" s="21">
        <f t="shared" si="15"/>
        <v>1513.7951002115663</v>
      </c>
      <c r="AT71" s="21">
        <f t="shared" si="16"/>
        <v>1513.7951002115663</v>
      </c>
    </row>
    <row r="72" spans="1:46">
      <c r="A72">
        <v>47</v>
      </c>
      <c r="B72">
        <f t="shared" si="33"/>
        <v>2067</v>
      </c>
      <c r="C72" s="18">
        <f t="shared" si="17"/>
        <v>71.429659208943917</v>
      </c>
      <c r="D72" s="18">
        <f t="shared" si="18"/>
        <v>64.303430482390652</v>
      </c>
      <c r="E72" s="18">
        <f t="shared" si="19"/>
        <v>66.263119457583358</v>
      </c>
      <c r="F72" s="18">
        <f t="shared" si="20"/>
        <v>68.485914171840761</v>
      </c>
      <c r="G72" s="18">
        <f t="shared" si="21"/>
        <v>69.688710821168186</v>
      </c>
      <c r="H72" s="18">
        <f t="shared" si="22"/>
        <v>72.249919573752948</v>
      </c>
      <c r="I72" s="18">
        <f t="shared" si="23"/>
        <v>74.990354330167719</v>
      </c>
      <c r="J72" s="18">
        <f t="shared" si="24"/>
        <v>77.880717914087839</v>
      </c>
      <c r="L72">
        <f>'Learning curve parameters'!D76</f>
        <v>0.05</v>
      </c>
      <c r="M72">
        <f>'Learning curve parameters'!E76</f>
        <v>0.05</v>
      </c>
      <c r="N72">
        <f>'Learning curve parameters'!F76</f>
        <v>0.05</v>
      </c>
      <c r="O72">
        <f>'Learning curve parameters'!G76</f>
        <v>0.05</v>
      </c>
      <c r="P72">
        <f>'Learning curve parameters'!H76</f>
        <v>0.05</v>
      </c>
      <c r="Q72">
        <f>'Learning curve parameters'!I76</f>
        <v>0.05</v>
      </c>
      <c r="R72">
        <f>'Learning curve parameters'!J76</f>
        <v>0.05</v>
      </c>
      <c r="S72">
        <f>'Learning curve parameters'!K76</f>
        <v>0.05</v>
      </c>
      <c r="U72" s="16">
        <f t="shared" si="25"/>
        <v>152893.3051213682</v>
      </c>
      <c r="V72" s="16">
        <f t="shared" si="26"/>
        <v>152893.3051213682</v>
      </c>
      <c r="W72" s="16">
        <f t="shared" si="27"/>
        <v>152893.3051213682</v>
      </c>
      <c r="X72" s="16">
        <f t="shared" si="28"/>
        <v>152893.3051213682</v>
      </c>
      <c r="Y72" s="16">
        <f t="shared" si="29"/>
        <v>152893.3051213682</v>
      </c>
      <c r="Z72" s="16">
        <f t="shared" si="30"/>
        <v>152893.3051213682</v>
      </c>
      <c r="AA72" s="16">
        <f t="shared" si="31"/>
        <v>152893.3051213682</v>
      </c>
      <c r="AB72" s="16">
        <f t="shared" si="32"/>
        <v>152893.3051213682</v>
      </c>
      <c r="AD72" s="12">
        <f>'Learning curve parameters'!M76</f>
        <v>0.01</v>
      </c>
      <c r="AE72" s="12">
        <f>'Learning curve parameters'!N76</f>
        <v>0.01</v>
      </c>
      <c r="AF72" s="12">
        <f>'Learning curve parameters'!O76</f>
        <v>0.01</v>
      </c>
      <c r="AG72" s="12">
        <f>'Learning curve parameters'!P76</f>
        <v>0.01</v>
      </c>
      <c r="AH72" s="12">
        <f>'Learning curve parameters'!Q76</f>
        <v>0.01</v>
      </c>
      <c r="AI72" s="12">
        <f>'Learning curve parameters'!R76</f>
        <v>0.01</v>
      </c>
      <c r="AJ72" s="12">
        <f>'Learning curve parameters'!S76</f>
        <v>0.01</v>
      </c>
      <c r="AK72" s="12">
        <f>'Learning curve parameters'!T76</f>
        <v>0.01</v>
      </c>
      <c r="AM72" s="21">
        <f t="shared" si="9"/>
        <v>1528.9330512136821</v>
      </c>
      <c r="AN72" s="21">
        <f t="shared" si="10"/>
        <v>1528.9330512136821</v>
      </c>
      <c r="AO72" s="21">
        <f t="shared" si="11"/>
        <v>1528.9330512136821</v>
      </c>
      <c r="AP72" s="21">
        <f t="shared" si="12"/>
        <v>1528.9330512136821</v>
      </c>
      <c r="AQ72" s="21">
        <f t="shared" si="13"/>
        <v>1528.9330512136821</v>
      </c>
      <c r="AR72" s="21">
        <f t="shared" si="14"/>
        <v>1528.9330512136821</v>
      </c>
      <c r="AS72" s="21">
        <f t="shared" si="15"/>
        <v>1528.9330512136821</v>
      </c>
      <c r="AT72" s="21">
        <f t="shared" si="16"/>
        <v>1528.9330512136821</v>
      </c>
    </row>
    <row r="73" spans="1:46">
      <c r="A73">
        <v>48</v>
      </c>
      <c r="B73">
        <f t="shared" si="33"/>
        <v>2068</v>
      </c>
      <c r="C73" s="18">
        <f t="shared" si="17"/>
        <v>71.434507870075976</v>
      </c>
      <c r="D73" s="18">
        <f t="shared" si="18"/>
        <v>64.308279143522711</v>
      </c>
      <c r="E73" s="18">
        <f t="shared" si="19"/>
        <v>66.267968118715416</v>
      </c>
      <c r="F73" s="18">
        <f t="shared" si="20"/>
        <v>68.49076283297282</v>
      </c>
      <c r="G73" s="18">
        <f t="shared" si="21"/>
        <v>69.693559482300245</v>
      </c>
      <c r="H73" s="18">
        <f t="shared" si="22"/>
        <v>72.254768234885006</v>
      </c>
      <c r="I73" s="18">
        <f t="shared" si="23"/>
        <v>74.995202991299777</v>
      </c>
      <c r="J73" s="18">
        <f t="shared" si="24"/>
        <v>77.885566575219897</v>
      </c>
      <c r="L73">
        <f>'Learning curve parameters'!D77</f>
        <v>0.05</v>
      </c>
      <c r="M73">
        <f>'Learning curve parameters'!E77</f>
        <v>0.05</v>
      </c>
      <c r="N73">
        <f>'Learning curve parameters'!F77</f>
        <v>0.05</v>
      </c>
      <c r="O73">
        <f>'Learning curve parameters'!G77</f>
        <v>0.05</v>
      </c>
      <c r="P73">
        <f>'Learning curve parameters'!H77</f>
        <v>0.05</v>
      </c>
      <c r="Q73">
        <f>'Learning curve parameters'!I77</f>
        <v>0.05</v>
      </c>
      <c r="R73">
        <f>'Learning curve parameters'!J77</f>
        <v>0.05</v>
      </c>
      <c r="S73">
        <f>'Learning curve parameters'!K77</f>
        <v>0.05</v>
      </c>
      <c r="U73" s="16">
        <f t="shared" si="25"/>
        <v>154422.23817258189</v>
      </c>
      <c r="V73" s="16">
        <f t="shared" si="26"/>
        <v>154422.23817258189</v>
      </c>
      <c r="W73" s="16">
        <f t="shared" si="27"/>
        <v>154422.23817258189</v>
      </c>
      <c r="X73" s="16">
        <f t="shared" si="28"/>
        <v>154422.23817258189</v>
      </c>
      <c r="Y73" s="16">
        <f t="shared" si="29"/>
        <v>154422.23817258189</v>
      </c>
      <c r="Z73" s="16">
        <f t="shared" si="30"/>
        <v>154422.23817258189</v>
      </c>
      <c r="AA73" s="16">
        <f t="shared" si="31"/>
        <v>154422.23817258189</v>
      </c>
      <c r="AB73" s="16">
        <f t="shared" si="32"/>
        <v>154422.23817258189</v>
      </c>
      <c r="AD73" s="12">
        <f>'Learning curve parameters'!M77</f>
        <v>0.01</v>
      </c>
      <c r="AE73" s="12">
        <f>'Learning curve parameters'!N77</f>
        <v>0.01</v>
      </c>
      <c r="AF73" s="12">
        <f>'Learning curve parameters'!O77</f>
        <v>0.01</v>
      </c>
      <c r="AG73" s="12">
        <f>'Learning curve parameters'!P77</f>
        <v>0.01</v>
      </c>
      <c r="AH73" s="12">
        <f>'Learning curve parameters'!Q77</f>
        <v>0.01</v>
      </c>
      <c r="AI73" s="12">
        <f>'Learning curve parameters'!R77</f>
        <v>0.01</v>
      </c>
      <c r="AJ73" s="12">
        <f>'Learning curve parameters'!S77</f>
        <v>0.01</v>
      </c>
      <c r="AK73" s="12">
        <f>'Learning curve parameters'!T77</f>
        <v>0.01</v>
      </c>
      <c r="AM73" s="21">
        <f t="shared" si="9"/>
        <v>1544.2223817258189</v>
      </c>
      <c r="AN73" s="21">
        <f t="shared" si="10"/>
        <v>1544.2223817258189</v>
      </c>
      <c r="AO73" s="21">
        <f t="shared" si="11"/>
        <v>1544.2223817258189</v>
      </c>
      <c r="AP73" s="21">
        <f t="shared" si="12"/>
        <v>1544.2223817258189</v>
      </c>
      <c r="AQ73" s="21">
        <f t="shared" si="13"/>
        <v>1544.2223817258189</v>
      </c>
      <c r="AR73" s="21">
        <f t="shared" si="14"/>
        <v>1544.2223817258189</v>
      </c>
      <c r="AS73" s="21">
        <f t="shared" si="15"/>
        <v>1544.2223817258189</v>
      </c>
      <c r="AT73" s="21">
        <f t="shared" si="16"/>
        <v>1544.2223817258189</v>
      </c>
    </row>
    <row r="74" spans="1:46">
      <c r="A74">
        <v>49</v>
      </c>
      <c r="B74">
        <f t="shared" si="33"/>
        <v>2069</v>
      </c>
      <c r="C74" s="18">
        <f t="shared" si="17"/>
        <v>71.439356531208034</v>
      </c>
      <c r="D74" s="18">
        <f t="shared" si="18"/>
        <v>64.313127804654769</v>
      </c>
      <c r="E74" s="18">
        <f t="shared" si="19"/>
        <v>66.272816779847474</v>
      </c>
      <c r="F74" s="18">
        <f t="shared" si="20"/>
        <v>68.495611494104878</v>
      </c>
      <c r="G74" s="18">
        <f t="shared" si="21"/>
        <v>69.698408143432303</v>
      </c>
      <c r="H74" s="18">
        <f t="shared" si="22"/>
        <v>72.259616896017064</v>
      </c>
      <c r="I74" s="18">
        <f t="shared" si="23"/>
        <v>75.000051652431836</v>
      </c>
      <c r="J74" s="18">
        <f t="shared" si="24"/>
        <v>77.890415236351956</v>
      </c>
      <c r="L74">
        <f>'Learning curve parameters'!D78</f>
        <v>0.05</v>
      </c>
      <c r="M74">
        <f>'Learning curve parameters'!E78</f>
        <v>0.05</v>
      </c>
      <c r="N74">
        <f>'Learning curve parameters'!F78</f>
        <v>0.05</v>
      </c>
      <c r="O74">
        <f>'Learning curve parameters'!G78</f>
        <v>0.05</v>
      </c>
      <c r="P74">
        <f>'Learning curve parameters'!H78</f>
        <v>0.05</v>
      </c>
      <c r="Q74">
        <f>'Learning curve parameters'!I78</f>
        <v>0.05</v>
      </c>
      <c r="R74">
        <f>'Learning curve parameters'!J78</f>
        <v>0.05</v>
      </c>
      <c r="S74">
        <f>'Learning curve parameters'!K78</f>
        <v>0.05</v>
      </c>
      <c r="U74" s="16">
        <f t="shared" si="25"/>
        <v>155966.46055430771</v>
      </c>
      <c r="V74" s="16">
        <f t="shared" si="26"/>
        <v>155966.46055430771</v>
      </c>
      <c r="W74" s="16">
        <f t="shared" si="27"/>
        <v>155966.46055430771</v>
      </c>
      <c r="X74" s="16">
        <f t="shared" si="28"/>
        <v>155966.46055430771</v>
      </c>
      <c r="Y74" s="16">
        <f t="shared" si="29"/>
        <v>155966.46055430771</v>
      </c>
      <c r="Z74" s="16">
        <f t="shared" si="30"/>
        <v>155966.46055430771</v>
      </c>
      <c r="AA74" s="16">
        <f t="shared" si="31"/>
        <v>155966.46055430771</v>
      </c>
      <c r="AB74" s="16">
        <f t="shared" si="32"/>
        <v>155966.46055430771</v>
      </c>
      <c r="AD74" s="12">
        <f>'Learning curve parameters'!M78</f>
        <v>0.01</v>
      </c>
      <c r="AE74" s="12">
        <f>'Learning curve parameters'!N78</f>
        <v>0.01</v>
      </c>
      <c r="AF74" s="12">
        <f>'Learning curve parameters'!O78</f>
        <v>0.01</v>
      </c>
      <c r="AG74" s="12">
        <f>'Learning curve parameters'!P78</f>
        <v>0.01</v>
      </c>
      <c r="AH74" s="12">
        <f>'Learning curve parameters'!Q78</f>
        <v>0.01</v>
      </c>
      <c r="AI74" s="12">
        <f>'Learning curve parameters'!R78</f>
        <v>0.01</v>
      </c>
      <c r="AJ74" s="12">
        <f>'Learning curve parameters'!S78</f>
        <v>0.01</v>
      </c>
      <c r="AK74" s="12">
        <f>'Learning curve parameters'!T78</f>
        <v>0.01</v>
      </c>
      <c r="AM74" s="21">
        <f t="shared" si="9"/>
        <v>1559.6646055430772</v>
      </c>
      <c r="AN74" s="21">
        <f t="shared" si="10"/>
        <v>1559.6646055430772</v>
      </c>
      <c r="AO74" s="21">
        <f t="shared" si="11"/>
        <v>1559.6646055430772</v>
      </c>
      <c r="AP74" s="21">
        <f t="shared" si="12"/>
        <v>1559.6646055430772</v>
      </c>
      <c r="AQ74" s="21">
        <f t="shared" si="13"/>
        <v>1559.6646055430772</v>
      </c>
      <c r="AR74" s="21">
        <f t="shared" si="14"/>
        <v>1559.6646055430772</v>
      </c>
      <c r="AS74" s="21">
        <f t="shared" si="15"/>
        <v>1559.6646055430772</v>
      </c>
      <c r="AT74" s="21">
        <f t="shared" si="16"/>
        <v>1559.6646055430772</v>
      </c>
    </row>
    <row r="75" spans="1:46">
      <c r="A75">
        <v>50</v>
      </c>
      <c r="B75">
        <f t="shared" si="33"/>
        <v>2070</v>
      </c>
      <c r="C75" s="18">
        <f t="shared" si="17"/>
        <v>71.444205192340092</v>
      </c>
      <c r="D75" s="18">
        <f t="shared" si="18"/>
        <v>64.317976465786828</v>
      </c>
      <c r="E75" s="18">
        <f t="shared" si="19"/>
        <v>66.277665440979533</v>
      </c>
      <c r="F75" s="18">
        <f t="shared" si="20"/>
        <v>68.500460155236937</v>
      </c>
      <c r="G75" s="18">
        <f t="shared" si="21"/>
        <v>69.703256804564361</v>
      </c>
      <c r="H75" s="18">
        <f t="shared" si="22"/>
        <v>72.264465557149123</v>
      </c>
      <c r="I75" s="18">
        <f t="shared" si="23"/>
        <v>75.004900313563894</v>
      </c>
      <c r="J75" s="18">
        <f t="shared" si="24"/>
        <v>77.895263897484014</v>
      </c>
      <c r="L75">
        <f>'Learning curve parameters'!D79</f>
        <v>0.05</v>
      </c>
      <c r="M75">
        <f>'Learning curve parameters'!E79</f>
        <v>0.05</v>
      </c>
      <c r="N75">
        <f>'Learning curve parameters'!F79</f>
        <v>0.05</v>
      </c>
      <c r="O75">
        <f>'Learning curve parameters'!G79</f>
        <v>0.05</v>
      </c>
      <c r="P75">
        <f>'Learning curve parameters'!H79</f>
        <v>0.05</v>
      </c>
      <c r="Q75">
        <f>'Learning curve parameters'!I79</f>
        <v>0.05</v>
      </c>
      <c r="R75">
        <f>'Learning curve parameters'!J79</f>
        <v>0.05</v>
      </c>
      <c r="S75">
        <f>'Learning curve parameters'!K79</f>
        <v>0.05</v>
      </c>
      <c r="U75" s="16">
        <f t="shared" si="25"/>
        <v>157526.12515985078</v>
      </c>
      <c r="V75" s="16">
        <f t="shared" si="26"/>
        <v>157526.12515985078</v>
      </c>
      <c r="W75" s="16">
        <f t="shared" si="27"/>
        <v>157526.12515985078</v>
      </c>
      <c r="X75" s="16">
        <f t="shared" si="28"/>
        <v>157526.12515985078</v>
      </c>
      <c r="Y75" s="16">
        <f t="shared" si="29"/>
        <v>157526.12515985078</v>
      </c>
      <c r="Z75" s="16">
        <f t="shared" si="30"/>
        <v>157526.12515985078</v>
      </c>
      <c r="AA75" s="16">
        <f t="shared" si="31"/>
        <v>157526.12515985078</v>
      </c>
      <c r="AB75" s="16">
        <f t="shared" si="32"/>
        <v>157526.12515985078</v>
      </c>
      <c r="AD75" s="12">
        <f>'Learning curve parameters'!M79</f>
        <v>0.01</v>
      </c>
      <c r="AE75" s="12">
        <f>'Learning curve parameters'!N79</f>
        <v>0.01</v>
      </c>
      <c r="AF75" s="12">
        <f>'Learning curve parameters'!O79</f>
        <v>0.01</v>
      </c>
      <c r="AG75" s="12">
        <f>'Learning curve parameters'!P79</f>
        <v>0.01</v>
      </c>
      <c r="AH75" s="12">
        <f>'Learning curve parameters'!Q79</f>
        <v>0.01</v>
      </c>
      <c r="AI75" s="12">
        <f>'Learning curve parameters'!R79</f>
        <v>0.01</v>
      </c>
      <c r="AJ75" s="12">
        <f>'Learning curve parameters'!S79</f>
        <v>0.01</v>
      </c>
      <c r="AK75" s="12">
        <f>'Learning curve parameters'!T79</f>
        <v>0.01</v>
      </c>
      <c r="AM75" s="21">
        <f t="shared" si="9"/>
        <v>1575.2612515985079</v>
      </c>
      <c r="AN75" s="21">
        <f t="shared" si="10"/>
        <v>1575.2612515985079</v>
      </c>
      <c r="AO75" s="21">
        <f t="shared" si="11"/>
        <v>1575.2612515985079</v>
      </c>
      <c r="AP75" s="21">
        <f t="shared" si="12"/>
        <v>1575.2612515985079</v>
      </c>
      <c r="AQ75" s="21">
        <f t="shared" si="13"/>
        <v>1575.2612515985079</v>
      </c>
      <c r="AR75" s="21">
        <f t="shared" si="14"/>
        <v>1575.2612515985079</v>
      </c>
      <c r="AS75" s="21">
        <f t="shared" si="15"/>
        <v>1575.2612515985079</v>
      </c>
      <c r="AT75" s="21">
        <f t="shared" si="16"/>
        <v>1575.2612515985079</v>
      </c>
    </row>
    <row r="76" spans="1:46">
      <c r="A76">
        <v>51</v>
      </c>
      <c r="B76">
        <f t="shared" si="33"/>
        <v>2071</v>
      </c>
      <c r="C76" s="18">
        <f t="shared" si="17"/>
        <v>71.449053853472151</v>
      </c>
      <c r="D76" s="18">
        <f t="shared" si="18"/>
        <v>64.322825126918886</v>
      </c>
      <c r="E76" s="18">
        <f t="shared" si="19"/>
        <v>66.282514102111591</v>
      </c>
      <c r="F76" s="18">
        <f t="shared" si="20"/>
        <v>68.505308816368995</v>
      </c>
      <c r="G76" s="18">
        <f t="shared" si="21"/>
        <v>69.70810546569642</v>
      </c>
      <c r="H76" s="18">
        <f t="shared" si="22"/>
        <v>72.269314218281181</v>
      </c>
      <c r="I76" s="18">
        <f t="shared" si="23"/>
        <v>75.009748974695952</v>
      </c>
      <c r="J76" s="18">
        <f t="shared" si="24"/>
        <v>77.900112558616073</v>
      </c>
      <c r="L76">
        <f>'Learning curve parameters'!D80</f>
        <v>0.05</v>
      </c>
      <c r="M76">
        <f>'Learning curve parameters'!E80</f>
        <v>0.05</v>
      </c>
      <c r="N76">
        <f>'Learning curve parameters'!F80</f>
        <v>0.05</v>
      </c>
      <c r="O76">
        <f>'Learning curve parameters'!G80</f>
        <v>0.05</v>
      </c>
      <c r="P76">
        <f>'Learning curve parameters'!H80</f>
        <v>0.05</v>
      </c>
      <c r="Q76">
        <f>'Learning curve parameters'!I80</f>
        <v>0.05</v>
      </c>
      <c r="R76">
        <f>'Learning curve parameters'!J80</f>
        <v>0.05</v>
      </c>
      <c r="S76">
        <f>'Learning curve parameters'!K80</f>
        <v>0.05</v>
      </c>
      <c r="U76" s="16">
        <f t="shared" si="25"/>
        <v>159101.38641144929</v>
      </c>
      <c r="V76" s="16">
        <f t="shared" si="26"/>
        <v>159101.38641144929</v>
      </c>
      <c r="W76" s="16">
        <f t="shared" si="27"/>
        <v>159101.38641144929</v>
      </c>
      <c r="X76" s="16">
        <f t="shared" si="28"/>
        <v>159101.38641144929</v>
      </c>
      <c r="Y76" s="16">
        <f t="shared" si="29"/>
        <v>159101.38641144929</v>
      </c>
      <c r="Z76" s="16">
        <f t="shared" si="30"/>
        <v>159101.38641144929</v>
      </c>
      <c r="AA76" s="16">
        <f t="shared" si="31"/>
        <v>159101.38641144929</v>
      </c>
      <c r="AB76" s="16">
        <f t="shared" si="32"/>
        <v>159101.38641144929</v>
      </c>
      <c r="AD76" s="12">
        <f>'Learning curve parameters'!M80</f>
        <v>0.01</v>
      </c>
      <c r="AE76" s="12">
        <f>'Learning curve parameters'!N80</f>
        <v>0.01</v>
      </c>
      <c r="AF76" s="12">
        <f>'Learning curve parameters'!O80</f>
        <v>0.01</v>
      </c>
      <c r="AG76" s="12">
        <f>'Learning curve parameters'!P80</f>
        <v>0.01</v>
      </c>
      <c r="AH76" s="12">
        <f>'Learning curve parameters'!Q80</f>
        <v>0.01</v>
      </c>
      <c r="AI76" s="12">
        <f>'Learning curve parameters'!R80</f>
        <v>0.01</v>
      </c>
      <c r="AJ76" s="12">
        <f>'Learning curve parameters'!S80</f>
        <v>0.01</v>
      </c>
      <c r="AK76" s="12">
        <f>'Learning curve parameters'!T80</f>
        <v>0.01</v>
      </c>
      <c r="AM76" s="21">
        <f t="shared" si="9"/>
        <v>1591.0138641144929</v>
      </c>
      <c r="AN76" s="21">
        <f t="shared" si="10"/>
        <v>1591.0138641144929</v>
      </c>
      <c r="AO76" s="21">
        <f t="shared" si="11"/>
        <v>1591.0138641144929</v>
      </c>
      <c r="AP76" s="21">
        <f t="shared" si="12"/>
        <v>1591.0138641144929</v>
      </c>
      <c r="AQ76" s="21">
        <f t="shared" si="13"/>
        <v>1591.0138641144929</v>
      </c>
      <c r="AR76" s="21">
        <f t="shared" si="14"/>
        <v>1591.0138641144929</v>
      </c>
      <c r="AS76" s="21">
        <f t="shared" si="15"/>
        <v>1591.0138641144929</v>
      </c>
      <c r="AT76" s="21">
        <f t="shared" si="16"/>
        <v>1591.0138641144929</v>
      </c>
    </row>
    <row r="77" spans="1:46">
      <c r="A77">
        <v>52</v>
      </c>
      <c r="B77">
        <f t="shared" si="33"/>
        <v>2072</v>
      </c>
      <c r="C77" s="18">
        <f t="shared" si="17"/>
        <v>71.453902514604209</v>
      </c>
      <c r="D77" s="18">
        <f t="shared" si="18"/>
        <v>64.327673788050944</v>
      </c>
      <c r="E77" s="18">
        <f t="shared" si="19"/>
        <v>66.28736276324365</v>
      </c>
      <c r="F77" s="18">
        <f t="shared" si="20"/>
        <v>68.510157477501053</v>
      </c>
      <c r="G77" s="18">
        <f t="shared" si="21"/>
        <v>69.712954126828478</v>
      </c>
      <c r="H77" s="18">
        <f t="shared" si="22"/>
        <v>72.27416287941324</v>
      </c>
      <c r="I77" s="18">
        <f t="shared" si="23"/>
        <v>75.014597635828011</v>
      </c>
      <c r="J77" s="18">
        <f t="shared" si="24"/>
        <v>77.904961219748131</v>
      </c>
      <c r="L77">
        <f>'Learning curve parameters'!D81</f>
        <v>0.05</v>
      </c>
      <c r="M77">
        <f>'Learning curve parameters'!E81</f>
        <v>0.05</v>
      </c>
      <c r="N77">
        <f>'Learning curve parameters'!F81</f>
        <v>0.05</v>
      </c>
      <c r="O77">
        <f>'Learning curve parameters'!G81</f>
        <v>0.05</v>
      </c>
      <c r="P77">
        <f>'Learning curve parameters'!H81</f>
        <v>0.05</v>
      </c>
      <c r="Q77">
        <f>'Learning curve parameters'!I81</f>
        <v>0.05</v>
      </c>
      <c r="R77">
        <f>'Learning curve parameters'!J81</f>
        <v>0.05</v>
      </c>
      <c r="S77">
        <f>'Learning curve parameters'!K81</f>
        <v>0.05</v>
      </c>
      <c r="U77" s="16">
        <f t="shared" si="25"/>
        <v>160692.40027556379</v>
      </c>
      <c r="V77" s="16">
        <f t="shared" si="26"/>
        <v>160692.40027556379</v>
      </c>
      <c r="W77" s="16">
        <f t="shared" si="27"/>
        <v>160692.40027556379</v>
      </c>
      <c r="X77" s="16">
        <f t="shared" si="28"/>
        <v>160692.40027556379</v>
      </c>
      <c r="Y77" s="16">
        <f t="shared" si="29"/>
        <v>160692.40027556379</v>
      </c>
      <c r="Z77" s="16">
        <f t="shared" si="30"/>
        <v>160692.40027556379</v>
      </c>
      <c r="AA77" s="16">
        <f t="shared" si="31"/>
        <v>160692.40027556379</v>
      </c>
      <c r="AB77" s="16">
        <f t="shared" si="32"/>
        <v>160692.40027556379</v>
      </c>
      <c r="AD77" s="12">
        <f>'Learning curve parameters'!M81</f>
        <v>0.01</v>
      </c>
      <c r="AE77" s="12">
        <f>'Learning curve parameters'!N81</f>
        <v>0.01</v>
      </c>
      <c r="AF77" s="12">
        <f>'Learning curve parameters'!O81</f>
        <v>0.01</v>
      </c>
      <c r="AG77" s="12">
        <f>'Learning curve parameters'!P81</f>
        <v>0.01</v>
      </c>
      <c r="AH77" s="12">
        <f>'Learning curve parameters'!Q81</f>
        <v>0.01</v>
      </c>
      <c r="AI77" s="12">
        <f>'Learning curve parameters'!R81</f>
        <v>0.01</v>
      </c>
      <c r="AJ77" s="12">
        <f>'Learning curve parameters'!S81</f>
        <v>0.01</v>
      </c>
      <c r="AK77" s="12">
        <f>'Learning curve parameters'!T81</f>
        <v>0.01</v>
      </c>
      <c r="AM77" s="21">
        <f t="shared" si="9"/>
        <v>1606.924002755638</v>
      </c>
      <c r="AN77" s="21">
        <f t="shared" si="10"/>
        <v>1606.924002755638</v>
      </c>
      <c r="AO77" s="21">
        <f t="shared" si="11"/>
        <v>1606.924002755638</v>
      </c>
      <c r="AP77" s="21">
        <f t="shared" si="12"/>
        <v>1606.924002755638</v>
      </c>
      <c r="AQ77" s="21">
        <f t="shared" si="13"/>
        <v>1606.924002755638</v>
      </c>
      <c r="AR77" s="21">
        <f t="shared" si="14"/>
        <v>1606.924002755638</v>
      </c>
      <c r="AS77" s="21">
        <f t="shared" si="15"/>
        <v>1606.924002755638</v>
      </c>
      <c r="AT77" s="21">
        <f t="shared" si="16"/>
        <v>1606.924002755638</v>
      </c>
    </row>
    <row r="78" spans="1:46">
      <c r="A78">
        <v>53</v>
      </c>
      <c r="B78">
        <f t="shared" si="33"/>
        <v>2073</v>
      </c>
      <c r="C78" s="18">
        <f t="shared" si="17"/>
        <v>71.458751175736268</v>
      </c>
      <c r="D78" s="18">
        <f t="shared" si="18"/>
        <v>64.332522449183003</v>
      </c>
      <c r="E78" s="18">
        <f t="shared" si="19"/>
        <v>66.292211424375708</v>
      </c>
      <c r="F78" s="18">
        <f t="shared" si="20"/>
        <v>68.515006138633112</v>
      </c>
      <c r="G78" s="18">
        <f t="shared" si="21"/>
        <v>69.717802787960537</v>
      </c>
      <c r="H78" s="18">
        <f t="shared" si="22"/>
        <v>72.279011540545298</v>
      </c>
      <c r="I78" s="18">
        <f t="shared" si="23"/>
        <v>75.019446296960069</v>
      </c>
      <c r="J78" s="18">
        <f t="shared" si="24"/>
        <v>77.909809880880189</v>
      </c>
      <c r="L78">
        <f>'Learning curve parameters'!D82</f>
        <v>0.05</v>
      </c>
      <c r="M78">
        <f>'Learning curve parameters'!E82</f>
        <v>0.05</v>
      </c>
      <c r="N78">
        <f>'Learning curve parameters'!F82</f>
        <v>0.05</v>
      </c>
      <c r="O78">
        <f>'Learning curve parameters'!G82</f>
        <v>0.05</v>
      </c>
      <c r="P78">
        <f>'Learning curve parameters'!H82</f>
        <v>0.05</v>
      </c>
      <c r="Q78">
        <f>'Learning curve parameters'!I82</f>
        <v>0.05</v>
      </c>
      <c r="R78">
        <f>'Learning curve parameters'!J82</f>
        <v>0.05</v>
      </c>
      <c r="S78">
        <f>'Learning curve parameters'!K82</f>
        <v>0.05</v>
      </c>
      <c r="U78" s="16">
        <f t="shared" si="25"/>
        <v>162299.32427831943</v>
      </c>
      <c r="V78" s="16">
        <f t="shared" si="26"/>
        <v>162299.32427831943</v>
      </c>
      <c r="W78" s="16">
        <f t="shared" si="27"/>
        <v>162299.32427831943</v>
      </c>
      <c r="X78" s="16">
        <f t="shared" si="28"/>
        <v>162299.32427831943</v>
      </c>
      <c r="Y78" s="16">
        <f t="shared" si="29"/>
        <v>162299.32427831943</v>
      </c>
      <c r="Z78" s="16">
        <f t="shared" si="30"/>
        <v>162299.32427831943</v>
      </c>
      <c r="AA78" s="16">
        <f t="shared" si="31"/>
        <v>162299.32427831943</v>
      </c>
      <c r="AB78" s="16">
        <f t="shared" si="32"/>
        <v>162299.32427831943</v>
      </c>
      <c r="AD78" s="12">
        <f>'Learning curve parameters'!M82</f>
        <v>0.01</v>
      </c>
      <c r="AE78" s="12">
        <f>'Learning curve parameters'!N82</f>
        <v>0.01</v>
      </c>
      <c r="AF78" s="12">
        <f>'Learning curve parameters'!O82</f>
        <v>0.01</v>
      </c>
      <c r="AG78" s="12">
        <f>'Learning curve parameters'!P82</f>
        <v>0.01</v>
      </c>
      <c r="AH78" s="12">
        <f>'Learning curve parameters'!Q82</f>
        <v>0.01</v>
      </c>
      <c r="AI78" s="12">
        <f>'Learning curve parameters'!R82</f>
        <v>0.01</v>
      </c>
      <c r="AJ78" s="12">
        <f>'Learning curve parameters'!S82</f>
        <v>0.01</v>
      </c>
      <c r="AK78" s="12">
        <f>'Learning curve parameters'!T82</f>
        <v>0.01</v>
      </c>
      <c r="AM78" s="21">
        <f t="shared" si="9"/>
        <v>1622.9932427831943</v>
      </c>
      <c r="AN78" s="21">
        <f t="shared" si="10"/>
        <v>1622.9932427831943</v>
      </c>
      <c r="AO78" s="21">
        <f t="shared" si="11"/>
        <v>1622.9932427831943</v>
      </c>
      <c r="AP78" s="21">
        <f t="shared" si="12"/>
        <v>1622.9932427831943</v>
      </c>
      <c r="AQ78" s="21">
        <f t="shared" si="13"/>
        <v>1622.9932427831943</v>
      </c>
      <c r="AR78" s="21">
        <f t="shared" si="14"/>
        <v>1622.9932427831943</v>
      </c>
      <c r="AS78" s="21">
        <f t="shared" si="15"/>
        <v>1622.9932427831943</v>
      </c>
      <c r="AT78" s="21">
        <f t="shared" si="16"/>
        <v>1622.9932427831943</v>
      </c>
    </row>
    <row r="79" spans="1:46">
      <c r="A79">
        <v>54</v>
      </c>
      <c r="B79">
        <f t="shared" si="33"/>
        <v>2074</v>
      </c>
      <c r="C79" s="18">
        <f t="shared" si="17"/>
        <v>71.463599836868326</v>
      </c>
      <c r="D79" s="18">
        <f t="shared" si="18"/>
        <v>64.337371110315061</v>
      </c>
      <c r="E79" s="18">
        <f t="shared" si="19"/>
        <v>66.297060085507766</v>
      </c>
      <c r="F79" s="18">
        <f t="shared" si="20"/>
        <v>68.51985479976517</v>
      </c>
      <c r="G79" s="18">
        <f t="shared" si="21"/>
        <v>69.722651449092595</v>
      </c>
      <c r="H79" s="18">
        <f t="shared" si="22"/>
        <v>72.283860201677356</v>
      </c>
      <c r="I79" s="18">
        <f t="shared" si="23"/>
        <v>75.024294958092128</v>
      </c>
      <c r="J79" s="18">
        <f t="shared" si="24"/>
        <v>77.914658542012248</v>
      </c>
      <c r="L79">
        <f>'Learning curve parameters'!D83</f>
        <v>0.05</v>
      </c>
      <c r="M79">
        <f>'Learning curve parameters'!E83</f>
        <v>0.05</v>
      </c>
      <c r="N79">
        <f>'Learning curve parameters'!F83</f>
        <v>0.05</v>
      </c>
      <c r="O79">
        <f>'Learning curve parameters'!G83</f>
        <v>0.05</v>
      </c>
      <c r="P79">
        <f>'Learning curve parameters'!H83</f>
        <v>0.05</v>
      </c>
      <c r="Q79">
        <f>'Learning curve parameters'!I83</f>
        <v>0.05</v>
      </c>
      <c r="R79">
        <f>'Learning curve parameters'!J83</f>
        <v>0.05</v>
      </c>
      <c r="S79">
        <f>'Learning curve parameters'!K83</f>
        <v>0.05</v>
      </c>
      <c r="U79" s="16">
        <f t="shared" si="25"/>
        <v>163922.31752110261</v>
      </c>
      <c r="V79" s="16">
        <f t="shared" si="26"/>
        <v>163922.31752110261</v>
      </c>
      <c r="W79" s="16">
        <f t="shared" si="27"/>
        <v>163922.31752110261</v>
      </c>
      <c r="X79" s="16">
        <f t="shared" si="28"/>
        <v>163922.31752110261</v>
      </c>
      <c r="Y79" s="16">
        <f t="shared" si="29"/>
        <v>163922.31752110261</v>
      </c>
      <c r="Z79" s="16">
        <f t="shared" si="30"/>
        <v>163922.31752110261</v>
      </c>
      <c r="AA79" s="16">
        <f t="shared" si="31"/>
        <v>163922.31752110261</v>
      </c>
      <c r="AB79" s="16">
        <f t="shared" si="32"/>
        <v>163922.31752110261</v>
      </c>
      <c r="AD79" s="12">
        <f>'Learning curve parameters'!M83</f>
        <v>0.01</v>
      </c>
      <c r="AE79" s="12">
        <f>'Learning curve parameters'!N83</f>
        <v>0.01</v>
      </c>
      <c r="AF79" s="12">
        <f>'Learning curve parameters'!O83</f>
        <v>0.01</v>
      </c>
      <c r="AG79" s="12">
        <f>'Learning curve parameters'!P83</f>
        <v>0.01</v>
      </c>
      <c r="AH79" s="12">
        <f>'Learning curve parameters'!Q83</f>
        <v>0.01</v>
      </c>
      <c r="AI79" s="12">
        <f>'Learning curve parameters'!R83</f>
        <v>0.01</v>
      </c>
      <c r="AJ79" s="12">
        <f>'Learning curve parameters'!S83</f>
        <v>0.01</v>
      </c>
      <c r="AK79" s="12">
        <f>'Learning curve parameters'!T83</f>
        <v>0.01</v>
      </c>
      <c r="AM79" s="21">
        <f t="shared" si="9"/>
        <v>1639.223175211026</v>
      </c>
      <c r="AN79" s="21">
        <f t="shared" si="10"/>
        <v>1639.223175211026</v>
      </c>
      <c r="AO79" s="21">
        <f t="shared" si="11"/>
        <v>1639.223175211026</v>
      </c>
      <c r="AP79" s="21">
        <f t="shared" si="12"/>
        <v>1639.223175211026</v>
      </c>
      <c r="AQ79" s="21">
        <f t="shared" si="13"/>
        <v>1639.223175211026</v>
      </c>
      <c r="AR79" s="21">
        <f t="shared" si="14"/>
        <v>1639.223175211026</v>
      </c>
      <c r="AS79" s="21">
        <f t="shared" si="15"/>
        <v>1639.223175211026</v>
      </c>
      <c r="AT79" s="21">
        <f t="shared" si="16"/>
        <v>1639.223175211026</v>
      </c>
    </row>
    <row r="80" spans="1:46">
      <c r="A80">
        <v>55</v>
      </c>
      <c r="B80">
        <f t="shared" si="33"/>
        <v>2075</v>
      </c>
      <c r="C80" s="18">
        <f t="shared" si="17"/>
        <v>71.468448498000384</v>
      </c>
      <c r="D80" s="18">
        <f t="shared" si="18"/>
        <v>64.34221977144712</v>
      </c>
      <c r="E80" s="18">
        <f t="shared" si="19"/>
        <v>66.301908746639825</v>
      </c>
      <c r="F80" s="18">
        <f t="shared" si="20"/>
        <v>68.524703460897229</v>
      </c>
      <c r="G80" s="18">
        <f t="shared" si="21"/>
        <v>69.727500110224653</v>
      </c>
      <c r="H80" s="18">
        <f t="shared" si="22"/>
        <v>72.288708862809415</v>
      </c>
      <c r="I80" s="18">
        <f t="shared" si="23"/>
        <v>75.029143619224186</v>
      </c>
      <c r="J80" s="18">
        <f t="shared" si="24"/>
        <v>77.919507203144306</v>
      </c>
      <c r="L80">
        <f>'Learning curve parameters'!D84</f>
        <v>0.05</v>
      </c>
      <c r="M80">
        <f>'Learning curve parameters'!E84</f>
        <v>0.05</v>
      </c>
      <c r="N80">
        <f>'Learning curve parameters'!F84</f>
        <v>0.05</v>
      </c>
      <c r="O80">
        <f>'Learning curve parameters'!G84</f>
        <v>0.05</v>
      </c>
      <c r="P80">
        <f>'Learning curve parameters'!H84</f>
        <v>0.05</v>
      </c>
      <c r="Q80">
        <f>'Learning curve parameters'!I84</f>
        <v>0.05</v>
      </c>
      <c r="R80">
        <f>'Learning curve parameters'!J84</f>
        <v>0.05</v>
      </c>
      <c r="S80">
        <f>'Learning curve parameters'!K84</f>
        <v>0.05</v>
      </c>
      <c r="U80" s="16">
        <f t="shared" si="25"/>
        <v>165561.54069631363</v>
      </c>
      <c r="V80" s="16">
        <f t="shared" si="26"/>
        <v>165561.54069631363</v>
      </c>
      <c r="W80" s="16">
        <f t="shared" si="27"/>
        <v>165561.54069631363</v>
      </c>
      <c r="X80" s="16">
        <f t="shared" si="28"/>
        <v>165561.54069631363</v>
      </c>
      <c r="Y80" s="16">
        <f t="shared" si="29"/>
        <v>165561.54069631363</v>
      </c>
      <c r="Z80" s="16">
        <f t="shared" si="30"/>
        <v>165561.54069631363</v>
      </c>
      <c r="AA80" s="16">
        <f t="shared" si="31"/>
        <v>165561.54069631363</v>
      </c>
      <c r="AB80" s="16">
        <f t="shared" si="32"/>
        <v>165561.54069631363</v>
      </c>
      <c r="AD80" s="12">
        <f>'Learning curve parameters'!M84</f>
        <v>0.01</v>
      </c>
      <c r="AE80" s="12">
        <f>'Learning curve parameters'!N84</f>
        <v>0.01</v>
      </c>
      <c r="AF80" s="12">
        <f>'Learning curve parameters'!O84</f>
        <v>0.01</v>
      </c>
      <c r="AG80" s="12">
        <f>'Learning curve parameters'!P84</f>
        <v>0.01</v>
      </c>
      <c r="AH80" s="12">
        <f>'Learning curve parameters'!Q84</f>
        <v>0.01</v>
      </c>
      <c r="AI80" s="12">
        <f>'Learning curve parameters'!R84</f>
        <v>0.01</v>
      </c>
      <c r="AJ80" s="12">
        <f>'Learning curve parameters'!S84</f>
        <v>0.01</v>
      </c>
      <c r="AK80" s="12">
        <f>'Learning curve parameters'!T84</f>
        <v>0.01</v>
      </c>
      <c r="AM80" s="21">
        <f t="shared" si="9"/>
        <v>1655.6154069631364</v>
      </c>
      <c r="AN80" s="21">
        <f t="shared" si="10"/>
        <v>1655.6154069631364</v>
      </c>
      <c r="AO80" s="21">
        <f t="shared" si="11"/>
        <v>1655.6154069631364</v>
      </c>
      <c r="AP80" s="21">
        <f t="shared" si="12"/>
        <v>1655.6154069631364</v>
      </c>
      <c r="AQ80" s="21">
        <f t="shared" si="13"/>
        <v>1655.6154069631364</v>
      </c>
      <c r="AR80" s="21">
        <f t="shared" si="14"/>
        <v>1655.6154069631364</v>
      </c>
      <c r="AS80" s="21">
        <f t="shared" si="15"/>
        <v>1655.6154069631364</v>
      </c>
      <c r="AT80" s="21">
        <f t="shared" si="16"/>
        <v>1655.6154069631364</v>
      </c>
    </row>
    <row r="81" spans="1:46">
      <c r="A81">
        <v>56</v>
      </c>
      <c r="B81">
        <f t="shared" si="33"/>
        <v>2076</v>
      </c>
      <c r="C81" s="18">
        <f t="shared" si="17"/>
        <v>71.473297159132443</v>
      </c>
      <c r="D81" s="18">
        <f t="shared" si="18"/>
        <v>64.347068432579178</v>
      </c>
      <c r="E81" s="18">
        <f t="shared" si="19"/>
        <v>66.306757407771883</v>
      </c>
      <c r="F81" s="18">
        <f t="shared" si="20"/>
        <v>68.529552122029287</v>
      </c>
      <c r="G81" s="18">
        <f t="shared" si="21"/>
        <v>69.732348771356712</v>
      </c>
      <c r="H81" s="18">
        <f t="shared" si="22"/>
        <v>72.293557523941473</v>
      </c>
      <c r="I81" s="18">
        <f t="shared" si="23"/>
        <v>75.033992280356244</v>
      </c>
      <c r="J81" s="18">
        <f t="shared" si="24"/>
        <v>77.924355864276365</v>
      </c>
      <c r="L81">
        <f>'Learning curve parameters'!D85</f>
        <v>0.05</v>
      </c>
      <c r="M81">
        <f>'Learning curve parameters'!E85</f>
        <v>0.05</v>
      </c>
      <c r="N81">
        <f>'Learning curve parameters'!F85</f>
        <v>0.05</v>
      </c>
      <c r="O81">
        <f>'Learning curve parameters'!G85</f>
        <v>0.05</v>
      </c>
      <c r="P81">
        <f>'Learning curve parameters'!H85</f>
        <v>0.05</v>
      </c>
      <c r="Q81">
        <f>'Learning curve parameters'!I85</f>
        <v>0.05</v>
      </c>
      <c r="R81">
        <f>'Learning curve parameters'!J85</f>
        <v>0.05</v>
      </c>
      <c r="S81">
        <f>'Learning curve parameters'!K85</f>
        <v>0.05</v>
      </c>
      <c r="U81" s="16">
        <f t="shared" si="25"/>
        <v>167217.15610327676</v>
      </c>
      <c r="V81" s="16">
        <f t="shared" si="26"/>
        <v>167217.15610327676</v>
      </c>
      <c r="W81" s="16">
        <f t="shared" si="27"/>
        <v>167217.15610327676</v>
      </c>
      <c r="X81" s="16">
        <f t="shared" si="28"/>
        <v>167217.15610327676</v>
      </c>
      <c r="Y81" s="16">
        <f t="shared" si="29"/>
        <v>167217.15610327676</v>
      </c>
      <c r="Z81" s="16">
        <f t="shared" si="30"/>
        <v>167217.15610327676</v>
      </c>
      <c r="AA81" s="16">
        <f t="shared" si="31"/>
        <v>167217.15610327676</v>
      </c>
      <c r="AB81" s="16">
        <f t="shared" si="32"/>
        <v>167217.15610327676</v>
      </c>
      <c r="AD81" s="12">
        <f>'Learning curve parameters'!M85</f>
        <v>0.01</v>
      </c>
      <c r="AE81" s="12">
        <f>'Learning curve parameters'!N85</f>
        <v>0.01</v>
      </c>
      <c r="AF81" s="12">
        <f>'Learning curve parameters'!O85</f>
        <v>0.01</v>
      </c>
      <c r="AG81" s="12">
        <f>'Learning curve parameters'!P85</f>
        <v>0.01</v>
      </c>
      <c r="AH81" s="12">
        <f>'Learning curve parameters'!Q85</f>
        <v>0.01</v>
      </c>
      <c r="AI81" s="12">
        <f>'Learning curve parameters'!R85</f>
        <v>0.01</v>
      </c>
      <c r="AJ81" s="12">
        <f>'Learning curve parameters'!S85</f>
        <v>0.01</v>
      </c>
      <c r="AK81" s="12">
        <f>'Learning curve parameters'!T85</f>
        <v>0.01</v>
      </c>
      <c r="AM81" s="21">
        <f t="shared" si="9"/>
        <v>1672.1715610327676</v>
      </c>
      <c r="AN81" s="21">
        <f t="shared" si="10"/>
        <v>1672.1715610327676</v>
      </c>
      <c r="AO81" s="21">
        <f t="shared" si="11"/>
        <v>1672.1715610327676</v>
      </c>
      <c r="AP81" s="21">
        <f t="shared" si="12"/>
        <v>1672.1715610327676</v>
      </c>
      <c r="AQ81" s="21">
        <f t="shared" si="13"/>
        <v>1672.1715610327676</v>
      </c>
      <c r="AR81" s="21">
        <f t="shared" si="14"/>
        <v>1672.1715610327676</v>
      </c>
      <c r="AS81" s="21">
        <f t="shared" si="15"/>
        <v>1672.1715610327676</v>
      </c>
      <c r="AT81" s="21">
        <f t="shared" si="16"/>
        <v>1672.1715610327676</v>
      </c>
    </row>
    <row r="82" spans="1:46">
      <c r="A82">
        <v>57</v>
      </c>
      <c r="B82">
        <f t="shared" si="33"/>
        <v>2077</v>
      </c>
      <c r="C82" s="18">
        <f t="shared" si="17"/>
        <v>71.478145820264501</v>
      </c>
      <c r="D82" s="18">
        <f t="shared" si="18"/>
        <v>64.351917093711236</v>
      </c>
      <c r="E82" s="18">
        <f t="shared" si="19"/>
        <v>66.311606068903941</v>
      </c>
      <c r="F82" s="18">
        <f t="shared" si="20"/>
        <v>68.534400783161345</v>
      </c>
      <c r="G82" s="18">
        <f t="shared" si="21"/>
        <v>69.73719743248877</v>
      </c>
      <c r="H82" s="18">
        <f t="shared" si="22"/>
        <v>72.298406185073532</v>
      </c>
      <c r="I82" s="18">
        <f t="shared" si="23"/>
        <v>75.038840941488303</v>
      </c>
      <c r="J82" s="18">
        <f t="shared" si="24"/>
        <v>77.929204525408423</v>
      </c>
      <c r="L82">
        <f>'Learning curve parameters'!D86</f>
        <v>0.05</v>
      </c>
      <c r="M82">
        <f>'Learning curve parameters'!E86</f>
        <v>0.05</v>
      </c>
      <c r="N82">
        <f>'Learning curve parameters'!F86</f>
        <v>0.05</v>
      </c>
      <c r="O82">
        <f>'Learning curve parameters'!G86</f>
        <v>0.05</v>
      </c>
      <c r="P82">
        <f>'Learning curve parameters'!H86</f>
        <v>0.05</v>
      </c>
      <c r="Q82">
        <f>'Learning curve parameters'!I86</f>
        <v>0.05</v>
      </c>
      <c r="R82">
        <f>'Learning curve parameters'!J86</f>
        <v>0.05</v>
      </c>
      <c r="S82">
        <f>'Learning curve parameters'!K86</f>
        <v>0.05</v>
      </c>
      <c r="U82" s="16">
        <f t="shared" si="25"/>
        <v>168889.32766430953</v>
      </c>
      <c r="V82" s="16">
        <f t="shared" si="26"/>
        <v>168889.32766430953</v>
      </c>
      <c r="W82" s="16">
        <f t="shared" si="27"/>
        <v>168889.32766430953</v>
      </c>
      <c r="X82" s="16">
        <f t="shared" si="28"/>
        <v>168889.32766430953</v>
      </c>
      <c r="Y82" s="16">
        <f t="shared" si="29"/>
        <v>168889.32766430953</v>
      </c>
      <c r="Z82" s="16">
        <f t="shared" si="30"/>
        <v>168889.32766430953</v>
      </c>
      <c r="AA82" s="16">
        <f t="shared" si="31"/>
        <v>168889.32766430953</v>
      </c>
      <c r="AB82" s="16">
        <f t="shared" si="32"/>
        <v>168889.32766430953</v>
      </c>
      <c r="AD82" s="12">
        <f>'Learning curve parameters'!M86</f>
        <v>0.01</v>
      </c>
      <c r="AE82" s="12">
        <f>'Learning curve parameters'!N86</f>
        <v>0.01</v>
      </c>
      <c r="AF82" s="12">
        <f>'Learning curve parameters'!O86</f>
        <v>0.01</v>
      </c>
      <c r="AG82" s="12">
        <f>'Learning curve parameters'!P86</f>
        <v>0.01</v>
      </c>
      <c r="AH82" s="12">
        <f>'Learning curve parameters'!Q86</f>
        <v>0.01</v>
      </c>
      <c r="AI82" s="12">
        <f>'Learning curve parameters'!R86</f>
        <v>0.01</v>
      </c>
      <c r="AJ82" s="12">
        <f>'Learning curve parameters'!S86</f>
        <v>0.01</v>
      </c>
      <c r="AK82" s="12">
        <f>'Learning curve parameters'!T86</f>
        <v>0.01</v>
      </c>
      <c r="AM82" s="21">
        <f t="shared" si="9"/>
        <v>1688.8932766430953</v>
      </c>
      <c r="AN82" s="21">
        <f t="shared" si="10"/>
        <v>1688.8932766430953</v>
      </c>
      <c r="AO82" s="21">
        <f t="shared" si="11"/>
        <v>1688.8932766430953</v>
      </c>
      <c r="AP82" s="21">
        <f t="shared" si="12"/>
        <v>1688.8932766430953</v>
      </c>
      <c r="AQ82" s="21">
        <f t="shared" si="13"/>
        <v>1688.8932766430953</v>
      </c>
      <c r="AR82" s="21">
        <f t="shared" si="14"/>
        <v>1688.8932766430953</v>
      </c>
      <c r="AS82" s="21">
        <f t="shared" si="15"/>
        <v>1688.8932766430953</v>
      </c>
      <c r="AT82" s="21">
        <f t="shared" si="16"/>
        <v>1688.8932766430953</v>
      </c>
    </row>
    <row r="83" spans="1:46">
      <c r="A83">
        <v>58</v>
      </c>
      <c r="B83">
        <f t="shared" si="33"/>
        <v>2078</v>
      </c>
      <c r="C83" s="18">
        <f t="shared" si="17"/>
        <v>71.48299448139656</v>
      </c>
      <c r="D83" s="18">
        <f t="shared" si="18"/>
        <v>64.356765754843295</v>
      </c>
      <c r="E83" s="18">
        <f t="shared" si="19"/>
        <v>66.316454730036</v>
      </c>
      <c r="F83" s="18">
        <f t="shared" si="20"/>
        <v>68.539249444293404</v>
      </c>
      <c r="G83" s="18">
        <f t="shared" si="21"/>
        <v>69.742046093620829</v>
      </c>
      <c r="H83" s="18">
        <f t="shared" si="22"/>
        <v>72.30325484620559</v>
      </c>
      <c r="I83" s="18">
        <f t="shared" si="23"/>
        <v>75.043689602620361</v>
      </c>
      <c r="J83" s="18">
        <f t="shared" si="24"/>
        <v>77.934053186540481</v>
      </c>
      <c r="L83">
        <f>'Learning curve parameters'!D87</f>
        <v>0.05</v>
      </c>
      <c r="M83">
        <f>'Learning curve parameters'!E87</f>
        <v>0.05</v>
      </c>
      <c r="N83">
        <f>'Learning curve parameters'!F87</f>
        <v>0.05</v>
      </c>
      <c r="O83">
        <f>'Learning curve parameters'!G87</f>
        <v>0.05</v>
      </c>
      <c r="P83">
        <f>'Learning curve parameters'!H87</f>
        <v>0.05</v>
      </c>
      <c r="Q83">
        <f>'Learning curve parameters'!I87</f>
        <v>0.05</v>
      </c>
      <c r="R83">
        <f>'Learning curve parameters'!J87</f>
        <v>0.05</v>
      </c>
      <c r="S83">
        <f>'Learning curve parameters'!K87</f>
        <v>0.05</v>
      </c>
      <c r="U83" s="16">
        <f t="shared" si="25"/>
        <v>170578.22094095263</v>
      </c>
      <c r="V83" s="16">
        <f t="shared" si="26"/>
        <v>170578.22094095263</v>
      </c>
      <c r="W83" s="16">
        <f t="shared" si="27"/>
        <v>170578.22094095263</v>
      </c>
      <c r="X83" s="16">
        <f t="shared" si="28"/>
        <v>170578.22094095263</v>
      </c>
      <c r="Y83" s="16">
        <f t="shared" si="29"/>
        <v>170578.22094095263</v>
      </c>
      <c r="Z83" s="16">
        <f t="shared" si="30"/>
        <v>170578.22094095263</v>
      </c>
      <c r="AA83" s="16">
        <f t="shared" si="31"/>
        <v>170578.22094095263</v>
      </c>
      <c r="AB83" s="16">
        <f t="shared" si="32"/>
        <v>170578.22094095263</v>
      </c>
      <c r="AD83" s="12">
        <f>'Learning curve parameters'!M87</f>
        <v>0.01</v>
      </c>
      <c r="AE83" s="12">
        <f>'Learning curve parameters'!N87</f>
        <v>0.01</v>
      </c>
      <c r="AF83" s="12">
        <f>'Learning curve parameters'!O87</f>
        <v>0.01</v>
      </c>
      <c r="AG83" s="12">
        <f>'Learning curve parameters'!P87</f>
        <v>0.01</v>
      </c>
      <c r="AH83" s="12">
        <f>'Learning curve parameters'!Q87</f>
        <v>0.01</v>
      </c>
      <c r="AI83" s="12">
        <f>'Learning curve parameters'!R87</f>
        <v>0.01</v>
      </c>
      <c r="AJ83" s="12">
        <f>'Learning curve parameters'!S87</f>
        <v>0.01</v>
      </c>
      <c r="AK83" s="12">
        <f>'Learning curve parameters'!T87</f>
        <v>0.01</v>
      </c>
      <c r="AM83" s="21">
        <f t="shared" si="9"/>
        <v>1705.7822094095263</v>
      </c>
      <c r="AN83" s="21">
        <f t="shared" si="10"/>
        <v>1705.7822094095263</v>
      </c>
      <c r="AO83" s="21">
        <f t="shared" si="11"/>
        <v>1705.7822094095263</v>
      </c>
      <c r="AP83" s="21">
        <f t="shared" si="12"/>
        <v>1705.7822094095263</v>
      </c>
      <c r="AQ83" s="21">
        <f t="shared" si="13"/>
        <v>1705.7822094095263</v>
      </c>
      <c r="AR83" s="21">
        <f t="shared" si="14"/>
        <v>1705.7822094095263</v>
      </c>
      <c r="AS83" s="21">
        <f t="shared" si="15"/>
        <v>1705.7822094095263</v>
      </c>
      <c r="AT83" s="21">
        <f t="shared" si="16"/>
        <v>1705.7822094095263</v>
      </c>
    </row>
    <row r="84" spans="1:46">
      <c r="A84">
        <v>59</v>
      </c>
      <c r="B84">
        <f t="shared" si="33"/>
        <v>2079</v>
      </c>
      <c r="C84" s="18">
        <f t="shared" si="17"/>
        <v>71.487843142528618</v>
      </c>
      <c r="D84" s="18">
        <f t="shared" si="18"/>
        <v>64.361614415975353</v>
      </c>
      <c r="E84" s="18">
        <f t="shared" si="19"/>
        <v>66.321303391168058</v>
      </c>
      <c r="F84" s="18">
        <f t="shared" si="20"/>
        <v>68.544098105425462</v>
      </c>
      <c r="G84" s="18">
        <f t="shared" si="21"/>
        <v>69.746894754752887</v>
      </c>
      <c r="H84" s="18">
        <f t="shared" si="22"/>
        <v>72.308103507337648</v>
      </c>
      <c r="I84" s="18">
        <f t="shared" si="23"/>
        <v>75.04853826375242</v>
      </c>
      <c r="J84" s="18">
        <f t="shared" si="24"/>
        <v>77.93890184767254</v>
      </c>
      <c r="L84">
        <f>'Learning curve parameters'!D88</f>
        <v>0.05</v>
      </c>
      <c r="M84">
        <f>'Learning curve parameters'!E88</f>
        <v>0.05</v>
      </c>
      <c r="N84">
        <f>'Learning curve parameters'!F88</f>
        <v>0.05</v>
      </c>
      <c r="O84">
        <f>'Learning curve parameters'!G88</f>
        <v>0.05</v>
      </c>
      <c r="P84">
        <f>'Learning curve parameters'!H88</f>
        <v>0.05</v>
      </c>
      <c r="Q84">
        <f>'Learning curve parameters'!I88</f>
        <v>0.05</v>
      </c>
      <c r="R84">
        <f>'Learning curve parameters'!J88</f>
        <v>0.05</v>
      </c>
      <c r="S84">
        <f>'Learning curve parameters'!K88</f>
        <v>0.05</v>
      </c>
      <c r="U84" s="16">
        <f t="shared" si="25"/>
        <v>172284.00315036214</v>
      </c>
      <c r="V84" s="16">
        <f t="shared" si="26"/>
        <v>172284.00315036214</v>
      </c>
      <c r="W84" s="16">
        <f t="shared" si="27"/>
        <v>172284.00315036214</v>
      </c>
      <c r="X84" s="16">
        <f t="shared" si="28"/>
        <v>172284.00315036214</v>
      </c>
      <c r="Y84" s="16">
        <f t="shared" si="29"/>
        <v>172284.00315036214</v>
      </c>
      <c r="Z84" s="16">
        <f t="shared" si="30"/>
        <v>172284.00315036214</v>
      </c>
      <c r="AA84" s="16">
        <f t="shared" si="31"/>
        <v>172284.00315036214</v>
      </c>
      <c r="AB84" s="16">
        <f t="shared" si="32"/>
        <v>172284.00315036214</v>
      </c>
      <c r="AD84" s="12">
        <f>'Learning curve parameters'!M88</f>
        <v>0.01</v>
      </c>
      <c r="AE84" s="12">
        <f>'Learning curve parameters'!N88</f>
        <v>0.01</v>
      </c>
      <c r="AF84" s="12">
        <f>'Learning curve parameters'!O88</f>
        <v>0.01</v>
      </c>
      <c r="AG84" s="12">
        <f>'Learning curve parameters'!P88</f>
        <v>0.01</v>
      </c>
      <c r="AH84" s="12">
        <f>'Learning curve parameters'!Q88</f>
        <v>0.01</v>
      </c>
      <c r="AI84" s="12">
        <f>'Learning curve parameters'!R88</f>
        <v>0.01</v>
      </c>
      <c r="AJ84" s="12">
        <f>'Learning curve parameters'!S88</f>
        <v>0.01</v>
      </c>
      <c r="AK84" s="12">
        <f>'Learning curve parameters'!T88</f>
        <v>0.01</v>
      </c>
      <c r="AM84" s="21">
        <f t="shared" si="9"/>
        <v>1722.8400315036215</v>
      </c>
      <c r="AN84" s="21">
        <f t="shared" si="10"/>
        <v>1722.8400315036215</v>
      </c>
      <c r="AO84" s="21">
        <f t="shared" si="11"/>
        <v>1722.8400315036215</v>
      </c>
      <c r="AP84" s="21">
        <f t="shared" si="12"/>
        <v>1722.8400315036215</v>
      </c>
      <c r="AQ84" s="21">
        <f t="shared" si="13"/>
        <v>1722.8400315036215</v>
      </c>
      <c r="AR84" s="21">
        <f t="shared" si="14"/>
        <v>1722.8400315036215</v>
      </c>
      <c r="AS84" s="21">
        <f t="shared" si="15"/>
        <v>1722.8400315036215</v>
      </c>
      <c r="AT84" s="21">
        <f t="shared" si="16"/>
        <v>1722.8400315036215</v>
      </c>
    </row>
    <row r="85" spans="1:46">
      <c r="A85">
        <v>60</v>
      </c>
      <c r="B85">
        <f t="shared" si="33"/>
        <v>2080</v>
      </c>
      <c r="C85" s="18">
        <f t="shared" si="17"/>
        <v>71.492691803660676</v>
      </c>
      <c r="D85" s="18">
        <f t="shared" si="18"/>
        <v>64.366463077107412</v>
      </c>
      <c r="E85" s="18">
        <f t="shared" si="19"/>
        <v>66.326152052300117</v>
      </c>
      <c r="F85" s="18">
        <f t="shared" si="20"/>
        <v>68.548946766557521</v>
      </c>
      <c r="G85" s="18">
        <f t="shared" si="21"/>
        <v>69.751743415884945</v>
      </c>
      <c r="H85" s="18">
        <f t="shared" si="22"/>
        <v>72.312952168469707</v>
      </c>
      <c r="I85" s="18">
        <f t="shared" si="23"/>
        <v>75.053386924884478</v>
      </c>
      <c r="J85" s="18">
        <f t="shared" si="24"/>
        <v>77.943750508804598</v>
      </c>
      <c r="L85">
        <f>'Learning curve parameters'!D89</f>
        <v>0.05</v>
      </c>
      <c r="M85">
        <f>'Learning curve parameters'!E89</f>
        <v>0.05</v>
      </c>
      <c r="N85">
        <f>'Learning curve parameters'!F89</f>
        <v>0.05</v>
      </c>
      <c r="O85">
        <f>'Learning curve parameters'!G89</f>
        <v>0.05</v>
      </c>
      <c r="P85">
        <f>'Learning curve parameters'!H89</f>
        <v>0.05</v>
      </c>
      <c r="Q85">
        <f>'Learning curve parameters'!I89</f>
        <v>0.05</v>
      </c>
      <c r="R85">
        <f>'Learning curve parameters'!J89</f>
        <v>0.05</v>
      </c>
      <c r="S85">
        <f>'Learning curve parameters'!K89</f>
        <v>0.05</v>
      </c>
      <c r="U85" s="16">
        <f t="shared" si="25"/>
        <v>174006.84318186576</v>
      </c>
      <c r="V85" s="16">
        <f t="shared" si="26"/>
        <v>174006.84318186576</v>
      </c>
      <c r="W85" s="16">
        <f t="shared" si="27"/>
        <v>174006.84318186576</v>
      </c>
      <c r="X85" s="16">
        <f t="shared" si="28"/>
        <v>174006.84318186576</v>
      </c>
      <c r="Y85" s="16">
        <f t="shared" si="29"/>
        <v>174006.84318186576</v>
      </c>
      <c r="Z85" s="16">
        <f t="shared" si="30"/>
        <v>174006.84318186576</v>
      </c>
      <c r="AA85" s="16">
        <f t="shared" si="31"/>
        <v>174006.84318186576</v>
      </c>
      <c r="AB85" s="16">
        <f t="shared" si="32"/>
        <v>174006.84318186576</v>
      </c>
      <c r="AD85" s="12">
        <f>'Learning curve parameters'!M89</f>
        <v>0.01</v>
      </c>
      <c r="AE85" s="12">
        <f>'Learning curve parameters'!N89</f>
        <v>0.01</v>
      </c>
      <c r="AF85" s="12">
        <f>'Learning curve parameters'!O89</f>
        <v>0.01</v>
      </c>
      <c r="AG85" s="12">
        <f>'Learning curve parameters'!P89</f>
        <v>0.01</v>
      </c>
      <c r="AH85" s="12">
        <f>'Learning curve parameters'!Q89</f>
        <v>0.01</v>
      </c>
      <c r="AI85" s="12">
        <f>'Learning curve parameters'!R89</f>
        <v>0.01</v>
      </c>
      <c r="AJ85" s="12">
        <f>'Learning curve parameters'!S89</f>
        <v>0.01</v>
      </c>
      <c r="AK85" s="12">
        <f>'Learning curve parameters'!T89</f>
        <v>0.01</v>
      </c>
      <c r="AM85" s="21">
        <f t="shared" si="9"/>
        <v>1740.0684318186577</v>
      </c>
      <c r="AN85" s="21">
        <f t="shared" si="10"/>
        <v>1740.0684318186577</v>
      </c>
      <c r="AO85" s="21">
        <f t="shared" si="11"/>
        <v>1740.0684318186577</v>
      </c>
      <c r="AP85" s="21">
        <f t="shared" si="12"/>
        <v>1740.0684318186577</v>
      </c>
      <c r="AQ85" s="21">
        <f t="shared" si="13"/>
        <v>1740.0684318186577</v>
      </c>
      <c r="AR85" s="21">
        <f t="shared" si="14"/>
        <v>1740.0684318186577</v>
      </c>
      <c r="AS85" s="21">
        <f t="shared" si="15"/>
        <v>1740.0684318186577</v>
      </c>
      <c r="AT85" s="21">
        <f t="shared" si="16"/>
        <v>1740.0684318186577</v>
      </c>
    </row>
    <row r="86" spans="1:46">
      <c r="A86">
        <v>61</v>
      </c>
      <c r="B86">
        <f t="shared" si="33"/>
        <v>2081</v>
      </c>
      <c r="C86" s="18">
        <f t="shared" si="17"/>
        <v>71.497540464792735</v>
      </c>
      <c r="D86" s="18">
        <f t="shared" si="18"/>
        <v>64.37131173823947</v>
      </c>
      <c r="E86" s="18">
        <f t="shared" si="19"/>
        <v>66.331000713432175</v>
      </c>
      <c r="F86" s="18">
        <f t="shared" si="20"/>
        <v>68.553795427689579</v>
      </c>
      <c r="G86" s="18">
        <f t="shared" si="21"/>
        <v>69.756592077017004</v>
      </c>
      <c r="H86" s="18">
        <f t="shared" si="22"/>
        <v>72.317800829601765</v>
      </c>
      <c r="I86" s="18">
        <f t="shared" si="23"/>
        <v>75.058235586016536</v>
      </c>
      <c r="J86" s="18">
        <f t="shared" si="24"/>
        <v>77.948599169936656</v>
      </c>
      <c r="L86">
        <f>'Learning curve parameters'!D90</f>
        <v>0.05</v>
      </c>
      <c r="M86">
        <f>'Learning curve parameters'!E90</f>
        <v>0.05</v>
      </c>
      <c r="N86">
        <f>'Learning curve parameters'!F90</f>
        <v>0.05</v>
      </c>
      <c r="O86">
        <f>'Learning curve parameters'!G90</f>
        <v>0.05</v>
      </c>
      <c r="P86">
        <f>'Learning curve parameters'!H90</f>
        <v>0.05</v>
      </c>
      <c r="Q86">
        <f>'Learning curve parameters'!I90</f>
        <v>0.05</v>
      </c>
      <c r="R86">
        <f>'Learning curve parameters'!J90</f>
        <v>0.05</v>
      </c>
      <c r="S86">
        <f>'Learning curve parameters'!K90</f>
        <v>0.05</v>
      </c>
      <c r="U86" s="16">
        <f t="shared" si="25"/>
        <v>175746.91161368441</v>
      </c>
      <c r="V86" s="16">
        <f t="shared" si="26"/>
        <v>175746.91161368441</v>
      </c>
      <c r="W86" s="16">
        <f t="shared" si="27"/>
        <v>175746.91161368441</v>
      </c>
      <c r="X86" s="16">
        <f t="shared" si="28"/>
        <v>175746.91161368441</v>
      </c>
      <c r="Y86" s="16">
        <f t="shared" si="29"/>
        <v>175746.91161368441</v>
      </c>
      <c r="Z86" s="16">
        <f t="shared" si="30"/>
        <v>175746.91161368441</v>
      </c>
      <c r="AA86" s="16">
        <f t="shared" si="31"/>
        <v>175746.91161368441</v>
      </c>
      <c r="AB86" s="16">
        <f t="shared" si="32"/>
        <v>175746.91161368441</v>
      </c>
      <c r="AD86" s="12">
        <f>'Learning curve parameters'!M90</f>
        <v>0.01</v>
      </c>
      <c r="AE86" s="12">
        <f>'Learning curve parameters'!N90</f>
        <v>0.01</v>
      </c>
      <c r="AF86" s="12">
        <f>'Learning curve parameters'!O90</f>
        <v>0.01</v>
      </c>
      <c r="AG86" s="12">
        <f>'Learning curve parameters'!P90</f>
        <v>0.01</v>
      </c>
      <c r="AH86" s="12">
        <f>'Learning curve parameters'!Q90</f>
        <v>0.01</v>
      </c>
      <c r="AI86" s="12">
        <f>'Learning curve parameters'!R90</f>
        <v>0.01</v>
      </c>
      <c r="AJ86" s="12">
        <f>'Learning curve parameters'!S90</f>
        <v>0.01</v>
      </c>
      <c r="AK86" s="12">
        <f>'Learning curve parameters'!T90</f>
        <v>0.01</v>
      </c>
      <c r="AM86" s="21">
        <f t="shared" si="9"/>
        <v>1757.4691161368441</v>
      </c>
      <c r="AN86" s="21">
        <f t="shared" si="10"/>
        <v>1757.4691161368441</v>
      </c>
      <c r="AO86" s="21">
        <f t="shared" si="11"/>
        <v>1757.4691161368441</v>
      </c>
      <c r="AP86" s="21">
        <f t="shared" si="12"/>
        <v>1757.4691161368441</v>
      </c>
      <c r="AQ86" s="21">
        <f t="shared" si="13"/>
        <v>1757.4691161368441</v>
      </c>
      <c r="AR86" s="21">
        <f t="shared" si="14"/>
        <v>1757.4691161368441</v>
      </c>
      <c r="AS86" s="21">
        <f t="shared" si="15"/>
        <v>1757.4691161368441</v>
      </c>
      <c r="AT86" s="21">
        <f t="shared" si="16"/>
        <v>1757.4691161368441</v>
      </c>
    </row>
    <row r="87" spans="1:46">
      <c r="A87">
        <v>62</v>
      </c>
      <c r="B87">
        <f t="shared" si="33"/>
        <v>2082</v>
      </c>
      <c r="C87" s="18">
        <f t="shared" si="17"/>
        <v>71.502389125924793</v>
      </c>
      <c r="D87" s="18">
        <f t="shared" si="18"/>
        <v>64.376160399371528</v>
      </c>
      <c r="E87" s="18">
        <f t="shared" si="19"/>
        <v>66.335849374564233</v>
      </c>
      <c r="F87" s="18">
        <f t="shared" si="20"/>
        <v>68.558644088821637</v>
      </c>
      <c r="G87" s="18">
        <f t="shared" si="21"/>
        <v>69.761440738149062</v>
      </c>
      <c r="H87" s="18">
        <f t="shared" si="22"/>
        <v>72.322649490733824</v>
      </c>
      <c r="I87" s="18">
        <f t="shared" si="23"/>
        <v>75.063084247148595</v>
      </c>
      <c r="J87" s="18">
        <f t="shared" si="24"/>
        <v>77.953447831068715</v>
      </c>
      <c r="L87">
        <f>'Learning curve parameters'!D91</f>
        <v>0.05</v>
      </c>
      <c r="M87">
        <f>'Learning curve parameters'!E91</f>
        <v>0.05</v>
      </c>
      <c r="N87">
        <f>'Learning curve parameters'!F91</f>
        <v>0.05</v>
      </c>
      <c r="O87">
        <f>'Learning curve parameters'!G91</f>
        <v>0.05</v>
      </c>
      <c r="P87">
        <f>'Learning curve parameters'!H91</f>
        <v>0.05</v>
      </c>
      <c r="Q87">
        <f>'Learning curve parameters'!I91</f>
        <v>0.05</v>
      </c>
      <c r="R87">
        <f>'Learning curve parameters'!J91</f>
        <v>0.05</v>
      </c>
      <c r="S87">
        <f>'Learning curve parameters'!K91</f>
        <v>0.05</v>
      </c>
      <c r="U87" s="16">
        <f t="shared" si="25"/>
        <v>177504.38072982125</v>
      </c>
      <c r="V87" s="16">
        <f t="shared" si="26"/>
        <v>177504.38072982125</v>
      </c>
      <c r="W87" s="16">
        <f t="shared" si="27"/>
        <v>177504.38072982125</v>
      </c>
      <c r="X87" s="16">
        <f t="shared" si="28"/>
        <v>177504.38072982125</v>
      </c>
      <c r="Y87" s="16">
        <f t="shared" si="29"/>
        <v>177504.38072982125</v>
      </c>
      <c r="Z87" s="16">
        <f t="shared" si="30"/>
        <v>177504.38072982125</v>
      </c>
      <c r="AA87" s="16">
        <f t="shared" si="31"/>
        <v>177504.38072982125</v>
      </c>
      <c r="AB87" s="16">
        <f t="shared" si="32"/>
        <v>177504.38072982125</v>
      </c>
      <c r="AD87" s="12">
        <f>'Learning curve parameters'!M91</f>
        <v>0.01</v>
      </c>
      <c r="AE87" s="12">
        <f>'Learning curve parameters'!N91</f>
        <v>0.01</v>
      </c>
      <c r="AF87" s="12">
        <f>'Learning curve parameters'!O91</f>
        <v>0.01</v>
      </c>
      <c r="AG87" s="12">
        <f>'Learning curve parameters'!P91</f>
        <v>0.01</v>
      </c>
      <c r="AH87" s="12">
        <f>'Learning curve parameters'!Q91</f>
        <v>0.01</v>
      </c>
      <c r="AI87" s="12">
        <f>'Learning curve parameters'!R91</f>
        <v>0.01</v>
      </c>
      <c r="AJ87" s="12">
        <f>'Learning curve parameters'!S91</f>
        <v>0.01</v>
      </c>
      <c r="AK87" s="12">
        <f>'Learning curve parameters'!T91</f>
        <v>0.01</v>
      </c>
      <c r="AM87" s="21">
        <f t="shared" si="9"/>
        <v>1775.0438072982124</v>
      </c>
      <c r="AN87" s="21">
        <f t="shared" si="10"/>
        <v>1775.0438072982124</v>
      </c>
      <c r="AO87" s="21">
        <f t="shared" si="11"/>
        <v>1775.0438072982124</v>
      </c>
      <c r="AP87" s="21">
        <f t="shared" si="12"/>
        <v>1775.0438072982124</v>
      </c>
      <c r="AQ87" s="21">
        <f t="shared" si="13"/>
        <v>1775.0438072982124</v>
      </c>
      <c r="AR87" s="21">
        <f t="shared" si="14"/>
        <v>1775.0438072982124</v>
      </c>
      <c r="AS87" s="21">
        <f t="shared" si="15"/>
        <v>1775.0438072982124</v>
      </c>
      <c r="AT87" s="21">
        <f t="shared" si="16"/>
        <v>1775.0438072982124</v>
      </c>
    </row>
    <row r="88" spans="1:46">
      <c r="A88">
        <v>63</v>
      </c>
      <c r="B88">
        <f t="shared" si="33"/>
        <v>2083</v>
      </c>
      <c r="C88" s="18">
        <f t="shared" si="17"/>
        <v>71.507237787056852</v>
      </c>
      <c r="D88" s="18">
        <f t="shared" si="18"/>
        <v>64.381009060503587</v>
      </c>
      <c r="E88" s="18">
        <f t="shared" si="19"/>
        <v>66.340698035696292</v>
      </c>
      <c r="F88" s="18">
        <f t="shared" si="20"/>
        <v>68.563492749953696</v>
      </c>
      <c r="G88" s="18">
        <f t="shared" si="21"/>
        <v>69.766289399281121</v>
      </c>
      <c r="H88" s="18">
        <f t="shared" si="22"/>
        <v>72.327498151865882</v>
      </c>
      <c r="I88" s="18">
        <f t="shared" si="23"/>
        <v>75.067932908280653</v>
      </c>
      <c r="J88" s="18">
        <f t="shared" si="24"/>
        <v>77.958296492200773</v>
      </c>
      <c r="L88">
        <f>'Learning curve parameters'!D92</f>
        <v>0.05</v>
      </c>
      <c r="M88">
        <f>'Learning curve parameters'!E92</f>
        <v>0.05</v>
      </c>
      <c r="N88">
        <f>'Learning curve parameters'!F92</f>
        <v>0.05</v>
      </c>
      <c r="O88">
        <f>'Learning curve parameters'!G92</f>
        <v>0.05</v>
      </c>
      <c r="P88">
        <f>'Learning curve parameters'!H92</f>
        <v>0.05</v>
      </c>
      <c r="Q88">
        <f>'Learning curve parameters'!I92</f>
        <v>0.05</v>
      </c>
      <c r="R88">
        <f>'Learning curve parameters'!J92</f>
        <v>0.05</v>
      </c>
      <c r="S88">
        <f>'Learning curve parameters'!K92</f>
        <v>0.05</v>
      </c>
      <c r="U88" s="16">
        <f t="shared" si="25"/>
        <v>179279.42453711946</v>
      </c>
      <c r="V88" s="16">
        <f t="shared" si="26"/>
        <v>179279.42453711946</v>
      </c>
      <c r="W88" s="16">
        <f t="shared" si="27"/>
        <v>179279.42453711946</v>
      </c>
      <c r="X88" s="16">
        <f t="shared" si="28"/>
        <v>179279.42453711946</v>
      </c>
      <c r="Y88" s="16">
        <f t="shared" si="29"/>
        <v>179279.42453711946</v>
      </c>
      <c r="Z88" s="16">
        <f t="shared" si="30"/>
        <v>179279.42453711946</v>
      </c>
      <c r="AA88" s="16">
        <f t="shared" si="31"/>
        <v>179279.42453711946</v>
      </c>
      <c r="AB88" s="16">
        <f t="shared" si="32"/>
        <v>179279.42453711946</v>
      </c>
      <c r="AD88" s="12">
        <f>'Learning curve parameters'!M92</f>
        <v>0.01</v>
      </c>
      <c r="AE88" s="12">
        <f>'Learning curve parameters'!N92</f>
        <v>0.01</v>
      </c>
      <c r="AF88" s="12">
        <f>'Learning curve parameters'!O92</f>
        <v>0.01</v>
      </c>
      <c r="AG88" s="12">
        <f>'Learning curve parameters'!P92</f>
        <v>0.01</v>
      </c>
      <c r="AH88" s="12">
        <f>'Learning curve parameters'!Q92</f>
        <v>0.01</v>
      </c>
      <c r="AI88" s="12">
        <f>'Learning curve parameters'!R92</f>
        <v>0.01</v>
      </c>
      <c r="AJ88" s="12">
        <f>'Learning curve parameters'!S92</f>
        <v>0.01</v>
      </c>
      <c r="AK88" s="12">
        <f>'Learning curve parameters'!T92</f>
        <v>0.01</v>
      </c>
      <c r="AM88" s="21">
        <f t="shared" si="9"/>
        <v>1792.7942453711946</v>
      </c>
      <c r="AN88" s="21">
        <f t="shared" si="10"/>
        <v>1792.7942453711946</v>
      </c>
      <c r="AO88" s="21">
        <f t="shared" si="11"/>
        <v>1792.7942453711946</v>
      </c>
      <c r="AP88" s="21">
        <f t="shared" si="12"/>
        <v>1792.7942453711946</v>
      </c>
      <c r="AQ88" s="21">
        <f t="shared" si="13"/>
        <v>1792.7942453711946</v>
      </c>
      <c r="AR88" s="21">
        <f t="shared" si="14"/>
        <v>1792.7942453711946</v>
      </c>
      <c r="AS88" s="21">
        <f t="shared" si="15"/>
        <v>1792.7942453711946</v>
      </c>
      <c r="AT88" s="21">
        <f t="shared" si="16"/>
        <v>1792.7942453711946</v>
      </c>
    </row>
    <row r="89" spans="1:46">
      <c r="A89">
        <v>64</v>
      </c>
      <c r="B89">
        <f t="shared" ref="B89:B120" si="34">A89+C$19</f>
        <v>2084</v>
      </c>
      <c r="C89" s="18">
        <f t="shared" si="17"/>
        <v>71.51208644818891</v>
      </c>
      <c r="D89" s="18">
        <f t="shared" si="18"/>
        <v>64.385857721635645</v>
      </c>
      <c r="E89" s="18">
        <f t="shared" si="19"/>
        <v>66.34554669682835</v>
      </c>
      <c r="F89" s="18">
        <f t="shared" si="20"/>
        <v>68.568341411085754</v>
      </c>
      <c r="G89" s="18">
        <f t="shared" si="21"/>
        <v>69.771138060413179</v>
      </c>
      <c r="H89" s="18">
        <f t="shared" si="22"/>
        <v>72.33234681299794</v>
      </c>
      <c r="I89" s="18">
        <f t="shared" si="23"/>
        <v>75.072781569412712</v>
      </c>
      <c r="J89" s="18">
        <f t="shared" si="24"/>
        <v>77.963145153332832</v>
      </c>
      <c r="L89">
        <f>'Learning curve parameters'!D93</f>
        <v>0.05</v>
      </c>
      <c r="M89">
        <f>'Learning curve parameters'!E93</f>
        <v>0.05</v>
      </c>
      <c r="N89">
        <f>'Learning curve parameters'!F93</f>
        <v>0.05</v>
      </c>
      <c r="O89">
        <f>'Learning curve parameters'!G93</f>
        <v>0.05</v>
      </c>
      <c r="P89">
        <f>'Learning curve parameters'!H93</f>
        <v>0.05</v>
      </c>
      <c r="Q89">
        <f>'Learning curve parameters'!I93</f>
        <v>0.05</v>
      </c>
      <c r="R89">
        <f>'Learning curve parameters'!J93</f>
        <v>0.05</v>
      </c>
      <c r="S89">
        <f>'Learning curve parameters'!K93</f>
        <v>0.05</v>
      </c>
      <c r="U89" s="16">
        <f t="shared" si="25"/>
        <v>181072.21878249064</v>
      </c>
      <c r="V89" s="16">
        <f t="shared" si="26"/>
        <v>181072.21878249064</v>
      </c>
      <c r="W89" s="16">
        <f t="shared" si="27"/>
        <v>181072.21878249064</v>
      </c>
      <c r="X89" s="16">
        <f t="shared" si="28"/>
        <v>181072.21878249064</v>
      </c>
      <c r="Y89" s="16">
        <f t="shared" si="29"/>
        <v>181072.21878249064</v>
      </c>
      <c r="Z89" s="16">
        <f t="shared" si="30"/>
        <v>181072.21878249064</v>
      </c>
      <c r="AA89" s="16">
        <f t="shared" si="31"/>
        <v>181072.21878249064</v>
      </c>
      <c r="AB89" s="16">
        <f t="shared" si="32"/>
        <v>181072.21878249064</v>
      </c>
      <c r="AD89" s="12">
        <f>'Learning curve parameters'!M93</f>
        <v>0.01</v>
      </c>
      <c r="AE89" s="12">
        <f>'Learning curve parameters'!N93</f>
        <v>0.01</v>
      </c>
      <c r="AF89" s="12">
        <f>'Learning curve parameters'!O93</f>
        <v>0.01</v>
      </c>
      <c r="AG89" s="12">
        <f>'Learning curve parameters'!P93</f>
        <v>0.01</v>
      </c>
      <c r="AH89" s="12">
        <f>'Learning curve parameters'!Q93</f>
        <v>0.01</v>
      </c>
      <c r="AI89" s="12">
        <f>'Learning curve parameters'!R93</f>
        <v>0.01</v>
      </c>
      <c r="AJ89" s="12">
        <f>'Learning curve parameters'!S93</f>
        <v>0.01</v>
      </c>
      <c r="AK89" s="12">
        <f>'Learning curve parameters'!T93</f>
        <v>0.01</v>
      </c>
      <c r="AM89" s="21">
        <f t="shared" si="9"/>
        <v>1810.7221878249065</v>
      </c>
      <c r="AN89" s="21">
        <f t="shared" si="10"/>
        <v>1810.7221878249065</v>
      </c>
      <c r="AO89" s="21">
        <f t="shared" si="11"/>
        <v>1810.7221878249065</v>
      </c>
      <c r="AP89" s="21">
        <f t="shared" si="12"/>
        <v>1810.7221878249065</v>
      </c>
      <c r="AQ89" s="21">
        <f t="shared" si="13"/>
        <v>1810.7221878249065</v>
      </c>
      <c r="AR89" s="21">
        <f t="shared" si="14"/>
        <v>1810.7221878249065</v>
      </c>
      <c r="AS89" s="21">
        <f t="shared" si="15"/>
        <v>1810.7221878249065</v>
      </c>
      <c r="AT89" s="21">
        <f t="shared" si="16"/>
        <v>1810.7221878249065</v>
      </c>
    </row>
    <row r="90" spans="1:46">
      <c r="A90">
        <v>65</v>
      </c>
      <c r="B90">
        <f t="shared" si="34"/>
        <v>2085</v>
      </c>
      <c r="C90" s="18">
        <f t="shared" si="17"/>
        <v>71.516935109320968</v>
      </c>
      <c r="D90" s="18">
        <f t="shared" si="18"/>
        <v>64.390706382767704</v>
      </c>
      <c r="E90" s="18">
        <f t="shared" si="19"/>
        <v>66.350395357960409</v>
      </c>
      <c r="F90" s="18">
        <f t="shared" si="20"/>
        <v>68.573190072217812</v>
      </c>
      <c r="G90" s="18">
        <f t="shared" si="21"/>
        <v>69.775986721545237</v>
      </c>
      <c r="H90" s="18">
        <f t="shared" si="22"/>
        <v>72.337195474129999</v>
      </c>
      <c r="I90" s="18">
        <f t="shared" si="23"/>
        <v>75.07763023054477</v>
      </c>
      <c r="J90" s="18">
        <f t="shared" si="24"/>
        <v>77.96799381446489</v>
      </c>
      <c r="L90">
        <f>'Learning curve parameters'!D94</f>
        <v>0.05</v>
      </c>
      <c r="M90">
        <f>'Learning curve parameters'!E94</f>
        <v>0.05</v>
      </c>
      <c r="N90">
        <f>'Learning curve parameters'!F94</f>
        <v>0.05</v>
      </c>
      <c r="O90">
        <f>'Learning curve parameters'!G94</f>
        <v>0.05</v>
      </c>
      <c r="P90">
        <f>'Learning curve parameters'!H94</f>
        <v>0.05</v>
      </c>
      <c r="Q90">
        <f>'Learning curve parameters'!I94</f>
        <v>0.05</v>
      </c>
      <c r="R90">
        <f>'Learning curve parameters'!J94</f>
        <v>0.05</v>
      </c>
      <c r="S90">
        <f>'Learning curve parameters'!K94</f>
        <v>0.05</v>
      </c>
      <c r="U90" s="16">
        <f t="shared" si="25"/>
        <v>182882.94097031554</v>
      </c>
      <c r="V90" s="16">
        <f t="shared" si="26"/>
        <v>182882.94097031554</v>
      </c>
      <c r="W90" s="16">
        <f t="shared" si="27"/>
        <v>182882.94097031554</v>
      </c>
      <c r="X90" s="16">
        <f t="shared" si="28"/>
        <v>182882.94097031554</v>
      </c>
      <c r="Y90" s="16">
        <f t="shared" si="29"/>
        <v>182882.94097031554</v>
      </c>
      <c r="Z90" s="16">
        <f t="shared" si="30"/>
        <v>182882.94097031554</v>
      </c>
      <c r="AA90" s="16">
        <f t="shared" si="31"/>
        <v>182882.94097031554</v>
      </c>
      <c r="AB90" s="16">
        <f t="shared" si="32"/>
        <v>182882.94097031554</v>
      </c>
      <c r="AD90" s="12">
        <f>'Learning curve parameters'!M94</f>
        <v>0.01</v>
      </c>
      <c r="AE90" s="12">
        <f>'Learning curve parameters'!N94</f>
        <v>0.01</v>
      </c>
      <c r="AF90" s="12">
        <f>'Learning curve parameters'!O94</f>
        <v>0.01</v>
      </c>
      <c r="AG90" s="12">
        <f>'Learning curve parameters'!P94</f>
        <v>0.01</v>
      </c>
      <c r="AH90" s="12">
        <f>'Learning curve parameters'!Q94</f>
        <v>0.01</v>
      </c>
      <c r="AI90" s="12">
        <f>'Learning curve parameters'!R94</f>
        <v>0.01</v>
      </c>
      <c r="AJ90" s="12">
        <f>'Learning curve parameters'!S94</f>
        <v>0.01</v>
      </c>
      <c r="AK90" s="12">
        <f>'Learning curve parameters'!T94</f>
        <v>0.01</v>
      </c>
      <c r="AM90" s="21">
        <f t="shared" ref="AM90:AM125" si="35">U90*AD90</f>
        <v>1828.8294097031555</v>
      </c>
      <c r="AN90" s="21">
        <f t="shared" ref="AN90:AN125" si="36">V90*AE90</f>
        <v>1828.8294097031555</v>
      </c>
      <c r="AO90" s="21">
        <f t="shared" ref="AO90:AO125" si="37">W90*AF90</f>
        <v>1828.8294097031555</v>
      </c>
      <c r="AP90" s="21">
        <f t="shared" ref="AP90:AP125" si="38">X90*AG90</f>
        <v>1828.8294097031555</v>
      </c>
      <c r="AQ90" s="21">
        <f t="shared" ref="AQ90:AQ125" si="39">Y90*AH90</f>
        <v>1828.8294097031555</v>
      </c>
      <c r="AR90" s="21">
        <f t="shared" ref="AR90:AR125" si="40">Z90*AI90</f>
        <v>1828.8294097031555</v>
      </c>
      <c r="AS90" s="21">
        <f t="shared" ref="AS90:AS125" si="41">AA90*AJ90</f>
        <v>1828.8294097031555</v>
      </c>
      <c r="AT90" s="21">
        <f t="shared" ref="AT90:AT125" si="42">AB90*AK90</f>
        <v>1828.8294097031555</v>
      </c>
    </row>
    <row r="91" spans="1:46">
      <c r="A91">
        <v>66</v>
      </c>
      <c r="B91">
        <f t="shared" si="34"/>
        <v>2086</v>
      </c>
      <c r="C91" s="18">
        <f t="shared" ref="C91:C125" si="43">C90-10^L91*(LOG(U90)-LOG(U91))</f>
        <v>71.521783770453027</v>
      </c>
      <c r="D91" s="18">
        <f t="shared" ref="D91:D125" si="44">D90-10^M91*(LOG(V90)-LOG(V91))</f>
        <v>64.395555043899762</v>
      </c>
      <c r="E91" s="18">
        <f t="shared" ref="E91:E125" si="45">E90-10^N91*(LOG(W90)-LOG(W91))</f>
        <v>66.355244019092467</v>
      </c>
      <c r="F91" s="18">
        <f t="shared" ref="F91:F125" si="46">F90-10^O91*(LOG(X90)-LOG(X91))</f>
        <v>68.578038733349871</v>
      </c>
      <c r="G91" s="18">
        <f t="shared" ref="G91:G125" si="47">G90-10^P91*(LOG(Y90)-LOG(Y91))</f>
        <v>69.780835382677296</v>
      </c>
      <c r="H91" s="18">
        <f t="shared" ref="H91:H125" si="48">H90-10^Q91*(LOG(Z90)-LOG(Z91))</f>
        <v>72.342044135262057</v>
      </c>
      <c r="I91" s="18">
        <f t="shared" ref="I91:I125" si="49">I90-10^R91*(LOG(AA90)-LOG(AA91))</f>
        <v>75.082478891676828</v>
      </c>
      <c r="J91" s="18">
        <f t="shared" ref="J91:J125" si="50">J90-10^S91*(LOG(AB90)-LOG(AB91))</f>
        <v>77.972842475596948</v>
      </c>
      <c r="L91">
        <f>'Learning curve parameters'!D95</f>
        <v>0.05</v>
      </c>
      <c r="M91">
        <f>'Learning curve parameters'!E95</f>
        <v>0.05</v>
      </c>
      <c r="N91">
        <f>'Learning curve parameters'!F95</f>
        <v>0.05</v>
      </c>
      <c r="O91">
        <f>'Learning curve parameters'!G95</f>
        <v>0.05</v>
      </c>
      <c r="P91">
        <f>'Learning curve parameters'!H95</f>
        <v>0.05</v>
      </c>
      <c r="Q91">
        <f>'Learning curve parameters'!I95</f>
        <v>0.05</v>
      </c>
      <c r="R91">
        <f>'Learning curve parameters'!J95</f>
        <v>0.05</v>
      </c>
      <c r="S91">
        <f>'Learning curve parameters'!K95</f>
        <v>0.05</v>
      </c>
      <c r="U91" s="16">
        <f t="shared" ref="U91:U125" si="51">U90+AM90</f>
        <v>184711.77038001869</v>
      </c>
      <c r="V91" s="16">
        <f t="shared" ref="V91:V125" si="52">V90+AN90</f>
        <v>184711.77038001869</v>
      </c>
      <c r="W91" s="16">
        <f t="shared" ref="W91:W125" si="53">W90+AO90</f>
        <v>184711.77038001869</v>
      </c>
      <c r="X91" s="16">
        <f t="shared" ref="X91:X125" si="54">X90+AP90</f>
        <v>184711.77038001869</v>
      </c>
      <c r="Y91" s="16">
        <f t="shared" ref="Y91:Y125" si="55">Y90+AQ90</f>
        <v>184711.77038001869</v>
      </c>
      <c r="Z91" s="16">
        <f t="shared" ref="Z91:Z125" si="56">Z90+AR90</f>
        <v>184711.77038001869</v>
      </c>
      <c r="AA91" s="16">
        <f t="shared" ref="AA91:AA125" si="57">AA90+AS90</f>
        <v>184711.77038001869</v>
      </c>
      <c r="AB91" s="16">
        <f t="shared" ref="AB91:AB125" si="58">AB90+AT90</f>
        <v>184711.77038001869</v>
      </c>
      <c r="AD91" s="12">
        <f>'Learning curve parameters'!M95</f>
        <v>0.01</v>
      </c>
      <c r="AE91" s="12">
        <f>'Learning curve parameters'!N95</f>
        <v>0.01</v>
      </c>
      <c r="AF91" s="12">
        <f>'Learning curve parameters'!O95</f>
        <v>0.01</v>
      </c>
      <c r="AG91" s="12">
        <f>'Learning curve parameters'!P95</f>
        <v>0.01</v>
      </c>
      <c r="AH91" s="12">
        <f>'Learning curve parameters'!Q95</f>
        <v>0.01</v>
      </c>
      <c r="AI91" s="12">
        <f>'Learning curve parameters'!R95</f>
        <v>0.01</v>
      </c>
      <c r="AJ91" s="12">
        <f>'Learning curve parameters'!S95</f>
        <v>0.01</v>
      </c>
      <c r="AK91" s="12">
        <f>'Learning curve parameters'!T95</f>
        <v>0.01</v>
      </c>
      <c r="AM91" s="21">
        <f t="shared" si="35"/>
        <v>1847.117703800187</v>
      </c>
      <c r="AN91" s="21">
        <f t="shared" si="36"/>
        <v>1847.117703800187</v>
      </c>
      <c r="AO91" s="21">
        <f t="shared" si="37"/>
        <v>1847.117703800187</v>
      </c>
      <c r="AP91" s="21">
        <f t="shared" si="38"/>
        <v>1847.117703800187</v>
      </c>
      <c r="AQ91" s="21">
        <f t="shared" si="39"/>
        <v>1847.117703800187</v>
      </c>
      <c r="AR91" s="21">
        <f t="shared" si="40"/>
        <v>1847.117703800187</v>
      </c>
      <c r="AS91" s="21">
        <f t="shared" si="41"/>
        <v>1847.117703800187</v>
      </c>
      <c r="AT91" s="21">
        <f t="shared" si="42"/>
        <v>1847.117703800187</v>
      </c>
    </row>
    <row r="92" spans="1:46">
      <c r="A92">
        <v>67</v>
      </c>
      <c r="B92">
        <f t="shared" si="34"/>
        <v>2087</v>
      </c>
      <c r="C92" s="18">
        <f t="shared" si="43"/>
        <v>71.526632431585085</v>
      </c>
      <c r="D92" s="18">
        <f t="shared" si="44"/>
        <v>64.40040370503182</v>
      </c>
      <c r="E92" s="18">
        <f t="shared" si="45"/>
        <v>66.360092680224525</v>
      </c>
      <c r="F92" s="18">
        <f t="shared" si="46"/>
        <v>68.582887394481929</v>
      </c>
      <c r="G92" s="18">
        <f t="shared" si="47"/>
        <v>69.785684043809354</v>
      </c>
      <c r="H92" s="18">
        <f t="shared" si="48"/>
        <v>72.346892796394116</v>
      </c>
      <c r="I92" s="18">
        <f t="shared" si="49"/>
        <v>75.087327552808887</v>
      </c>
      <c r="J92" s="18">
        <f t="shared" si="50"/>
        <v>77.977691136729007</v>
      </c>
      <c r="L92">
        <f>'Learning curve parameters'!D96</f>
        <v>0.05</v>
      </c>
      <c r="M92">
        <f>'Learning curve parameters'!E96</f>
        <v>0.05</v>
      </c>
      <c r="N92">
        <f>'Learning curve parameters'!F96</f>
        <v>0.05</v>
      </c>
      <c r="O92">
        <f>'Learning curve parameters'!G96</f>
        <v>0.05</v>
      </c>
      <c r="P92">
        <f>'Learning curve parameters'!H96</f>
        <v>0.05</v>
      </c>
      <c r="Q92">
        <f>'Learning curve parameters'!I96</f>
        <v>0.05</v>
      </c>
      <c r="R92">
        <f>'Learning curve parameters'!J96</f>
        <v>0.05</v>
      </c>
      <c r="S92">
        <f>'Learning curve parameters'!K96</f>
        <v>0.05</v>
      </c>
      <c r="U92" s="16">
        <f t="shared" si="51"/>
        <v>186558.88808381886</v>
      </c>
      <c r="V92" s="16">
        <f t="shared" si="52"/>
        <v>186558.88808381886</v>
      </c>
      <c r="W92" s="16">
        <f t="shared" si="53"/>
        <v>186558.88808381886</v>
      </c>
      <c r="X92" s="16">
        <f t="shared" si="54"/>
        <v>186558.88808381886</v>
      </c>
      <c r="Y92" s="16">
        <f t="shared" si="55"/>
        <v>186558.88808381886</v>
      </c>
      <c r="Z92" s="16">
        <f t="shared" si="56"/>
        <v>186558.88808381886</v>
      </c>
      <c r="AA92" s="16">
        <f t="shared" si="57"/>
        <v>186558.88808381886</v>
      </c>
      <c r="AB92" s="16">
        <f t="shared" si="58"/>
        <v>186558.88808381886</v>
      </c>
      <c r="AD92" s="12">
        <f>'Learning curve parameters'!M96</f>
        <v>0.01</v>
      </c>
      <c r="AE92" s="12">
        <f>'Learning curve parameters'!N96</f>
        <v>0.01</v>
      </c>
      <c r="AF92" s="12">
        <f>'Learning curve parameters'!O96</f>
        <v>0.01</v>
      </c>
      <c r="AG92" s="12">
        <f>'Learning curve parameters'!P96</f>
        <v>0.01</v>
      </c>
      <c r="AH92" s="12">
        <f>'Learning curve parameters'!Q96</f>
        <v>0.01</v>
      </c>
      <c r="AI92" s="12">
        <f>'Learning curve parameters'!R96</f>
        <v>0.01</v>
      </c>
      <c r="AJ92" s="12">
        <f>'Learning curve parameters'!S96</f>
        <v>0.01</v>
      </c>
      <c r="AK92" s="12">
        <f>'Learning curve parameters'!T96</f>
        <v>0.01</v>
      </c>
      <c r="AM92" s="21">
        <f t="shared" si="35"/>
        <v>1865.5888808381887</v>
      </c>
      <c r="AN92" s="21">
        <f t="shared" si="36"/>
        <v>1865.5888808381887</v>
      </c>
      <c r="AO92" s="21">
        <f t="shared" si="37"/>
        <v>1865.5888808381887</v>
      </c>
      <c r="AP92" s="21">
        <f t="shared" si="38"/>
        <v>1865.5888808381887</v>
      </c>
      <c r="AQ92" s="21">
        <f t="shared" si="39"/>
        <v>1865.5888808381887</v>
      </c>
      <c r="AR92" s="21">
        <f t="shared" si="40"/>
        <v>1865.5888808381887</v>
      </c>
      <c r="AS92" s="21">
        <f t="shared" si="41"/>
        <v>1865.5888808381887</v>
      </c>
      <c r="AT92" s="21">
        <f t="shared" si="42"/>
        <v>1865.5888808381887</v>
      </c>
    </row>
    <row r="93" spans="1:46">
      <c r="A93">
        <v>68</v>
      </c>
      <c r="B93">
        <f t="shared" si="34"/>
        <v>2088</v>
      </c>
      <c r="C93" s="18">
        <f t="shared" si="43"/>
        <v>71.531481092717144</v>
      </c>
      <c r="D93" s="18">
        <f t="shared" si="44"/>
        <v>64.405252366163879</v>
      </c>
      <c r="E93" s="18">
        <f t="shared" si="45"/>
        <v>66.364941341356584</v>
      </c>
      <c r="F93" s="18">
        <f t="shared" si="46"/>
        <v>68.587736055613988</v>
      </c>
      <c r="G93" s="18">
        <f t="shared" si="47"/>
        <v>69.790532704941413</v>
      </c>
      <c r="H93" s="18">
        <f t="shared" si="48"/>
        <v>72.351741457526174</v>
      </c>
      <c r="I93" s="18">
        <f t="shared" si="49"/>
        <v>75.092176213940945</v>
      </c>
      <c r="J93" s="18">
        <f t="shared" si="50"/>
        <v>77.982539797861065</v>
      </c>
      <c r="L93">
        <f>'Learning curve parameters'!D97</f>
        <v>0.05</v>
      </c>
      <c r="M93">
        <f>'Learning curve parameters'!E97</f>
        <v>0.05</v>
      </c>
      <c r="N93">
        <f>'Learning curve parameters'!F97</f>
        <v>0.05</v>
      </c>
      <c r="O93">
        <f>'Learning curve parameters'!G97</f>
        <v>0.05</v>
      </c>
      <c r="P93">
        <f>'Learning curve parameters'!H97</f>
        <v>0.05</v>
      </c>
      <c r="Q93">
        <f>'Learning curve parameters'!I97</f>
        <v>0.05</v>
      </c>
      <c r="R93">
        <f>'Learning curve parameters'!J97</f>
        <v>0.05</v>
      </c>
      <c r="S93">
        <f>'Learning curve parameters'!K97</f>
        <v>0.05</v>
      </c>
      <c r="U93" s="16">
        <f t="shared" si="51"/>
        <v>188424.47696465705</v>
      </c>
      <c r="V93" s="16">
        <f t="shared" si="52"/>
        <v>188424.47696465705</v>
      </c>
      <c r="W93" s="16">
        <f t="shared" si="53"/>
        <v>188424.47696465705</v>
      </c>
      <c r="X93" s="16">
        <f t="shared" si="54"/>
        <v>188424.47696465705</v>
      </c>
      <c r="Y93" s="16">
        <f t="shared" si="55"/>
        <v>188424.47696465705</v>
      </c>
      <c r="Z93" s="16">
        <f t="shared" si="56"/>
        <v>188424.47696465705</v>
      </c>
      <c r="AA93" s="16">
        <f t="shared" si="57"/>
        <v>188424.47696465705</v>
      </c>
      <c r="AB93" s="16">
        <f t="shared" si="58"/>
        <v>188424.47696465705</v>
      </c>
      <c r="AD93" s="12">
        <f>'Learning curve parameters'!M97</f>
        <v>0.01</v>
      </c>
      <c r="AE93" s="12">
        <f>'Learning curve parameters'!N97</f>
        <v>0.01</v>
      </c>
      <c r="AF93" s="12">
        <f>'Learning curve parameters'!O97</f>
        <v>0.01</v>
      </c>
      <c r="AG93" s="12">
        <f>'Learning curve parameters'!P97</f>
        <v>0.01</v>
      </c>
      <c r="AH93" s="12">
        <f>'Learning curve parameters'!Q97</f>
        <v>0.01</v>
      </c>
      <c r="AI93" s="12">
        <f>'Learning curve parameters'!R97</f>
        <v>0.01</v>
      </c>
      <c r="AJ93" s="12">
        <f>'Learning curve parameters'!S97</f>
        <v>0.01</v>
      </c>
      <c r="AK93" s="12">
        <f>'Learning curve parameters'!T97</f>
        <v>0.01</v>
      </c>
      <c r="AM93" s="21">
        <f t="shared" si="35"/>
        <v>1884.2447696465706</v>
      </c>
      <c r="AN93" s="21">
        <f t="shared" si="36"/>
        <v>1884.2447696465706</v>
      </c>
      <c r="AO93" s="21">
        <f t="shared" si="37"/>
        <v>1884.2447696465706</v>
      </c>
      <c r="AP93" s="21">
        <f t="shared" si="38"/>
        <v>1884.2447696465706</v>
      </c>
      <c r="AQ93" s="21">
        <f t="shared" si="39"/>
        <v>1884.2447696465706</v>
      </c>
      <c r="AR93" s="21">
        <f t="shared" si="40"/>
        <v>1884.2447696465706</v>
      </c>
      <c r="AS93" s="21">
        <f t="shared" si="41"/>
        <v>1884.2447696465706</v>
      </c>
      <c r="AT93" s="21">
        <f t="shared" si="42"/>
        <v>1884.2447696465706</v>
      </c>
    </row>
    <row r="94" spans="1:46">
      <c r="A94">
        <v>69</v>
      </c>
      <c r="B94">
        <f t="shared" si="34"/>
        <v>2089</v>
      </c>
      <c r="C94" s="18">
        <f t="shared" si="43"/>
        <v>71.536329753849202</v>
      </c>
      <c r="D94" s="18">
        <f t="shared" si="44"/>
        <v>64.410101027295937</v>
      </c>
      <c r="E94" s="18">
        <f t="shared" si="45"/>
        <v>66.369790002488642</v>
      </c>
      <c r="F94" s="18">
        <f t="shared" si="46"/>
        <v>68.592584716746046</v>
      </c>
      <c r="G94" s="18">
        <f t="shared" si="47"/>
        <v>69.795381366073471</v>
      </c>
      <c r="H94" s="18">
        <f t="shared" si="48"/>
        <v>72.356590118658232</v>
      </c>
      <c r="I94" s="18">
        <f t="shared" si="49"/>
        <v>75.097024875073004</v>
      </c>
      <c r="J94" s="18">
        <f t="shared" si="50"/>
        <v>77.987388458993124</v>
      </c>
      <c r="L94">
        <f>'Learning curve parameters'!D98</f>
        <v>0.05</v>
      </c>
      <c r="M94">
        <f>'Learning curve parameters'!E98</f>
        <v>0.05</v>
      </c>
      <c r="N94">
        <f>'Learning curve parameters'!F98</f>
        <v>0.05</v>
      </c>
      <c r="O94">
        <f>'Learning curve parameters'!G98</f>
        <v>0.05</v>
      </c>
      <c r="P94">
        <f>'Learning curve parameters'!H98</f>
        <v>0.05</v>
      </c>
      <c r="Q94">
        <f>'Learning curve parameters'!I98</f>
        <v>0.05</v>
      </c>
      <c r="R94">
        <f>'Learning curve parameters'!J98</f>
        <v>0.05</v>
      </c>
      <c r="S94">
        <f>'Learning curve parameters'!K98</f>
        <v>0.05</v>
      </c>
      <c r="U94" s="16">
        <f t="shared" si="51"/>
        <v>190308.72173430363</v>
      </c>
      <c r="V94" s="16">
        <f t="shared" si="52"/>
        <v>190308.72173430363</v>
      </c>
      <c r="W94" s="16">
        <f t="shared" si="53"/>
        <v>190308.72173430363</v>
      </c>
      <c r="X94" s="16">
        <f t="shared" si="54"/>
        <v>190308.72173430363</v>
      </c>
      <c r="Y94" s="16">
        <f t="shared" si="55"/>
        <v>190308.72173430363</v>
      </c>
      <c r="Z94" s="16">
        <f t="shared" si="56"/>
        <v>190308.72173430363</v>
      </c>
      <c r="AA94" s="16">
        <f t="shared" si="57"/>
        <v>190308.72173430363</v>
      </c>
      <c r="AB94" s="16">
        <f t="shared" si="58"/>
        <v>190308.72173430363</v>
      </c>
      <c r="AD94" s="12">
        <f>'Learning curve parameters'!M98</f>
        <v>0.01</v>
      </c>
      <c r="AE94" s="12">
        <f>'Learning curve parameters'!N98</f>
        <v>0.01</v>
      </c>
      <c r="AF94" s="12">
        <f>'Learning curve parameters'!O98</f>
        <v>0.01</v>
      </c>
      <c r="AG94" s="12">
        <f>'Learning curve parameters'!P98</f>
        <v>0.01</v>
      </c>
      <c r="AH94" s="12">
        <f>'Learning curve parameters'!Q98</f>
        <v>0.01</v>
      </c>
      <c r="AI94" s="12">
        <f>'Learning curve parameters'!R98</f>
        <v>0.01</v>
      </c>
      <c r="AJ94" s="12">
        <f>'Learning curve parameters'!S98</f>
        <v>0.01</v>
      </c>
      <c r="AK94" s="12">
        <f>'Learning curve parameters'!T98</f>
        <v>0.01</v>
      </c>
      <c r="AM94" s="21">
        <f t="shared" si="35"/>
        <v>1903.0872173430364</v>
      </c>
      <c r="AN94" s="21">
        <f t="shared" si="36"/>
        <v>1903.0872173430364</v>
      </c>
      <c r="AO94" s="21">
        <f t="shared" si="37"/>
        <v>1903.0872173430364</v>
      </c>
      <c r="AP94" s="21">
        <f t="shared" si="38"/>
        <v>1903.0872173430364</v>
      </c>
      <c r="AQ94" s="21">
        <f t="shared" si="39"/>
        <v>1903.0872173430364</v>
      </c>
      <c r="AR94" s="21">
        <f t="shared" si="40"/>
        <v>1903.0872173430364</v>
      </c>
      <c r="AS94" s="21">
        <f t="shared" si="41"/>
        <v>1903.0872173430364</v>
      </c>
      <c r="AT94" s="21">
        <f t="shared" si="42"/>
        <v>1903.0872173430364</v>
      </c>
    </row>
    <row r="95" spans="1:46">
      <c r="A95">
        <v>70</v>
      </c>
      <c r="B95">
        <f t="shared" si="34"/>
        <v>2090</v>
      </c>
      <c r="C95" s="18">
        <f t="shared" si="43"/>
        <v>71.54117841498126</v>
      </c>
      <c r="D95" s="18">
        <f t="shared" si="44"/>
        <v>64.414949688427996</v>
      </c>
      <c r="E95" s="18">
        <f t="shared" si="45"/>
        <v>66.374638663620701</v>
      </c>
      <c r="F95" s="18">
        <f t="shared" si="46"/>
        <v>68.597433377878104</v>
      </c>
      <c r="G95" s="18">
        <f t="shared" si="47"/>
        <v>69.800230027205529</v>
      </c>
      <c r="H95" s="18">
        <f t="shared" si="48"/>
        <v>72.361438779790291</v>
      </c>
      <c r="I95" s="18">
        <f t="shared" si="49"/>
        <v>75.101873536205062</v>
      </c>
      <c r="J95" s="18">
        <f t="shared" si="50"/>
        <v>77.992237120125182</v>
      </c>
      <c r="L95">
        <f>'Learning curve parameters'!D99</f>
        <v>0.05</v>
      </c>
      <c r="M95">
        <f>'Learning curve parameters'!E99</f>
        <v>0.05</v>
      </c>
      <c r="N95">
        <f>'Learning curve parameters'!F99</f>
        <v>0.05</v>
      </c>
      <c r="O95">
        <f>'Learning curve parameters'!G99</f>
        <v>0.05</v>
      </c>
      <c r="P95">
        <f>'Learning curve parameters'!H99</f>
        <v>0.05</v>
      </c>
      <c r="Q95">
        <f>'Learning curve parameters'!I99</f>
        <v>0.05</v>
      </c>
      <c r="R95">
        <f>'Learning curve parameters'!J99</f>
        <v>0.05</v>
      </c>
      <c r="S95">
        <f>'Learning curve parameters'!K99</f>
        <v>0.05</v>
      </c>
      <c r="U95" s="16">
        <f t="shared" si="51"/>
        <v>192211.80895164667</v>
      </c>
      <c r="V95" s="16">
        <f t="shared" si="52"/>
        <v>192211.80895164667</v>
      </c>
      <c r="W95" s="16">
        <f t="shared" si="53"/>
        <v>192211.80895164667</v>
      </c>
      <c r="X95" s="16">
        <f t="shared" si="54"/>
        <v>192211.80895164667</v>
      </c>
      <c r="Y95" s="16">
        <f t="shared" si="55"/>
        <v>192211.80895164667</v>
      </c>
      <c r="Z95" s="16">
        <f t="shared" si="56"/>
        <v>192211.80895164667</v>
      </c>
      <c r="AA95" s="16">
        <f t="shared" si="57"/>
        <v>192211.80895164667</v>
      </c>
      <c r="AB95" s="16">
        <f t="shared" si="58"/>
        <v>192211.80895164667</v>
      </c>
      <c r="AD95" s="12">
        <f>'Learning curve parameters'!M99</f>
        <v>0.01</v>
      </c>
      <c r="AE95" s="12">
        <f>'Learning curve parameters'!N99</f>
        <v>0.01</v>
      </c>
      <c r="AF95" s="12">
        <f>'Learning curve parameters'!O99</f>
        <v>0.01</v>
      </c>
      <c r="AG95" s="12">
        <f>'Learning curve parameters'!P99</f>
        <v>0.01</v>
      </c>
      <c r="AH95" s="12">
        <f>'Learning curve parameters'!Q99</f>
        <v>0.01</v>
      </c>
      <c r="AI95" s="12">
        <f>'Learning curve parameters'!R99</f>
        <v>0.01</v>
      </c>
      <c r="AJ95" s="12">
        <f>'Learning curve parameters'!S99</f>
        <v>0.01</v>
      </c>
      <c r="AK95" s="12">
        <f>'Learning curve parameters'!T99</f>
        <v>0.01</v>
      </c>
      <c r="AM95" s="21">
        <f t="shared" si="35"/>
        <v>1922.1180895164669</v>
      </c>
      <c r="AN95" s="21">
        <f t="shared" si="36"/>
        <v>1922.1180895164669</v>
      </c>
      <c r="AO95" s="21">
        <f t="shared" si="37"/>
        <v>1922.1180895164669</v>
      </c>
      <c r="AP95" s="21">
        <f t="shared" si="38"/>
        <v>1922.1180895164669</v>
      </c>
      <c r="AQ95" s="21">
        <f t="shared" si="39"/>
        <v>1922.1180895164669</v>
      </c>
      <c r="AR95" s="21">
        <f t="shared" si="40"/>
        <v>1922.1180895164669</v>
      </c>
      <c r="AS95" s="21">
        <f t="shared" si="41"/>
        <v>1922.1180895164669</v>
      </c>
      <c r="AT95" s="21">
        <f t="shared" si="42"/>
        <v>1922.1180895164669</v>
      </c>
    </row>
    <row r="96" spans="1:46">
      <c r="A96">
        <v>71</v>
      </c>
      <c r="B96">
        <f t="shared" si="34"/>
        <v>2091</v>
      </c>
      <c r="C96" s="18">
        <f t="shared" si="43"/>
        <v>71.546027076113319</v>
      </c>
      <c r="D96" s="18">
        <f t="shared" si="44"/>
        <v>64.419798349560054</v>
      </c>
      <c r="E96" s="18">
        <f t="shared" si="45"/>
        <v>66.379487324752759</v>
      </c>
      <c r="F96" s="18">
        <f t="shared" si="46"/>
        <v>68.602282039010163</v>
      </c>
      <c r="G96" s="18">
        <f t="shared" si="47"/>
        <v>69.805078688337588</v>
      </c>
      <c r="H96" s="18">
        <f t="shared" si="48"/>
        <v>72.366287440922349</v>
      </c>
      <c r="I96" s="18">
        <f t="shared" si="49"/>
        <v>75.10672219733712</v>
      </c>
      <c r="J96" s="18">
        <f t="shared" si="50"/>
        <v>77.99708578125724</v>
      </c>
      <c r="L96">
        <f>'Learning curve parameters'!D100</f>
        <v>0.05</v>
      </c>
      <c r="M96">
        <f>'Learning curve parameters'!E100</f>
        <v>0.05</v>
      </c>
      <c r="N96">
        <f>'Learning curve parameters'!F100</f>
        <v>0.05</v>
      </c>
      <c r="O96">
        <f>'Learning curve parameters'!G100</f>
        <v>0.05</v>
      </c>
      <c r="P96">
        <f>'Learning curve parameters'!H100</f>
        <v>0.05</v>
      </c>
      <c r="Q96">
        <f>'Learning curve parameters'!I100</f>
        <v>0.05</v>
      </c>
      <c r="R96">
        <f>'Learning curve parameters'!J100</f>
        <v>0.05</v>
      </c>
      <c r="S96">
        <f>'Learning curve parameters'!K100</f>
        <v>0.05</v>
      </c>
      <c r="U96" s="16">
        <f t="shared" si="51"/>
        <v>194133.92704116314</v>
      </c>
      <c r="V96" s="16">
        <f t="shared" si="52"/>
        <v>194133.92704116314</v>
      </c>
      <c r="W96" s="16">
        <f t="shared" si="53"/>
        <v>194133.92704116314</v>
      </c>
      <c r="X96" s="16">
        <f t="shared" si="54"/>
        <v>194133.92704116314</v>
      </c>
      <c r="Y96" s="16">
        <f t="shared" si="55"/>
        <v>194133.92704116314</v>
      </c>
      <c r="Z96" s="16">
        <f t="shared" si="56"/>
        <v>194133.92704116314</v>
      </c>
      <c r="AA96" s="16">
        <f t="shared" si="57"/>
        <v>194133.92704116314</v>
      </c>
      <c r="AB96" s="16">
        <f t="shared" si="58"/>
        <v>194133.92704116314</v>
      </c>
      <c r="AD96" s="12">
        <f>'Learning curve parameters'!M100</f>
        <v>0.01</v>
      </c>
      <c r="AE96" s="12">
        <f>'Learning curve parameters'!N100</f>
        <v>0.01</v>
      </c>
      <c r="AF96" s="12">
        <f>'Learning curve parameters'!O100</f>
        <v>0.01</v>
      </c>
      <c r="AG96" s="12">
        <f>'Learning curve parameters'!P100</f>
        <v>0.01</v>
      </c>
      <c r="AH96" s="12">
        <f>'Learning curve parameters'!Q100</f>
        <v>0.01</v>
      </c>
      <c r="AI96" s="12">
        <f>'Learning curve parameters'!R100</f>
        <v>0.01</v>
      </c>
      <c r="AJ96" s="12">
        <f>'Learning curve parameters'!S100</f>
        <v>0.01</v>
      </c>
      <c r="AK96" s="12">
        <f>'Learning curve parameters'!T100</f>
        <v>0.01</v>
      </c>
      <c r="AM96" s="21">
        <f t="shared" si="35"/>
        <v>1941.3392704116316</v>
      </c>
      <c r="AN96" s="21">
        <f t="shared" si="36"/>
        <v>1941.3392704116316</v>
      </c>
      <c r="AO96" s="21">
        <f t="shared" si="37"/>
        <v>1941.3392704116316</v>
      </c>
      <c r="AP96" s="21">
        <f t="shared" si="38"/>
        <v>1941.3392704116316</v>
      </c>
      <c r="AQ96" s="21">
        <f t="shared" si="39"/>
        <v>1941.3392704116316</v>
      </c>
      <c r="AR96" s="21">
        <f t="shared" si="40"/>
        <v>1941.3392704116316</v>
      </c>
      <c r="AS96" s="21">
        <f t="shared" si="41"/>
        <v>1941.3392704116316</v>
      </c>
      <c r="AT96" s="21">
        <f t="shared" si="42"/>
        <v>1941.3392704116316</v>
      </c>
    </row>
    <row r="97" spans="1:46">
      <c r="A97">
        <v>72</v>
      </c>
      <c r="B97">
        <f t="shared" si="34"/>
        <v>2092</v>
      </c>
      <c r="C97" s="18">
        <f t="shared" si="43"/>
        <v>71.550875737245377</v>
      </c>
      <c r="D97" s="18">
        <f t="shared" si="44"/>
        <v>64.424647010692112</v>
      </c>
      <c r="E97" s="18">
        <f t="shared" si="45"/>
        <v>66.384335985884817</v>
      </c>
      <c r="F97" s="18">
        <f t="shared" si="46"/>
        <v>68.607130700142221</v>
      </c>
      <c r="G97" s="18">
        <f t="shared" si="47"/>
        <v>69.809927349469646</v>
      </c>
      <c r="H97" s="18">
        <f t="shared" si="48"/>
        <v>72.371136102054408</v>
      </c>
      <c r="I97" s="18">
        <f t="shared" si="49"/>
        <v>75.111570858469179</v>
      </c>
      <c r="J97" s="18">
        <f t="shared" si="50"/>
        <v>78.001934442389299</v>
      </c>
      <c r="L97">
        <f>'Learning curve parameters'!D101</f>
        <v>0.05</v>
      </c>
      <c r="M97">
        <f>'Learning curve parameters'!E101</f>
        <v>0.05</v>
      </c>
      <c r="N97">
        <f>'Learning curve parameters'!F101</f>
        <v>0.05</v>
      </c>
      <c r="O97">
        <f>'Learning curve parameters'!G101</f>
        <v>0.05</v>
      </c>
      <c r="P97">
        <f>'Learning curve parameters'!H101</f>
        <v>0.05</v>
      </c>
      <c r="Q97">
        <f>'Learning curve parameters'!I101</f>
        <v>0.05</v>
      </c>
      <c r="R97">
        <f>'Learning curve parameters'!J101</f>
        <v>0.05</v>
      </c>
      <c r="S97">
        <f>'Learning curve parameters'!K101</f>
        <v>0.05</v>
      </c>
      <c r="U97" s="16">
        <f t="shared" si="51"/>
        <v>196075.26631157479</v>
      </c>
      <c r="V97" s="16">
        <f t="shared" si="52"/>
        <v>196075.26631157479</v>
      </c>
      <c r="W97" s="16">
        <f t="shared" si="53"/>
        <v>196075.26631157479</v>
      </c>
      <c r="X97" s="16">
        <f t="shared" si="54"/>
        <v>196075.26631157479</v>
      </c>
      <c r="Y97" s="16">
        <f t="shared" si="55"/>
        <v>196075.26631157479</v>
      </c>
      <c r="Z97" s="16">
        <f t="shared" si="56"/>
        <v>196075.26631157479</v>
      </c>
      <c r="AA97" s="16">
        <f t="shared" si="57"/>
        <v>196075.26631157479</v>
      </c>
      <c r="AB97" s="16">
        <f t="shared" si="58"/>
        <v>196075.26631157479</v>
      </c>
      <c r="AD97" s="12">
        <f>'Learning curve parameters'!M101</f>
        <v>0.01</v>
      </c>
      <c r="AE97" s="12">
        <f>'Learning curve parameters'!N101</f>
        <v>0.01</v>
      </c>
      <c r="AF97" s="12">
        <f>'Learning curve parameters'!O101</f>
        <v>0.01</v>
      </c>
      <c r="AG97" s="12">
        <f>'Learning curve parameters'!P101</f>
        <v>0.01</v>
      </c>
      <c r="AH97" s="12">
        <f>'Learning curve parameters'!Q101</f>
        <v>0.01</v>
      </c>
      <c r="AI97" s="12">
        <f>'Learning curve parameters'!R101</f>
        <v>0.01</v>
      </c>
      <c r="AJ97" s="12">
        <f>'Learning curve parameters'!S101</f>
        <v>0.01</v>
      </c>
      <c r="AK97" s="12">
        <f>'Learning curve parameters'!T101</f>
        <v>0.01</v>
      </c>
      <c r="AM97" s="21">
        <f t="shared" si="35"/>
        <v>1960.752663115748</v>
      </c>
      <c r="AN97" s="21">
        <f t="shared" si="36"/>
        <v>1960.752663115748</v>
      </c>
      <c r="AO97" s="21">
        <f t="shared" si="37"/>
        <v>1960.752663115748</v>
      </c>
      <c r="AP97" s="21">
        <f t="shared" si="38"/>
        <v>1960.752663115748</v>
      </c>
      <c r="AQ97" s="21">
        <f t="shared" si="39"/>
        <v>1960.752663115748</v>
      </c>
      <c r="AR97" s="21">
        <f t="shared" si="40"/>
        <v>1960.752663115748</v>
      </c>
      <c r="AS97" s="21">
        <f t="shared" si="41"/>
        <v>1960.752663115748</v>
      </c>
      <c r="AT97" s="21">
        <f t="shared" si="42"/>
        <v>1960.752663115748</v>
      </c>
    </row>
    <row r="98" spans="1:46">
      <c r="A98">
        <v>73</v>
      </c>
      <c r="B98">
        <f t="shared" si="34"/>
        <v>2093</v>
      </c>
      <c r="C98" s="18">
        <f t="shared" si="43"/>
        <v>71.555724398377436</v>
      </c>
      <c r="D98" s="18">
        <f t="shared" si="44"/>
        <v>64.429495671824171</v>
      </c>
      <c r="E98" s="18">
        <f t="shared" si="45"/>
        <v>66.389184647016876</v>
      </c>
      <c r="F98" s="18">
        <f t="shared" si="46"/>
        <v>68.61197936127428</v>
      </c>
      <c r="G98" s="18">
        <f t="shared" si="47"/>
        <v>69.814776010601705</v>
      </c>
      <c r="H98" s="18">
        <f t="shared" si="48"/>
        <v>72.375984763186466</v>
      </c>
      <c r="I98" s="18">
        <f t="shared" si="49"/>
        <v>75.116419519601237</v>
      </c>
      <c r="J98" s="18">
        <f t="shared" si="50"/>
        <v>78.006783103521357</v>
      </c>
      <c r="L98">
        <f>'Learning curve parameters'!D102</f>
        <v>0.05</v>
      </c>
      <c r="M98">
        <f>'Learning curve parameters'!E102</f>
        <v>0.05</v>
      </c>
      <c r="N98">
        <f>'Learning curve parameters'!F102</f>
        <v>0.05</v>
      </c>
      <c r="O98">
        <f>'Learning curve parameters'!G102</f>
        <v>0.05</v>
      </c>
      <c r="P98">
        <f>'Learning curve parameters'!H102</f>
        <v>0.05</v>
      </c>
      <c r="Q98">
        <f>'Learning curve parameters'!I102</f>
        <v>0.05</v>
      </c>
      <c r="R98">
        <f>'Learning curve parameters'!J102</f>
        <v>0.05</v>
      </c>
      <c r="S98">
        <f>'Learning curve parameters'!K102</f>
        <v>0.05</v>
      </c>
      <c r="U98" s="16">
        <f t="shared" si="51"/>
        <v>198036.01897469052</v>
      </c>
      <c r="V98" s="16">
        <f t="shared" si="52"/>
        <v>198036.01897469052</v>
      </c>
      <c r="W98" s="16">
        <f t="shared" si="53"/>
        <v>198036.01897469052</v>
      </c>
      <c r="X98" s="16">
        <f t="shared" si="54"/>
        <v>198036.01897469052</v>
      </c>
      <c r="Y98" s="16">
        <f t="shared" si="55"/>
        <v>198036.01897469052</v>
      </c>
      <c r="Z98" s="16">
        <f t="shared" si="56"/>
        <v>198036.01897469052</v>
      </c>
      <c r="AA98" s="16">
        <f t="shared" si="57"/>
        <v>198036.01897469052</v>
      </c>
      <c r="AB98" s="16">
        <f t="shared" si="58"/>
        <v>198036.01897469052</v>
      </c>
      <c r="AD98" s="12">
        <f>'Learning curve parameters'!M102</f>
        <v>0.01</v>
      </c>
      <c r="AE98" s="12">
        <f>'Learning curve parameters'!N102</f>
        <v>0.01</v>
      </c>
      <c r="AF98" s="12">
        <f>'Learning curve parameters'!O102</f>
        <v>0.01</v>
      </c>
      <c r="AG98" s="12">
        <f>'Learning curve parameters'!P102</f>
        <v>0.01</v>
      </c>
      <c r="AH98" s="12">
        <f>'Learning curve parameters'!Q102</f>
        <v>0.01</v>
      </c>
      <c r="AI98" s="12">
        <f>'Learning curve parameters'!R102</f>
        <v>0.01</v>
      </c>
      <c r="AJ98" s="12">
        <f>'Learning curve parameters'!S102</f>
        <v>0.01</v>
      </c>
      <c r="AK98" s="12">
        <f>'Learning curve parameters'!T102</f>
        <v>0.01</v>
      </c>
      <c r="AM98" s="21">
        <f t="shared" si="35"/>
        <v>1980.3601897469052</v>
      </c>
      <c r="AN98" s="21">
        <f t="shared" si="36"/>
        <v>1980.3601897469052</v>
      </c>
      <c r="AO98" s="21">
        <f t="shared" si="37"/>
        <v>1980.3601897469052</v>
      </c>
      <c r="AP98" s="21">
        <f t="shared" si="38"/>
        <v>1980.3601897469052</v>
      </c>
      <c r="AQ98" s="21">
        <f t="shared" si="39"/>
        <v>1980.3601897469052</v>
      </c>
      <c r="AR98" s="21">
        <f t="shared" si="40"/>
        <v>1980.3601897469052</v>
      </c>
      <c r="AS98" s="21">
        <f t="shared" si="41"/>
        <v>1980.3601897469052</v>
      </c>
      <c r="AT98" s="21">
        <f t="shared" si="42"/>
        <v>1980.3601897469052</v>
      </c>
    </row>
    <row r="99" spans="1:46">
      <c r="A99">
        <v>74</v>
      </c>
      <c r="B99">
        <f t="shared" si="34"/>
        <v>2094</v>
      </c>
      <c r="C99" s="18">
        <f t="shared" si="43"/>
        <v>71.560573059509494</v>
      </c>
      <c r="D99" s="18">
        <f t="shared" si="44"/>
        <v>64.434344332956229</v>
      </c>
      <c r="E99" s="18">
        <f t="shared" si="45"/>
        <v>66.394033308148934</v>
      </c>
      <c r="F99" s="18">
        <f t="shared" si="46"/>
        <v>68.616828022406338</v>
      </c>
      <c r="G99" s="18">
        <f t="shared" si="47"/>
        <v>69.819624671733763</v>
      </c>
      <c r="H99" s="18">
        <f t="shared" si="48"/>
        <v>72.380833424318524</v>
      </c>
      <c r="I99" s="18">
        <f t="shared" si="49"/>
        <v>75.121268180733296</v>
      </c>
      <c r="J99" s="18">
        <f t="shared" si="50"/>
        <v>78.011631764653416</v>
      </c>
      <c r="L99">
        <f>'Learning curve parameters'!D103</f>
        <v>0.05</v>
      </c>
      <c r="M99">
        <f>'Learning curve parameters'!E103</f>
        <v>0.05</v>
      </c>
      <c r="N99">
        <f>'Learning curve parameters'!F103</f>
        <v>0.05</v>
      </c>
      <c r="O99">
        <f>'Learning curve parameters'!G103</f>
        <v>0.05</v>
      </c>
      <c r="P99">
        <f>'Learning curve parameters'!H103</f>
        <v>0.05</v>
      </c>
      <c r="Q99">
        <f>'Learning curve parameters'!I103</f>
        <v>0.05</v>
      </c>
      <c r="R99">
        <f>'Learning curve parameters'!J103</f>
        <v>0.05</v>
      </c>
      <c r="S99">
        <f>'Learning curve parameters'!K103</f>
        <v>0.05</v>
      </c>
      <c r="U99" s="16">
        <f t="shared" si="51"/>
        <v>200016.37916443741</v>
      </c>
      <c r="V99" s="16">
        <f t="shared" si="52"/>
        <v>200016.37916443741</v>
      </c>
      <c r="W99" s="16">
        <f t="shared" si="53"/>
        <v>200016.37916443741</v>
      </c>
      <c r="X99" s="16">
        <f t="shared" si="54"/>
        <v>200016.37916443741</v>
      </c>
      <c r="Y99" s="16">
        <f t="shared" si="55"/>
        <v>200016.37916443741</v>
      </c>
      <c r="Z99" s="16">
        <f t="shared" si="56"/>
        <v>200016.37916443741</v>
      </c>
      <c r="AA99" s="16">
        <f t="shared" si="57"/>
        <v>200016.37916443741</v>
      </c>
      <c r="AB99" s="16">
        <f t="shared" si="58"/>
        <v>200016.37916443741</v>
      </c>
      <c r="AD99" s="12">
        <f>'Learning curve parameters'!M103</f>
        <v>0.01</v>
      </c>
      <c r="AE99" s="12">
        <f>'Learning curve parameters'!N103</f>
        <v>0.01</v>
      </c>
      <c r="AF99" s="12">
        <f>'Learning curve parameters'!O103</f>
        <v>0.01</v>
      </c>
      <c r="AG99" s="12">
        <f>'Learning curve parameters'!P103</f>
        <v>0.01</v>
      </c>
      <c r="AH99" s="12">
        <f>'Learning curve parameters'!Q103</f>
        <v>0.01</v>
      </c>
      <c r="AI99" s="12">
        <f>'Learning curve parameters'!R103</f>
        <v>0.01</v>
      </c>
      <c r="AJ99" s="12">
        <f>'Learning curve parameters'!S103</f>
        <v>0.01</v>
      </c>
      <c r="AK99" s="12">
        <f>'Learning curve parameters'!T103</f>
        <v>0.01</v>
      </c>
      <c r="AM99" s="21">
        <f t="shared" si="35"/>
        <v>2000.1637916443742</v>
      </c>
      <c r="AN99" s="21">
        <f t="shared" si="36"/>
        <v>2000.1637916443742</v>
      </c>
      <c r="AO99" s="21">
        <f t="shared" si="37"/>
        <v>2000.1637916443742</v>
      </c>
      <c r="AP99" s="21">
        <f t="shared" si="38"/>
        <v>2000.1637916443742</v>
      </c>
      <c r="AQ99" s="21">
        <f t="shared" si="39"/>
        <v>2000.1637916443742</v>
      </c>
      <c r="AR99" s="21">
        <f t="shared" si="40"/>
        <v>2000.1637916443742</v>
      </c>
      <c r="AS99" s="21">
        <f t="shared" si="41"/>
        <v>2000.1637916443742</v>
      </c>
      <c r="AT99" s="21">
        <f t="shared" si="42"/>
        <v>2000.1637916443742</v>
      </c>
    </row>
    <row r="100" spans="1:46">
      <c r="A100">
        <v>75</v>
      </c>
      <c r="B100">
        <f t="shared" si="34"/>
        <v>2095</v>
      </c>
      <c r="C100" s="18">
        <f t="shared" si="43"/>
        <v>71.565421720641552</v>
      </c>
      <c r="D100" s="18">
        <f t="shared" si="44"/>
        <v>64.439192994088287</v>
      </c>
      <c r="E100" s="18">
        <f t="shared" si="45"/>
        <v>66.398881969280993</v>
      </c>
      <c r="F100" s="18">
        <f t="shared" si="46"/>
        <v>68.621676683538396</v>
      </c>
      <c r="G100" s="18">
        <f t="shared" si="47"/>
        <v>69.824473332865821</v>
      </c>
      <c r="H100" s="18">
        <f t="shared" si="48"/>
        <v>72.385682085450583</v>
      </c>
      <c r="I100" s="18">
        <f t="shared" si="49"/>
        <v>75.126116841865354</v>
      </c>
      <c r="J100" s="18">
        <f t="shared" si="50"/>
        <v>78.016480425785474</v>
      </c>
      <c r="L100">
        <f>'Learning curve parameters'!D104</f>
        <v>0.05</v>
      </c>
      <c r="M100">
        <f>'Learning curve parameters'!E104</f>
        <v>0.05</v>
      </c>
      <c r="N100">
        <f>'Learning curve parameters'!F104</f>
        <v>0.05</v>
      </c>
      <c r="O100">
        <f>'Learning curve parameters'!G104</f>
        <v>0.05</v>
      </c>
      <c r="P100">
        <f>'Learning curve parameters'!H104</f>
        <v>0.05</v>
      </c>
      <c r="Q100">
        <f>'Learning curve parameters'!I104</f>
        <v>0.05</v>
      </c>
      <c r="R100">
        <f>'Learning curve parameters'!J104</f>
        <v>0.05</v>
      </c>
      <c r="S100">
        <f>'Learning curve parameters'!K104</f>
        <v>0.05</v>
      </c>
      <c r="U100" s="16">
        <f t="shared" si="51"/>
        <v>202016.5429560818</v>
      </c>
      <c r="V100" s="16">
        <f t="shared" si="52"/>
        <v>202016.5429560818</v>
      </c>
      <c r="W100" s="16">
        <f t="shared" si="53"/>
        <v>202016.5429560818</v>
      </c>
      <c r="X100" s="16">
        <f t="shared" si="54"/>
        <v>202016.5429560818</v>
      </c>
      <c r="Y100" s="16">
        <f t="shared" si="55"/>
        <v>202016.5429560818</v>
      </c>
      <c r="Z100" s="16">
        <f t="shared" si="56"/>
        <v>202016.5429560818</v>
      </c>
      <c r="AA100" s="16">
        <f t="shared" si="57"/>
        <v>202016.5429560818</v>
      </c>
      <c r="AB100" s="16">
        <f t="shared" si="58"/>
        <v>202016.5429560818</v>
      </c>
      <c r="AD100" s="12">
        <f>'Learning curve parameters'!M104</f>
        <v>0.01</v>
      </c>
      <c r="AE100" s="12">
        <f>'Learning curve parameters'!N104</f>
        <v>0.01</v>
      </c>
      <c r="AF100" s="12">
        <f>'Learning curve parameters'!O104</f>
        <v>0.01</v>
      </c>
      <c r="AG100" s="12">
        <f>'Learning curve parameters'!P104</f>
        <v>0.01</v>
      </c>
      <c r="AH100" s="12">
        <f>'Learning curve parameters'!Q104</f>
        <v>0.01</v>
      </c>
      <c r="AI100" s="12">
        <f>'Learning curve parameters'!R104</f>
        <v>0.01</v>
      </c>
      <c r="AJ100" s="12">
        <f>'Learning curve parameters'!S104</f>
        <v>0.01</v>
      </c>
      <c r="AK100" s="12">
        <f>'Learning curve parameters'!T104</f>
        <v>0.01</v>
      </c>
      <c r="AM100" s="21">
        <f t="shared" si="35"/>
        <v>2020.165429560818</v>
      </c>
      <c r="AN100" s="21">
        <f t="shared" si="36"/>
        <v>2020.165429560818</v>
      </c>
      <c r="AO100" s="21">
        <f t="shared" si="37"/>
        <v>2020.165429560818</v>
      </c>
      <c r="AP100" s="21">
        <f t="shared" si="38"/>
        <v>2020.165429560818</v>
      </c>
      <c r="AQ100" s="21">
        <f t="shared" si="39"/>
        <v>2020.165429560818</v>
      </c>
      <c r="AR100" s="21">
        <f t="shared" si="40"/>
        <v>2020.165429560818</v>
      </c>
      <c r="AS100" s="21">
        <f t="shared" si="41"/>
        <v>2020.165429560818</v>
      </c>
      <c r="AT100" s="21">
        <f t="shared" si="42"/>
        <v>2020.165429560818</v>
      </c>
    </row>
    <row r="101" spans="1:46">
      <c r="A101">
        <v>76</v>
      </c>
      <c r="B101">
        <f t="shared" si="34"/>
        <v>2096</v>
      </c>
      <c r="C101" s="18">
        <f t="shared" si="43"/>
        <v>71.570270381773611</v>
      </c>
      <c r="D101" s="18">
        <f t="shared" si="44"/>
        <v>64.444041655220346</v>
      </c>
      <c r="E101" s="18">
        <f t="shared" si="45"/>
        <v>66.403730630413051</v>
      </c>
      <c r="F101" s="18">
        <f t="shared" si="46"/>
        <v>68.626525344670455</v>
      </c>
      <c r="G101" s="18">
        <f t="shared" si="47"/>
        <v>69.82932199399788</v>
      </c>
      <c r="H101" s="18">
        <f t="shared" si="48"/>
        <v>72.390530746582641</v>
      </c>
      <c r="I101" s="18">
        <f t="shared" si="49"/>
        <v>75.130965502997412</v>
      </c>
      <c r="J101" s="18">
        <f t="shared" si="50"/>
        <v>78.021329086917532</v>
      </c>
      <c r="L101">
        <f>'Learning curve parameters'!D105</f>
        <v>0.05</v>
      </c>
      <c r="M101">
        <f>'Learning curve parameters'!E105</f>
        <v>0.05</v>
      </c>
      <c r="N101">
        <f>'Learning curve parameters'!F105</f>
        <v>0.05</v>
      </c>
      <c r="O101">
        <f>'Learning curve parameters'!G105</f>
        <v>0.05</v>
      </c>
      <c r="P101">
        <f>'Learning curve parameters'!H105</f>
        <v>0.05</v>
      </c>
      <c r="Q101">
        <f>'Learning curve parameters'!I105</f>
        <v>0.05</v>
      </c>
      <c r="R101">
        <f>'Learning curve parameters'!J105</f>
        <v>0.05</v>
      </c>
      <c r="S101">
        <f>'Learning curve parameters'!K105</f>
        <v>0.05</v>
      </c>
      <c r="U101" s="16">
        <f t="shared" si="51"/>
        <v>204036.70838564262</v>
      </c>
      <c r="V101" s="16">
        <f t="shared" si="52"/>
        <v>204036.70838564262</v>
      </c>
      <c r="W101" s="16">
        <f t="shared" si="53"/>
        <v>204036.70838564262</v>
      </c>
      <c r="X101" s="16">
        <f t="shared" si="54"/>
        <v>204036.70838564262</v>
      </c>
      <c r="Y101" s="16">
        <f t="shared" si="55"/>
        <v>204036.70838564262</v>
      </c>
      <c r="Z101" s="16">
        <f t="shared" si="56"/>
        <v>204036.70838564262</v>
      </c>
      <c r="AA101" s="16">
        <f t="shared" si="57"/>
        <v>204036.70838564262</v>
      </c>
      <c r="AB101" s="16">
        <f t="shared" si="58"/>
        <v>204036.70838564262</v>
      </c>
      <c r="AD101" s="12">
        <f>'Learning curve parameters'!M105</f>
        <v>0.01</v>
      </c>
      <c r="AE101" s="12">
        <f>'Learning curve parameters'!N105</f>
        <v>0.01</v>
      </c>
      <c r="AF101" s="12">
        <f>'Learning curve parameters'!O105</f>
        <v>0.01</v>
      </c>
      <c r="AG101" s="12">
        <f>'Learning curve parameters'!P105</f>
        <v>0.01</v>
      </c>
      <c r="AH101" s="12">
        <f>'Learning curve parameters'!Q105</f>
        <v>0.01</v>
      </c>
      <c r="AI101" s="12">
        <f>'Learning curve parameters'!R105</f>
        <v>0.01</v>
      </c>
      <c r="AJ101" s="12">
        <f>'Learning curve parameters'!S105</f>
        <v>0.01</v>
      </c>
      <c r="AK101" s="12">
        <f>'Learning curve parameters'!T105</f>
        <v>0.01</v>
      </c>
      <c r="AM101" s="21">
        <f t="shared" si="35"/>
        <v>2040.3670838564262</v>
      </c>
      <c r="AN101" s="21">
        <f t="shared" si="36"/>
        <v>2040.3670838564262</v>
      </c>
      <c r="AO101" s="21">
        <f t="shared" si="37"/>
        <v>2040.3670838564262</v>
      </c>
      <c r="AP101" s="21">
        <f t="shared" si="38"/>
        <v>2040.3670838564262</v>
      </c>
      <c r="AQ101" s="21">
        <f t="shared" si="39"/>
        <v>2040.3670838564262</v>
      </c>
      <c r="AR101" s="21">
        <f t="shared" si="40"/>
        <v>2040.3670838564262</v>
      </c>
      <c r="AS101" s="21">
        <f t="shared" si="41"/>
        <v>2040.3670838564262</v>
      </c>
      <c r="AT101" s="21">
        <f t="shared" si="42"/>
        <v>2040.3670838564262</v>
      </c>
    </row>
    <row r="102" spans="1:46">
      <c r="A102">
        <v>77</v>
      </c>
      <c r="B102">
        <f t="shared" si="34"/>
        <v>2097</v>
      </c>
      <c r="C102" s="18">
        <f t="shared" si="43"/>
        <v>71.575119042905669</v>
      </c>
      <c r="D102" s="18">
        <f t="shared" si="44"/>
        <v>64.448890316352404</v>
      </c>
      <c r="E102" s="18">
        <f t="shared" si="45"/>
        <v>66.408579291545109</v>
      </c>
      <c r="F102" s="18">
        <f t="shared" si="46"/>
        <v>68.631374005802513</v>
      </c>
      <c r="G102" s="18">
        <f t="shared" si="47"/>
        <v>69.834170655129938</v>
      </c>
      <c r="H102" s="18">
        <f t="shared" si="48"/>
        <v>72.395379407714699</v>
      </c>
      <c r="I102" s="18">
        <f t="shared" si="49"/>
        <v>75.135814164129471</v>
      </c>
      <c r="J102" s="18">
        <f t="shared" si="50"/>
        <v>78.026177748049591</v>
      </c>
      <c r="L102">
        <f>'Learning curve parameters'!D106</f>
        <v>0.05</v>
      </c>
      <c r="M102">
        <f>'Learning curve parameters'!E106</f>
        <v>0.05</v>
      </c>
      <c r="N102">
        <f>'Learning curve parameters'!F106</f>
        <v>0.05</v>
      </c>
      <c r="O102">
        <f>'Learning curve parameters'!G106</f>
        <v>0.05</v>
      </c>
      <c r="P102">
        <f>'Learning curve parameters'!H106</f>
        <v>0.05</v>
      </c>
      <c r="Q102">
        <f>'Learning curve parameters'!I106</f>
        <v>0.05</v>
      </c>
      <c r="R102">
        <f>'Learning curve parameters'!J106</f>
        <v>0.05</v>
      </c>
      <c r="S102">
        <f>'Learning curve parameters'!K106</f>
        <v>0.05</v>
      </c>
      <c r="U102" s="16">
        <f t="shared" si="51"/>
        <v>206077.07546949905</v>
      </c>
      <c r="V102" s="16">
        <f t="shared" si="52"/>
        <v>206077.07546949905</v>
      </c>
      <c r="W102" s="16">
        <f t="shared" si="53"/>
        <v>206077.07546949905</v>
      </c>
      <c r="X102" s="16">
        <f t="shared" si="54"/>
        <v>206077.07546949905</v>
      </c>
      <c r="Y102" s="16">
        <f t="shared" si="55"/>
        <v>206077.07546949905</v>
      </c>
      <c r="Z102" s="16">
        <f t="shared" si="56"/>
        <v>206077.07546949905</v>
      </c>
      <c r="AA102" s="16">
        <f t="shared" si="57"/>
        <v>206077.07546949905</v>
      </c>
      <c r="AB102" s="16">
        <f t="shared" si="58"/>
        <v>206077.07546949905</v>
      </c>
      <c r="AD102" s="12">
        <f>'Learning curve parameters'!M106</f>
        <v>0.01</v>
      </c>
      <c r="AE102" s="12">
        <f>'Learning curve parameters'!N106</f>
        <v>0.01</v>
      </c>
      <c r="AF102" s="12">
        <f>'Learning curve parameters'!O106</f>
        <v>0.01</v>
      </c>
      <c r="AG102" s="12">
        <f>'Learning curve parameters'!P106</f>
        <v>0.01</v>
      </c>
      <c r="AH102" s="12">
        <f>'Learning curve parameters'!Q106</f>
        <v>0.01</v>
      </c>
      <c r="AI102" s="12">
        <f>'Learning curve parameters'!R106</f>
        <v>0.01</v>
      </c>
      <c r="AJ102" s="12">
        <f>'Learning curve parameters'!S106</f>
        <v>0.01</v>
      </c>
      <c r="AK102" s="12">
        <f>'Learning curve parameters'!T106</f>
        <v>0.01</v>
      </c>
      <c r="AM102" s="21">
        <f t="shared" si="35"/>
        <v>2060.7707546949905</v>
      </c>
      <c r="AN102" s="21">
        <f t="shared" si="36"/>
        <v>2060.7707546949905</v>
      </c>
      <c r="AO102" s="21">
        <f t="shared" si="37"/>
        <v>2060.7707546949905</v>
      </c>
      <c r="AP102" s="21">
        <f t="shared" si="38"/>
        <v>2060.7707546949905</v>
      </c>
      <c r="AQ102" s="21">
        <f t="shared" si="39"/>
        <v>2060.7707546949905</v>
      </c>
      <c r="AR102" s="21">
        <f t="shared" si="40"/>
        <v>2060.7707546949905</v>
      </c>
      <c r="AS102" s="21">
        <f t="shared" si="41"/>
        <v>2060.7707546949905</v>
      </c>
      <c r="AT102" s="21">
        <f t="shared" si="42"/>
        <v>2060.7707546949905</v>
      </c>
    </row>
    <row r="103" spans="1:46">
      <c r="A103">
        <v>78</v>
      </c>
      <c r="B103">
        <f t="shared" si="34"/>
        <v>2098</v>
      </c>
      <c r="C103" s="18">
        <f t="shared" si="43"/>
        <v>71.579967704037728</v>
      </c>
      <c r="D103" s="18">
        <f t="shared" si="44"/>
        <v>64.453738977484463</v>
      </c>
      <c r="E103" s="18">
        <f t="shared" si="45"/>
        <v>66.413427952677168</v>
      </c>
      <c r="F103" s="18">
        <f t="shared" si="46"/>
        <v>68.636222666934572</v>
      </c>
      <c r="G103" s="18">
        <f t="shared" si="47"/>
        <v>69.839019316261997</v>
      </c>
      <c r="H103" s="18">
        <f t="shared" si="48"/>
        <v>72.400228068846758</v>
      </c>
      <c r="I103" s="18">
        <f t="shared" si="49"/>
        <v>75.140662825261529</v>
      </c>
      <c r="J103" s="18">
        <f t="shared" si="50"/>
        <v>78.031026409181649</v>
      </c>
      <c r="L103">
        <f>'Learning curve parameters'!D107</f>
        <v>0.05</v>
      </c>
      <c r="M103">
        <f>'Learning curve parameters'!E107</f>
        <v>0.05</v>
      </c>
      <c r="N103">
        <f>'Learning curve parameters'!F107</f>
        <v>0.05</v>
      </c>
      <c r="O103">
        <f>'Learning curve parameters'!G107</f>
        <v>0.05</v>
      </c>
      <c r="P103">
        <f>'Learning curve parameters'!H107</f>
        <v>0.05</v>
      </c>
      <c r="Q103">
        <f>'Learning curve parameters'!I107</f>
        <v>0.05</v>
      </c>
      <c r="R103">
        <f>'Learning curve parameters'!J107</f>
        <v>0.05</v>
      </c>
      <c r="S103">
        <f>'Learning curve parameters'!K107</f>
        <v>0.05</v>
      </c>
      <c r="U103" s="16">
        <f t="shared" si="51"/>
        <v>208137.84622419404</v>
      </c>
      <c r="V103" s="16">
        <f t="shared" si="52"/>
        <v>208137.84622419404</v>
      </c>
      <c r="W103" s="16">
        <f t="shared" si="53"/>
        <v>208137.84622419404</v>
      </c>
      <c r="X103" s="16">
        <f t="shared" si="54"/>
        <v>208137.84622419404</v>
      </c>
      <c r="Y103" s="16">
        <f t="shared" si="55"/>
        <v>208137.84622419404</v>
      </c>
      <c r="Z103" s="16">
        <f t="shared" si="56"/>
        <v>208137.84622419404</v>
      </c>
      <c r="AA103" s="16">
        <f t="shared" si="57"/>
        <v>208137.84622419404</v>
      </c>
      <c r="AB103" s="16">
        <f t="shared" si="58"/>
        <v>208137.84622419404</v>
      </c>
      <c r="AD103" s="12">
        <f>'Learning curve parameters'!M107</f>
        <v>0.01</v>
      </c>
      <c r="AE103" s="12">
        <f>'Learning curve parameters'!N107</f>
        <v>0.01</v>
      </c>
      <c r="AF103" s="12">
        <f>'Learning curve parameters'!O107</f>
        <v>0.01</v>
      </c>
      <c r="AG103" s="12">
        <f>'Learning curve parameters'!P107</f>
        <v>0.01</v>
      </c>
      <c r="AH103" s="12">
        <f>'Learning curve parameters'!Q107</f>
        <v>0.01</v>
      </c>
      <c r="AI103" s="12">
        <f>'Learning curve parameters'!R107</f>
        <v>0.01</v>
      </c>
      <c r="AJ103" s="12">
        <f>'Learning curve parameters'!S107</f>
        <v>0.01</v>
      </c>
      <c r="AK103" s="12">
        <f>'Learning curve parameters'!T107</f>
        <v>0.01</v>
      </c>
      <c r="AM103" s="21">
        <f t="shared" si="35"/>
        <v>2081.3784622419403</v>
      </c>
      <c r="AN103" s="21">
        <f t="shared" si="36"/>
        <v>2081.3784622419403</v>
      </c>
      <c r="AO103" s="21">
        <f t="shared" si="37"/>
        <v>2081.3784622419403</v>
      </c>
      <c r="AP103" s="21">
        <f t="shared" si="38"/>
        <v>2081.3784622419403</v>
      </c>
      <c r="AQ103" s="21">
        <f t="shared" si="39"/>
        <v>2081.3784622419403</v>
      </c>
      <c r="AR103" s="21">
        <f t="shared" si="40"/>
        <v>2081.3784622419403</v>
      </c>
      <c r="AS103" s="21">
        <f t="shared" si="41"/>
        <v>2081.3784622419403</v>
      </c>
      <c r="AT103" s="21">
        <f t="shared" si="42"/>
        <v>2081.3784622419403</v>
      </c>
    </row>
    <row r="104" spans="1:46">
      <c r="A104">
        <v>79</v>
      </c>
      <c r="B104">
        <f t="shared" si="34"/>
        <v>2099</v>
      </c>
      <c r="C104" s="18">
        <f t="shared" si="43"/>
        <v>71.584816365169786</v>
      </c>
      <c r="D104" s="18">
        <f t="shared" si="44"/>
        <v>64.458587638616521</v>
      </c>
      <c r="E104" s="18">
        <f t="shared" si="45"/>
        <v>66.418276613809226</v>
      </c>
      <c r="F104" s="18">
        <f t="shared" si="46"/>
        <v>68.64107132806663</v>
      </c>
      <c r="G104" s="18">
        <f t="shared" si="47"/>
        <v>69.843867977394055</v>
      </c>
      <c r="H104" s="18">
        <f t="shared" si="48"/>
        <v>72.405076729978816</v>
      </c>
      <c r="I104" s="18">
        <f t="shared" si="49"/>
        <v>75.145511486393588</v>
      </c>
      <c r="J104" s="18">
        <f t="shared" si="50"/>
        <v>78.035875070313708</v>
      </c>
      <c r="L104">
        <f>'Learning curve parameters'!D108</f>
        <v>0.05</v>
      </c>
      <c r="M104">
        <f>'Learning curve parameters'!E108</f>
        <v>0.05</v>
      </c>
      <c r="N104">
        <f>'Learning curve parameters'!F108</f>
        <v>0.05</v>
      </c>
      <c r="O104">
        <f>'Learning curve parameters'!G108</f>
        <v>0.05</v>
      </c>
      <c r="P104">
        <f>'Learning curve parameters'!H108</f>
        <v>0.05</v>
      </c>
      <c r="Q104">
        <f>'Learning curve parameters'!I108</f>
        <v>0.05</v>
      </c>
      <c r="R104">
        <f>'Learning curve parameters'!J108</f>
        <v>0.05</v>
      </c>
      <c r="S104">
        <f>'Learning curve parameters'!K108</f>
        <v>0.05</v>
      </c>
      <c r="U104" s="16">
        <f t="shared" si="51"/>
        <v>210219.22468643598</v>
      </c>
      <c r="V104" s="16">
        <f t="shared" si="52"/>
        <v>210219.22468643598</v>
      </c>
      <c r="W104" s="16">
        <f t="shared" si="53"/>
        <v>210219.22468643598</v>
      </c>
      <c r="X104" s="16">
        <f t="shared" si="54"/>
        <v>210219.22468643598</v>
      </c>
      <c r="Y104" s="16">
        <f t="shared" si="55"/>
        <v>210219.22468643598</v>
      </c>
      <c r="Z104" s="16">
        <f t="shared" si="56"/>
        <v>210219.22468643598</v>
      </c>
      <c r="AA104" s="16">
        <f t="shared" si="57"/>
        <v>210219.22468643598</v>
      </c>
      <c r="AB104" s="16">
        <f t="shared" si="58"/>
        <v>210219.22468643598</v>
      </c>
      <c r="AD104" s="12">
        <f>'Learning curve parameters'!M108</f>
        <v>0.01</v>
      </c>
      <c r="AE104" s="12">
        <f>'Learning curve parameters'!N108</f>
        <v>0.01</v>
      </c>
      <c r="AF104" s="12">
        <f>'Learning curve parameters'!O108</f>
        <v>0.01</v>
      </c>
      <c r="AG104" s="12">
        <f>'Learning curve parameters'!P108</f>
        <v>0.01</v>
      </c>
      <c r="AH104" s="12">
        <f>'Learning curve parameters'!Q108</f>
        <v>0.01</v>
      </c>
      <c r="AI104" s="12">
        <f>'Learning curve parameters'!R108</f>
        <v>0.01</v>
      </c>
      <c r="AJ104" s="12">
        <f>'Learning curve parameters'!S108</f>
        <v>0.01</v>
      </c>
      <c r="AK104" s="12">
        <f>'Learning curve parameters'!T108</f>
        <v>0.01</v>
      </c>
      <c r="AM104" s="21">
        <f t="shared" si="35"/>
        <v>2102.1922468643597</v>
      </c>
      <c r="AN104" s="21">
        <f t="shared" si="36"/>
        <v>2102.1922468643597</v>
      </c>
      <c r="AO104" s="21">
        <f t="shared" si="37"/>
        <v>2102.1922468643597</v>
      </c>
      <c r="AP104" s="21">
        <f t="shared" si="38"/>
        <v>2102.1922468643597</v>
      </c>
      <c r="AQ104" s="21">
        <f t="shared" si="39"/>
        <v>2102.1922468643597</v>
      </c>
      <c r="AR104" s="21">
        <f t="shared" si="40"/>
        <v>2102.1922468643597</v>
      </c>
      <c r="AS104" s="21">
        <f t="shared" si="41"/>
        <v>2102.1922468643597</v>
      </c>
      <c r="AT104" s="21">
        <f t="shared" si="42"/>
        <v>2102.1922468643597</v>
      </c>
    </row>
    <row r="105" spans="1:46">
      <c r="A105">
        <v>80</v>
      </c>
      <c r="B105">
        <f t="shared" si="34"/>
        <v>2100</v>
      </c>
      <c r="C105" s="18">
        <f t="shared" si="43"/>
        <v>71.589665026301844</v>
      </c>
      <c r="D105" s="18">
        <f t="shared" si="44"/>
        <v>64.463436299748579</v>
      </c>
      <c r="E105" s="18">
        <f t="shared" si="45"/>
        <v>66.423125274941285</v>
      </c>
      <c r="F105" s="18">
        <f t="shared" si="46"/>
        <v>68.645919989198688</v>
      </c>
      <c r="G105" s="18">
        <f t="shared" si="47"/>
        <v>69.848716638526113</v>
      </c>
      <c r="H105" s="18">
        <f t="shared" si="48"/>
        <v>72.409925391110875</v>
      </c>
      <c r="I105" s="18">
        <f t="shared" si="49"/>
        <v>75.150360147525646</v>
      </c>
      <c r="J105" s="18">
        <f t="shared" si="50"/>
        <v>78.040723731445766</v>
      </c>
      <c r="L105">
        <f>'Learning curve parameters'!D109</f>
        <v>0.05</v>
      </c>
      <c r="M105">
        <f>'Learning curve parameters'!E109</f>
        <v>0.05</v>
      </c>
      <c r="N105">
        <f>'Learning curve parameters'!F109</f>
        <v>0.05</v>
      </c>
      <c r="O105">
        <f>'Learning curve parameters'!G109</f>
        <v>0.05</v>
      </c>
      <c r="P105">
        <f>'Learning curve parameters'!H109</f>
        <v>0.05</v>
      </c>
      <c r="Q105">
        <f>'Learning curve parameters'!I109</f>
        <v>0.05</v>
      </c>
      <c r="R105">
        <f>'Learning curve parameters'!J109</f>
        <v>0.05</v>
      </c>
      <c r="S105">
        <f>'Learning curve parameters'!K109</f>
        <v>0.05</v>
      </c>
      <c r="U105" s="16">
        <f t="shared" si="51"/>
        <v>212321.41693330032</v>
      </c>
      <c r="V105" s="16">
        <f t="shared" si="52"/>
        <v>212321.41693330032</v>
      </c>
      <c r="W105" s="16">
        <f t="shared" si="53"/>
        <v>212321.41693330032</v>
      </c>
      <c r="X105" s="16">
        <f t="shared" si="54"/>
        <v>212321.41693330032</v>
      </c>
      <c r="Y105" s="16">
        <f t="shared" si="55"/>
        <v>212321.41693330032</v>
      </c>
      <c r="Z105" s="16">
        <f t="shared" si="56"/>
        <v>212321.41693330032</v>
      </c>
      <c r="AA105" s="16">
        <f t="shared" si="57"/>
        <v>212321.41693330032</v>
      </c>
      <c r="AB105" s="16">
        <f t="shared" si="58"/>
        <v>212321.41693330032</v>
      </c>
      <c r="AD105" s="12">
        <f>'Learning curve parameters'!M109</f>
        <v>0.01</v>
      </c>
      <c r="AE105" s="12">
        <f>'Learning curve parameters'!N109</f>
        <v>0.01</v>
      </c>
      <c r="AF105" s="12">
        <f>'Learning curve parameters'!O109</f>
        <v>0.01</v>
      </c>
      <c r="AG105" s="12">
        <f>'Learning curve parameters'!P109</f>
        <v>0.01</v>
      </c>
      <c r="AH105" s="12">
        <f>'Learning curve parameters'!Q109</f>
        <v>0.01</v>
      </c>
      <c r="AI105" s="12">
        <f>'Learning curve parameters'!R109</f>
        <v>0.01</v>
      </c>
      <c r="AJ105" s="12">
        <f>'Learning curve parameters'!S109</f>
        <v>0.01</v>
      </c>
      <c r="AK105" s="12">
        <f>'Learning curve parameters'!T109</f>
        <v>0.01</v>
      </c>
      <c r="AM105" s="21">
        <f t="shared" si="35"/>
        <v>2123.2141693330032</v>
      </c>
      <c r="AN105" s="21">
        <f t="shared" si="36"/>
        <v>2123.2141693330032</v>
      </c>
      <c r="AO105" s="21">
        <f t="shared" si="37"/>
        <v>2123.2141693330032</v>
      </c>
      <c r="AP105" s="21">
        <f t="shared" si="38"/>
        <v>2123.2141693330032</v>
      </c>
      <c r="AQ105" s="21">
        <f t="shared" si="39"/>
        <v>2123.2141693330032</v>
      </c>
      <c r="AR105" s="21">
        <f t="shared" si="40"/>
        <v>2123.2141693330032</v>
      </c>
      <c r="AS105" s="21">
        <f t="shared" si="41"/>
        <v>2123.2141693330032</v>
      </c>
      <c r="AT105" s="21">
        <f t="shared" si="42"/>
        <v>2123.2141693330032</v>
      </c>
    </row>
    <row r="106" spans="1:46">
      <c r="A106">
        <v>81</v>
      </c>
      <c r="B106">
        <f t="shared" si="34"/>
        <v>2101</v>
      </c>
      <c r="C106" s="18">
        <f t="shared" si="43"/>
        <v>71.594513687433903</v>
      </c>
      <c r="D106" s="18">
        <f t="shared" si="44"/>
        <v>64.468284960880638</v>
      </c>
      <c r="E106" s="18">
        <f t="shared" si="45"/>
        <v>66.427973936073343</v>
      </c>
      <c r="F106" s="18">
        <f t="shared" si="46"/>
        <v>68.650768650330747</v>
      </c>
      <c r="G106" s="18">
        <f t="shared" si="47"/>
        <v>69.853565299658172</v>
      </c>
      <c r="H106" s="18">
        <f t="shared" si="48"/>
        <v>72.414774052242933</v>
      </c>
      <c r="I106" s="18">
        <f t="shared" si="49"/>
        <v>75.155208808657704</v>
      </c>
      <c r="J106" s="18">
        <f t="shared" si="50"/>
        <v>78.045572392577824</v>
      </c>
      <c r="L106">
        <f>'Learning curve parameters'!D110</f>
        <v>0.05</v>
      </c>
      <c r="M106">
        <f>'Learning curve parameters'!E110</f>
        <v>0.05</v>
      </c>
      <c r="N106">
        <f>'Learning curve parameters'!F110</f>
        <v>0.05</v>
      </c>
      <c r="O106">
        <f>'Learning curve parameters'!G110</f>
        <v>0.05</v>
      </c>
      <c r="P106">
        <f>'Learning curve parameters'!H110</f>
        <v>0.05</v>
      </c>
      <c r="Q106">
        <f>'Learning curve parameters'!I110</f>
        <v>0.05</v>
      </c>
      <c r="R106">
        <f>'Learning curve parameters'!J110</f>
        <v>0.05</v>
      </c>
      <c r="S106">
        <f>'Learning curve parameters'!K110</f>
        <v>0.05</v>
      </c>
      <c r="U106" s="16">
        <f t="shared" si="51"/>
        <v>214444.63110263331</v>
      </c>
      <c r="V106" s="16">
        <f t="shared" si="52"/>
        <v>214444.63110263331</v>
      </c>
      <c r="W106" s="16">
        <f t="shared" si="53"/>
        <v>214444.63110263331</v>
      </c>
      <c r="X106" s="16">
        <f t="shared" si="54"/>
        <v>214444.63110263331</v>
      </c>
      <c r="Y106" s="16">
        <f t="shared" si="55"/>
        <v>214444.63110263331</v>
      </c>
      <c r="Z106" s="16">
        <f t="shared" si="56"/>
        <v>214444.63110263331</v>
      </c>
      <c r="AA106" s="16">
        <f t="shared" si="57"/>
        <v>214444.63110263331</v>
      </c>
      <c r="AB106" s="16">
        <f t="shared" si="58"/>
        <v>214444.63110263331</v>
      </c>
      <c r="AD106" s="12">
        <f>'Learning curve parameters'!M110</f>
        <v>0.01</v>
      </c>
      <c r="AE106" s="12">
        <f>'Learning curve parameters'!N110</f>
        <v>0.01</v>
      </c>
      <c r="AF106" s="12">
        <f>'Learning curve parameters'!O110</f>
        <v>0.01</v>
      </c>
      <c r="AG106" s="12">
        <f>'Learning curve parameters'!P110</f>
        <v>0.01</v>
      </c>
      <c r="AH106" s="12">
        <f>'Learning curve parameters'!Q110</f>
        <v>0.01</v>
      </c>
      <c r="AI106" s="12">
        <f>'Learning curve parameters'!R110</f>
        <v>0.01</v>
      </c>
      <c r="AJ106" s="12">
        <f>'Learning curve parameters'!S110</f>
        <v>0.01</v>
      </c>
      <c r="AK106" s="12">
        <f>'Learning curve parameters'!T110</f>
        <v>0.01</v>
      </c>
      <c r="AM106" s="21">
        <f t="shared" si="35"/>
        <v>2144.4463110263332</v>
      </c>
      <c r="AN106" s="21">
        <f t="shared" si="36"/>
        <v>2144.4463110263332</v>
      </c>
      <c r="AO106" s="21">
        <f t="shared" si="37"/>
        <v>2144.4463110263332</v>
      </c>
      <c r="AP106" s="21">
        <f t="shared" si="38"/>
        <v>2144.4463110263332</v>
      </c>
      <c r="AQ106" s="21">
        <f t="shared" si="39"/>
        <v>2144.4463110263332</v>
      </c>
      <c r="AR106" s="21">
        <f t="shared" si="40"/>
        <v>2144.4463110263332</v>
      </c>
      <c r="AS106" s="21">
        <f t="shared" si="41"/>
        <v>2144.4463110263332</v>
      </c>
      <c r="AT106" s="21">
        <f t="shared" si="42"/>
        <v>2144.4463110263332</v>
      </c>
    </row>
    <row r="107" spans="1:46">
      <c r="A107">
        <v>82</v>
      </c>
      <c r="B107">
        <f t="shared" si="34"/>
        <v>2102</v>
      </c>
      <c r="C107" s="18">
        <f t="shared" si="43"/>
        <v>71.599362348565961</v>
      </c>
      <c r="D107" s="18">
        <f t="shared" si="44"/>
        <v>64.473133622012696</v>
      </c>
      <c r="E107" s="18">
        <f t="shared" si="45"/>
        <v>66.432822597205401</v>
      </c>
      <c r="F107" s="18">
        <f t="shared" si="46"/>
        <v>68.655617311462805</v>
      </c>
      <c r="G107" s="18">
        <f t="shared" si="47"/>
        <v>69.85841396079023</v>
      </c>
      <c r="H107" s="18">
        <f t="shared" si="48"/>
        <v>72.419622713374991</v>
      </c>
      <c r="I107" s="18">
        <f t="shared" si="49"/>
        <v>75.160057469789763</v>
      </c>
      <c r="J107" s="18">
        <f t="shared" si="50"/>
        <v>78.050421053709883</v>
      </c>
      <c r="L107">
        <f>'Learning curve parameters'!D111</f>
        <v>0.05</v>
      </c>
      <c r="M107">
        <f>'Learning curve parameters'!E111</f>
        <v>0.05</v>
      </c>
      <c r="N107">
        <f>'Learning curve parameters'!F111</f>
        <v>0.05</v>
      </c>
      <c r="O107">
        <f>'Learning curve parameters'!G111</f>
        <v>0.05</v>
      </c>
      <c r="P107">
        <f>'Learning curve parameters'!H111</f>
        <v>0.05</v>
      </c>
      <c r="Q107">
        <f>'Learning curve parameters'!I111</f>
        <v>0.05</v>
      </c>
      <c r="R107">
        <f>'Learning curve parameters'!J111</f>
        <v>0.05</v>
      </c>
      <c r="S107">
        <f>'Learning curve parameters'!K111</f>
        <v>0.05</v>
      </c>
      <c r="U107" s="16">
        <f t="shared" si="51"/>
        <v>216589.07741365966</v>
      </c>
      <c r="V107" s="16">
        <f t="shared" si="52"/>
        <v>216589.07741365966</v>
      </c>
      <c r="W107" s="16">
        <f t="shared" si="53"/>
        <v>216589.07741365966</v>
      </c>
      <c r="X107" s="16">
        <f t="shared" si="54"/>
        <v>216589.07741365966</v>
      </c>
      <c r="Y107" s="16">
        <f t="shared" si="55"/>
        <v>216589.07741365966</v>
      </c>
      <c r="Z107" s="16">
        <f t="shared" si="56"/>
        <v>216589.07741365966</v>
      </c>
      <c r="AA107" s="16">
        <f t="shared" si="57"/>
        <v>216589.07741365966</v>
      </c>
      <c r="AB107" s="16">
        <f t="shared" si="58"/>
        <v>216589.07741365966</v>
      </c>
      <c r="AD107" s="12">
        <f>'Learning curve parameters'!M111</f>
        <v>0.01</v>
      </c>
      <c r="AE107" s="12">
        <f>'Learning curve parameters'!N111</f>
        <v>0.01</v>
      </c>
      <c r="AF107" s="12">
        <f>'Learning curve parameters'!O111</f>
        <v>0.01</v>
      </c>
      <c r="AG107" s="12">
        <f>'Learning curve parameters'!P111</f>
        <v>0.01</v>
      </c>
      <c r="AH107" s="12">
        <f>'Learning curve parameters'!Q111</f>
        <v>0.01</v>
      </c>
      <c r="AI107" s="12">
        <f>'Learning curve parameters'!R111</f>
        <v>0.01</v>
      </c>
      <c r="AJ107" s="12">
        <f>'Learning curve parameters'!S111</f>
        <v>0.01</v>
      </c>
      <c r="AK107" s="12">
        <f>'Learning curve parameters'!T111</f>
        <v>0.01</v>
      </c>
      <c r="AM107" s="21">
        <f t="shared" si="35"/>
        <v>2165.8907741365965</v>
      </c>
      <c r="AN107" s="21">
        <f t="shared" si="36"/>
        <v>2165.8907741365965</v>
      </c>
      <c r="AO107" s="21">
        <f t="shared" si="37"/>
        <v>2165.8907741365965</v>
      </c>
      <c r="AP107" s="21">
        <f t="shared" si="38"/>
        <v>2165.8907741365965</v>
      </c>
      <c r="AQ107" s="21">
        <f t="shared" si="39"/>
        <v>2165.8907741365965</v>
      </c>
      <c r="AR107" s="21">
        <f t="shared" si="40"/>
        <v>2165.8907741365965</v>
      </c>
      <c r="AS107" s="21">
        <f t="shared" si="41"/>
        <v>2165.8907741365965</v>
      </c>
      <c r="AT107" s="21">
        <f t="shared" si="42"/>
        <v>2165.8907741365965</v>
      </c>
    </row>
    <row r="108" spans="1:46">
      <c r="A108">
        <v>83</v>
      </c>
      <c r="B108">
        <f t="shared" si="34"/>
        <v>2103</v>
      </c>
      <c r="C108" s="18">
        <f t="shared" si="43"/>
        <v>71.60421100969802</v>
      </c>
      <c r="D108" s="18">
        <f t="shared" si="44"/>
        <v>64.477982283144755</v>
      </c>
      <c r="E108" s="18">
        <f t="shared" si="45"/>
        <v>66.43767125833746</v>
      </c>
      <c r="F108" s="18">
        <f t="shared" si="46"/>
        <v>68.660465972594864</v>
      </c>
      <c r="G108" s="18">
        <f t="shared" si="47"/>
        <v>69.863262621922289</v>
      </c>
      <c r="H108" s="18">
        <f t="shared" si="48"/>
        <v>72.42447137450705</v>
      </c>
      <c r="I108" s="18">
        <f t="shared" si="49"/>
        <v>75.164906130921821</v>
      </c>
      <c r="J108" s="18">
        <f t="shared" si="50"/>
        <v>78.055269714841941</v>
      </c>
      <c r="L108">
        <f>'Learning curve parameters'!D112</f>
        <v>0.05</v>
      </c>
      <c r="M108">
        <f>'Learning curve parameters'!E112</f>
        <v>0.05</v>
      </c>
      <c r="N108">
        <f>'Learning curve parameters'!F112</f>
        <v>0.05</v>
      </c>
      <c r="O108">
        <f>'Learning curve parameters'!G112</f>
        <v>0.05</v>
      </c>
      <c r="P108">
        <f>'Learning curve parameters'!H112</f>
        <v>0.05</v>
      </c>
      <c r="Q108">
        <f>'Learning curve parameters'!I112</f>
        <v>0.05</v>
      </c>
      <c r="R108">
        <f>'Learning curve parameters'!J112</f>
        <v>0.05</v>
      </c>
      <c r="S108">
        <f>'Learning curve parameters'!K112</f>
        <v>0.05</v>
      </c>
      <c r="U108" s="16">
        <f t="shared" si="51"/>
        <v>218754.96818779624</v>
      </c>
      <c r="V108" s="16">
        <f t="shared" si="52"/>
        <v>218754.96818779624</v>
      </c>
      <c r="W108" s="16">
        <f t="shared" si="53"/>
        <v>218754.96818779624</v>
      </c>
      <c r="X108" s="16">
        <f t="shared" si="54"/>
        <v>218754.96818779624</v>
      </c>
      <c r="Y108" s="16">
        <f t="shared" si="55"/>
        <v>218754.96818779624</v>
      </c>
      <c r="Z108" s="16">
        <f t="shared" si="56"/>
        <v>218754.96818779624</v>
      </c>
      <c r="AA108" s="16">
        <f t="shared" si="57"/>
        <v>218754.96818779624</v>
      </c>
      <c r="AB108" s="16">
        <f t="shared" si="58"/>
        <v>218754.96818779624</v>
      </c>
      <c r="AD108" s="12">
        <f>'Learning curve parameters'!M112</f>
        <v>0.01</v>
      </c>
      <c r="AE108" s="12">
        <f>'Learning curve parameters'!N112</f>
        <v>0.01</v>
      </c>
      <c r="AF108" s="12">
        <f>'Learning curve parameters'!O112</f>
        <v>0.01</v>
      </c>
      <c r="AG108" s="12">
        <f>'Learning curve parameters'!P112</f>
        <v>0.01</v>
      </c>
      <c r="AH108" s="12">
        <f>'Learning curve parameters'!Q112</f>
        <v>0.01</v>
      </c>
      <c r="AI108" s="12">
        <f>'Learning curve parameters'!R112</f>
        <v>0.01</v>
      </c>
      <c r="AJ108" s="12">
        <f>'Learning curve parameters'!S112</f>
        <v>0.01</v>
      </c>
      <c r="AK108" s="12">
        <f>'Learning curve parameters'!T112</f>
        <v>0.01</v>
      </c>
      <c r="AM108" s="21">
        <f t="shared" si="35"/>
        <v>2187.5496818779625</v>
      </c>
      <c r="AN108" s="21">
        <f t="shared" si="36"/>
        <v>2187.5496818779625</v>
      </c>
      <c r="AO108" s="21">
        <f t="shared" si="37"/>
        <v>2187.5496818779625</v>
      </c>
      <c r="AP108" s="21">
        <f t="shared" si="38"/>
        <v>2187.5496818779625</v>
      </c>
      <c r="AQ108" s="21">
        <f t="shared" si="39"/>
        <v>2187.5496818779625</v>
      </c>
      <c r="AR108" s="21">
        <f t="shared" si="40"/>
        <v>2187.5496818779625</v>
      </c>
      <c r="AS108" s="21">
        <f t="shared" si="41"/>
        <v>2187.5496818779625</v>
      </c>
      <c r="AT108" s="21">
        <f t="shared" si="42"/>
        <v>2187.5496818779625</v>
      </c>
    </row>
    <row r="109" spans="1:46">
      <c r="A109">
        <v>84</v>
      </c>
      <c r="B109">
        <f t="shared" si="34"/>
        <v>2104</v>
      </c>
      <c r="C109" s="18">
        <f t="shared" si="43"/>
        <v>71.609059670830078</v>
      </c>
      <c r="D109" s="18">
        <f t="shared" si="44"/>
        <v>64.482830944276813</v>
      </c>
      <c r="E109" s="18">
        <f t="shared" si="45"/>
        <v>66.442519919469518</v>
      </c>
      <c r="F109" s="18">
        <f t="shared" si="46"/>
        <v>68.665314633726922</v>
      </c>
      <c r="G109" s="18">
        <f t="shared" si="47"/>
        <v>69.868111283054347</v>
      </c>
      <c r="H109" s="18">
        <f t="shared" si="48"/>
        <v>72.429320035639108</v>
      </c>
      <c r="I109" s="18">
        <f t="shared" si="49"/>
        <v>75.16975479205388</v>
      </c>
      <c r="J109" s="18">
        <f t="shared" si="50"/>
        <v>78.060118375974</v>
      </c>
      <c r="L109">
        <f>'Learning curve parameters'!D113</f>
        <v>0.05</v>
      </c>
      <c r="M109">
        <f>'Learning curve parameters'!E113</f>
        <v>0.05</v>
      </c>
      <c r="N109">
        <f>'Learning curve parameters'!F113</f>
        <v>0.05</v>
      </c>
      <c r="O109">
        <f>'Learning curve parameters'!G113</f>
        <v>0.05</v>
      </c>
      <c r="P109">
        <f>'Learning curve parameters'!H113</f>
        <v>0.05</v>
      </c>
      <c r="Q109">
        <f>'Learning curve parameters'!I113</f>
        <v>0.05</v>
      </c>
      <c r="R109">
        <f>'Learning curve parameters'!J113</f>
        <v>0.05</v>
      </c>
      <c r="S109">
        <f>'Learning curve parameters'!K113</f>
        <v>0.05</v>
      </c>
      <c r="U109" s="16">
        <f t="shared" si="51"/>
        <v>220942.51786967419</v>
      </c>
      <c r="V109" s="16">
        <f t="shared" si="52"/>
        <v>220942.51786967419</v>
      </c>
      <c r="W109" s="16">
        <f t="shared" si="53"/>
        <v>220942.51786967419</v>
      </c>
      <c r="X109" s="16">
        <f t="shared" si="54"/>
        <v>220942.51786967419</v>
      </c>
      <c r="Y109" s="16">
        <f t="shared" si="55"/>
        <v>220942.51786967419</v>
      </c>
      <c r="Z109" s="16">
        <f t="shared" si="56"/>
        <v>220942.51786967419</v>
      </c>
      <c r="AA109" s="16">
        <f t="shared" si="57"/>
        <v>220942.51786967419</v>
      </c>
      <c r="AB109" s="16">
        <f t="shared" si="58"/>
        <v>220942.51786967419</v>
      </c>
      <c r="AD109" s="12">
        <f>'Learning curve parameters'!M113</f>
        <v>0.01</v>
      </c>
      <c r="AE109" s="12">
        <f>'Learning curve parameters'!N113</f>
        <v>0.01</v>
      </c>
      <c r="AF109" s="12">
        <f>'Learning curve parameters'!O113</f>
        <v>0.01</v>
      </c>
      <c r="AG109" s="12">
        <f>'Learning curve parameters'!P113</f>
        <v>0.01</v>
      </c>
      <c r="AH109" s="12">
        <f>'Learning curve parameters'!Q113</f>
        <v>0.01</v>
      </c>
      <c r="AI109" s="12">
        <f>'Learning curve parameters'!R113</f>
        <v>0.01</v>
      </c>
      <c r="AJ109" s="12">
        <f>'Learning curve parameters'!S113</f>
        <v>0.01</v>
      </c>
      <c r="AK109" s="12">
        <f>'Learning curve parameters'!T113</f>
        <v>0.01</v>
      </c>
      <c r="AM109" s="21">
        <f t="shared" si="35"/>
        <v>2209.425178696742</v>
      </c>
      <c r="AN109" s="21">
        <f t="shared" si="36"/>
        <v>2209.425178696742</v>
      </c>
      <c r="AO109" s="21">
        <f t="shared" si="37"/>
        <v>2209.425178696742</v>
      </c>
      <c r="AP109" s="21">
        <f t="shared" si="38"/>
        <v>2209.425178696742</v>
      </c>
      <c r="AQ109" s="21">
        <f t="shared" si="39"/>
        <v>2209.425178696742</v>
      </c>
      <c r="AR109" s="21">
        <f t="shared" si="40"/>
        <v>2209.425178696742</v>
      </c>
      <c r="AS109" s="21">
        <f t="shared" si="41"/>
        <v>2209.425178696742</v>
      </c>
      <c r="AT109" s="21">
        <f t="shared" si="42"/>
        <v>2209.425178696742</v>
      </c>
    </row>
    <row r="110" spans="1:46">
      <c r="A110">
        <v>85</v>
      </c>
      <c r="B110">
        <f t="shared" si="34"/>
        <v>2105</v>
      </c>
      <c r="C110" s="18">
        <f t="shared" si="43"/>
        <v>71.613908331962136</v>
      </c>
      <c r="D110" s="18">
        <f t="shared" si="44"/>
        <v>64.487679605408871</v>
      </c>
      <c r="E110" s="18">
        <f t="shared" si="45"/>
        <v>66.447368580601577</v>
      </c>
      <c r="F110" s="18">
        <f t="shared" si="46"/>
        <v>68.67016329485898</v>
      </c>
      <c r="G110" s="18">
        <f t="shared" si="47"/>
        <v>69.872959944186405</v>
      </c>
      <c r="H110" s="18">
        <f t="shared" si="48"/>
        <v>72.434168696771167</v>
      </c>
      <c r="I110" s="18">
        <f t="shared" si="49"/>
        <v>75.174603453185938</v>
      </c>
      <c r="J110" s="18">
        <f t="shared" si="50"/>
        <v>78.064967037106058</v>
      </c>
      <c r="L110">
        <f>'Learning curve parameters'!D114</f>
        <v>0.05</v>
      </c>
      <c r="M110">
        <f>'Learning curve parameters'!E114</f>
        <v>0.05</v>
      </c>
      <c r="N110">
        <f>'Learning curve parameters'!F114</f>
        <v>0.05</v>
      </c>
      <c r="O110">
        <f>'Learning curve parameters'!G114</f>
        <v>0.05</v>
      </c>
      <c r="P110">
        <f>'Learning curve parameters'!H114</f>
        <v>0.05</v>
      </c>
      <c r="Q110">
        <f>'Learning curve parameters'!I114</f>
        <v>0.05</v>
      </c>
      <c r="R110">
        <f>'Learning curve parameters'!J114</f>
        <v>0.05</v>
      </c>
      <c r="S110">
        <f>'Learning curve parameters'!K114</f>
        <v>0.05</v>
      </c>
      <c r="U110" s="16">
        <f t="shared" si="51"/>
        <v>223151.94304837094</v>
      </c>
      <c r="V110" s="16">
        <f t="shared" si="52"/>
        <v>223151.94304837094</v>
      </c>
      <c r="W110" s="16">
        <f t="shared" si="53"/>
        <v>223151.94304837094</v>
      </c>
      <c r="X110" s="16">
        <f t="shared" si="54"/>
        <v>223151.94304837094</v>
      </c>
      <c r="Y110" s="16">
        <f t="shared" si="55"/>
        <v>223151.94304837094</v>
      </c>
      <c r="Z110" s="16">
        <f t="shared" si="56"/>
        <v>223151.94304837094</v>
      </c>
      <c r="AA110" s="16">
        <f t="shared" si="57"/>
        <v>223151.94304837094</v>
      </c>
      <c r="AB110" s="16">
        <f t="shared" si="58"/>
        <v>223151.94304837094</v>
      </c>
      <c r="AD110" s="12">
        <f>'Learning curve parameters'!M114</f>
        <v>0.01</v>
      </c>
      <c r="AE110" s="12">
        <f>'Learning curve parameters'!N114</f>
        <v>0.01</v>
      </c>
      <c r="AF110" s="12">
        <f>'Learning curve parameters'!O114</f>
        <v>0.01</v>
      </c>
      <c r="AG110" s="12">
        <f>'Learning curve parameters'!P114</f>
        <v>0.01</v>
      </c>
      <c r="AH110" s="12">
        <f>'Learning curve parameters'!Q114</f>
        <v>0.01</v>
      </c>
      <c r="AI110" s="12">
        <f>'Learning curve parameters'!R114</f>
        <v>0.01</v>
      </c>
      <c r="AJ110" s="12">
        <f>'Learning curve parameters'!S114</f>
        <v>0.01</v>
      </c>
      <c r="AK110" s="12">
        <f>'Learning curve parameters'!T114</f>
        <v>0.01</v>
      </c>
      <c r="AM110" s="21">
        <f t="shared" si="35"/>
        <v>2231.5194304837096</v>
      </c>
      <c r="AN110" s="21">
        <f t="shared" si="36"/>
        <v>2231.5194304837096</v>
      </c>
      <c r="AO110" s="21">
        <f t="shared" si="37"/>
        <v>2231.5194304837096</v>
      </c>
      <c r="AP110" s="21">
        <f t="shared" si="38"/>
        <v>2231.5194304837096</v>
      </c>
      <c r="AQ110" s="21">
        <f t="shared" si="39"/>
        <v>2231.5194304837096</v>
      </c>
      <c r="AR110" s="21">
        <f t="shared" si="40"/>
        <v>2231.5194304837096</v>
      </c>
      <c r="AS110" s="21">
        <f t="shared" si="41"/>
        <v>2231.5194304837096</v>
      </c>
      <c r="AT110" s="21">
        <f t="shared" si="42"/>
        <v>2231.5194304837096</v>
      </c>
    </row>
    <row r="111" spans="1:46">
      <c r="A111">
        <v>86</v>
      </c>
      <c r="B111">
        <f t="shared" si="34"/>
        <v>2106</v>
      </c>
      <c r="C111" s="18">
        <f t="shared" si="43"/>
        <v>71.618756993094195</v>
      </c>
      <c r="D111" s="18">
        <f t="shared" si="44"/>
        <v>64.49252826654093</v>
      </c>
      <c r="E111" s="18">
        <f t="shared" si="45"/>
        <v>66.452217241733635</v>
      </c>
      <c r="F111" s="18">
        <f t="shared" si="46"/>
        <v>68.675011955991039</v>
      </c>
      <c r="G111" s="18">
        <f t="shared" si="47"/>
        <v>69.877808605318464</v>
      </c>
      <c r="H111" s="18">
        <f t="shared" si="48"/>
        <v>72.439017357903225</v>
      </c>
      <c r="I111" s="18">
        <f t="shared" si="49"/>
        <v>75.179452114317996</v>
      </c>
      <c r="J111" s="18">
        <f t="shared" si="50"/>
        <v>78.069815698238116</v>
      </c>
      <c r="L111">
        <f>'Learning curve parameters'!D115</f>
        <v>0.05</v>
      </c>
      <c r="M111">
        <f>'Learning curve parameters'!E115</f>
        <v>0.05</v>
      </c>
      <c r="N111">
        <f>'Learning curve parameters'!F115</f>
        <v>0.05</v>
      </c>
      <c r="O111">
        <f>'Learning curve parameters'!G115</f>
        <v>0.05</v>
      </c>
      <c r="P111">
        <f>'Learning curve parameters'!H115</f>
        <v>0.05</v>
      </c>
      <c r="Q111">
        <f>'Learning curve parameters'!I115</f>
        <v>0.05</v>
      </c>
      <c r="R111">
        <f>'Learning curve parameters'!J115</f>
        <v>0.05</v>
      </c>
      <c r="S111">
        <f>'Learning curve parameters'!K115</f>
        <v>0.05</v>
      </c>
      <c r="U111" s="16">
        <f t="shared" si="51"/>
        <v>225383.46247885466</v>
      </c>
      <c r="V111" s="16">
        <f t="shared" si="52"/>
        <v>225383.46247885466</v>
      </c>
      <c r="W111" s="16">
        <f t="shared" si="53"/>
        <v>225383.46247885466</v>
      </c>
      <c r="X111" s="16">
        <f t="shared" si="54"/>
        <v>225383.46247885466</v>
      </c>
      <c r="Y111" s="16">
        <f t="shared" si="55"/>
        <v>225383.46247885466</v>
      </c>
      <c r="Z111" s="16">
        <f t="shared" si="56"/>
        <v>225383.46247885466</v>
      </c>
      <c r="AA111" s="16">
        <f t="shared" si="57"/>
        <v>225383.46247885466</v>
      </c>
      <c r="AB111" s="16">
        <f t="shared" si="58"/>
        <v>225383.46247885466</v>
      </c>
      <c r="AD111" s="12">
        <f>'Learning curve parameters'!M115</f>
        <v>0.01</v>
      </c>
      <c r="AE111" s="12">
        <f>'Learning curve parameters'!N115</f>
        <v>0.01</v>
      </c>
      <c r="AF111" s="12">
        <f>'Learning curve parameters'!O115</f>
        <v>0.01</v>
      </c>
      <c r="AG111" s="12">
        <f>'Learning curve parameters'!P115</f>
        <v>0.01</v>
      </c>
      <c r="AH111" s="12">
        <f>'Learning curve parameters'!Q115</f>
        <v>0.01</v>
      </c>
      <c r="AI111" s="12">
        <f>'Learning curve parameters'!R115</f>
        <v>0.01</v>
      </c>
      <c r="AJ111" s="12">
        <f>'Learning curve parameters'!S115</f>
        <v>0.01</v>
      </c>
      <c r="AK111" s="12">
        <f>'Learning curve parameters'!T115</f>
        <v>0.01</v>
      </c>
      <c r="AM111" s="21">
        <f t="shared" si="35"/>
        <v>2253.8346247885465</v>
      </c>
      <c r="AN111" s="21">
        <f t="shared" si="36"/>
        <v>2253.8346247885465</v>
      </c>
      <c r="AO111" s="21">
        <f t="shared" si="37"/>
        <v>2253.8346247885465</v>
      </c>
      <c r="AP111" s="21">
        <f t="shared" si="38"/>
        <v>2253.8346247885465</v>
      </c>
      <c r="AQ111" s="21">
        <f t="shared" si="39"/>
        <v>2253.8346247885465</v>
      </c>
      <c r="AR111" s="21">
        <f t="shared" si="40"/>
        <v>2253.8346247885465</v>
      </c>
      <c r="AS111" s="21">
        <f t="shared" si="41"/>
        <v>2253.8346247885465</v>
      </c>
      <c r="AT111" s="21">
        <f t="shared" si="42"/>
        <v>2253.8346247885465</v>
      </c>
    </row>
    <row r="112" spans="1:46">
      <c r="A112">
        <v>87</v>
      </c>
      <c r="B112">
        <f t="shared" si="34"/>
        <v>2107</v>
      </c>
      <c r="C112" s="18">
        <f t="shared" si="43"/>
        <v>71.623605654226253</v>
      </c>
      <c r="D112" s="18">
        <f t="shared" si="44"/>
        <v>64.497376927672988</v>
      </c>
      <c r="E112" s="18">
        <f t="shared" si="45"/>
        <v>66.457065902865693</v>
      </c>
      <c r="F112" s="18">
        <f t="shared" si="46"/>
        <v>68.679860617123097</v>
      </c>
      <c r="G112" s="18">
        <f t="shared" si="47"/>
        <v>69.882657266450522</v>
      </c>
      <c r="H112" s="18">
        <f t="shared" si="48"/>
        <v>72.443866019035283</v>
      </c>
      <c r="I112" s="18">
        <f t="shared" si="49"/>
        <v>75.184300775450055</v>
      </c>
      <c r="J112" s="18">
        <f t="shared" si="50"/>
        <v>78.074664359370175</v>
      </c>
      <c r="L112">
        <f>'Learning curve parameters'!D116</f>
        <v>0.05</v>
      </c>
      <c r="M112">
        <f>'Learning curve parameters'!E116</f>
        <v>0.05</v>
      </c>
      <c r="N112">
        <f>'Learning curve parameters'!F116</f>
        <v>0.05</v>
      </c>
      <c r="O112">
        <f>'Learning curve parameters'!G116</f>
        <v>0.05</v>
      </c>
      <c r="P112">
        <f>'Learning curve parameters'!H116</f>
        <v>0.05</v>
      </c>
      <c r="Q112">
        <f>'Learning curve parameters'!I116</f>
        <v>0.05</v>
      </c>
      <c r="R112">
        <f>'Learning curve parameters'!J116</f>
        <v>0.05</v>
      </c>
      <c r="S112">
        <f>'Learning curve parameters'!K116</f>
        <v>0.05</v>
      </c>
      <c r="U112" s="16">
        <f t="shared" si="51"/>
        <v>227637.29710364321</v>
      </c>
      <c r="V112" s="16">
        <f t="shared" si="52"/>
        <v>227637.29710364321</v>
      </c>
      <c r="W112" s="16">
        <f t="shared" si="53"/>
        <v>227637.29710364321</v>
      </c>
      <c r="X112" s="16">
        <f t="shared" si="54"/>
        <v>227637.29710364321</v>
      </c>
      <c r="Y112" s="16">
        <f t="shared" si="55"/>
        <v>227637.29710364321</v>
      </c>
      <c r="Z112" s="16">
        <f t="shared" si="56"/>
        <v>227637.29710364321</v>
      </c>
      <c r="AA112" s="16">
        <f t="shared" si="57"/>
        <v>227637.29710364321</v>
      </c>
      <c r="AB112" s="16">
        <f t="shared" si="58"/>
        <v>227637.29710364321</v>
      </c>
      <c r="AD112" s="12">
        <f>'Learning curve parameters'!M116</f>
        <v>0.01</v>
      </c>
      <c r="AE112" s="12">
        <f>'Learning curve parameters'!N116</f>
        <v>0.01</v>
      </c>
      <c r="AF112" s="12">
        <f>'Learning curve parameters'!O116</f>
        <v>0.01</v>
      </c>
      <c r="AG112" s="12">
        <f>'Learning curve parameters'!P116</f>
        <v>0.01</v>
      </c>
      <c r="AH112" s="12">
        <f>'Learning curve parameters'!Q116</f>
        <v>0.01</v>
      </c>
      <c r="AI112" s="12">
        <f>'Learning curve parameters'!R116</f>
        <v>0.01</v>
      </c>
      <c r="AJ112" s="12">
        <f>'Learning curve parameters'!S116</f>
        <v>0.01</v>
      </c>
      <c r="AK112" s="12">
        <f>'Learning curve parameters'!T116</f>
        <v>0.01</v>
      </c>
      <c r="AM112" s="21">
        <f t="shared" si="35"/>
        <v>2276.3729710364323</v>
      </c>
      <c r="AN112" s="21">
        <f t="shared" si="36"/>
        <v>2276.3729710364323</v>
      </c>
      <c r="AO112" s="21">
        <f t="shared" si="37"/>
        <v>2276.3729710364323</v>
      </c>
      <c r="AP112" s="21">
        <f t="shared" si="38"/>
        <v>2276.3729710364323</v>
      </c>
      <c r="AQ112" s="21">
        <f t="shared" si="39"/>
        <v>2276.3729710364323</v>
      </c>
      <c r="AR112" s="21">
        <f t="shared" si="40"/>
        <v>2276.3729710364323</v>
      </c>
      <c r="AS112" s="21">
        <f t="shared" si="41"/>
        <v>2276.3729710364323</v>
      </c>
      <c r="AT112" s="21">
        <f t="shared" si="42"/>
        <v>2276.3729710364323</v>
      </c>
    </row>
    <row r="113" spans="1:46">
      <c r="A113">
        <v>88</v>
      </c>
      <c r="B113">
        <f t="shared" si="34"/>
        <v>2108</v>
      </c>
      <c r="C113" s="18">
        <f t="shared" si="43"/>
        <v>71.628454315358312</v>
      </c>
      <c r="D113" s="18">
        <f t="shared" si="44"/>
        <v>64.502225588805047</v>
      </c>
      <c r="E113" s="18">
        <f t="shared" si="45"/>
        <v>66.461914563997752</v>
      </c>
      <c r="F113" s="18">
        <f t="shared" si="46"/>
        <v>68.684709278255156</v>
      </c>
      <c r="G113" s="18">
        <f t="shared" si="47"/>
        <v>69.887505927582581</v>
      </c>
      <c r="H113" s="18">
        <f t="shared" si="48"/>
        <v>72.448714680167342</v>
      </c>
      <c r="I113" s="18">
        <f t="shared" si="49"/>
        <v>75.189149436582113</v>
      </c>
      <c r="J113" s="18">
        <f t="shared" si="50"/>
        <v>78.079513020502233</v>
      </c>
      <c r="L113">
        <f>'Learning curve parameters'!D117</f>
        <v>0.05</v>
      </c>
      <c r="M113">
        <f>'Learning curve parameters'!E117</f>
        <v>0.05</v>
      </c>
      <c r="N113">
        <f>'Learning curve parameters'!F117</f>
        <v>0.05</v>
      </c>
      <c r="O113">
        <f>'Learning curve parameters'!G117</f>
        <v>0.05</v>
      </c>
      <c r="P113">
        <f>'Learning curve parameters'!H117</f>
        <v>0.05</v>
      </c>
      <c r="Q113">
        <f>'Learning curve parameters'!I117</f>
        <v>0.05</v>
      </c>
      <c r="R113">
        <f>'Learning curve parameters'!J117</f>
        <v>0.05</v>
      </c>
      <c r="S113">
        <f>'Learning curve parameters'!K117</f>
        <v>0.05</v>
      </c>
      <c r="U113" s="16">
        <f t="shared" si="51"/>
        <v>229913.67007467966</v>
      </c>
      <c r="V113" s="16">
        <f t="shared" si="52"/>
        <v>229913.67007467966</v>
      </c>
      <c r="W113" s="16">
        <f t="shared" si="53"/>
        <v>229913.67007467966</v>
      </c>
      <c r="X113" s="16">
        <f t="shared" si="54"/>
        <v>229913.67007467966</v>
      </c>
      <c r="Y113" s="16">
        <f t="shared" si="55"/>
        <v>229913.67007467966</v>
      </c>
      <c r="Z113" s="16">
        <f t="shared" si="56"/>
        <v>229913.67007467966</v>
      </c>
      <c r="AA113" s="16">
        <f t="shared" si="57"/>
        <v>229913.67007467966</v>
      </c>
      <c r="AB113" s="16">
        <f t="shared" si="58"/>
        <v>229913.67007467966</v>
      </c>
      <c r="AD113" s="12">
        <f>'Learning curve parameters'!M117</f>
        <v>0.01</v>
      </c>
      <c r="AE113" s="12">
        <f>'Learning curve parameters'!N117</f>
        <v>0.01</v>
      </c>
      <c r="AF113" s="12">
        <f>'Learning curve parameters'!O117</f>
        <v>0.01</v>
      </c>
      <c r="AG113" s="12">
        <f>'Learning curve parameters'!P117</f>
        <v>0.01</v>
      </c>
      <c r="AH113" s="12">
        <f>'Learning curve parameters'!Q117</f>
        <v>0.01</v>
      </c>
      <c r="AI113" s="12">
        <f>'Learning curve parameters'!R117</f>
        <v>0.01</v>
      </c>
      <c r="AJ113" s="12">
        <f>'Learning curve parameters'!S117</f>
        <v>0.01</v>
      </c>
      <c r="AK113" s="12">
        <f>'Learning curve parameters'!T117</f>
        <v>0.01</v>
      </c>
      <c r="AM113" s="21">
        <f t="shared" si="35"/>
        <v>2299.1367007467966</v>
      </c>
      <c r="AN113" s="21">
        <f t="shared" si="36"/>
        <v>2299.1367007467966</v>
      </c>
      <c r="AO113" s="21">
        <f t="shared" si="37"/>
        <v>2299.1367007467966</v>
      </c>
      <c r="AP113" s="21">
        <f t="shared" si="38"/>
        <v>2299.1367007467966</v>
      </c>
      <c r="AQ113" s="21">
        <f t="shared" si="39"/>
        <v>2299.1367007467966</v>
      </c>
      <c r="AR113" s="21">
        <f t="shared" si="40"/>
        <v>2299.1367007467966</v>
      </c>
      <c r="AS113" s="21">
        <f t="shared" si="41"/>
        <v>2299.1367007467966</v>
      </c>
      <c r="AT113" s="21">
        <f t="shared" si="42"/>
        <v>2299.1367007467966</v>
      </c>
    </row>
    <row r="114" spans="1:46">
      <c r="A114">
        <v>89</v>
      </c>
      <c r="B114">
        <f t="shared" si="34"/>
        <v>2109</v>
      </c>
      <c r="C114" s="18">
        <f t="shared" si="43"/>
        <v>71.63330297649037</v>
      </c>
      <c r="D114" s="18">
        <f t="shared" si="44"/>
        <v>64.507074249937105</v>
      </c>
      <c r="E114" s="18">
        <f t="shared" si="45"/>
        <v>66.46676322512981</v>
      </c>
      <c r="F114" s="18">
        <f t="shared" si="46"/>
        <v>68.689557939387214</v>
      </c>
      <c r="G114" s="18">
        <f t="shared" si="47"/>
        <v>69.892354588714639</v>
      </c>
      <c r="H114" s="18">
        <f t="shared" si="48"/>
        <v>72.4535633412994</v>
      </c>
      <c r="I114" s="18">
        <f t="shared" si="49"/>
        <v>75.193998097714172</v>
      </c>
      <c r="J114" s="18">
        <f t="shared" si="50"/>
        <v>78.084361681634292</v>
      </c>
      <c r="L114">
        <f>'Learning curve parameters'!D118</f>
        <v>0.05</v>
      </c>
      <c r="M114">
        <f>'Learning curve parameters'!E118</f>
        <v>0.05</v>
      </c>
      <c r="N114">
        <f>'Learning curve parameters'!F118</f>
        <v>0.05</v>
      </c>
      <c r="O114">
        <f>'Learning curve parameters'!G118</f>
        <v>0.05</v>
      </c>
      <c r="P114">
        <f>'Learning curve parameters'!H118</f>
        <v>0.05</v>
      </c>
      <c r="Q114">
        <f>'Learning curve parameters'!I118</f>
        <v>0.05</v>
      </c>
      <c r="R114">
        <f>'Learning curve parameters'!J118</f>
        <v>0.05</v>
      </c>
      <c r="S114">
        <f>'Learning curve parameters'!K118</f>
        <v>0.05</v>
      </c>
      <c r="U114" s="16">
        <f t="shared" si="51"/>
        <v>232212.80677542646</v>
      </c>
      <c r="V114" s="16">
        <f t="shared" si="52"/>
        <v>232212.80677542646</v>
      </c>
      <c r="W114" s="16">
        <f t="shared" si="53"/>
        <v>232212.80677542646</v>
      </c>
      <c r="X114" s="16">
        <f t="shared" si="54"/>
        <v>232212.80677542646</v>
      </c>
      <c r="Y114" s="16">
        <f t="shared" si="55"/>
        <v>232212.80677542646</v>
      </c>
      <c r="Z114" s="16">
        <f t="shared" si="56"/>
        <v>232212.80677542646</v>
      </c>
      <c r="AA114" s="16">
        <f t="shared" si="57"/>
        <v>232212.80677542646</v>
      </c>
      <c r="AB114" s="16">
        <f t="shared" si="58"/>
        <v>232212.80677542646</v>
      </c>
      <c r="AD114" s="12">
        <f>'Learning curve parameters'!M118</f>
        <v>0.01</v>
      </c>
      <c r="AE114" s="12">
        <f>'Learning curve parameters'!N118</f>
        <v>0.01</v>
      </c>
      <c r="AF114" s="12">
        <f>'Learning curve parameters'!O118</f>
        <v>0.01</v>
      </c>
      <c r="AG114" s="12">
        <f>'Learning curve parameters'!P118</f>
        <v>0.01</v>
      </c>
      <c r="AH114" s="12">
        <f>'Learning curve parameters'!Q118</f>
        <v>0.01</v>
      </c>
      <c r="AI114" s="12">
        <f>'Learning curve parameters'!R118</f>
        <v>0.01</v>
      </c>
      <c r="AJ114" s="12">
        <f>'Learning curve parameters'!S118</f>
        <v>0.01</v>
      </c>
      <c r="AK114" s="12">
        <f>'Learning curve parameters'!T118</f>
        <v>0.01</v>
      </c>
      <c r="AM114" s="21">
        <f t="shared" si="35"/>
        <v>2322.1280677542645</v>
      </c>
      <c r="AN114" s="21">
        <f t="shared" si="36"/>
        <v>2322.1280677542645</v>
      </c>
      <c r="AO114" s="21">
        <f t="shared" si="37"/>
        <v>2322.1280677542645</v>
      </c>
      <c r="AP114" s="21">
        <f t="shared" si="38"/>
        <v>2322.1280677542645</v>
      </c>
      <c r="AQ114" s="21">
        <f t="shared" si="39"/>
        <v>2322.1280677542645</v>
      </c>
      <c r="AR114" s="21">
        <f t="shared" si="40"/>
        <v>2322.1280677542645</v>
      </c>
      <c r="AS114" s="21">
        <f t="shared" si="41"/>
        <v>2322.1280677542645</v>
      </c>
      <c r="AT114" s="21">
        <f t="shared" si="42"/>
        <v>2322.1280677542645</v>
      </c>
    </row>
    <row r="115" spans="1:46">
      <c r="A115">
        <v>90</v>
      </c>
      <c r="B115">
        <f t="shared" si="34"/>
        <v>2110</v>
      </c>
      <c r="C115" s="18">
        <f t="shared" si="43"/>
        <v>71.638151637622428</v>
      </c>
      <c r="D115" s="18">
        <f t="shared" si="44"/>
        <v>64.511922911069163</v>
      </c>
      <c r="E115" s="18">
        <f t="shared" si="45"/>
        <v>66.471611886261869</v>
      </c>
      <c r="F115" s="18">
        <f t="shared" si="46"/>
        <v>68.694406600519272</v>
      </c>
      <c r="G115" s="18">
        <f t="shared" si="47"/>
        <v>69.897203249846697</v>
      </c>
      <c r="H115" s="18">
        <f t="shared" si="48"/>
        <v>72.458412002431459</v>
      </c>
      <c r="I115" s="18">
        <f t="shared" si="49"/>
        <v>75.19884675884623</v>
      </c>
      <c r="J115" s="18">
        <f t="shared" si="50"/>
        <v>78.08921034276635</v>
      </c>
      <c r="L115">
        <f>'Learning curve parameters'!D119</f>
        <v>0.05</v>
      </c>
      <c r="M115">
        <f>'Learning curve parameters'!E119</f>
        <v>0.05</v>
      </c>
      <c r="N115">
        <f>'Learning curve parameters'!F119</f>
        <v>0.05</v>
      </c>
      <c r="O115">
        <f>'Learning curve parameters'!G119</f>
        <v>0.05</v>
      </c>
      <c r="P115">
        <f>'Learning curve parameters'!H119</f>
        <v>0.05</v>
      </c>
      <c r="Q115">
        <f>'Learning curve parameters'!I119</f>
        <v>0.05</v>
      </c>
      <c r="R115">
        <f>'Learning curve parameters'!J119</f>
        <v>0.05</v>
      </c>
      <c r="S115">
        <f>'Learning curve parameters'!K119</f>
        <v>0.05</v>
      </c>
      <c r="U115" s="16">
        <f t="shared" si="51"/>
        <v>234534.93484318073</v>
      </c>
      <c r="V115" s="16">
        <f t="shared" si="52"/>
        <v>234534.93484318073</v>
      </c>
      <c r="W115" s="16">
        <f t="shared" si="53"/>
        <v>234534.93484318073</v>
      </c>
      <c r="X115" s="16">
        <f t="shared" si="54"/>
        <v>234534.93484318073</v>
      </c>
      <c r="Y115" s="16">
        <f t="shared" si="55"/>
        <v>234534.93484318073</v>
      </c>
      <c r="Z115" s="16">
        <f t="shared" si="56"/>
        <v>234534.93484318073</v>
      </c>
      <c r="AA115" s="16">
        <f t="shared" si="57"/>
        <v>234534.93484318073</v>
      </c>
      <c r="AB115" s="16">
        <f t="shared" si="58"/>
        <v>234534.93484318073</v>
      </c>
      <c r="AD115" s="12">
        <f>'Learning curve parameters'!M119</f>
        <v>0.01</v>
      </c>
      <c r="AE115" s="12">
        <f>'Learning curve parameters'!N119</f>
        <v>0.01</v>
      </c>
      <c r="AF115" s="12">
        <f>'Learning curve parameters'!O119</f>
        <v>0.01</v>
      </c>
      <c r="AG115" s="12">
        <f>'Learning curve parameters'!P119</f>
        <v>0.01</v>
      </c>
      <c r="AH115" s="12">
        <f>'Learning curve parameters'!Q119</f>
        <v>0.01</v>
      </c>
      <c r="AI115" s="12">
        <f>'Learning curve parameters'!R119</f>
        <v>0.01</v>
      </c>
      <c r="AJ115" s="12">
        <f>'Learning curve parameters'!S119</f>
        <v>0.01</v>
      </c>
      <c r="AK115" s="12">
        <f>'Learning curve parameters'!T119</f>
        <v>0.01</v>
      </c>
      <c r="AM115" s="21">
        <f t="shared" si="35"/>
        <v>2345.3493484318074</v>
      </c>
      <c r="AN115" s="21">
        <f t="shared" si="36"/>
        <v>2345.3493484318074</v>
      </c>
      <c r="AO115" s="21">
        <f t="shared" si="37"/>
        <v>2345.3493484318074</v>
      </c>
      <c r="AP115" s="21">
        <f t="shared" si="38"/>
        <v>2345.3493484318074</v>
      </c>
      <c r="AQ115" s="21">
        <f t="shared" si="39"/>
        <v>2345.3493484318074</v>
      </c>
      <c r="AR115" s="21">
        <f t="shared" si="40"/>
        <v>2345.3493484318074</v>
      </c>
      <c r="AS115" s="21">
        <f t="shared" si="41"/>
        <v>2345.3493484318074</v>
      </c>
      <c r="AT115" s="21">
        <f t="shared" si="42"/>
        <v>2345.3493484318074</v>
      </c>
    </row>
    <row r="116" spans="1:46">
      <c r="A116">
        <v>91</v>
      </c>
      <c r="B116">
        <f t="shared" si="34"/>
        <v>2111</v>
      </c>
      <c r="C116" s="18">
        <f t="shared" si="43"/>
        <v>71.643000298754487</v>
      </c>
      <c r="D116" s="18">
        <f t="shared" si="44"/>
        <v>64.516771572201222</v>
      </c>
      <c r="E116" s="18">
        <f t="shared" si="45"/>
        <v>66.476460547393927</v>
      </c>
      <c r="F116" s="18">
        <f t="shared" si="46"/>
        <v>68.699255261651331</v>
      </c>
      <c r="G116" s="18">
        <f t="shared" si="47"/>
        <v>69.902051910978756</v>
      </c>
      <c r="H116" s="18">
        <f t="shared" si="48"/>
        <v>72.463260663563517</v>
      </c>
      <c r="I116" s="18">
        <f t="shared" si="49"/>
        <v>75.203695419978288</v>
      </c>
      <c r="J116" s="18">
        <f t="shared" si="50"/>
        <v>78.094059003898408</v>
      </c>
      <c r="L116">
        <f>'Learning curve parameters'!D120</f>
        <v>0.05</v>
      </c>
      <c r="M116">
        <f>'Learning curve parameters'!E120</f>
        <v>0.05</v>
      </c>
      <c r="N116">
        <f>'Learning curve parameters'!F120</f>
        <v>0.05</v>
      </c>
      <c r="O116">
        <f>'Learning curve parameters'!G120</f>
        <v>0.05</v>
      </c>
      <c r="P116">
        <f>'Learning curve parameters'!H120</f>
        <v>0.05</v>
      </c>
      <c r="Q116">
        <f>'Learning curve parameters'!I120</f>
        <v>0.05</v>
      </c>
      <c r="R116">
        <f>'Learning curve parameters'!J120</f>
        <v>0.05</v>
      </c>
      <c r="S116">
        <f>'Learning curve parameters'!K120</f>
        <v>0.05</v>
      </c>
      <c r="U116" s="16">
        <f t="shared" si="51"/>
        <v>236880.28419161253</v>
      </c>
      <c r="V116" s="16">
        <f t="shared" si="52"/>
        <v>236880.28419161253</v>
      </c>
      <c r="W116" s="16">
        <f t="shared" si="53"/>
        <v>236880.28419161253</v>
      </c>
      <c r="X116" s="16">
        <f t="shared" si="54"/>
        <v>236880.28419161253</v>
      </c>
      <c r="Y116" s="16">
        <f t="shared" si="55"/>
        <v>236880.28419161253</v>
      </c>
      <c r="Z116" s="16">
        <f t="shared" si="56"/>
        <v>236880.28419161253</v>
      </c>
      <c r="AA116" s="16">
        <f t="shared" si="57"/>
        <v>236880.28419161253</v>
      </c>
      <c r="AB116" s="16">
        <f t="shared" si="58"/>
        <v>236880.28419161253</v>
      </c>
      <c r="AD116" s="12">
        <f>'Learning curve parameters'!M120</f>
        <v>0.01</v>
      </c>
      <c r="AE116" s="12">
        <f>'Learning curve parameters'!N120</f>
        <v>0.01</v>
      </c>
      <c r="AF116" s="12">
        <f>'Learning curve parameters'!O120</f>
        <v>0.01</v>
      </c>
      <c r="AG116" s="12">
        <f>'Learning curve parameters'!P120</f>
        <v>0.01</v>
      </c>
      <c r="AH116" s="12">
        <f>'Learning curve parameters'!Q120</f>
        <v>0.01</v>
      </c>
      <c r="AI116" s="12">
        <f>'Learning curve parameters'!R120</f>
        <v>0.01</v>
      </c>
      <c r="AJ116" s="12">
        <f>'Learning curve parameters'!S120</f>
        <v>0.01</v>
      </c>
      <c r="AK116" s="12">
        <f>'Learning curve parameters'!T120</f>
        <v>0.01</v>
      </c>
      <c r="AM116" s="21">
        <f t="shared" si="35"/>
        <v>2368.8028419161255</v>
      </c>
      <c r="AN116" s="21">
        <f t="shared" si="36"/>
        <v>2368.8028419161255</v>
      </c>
      <c r="AO116" s="21">
        <f t="shared" si="37"/>
        <v>2368.8028419161255</v>
      </c>
      <c r="AP116" s="21">
        <f t="shared" si="38"/>
        <v>2368.8028419161255</v>
      </c>
      <c r="AQ116" s="21">
        <f t="shared" si="39"/>
        <v>2368.8028419161255</v>
      </c>
      <c r="AR116" s="21">
        <f t="shared" si="40"/>
        <v>2368.8028419161255</v>
      </c>
      <c r="AS116" s="21">
        <f t="shared" si="41"/>
        <v>2368.8028419161255</v>
      </c>
      <c r="AT116" s="21">
        <f t="shared" si="42"/>
        <v>2368.8028419161255</v>
      </c>
    </row>
    <row r="117" spans="1:46">
      <c r="A117">
        <v>92</v>
      </c>
      <c r="B117">
        <f t="shared" si="34"/>
        <v>2112</v>
      </c>
      <c r="C117" s="18">
        <f t="shared" si="43"/>
        <v>71.647848959886545</v>
      </c>
      <c r="D117" s="18">
        <f t="shared" si="44"/>
        <v>64.52162023333328</v>
      </c>
      <c r="E117" s="18">
        <f t="shared" si="45"/>
        <v>66.481309208525985</v>
      </c>
      <c r="F117" s="18">
        <f t="shared" si="46"/>
        <v>68.704103922783389</v>
      </c>
      <c r="G117" s="18">
        <f t="shared" si="47"/>
        <v>69.906900572110814</v>
      </c>
      <c r="H117" s="18">
        <f t="shared" si="48"/>
        <v>72.468109324695575</v>
      </c>
      <c r="I117" s="18">
        <f t="shared" si="49"/>
        <v>75.208544081110347</v>
      </c>
      <c r="J117" s="18">
        <f t="shared" si="50"/>
        <v>78.098907665030467</v>
      </c>
      <c r="L117">
        <f>'Learning curve parameters'!D121</f>
        <v>0.05</v>
      </c>
      <c r="M117">
        <f>'Learning curve parameters'!E121</f>
        <v>0.05</v>
      </c>
      <c r="N117">
        <f>'Learning curve parameters'!F121</f>
        <v>0.05</v>
      </c>
      <c r="O117">
        <f>'Learning curve parameters'!G121</f>
        <v>0.05</v>
      </c>
      <c r="P117">
        <f>'Learning curve parameters'!H121</f>
        <v>0.05</v>
      </c>
      <c r="Q117">
        <f>'Learning curve parameters'!I121</f>
        <v>0.05</v>
      </c>
      <c r="R117">
        <f>'Learning curve parameters'!J121</f>
        <v>0.05</v>
      </c>
      <c r="S117">
        <f>'Learning curve parameters'!K121</f>
        <v>0.05</v>
      </c>
      <c r="U117" s="16">
        <f t="shared" si="51"/>
        <v>239249.08703352866</v>
      </c>
      <c r="V117" s="16">
        <f t="shared" si="52"/>
        <v>239249.08703352866</v>
      </c>
      <c r="W117" s="16">
        <f t="shared" si="53"/>
        <v>239249.08703352866</v>
      </c>
      <c r="X117" s="16">
        <f t="shared" si="54"/>
        <v>239249.08703352866</v>
      </c>
      <c r="Y117" s="16">
        <f t="shared" si="55"/>
        <v>239249.08703352866</v>
      </c>
      <c r="Z117" s="16">
        <f t="shared" si="56"/>
        <v>239249.08703352866</v>
      </c>
      <c r="AA117" s="16">
        <f t="shared" si="57"/>
        <v>239249.08703352866</v>
      </c>
      <c r="AB117" s="16">
        <f t="shared" si="58"/>
        <v>239249.08703352866</v>
      </c>
      <c r="AD117" s="12">
        <f>'Learning curve parameters'!M121</f>
        <v>0.01</v>
      </c>
      <c r="AE117" s="12">
        <f>'Learning curve parameters'!N121</f>
        <v>0.01</v>
      </c>
      <c r="AF117" s="12">
        <f>'Learning curve parameters'!O121</f>
        <v>0.01</v>
      </c>
      <c r="AG117" s="12">
        <f>'Learning curve parameters'!P121</f>
        <v>0.01</v>
      </c>
      <c r="AH117" s="12">
        <f>'Learning curve parameters'!Q121</f>
        <v>0.01</v>
      </c>
      <c r="AI117" s="12">
        <f>'Learning curve parameters'!R121</f>
        <v>0.01</v>
      </c>
      <c r="AJ117" s="12">
        <f>'Learning curve parameters'!S121</f>
        <v>0.01</v>
      </c>
      <c r="AK117" s="12">
        <f>'Learning curve parameters'!T121</f>
        <v>0.01</v>
      </c>
      <c r="AM117" s="21">
        <f t="shared" si="35"/>
        <v>2392.4908703352867</v>
      </c>
      <c r="AN117" s="21">
        <f t="shared" si="36"/>
        <v>2392.4908703352867</v>
      </c>
      <c r="AO117" s="21">
        <f t="shared" si="37"/>
        <v>2392.4908703352867</v>
      </c>
      <c r="AP117" s="21">
        <f t="shared" si="38"/>
        <v>2392.4908703352867</v>
      </c>
      <c r="AQ117" s="21">
        <f t="shared" si="39"/>
        <v>2392.4908703352867</v>
      </c>
      <c r="AR117" s="21">
        <f t="shared" si="40"/>
        <v>2392.4908703352867</v>
      </c>
      <c r="AS117" s="21">
        <f t="shared" si="41"/>
        <v>2392.4908703352867</v>
      </c>
      <c r="AT117" s="21">
        <f t="shared" si="42"/>
        <v>2392.4908703352867</v>
      </c>
    </row>
    <row r="118" spans="1:46">
      <c r="A118">
        <v>93</v>
      </c>
      <c r="B118">
        <f t="shared" si="34"/>
        <v>2113</v>
      </c>
      <c r="C118" s="18">
        <f t="shared" si="43"/>
        <v>71.652697621018604</v>
      </c>
      <c r="D118" s="18">
        <f t="shared" si="44"/>
        <v>64.526468894465339</v>
      </c>
      <c r="E118" s="18">
        <f t="shared" si="45"/>
        <v>66.486157869658044</v>
      </c>
      <c r="F118" s="18">
        <f t="shared" si="46"/>
        <v>68.708952583915448</v>
      </c>
      <c r="G118" s="18">
        <f t="shared" si="47"/>
        <v>69.911749233242872</v>
      </c>
      <c r="H118" s="18">
        <f t="shared" si="48"/>
        <v>72.472957985827634</v>
      </c>
      <c r="I118" s="18">
        <f t="shared" si="49"/>
        <v>75.213392742242405</v>
      </c>
      <c r="J118" s="18">
        <f t="shared" si="50"/>
        <v>78.103756326162525</v>
      </c>
      <c r="L118">
        <f>'Learning curve parameters'!D122</f>
        <v>0.05</v>
      </c>
      <c r="M118">
        <f>'Learning curve parameters'!E122</f>
        <v>0.05</v>
      </c>
      <c r="N118">
        <f>'Learning curve parameters'!F122</f>
        <v>0.05</v>
      </c>
      <c r="O118">
        <f>'Learning curve parameters'!G122</f>
        <v>0.05</v>
      </c>
      <c r="P118">
        <f>'Learning curve parameters'!H122</f>
        <v>0.05</v>
      </c>
      <c r="Q118">
        <f>'Learning curve parameters'!I122</f>
        <v>0.05</v>
      </c>
      <c r="R118">
        <f>'Learning curve parameters'!J122</f>
        <v>0.05</v>
      </c>
      <c r="S118">
        <f>'Learning curve parameters'!K122</f>
        <v>0.05</v>
      </c>
      <c r="U118" s="16">
        <f t="shared" si="51"/>
        <v>241641.57790386394</v>
      </c>
      <c r="V118" s="16">
        <f t="shared" si="52"/>
        <v>241641.57790386394</v>
      </c>
      <c r="W118" s="16">
        <f t="shared" si="53"/>
        <v>241641.57790386394</v>
      </c>
      <c r="X118" s="16">
        <f t="shared" si="54"/>
        <v>241641.57790386394</v>
      </c>
      <c r="Y118" s="16">
        <f t="shared" si="55"/>
        <v>241641.57790386394</v>
      </c>
      <c r="Z118" s="16">
        <f t="shared" si="56"/>
        <v>241641.57790386394</v>
      </c>
      <c r="AA118" s="16">
        <f t="shared" si="57"/>
        <v>241641.57790386394</v>
      </c>
      <c r="AB118" s="16">
        <f t="shared" si="58"/>
        <v>241641.57790386394</v>
      </c>
      <c r="AD118" s="12">
        <f>'Learning curve parameters'!M122</f>
        <v>0.01</v>
      </c>
      <c r="AE118" s="12">
        <f>'Learning curve parameters'!N122</f>
        <v>0.01</v>
      </c>
      <c r="AF118" s="12">
        <f>'Learning curve parameters'!O122</f>
        <v>0.01</v>
      </c>
      <c r="AG118" s="12">
        <f>'Learning curve parameters'!P122</f>
        <v>0.01</v>
      </c>
      <c r="AH118" s="12">
        <f>'Learning curve parameters'!Q122</f>
        <v>0.01</v>
      </c>
      <c r="AI118" s="12">
        <f>'Learning curve parameters'!R122</f>
        <v>0.01</v>
      </c>
      <c r="AJ118" s="12">
        <f>'Learning curve parameters'!S122</f>
        <v>0.01</v>
      </c>
      <c r="AK118" s="12">
        <f>'Learning curve parameters'!T122</f>
        <v>0.01</v>
      </c>
      <c r="AM118" s="21">
        <f t="shared" si="35"/>
        <v>2416.4157790386394</v>
      </c>
      <c r="AN118" s="21">
        <f t="shared" si="36"/>
        <v>2416.4157790386394</v>
      </c>
      <c r="AO118" s="21">
        <f t="shared" si="37"/>
        <v>2416.4157790386394</v>
      </c>
      <c r="AP118" s="21">
        <f t="shared" si="38"/>
        <v>2416.4157790386394</v>
      </c>
      <c r="AQ118" s="21">
        <f t="shared" si="39"/>
        <v>2416.4157790386394</v>
      </c>
      <c r="AR118" s="21">
        <f t="shared" si="40"/>
        <v>2416.4157790386394</v>
      </c>
      <c r="AS118" s="21">
        <f t="shared" si="41"/>
        <v>2416.4157790386394</v>
      </c>
      <c r="AT118" s="21">
        <f t="shared" si="42"/>
        <v>2416.4157790386394</v>
      </c>
    </row>
    <row r="119" spans="1:46">
      <c r="A119">
        <v>94</v>
      </c>
      <c r="B119">
        <f t="shared" si="34"/>
        <v>2114</v>
      </c>
      <c r="C119" s="18">
        <f t="shared" si="43"/>
        <v>71.657546282150662</v>
      </c>
      <c r="D119" s="18">
        <f t="shared" si="44"/>
        <v>64.531317555597397</v>
      </c>
      <c r="E119" s="18">
        <f t="shared" si="45"/>
        <v>66.491006530790102</v>
      </c>
      <c r="F119" s="18">
        <f t="shared" si="46"/>
        <v>68.713801245047506</v>
      </c>
      <c r="G119" s="18">
        <f t="shared" si="47"/>
        <v>69.916597894374931</v>
      </c>
      <c r="H119" s="18">
        <f t="shared" si="48"/>
        <v>72.477806646959692</v>
      </c>
      <c r="I119" s="18">
        <f t="shared" si="49"/>
        <v>75.218241403374464</v>
      </c>
      <c r="J119" s="18">
        <f t="shared" si="50"/>
        <v>78.108604987294584</v>
      </c>
      <c r="L119">
        <f>'Learning curve parameters'!D123</f>
        <v>0.05</v>
      </c>
      <c r="M119">
        <f>'Learning curve parameters'!E123</f>
        <v>0.05</v>
      </c>
      <c r="N119">
        <f>'Learning curve parameters'!F123</f>
        <v>0.05</v>
      </c>
      <c r="O119">
        <f>'Learning curve parameters'!G123</f>
        <v>0.05</v>
      </c>
      <c r="P119">
        <f>'Learning curve parameters'!H123</f>
        <v>0.05</v>
      </c>
      <c r="Q119">
        <f>'Learning curve parameters'!I123</f>
        <v>0.05</v>
      </c>
      <c r="R119">
        <f>'Learning curve parameters'!J123</f>
        <v>0.05</v>
      </c>
      <c r="S119">
        <f>'Learning curve parameters'!K123</f>
        <v>0.05</v>
      </c>
      <c r="U119" s="16">
        <f t="shared" si="51"/>
        <v>244057.9936829026</v>
      </c>
      <c r="V119" s="16">
        <f t="shared" si="52"/>
        <v>244057.9936829026</v>
      </c>
      <c r="W119" s="16">
        <f t="shared" si="53"/>
        <v>244057.9936829026</v>
      </c>
      <c r="X119" s="16">
        <f t="shared" si="54"/>
        <v>244057.9936829026</v>
      </c>
      <c r="Y119" s="16">
        <f t="shared" si="55"/>
        <v>244057.9936829026</v>
      </c>
      <c r="Z119" s="16">
        <f t="shared" si="56"/>
        <v>244057.9936829026</v>
      </c>
      <c r="AA119" s="16">
        <f t="shared" si="57"/>
        <v>244057.9936829026</v>
      </c>
      <c r="AB119" s="16">
        <f t="shared" si="58"/>
        <v>244057.9936829026</v>
      </c>
      <c r="AD119" s="12">
        <f>'Learning curve parameters'!M123</f>
        <v>0.01</v>
      </c>
      <c r="AE119" s="12">
        <f>'Learning curve parameters'!N123</f>
        <v>0.01</v>
      </c>
      <c r="AF119" s="12">
        <f>'Learning curve parameters'!O123</f>
        <v>0.01</v>
      </c>
      <c r="AG119" s="12">
        <f>'Learning curve parameters'!P123</f>
        <v>0.01</v>
      </c>
      <c r="AH119" s="12">
        <f>'Learning curve parameters'!Q123</f>
        <v>0.01</v>
      </c>
      <c r="AI119" s="12">
        <f>'Learning curve parameters'!R123</f>
        <v>0.01</v>
      </c>
      <c r="AJ119" s="12">
        <f>'Learning curve parameters'!S123</f>
        <v>0.01</v>
      </c>
      <c r="AK119" s="12">
        <f>'Learning curve parameters'!T123</f>
        <v>0.01</v>
      </c>
      <c r="AM119" s="21">
        <f t="shared" si="35"/>
        <v>2440.5799368290259</v>
      </c>
      <c r="AN119" s="21">
        <f t="shared" si="36"/>
        <v>2440.5799368290259</v>
      </c>
      <c r="AO119" s="21">
        <f t="shared" si="37"/>
        <v>2440.5799368290259</v>
      </c>
      <c r="AP119" s="21">
        <f t="shared" si="38"/>
        <v>2440.5799368290259</v>
      </c>
      <c r="AQ119" s="21">
        <f t="shared" si="39"/>
        <v>2440.5799368290259</v>
      </c>
      <c r="AR119" s="21">
        <f t="shared" si="40"/>
        <v>2440.5799368290259</v>
      </c>
      <c r="AS119" s="21">
        <f t="shared" si="41"/>
        <v>2440.5799368290259</v>
      </c>
      <c r="AT119" s="21">
        <f t="shared" si="42"/>
        <v>2440.5799368290259</v>
      </c>
    </row>
    <row r="120" spans="1:46">
      <c r="A120">
        <v>95</v>
      </c>
      <c r="B120">
        <f t="shared" si="34"/>
        <v>2115</v>
      </c>
      <c r="C120" s="18">
        <f t="shared" si="43"/>
        <v>71.66239494328272</v>
      </c>
      <c r="D120" s="18">
        <f t="shared" si="44"/>
        <v>64.536166216729455</v>
      </c>
      <c r="E120" s="18">
        <f t="shared" si="45"/>
        <v>66.495855191922161</v>
      </c>
      <c r="F120" s="18">
        <f t="shared" si="46"/>
        <v>68.718649906179564</v>
      </c>
      <c r="G120" s="18">
        <f t="shared" si="47"/>
        <v>69.921446555506989</v>
      </c>
      <c r="H120" s="18">
        <f t="shared" si="48"/>
        <v>72.482655308091751</v>
      </c>
      <c r="I120" s="18">
        <f t="shared" si="49"/>
        <v>75.223090064506522</v>
      </c>
      <c r="J120" s="18">
        <f t="shared" si="50"/>
        <v>78.113453648426642</v>
      </c>
      <c r="L120">
        <f>'Learning curve parameters'!D124</f>
        <v>0.05</v>
      </c>
      <c r="M120">
        <f>'Learning curve parameters'!E124</f>
        <v>0.05</v>
      </c>
      <c r="N120">
        <f>'Learning curve parameters'!F124</f>
        <v>0.05</v>
      </c>
      <c r="O120">
        <f>'Learning curve parameters'!G124</f>
        <v>0.05</v>
      </c>
      <c r="P120">
        <f>'Learning curve parameters'!H124</f>
        <v>0.05</v>
      </c>
      <c r="Q120">
        <f>'Learning curve parameters'!I124</f>
        <v>0.05</v>
      </c>
      <c r="R120">
        <f>'Learning curve parameters'!J124</f>
        <v>0.05</v>
      </c>
      <c r="S120">
        <f>'Learning curve parameters'!K124</f>
        <v>0.05</v>
      </c>
      <c r="U120" s="16">
        <f t="shared" si="51"/>
        <v>246498.57361973161</v>
      </c>
      <c r="V120" s="16">
        <f t="shared" si="52"/>
        <v>246498.57361973161</v>
      </c>
      <c r="W120" s="16">
        <f t="shared" si="53"/>
        <v>246498.57361973161</v>
      </c>
      <c r="X120" s="16">
        <f t="shared" si="54"/>
        <v>246498.57361973161</v>
      </c>
      <c r="Y120" s="16">
        <f t="shared" si="55"/>
        <v>246498.57361973161</v>
      </c>
      <c r="Z120" s="16">
        <f t="shared" si="56"/>
        <v>246498.57361973161</v>
      </c>
      <c r="AA120" s="16">
        <f t="shared" si="57"/>
        <v>246498.57361973161</v>
      </c>
      <c r="AB120" s="16">
        <f t="shared" si="58"/>
        <v>246498.57361973161</v>
      </c>
      <c r="AD120" s="12">
        <f>'Learning curve parameters'!M124</f>
        <v>0.01</v>
      </c>
      <c r="AE120" s="12">
        <f>'Learning curve parameters'!N124</f>
        <v>0.01</v>
      </c>
      <c r="AF120" s="12">
        <f>'Learning curve parameters'!O124</f>
        <v>0.01</v>
      </c>
      <c r="AG120" s="12">
        <f>'Learning curve parameters'!P124</f>
        <v>0.01</v>
      </c>
      <c r="AH120" s="12">
        <f>'Learning curve parameters'!Q124</f>
        <v>0.01</v>
      </c>
      <c r="AI120" s="12">
        <f>'Learning curve parameters'!R124</f>
        <v>0.01</v>
      </c>
      <c r="AJ120" s="12">
        <f>'Learning curve parameters'!S124</f>
        <v>0.01</v>
      </c>
      <c r="AK120" s="12">
        <f>'Learning curve parameters'!T124</f>
        <v>0.01</v>
      </c>
      <c r="AM120" s="21">
        <f t="shared" si="35"/>
        <v>2464.9857361973163</v>
      </c>
      <c r="AN120" s="21">
        <f t="shared" si="36"/>
        <v>2464.9857361973163</v>
      </c>
      <c r="AO120" s="21">
        <f t="shared" si="37"/>
        <v>2464.9857361973163</v>
      </c>
      <c r="AP120" s="21">
        <f t="shared" si="38"/>
        <v>2464.9857361973163</v>
      </c>
      <c r="AQ120" s="21">
        <f t="shared" si="39"/>
        <v>2464.9857361973163</v>
      </c>
      <c r="AR120" s="21">
        <f t="shared" si="40"/>
        <v>2464.9857361973163</v>
      </c>
      <c r="AS120" s="21">
        <f t="shared" si="41"/>
        <v>2464.9857361973163</v>
      </c>
      <c r="AT120" s="21">
        <f t="shared" si="42"/>
        <v>2464.9857361973163</v>
      </c>
    </row>
    <row r="121" spans="1:46">
      <c r="A121">
        <v>96</v>
      </c>
      <c r="B121">
        <f t="shared" ref="B121:B125" si="59">A121+C$19</f>
        <v>2116</v>
      </c>
      <c r="C121" s="18">
        <f t="shared" si="43"/>
        <v>71.667243604414779</v>
      </c>
      <c r="D121" s="18">
        <f t="shared" si="44"/>
        <v>64.541014877861514</v>
      </c>
      <c r="E121" s="18">
        <f t="shared" si="45"/>
        <v>66.500703853054219</v>
      </c>
      <c r="F121" s="18">
        <f t="shared" si="46"/>
        <v>68.723498567311623</v>
      </c>
      <c r="G121" s="18">
        <f t="shared" si="47"/>
        <v>69.926295216639048</v>
      </c>
      <c r="H121" s="18">
        <f t="shared" si="48"/>
        <v>72.487503969223809</v>
      </c>
      <c r="I121" s="18">
        <f t="shared" si="49"/>
        <v>75.22793872563858</v>
      </c>
      <c r="J121" s="18">
        <f t="shared" si="50"/>
        <v>78.1183023095587</v>
      </c>
      <c r="L121">
        <f>'Learning curve parameters'!D125</f>
        <v>0.05</v>
      </c>
      <c r="M121">
        <f>'Learning curve parameters'!E125</f>
        <v>0.05</v>
      </c>
      <c r="N121">
        <f>'Learning curve parameters'!F125</f>
        <v>0.05</v>
      </c>
      <c r="O121">
        <f>'Learning curve parameters'!G125</f>
        <v>0.05</v>
      </c>
      <c r="P121">
        <f>'Learning curve parameters'!H125</f>
        <v>0.05</v>
      </c>
      <c r="Q121">
        <f>'Learning curve parameters'!I125</f>
        <v>0.05</v>
      </c>
      <c r="R121">
        <f>'Learning curve parameters'!J125</f>
        <v>0.05</v>
      </c>
      <c r="S121">
        <f>'Learning curve parameters'!K125</f>
        <v>0.05</v>
      </c>
      <c r="U121" s="16">
        <f t="shared" si="51"/>
        <v>248963.55935592894</v>
      </c>
      <c r="V121" s="16">
        <f t="shared" si="52"/>
        <v>248963.55935592894</v>
      </c>
      <c r="W121" s="16">
        <f t="shared" si="53"/>
        <v>248963.55935592894</v>
      </c>
      <c r="X121" s="16">
        <f t="shared" si="54"/>
        <v>248963.55935592894</v>
      </c>
      <c r="Y121" s="16">
        <f t="shared" si="55"/>
        <v>248963.55935592894</v>
      </c>
      <c r="Z121" s="16">
        <f t="shared" si="56"/>
        <v>248963.55935592894</v>
      </c>
      <c r="AA121" s="16">
        <f t="shared" si="57"/>
        <v>248963.55935592894</v>
      </c>
      <c r="AB121" s="16">
        <f t="shared" si="58"/>
        <v>248963.55935592894</v>
      </c>
      <c r="AD121" s="12">
        <f>'Learning curve parameters'!M125</f>
        <v>0.01</v>
      </c>
      <c r="AE121" s="12">
        <f>'Learning curve parameters'!N125</f>
        <v>0.01</v>
      </c>
      <c r="AF121" s="12">
        <f>'Learning curve parameters'!O125</f>
        <v>0.01</v>
      </c>
      <c r="AG121" s="12">
        <f>'Learning curve parameters'!P125</f>
        <v>0.01</v>
      </c>
      <c r="AH121" s="12">
        <f>'Learning curve parameters'!Q125</f>
        <v>0.01</v>
      </c>
      <c r="AI121" s="12">
        <f>'Learning curve parameters'!R125</f>
        <v>0.01</v>
      </c>
      <c r="AJ121" s="12">
        <f>'Learning curve parameters'!S125</f>
        <v>0.01</v>
      </c>
      <c r="AK121" s="12">
        <f>'Learning curve parameters'!T125</f>
        <v>0.01</v>
      </c>
      <c r="AM121" s="21">
        <f t="shared" si="35"/>
        <v>2489.6355935592896</v>
      </c>
      <c r="AN121" s="21">
        <f t="shared" si="36"/>
        <v>2489.6355935592896</v>
      </c>
      <c r="AO121" s="21">
        <f t="shared" si="37"/>
        <v>2489.6355935592896</v>
      </c>
      <c r="AP121" s="21">
        <f t="shared" si="38"/>
        <v>2489.6355935592896</v>
      </c>
      <c r="AQ121" s="21">
        <f t="shared" si="39"/>
        <v>2489.6355935592896</v>
      </c>
      <c r="AR121" s="21">
        <f t="shared" si="40"/>
        <v>2489.6355935592896</v>
      </c>
      <c r="AS121" s="21">
        <f t="shared" si="41"/>
        <v>2489.6355935592896</v>
      </c>
      <c r="AT121" s="21">
        <f t="shared" si="42"/>
        <v>2489.6355935592896</v>
      </c>
    </row>
    <row r="122" spans="1:46">
      <c r="A122">
        <v>97</v>
      </c>
      <c r="B122">
        <f t="shared" si="59"/>
        <v>2117</v>
      </c>
      <c r="C122" s="18">
        <f t="shared" si="43"/>
        <v>71.672092265546837</v>
      </c>
      <c r="D122" s="18">
        <f t="shared" si="44"/>
        <v>64.545863538993572</v>
      </c>
      <c r="E122" s="18">
        <f t="shared" si="45"/>
        <v>66.505552514186277</v>
      </c>
      <c r="F122" s="18">
        <f t="shared" si="46"/>
        <v>68.728347228443681</v>
      </c>
      <c r="G122" s="18">
        <f t="shared" si="47"/>
        <v>69.931143877771106</v>
      </c>
      <c r="H122" s="18">
        <f t="shared" si="48"/>
        <v>72.492352630355867</v>
      </c>
      <c r="I122" s="18">
        <f t="shared" si="49"/>
        <v>75.232787386770639</v>
      </c>
      <c r="J122" s="18">
        <f t="shared" si="50"/>
        <v>78.123150970690759</v>
      </c>
      <c r="L122">
        <f>'Learning curve parameters'!D126</f>
        <v>0.05</v>
      </c>
      <c r="M122">
        <f>'Learning curve parameters'!E126</f>
        <v>0.05</v>
      </c>
      <c r="N122">
        <f>'Learning curve parameters'!F126</f>
        <v>0.05</v>
      </c>
      <c r="O122">
        <f>'Learning curve parameters'!G126</f>
        <v>0.05</v>
      </c>
      <c r="P122">
        <f>'Learning curve parameters'!H126</f>
        <v>0.05</v>
      </c>
      <c r="Q122">
        <f>'Learning curve parameters'!I126</f>
        <v>0.05</v>
      </c>
      <c r="R122">
        <f>'Learning curve parameters'!J126</f>
        <v>0.05</v>
      </c>
      <c r="S122">
        <f>'Learning curve parameters'!K126</f>
        <v>0.05</v>
      </c>
      <c r="U122" s="16">
        <f t="shared" si="51"/>
        <v>251453.19494948824</v>
      </c>
      <c r="V122" s="16">
        <f t="shared" si="52"/>
        <v>251453.19494948824</v>
      </c>
      <c r="W122" s="16">
        <f t="shared" si="53"/>
        <v>251453.19494948824</v>
      </c>
      <c r="X122" s="16">
        <f t="shared" si="54"/>
        <v>251453.19494948824</v>
      </c>
      <c r="Y122" s="16">
        <f t="shared" si="55"/>
        <v>251453.19494948824</v>
      </c>
      <c r="Z122" s="16">
        <f t="shared" si="56"/>
        <v>251453.19494948824</v>
      </c>
      <c r="AA122" s="16">
        <f t="shared" si="57"/>
        <v>251453.19494948824</v>
      </c>
      <c r="AB122" s="16">
        <f t="shared" si="58"/>
        <v>251453.19494948824</v>
      </c>
      <c r="AD122" s="12">
        <f>'Learning curve parameters'!M126</f>
        <v>0.01</v>
      </c>
      <c r="AE122" s="12">
        <f>'Learning curve parameters'!N126</f>
        <v>0.01</v>
      </c>
      <c r="AF122" s="12">
        <f>'Learning curve parameters'!O126</f>
        <v>0.01</v>
      </c>
      <c r="AG122" s="12">
        <f>'Learning curve parameters'!P126</f>
        <v>0.01</v>
      </c>
      <c r="AH122" s="12">
        <f>'Learning curve parameters'!Q126</f>
        <v>0.01</v>
      </c>
      <c r="AI122" s="12">
        <f>'Learning curve parameters'!R126</f>
        <v>0.01</v>
      </c>
      <c r="AJ122" s="12">
        <f>'Learning curve parameters'!S126</f>
        <v>0.01</v>
      </c>
      <c r="AK122" s="12">
        <f>'Learning curve parameters'!T126</f>
        <v>0.01</v>
      </c>
      <c r="AM122" s="21">
        <f t="shared" si="35"/>
        <v>2514.5319494948826</v>
      </c>
      <c r="AN122" s="21">
        <f t="shared" si="36"/>
        <v>2514.5319494948826</v>
      </c>
      <c r="AO122" s="21">
        <f t="shared" si="37"/>
        <v>2514.5319494948826</v>
      </c>
      <c r="AP122" s="21">
        <f t="shared" si="38"/>
        <v>2514.5319494948826</v>
      </c>
      <c r="AQ122" s="21">
        <f t="shared" si="39"/>
        <v>2514.5319494948826</v>
      </c>
      <c r="AR122" s="21">
        <f t="shared" si="40"/>
        <v>2514.5319494948826</v>
      </c>
      <c r="AS122" s="21">
        <f t="shared" si="41"/>
        <v>2514.5319494948826</v>
      </c>
      <c r="AT122" s="21">
        <f t="shared" si="42"/>
        <v>2514.5319494948826</v>
      </c>
    </row>
    <row r="123" spans="1:46">
      <c r="A123">
        <v>98</v>
      </c>
      <c r="B123">
        <f t="shared" si="59"/>
        <v>2118</v>
      </c>
      <c r="C123" s="18">
        <f t="shared" si="43"/>
        <v>71.676940926678895</v>
      </c>
      <c r="D123" s="18">
        <f t="shared" si="44"/>
        <v>64.550712200125631</v>
      </c>
      <c r="E123" s="18">
        <f t="shared" si="45"/>
        <v>66.510401175318336</v>
      </c>
      <c r="F123" s="18">
        <f t="shared" si="46"/>
        <v>68.73319588957574</v>
      </c>
      <c r="G123" s="18">
        <f t="shared" si="47"/>
        <v>69.935992538903164</v>
      </c>
      <c r="H123" s="18">
        <f t="shared" si="48"/>
        <v>72.497201291487926</v>
      </c>
      <c r="I123" s="18">
        <f t="shared" si="49"/>
        <v>75.237636047902697</v>
      </c>
      <c r="J123" s="18">
        <f t="shared" si="50"/>
        <v>78.127999631822817</v>
      </c>
      <c r="L123">
        <f>'Learning curve parameters'!D127</f>
        <v>0.05</v>
      </c>
      <c r="M123">
        <f>'Learning curve parameters'!E127</f>
        <v>0.05</v>
      </c>
      <c r="N123">
        <f>'Learning curve parameters'!F127</f>
        <v>0.05</v>
      </c>
      <c r="O123">
        <f>'Learning curve parameters'!G127</f>
        <v>0.05</v>
      </c>
      <c r="P123">
        <f>'Learning curve parameters'!H127</f>
        <v>0.05</v>
      </c>
      <c r="Q123">
        <f>'Learning curve parameters'!I127</f>
        <v>0.05</v>
      </c>
      <c r="R123">
        <f>'Learning curve parameters'!J127</f>
        <v>0.05</v>
      </c>
      <c r="S123">
        <f>'Learning curve parameters'!K127</f>
        <v>0.05</v>
      </c>
      <c r="U123" s="16">
        <f t="shared" si="51"/>
        <v>253967.72689898312</v>
      </c>
      <c r="V123" s="16">
        <f t="shared" si="52"/>
        <v>253967.72689898312</v>
      </c>
      <c r="W123" s="16">
        <f t="shared" si="53"/>
        <v>253967.72689898312</v>
      </c>
      <c r="X123" s="16">
        <f t="shared" si="54"/>
        <v>253967.72689898312</v>
      </c>
      <c r="Y123" s="16">
        <f t="shared" si="55"/>
        <v>253967.72689898312</v>
      </c>
      <c r="Z123" s="16">
        <f t="shared" si="56"/>
        <v>253967.72689898312</v>
      </c>
      <c r="AA123" s="16">
        <f t="shared" si="57"/>
        <v>253967.72689898312</v>
      </c>
      <c r="AB123" s="16">
        <f t="shared" si="58"/>
        <v>253967.72689898312</v>
      </c>
      <c r="AD123" s="12">
        <f>'Learning curve parameters'!M127</f>
        <v>0.01</v>
      </c>
      <c r="AE123" s="12">
        <f>'Learning curve parameters'!N127</f>
        <v>0.01</v>
      </c>
      <c r="AF123" s="12">
        <f>'Learning curve parameters'!O127</f>
        <v>0.01</v>
      </c>
      <c r="AG123" s="12">
        <f>'Learning curve parameters'!P127</f>
        <v>0.01</v>
      </c>
      <c r="AH123" s="12">
        <f>'Learning curve parameters'!Q127</f>
        <v>0.01</v>
      </c>
      <c r="AI123" s="12">
        <f>'Learning curve parameters'!R127</f>
        <v>0.01</v>
      </c>
      <c r="AJ123" s="12">
        <f>'Learning curve parameters'!S127</f>
        <v>0.01</v>
      </c>
      <c r="AK123" s="12">
        <f>'Learning curve parameters'!T127</f>
        <v>0.01</v>
      </c>
      <c r="AM123" s="21">
        <f t="shared" si="35"/>
        <v>2539.6772689898312</v>
      </c>
      <c r="AN123" s="21">
        <f t="shared" si="36"/>
        <v>2539.6772689898312</v>
      </c>
      <c r="AO123" s="21">
        <f t="shared" si="37"/>
        <v>2539.6772689898312</v>
      </c>
      <c r="AP123" s="21">
        <f t="shared" si="38"/>
        <v>2539.6772689898312</v>
      </c>
      <c r="AQ123" s="21">
        <f t="shared" si="39"/>
        <v>2539.6772689898312</v>
      </c>
      <c r="AR123" s="21">
        <f t="shared" si="40"/>
        <v>2539.6772689898312</v>
      </c>
      <c r="AS123" s="21">
        <f t="shared" si="41"/>
        <v>2539.6772689898312</v>
      </c>
      <c r="AT123" s="21">
        <f t="shared" si="42"/>
        <v>2539.6772689898312</v>
      </c>
    </row>
    <row r="124" spans="1:46">
      <c r="A124">
        <v>99</v>
      </c>
      <c r="B124">
        <f t="shared" si="59"/>
        <v>2119</v>
      </c>
      <c r="C124" s="18">
        <f t="shared" si="43"/>
        <v>71.681789587810954</v>
      </c>
      <c r="D124" s="18">
        <f t="shared" si="44"/>
        <v>64.555560861257689</v>
      </c>
      <c r="E124" s="18">
        <f t="shared" si="45"/>
        <v>66.515249836450394</v>
      </c>
      <c r="F124" s="18">
        <f t="shared" si="46"/>
        <v>68.738044550707798</v>
      </c>
      <c r="G124" s="18">
        <f t="shared" si="47"/>
        <v>69.940841200035223</v>
      </c>
      <c r="H124" s="18">
        <f t="shared" si="48"/>
        <v>72.502049952619984</v>
      </c>
      <c r="I124" s="18">
        <f t="shared" si="49"/>
        <v>75.242484709034755</v>
      </c>
      <c r="J124" s="18">
        <f t="shared" si="50"/>
        <v>78.132848292954876</v>
      </c>
      <c r="L124">
        <f>'Learning curve parameters'!D128</f>
        <v>0.05</v>
      </c>
      <c r="M124">
        <f>'Learning curve parameters'!E128</f>
        <v>0.05</v>
      </c>
      <c r="N124">
        <f>'Learning curve parameters'!F128</f>
        <v>0.05</v>
      </c>
      <c r="O124">
        <f>'Learning curve parameters'!G128</f>
        <v>0.05</v>
      </c>
      <c r="P124">
        <f>'Learning curve parameters'!H128</f>
        <v>0.05</v>
      </c>
      <c r="Q124">
        <f>'Learning curve parameters'!I128</f>
        <v>0.05</v>
      </c>
      <c r="R124">
        <f>'Learning curve parameters'!J128</f>
        <v>0.05</v>
      </c>
      <c r="S124">
        <f>'Learning curve parameters'!K128</f>
        <v>0.05</v>
      </c>
      <c r="U124" s="16">
        <f t="shared" si="51"/>
        <v>256507.40416797294</v>
      </c>
      <c r="V124" s="16">
        <f t="shared" si="52"/>
        <v>256507.40416797294</v>
      </c>
      <c r="W124" s="16">
        <f t="shared" si="53"/>
        <v>256507.40416797294</v>
      </c>
      <c r="X124" s="16">
        <f t="shared" si="54"/>
        <v>256507.40416797294</v>
      </c>
      <c r="Y124" s="16">
        <f t="shared" si="55"/>
        <v>256507.40416797294</v>
      </c>
      <c r="Z124" s="16">
        <f t="shared" si="56"/>
        <v>256507.40416797294</v>
      </c>
      <c r="AA124" s="16">
        <f t="shared" si="57"/>
        <v>256507.40416797294</v>
      </c>
      <c r="AB124" s="16">
        <f t="shared" si="58"/>
        <v>256507.40416797294</v>
      </c>
      <c r="AD124" s="12">
        <f>'Learning curve parameters'!M128</f>
        <v>0.01</v>
      </c>
      <c r="AE124" s="12">
        <f>'Learning curve parameters'!N128</f>
        <v>0.01</v>
      </c>
      <c r="AF124" s="12">
        <f>'Learning curve parameters'!O128</f>
        <v>0.01</v>
      </c>
      <c r="AG124" s="12">
        <f>'Learning curve parameters'!P128</f>
        <v>0.01</v>
      </c>
      <c r="AH124" s="12">
        <f>'Learning curve parameters'!Q128</f>
        <v>0.01</v>
      </c>
      <c r="AI124" s="12">
        <f>'Learning curve parameters'!R128</f>
        <v>0.01</v>
      </c>
      <c r="AJ124" s="12">
        <f>'Learning curve parameters'!S128</f>
        <v>0.01</v>
      </c>
      <c r="AK124" s="12">
        <f>'Learning curve parameters'!T128</f>
        <v>0.01</v>
      </c>
      <c r="AM124" s="21">
        <f t="shared" si="35"/>
        <v>2565.0740416797294</v>
      </c>
      <c r="AN124" s="21">
        <f t="shared" si="36"/>
        <v>2565.0740416797294</v>
      </c>
      <c r="AO124" s="21">
        <f t="shared" si="37"/>
        <v>2565.0740416797294</v>
      </c>
      <c r="AP124" s="21">
        <f t="shared" si="38"/>
        <v>2565.0740416797294</v>
      </c>
      <c r="AQ124" s="21">
        <f t="shared" si="39"/>
        <v>2565.0740416797294</v>
      </c>
      <c r="AR124" s="21">
        <f t="shared" si="40"/>
        <v>2565.0740416797294</v>
      </c>
      <c r="AS124" s="21">
        <f t="shared" si="41"/>
        <v>2565.0740416797294</v>
      </c>
      <c r="AT124" s="21">
        <f t="shared" si="42"/>
        <v>2565.0740416797294</v>
      </c>
    </row>
    <row r="125" spans="1:46">
      <c r="A125">
        <v>100</v>
      </c>
      <c r="B125">
        <f t="shared" si="59"/>
        <v>2120</v>
      </c>
      <c r="C125" s="18">
        <f t="shared" si="43"/>
        <v>71.686638248943012</v>
      </c>
      <c r="D125" s="18">
        <f t="shared" si="44"/>
        <v>64.560409522389747</v>
      </c>
      <c r="E125" s="18">
        <f t="shared" si="45"/>
        <v>66.520098497582453</v>
      </c>
      <c r="F125" s="18">
        <f t="shared" si="46"/>
        <v>68.742893211839856</v>
      </c>
      <c r="G125" s="18">
        <f t="shared" si="47"/>
        <v>69.945689861167281</v>
      </c>
      <c r="H125" s="18">
        <f t="shared" si="48"/>
        <v>72.506898613752043</v>
      </c>
      <c r="I125" s="18">
        <f t="shared" si="49"/>
        <v>75.247333370166814</v>
      </c>
      <c r="J125" s="18">
        <f t="shared" si="50"/>
        <v>78.137696954086934</v>
      </c>
      <c r="L125">
        <f>'Learning curve parameters'!D129</f>
        <v>0.05</v>
      </c>
      <c r="M125">
        <f>'Learning curve parameters'!E129</f>
        <v>0.05</v>
      </c>
      <c r="N125">
        <f>'Learning curve parameters'!F129</f>
        <v>0.05</v>
      </c>
      <c r="O125">
        <f>'Learning curve parameters'!G129</f>
        <v>0.05</v>
      </c>
      <c r="P125">
        <f>'Learning curve parameters'!H129</f>
        <v>0.05</v>
      </c>
      <c r="Q125">
        <f>'Learning curve parameters'!I129</f>
        <v>0.05</v>
      </c>
      <c r="R125">
        <f>'Learning curve parameters'!J129</f>
        <v>0.05</v>
      </c>
      <c r="S125">
        <f>'Learning curve parameters'!K129</f>
        <v>0.05</v>
      </c>
      <c r="U125" s="16">
        <f t="shared" si="51"/>
        <v>259072.47820965268</v>
      </c>
      <c r="V125" s="16">
        <f t="shared" si="52"/>
        <v>259072.47820965268</v>
      </c>
      <c r="W125" s="16">
        <f t="shared" si="53"/>
        <v>259072.47820965268</v>
      </c>
      <c r="X125" s="16">
        <f t="shared" si="54"/>
        <v>259072.47820965268</v>
      </c>
      <c r="Y125" s="16">
        <f t="shared" si="55"/>
        <v>259072.47820965268</v>
      </c>
      <c r="Z125" s="16">
        <f t="shared" si="56"/>
        <v>259072.47820965268</v>
      </c>
      <c r="AA125" s="16">
        <f t="shared" si="57"/>
        <v>259072.47820965268</v>
      </c>
      <c r="AB125" s="16">
        <f t="shared" si="58"/>
        <v>259072.47820965268</v>
      </c>
      <c r="AD125" s="12">
        <f>'Learning curve parameters'!M129</f>
        <v>0.01</v>
      </c>
      <c r="AE125" s="12">
        <f>'Learning curve parameters'!N129</f>
        <v>0.01</v>
      </c>
      <c r="AF125" s="12">
        <f>'Learning curve parameters'!O129</f>
        <v>0.01</v>
      </c>
      <c r="AG125" s="12">
        <f>'Learning curve parameters'!P129</f>
        <v>0.01</v>
      </c>
      <c r="AH125" s="12">
        <f>'Learning curve parameters'!Q129</f>
        <v>0.01</v>
      </c>
      <c r="AI125" s="12">
        <f>'Learning curve parameters'!R129</f>
        <v>0.01</v>
      </c>
      <c r="AJ125" s="12">
        <f>'Learning curve parameters'!S129</f>
        <v>0.01</v>
      </c>
      <c r="AK125" s="12">
        <f>'Learning curve parameters'!T129</f>
        <v>0.01</v>
      </c>
      <c r="AM125" s="21">
        <f t="shared" si="35"/>
        <v>2590.7247820965267</v>
      </c>
      <c r="AN125" s="21">
        <f t="shared" si="36"/>
        <v>2590.7247820965267</v>
      </c>
      <c r="AO125" s="21">
        <f t="shared" si="37"/>
        <v>2590.7247820965267</v>
      </c>
      <c r="AP125" s="21">
        <f t="shared" si="38"/>
        <v>2590.7247820965267</v>
      </c>
      <c r="AQ125" s="21">
        <f t="shared" si="39"/>
        <v>2590.7247820965267</v>
      </c>
      <c r="AR125" s="21">
        <f t="shared" si="40"/>
        <v>2590.7247820965267</v>
      </c>
      <c r="AS125" s="21">
        <f t="shared" si="41"/>
        <v>2590.7247820965267</v>
      </c>
      <c r="AT125" s="21">
        <f t="shared" si="42"/>
        <v>2590.7247820965267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Janne Korhonen</dc:creator>
  <cp:keywords/>
  <dc:description/>
  <cp:lastModifiedBy/>
  <cp:revision/>
  <dcterms:created xsi:type="dcterms:W3CDTF">2023-05-16T13:52:53Z</dcterms:created>
  <dcterms:modified xsi:type="dcterms:W3CDTF">2025-11-07T16:05:14Z</dcterms:modified>
  <cp:category/>
  <cp:contentStatus/>
</cp:coreProperties>
</file>